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hidePivotFieldList="1" defaultThemeVersion="124226"/>
  <bookViews>
    <workbookView xWindow="240" yWindow="285" windowWidth="14805" windowHeight="7830" tabRatio="766" firstSheet="1" activeTab="10"/>
  </bookViews>
  <sheets>
    <sheet name="Threshold" sheetId="18" state="hidden" r:id="rId1"/>
    <sheet name="StgTrendSheetData" sheetId="1" r:id="rId2"/>
    <sheet name="PrdTrendSheetData" sheetId="2" state="hidden" r:id="rId3"/>
    <sheet name="StgIBNRData" sheetId="6" state="hidden" r:id="rId4"/>
    <sheet name="PrdIBNRData" sheetId="7" state="hidden" r:id="rId5"/>
    <sheet name="Trend Sheet Data" sheetId="3" state="hidden" r:id="rId6"/>
    <sheet name="IBNR Trend Sheet Data" sheetId="9" state="hidden" r:id="rId7"/>
    <sheet name="Reference" sheetId="12" state="hidden" r:id="rId8"/>
    <sheet name="QA Check list" sheetId="14" r:id="rId9"/>
    <sheet name="All Trend Sheet" sheetId="4" r:id="rId10"/>
    <sheet name="IBNR Trend Sheet" sheetId="8" r:id="rId11"/>
    <sheet name="Other Checks" sheetId="10" r:id="rId12"/>
    <sheet name="Other Checks Prd" sheetId="16" state="hidden" r:id="rId13"/>
    <sheet name="CustomTrendList" sheetId="5" r:id="rId14"/>
  </sheets>
  <functionGroups builtInGroupCount="17"/>
  <definedNames>
    <definedName name="Slicer_Cost_Basis">#N/A</definedName>
    <definedName name="Slicer_Cost_Basis1">#N/A</definedName>
    <definedName name="Slicer_Display_Name">#N/A</definedName>
    <definedName name="Slicer_Display_Name1">#N/A</definedName>
    <definedName name="Slicer_Trend">#N/A</definedName>
  </definedNames>
  <calcPr calcId="15251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1" l="1"/>
  <c r="A2" i="18" l="1"/>
  <c r="A2" i="2"/>
  <c r="J2" i="1" s="1"/>
  <c r="M2" i="1" s="1"/>
  <c r="L2" i="1" l="1"/>
  <c r="K2" i="1"/>
  <c r="C4" i="16"/>
  <c r="G4" i="10" l="1"/>
  <c r="A2" i="7"/>
  <c r="H2" i="6" l="1"/>
  <c r="G2" i="6"/>
</calcChain>
</file>

<file path=xl/sharedStrings.xml><?xml version="1.0" encoding="utf-8"?>
<sst xmlns="http://schemas.openxmlformats.org/spreadsheetml/2006/main" count="130" uniqueCount="91">
  <si>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</si>
  <si>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</si>
  <si>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</si>
  <si>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</si>
  <si>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</si>
  <si>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</si>
  <si>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</si>
  <si>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</si>
  <si>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</si>
  <si>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</si>
  <si>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</si>
  <si>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</si>
  <si>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</si>
  <si>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</si>
  <si>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</si>
  <si>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</si>
  <si>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</si>
  <si>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</si>
  <si>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</si>
  <si>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</si>
  <si>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</si>
  <si>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</si>
  <si>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</si>
  <si>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</si>
  <si>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</si>
  <si>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</si>
  <si>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</si>
  <si>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</si>
  <si>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</si>
  <si>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</si>
  <si>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</si>
  <si>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</si>
  <si>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</si>
  <si>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</si>
  <si>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</si>
  <si>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</si>
  <si>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</si>
  <si>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</si>
  <si>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</si>
  <si>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</si>
  <si>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</si>
  <si>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</si>
  <si>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</si>
  <si>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</si>
  <si>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</si>
  <si>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(blank)</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</si>
  <si>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</si>
  <si>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</si>
  <si>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</si>
  <si>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</si>
  <si>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</si>
  <si>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</si>
  <si>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</si>
  <si>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</si>
  <si>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</si>
  <si>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</si>
  <si>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</si>
  <si>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</si>
  <si>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</si>
  <si>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</si>
  <si>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</si>
  <si>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</si>
  <si>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</si>
  <si>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</si>
  <si>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</si>
  <si>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</si>
  <si>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</si>
  <si>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</si>
  <si>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</si>
  <si>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</si>
  <si>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</si>
  <si>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</si>
  <si>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</si>
  <si>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</si>
  <si>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</si>
  <si>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</si>
  <si>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</si>
  <si>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</si>
  <si>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</si>
  <si>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</si>
  <si>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</si>
  <si>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</si>
  <si>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</si>
  <si>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</si>
  <si>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</si>
  <si>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</si>
  <si>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</si>
  <si>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Critical</t>
  </si>
  <si>
    <t>Trivial</t>
  </si>
  <si>
    <t>Perc Deviation</t>
  </si>
  <si>
    <t>Result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</si>
</sst>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1" fillId="0" borderId="0" xfId="0" applyFon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[QA_Trendsheet_V2.xlsm]Trend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Data'!$A$2:$A$3</c:f>
              <c:strCache>
                <c:ptCount val="1"/>
                <c:pt idx="0">
                  <c:v>(blank)</c:v>
                </c:pt>
              </c:strCache>
            </c:strRef>
          </c:cat>
          <c:val>
            <c:numRef>
              <c:f>'Trend Sheet Data'!$B$2:$B$3</c:f>
              <c:numCache>
                <c:formatCode>General</c:formatCode>
                <c:ptCount val="1"/>
                <c:pt idx="0">
                  <c:v>0</c:v>
                </c:pt>
              </c:numCache>
            </c:numRef>
          </c:val>
          <c:smooth val="0"/>
        </c:ser>
        <c:ser>
          <c:idx val="1"/>
          <c:order val="1"/>
          <c:tx>
            <c:strRef>
              <c:f>'Trend Sheet Data'!$C$1</c:f>
              <c:strCache>
                <c:ptCount val="1"/>
                <c:pt idx="0">
                  <c:v>Staging</c:v>
                </c:pt>
              </c:strCache>
            </c:strRef>
          </c:tx>
          <c:cat>
            <c:strRef>
              <c:f>'Trend Sheet Data'!$A$2:$A$3</c:f>
              <c:strCache>
                <c:ptCount val="1"/>
                <c:pt idx="0">
                  <c:v>(blank)</c:v>
                </c:pt>
              </c:strCache>
            </c:strRef>
          </c:cat>
          <c:val>
            <c:numRef>
              <c:f>'Trend Sheet Data'!$C$2:$C$3</c:f>
              <c:numCache>
                <c:formatCode>General</c:formatCode>
                <c:ptCount val="1"/>
              </c:numCache>
            </c:numRef>
          </c:val>
          <c:smooth val="0"/>
        </c:ser>
        <c:dLbls>
          <c:showLegendKey val="0"/>
          <c:showVal val="0"/>
          <c:showCatName val="0"/>
          <c:showSerName val="0"/>
          <c:showPercent val="0"/>
          <c:showBubbleSize val="0"/>
        </c:dLbls>
        <c:marker val="1"/>
        <c:smooth val="0"/>
        <c:axId val="123646464"/>
        <c:axId val="94068032"/>
      </c:lineChart>
      <c:catAx>
        <c:axId val="123646464"/>
        <c:scaling>
          <c:orientation val="minMax"/>
        </c:scaling>
        <c:delete val="0"/>
        <c:axPos val="b"/>
        <c:numFmt formatCode="General" sourceLinked="0"/>
        <c:majorTickMark val="out"/>
        <c:minorTickMark val="none"/>
        <c:tickLblPos val="nextTo"/>
        <c:crossAx val="94068032"/>
        <c:crosses val="autoZero"/>
        <c:auto val="1"/>
        <c:lblAlgn val="ctr"/>
        <c:lblOffset val="100"/>
        <c:noMultiLvlLbl val="0"/>
      </c:catAx>
      <c:valAx>
        <c:axId val="94068032"/>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23646464"/>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[QA_Trendsheet_V2.xlsm]IBNR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Data'!$A$2:$A$3</c:f>
              <c:strCache>
                <c:ptCount val="1"/>
                <c:pt idx="0">
                  <c:v>(blank)</c:v>
                </c:pt>
              </c:strCache>
            </c:strRef>
          </c:cat>
          <c:val>
            <c:numRef>
              <c:f>'IBNR Trend Sheet Data'!$B$2:$B$3</c:f>
              <c:numCache>
                <c:formatCode>General</c:formatCode>
                <c:ptCount val="1"/>
              </c:numCache>
            </c:numRef>
          </c:val>
          <c:smooth val="0"/>
        </c:ser>
        <c:ser>
          <c:idx val="1"/>
          <c:order val="1"/>
          <c:tx>
            <c:strRef>
              <c:f>'IBNR Trend Sheet Data'!$C$1</c:f>
              <c:strCache>
                <c:ptCount val="1"/>
                <c:pt idx="0">
                  <c:v>Paid</c:v>
                </c:pt>
              </c:strCache>
            </c:strRef>
          </c:tx>
          <c:cat>
            <c:strRef>
              <c:f>'IBNR Trend Sheet Data'!$A$2:$A$3</c:f>
              <c:strCache>
                <c:ptCount val="1"/>
                <c:pt idx="0">
                  <c:v>(blank)</c:v>
                </c:pt>
              </c:strCache>
            </c:strRef>
          </c:cat>
          <c:val>
            <c:numRef>
              <c:f>'IBNR Trend Sheet Data'!$C$2:$C$3</c:f>
              <c:numCache>
                <c:formatCode>General</c:formatCode>
                <c:ptCount val="1"/>
              </c:numCache>
            </c:numRef>
          </c:val>
          <c:smooth val="0"/>
        </c:ser>
        <c:dLbls>
          <c:showLegendKey val="0"/>
          <c:showVal val="0"/>
          <c:showCatName val="0"/>
          <c:showSerName val="0"/>
          <c:showPercent val="0"/>
          <c:showBubbleSize val="0"/>
        </c:dLbls>
        <c:marker val="1"/>
        <c:smooth val="0"/>
        <c:axId val="124838912"/>
        <c:axId val="94066880"/>
      </c:lineChart>
      <c:catAx>
        <c:axId val="124838912"/>
        <c:scaling>
          <c:orientation val="minMax"/>
        </c:scaling>
        <c:delete val="0"/>
        <c:axPos val="b"/>
        <c:numFmt formatCode="General" sourceLinked="0"/>
        <c:majorTickMark val="out"/>
        <c:minorTickMark val="none"/>
        <c:tickLblPos val="nextTo"/>
        <c:crossAx val="94066880"/>
        <c:crosses val="autoZero"/>
        <c:auto val="1"/>
        <c:lblAlgn val="ctr"/>
        <c:lblOffset val="100"/>
        <c:noMultiLvlLbl val="0"/>
      </c:catAx>
      <c:valAx>
        <c:axId val="9406688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24838912"/>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[QA_Trendsheet_V2.xlsm]IBNR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Data'!$N$2:$N$3</c:f>
              <c:strCache>
                <c:ptCount val="1"/>
                <c:pt idx="0">
                  <c:v>(blank)</c:v>
                </c:pt>
              </c:strCache>
            </c:strRef>
          </c:cat>
          <c:val>
            <c:numRef>
              <c:f>'IBNR Trend Sheet Data'!$O$2:$O$3</c:f>
              <c:numCache>
                <c:formatCode>General</c:formatCode>
                <c:ptCount val="1"/>
                <c:pt idx="0">
                  <c:v>0</c:v>
                </c:pt>
              </c:numCache>
            </c:numRef>
          </c:val>
          <c:smooth val="0"/>
        </c:ser>
        <c:ser>
          <c:idx val="1"/>
          <c:order val="1"/>
          <c:tx>
            <c:strRef>
              <c:f>'IBNR Trend Sheet Data'!$P$1</c:f>
              <c:strCache>
                <c:ptCount val="1"/>
                <c:pt idx="0">
                  <c:v>Paid</c:v>
                </c:pt>
              </c:strCache>
            </c:strRef>
          </c:tx>
          <c:cat>
            <c:strRef>
              <c:f>'IBNR Trend Sheet Data'!$N$2:$N$3</c:f>
              <c:strCache>
                <c:ptCount val="1"/>
                <c:pt idx="0">
                  <c:v>(blank)</c:v>
                </c:pt>
              </c:strCache>
            </c:strRef>
          </c:cat>
          <c:val>
            <c:numRef>
              <c:f>'IBNR Trend Sheet Data'!$P$2:$P$3</c:f>
              <c:numCache>
                <c:formatCode>General</c:formatCode>
                <c:ptCount val="1"/>
                <c:pt idx="0">
                  <c:v>0</c:v>
                </c:pt>
              </c:numCache>
            </c:numRef>
          </c:val>
          <c:smooth val="0"/>
        </c:ser>
        <c:dLbls>
          <c:showLegendKey val="0"/>
          <c:showVal val="0"/>
          <c:showCatName val="0"/>
          <c:showSerName val="0"/>
          <c:showPercent val="0"/>
          <c:showBubbleSize val="0"/>
        </c:dLbls>
        <c:marker val="1"/>
        <c:smooth val="0"/>
        <c:axId val="124840960"/>
        <c:axId val="124603200"/>
      </c:lineChart>
      <c:catAx>
        <c:axId val="124840960"/>
        <c:scaling>
          <c:orientation val="minMax"/>
        </c:scaling>
        <c:delete val="0"/>
        <c:axPos val="b"/>
        <c:numFmt formatCode="General" sourceLinked="0"/>
        <c:majorTickMark val="out"/>
        <c:minorTickMark val="none"/>
        <c:tickLblPos val="nextTo"/>
        <c:crossAx val="124603200"/>
        <c:crosses val="autoZero"/>
        <c:auto val="1"/>
        <c:lblAlgn val="ctr"/>
        <c:lblOffset val="100"/>
        <c:noMultiLvlLbl val="0"/>
      </c:catAx>
      <c:valAx>
        <c:axId val="12460320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24840960"/>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285.558752314813" createdVersion="4" refreshedVersion="4" minRefreshableVersion="3" recordCount="1">
  <cacheSource type="worksheet">
    <worksheetSource name="StgIBNRTrendData"/>
  </cacheSource>
  <cacheFields count="8">
    <cacheField name="Population" numFmtId="0">
      <sharedItems containsNonDate="0" containsBlank="1" count="8">
        <m/>
        <s v="EMPLOYEES" u="1"/>
        <s v="GENESISHEALTHCARE" u="1"/>
        <s v="PARTNERSCOMMUNITYHEALTH" u="1"/>
        <s v="COMMERCIAL" u="1"/>
        <s v="MEDICARE" u="1"/>
        <s v="DPS" u="1"/>
        <s v="HFMS" u="1"/>
      </sharedItems>
    </cacheField>
    <cacheField name="Display Name" numFmtId="0">
      <sharedItems containsNonDate="0" containsString="0" containsBlank="1" count="1">
        <m/>
      </sharedItems>
    </cacheField>
    <cacheField name="Cost Basis" numFmtId="0">
      <sharedItems containsNonDate="0" containsBlank="1" count="3">
        <m/>
        <s v="Paid" u="1"/>
        <s v="Allowed" u="1"/>
      </sharedItems>
    </cacheField>
    <cacheField name="Period" numFmtId="14">
      <sharedItems containsNonDate="0" containsDate="1" containsString="0" containsBlank="1" minDate="2015-01-01T00:00:00" maxDate="2015-07-02T00:00:00" count="8">
        <m/>
        <d v="2015-07-01T00:00:00" u="1"/>
        <d v="2015-06-01T00:00:00" u="1"/>
        <d v="2015-05-01T00:00:00" u="1"/>
        <d v="2015-04-01T00:00:00" u="1"/>
        <d v="2015-03-01T00:00:00" u="1"/>
        <d v="2015-02-01T00:00:00" u="1"/>
        <d v="2015-01-01T00:00:00" u="1"/>
      </sharedItems>
    </cacheField>
    <cacheField name="Staging Incurred Claims" numFmtId="0">
      <sharedItems containsNonDate="0" containsString="0" containsBlank="1"/>
    </cacheField>
    <cacheField name="Staging Paid Claims" numFmtId="0">
      <sharedItems containsNonDate="0" containsString="0" containsBlank="1"/>
    </cacheField>
    <cacheField name="Production Incurred Claims" numFmtId="0">
      <sharedItems containsSemiMixedTypes="0" containsString="0" containsNumber="1" containsInteger="1" minValue="0" maxValue="0"/>
    </cacheField>
    <cacheField name="Production Paid Claim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285.558752546298" createdVersion="4" refreshedVersion="4" minRefreshableVersion="3" recordCount="1">
  <cacheSource type="worksheet">
    <worksheetSource name="TrendSheetStgData"/>
  </cacheSource>
  <cacheFields count="9">
    <cacheField name="Population" numFmtId="0">
      <sharedItems containsNonDate="0" containsString="0" containsBlank="1"/>
    </cacheField>
    <cacheField name="Display Name" numFmtId="0">
      <sharedItems containsNonDate="0" containsString="0" containsBlank="1" count="1">
        <m/>
      </sharedItems>
    </cacheField>
    <cacheField name="Cost Basis" numFmtId="0">
      <sharedItems containsNonDate="0" containsBlank="1" count="3">
        <m/>
        <s v="Paid" u="1"/>
        <s v="Allowed" u="1"/>
      </sharedItems>
    </cacheField>
    <cacheField name="Period" numFmtId="14">
      <sharedItems containsNonDate="0" containsBlank="1" count="19">
        <m/>
        <s v="2014-06-01" u="1"/>
        <s v="2015-08-01" u="1"/>
        <s v="2014-07-01" u="1"/>
        <s v="2014-08-01" u="1"/>
        <s v="2014-09-01" u="1"/>
        <s v="2015-01-01" u="1"/>
        <s v="2015-02-01" u="1"/>
        <s v="2014-10-01" u="1"/>
        <s v="2015-03-01" u="1"/>
        <s v="2014-11-01" u="1"/>
        <s v="2015-04-01" u="1"/>
        <s v="2014-12-01" u="1"/>
        <s v="2014-03-01" u="1"/>
        <s v="2015-05-01" u="1"/>
        <s v="2014-04-01" u="1"/>
        <s v="2015-06-01" u="1"/>
        <s v="2014-05-01" u="1"/>
        <s v="2015-07-01" u="1"/>
      </sharedItems>
    </cacheField>
    <cacheField name="IsCompleted" numFmtId="0">
      <sharedItems containsNonDate="0" containsString="0" containsBlank="1"/>
    </cacheField>
    <cacheField name="Trend" numFmtId="0">
      <sharedItems containsNonDate="0" containsBlank="1" count="25">
        <m/>
        <s v="Avoidable Admission Quality" u="1"/>
        <s v="Drug Claim Count" u="1"/>
        <s v="Medical PMPM" u="1"/>
        <s v="Readmission Cost" u="1"/>
        <s v="Drug PMPM" u="1"/>
        <s v="Professional Claim Count" u="1"/>
        <s v="Outpatient Imaging Cost" u="1"/>
        <s v="Drug - Generic Utilization" u="1"/>
        <s v="Drug - Generic Utilization Cost" u="1"/>
        <s v="Office Based CTs per 1k" u="1"/>
        <s v="Office Based MRIs per 1k" u="1"/>
        <s v="Ancillary Claim Count" u="1"/>
        <s v="IBNR" u="1"/>
        <s v="Avoidable Admission Cost" u="1"/>
        <s v="Chronic Disease Management - Cost" u="1"/>
        <s v="Hospiatl Outpatient CTs per 1k" u="1"/>
        <s v="Chronic Disease Management - Members" u="1"/>
        <s v="Overall PMPM" u="1"/>
        <s v="ED Utilization" u="1"/>
        <s v="Readmission Quality" u="1"/>
        <s v="Inpatient Claim Count" u="1"/>
        <s v="Hospiatl Outpatient MRIs per 1k" u="1"/>
        <s v="ED Cost" u="1"/>
        <s v="Outpatient Claim Count" u="1"/>
      </sharedItems>
    </cacheField>
    <cacheField name="Trend Order" numFmtId="0">
      <sharedItems containsNonDate="0" containsString="0" containsBlank="1"/>
    </cacheField>
    <cacheField name="Staging Data" numFmtId="0">
      <sharedItems containsNonDate="0" containsString="0" containsBlank="1"/>
    </cacheField>
    <cacheField name="Production Data"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x v="0"/>
    <x v="0"/>
    <x v="0"/>
    <x v="0"/>
    <m/>
    <m/>
    <n v="0"/>
    <n v="0"/>
  </r>
</pivotCacheRecords>
</file>

<file path=xl/pivotCache/pivotCacheRecords2.xml><?xml version="1.0" encoding="utf-8"?>
<pivotCacheRecords xmlns="http://schemas.openxmlformats.org/spreadsheetml/2006/main" xmlns:r="http://schemas.openxmlformats.org/officeDocument/2006/relationships" count="1">
  <r>
    <m/>
    <x v="0"/>
    <x v="0"/>
    <x v="0"/>
    <m/>
    <x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3" firstHeaderRow="0" firstDataRow="1" firstDataCol="1"/>
  <pivotFields count="9">
    <pivotField showAll="0"/>
    <pivotField showAll="0" defaultSubtotal="0">
      <items count="1">
        <item x="0"/>
      </items>
    </pivotField>
    <pivotField showAll="0">
      <items count="4">
        <item m="1" x="2"/>
        <item m="1" x="1"/>
        <item x="0"/>
        <item t="default"/>
      </items>
    </pivotField>
    <pivotField axis="axisRow" showAll="0" sortType="ascending">
      <items count="20">
        <item m="1" x="13"/>
        <item m="1" x="15"/>
        <item m="1" x="17"/>
        <item m="1" x="1"/>
        <item m="1" x="3"/>
        <item m="1" x="4"/>
        <item m="1" x="5"/>
        <item m="1" x="8"/>
        <item m="1" x="10"/>
        <item m="1" x="12"/>
        <item m="1" x="6"/>
        <item m="1" x="7"/>
        <item m="1" x="9"/>
        <item m="1" x="11"/>
        <item m="1" x="14"/>
        <item m="1" x="16"/>
        <item m="1" x="18"/>
        <item m="1" x="2"/>
        <item x="0"/>
        <item t="default"/>
      </items>
    </pivotField>
    <pivotField showAll="0"/>
    <pivotField showAll="0">
      <items count="26">
        <item m="1" x="3"/>
        <item m="1" x="5"/>
        <item m="1" x="18"/>
        <item m="1" x="21"/>
        <item m="1" x="24"/>
        <item m="1" x="6"/>
        <item m="1" x="12"/>
        <item m="1" x="2"/>
        <item m="1" x="4"/>
        <item m="1" x="20"/>
        <item m="1" x="14"/>
        <item m="1" x="1"/>
        <item m="1" x="7"/>
        <item m="1" x="22"/>
        <item m="1" x="16"/>
        <item m="1" x="11"/>
        <item m="1" x="10"/>
        <item m="1" x="23"/>
        <item m="1" x="19"/>
        <item m="1" x="9"/>
        <item m="1" x="8"/>
        <item m="1" x="15"/>
        <item m="1" x="17"/>
        <item m="1" x="13"/>
        <item x="0"/>
        <item t="default"/>
      </items>
    </pivotField>
    <pivotField showAll="0"/>
    <pivotField dataField="1" showAll="0"/>
    <pivotField dataField="1" showAll="0"/>
  </pivotFields>
  <rowFields count="1">
    <field x="3"/>
  </rowFields>
  <rowItems count="2">
    <i>
      <x v="18"/>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N1:P3" firstHeaderRow="0" firstDataRow="1" firstDataCol="1"/>
  <pivotFields count="8">
    <pivotField showAll="0">
      <items count="9">
        <item m="1" x="4"/>
        <item m="1" x="6"/>
        <item m="1" x="1"/>
        <item m="1" x="2"/>
        <item m="1" x="7"/>
        <item m="1" x="5"/>
        <item m="1" x="3"/>
        <item x="0"/>
        <item t="default"/>
      </items>
    </pivotField>
    <pivotField showAll="0" defaultSubtotal="0">
      <items count="1">
        <item x="0"/>
      </items>
    </pivotField>
    <pivotField showAll="0">
      <items count="4">
        <item m="1" x="2"/>
        <item m="1" x="1"/>
        <item x="0"/>
        <item t="default"/>
      </items>
    </pivotField>
    <pivotField axis="axisRow" numFmtId="14" showAll="0">
      <items count="9">
        <item m="1" x="7"/>
        <item m="1" x="6"/>
        <item m="1" x="5"/>
        <item m="1" x="4"/>
        <item m="1" x="3"/>
        <item m="1" x="2"/>
        <item m="1" x="1"/>
        <item x="0"/>
        <item t="default"/>
      </items>
    </pivotField>
    <pivotField showAll="0"/>
    <pivotField showAll="0"/>
    <pivotField dataField="1" showAll="0"/>
    <pivotField dataField="1" showAll="0"/>
  </pivotFields>
  <rowFields count="1">
    <field x="3"/>
  </rowFields>
  <rowItems count="2">
    <i>
      <x v="7"/>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3" firstHeaderRow="0" firstDataRow="1" firstDataCol="1"/>
  <pivotFields count="8">
    <pivotField showAll="0">
      <items count="9">
        <item m="1" x="4"/>
        <item m="1" x="6"/>
        <item m="1" x="1"/>
        <item m="1" x="2"/>
        <item m="1" x="7"/>
        <item m="1" x="5"/>
        <item m="1" x="3"/>
        <item x="0"/>
        <item t="default"/>
      </items>
    </pivotField>
    <pivotField showAll="0" defaultSubtotal="0">
      <items count="1">
        <item x="0"/>
      </items>
    </pivotField>
    <pivotField showAll="0">
      <items count="4">
        <item m="1" x="2"/>
        <item m="1" x="1"/>
        <item x="0"/>
        <item t="default"/>
      </items>
    </pivotField>
    <pivotField axis="axisRow" numFmtId="14" showAll="0">
      <items count="9">
        <item m="1" x="7"/>
        <item m="1" x="6"/>
        <item m="1" x="5"/>
        <item m="1" x="4"/>
        <item m="1" x="3"/>
        <item m="1" x="2"/>
        <item m="1" x="1"/>
        <item x="0"/>
        <item t="default"/>
      </items>
    </pivotField>
    <pivotField dataField="1" showAll="0"/>
    <pivotField dataField="1" showAll="0"/>
    <pivotField showAll="0"/>
    <pivotField showAll="0"/>
  </pivotFields>
  <rowFields count="1">
    <field x="3"/>
  </rowFields>
  <rowItems count="2">
    <i>
      <x v="7"/>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0" s="1"/>
        <i x="3" s="1" nd="1"/>
        <i x="5" s="1" nd="1"/>
        <i x="18" s="1" nd="1"/>
        <i x="21" s="1" nd="1"/>
        <i x="24" s="1" nd="1"/>
        <i x="6" s="1" nd="1"/>
        <i x="12" s="1" nd="1"/>
        <i x="2" s="1" nd="1"/>
        <i x="4" s="1" nd="1"/>
        <i x="20" s="1" nd="1"/>
        <i x="14" s="1" nd="1"/>
        <i x="1" s="1" nd="1"/>
        <i x="7" s="1" nd="1"/>
        <i x="22" s="1" nd="1"/>
        <i x="16" s="1" nd="1"/>
        <i x="11" s="1" nd="1"/>
        <i x="10" s="1" nd="1"/>
        <i x="23" s="1" nd="1"/>
        <i x="19" s="1" nd="1"/>
        <i x="9" s="1" nd="1"/>
        <i x="8" s="1" nd="1"/>
        <i x="15" s="1" nd="1"/>
        <i x="17"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2" s="1" nd="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2" totalsRowShown="0">
  <autoFilter ref="A1:E2"/>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2" totalsRowShown="0">
  <autoFilter ref="A1:M2"/>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IFERROR(VLOOKUP(TrendSheetStgData[Population]&amp;TrendSheetStgData[Cost Basis]&amp;TrendSheetStgData[Period]&amp;TrendSheetStgData[Trend],TrendSheetPrdData[#All],9,FALSE),0)</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Result"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2" totalsRowShown="0">
  <autoFilter ref="A1:I2"/>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2" totalsRowShown="0">
  <autoFilter ref="A1:H2"/>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2" totalsRowShown="0">
  <autoFilter ref="A1:G2"/>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4" totalsRowShown="0" dataDxfId="7">
  <autoFilter ref="B3:G4"/>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4" totalsRowShown="0">
  <autoFilter ref="C3:H4"/>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87</v>
      </c>
      <c r="E1" t="s">
        <v>88</v>
      </c>
    </row>
    <row r="2" spans="1:5" x14ac:dyDescent="0.25">
      <c r="A2" t="str">
        <f>Threshold[[#This Row],[Population]]&amp;Threshold[[#This Row],[Trend]]</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
  <sheetViews>
    <sheetView topLeftCell="C1" workbookViewId="0">
      <selection activeCell="I2" sqref="I2"/>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86</v>
      </c>
      <c r="C1" t="s">
        <v>1</v>
      </c>
      <c r="D1" t="s">
        <v>2</v>
      </c>
      <c r="E1" t="s">
        <v>3</v>
      </c>
      <c r="F1" t="s">
        <v>4</v>
      </c>
      <c r="G1" t="s">
        <v>5</v>
      </c>
      <c r="H1" t="s">
        <v>6</v>
      </c>
      <c r="I1" t="s">
        <v>7</v>
      </c>
      <c r="J1" t="s">
        <v>89</v>
      </c>
      <c r="K1" t="s">
        <v>87</v>
      </c>
      <c r="L1" t="s">
        <v>88</v>
      </c>
      <c r="M1" t="s">
        <v>90</v>
      </c>
    </row>
    <row r="2" spans="1:13" x14ac:dyDescent="0.25">
      <c r="D2" s="1"/>
      <c r="I2" s="5">
        <f>IFERROR(VLOOKUP(TrendSheetStgData[Population]&amp;TrendSheetStgData[Cost Basis]&amp;TrendSheetStgData[Period]&amp;TrendSheetStgData[Trend],TrendSheetPrdData[#All],9,FALSE),0)</f>
        <v>0</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 s="5">
        <f>VLOOKUP(TrendSheetStgData[Population]&amp;TrendSheetStgData[Trend],Threshold[#All],4,FALSE)</f>
        <v>0</v>
      </c>
      <c r="L2" s="5">
        <f>VLOOKUP(TrendSheetStgData[Population]&amp;TrendSheetStgData[Trend],Threshold[#All],5,FALSE)</f>
        <v>0</v>
      </c>
      <c r="M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86</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
      </c>
      <c r="E2" s="1"/>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86</v>
      </c>
      <c r="C1" t="s">
        <v>1</v>
      </c>
      <c r="D1" t="s">
        <v>2</v>
      </c>
      <c r="E1" t="s">
        <v>8</v>
      </c>
      <c r="F1" t="s">
        <v>9</v>
      </c>
      <c r="G1" t="s">
        <v>10</v>
      </c>
      <c r="H1" t="s">
        <v>11</v>
      </c>
    </row>
    <row r="2" spans="1:8" x14ac:dyDescent="0.25">
      <c r="D2" s="1"/>
      <c r="G2">
        <f>VLOOKUP(StgIBNRTrendData[[#This Row],[Population]]&amp;StgIBNRTrendData[[#This Row],[Cost Basis]]&amp;StgIBNRTrendData[[#This Row],[Period]],PrdIBNRTrendData[],6,FALSE)</f>
        <v>0</v>
      </c>
      <c r="H2">
        <f>VLOOKUP(StgIBNRTrendData[[#This Row],[Population]]&amp;StgIBNRTrendData[[#This Row],[Cost Basis]]&amp;StgIBNRTrendData[[#This Row],[Period]],PrdIBNRTrendData[],7,FALSE)</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86</v>
      </c>
      <c r="D1" t="s">
        <v>1</v>
      </c>
      <c r="E1" t="s">
        <v>2</v>
      </c>
      <c r="F1" t="s">
        <v>36</v>
      </c>
      <c r="G1" t="s">
        <v>37</v>
      </c>
    </row>
    <row r="2" spans="1:7" x14ac:dyDescent="0.25">
      <c r="A2" t="str">
        <f>PrdIBNRTrendData[[#This Row],[Population]]&amp;PrdIBNRTrendData[[#This Row],[Cost Basis]]&amp;PrdIBNRTrendData[[#This Row],[Period]]</f>
        <v/>
      </c>
      <c r="E2"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
  <sheetViews>
    <sheetView workbookViewId="0">
      <selection activeCell="A2" sqref="A2"/>
    </sheetView>
  </sheetViews>
  <sheetFormatPr defaultRowHeight="15" x14ac:dyDescent="0.25"/>
  <cols>
    <col min="1" max="1" width="13.140625" customWidth="1"/>
    <col min="2" max="2" width="10.7109375" bestFit="1" customWidth="1"/>
    <col min="3" max="3" width="7.42578125"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45</v>
      </c>
      <c r="B2" s="5">
        <v>0</v>
      </c>
      <c r="C2" s="5"/>
    </row>
    <row r="3" spans="1:3" x14ac:dyDescent="0.25">
      <c r="A3" s="3" t="s">
        <v>40</v>
      </c>
      <c r="B3" s="5">
        <v>0</v>
      </c>
      <c r="C3" s="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3"/>
  <sheetViews>
    <sheetView workbookViewId="0">
      <selection activeCell="N1" sqref="N1:P3"/>
    </sheetView>
  </sheetViews>
  <sheetFormatPr defaultRowHeight="15" x14ac:dyDescent="0.25"/>
  <cols>
    <col min="1" max="1" width="13.140625" customWidth="1"/>
    <col min="2" max="2" width="8.42578125" customWidth="1"/>
    <col min="3" max="3" width="4.85546875" customWidth="1"/>
    <col min="4" max="4" width="8.42578125" customWidth="1"/>
    <col min="5" max="5" width="4.85546875" customWidth="1"/>
  </cols>
  <sheetData>
    <row r="1" spans="1:16" x14ac:dyDescent="0.25">
      <c r="A1" s="2" t="s">
        <v>39</v>
      </c>
      <c r="B1" t="s">
        <v>78</v>
      </c>
      <c r="C1" t="s">
        <v>79</v>
      </c>
      <c r="N1" s="2" t="s">
        <v>39</v>
      </c>
      <c r="O1" t="s">
        <v>78</v>
      </c>
      <c r="P1" t="s">
        <v>79</v>
      </c>
    </row>
    <row r="2" spans="1:16" x14ac:dyDescent="0.25">
      <c r="A2" s="7" t="s">
        <v>45</v>
      </c>
      <c r="B2" s="5"/>
      <c r="C2" s="5"/>
      <c r="N2" s="7" t="s">
        <v>45</v>
      </c>
      <c r="O2" s="5">
        <v>0</v>
      </c>
      <c r="P2" s="5">
        <v>0</v>
      </c>
    </row>
    <row r="3" spans="1:16" x14ac:dyDescent="0.25">
      <c r="A3" s="7" t="s">
        <v>40</v>
      </c>
      <c r="B3" s="5"/>
      <c r="C3" s="5"/>
      <c r="N3" s="7" t="s">
        <v>40</v>
      </c>
      <c r="O3" s="5">
        <v>0</v>
      </c>
      <c r="P3" s="5">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47</v>
      </c>
      <c r="B1" s="10"/>
    </row>
    <row r="3" spans="1:3" ht="18.75" x14ac:dyDescent="0.3">
      <c r="A3" s="9" t="s">
        <v>55</v>
      </c>
      <c r="C3" s="10"/>
    </row>
    <row r="5" spans="1:3" x14ac:dyDescent="0.25">
      <c r="A5" s="11" t="s">
        <v>48</v>
      </c>
      <c r="B5" s="11" t="s">
        <v>49</v>
      </c>
    </row>
    <row r="6" spans="1:3" x14ac:dyDescent="0.25">
      <c r="A6" s="8" t="s">
        <v>50</v>
      </c>
      <c r="B6" s="8" t="s">
        <v>54</v>
      </c>
    </row>
    <row r="7" spans="1:3" x14ac:dyDescent="0.25">
      <c r="A7" s="8"/>
      <c r="B7" s="8"/>
    </row>
    <row r="8" spans="1:3" x14ac:dyDescent="0.25">
      <c r="A8" s="8" t="s">
        <v>51</v>
      </c>
      <c r="B8" s="8" t="s">
        <v>52</v>
      </c>
    </row>
    <row r="9" spans="1:3" x14ac:dyDescent="0.25">
      <c r="A9" s="8"/>
      <c r="B9" s="8"/>
    </row>
    <row r="10" spans="1:3" x14ac:dyDescent="0.25">
      <c r="A10" s="8" t="s">
        <v>46</v>
      </c>
      <c r="B10" s="8" t="s">
        <v>53</v>
      </c>
    </row>
    <row r="12" spans="1:3" x14ac:dyDescent="0.25">
      <c r="A12" s="9" t="s">
        <v>56</v>
      </c>
    </row>
    <row r="13" spans="1:3" x14ac:dyDescent="0.25">
      <c r="B13" t="s">
        <v>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58</v>
      </c>
      <c r="M1" s="12" t="s">
        <v>59</v>
      </c>
      <c r="N1" s="12" t="s">
        <v>60</v>
      </c>
    </row>
    <row r="2" spans="1:14" x14ac:dyDescent="0.25">
      <c r="L2" s="15"/>
      <c r="M2" s="16"/>
    </row>
    <row r="3" spans="1:14" ht="15" customHeight="1" x14ac:dyDescent="0.25">
      <c r="A3">
        <v>1</v>
      </c>
      <c r="B3" t="s">
        <v>61</v>
      </c>
      <c r="L3" s="15"/>
      <c r="M3" s="16"/>
    </row>
    <row r="4" spans="1:14" x14ac:dyDescent="0.25">
      <c r="A4">
        <v>2</v>
      </c>
      <c r="B4" t="s">
        <v>62</v>
      </c>
      <c r="L4" s="15"/>
      <c r="M4" s="16"/>
    </row>
    <row r="5" spans="1:14" x14ac:dyDescent="0.25">
      <c r="A5">
        <v>3</v>
      </c>
      <c r="B5" t="s">
        <v>63</v>
      </c>
      <c r="L5" s="15"/>
      <c r="M5" s="16"/>
    </row>
    <row r="6" spans="1:14" x14ac:dyDescent="0.25">
      <c r="L6" s="15"/>
      <c r="M6" s="16"/>
    </row>
    <row r="7" spans="1:14" x14ac:dyDescent="0.25">
      <c r="B7" s="9" t="s">
        <v>64</v>
      </c>
      <c r="L7" s="15"/>
      <c r="M7" s="16"/>
    </row>
    <row r="8" spans="1:14" x14ac:dyDescent="0.25">
      <c r="B8" s="9"/>
      <c r="L8" s="15"/>
      <c r="M8" s="16"/>
    </row>
    <row r="9" spans="1:14" x14ac:dyDescent="0.25">
      <c r="A9">
        <v>4</v>
      </c>
      <c r="B9" t="s">
        <v>77</v>
      </c>
      <c r="L9" s="15"/>
      <c r="M9" s="16"/>
    </row>
    <row r="10" spans="1:14" x14ac:dyDescent="0.25">
      <c r="A10">
        <v>5</v>
      </c>
      <c r="B10" t="s">
        <v>76</v>
      </c>
      <c r="L10" s="15"/>
      <c r="M10" s="16"/>
    </row>
    <row r="11" spans="1:14" x14ac:dyDescent="0.25">
      <c r="A11">
        <v>6</v>
      </c>
      <c r="B11" t="s">
        <v>65</v>
      </c>
      <c r="L11" s="15"/>
      <c r="M11" s="16"/>
    </row>
    <row r="12" spans="1:14" x14ac:dyDescent="0.25">
      <c r="A12">
        <v>7</v>
      </c>
      <c r="B12" t="s">
        <v>66</v>
      </c>
      <c r="L12" s="15"/>
      <c r="M12" s="16"/>
    </row>
    <row r="13" spans="1:14" x14ac:dyDescent="0.25">
      <c r="A13">
        <v>8</v>
      </c>
      <c r="B13" t="s">
        <v>67</v>
      </c>
      <c r="L13" s="15"/>
      <c r="M13" s="16"/>
    </row>
    <row r="14" spans="1:14" x14ac:dyDescent="0.25">
      <c r="A14">
        <v>9</v>
      </c>
      <c r="B14" t="s">
        <v>68</v>
      </c>
      <c r="L14" s="15"/>
      <c r="M14" s="16"/>
    </row>
    <row r="15" spans="1:14" x14ac:dyDescent="0.25">
      <c r="A15">
        <v>10</v>
      </c>
      <c r="B15" t="s">
        <v>69</v>
      </c>
      <c r="L15" s="15"/>
      <c r="M15" s="16"/>
    </row>
    <row r="16" spans="1:14" x14ac:dyDescent="0.25">
      <c r="A16">
        <v>11</v>
      </c>
      <c r="B16" t="s">
        <v>70</v>
      </c>
      <c r="L16" s="15"/>
      <c r="M16" s="16"/>
    </row>
    <row r="17" spans="1:19" x14ac:dyDescent="0.25">
      <c r="L17" s="15"/>
      <c r="M17" s="16"/>
    </row>
    <row r="18" spans="1:19" x14ac:dyDescent="0.25">
      <c r="L18" s="15"/>
      <c r="M18" s="16"/>
    </row>
    <row r="19" spans="1:19" x14ac:dyDescent="0.25">
      <c r="B19" s="9" t="s">
        <v>71</v>
      </c>
      <c r="L19" s="15"/>
      <c r="M19" s="16"/>
    </row>
    <row r="20" spans="1:19" x14ac:dyDescent="0.25">
      <c r="L20" s="15"/>
      <c r="M20" s="16"/>
    </row>
    <row r="21" spans="1:19" x14ac:dyDescent="0.25">
      <c r="A21">
        <v>12</v>
      </c>
      <c r="B21" t="s">
        <v>72</v>
      </c>
      <c r="L21" s="15"/>
      <c r="M21" s="16"/>
    </row>
    <row r="22" spans="1:19" x14ac:dyDescent="0.25">
      <c r="B22" s="14" t="s">
        <v>73</v>
      </c>
      <c r="C22" s="15"/>
      <c r="D22" s="15"/>
      <c r="E22" s="15"/>
      <c r="F22" s="15"/>
      <c r="G22" s="15"/>
      <c r="H22" s="15"/>
      <c r="I22" s="15"/>
      <c r="J22" s="15"/>
      <c r="K22" s="15"/>
      <c r="L22" s="15"/>
      <c r="M22" s="15"/>
      <c r="N22" s="15"/>
      <c r="O22" s="15"/>
      <c r="P22" s="15"/>
      <c r="Q22" s="15"/>
      <c r="R22" s="15"/>
      <c r="S22" s="15"/>
    </row>
    <row r="23" spans="1:19" x14ac:dyDescent="0.25">
      <c r="A23">
        <v>13</v>
      </c>
      <c r="B23" t="s">
        <v>74</v>
      </c>
    </row>
    <row r="24" spans="1:19" x14ac:dyDescent="0.25">
      <c r="A24">
        <v>14</v>
      </c>
      <c r="B24" t="s">
        <v>75</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7" t="s">
        <v>41</v>
      </c>
      <c r="F1" s="17"/>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tabSelected="1"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4"/>
  <sheetViews>
    <sheetView topLeftCell="B1" workbookViewId="0">
      <selection activeCell="G4" sqref="G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7" t="s">
        <v>80</v>
      </c>
      <c r="B1" s="17"/>
      <c r="C1" s="17"/>
    </row>
    <row r="3" spans="1:7" x14ac:dyDescent="0.25">
      <c r="B3" t="s">
        <v>0</v>
      </c>
      <c r="C3" t="s">
        <v>81</v>
      </c>
      <c r="D3" t="s">
        <v>82</v>
      </c>
      <c r="E3" t="s">
        <v>83</v>
      </c>
      <c r="F3" t="s">
        <v>43</v>
      </c>
      <c r="G3" t="s">
        <v>85</v>
      </c>
    </row>
    <row r="4" spans="1:7" x14ac:dyDescent="0.25">
      <c r="B4" s="3"/>
      <c r="C4" s="3"/>
      <c r="D4" s="3"/>
      <c r="E4" s="3"/>
      <c r="F4" s="3"/>
      <c r="G4" s="3">
        <f>VLOOKUP(OtherChecksTable[[#This Row],[Population]]&amp;OtherChecksTable[[#This Row],[Tabs]]&amp;OtherChecksTable[[#This Row],[Checks]],OtherChecksPrdTable[],6,FALSE)</f>
        <v>0</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4"/>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7" t="s">
        <v>80</v>
      </c>
      <c r="B1" s="17"/>
      <c r="C1" s="17"/>
    </row>
    <row r="3" spans="1:8" x14ac:dyDescent="0.25">
      <c r="C3" t="s">
        <v>38</v>
      </c>
      <c r="D3" t="s">
        <v>0</v>
      </c>
      <c r="E3" t="s">
        <v>81</v>
      </c>
      <c r="F3" t="s">
        <v>82</v>
      </c>
      <c r="G3" t="s">
        <v>83</v>
      </c>
      <c r="H3" t="s">
        <v>84</v>
      </c>
    </row>
    <row r="4" spans="1:8" x14ac:dyDescent="0.25">
      <c r="C4" t="str">
        <f>OtherChecksPrdTable[[#This Row],[Population]]&amp;OtherChecksPrdTable[[#This Row],[Tabs]]&amp;OtherChecksPrdTable[[#This Row],[Checks]]</f>
        <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activeCell="F21" sqref="F21"/>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2017-06-27T08:47:45Z</dcterms:modified>
</cp:coreProperties>
</file>