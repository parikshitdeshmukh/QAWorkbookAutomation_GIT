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hidePivotFieldList="1" defaultThemeVersion="124226"/>
  <bookViews>
    <workbookView xWindow="240" yWindow="285" windowWidth="14805" windowHeight="7830" tabRatio="766" firstSheet="1" activeTab="10"/>
  </bookViews>
  <sheets>
    <sheet name="Threshold" sheetId="18" state="hidden" r:id="rId1"/>
    <sheet name="StgTrendSheetData" sheetId="1" r:id="rId2"/>
    <sheet name="PrdTrendSheetData" sheetId="2" state="hidden" r:id="rId3"/>
    <sheet name="StgIBNRData" sheetId="6" state="hidden" r:id="rId4"/>
    <sheet name="PrdIBNRData" sheetId="7" state="hidden" r:id="rId5"/>
    <sheet name="Trend Sheet Data" sheetId="3" state="hidden" r:id="rId6"/>
    <sheet name="IBNR Trend Sheet Data" sheetId="9" state="hidden" r:id="rId7"/>
    <sheet name="Reference" sheetId="12" state="hidden" r:id="rId8"/>
    <sheet name="QA Check list" sheetId="14" r:id="rId9"/>
    <sheet name="All Trend Sheet" sheetId="4" r:id="rId10"/>
    <sheet name="IBNR Trend Sheet" sheetId="8" r:id="rId11"/>
    <sheet name="Other Checks" sheetId="10" r:id="rId12"/>
    <sheet name="Other Checks Prd" sheetId="16" state="hidden" r:id="rId13"/>
    <sheet name="CustomTrendList" sheetId="5" r:id="rId14"/>
  </sheets>
  <functionGroups builtInGroupCount="17"/>
  <definedNames>
    <definedName name="Slicer_Cost_Basis">#N/A</definedName>
    <definedName name="Slicer_Cost_Basis1">#N/A</definedName>
    <definedName name="Slicer_Display_Name">#N/A</definedName>
    <definedName name="Slicer_Display_Name1">#N/A</definedName>
    <definedName name="Slicer_Trend">#N/A</definedName>
  </definedNames>
  <calcPr calcId="145621"/>
  <pivotCaches>
    <pivotCache cacheId="7" r:id="rId15"/>
    <pivotCache cacheId="12"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C5" i="16" l="1"/>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2736" i="2"/>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3" i="18"/>
  <c r="A4" i="18"/>
  <c r="A5" i="18"/>
  <c r="A6" i="18"/>
  <c r="A7" i="18"/>
  <c r="A8" i="18"/>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4"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A72" i="18"/>
  <c r="A73" i="18"/>
  <c r="A74" i="18"/>
  <c r="A75" i="18"/>
  <c r="A76" i="18"/>
  <c r="A77" i="18"/>
  <c r="A78" i="18"/>
  <c r="A79" i="18"/>
  <c r="A80" i="18"/>
  <c r="A81" i="18"/>
  <c r="A82" i="18"/>
  <c r="A83" i="18"/>
  <c r="A84" i="18"/>
  <c r="A85" i="18"/>
  <c r="A86" i="18"/>
  <c r="A87" i="18"/>
  <c r="A88" i="18"/>
  <c r="A89" i="18"/>
  <c r="A90" i="18"/>
  <c r="A91" i="18"/>
  <c r="A92" i="18"/>
  <c r="A93" i="18"/>
  <c r="A2" i="18" l="1"/>
  <c r="A2" i="2"/>
  <c r="I516" i="1" l="1"/>
  <c r="J516" i="1" s="1"/>
  <c r="I520" i="1"/>
  <c r="J520" i="1" s="1"/>
  <c r="I524" i="1"/>
  <c r="J524" i="1" s="1"/>
  <c r="I528" i="1"/>
  <c r="J528" i="1" s="1"/>
  <c r="I532" i="1"/>
  <c r="J532" i="1" s="1"/>
  <c r="I536" i="1"/>
  <c r="J536" i="1" s="1"/>
  <c r="I540" i="1"/>
  <c r="J540" i="1" s="1"/>
  <c r="I544" i="1"/>
  <c r="J544" i="1" s="1"/>
  <c r="I548" i="1"/>
  <c r="J548" i="1" s="1"/>
  <c r="I552" i="1"/>
  <c r="J552" i="1" s="1"/>
  <c r="I556" i="1"/>
  <c r="J556" i="1" s="1"/>
  <c r="I560" i="1"/>
  <c r="J560" i="1" s="1"/>
  <c r="I564" i="1"/>
  <c r="J564" i="1" s="1"/>
  <c r="I568" i="1"/>
  <c r="J568" i="1" s="1"/>
  <c r="I572" i="1"/>
  <c r="J572" i="1" s="1"/>
  <c r="I576" i="1"/>
  <c r="J576" i="1" s="1"/>
  <c r="I580" i="1"/>
  <c r="J580" i="1" s="1"/>
  <c r="I584" i="1"/>
  <c r="J584" i="1" s="1"/>
  <c r="I588" i="1"/>
  <c r="J588" i="1" s="1"/>
  <c r="I592" i="1"/>
  <c r="J592" i="1" s="1"/>
  <c r="I596" i="1"/>
  <c r="J596" i="1" s="1"/>
  <c r="I600" i="1"/>
  <c r="J600" i="1" s="1"/>
  <c r="I604" i="1"/>
  <c r="J604" i="1" s="1"/>
  <c r="I608" i="1"/>
  <c r="J608" i="1" s="1"/>
  <c r="I612" i="1"/>
  <c r="J612" i="1" s="1"/>
  <c r="I616" i="1"/>
  <c r="J616" i="1" s="1"/>
  <c r="I620" i="1"/>
  <c r="J620" i="1" s="1"/>
  <c r="I624" i="1"/>
  <c r="J624" i="1" s="1"/>
  <c r="I628" i="1"/>
  <c r="J628" i="1" s="1"/>
  <c r="I632" i="1"/>
  <c r="J632" i="1" s="1"/>
  <c r="I636" i="1"/>
  <c r="J636" i="1" s="1"/>
  <c r="I640" i="1"/>
  <c r="J640" i="1" s="1"/>
  <c r="I644" i="1"/>
  <c r="J644" i="1" s="1"/>
  <c r="I648" i="1"/>
  <c r="J648" i="1" s="1"/>
  <c r="I652" i="1"/>
  <c r="J652" i="1" s="1"/>
  <c r="I656" i="1"/>
  <c r="J656" i="1" s="1"/>
  <c r="I660" i="1"/>
  <c r="J660" i="1" s="1"/>
  <c r="I664" i="1"/>
  <c r="J664" i="1" s="1"/>
  <c r="I668" i="1"/>
  <c r="J668" i="1" s="1"/>
  <c r="I672" i="1"/>
  <c r="J672" i="1" s="1"/>
  <c r="I676" i="1"/>
  <c r="J676" i="1" s="1"/>
  <c r="I680" i="1"/>
  <c r="J680" i="1" s="1"/>
  <c r="I684" i="1"/>
  <c r="J684" i="1" s="1"/>
  <c r="I688" i="1"/>
  <c r="J688" i="1" s="1"/>
  <c r="I258" i="1"/>
  <c r="J258" i="1" s="1"/>
  <c r="I262" i="1"/>
  <c r="J262" i="1" s="1"/>
  <c r="I266" i="1"/>
  <c r="J266" i="1" s="1"/>
  <c r="I270" i="1"/>
  <c r="J270" i="1" s="1"/>
  <c r="I274" i="1"/>
  <c r="J274" i="1" s="1"/>
  <c r="I517" i="1"/>
  <c r="J517" i="1" s="1"/>
  <c r="I521" i="1"/>
  <c r="J521" i="1" s="1"/>
  <c r="M521" i="1" s="1"/>
  <c r="I525" i="1"/>
  <c r="J525" i="1" s="1"/>
  <c r="M525" i="1" s="1"/>
  <c r="I529" i="1"/>
  <c r="J529" i="1" s="1"/>
  <c r="I533" i="1"/>
  <c r="J533" i="1" s="1"/>
  <c r="I537" i="1"/>
  <c r="J537" i="1" s="1"/>
  <c r="I541" i="1"/>
  <c r="J541" i="1" s="1"/>
  <c r="I545" i="1"/>
  <c r="J545" i="1" s="1"/>
  <c r="I549" i="1"/>
  <c r="J549" i="1" s="1"/>
  <c r="I553" i="1"/>
  <c r="J553" i="1" s="1"/>
  <c r="I557" i="1"/>
  <c r="J557" i="1" s="1"/>
  <c r="I561" i="1"/>
  <c r="J561" i="1" s="1"/>
  <c r="I565" i="1"/>
  <c r="J565" i="1" s="1"/>
  <c r="I569" i="1"/>
  <c r="J569" i="1" s="1"/>
  <c r="I573" i="1"/>
  <c r="J573" i="1" s="1"/>
  <c r="I577" i="1"/>
  <c r="J577" i="1" s="1"/>
  <c r="I581" i="1"/>
  <c r="J581" i="1" s="1"/>
  <c r="I585" i="1"/>
  <c r="J585" i="1" s="1"/>
  <c r="I589" i="1"/>
  <c r="J589" i="1" s="1"/>
  <c r="I593" i="1"/>
  <c r="J593" i="1" s="1"/>
  <c r="I597" i="1"/>
  <c r="J597" i="1" s="1"/>
  <c r="I601" i="1"/>
  <c r="J601" i="1" s="1"/>
  <c r="I605" i="1"/>
  <c r="J605" i="1" s="1"/>
  <c r="I609" i="1"/>
  <c r="J609" i="1" s="1"/>
  <c r="I613" i="1"/>
  <c r="J613" i="1" s="1"/>
  <c r="I617" i="1"/>
  <c r="J617" i="1" s="1"/>
  <c r="I621" i="1"/>
  <c r="J621" i="1" s="1"/>
  <c r="I625" i="1"/>
  <c r="J625" i="1" s="1"/>
  <c r="I629" i="1"/>
  <c r="J629" i="1" s="1"/>
  <c r="I633" i="1"/>
  <c r="J633" i="1" s="1"/>
  <c r="I637" i="1"/>
  <c r="J637" i="1" s="1"/>
  <c r="I641" i="1"/>
  <c r="J641" i="1" s="1"/>
  <c r="I645" i="1"/>
  <c r="J645" i="1" s="1"/>
  <c r="I649" i="1"/>
  <c r="J649" i="1" s="1"/>
  <c r="I653" i="1"/>
  <c r="J653" i="1" s="1"/>
  <c r="I657" i="1"/>
  <c r="J657" i="1" s="1"/>
  <c r="I661" i="1"/>
  <c r="J661" i="1" s="1"/>
  <c r="I665" i="1"/>
  <c r="J665" i="1" s="1"/>
  <c r="I669" i="1"/>
  <c r="J669" i="1" s="1"/>
  <c r="I673" i="1"/>
  <c r="J673" i="1" s="1"/>
  <c r="I677" i="1"/>
  <c r="J677" i="1" s="1"/>
  <c r="I681" i="1"/>
  <c r="J681" i="1" s="1"/>
  <c r="I685" i="1"/>
  <c r="J685" i="1" s="1"/>
  <c r="I689" i="1"/>
  <c r="J689" i="1" s="1"/>
  <c r="I259" i="1"/>
  <c r="J259" i="1" s="1"/>
  <c r="I263" i="1"/>
  <c r="J263" i="1" s="1"/>
  <c r="I267" i="1"/>
  <c r="J267" i="1" s="1"/>
  <c r="I271" i="1"/>
  <c r="J271" i="1" s="1"/>
  <c r="I275" i="1"/>
  <c r="J275" i="1" s="1"/>
  <c r="I279" i="1"/>
  <c r="J279" i="1" s="1"/>
  <c r="I283" i="1"/>
  <c r="J283" i="1" s="1"/>
  <c r="I287" i="1"/>
  <c r="J287" i="1" s="1"/>
  <c r="I291" i="1"/>
  <c r="J291" i="1" s="1"/>
  <c r="I295" i="1"/>
  <c r="J295" i="1" s="1"/>
  <c r="I299" i="1"/>
  <c r="J299" i="1" s="1"/>
  <c r="I303" i="1"/>
  <c r="J303" i="1" s="1"/>
  <c r="I307" i="1"/>
  <c r="J307" i="1" s="1"/>
  <c r="I311" i="1"/>
  <c r="J311" i="1" s="1"/>
  <c r="I315" i="1"/>
  <c r="J315" i="1" s="1"/>
  <c r="I319" i="1"/>
  <c r="J319" i="1" s="1"/>
  <c r="I323" i="1"/>
  <c r="J323" i="1" s="1"/>
  <c r="I327" i="1"/>
  <c r="J327" i="1" s="1"/>
  <c r="I518" i="1"/>
  <c r="J518" i="1" s="1"/>
  <c r="I526" i="1"/>
  <c r="J526" i="1" s="1"/>
  <c r="M526" i="1" s="1"/>
  <c r="I534" i="1"/>
  <c r="J534" i="1" s="1"/>
  <c r="I542" i="1"/>
  <c r="J542" i="1" s="1"/>
  <c r="I550" i="1"/>
  <c r="J550" i="1" s="1"/>
  <c r="I558" i="1"/>
  <c r="J558" i="1" s="1"/>
  <c r="I566" i="1"/>
  <c r="J566" i="1" s="1"/>
  <c r="I574" i="1"/>
  <c r="J574" i="1" s="1"/>
  <c r="I582" i="1"/>
  <c r="J582" i="1" s="1"/>
  <c r="I590" i="1"/>
  <c r="J590" i="1" s="1"/>
  <c r="I598" i="1"/>
  <c r="J598" i="1" s="1"/>
  <c r="I606" i="1"/>
  <c r="J606" i="1" s="1"/>
  <c r="I614" i="1"/>
  <c r="J614" i="1" s="1"/>
  <c r="I622" i="1"/>
  <c r="J622" i="1" s="1"/>
  <c r="I630" i="1"/>
  <c r="J630" i="1" s="1"/>
  <c r="I638" i="1"/>
  <c r="J638" i="1" s="1"/>
  <c r="I646" i="1"/>
  <c r="J646" i="1" s="1"/>
  <c r="I654" i="1"/>
  <c r="J654" i="1" s="1"/>
  <c r="I662" i="1"/>
  <c r="J662" i="1" s="1"/>
  <c r="I670" i="1"/>
  <c r="J670" i="1" s="1"/>
  <c r="I678" i="1"/>
  <c r="J678" i="1" s="1"/>
  <c r="I686" i="1"/>
  <c r="J686" i="1" s="1"/>
  <c r="I264" i="1"/>
  <c r="J264" i="1" s="1"/>
  <c r="I272" i="1"/>
  <c r="J272" i="1" s="1"/>
  <c r="I278" i="1"/>
  <c r="J278" i="1" s="1"/>
  <c r="I284" i="1"/>
  <c r="J284" i="1" s="1"/>
  <c r="I289" i="1"/>
  <c r="J289" i="1" s="1"/>
  <c r="I294" i="1"/>
  <c r="J294" i="1" s="1"/>
  <c r="I300" i="1"/>
  <c r="J300" i="1" s="1"/>
  <c r="I305" i="1"/>
  <c r="J305" i="1" s="1"/>
  <c r="I310" i="1"/>
  <c r="J310" i="1" s="1"/>
  <c r="I316" i="1"/>
  <c r="J316" i="1" s="1"/>
  <c r="I321" i="1"/>
  <c r="J321" i="1" s="1"/>
  <c r="I326" i="1"/>
  <c r="J326" i="1" s="1"/>
  <c r="I331" i="1"/>
  <c r="J331" i="1" s="1"/>
  <c r="I335" i="1"/>
  <c r="J335" i="1" s="1"/>
  <c r="I339" i="1"/>
  <c r="J339" i="1" s="1"/>
  <c r="I343" i="1"/>
  <c r="J343" i="1" s="1"/>
  <c r="I347" i="1"/>
  <c r="J347" i="1" s="1"/>
  <c r="I351" i="1"/>
  <c r="J351" i="1" s="1"/>
  <c r="I355" i="1"/>
  <c r="J355" i="1" s="1"/>
  <c r="I359" i="1"/>
  <c r="J359" i="1" s="1"/>
  <c r="I363" i="1"/>
  <c r="J363" i="1" s="1"/>
  <c r="I367" i="1"/>
  <c r="J367" i="1" s="1"/>
  <c r="I371" i="1"/>
  <c r="J371" i="1" s="1"/>
  <c r="I375" i="1"/>
  <c r="J375" i="1" s="1"/>
  <c r="I379" i="1"/>
  <c r="J379" i="1" s="1"/>
  <c r="I383" i="1"/>
  <c r="J383" i="1" s="1"/>
  <c r="I387" i="1"/>
  <c r="J387" i="1" s="1"/>
  <c r="I391" i="1"/>
  <c r="J391" i="1" s="1"/>
  <c r="I395" i="1"/>
  <c r="J395" i="1" s="1"/>
  <c r="I399" i="1"/>
  <c r="J399" i="1" s="1"/>
  <c r="I403" i="1"/>
  <c r="J403" i="1" s="1"/>
  <c r="I407" i="1"/>
  <c r="J407" i="1" s="1"/>
  <c r="M407" i="1" s="1"/>
  <c r="I411" i="1"/>
  <c r="J411" i="1" s="1"/>
  <c r="M411" i="1" s="1"/>
  <c r="I415" i="1"/>
  <c r="J415" i="1" s="1"/>
  <c r="I419" i="1"/>
  <c r="J419" i="1" s="1"/>
  <c r="I423" i="1"/>
  <c r="J423" i="1" s="1"/>
  <c r="I427" i="1"/>
  <c r="J427" i="1" s="1"/>
  <c r="M427" i="1" s="1"/>
  <c r="I431" i="1"/>
  <c r="J431" i="1" s="1"/>
  <c r="M431" i="1" s="1"/>
  <c r="I435" i="1"/>
  <c r="J435" i="1" s="1"/>
  <c r="M435" i="1" s="1"/>
  <c r="I439" i="1"/>
  <c r="J439" i="1" s="1"/>
  <c r="M439" i="1" s="1"/>
  <c r="I443" i="1"/>
  <c r="J443" i="1" s="1"/>
  <c r="M443" i="1" s="1"/>
  <c r="I447" i="1"/>
  <c r="J447" i="1" s="1"/>
  <c r="M447" i="1" s="1"/>
  <c r="I451" i="1"/>
  <c r="J451" i="1" s="1"/>
  <c r="M451" i="1" s="1"/>
  <c r="I455" i="1"/>
  <c r="J455" i="1" s="1"/>
  <c r="I459" i="1"/>
  <c r="J459" i="1" s="1"/>
  <c r="I463" i="1"/>
  <c r="J463" i="1" s="1"/>
  <c r="I467" i="1"/>
  <c r="J467" i="1" s="1"/>
  <c r="I471" i="1"/>
  <c r="J471" i="1" s="1"/>
  <c r="I475" i="1"/>
  <c r="J475" i="1" s="1"/>
  <c r="I479" i="1"/>
  <c r="J479" i="1" s="1"/>
  <c r="I483" i="1"/>
  <c r="J483" i="1" s="1"/>
  <c r="I519" i="1"/>
  <c r="J519" i="1" s="1"/>
  <c r="M519" i="1" s="1"/>
  <c r="I527" i="1"/>
  <c r="J527" i="1" s="1"/>
  <c r="I535" i="1"/>
  <c r="J535" i="1" s="1"/>
  <c r="I543" i="1"/>
  <c r="J543" i="1" s="1"/>
  <c r="I551" i="1"/>
  <c r="J551" i="1" s="1"/>
  <c r="I559" i="1"/>
  <c r="J559" i="1" s="1"/>
  <c r="I567" i="1"/>
  <c r="J567" i="1" s="1"/>
  <c r="I575" i="1"/>
  <c r="J575" i="1" s="1"/>
  <c r="I583" i="1"/>
  <c r="J583" i="1" s="1"/>
  <c r="I591" i="1"/>
  <c r="J591" i="1" s="1"/>
  <c r="I599" i="1"/>
  <c r="J599" i="1" s="1"/>
  <c r="I607" i="1"/>
  <c r="J607" i="1" s="1"/>
  <c r="I615" i="1"/>
  <c r="J615" i="1" s="1"/>
  <c r="I623" i="1"/>
  <c r="J623" i="1" s="1"/>
  <c r="I631" i="1"/>
  <c r="J631" i="1" s="1"/>
  <c r="I639" i="1"/>
  <c r="J639" i="1" s="1"/>
  <c r="I647" i="1"/>
  <c r="J647" i="1" s="1"/>
  <c r="I655" i="1"/>
  <c r="J655" i="1" s="1"/>
  <c r="I663" i="1"/>
  <c r="J663" i="1" s="1"/>
  <c r="I671" i="1"/>
  <c r="J671" i="1" s="1"/>
  <c r="I679" i="1"/>
  <c r="J679" i="1" s="1"/>
  <c r="I687" i="1"/>
  <c r="J687" i="1" s="1"/>
  <c r="I265" i="1"/>
  <c r="J265" i="1" s="1"/>
  <c r="I273" i="1"/>
  <c r="J273" i="1" s="1"/>
  <c r="I280" i="1"/>
  <c r="J280" i="1" s="1"/>
  <c r="I285" i="1"/>
  <c r="J285" i="1" s="1"/>
  <c r="I290" i="1"/>
  <c r="J290" i="1" s="1"/>
  <c r="I296" i="1"/>
  <c r="J296" i="1" s="1"/>
  <c r="I301" i="1"/>
  <c r="J301" i="1" s="1"/>
  <c r="I306" i="1"/>
  <c r="J306" i="1" s="1"/>
  <c r="I312" i="1"/>
  <c r="J312" i="1" s="1"/>
  <c r="I317" i="1"/>
  <c r="J317" i="1" s="1"/>
  <c r="I322" i="1"/>
  <c r="J322" i="1" s="1"/>
  <c r="I328" i="1"/>
  <c r="J328" i="1" s="1"/>
  <c r="I332" i="1"/>
  <c r="J332" i="1" s="1"/>
  <c r="I336" i="1"/>
  <c r="J336" i="1" s="1"/>
  <c r="I340" i="1"/>
  <c r="J340" i="1" s="1"/>
  <c r="I344" i="1"/>
  <c r="J344" i="1" s="1"/>
  <c r="I348" i="1"/>
  <c r="J348" i="1" s="1"/>
  <c r="I352" i="1"/>
  <c r="J352" i="1" s="1"/>
  <c r="I356" i="1"/>
  <c r="J356" i="1" s="1"/>
  <c r="I360" i="1"/>
  <c r="J360" i="1" s="1"/>
  <c r="I364" i="1"/>
  <c r="J364" i="1" s="1"/>
  <c r="I368" i="1"/>
  <c r="J368" i="1" s="1"/>
  <c r="I372" i="1"/>
  <c r="J372" i="1" s="1"/>
  <c r="I376" i="1"/>
  <c r="J376" i="1" s="1"/>
  <c r="I380" i="1"/>
  <c r="J380" i="1" s="1"/>
  <c r="I384" i="1"/>
  <c r="J384" i="1" s="1"/>
  <c r="I388" i="1"/>
  <c r="J388" i="1" s="1"/>
  <c r="I392" i="1"/>
  <c r="J392" i="1" s="1"/>
  <c r="M392" i="1" s="1"/>
  <c r="I396" i="1"/>
  <c r="J396" i="1" s="1"/>
  <c r="M396" i="1" s="1"/>
  <c r="I400" i="1"/>
  <c r="J400" i="1" s="1"/>
  <c r="I404" i="1"/>
  <c r="J404" i="1" s="1"/>
  <c r="I408" i="1"/>
  <c r="J408" i="1" s="1"/>
  <c r="M408" i="1" s="1"/>
  <c r="I412" i="1"/>
  <c r="J412" i="1" s="1"/>
  <c r="M412" i="1" s="1"/>
  <c r="I416" i="1"/>
  <c r="J416" i="1" s="1"/>
  <c r="I420" i="1"/>
  <c r="J420" i="1" s="1"/>
  <c r="I424" i="1"/>
  <c r="J424" i="1" s="1"/>
  <c r="M424" i="1" s="1"/>
  <c r="I428" i="1"/>
  <c r="J428" i="1" s="1"/>
  <c r="M428" i="1" s="1"/>
  <c r="I432" i="1"/>
  <c r="J432" i="1" s="1"/>
  <c r="M432" i="1" s="1"/>
  <c r="I436" i="1"/>
  <c r="J436" i="1" s="1"/>
  <c r="M436" i="1" s="1"/>
  <c r="I440" i="1"/>
  <c r="J440" i="1" s="1"/>
  <c r="M440" i="1" s="1"/>
  <c r="I444" i="1"/>
  <c r="J444" i="1" s="1"/>
  <c r="M444" i="1" s="1"/>
  <c r="I448" i="1"/>
  <c r="J448" i="1" s="1"/>
  <c r="M448" i="1" s="1"/>
  <c r="I452" i="1"/>
  <c r="J452" i="1" s="1"/>
  <c r="I456" i="1"/>
  <c r="J456" i="1" s="1"/>
  <c r="I460" i="1"/>
  <c r="J460" i="1" s="1"/>
  <c r="I464" i="1"/>
  <c r="J464" i="1" s="1"/>
  <c r="I468" i="1"/>
  <c r="J468" i="1" s="1"/>
  <c r="I472" i="1"/>
  <c r="J472" i="1" s="1"/>
  <c r="I476" i="1"/>
  <c r="J476" i="1" s="1"/>
  <c r="I480" i="1"/>
  <c r="J480" i="1" s="1"/>
  <c r="I484" i="1"/>
  <c r="J484" i="1" s="1"/>
  <c r="I488" i="1"/>
  <c r="J488" i="1" s="1"/>
  <c r="I492" i="1"/>
  <c r="J492" i="1" s="1"/>
  <c r="I496" i="1"/>
  <c r="J496" i="1" s="1"/>
  <c r="I522" i="1"/>
  <c r="J522" i="1" s="1"/>
  <c r="M522" i="1" s="1"/>
  <c r="I538" i="1"/>
  <c r="J538" i="1" s="1"/>
  <c r="I554" i="1"/>
  <c r="J554" i="1" s="1"/>
  <c r="I570" i="1"/>
  <c r="J570" i="1" s="1"/>
  <c r="I586" i="1"/>
  <c r="J586" i="1" s="1"/>
  <c r="I602" i="1"/>
  <c r="J602" i="1" s="1"/>
  <c r="I618" i="1"/>
  <c r="J618" i="1" s="1"/>
  <c r="I634" i="1"/>
  <c r="J634" i="1" s="1"/>
  <c r="I650" i="1"/>
  <c r="J650" i="1" s="1"/>
  <c r="I666" i="1"/>
  <c r="J666" i="1" s="1"/>
  <c r="I682" i="1"/>
  <c r="J682" i="1" s="1"/>
  <c r="I268" i="1"/>
  <c r="J268" i="1" s="1"/>
  <c r="I281" i="1"/>
  <c r="J281" i="1" s="1"/>
  <c r="I292" i="1"/>
  <c r="J292" i="1" s="1"/>
  <c r="I302" i="1"/>
  <c r="J302" i="1" s="1"/>
  <c r="I313" i="1"/>
  <c r="J313" i="1" s="1"/>
  <c r="I324" i="1"/>
  <c r="J324" i="1" s="1"/>
  <c r="I333" i="1"/>
  <c r="J333" i="1" s="1"/>
  <c r="I341" i="1"/>
  <c r="J341" i="1" s="1"/>
  <c r="I349" i="1"/>
  <c r="J349" i="1" s="1"/>
  <c r="I357" i="1"/>
  <c r="J357" i="1" s="1"/>
  <c r="I365" i="1"/>
  <c r="J365" i="1" s="1"/>
  <c r="I373" i="1"/>
  <c r="J373" i="1" s="1"/>
  <c r="I381" i="1"/>
  <c r="J381" i="1" s="1"/>
  <c r="I389" i="1"/>
  <c r="J389" i="1" s="1"/>
  <c r="I397" i="1"/>
  <c r="J397" i="1" s="1"/>
  <c r="M397" i="1" s="1"/>
  <c r="I405" i="1"/>
  <c r="J405" i="1" s="1"/>
  <c r="I413" i="1"/>
  <c r="J413" i="1" s="1"/>
  <c r="M413" i="1" s="1"/>
  <c r="I421" i="1"/>
  <c r="J421" i="1" s="1"/>
  <c r="M421" i="1" s="1"/>
  <c r="I429" i="1"/>
  <c r="J429" i="1" s="1"/>
  <c r="M429" i="1" s="1"/>
  <c r="I437" i="1"/>
  <c r="J437" i="1" s="1"/>
  <c r="I445" i="1"/>
  <c r="J445" i="1" s="1"/>
  <c r="I453" i="1"/>
  <c r="J453" i="1" s="1"/>
  <c r="I461" i="1"/>
  <c r="J461" i="1" s="1"/>
  <c r="I469" i="1"/>
  <c r="J469" i="1" s="1"/>
  <c r="I477" i="1"/>
  <c r="J477" i="1" s="1"/>
  <c r="I485" i="1"/>
  <c r="J485" i="1" s="1"/>
  <c r="I490" i="1"/>
  <c r="J490" i="1" s="1"/>
  <c r="I495" i="1"/>
  <c r="J495" i="1" s="1"/>
  <c r="I500" i="1"/>
  <c r="J500" i="1" s="1"/>
  <c r="M500" i="1" s="1"/>
  <c r="I504" i="1"/>
  <c r="J504" i="1" s="1"/>
  <c r="I508" i="1"/>
  <c r="J508" i="1" s="1"/>
  <c r="I512" i="1"/>
  <c r="J512" i="1" s="1"/>
  <c r="M512" i="1" s="1"/>
  <c r="I6" i="1"/>
  <c r="J6" i="1" s="1"/>
  <c r="I10" i="1"/>
  <c r="J10" i="1" s="1"/>
  <c r="I14" i="1"/>
  <c r="J14" i="1" s="1"/>
  <c r="I18" i="1"/>
  <c r="J18" i="1" s="1"/>
  <c r="I22" i="1"/>
  <c r="J22" i="1" s="1"/>
  <c r="I26" i="1"/>
  <c r="J26" i="1" s="1"/>
  <c r="I30" i="1"/>
  <c r="J30" i="1" s="1"/>
  <c r="I34" i="1"/>
  <c r="J34" i="1" s="1"/>
  <c r="I38" i="1"/>
  <c r="J38" i="1" s="1"/>
  <c r="I42" i="1"/>
  <c r="J42" i="1" s="1"/>
  <c r="I46" i="1"/>
  <c r="J46" i="1" s="1"/>
  <c r="I50" i="1"/>
  <c r="J50" i="1" s="1"/>
  <c r="I54" i="1"/>
  <c r="J54" i="1" s="1"/>
  <c r="I58" i="1"/>
  <c r="J58" i="1" s="1"/>
  <c r="I62" i="1"/>
  <c r="J62" i="1" s="1"/>
  <c r="M62" i="1" s="1"/>
  <c r="I66" i="1"/>
  <c r="J66" i="1" s="1"/>
  <c r="M66" i="1" s="1"/>
  <c r="I70" i="1"/>
  <c r="J70" i="1" s="1"/>
  <c r="I74" i="1"/>
  <c r="J74" i="1" s="1"/>
  <c r="I78" i="1"/>
  <c r="J78" i="1" s="1"/>
  <c r="I82" i="1"/>
  <c r="J82" i="1" s="1"/>
  <c r="M82" i="1" s="1"/>
  <c r="I86" i="1"/>
  <c r="J86" i="1" s="1"/>
  <c r="M86" i="1" s="1"/>
  <c r="I90" i="1"/>
  <c r="J90" i="1" s="1"/>
  <c r="M90" i="1" s="1"/>
  <c r="I94" i="1"/>
  <c r="J94" i="1" s="1"/>
  <c r="M94" i="1" s="1"/>
  <c r="I98" i="1"/>
  <c r="J98" i="1" s="1"/>
  <c r="M98" i="1" s="1"/>
  <c r="I102" i="1"/>
  <c r="J102" i="1" s="1"/>
  <c r="M102" i="1" s="1"/>
  <c r="I106" i="1"/>
  <c r="J106" i="1" s="1"/>
  <c r="M106" i="1" s="1"/>
  <c r="I110" i="1"/>
  <c r="J110" i="1" s="1"/>
  <c r="I114" i="1"/>
  <c r="J114" i="1" s="1"/>
  <c r="I118" i="1"/>
  <c r="J118" i="1" s="1"/>
  <c r="I122" i="1"/>
  <c r="J122" i="1" s="1"/>
  <c r="I126" i="1"/>
  <c r="J126" i="1" s="1"/>
  <c r="I130" i="1"/>
  <c r="J130" i="1" s="1"/>
  <c r="I134" i="1"/>
  <c r="J134" i="1" s="1"/>
  <c r="I138" i="1"/>
  <c r="J138" i="1" s="1"/>
  <c r="I142" i="1"/>
  <c r="J142" i="1" s="1"/>
  <c r="I146" i="1"/>
  <c r="J146" i="1" s="1"/>
  <c r="I150" i="1"/>
  <c r="J150" i="1" s="1"/>
  <c r="I154" i="1"/>
  <c r="J154" i="1" s="1"/>
  <c r="M154" i="1" s="1"/>
  <c r="I158" i="1"/>
  <c r="J158" i="1" s="1"/>
  <c r="M158" i="1" s="1"/>
  <c r="I162" i="1"/>
  <c r="J162" i="1" s="1"/>
  <c r="M162" i="1" s="1"/>
  <c r="I166" i="1"/>
  <c r="J166" i="1" s="1"/>
  <c r="I170" i="1"/>
  <c r="J170" i="1" s="1"/>
  <c r="I174" i="1"/>
  <c r="J174" i="1" s="1"/>
  <c r="M174" i="1" s="1"/>
  <c r="I178" i="1"/>
  <c r="J178" i="1" s="1"/>
  <c r="I182" i="1"/>
  <c r="J182" i="1" s="1"/>
  <c r="I523" i="1"/>
  <c r="J523" i="1" s="1"/>
  <c r="I539" i="1"/>
  <c r="J539" i="1" s="1"/>
  <c r="I555" i="1"/>
  <c r="J555" i="1" s="1"/>
  <c r="I571" i="1"/>
  <c r="J571" i="1" s="1"/>
  <c r="I587" i="1"/>
  <c r="J587" i="1" s="1"/>
  <c r="I603" i="1"/>
  <c r="J603" i="1" s="1"/>
  <c r="I619" i="1"/>
  <c r="J619" i="1" s="1"/>
  <c r="I635" i="1"/>
  <c r="J635" i="1" s="1"/>
  <c r="I651" i="1"/>
  <c r="J651" i="1" s="1"/>
  <c r="I667" i="1"/>
  <c r="J667" i="1" s="1"/>
  <c r="I683" i="1"/>
  <c r="J683" i="1" s="1"/>
  <c r="I269" i="1"/>
  <c r="J269" i="1" s="1"/>
  <c r="I282" i="1"/>
  <c r="J282" i="1" s="1"/>
  <c r="I530" i="1"/>
  <c r="J530" i="1" s="1"/>
  <c r="I562" i="1"/>
  <c r="J562" i="1" s="1"/>
  <c r="I594" i="1"/>
  <c r="J594" i="1" s="1"/>
  <c r="I626" i="1"/>
  <c r="J626" i="1" s="1"/>
  <c r="I658" i="1"/>
  <c r="J658" i="1" s="1"/>
  <c r="I690" i="1"/>
  <c r="J690" i="1" s="1"/>
  <c r="I260" i="1"/>
  <c r="J260" i="1" s="1"/>
  <c r="I286" i="1"/>
  <c r="J286" i="1" s="1"/>
  <c r="I298" i="1"/>
  <c r="J298" i="1" s="1"/>
  <c r="I314" i="1"/>
  <c r="J314" i="1" s="1"/>
  <c r="I329" i="1"/>
  <c r="J329" i="1" s="1"/>
  <c r="I338" i="1"/>
  <c r="J338" i="1" s="1"/>
  <c r="I350" i="1"/>
  <c r="J350" i="1" s="1"/>
  <c r="I361" i="1"/>
  <c r="J361" i="1" s="1"/>
  <c r="I370" i="1"/>
  <c r="J370" i="1" s="1"/>
  <c r="I382" i="1"/>
  <c r="J382" i="1" s="1"/>
  <c r="I393" i="1"/>
  <c r="J393" i="1" s="1"/>
  <c r="M393" i="1" s="1"/>
  <c r="I402" i="1"/>
  <c r="J402" i="1" s="1"/>
  <c r="M402" i="1" s="1"/>
  <c r="I414" i="1"/>
  <c r="J414" i="1" s="1"/>
  <c r="I425" i="1"/>
  <c r="J425" i="1" s="1"/>
  <c r="M425" i="1" s="1"/>
  <c r="I434" i="1"/>
  <c r="J434" i="1" s="1"/>
  <c r="M434" i="1" s="1"/>
  <c r="I446" i="1"/>
  <c r="J446" i="1" s="1"/>
  <c r="M446" i="1" s="1"/>
  <c r="I457" i="1"/>
  <c r="J457" i="1" s="1"/>
  <c r="I466" i="1"/>
  <c r="J466" i="1" s="1"/>
  <c r="I478" i="1"/>
  <c r="J478" i="1" s="1"/>
  <c r="I487" i="1"/>
  <c r="J487" i="1" s="1"/>
  <c r="I494" i="1"/>
  <c r="J494" i="1" s="1"/>
  <c r="I501" i="1"/>
  <c r="J501" i="1" s="1"/>
  <c r="I506" i="1"/>
  <c r="J506" i="1" s="1"/>
  <c r="M506" i="1" s="1"/>
  <c r="I511" i="1"/>
  <c r="J511" i="1" s="1"/>
  <c r="I7" i="1"/>
  <c r="J7" i="1" s="1"/>
  <c r="I12" i="1"/>
  <c r="J12" i="1" s="1"/>
  <c r="I17" i="1"/>
  <c r="J17" i="1" s="1"/>
  <c r="I23" i="1"/>
  <c r="J23" i="1" s="1"/>
  <c r="I28" i="1"/>
  <c r="J28" i="1" s="1"/>
  <c r="I33" i="1"/>
  <c r="J33" i="1" s="1"/>
  <c r="I39" i="1"/>
  <c r="J39" i="1" s="1"/>
  <c r="I44" i="1"/>
  <c r="J44" i="1" s="1"/>
  <c r="I49" i="1"/>
  <c r="J49" i="1" s="1"/>
  <c r="I55" i="1"/>
  <c r="J55" i="1" s="1"/>
  <c r="I60" i="1"/>
  <c r="J60" i="1" s="1"/>
  <c r="I65" i="1"/>
  <c r="J65" i="1" s="1"/>
  <c r="I71" i="1"/>
  <c r="J71" i="1" s="1"/>
  <c r="I76" i="1"/>
  <c r="J76" i="1" s="1"/>
  <c r="M76" i="1" s="1"/>
  <c r="I81" i="1"/>
  <c r="J81" i="1" s="1"/>
  <c r="M81" i="1" s="1"/>
  <c r="I87" i="1"/>
  <c r="J87" i="1" s="1"/>
  <c r="M87" i="1" s="1"/>
  <c r="I92" i="1"/>
  <c r="J92" i="1" s="1"/>
  <c r="I97" i="1"/>
  <c r="J97" i="1" s="1"/>
  <c r="M97" i="1" s="1"/>
  <c r="I103" i="1"/>
  <c r="J103" i="1" s="1"/>
  <c r="M103" i="1" s="1"/>
  <c r="I108" i="1"/>
  <c r="J108" i="1" s="1"/>
  <c r="I113" i="1"/>
  <c r="J113" i="1" s="1"/>
  <c r="I119" i="1"/>
  <c r="J119" i="1" s="1"/>
  <c r="I124" i="1"/>
  <c r="J124" i="1" s="1"/>
  <c r="I129" i="1"/>
  <c r="J129" i="1" s="1"/>
  <c r="I135" i="1"/>
  <c r="J135" i="1" s="1"/>
  <c r="I140" i="1"/>
  <c r="J140" i="1" s="1"/>
  <c r="I145" i="1"/>
  <c r="J145" i="1" s="1"/>
  <c r="I151" i="1"/>
  <c r="J151" i="1" s="1"/>
  <c r="I156" i="1"/>
  <c r="J156" i="1" s="1"/>
  <c r="I161" i="1"/>
  <c r="J161" i="1" s="1"/>
  <c r="M161" i="1" s="1"/>
  <c r="I167" i="1"/>
  <c r="J167" i="1" s="1"/>
  <c r="M167" i="1" s="1"/>
  <c r="I172" i="1"/>
  <c r="J172" i="1" s="1"/>
  <c r="I177" i="1"/>
  <c r="J177" i="1" s="1"/>
  <c r="M177" i="1" s="1"/>
  <c r="I183" i="1"/>
  <c r="J183" i="1" s="1"/>
  <c r="I187" i="1"/>
  <c r="J187" i="1" s="1"/>
  <c r="I191" i="1"/>
  <c r="J191" i="1" s="1"/>
  <c r="I195" i="1"/>
  <c r="J195" i="1" s="1"/>
  <c r="I199" i="1"/>
  <c r="J199" i="1" s="1"/>
  <c r="I203" i="1"/>
  <c r="J203" i="1" s="1"/>
  <c r="I207" i="1"/>
  <c r="J207" i="1" s="1"/>
  <c r="I211" i="1"/>
  <c r="J211" i="1" s="1"/>
  <c r="I215" i="1"/>
  <c r="J215" i="1" s="1"/>
  <c r="I219" i="1"/>
  <c r="J219" i="1" s="1"/>
  <c r="I223" i="1"/>
  <c r="J223" i="1" s="1"/>
  <c r="I227" i="1"/>
  <c r="J227" i="1" s="1"/>
  <c r="I231" i="1"/>
  <c r="J231" i="1" s="1"/>
  <c r="I235" i="1"/>
  <c r="J235" i="1" s="1"/>
  <c r="I239" i="1"/>
  <c r="J239" i="1" s="1"/>
  <c r="I243" i="1"/>
  <c r="J243" i="1" s="1"/>
  <c r="I247" i="1"/>
  <c r="J247" i="1" s="1"/>
  <c r="I251" i="1"/>
  <c r="J251" i="1" s="1"/>
  <c r="I255" i="1"/>
  <c r="J255" i="1" s="1"/>
  <c r="I24" i="1"/>
  <c r="J24" i="1" s="1"/>
  <c r="I40" i="1"/>
  <c r="J40" i="1" s="1"/>
  <c r="I51" i="1"/>
  <c r="J51" i="1" s="1"/>
  <c r="M51" i="1" s="1"/>
  <c r="I61" i="1"/>
  <c r="J61" i="1" s="1"/>
  <c r="M61" i="1" s="1"/>
  <c r="I72" i="1"/>
  <c r="J72" i="1" s="1"/>
  <c r="M72" i="1" s="1"/>
  <c r="I83" i="1"/>
  <c r="J83" i="1" s="1"/>
  <c r="M83" i="1" s="1"/>
  <c r="I93" i="1"/>
  <c r="J93" i="1" s="1"/>
  <c r="I104" i="1"/>
  <c r="J104" i="1" s="1"/>
  <c r="M104" i="1" s="1"/>
  <c r="I115" i="1"/>
  <c r="J115" i="1" s="1"/>
  <c r="I125" i="1"/>
  <c r="J125" i="1" s="1"/>
  <c r="I131" i="1"/>
  <c r="J131" i="1" s="1"/>
  <c r="I141" i="1"/>
  <c r="J141" i="1" s="1"/>
  <c r="I152" i="1"/>
  <c r="J152" i="1" s="1"/>
  <c r="I163" i="1"/>
  <c r="J163" i="1" s="1"/>
  <c r="I173" i="1"/>
  <c r="J173" i="1" s="1"/>
  <c r="I184" i="1"/>
  <c r="J184" i="1" s="1"/>
  <c r="I192" i="1"/>
  <c r="J192" i="1" s="1"/>
  <c r="I200" i="1"/>
  <c r="J200" i="1" s="1"/>
  <c r="I208" i="1"/>
  <c r="J208" i="1" s="1"/>
  <c r="I216" i="1"/>
  <c r="J216" i="1" s="1"/>
  <c r="I220" i="1"/>
  <c r="J220" i="1" s="1"/>
  <c r="I228" i="1"/>
  <c r="J228" i="1" s="1"/>
  <c r="I236" i="1"/>
  <c r="J236" i="1" s="1"/>
  <c r="I244" i="1"/>
  <c r="J244" i="1" s="1"/>
  <c r="I252" i="1"/>
  <c r="J252" i="1" s="1"/>
  <c r="I546" i="1"/>
  <c r="J546" i="1" s="1"/>
  <c r="I578" i="1"/>
  <c r="J578" i="1" s="1"/>
  <c r="I642" i="1"/>
  <c r="J642" i="1" s="1"/>
  <c r="I293" i="1"/>
  <c r="J293" i="1" s="1"/>
  <c r="I320" i="1"/>
  <c r="J320" i="1" s="1"/>
  <c r="I345" i="1"/>
  <c r="J345" i="1" s="1"/>
  <c r="I366" i="1"/>
  <c r="J366" i="1" s="1"/>
  <c r="I386" i="1"/>
  <c r="J386" i="1" s="1"/>
  <c r="I409" i="1"/>
  <c r="J409" i="1" s="1"/>
  <c r="I430" i="1"/>
  <c r="J430" i="1" s="1"/>
  <c r="I450" i="1"/>
  <c r="J450" i="1" s="1"/>
  <c r="M450" i="1" s="1"/>
  <c r="I473" i="1"/>
  <c r="J473" i="1" s="1"/>
  <c r="I491" i="1"/>
  <c r="J491" i="1" s="1"/>
  <c r="I503" i="1"/>
  <c r="J503" i="1" s="1"/>
  <c r="M503" i="1" s="1"/>
  <c r="I9" i="1"/>
  <c r="J9" i="1" s="1"/>
  <c r="I20" i="1"/>
  <c r="J20" i="1" s="1"/>
  <c r="I31" i="1"/>
  <c r="J31" i="1" s="1"/>
  <c r="I531" i="1"/>
  <c r="J531" i="1" s="1"/>
  <c r="I563" i="1"/>
  <c r="J563" i="1" s="1"/>
  <c r="I595" i="1"/>
  <c r="J595" i="1" s="1"/>
  <c r="I627" i="1"/>
  <c r="J627" i="1" s="1"/>
  <c r="I659" i="1"/>
  <c r="J659" i="1" s="1"/>
  <c r="I691" i="1"/>
  <c r="J691" i="1" s="1"/>
  <c r="I261" i="1"/>
  <c r="J261" i="1" s="1"/>
  <c r="I288" i="1"/>
  <c r="J288" i="1" s="1"/>
  <c r="I304" i="1"/>
  <c r="J304" i="1" s="1"/>
  <c r="I318" i="1"/>
  <c r="J318" i="1" s="1"/>
  <c r="I330" i="1"/>
  <c r="J330" i="1" s="1"/>
  <c r="I342" i="1"/>
  <c r="J342" i="1" s="1"/>
  <c r="I353" i="1"/>
  <c r="J353" i="1" s="1"/>
  <c r="I362" i="1"/>
  <c r="J362" i="1" s="1"/>
  <c r="I374" i="1"/>
  <c r="J374" i="1" s="1"/>
  <c r="I385" i="1"/>
  <c r="J385" i="1" s="1"/>
  <c r="I394" i="1"/>
  <c r="J394" i="1" s="1"/>
  <c r="I406" i="1"/>
  <c r="J406" i="1" s="1"/>
  <c r="M406" i="1" s="1"/>
  <c r="I417" i="1"/>
  <c r="J417" i="1" s="1"/>
  <c r="M417" i="1" s="1"/>
  <c r="I426" i="1"/>
  <c r="J426" i="1" s="1"/>
  <c r="M426" i="1" s="1"/>
  <c r="I438" i="1"/>
  <c r="J438" i="1" s="1"/>
  <c r="I449" i="1"/>
  <c r="J449" i="1" s="1"/>
  <c r="M449" i="1" s="1"/>
  <c r="I458" i="1"/>
  <c r="J458" i="1" s="1"/>
  <c r="I470" i="1"/>
  <c r="J470" i="1" s="1"/>
  <c r="I481" i="1"/>
  <c r="J481" i="1" s="1"/>
  <c r="I489" i="1"/>
  <c r="J489" i="1" s="1"/>
  <c r="I497" i="1"/>
  <c r="J497" i="1" s="1"/>
  <c r="I502" i="1"/>
  <c r="J502" i="1" s="1"/>
  <c r="M502" i="1" s="1"/>
  <c r="I507" i="1"/>
  <c r="J507" i="1" s="1"/>
  <c r="M507" i="1" s="1"/>
  <c r="I513" i="1"/>
  <c r="J513" i="1" s="1"/>
  <c r="M513" i="1" s="1"/>
  <c r="I3" i="1"/>
  <c r="J3" i="1" s="1"/>
  <c r="I8" i="1"/>
  <c r="J8" i="1" s="1"/>
  <c r="I13" i="1"/>
  <c r="J13" i="1" s="1"/>
  <c r="I19" i="1"/>
  <c r="J19" i="1" s="1"/>
  <c r="I29" i="1"/>
  <c r="J29" i="1" s="1"/>
  <c r="I35" i="1"/>
  <c r="J35" i="1" s="1"/>
  <c r="I45" i="1"/>
  <c r="J45" i="1" s="1"/>
  <c r="I56" i="1"/>
  <c r="J56" i="1" s="1"/>
  <c r="I67" i="1"/>
  <c r="J67" i="1" s="1"/>
  <c r="M67" i="1" s="1"/>
  <c r="I77" i="1"/>
  <c r="J77" i="1" s="1"/>
  <c r="I88" i="1"/>
  <c r="J88" i="1" s="1"/>
  <c r="M88" i="1" s="1"/>
  <c r="I99" i="1"/>
  <c r="J99" i="1" s="1"/>
  <c r="M99" i="1" s="1"/>
  <c r="I109" i="1"/>
  <c r="J109" i="1" s="1"/>
  <c r="I120" i="1"/>
  <c r="J120" i="1" s="1"/>
  <c r="I136" i="1"/>
  <c r="J136" i="1" s="1"/>
  <c r="I147" i="1"/>
  <c r="J147" i="1" s="1"/>
  <c r="I157" i="1"/>
  <c r="J157" i="1" s="1"/>
  <c r="M157" i="1" s="1"/>
  <c r="I168" i="1"/>
  <c r="J168" i="1" s="1"/>
  <c r="M168" i="1" s="1"/>
  <c r="I179" i="1"/>
  <c r="J179" i="1" s="1"/>
  <c r="I188" i="1"/>
  <c r="J188" i="1" s="1"/>
  <c r="I196" i="1"/>
  <c r="J196" i="1" s="1"/>
  <c r="I204" i="1"/>
  <c r="J204" i="1" s="1"/>
  <c r="I212" i="1"/>
  <c r="J212" i="1" s="1"/>
  <c r="I224" i="1"/>
  <c r="J224" i="1" s="1"/>
  <c r="I232" i="1"/>
  <c r="J232" i="1" s="1"/>
  <c r="I240" i="1"/>
  <c r="J240" i="1" s="1"/>
  <c r="I248" i="1"/>
  <c r="J248" i="1" s="1"/>
  <c r="I256" i="1"/>
  <c r="J256" i="1" s="1"/>
  <c r="I514" i="1"/>
  <c r="J514" i="1" s="1"/>
  <c r="M514" i="1" s="1"/>
  <c r="I610" i="1"/>
  <c r="J610" i="1" s="1"/>
  <c r="I674" i="1"/>
  <c r="J674" i="1" s="1"/>
  <c r="I276" i="1"/>
  <c r="J276" i="1" s="1"/>
  <c r="I308" i="1"/>
  <c r="J308" i="1" s="1"/>
  <c r="I334" i="1"/>
  <c r="J334" i="1" s="1"/>
  <c r="I354" i="1"/>
  <c r="J354" i="1" s="1"/>
  <c r="I377" i="1"/>
  <c r="J377" i="1" s="1"/>
  <c r="I398" i="1"/>
  <c r="J398" i="1" s="1"/>
  <c r="M398" i="1" s="1"/>
  <c r="I418" i="1"/>
  <c r="J418" i="1" s="1"/>
  <c r="I441" i="1"/>
  <c r="J441" i="1" s="1"/>
  <c r="M441" i="1" s="1"/>
  <c r="I462" i="1"/>
  <c r="J462" i="1" s="1"/>
  <c r="I482" i="1"/>
  <c r="J482" i="1" s="1"/>
  <c r="I498" i="1"/>
  <c r="J498" i="1" s="1"/>
  <c r="I509" i="1"/>
  <c r="J509" i="1" s="1"/>
  <c r="M509" i="1" s="1"/>
  <c r="I4" i="1"/>
  <c r="J4" i="1" s="1"/>
  <c r="I15" i="1"/>
  <c r="J15" i="1" s="1"/>
  <c r="I25" i="1"/>
  <c r="J25" i="1" s="1"/>
  <c r="I579" i="1"/>
  <c r="J579" i="1" s="1"/>
  <c r="I297" i="1"/>
  <c r="J297" i="1" s="1"/>
  <c r="I346" i="1"/>
  <c r="J346" i="1" s="1"/>
  <c r="I390" i="1"/>
  <c r="J390" i="1" s="1"/>
  <c r="I433" i="1"/>
  <c r="J433" i="1" s="1"/>
  <c r="M433" i="1" s="1"/>
  <c r="I474" i="1"/>
  <c r="J474" i="1" s="1"/>
  <c r="I505" i="1"/>
  <c r="J505" i="1" s="1"/>
  <c r="I11" i="1"/>
  <c r="J11" i="1" s="1"/>
  <c r="I32" i="1"/>
  <c r="J32" i="1" s="1"/>
  <c r="I43" i="1"/>
  <c r="J43" i="1" s="1"/>
  <c r="I53" i="1"/>
  <c r="J53" i="1" s="1"/>
  <c r="M53" i="1" s="1"/>
  <c r="I64" i="1"/>
  <c r="J64" i="1" s="1"/>
  <c r="I75" i="1"/>
  <c r="J75" i="1" s="1"/>
  <c r="I85" i="1"/>
  <c r="J85" i="1" s="1"/>
  <c r="I96" i="1"/>
  <c r="J96" i="1" s="1"/>
  <c r="M96" i="1" s="1"/>
  <c r="I107" i="1"/>
  <c r="J107" i="1" s="1"/>
  <c r="I117" i="1"/>
  <c r="J117" i="1" s="1"/>
  <c r="I128" i="1"/>
  <c r="J128" i="1" s="1"/>
  <c r="I139" i="1"/>
  <c r="J139" i="1" s="1"/>
  <c r="I149" i="1"/>
  <c r="J149" i="1" s="1"/>
  <c r="I160" i="1"/>
  <c r="J160" i="1" s="1"/>
  <c r="I171" i="1"/>
  <c r="J171" i="1" s="1"/>
  <c r="I181" i="1"/>
  <c r="J181" i="1" s="1"/>
  <c r="M181" i="1" s="1"/>
  <c r="I190" i="1"/>
  <c r="J190" i="1" s="1"/>
  <c r="I198" i="1"/>
  <c r="J198" i="1" s="1"/>
  <c r="I206" i="1"/>
  <c r="J206" i="1" s="1"/>
  <c r="I214" i="1"/>
  <c r="J214" i="1" s="1"/>
  <c r="I222" i="1"/>
  <c r="J222" i="1" s="1"/>
  <c r="I230" i="1"/>
  <c r="J230" i="1" s="1"/>
  <c r="I238" i="1"/>
  <c r="J238" i="1" s="1"/>
  <c r="I246" i="1"/>
  <c r="J246" i="1" s="1"/>
  <c r="I254" i="1"/>
  <c r="J254" i="1" s="1"/>
  <c r="I369" i="1"/>
  <c r="J369" i="1" s="1"/>
  <c r="I454" i="1"/>
  <c r="J454" i="1" s="1"/>
  <c r="I21" i="1"/>
  <c r="J21" i="1" s="1"/>
  <c r="I48" i="1"/>
  <c r="J48" i="1" s="1"/>
  <c r="M48" i="1" s="1"/>
  <c r="I69" i="1"/>
  <c r="J69" i="1" s="1"/>
  <c r="I91" i="1"/>
  <c r="J91" i="1" s="1"/>
  <c r="M91" i="1" s="1"/>
  <c r="I112" i="1"/>
  <c r="J112" i="1" s="1"/>
  <c r="I133" i="1"/>
  <c r="J133" i="1" s="1"/>
  <c r="I155" i="1"/>
  <c r="J155" i="1" s="1"/>
  <c r="M155" i="1" s="1"/>
  <c r="I176" i="1"/>
  <c r="J176" i="1" s="1"/>
  <c r="M176" i="1" s="1"/>
  <c r="I194" i="1"/>
  <c r="J194" i="1" s="1"/>
  <c r="I210" i="1"/>
  <c r="J210" i="1" s="1"/>
  <c r="I226" i="1"/>
  <c r="J226" i="1" s="1"/>
  <c r="I242" i="1"/>
  <c r="J242" i="1" s="1"/>
  <c r="I675" i="1"/>
  <c r="J675" i="1" s="1"/>
  <c r="I337" i="1"/>
  <c r="J337" i="1" s="1"/>
  <c r="I422" i="1"/>
  <c r="J422" i="1" s="1"/>
  <c r="I499" i="1"/>
  <c r="J499" i="1" s="1"/>
  <c r="M499" i="1" s="1"/>
  <c r="I27" i="1"/>
  <c r="J27" i="1" s="1"/>
  <c r="I52" i="1"/>
  <c r="J52" i="1" s="1"/>
  <c r="M52" i="1" s="1"/>
  <c r="I73" i="1"/>
  <c r="J73" i="1" s="1"/>
  <c r="I95" i="1"/>
  <c r="J95" i="1" s="1"/>
  <c r="M95" i="1" s="1"/>
  <c r="I116" i="1"/>
  <c r="J116" i="1" s="1"/>
  <c r="I137" i="1"/>
  <c r="J137" i="1" s="1"/>
  <c r="I159" i="1"/>
  <c r="J159" i="1" s="1"/>
  <c r="I180" i="1"/>
  <c r="J180" i="1" s="1"/>
  <c r="M180" i="1" s="1"/>
  <c r="I197" i="1"/>
  <c r="J197" i="1" s="1"/>
  <c r="I213" i="1"/>
  <c r="J213" i="1" s="1"/>
  <c r="I229" i="1"/>
  <c r="J229" i="1" s="1"/>
  <c r="I245" i="1"/>
  <c r="J245" i="1" s="1"/>
  <c r="I611" i="1"/>
  <c r="J611" i="1" s="1"/>
  <c r="I309" i="1"/>
  <c r="J309" i="1" s="1"/>
  <c r="I358" i="1"/>
  <c r="J358" i="1" s="1"/>
  <c r="I401" i="1"/>
  <c r="J401" i="1" s="1"/>
  <c r="I442" i="1"/>
  <c r="J442" i="1" s="1"/>
  <c r="M442" i="1" s="1"/>
  <c r="I486" i="1"/>
  <c r="J486" i="1" s="1"/>
  <c r="I510" i="1"/>
  <c r="J510" i="1" s="1"/>
  <c r="I16" i="1"/>
  <c r="J16" i="1" s="1"/>
  <c r="I36" i="1"/>
  <c r="J36" i="1" s="1"/>
  <c r="I47" i="1"/>
  <c r="J47" i="1" s="1"/>
  <c r="M47" i="1" s="1"/>
  <c r="I57" i="1"/>
  <c r="J57" i="1" s="1"/>
  <c r="M57" i="1" s="1"/>
  <c r="I68" i="1"/>
  <c r="J68" i="1" s="1"/>
  <c r="M68" i="1" s="1"/>
  <c r="I79" i="1"/>
  <c r="J79" i="1" s="1"/>
  <c r="M79" i="1" s="1"/>
  <c r="I89" i="1"/>
  <c r="J89" i="1" s="1"/>
  <c r="M89" i="1" s="1"/>
  <c r="I100" i="1"/>
  <c r="J100" i="1" s="1"/>
  <c r="I111" i="1"/>
  <c r="J111" i="1" s="1"/>
  <c r="I121" i="1"/>
  <c r="J121" i="1" s="1"/>
  <c r="I132" i="1"/>
  <c r="J132" i="1" s="1"/>
  <c r="I143" i="1"/>
  <c r="J143" i="1" s="1"/>
  <c r="I153" i="1"/>
  <c r="J153" i="1" s="1"/>
  <c r="I164" i="1"/>
  <c r="J164" i="1" s="1"/>
  <c r="M164" i="1" s="1"/>
  <c r="I175" i="1"/>
  <c r="J175" i="1" s="1"/>
  <c r="I185" i="1"/>
  <c r="J185" i="1" s="1"/>
  <c r="I193" i="1"/>
  <c r="J193" i="1" s="1"/>
  <c r="I201" i="1"/>
  <c r="J201" i="1" s="1"/>
  <c r="I209" i="1"/>
  <c r="J209" i="1" s="1"/>
  <c r="I217" i="1"/>
  <c r="J217" i="1" s="1"/>
  <c r="I225" i="1"/>
  <c r="J225" i="1" s="1"/>
  <c r="I233" i="1"/>
  <c r="J233" i="1" s="1"/>
  <c r="I241" i="1"/>
  <c r="J241" i="1" s="1"/>
  <c r="I249" i="1"/>
  <c r="J249" i="1" s="1"/>
  <c r="I257" i="1"/>
  <c r="J257" i="1" s="1"/>
  <c r="I515" i="1"/>
  <c r="J515" i="1" s="1"/>
  <c r="I643" i="1"/>
  <c r="J643" i="1" s="1"/>
  <c r="I325" i="1"/>
  <c r="J325" i="1" s="1"/>
  <c r="I410" i="1"/>
  <c r="J410" i="1" s="1"/>
  <c r="I493" i="1"/>
  <c r="J493" i="1" s="1"/>
  <c r="I37" i="1"/>
  <c r="J37" i="1" s="1"/>
  <c r="I59" i="1"/>
  <c r="J59" i="1" s="1"/>
  <c r="I80" i="1"/>
  <c r="J80" i="1" s="1"/>
  <c r="M80" i="1" s="1"/>
  <c r="I101" i="1"/>
  <c r="J101" i="1" s="1"/>
  <c r="M101" i="1" s="1"/>
  <c r="I123" i="1"/>
  <c r="J123" i="1" s="1"/>
  <c r="I144" i="1"/>
  <c r="J144" i="1" s="1"/>
  <c r="I165" i="1"/>
  <c r="J165" i="1" s="1"/>
  <c r="I186" i="1"/>
  <c r="J186" i="1" s="1"/>
  <c r="I202" i="1"/>
  <c r="J202" i="1" s="1"/>
  <c r="I218" i="1"/>
  <c r="J218" i="1" s="1"/>
  <c r="I234" i="1"/>
  <c r="J234" i="1" s="1"/>
  <c r="I250" i="1"/>
  <c r="J250" i="1" s="1"/>
  <c r="I547" i="1"/>
  <c r="J547" i="1" s="1"/>
  <c r="I277" i="1"/>
  <c r="J277" i="1" s="1"/>
  <c r="I378" i="1"/>
  <c r="J378" i="1" s="1"/>
  <c r="I465" i="1"/>
  <c r="J465" i="1" s="1"/>
  <c r="I5" i="1"/>
  <c r="J5" i="1" s="1"/>
  <c r="I41" i="1"/>
  <c r="J41" i="1" s="1"/>
  <c r="I63" i="1"/>
  <c r="J63" i="1" s="1"/>
  <c r="M63" i="1" s="1"/>
  <c r="I84" i="1"/>
  <c r="J84" i="1" s="1"/>
  <c r="M84" i="1" s="1"/>
  <c r="I105" i="1"/>
  <c r="J105" i="1" s="1"/>
  <c r="M105" i="1" s="1"/>
  <c r="I127" i="1"/>
  <c r="J127" i="1" s="1"/>
  <c r="I148" i="1"/>
  <c r="J148" i="1" s="1"/>
  <c r="I169" i="1"/>
  <c r="J169" i="1" s="1"/>
  <c r="M169" i="1" s="1"/>
  <c r="I189" i="1"/>
  <c r="J189" i="1" s="1"/>
  <c r="I205" i="1"/>
  <c r="J205" i="1" s="1"/>
  <c r="I221" i="1"/>
  <c r="J221" i="1" s="1"/>
  <c r="I237" i="1"/>
  <c r="J237" i="1" s="1"/>
  <c r="I253" i="1"/>
  <c r="J253" i="1" s="1"/>
  <c r="I2" i="1"/>
  <c r="J2" i="1" s="1"/>
  <c r="K515" i="1"/>
  <c r="K519" i="1"/>
  <c r="K523" i="1"/>
  <c r="K527" i="1"/>
  <c r="K531" i="1"/>
  <c r="K535" i="1"/>
  <c r="K539" i="1"/>
  <c r="K543" i="1"/>
  <c r="K547" i="1"/>
  <c r="K551" i="1"/>
  <c r="K555" i="1"/>
  <c r="K559" i="1"/>
  <c r="K563" i="1"/>
  <c r="K567" i="1"/>
  <c r="K571" i="1"/>
  <c r="K575" i="1"/>
  <c r="K579" i="1"/>
  <c r="K583" i="1"/>
  <c r="K587" i="1"/>
  <c r="K591" i="1"/>
  <c r="K595" i="1"/>
  <c r="K599" i="1"/>
  <c r="K603" i="1"/>
  <c r="K607" i="1"/>
  <c r="K611" i="1"/>
  <c r="K615" i="1"/>
  <c r="K619" i="1"/>
  <c r="K623" i="1"/>
  <c r="K627" i="1"/>
  <c r="K631" i="1"/>
  <c r="K635" i="1"/>
  <c r="K639" i="1"/>
  <c r="K643" i="1"/>
  <c r="K647" i="1"/>
  <c r="K651" i="1"/>
  <c r="K655" i="1"/>
  <c r="K659" i="1"/>
  <c r="K663" i="1"/>
  <c r="K667" i="1"/>
  <c r="K671" i="1"/>
  <c r="K675" i="1"/>
  <c r="K679" i="1"/>
  <c r="K683" i="1"/>
  <c r="K687" i="1"/>
  <c r="K691" i="1"/>
  <c r="L517" i="1"/>
  <c r="L521" i="1"/>
  <c r="L525" i="1"/>
  <c r="L529" i="1"/>
  <c r="L533" i="1"/>
  <c r="L537" i="1"/>
  <c r="L541" i="1"/>
  <c r="L545" i="1"/>
  <c r="L549" i="1"/>
  <c r="L553" i="1"/>
  <c r="L557" i="1"/>
  <c r="L561" i="1"/>
  <c r="L565" i="1"/>
  <c r="L569" i="1"/>
  <c r="L573" i="1"/>
  <c r="L577" i="1"/>
  <c r="L581" i="1"/>
  <c r="K516" i="1"/>
  <c r="K520" i="1"/>
  <c r="K524" i="1"/>
  <c r="K528" i="1"/>
  <c r="K532" i="1"/>
  <c r="K536" i="1"/>
  <c r="K540" i="1"/>
  <c r="K544" i="1"/>
  <c r="K548" i="1"/>
  <c r="K552" i="1"/>
  <c r="K556" i="1"/>
  <c r="K560" i="1"/>
  <c r="K564" i="1"/>
  <c r="K568" i="1"/>
  <c r="K572" i="1"/>
  <c r="K576" i="1"/>
  <c r="K580" i="1"/>
  <c r="K584" i="1"/>
  <c r="K588" i="1"/>
  <c r="K592" i="1"/>
  <c r="K596" i="1"/>
  <c r="K600" i="1"/>
  <c r="K604" i="1"/>
  <c r="K608" i="1"/>
  <c r="K612" i="1"/>
  <c r="K616" i="1"/>
  <c r="K620" i="1"/>
  <c r="K624" i="1"/>
  <c r="K628" i="1"/>
  <c r="K632" i="1"/>
  <c r="K636" i="1"/>
  <c r="K640" i="1"/>
  <c r="K644" i="1"/>
  <c r="K648" i="1"/>
  <c r="K652" i="1"/>
  <c r="K656" i="1"/>
  <c r="K660" i="1"/>
  <c r="K664" i="1"/>
  <c r="K668" i="1"/>
  <c r="K672" i="1"/>
  <c r="K676" i="1"/>
  <c r="K680" i="1"/>
  <c r="K684" i="1"/>
  <c r="K688" i="1"/>
  <c r="L514" i="1"/>
  <c r="L518" i="1"/>
  <c r="L522" i="1"/>
  <c r="L526" i="1"/>
  <c r="L530" i="1"/>
  <c r="L534" i="1"/>
  <c r="L538" i="1"/>
  <c r="L542" i="1"/>
  <c r="L546" i="1"/>
  <c r="L550" i="1"/>
  <c r="L554" i="1"/>
  <c r="L558" i="1"/>
  <c r="L562" i="1"/>
  <c r="L566" i="1"/>
  <c r="L570" i="1"/>
  <c r="L574" i="1"/>
  <c r="L578" i="1"/>
  <c r="K517" i="1"/>
  <c r="K525" i="1"/>
  <c r="K533" i="1"/>
  <c r="K541" i="1"/>
  <c r="K549" i="1"/>
  <c r="K557" i="1"/>
  <c r="K565" i="1"/>
  <c r="K573" i="1"/>
  <c r="K581" i="1"/>
  <c r="K589" i="1"/>
  <c r="K597" i="1"/>
  <c r="K605" i="1"/>
  <c r="K613" i="1"/>
  <c r="K621" i="1"/>
  <c r="K629" i="1"/>
  <c r="K637" i="1"/>
  <c r="K645" i="1"/>
  <c r="K653" i="1"/>
  <c r="K661" i="1"/>
  <c r="K669" i="1"/>
  <c r="K677" i="1"/>
  <c r="K685" i="1"/>
  <c r="L515" i="1"/>
  <c r="L523" i="1"/>
  <c r="M523" i="1" s="1"/>
  <c r="L531" i="1"/>
  <c r="M531" i="1" s="1"/>
  <c r="L539" i="1"/>
  <c r="L547" i="1"/>
  <c r="L555" i="1"/>
  <c r="L563" i="1"/>
  <c r="L571" i="1"/>
  <c r="L579" i="1"/>
  <c r="L584" i="1"/>
  <c r="L588" i="1"/>
  <c r="L592" i="1"/>
  <c r="L596" i="1"/>
  <c r="L600" i="1"/>
  <c r="L604" i="1"/>
  <c r="L608" i="1"/>
  <c r="L612" i="1"/>
  <c r="L616" i="1"/>
  <c r="L620" i="1"/>
  <c r="L624" i="1"/>
  <c r="L628" i="1"/>
  <c r="L632" i="1"/>
  <c r="L636" i="1"/>
  <c r="L640" i="1"/>
  <c r="L644" i="1"/>
  <c r="L648" i="1"/>
  <c r="L652" i="1"/>
  <c r="L656" i="1"/>
  <c r="L660" i="1"/>
  <c r="L664" i="1"/>
  <c r="L668" i="1"/>
  <c r="L672" i="1"/>
  <c r="L676" i="1"/>
  <c r="L680" i="1"/>
  <c r="L684" i="1"/>
  <c r="L688" i="1"/>
  <c r="K259" i="1"/>
  <c r="K263" i="1"/>
  <c r="K267" i="1"/>
  <c r="K271" i="1"/>
  <c r="K275" i="1"/>
  <c r="K279" i="1"/>
  <c r="K283" i="1"/>
  <c r="K287" i="1"/>
  <c r="K291" i="1"/>
  <c r="K295" i="1"/>
  <c r="K299" i="1"/>
  <c r="K303" i="1"/>
  <c r="K307" i="1"/>
  <c r="K311" i="1"/>
  <c r="K315" i="1"/>
  <c r="K319" i="1"/>
  <c r="K323" i="1"/>
  <c r="K327" i="1"/>
  <c r="K518" i="1"/>
  <c r="K526" i="1"/>
  <c r="K534" i="1"/>
  <c r="K542" i="1"/>
  <c r="K550" i="1"/>
  <c r="K558" i="1"/>
  <c r="K566" i="1"/>
  <c r="K574" i="1"/>
  <c r="K582" i="1"/>
  <c r="K590" i="1"/>
  <c r="K598" i="1"/>
  <c r="K606" i="1"/>
  <c r="K614" i="1"/>
  <c r="K622" i="1"/>
  <c r="K630" i="1"/>
  <c r="K638" i="1"/>
  <c r="K646" i="1"/>
  <c r="K654" i="1"/>
  <c r="K662" i="1"/>
  <c r="K670" i="1"/>
  <c r="K678" i="1"/>
  <c r="K686" i="1"/>
  <c r="L516" i="1"/>
  <c r="L524" i="1"/>
  <c r="L532" i="1"/>
  <c r="L540" i="1"/>
  <c r="M540" i="1" s="1"/>
  <c r="L548" i="1"/>
  <c r="L556" i="1"/>
  <c r="L564" i="1"/>
  <c r="L572" i="1"/>
  <c r="M572" i="1" s="1"/>
  <c r="L580" i="1"/>
  <c r="L585" i="1"/>
  <c r="L589" i="1"/>
  <c r="L593" i="1"/>
  <c r="L597" i="1"/>
  <c r="L601" i="1"/>
  <c r="L605" i="1"/>
  <c r="L609" i="1"/>
  <c r="L613" i="1"/>
  <c r="L617" i="1"/>
  <c r="L621" i="1"/>
  <c r="L625" i="1"/>
  <c r="L629" i="1"/>
  <c r="L633" i="1"/>
  <c r="L637" i="1"/>
  <c r="L641" i="1"/>
  <c r="L645" i="1"/>
  <c r="L649" i="1"/>
  <c r="L653" i="1"/>
  <c r="L657" i="1"/>
  <c r="L661" i="1"/>
  <c r="L665" i="1"/>
  <c r="L669" i="1"/>
  <c r="L673" i="1"/>
  <c r="L677" i="1"/>
  <c r="L681" i="1"/>
  <c r="L685" i="1"/>
  <c r="L689" i="1"/>
  <c r="K260" i="1"/>
  <c r="K264" i="1"/>
  <c r="K268" i="1"/>
  <c r="K272" i="1"/>
  <c r="K276" i="1"/>
  <c r="K280" i="1"/>
  <c r="K284" i="1"/>
  <c r="K288" i="1"/>
  <c r="K292" i="1"/>
  <c r="K296" i="1"/>
  <c r="K300" i="1"/>
  <c r="K304" i="1"/>
  <c r="K308" i="1"/>
  <c r="K312" i="1"/>
  <c r="K316" i="1"/>
  <c r="K521" i="1"/>
  <c r="K537" i="1"/>
  <c r="K553" i="1"/>
  <c r="K569" i="1"/>
  <c r="K585" i="1"/>
  <c r="K601" i="1"/>
  <c r="K617" i="1"/>
  <c r="K633" i="1"/>
  <c r="K649" i="1"/>
  <c r="K665" i="1"/>
  <c r="K681" i="1"/>
  <c r="L519" i="1"/>
  <c r="L535" i="1"/>
  <c r="L551" i="1"/>
  <c r="L567" i="1"/>
  <c r="L582" i="1"/>
  <c r="L590" i="1"/>
  <c r="L598" i="1"/>
  <c r="L606" i="1"/>
  <c r="L614" i="1"/>
  <c r="L622" i="1"/>
  <c r="L630" i="1"/>
  <c r="L638" i="1"/>
  <c r="L646" i="1"/>
  <c r="L654" i="1"/>
  <c r="L662" i="1"/>
  <c r="L670" i="1"/>
  <c r="L678" i="1"/>
  <c r="L686" i="1"/>
  <c r="K258" i="1"/>
  <c r="K266" i="1"/>
  <c r="K274" i="1"/>
  <c r="K282" i="1"/>
  <c r="K290" i="1"/>
  <c r="K298" i="1"/>
  <c r="K306" i="1"/>
  <c r="K314" i="1"/>
  <c r="K321" i="1"/>
  <c r="K326" i="1"/>
  <c r="K331" i="1"/>
  <c r="K335" i="1"/>
  <c r="K339" i="1"/>
  <c r="K343" i="1"/>
  <c r="K347" i="1"/>
  <c r="K351" i="1"/>
  <c r="K355" i="1"/>
  <c r="K359" i="1"/>
  <c r="K363" i="1"/>
  <c r="K367" i="1"/>
  <c r="K371" i="1"/>
  <c r="K375" i="1"/>
  <c r="K379" i="1"/>
  <c r="K383" i="1"/>
  <c r="K387" i="1"/>
  <c r="K391" i="1"/>
  <c r="K395" i="1"/>
  <c r="K399" i="1"/>
  <c r="K403" i="1"/>
  <c r="K407" i="1"/>
  <c r="K411" i="1"/>
  <c r="K415" i="1"/>
  <c r="K419" i="1"/>
  <c r="K423" i="1"/>
  <c r="K427" i="1"/>
  <c r="K431" i="1"/>
  <c r="K435" i="1"/>
  <c r="K439" i="1"/>
  <c r="K443" i="1"/>
  <c r="K447" i="1"/>
  <c r="K451" i="1"/>
  <c r="K455" i="1"/>
  <c r="K459" i="1"/>
  <c r="K463" i="1"/>
  <c r="K467" i="1"/>
  <c r="K471" i="1"/>
  <c r="K475" i="1"/>
  <c r="K479" i="1"/>
  <c r="K483" i="1"/>
  <c r="K487" i="1"/>
  <c r="K491" i="1"/>
  <c r="K495" i="1"/>
  <c r="K499" i="1"/>
  <c r="K503" i="1"/>
  <c r="K507" i="1"/>
  <c r="K511" i="1"/>
  <c r="L259" i="1"/>
  <c r="L263" i="1"/>
  <c r="L267" i="1"/>
  <c r="L271" i="1"/>
  <c r="L275" i="1"/>
  <c r="L279" i="1"/>
  <c r="L283" i="1"/>
  <c r="L287" i="1"/>
  <c r="L291" i="1"/>
  <c r="L295" i="1"/>
  <c r="L299" i="1"/>
  <c r="L303" i="1"/>
  <c r="L307" i="1"/>
  <c r="L311" i="1"/>
  <c r="L315" i="1"/>
  <c r="L319" i="1"/>
  <c r="L323" i="1"/>
  <c r="L327" i="1"/>
  <c r="L331" i="1"/>
  <c r="M331" i="1" s="1"/>
  <c r="L335" i="1"/>
  <c r="M335" i="1" s="1"/>
  <c r="L339" i="1"/>
  <c r="M339" i="1" s="1"/>
  <c r="L343" i="1"/>
  <c r="M343" i="1" s="1"/>
  <c r="L347" i="1"/>
  <c r="M347" i="1" s="1"/>
  <c r="L351" i="1"/>
  <c r="M351" i="1" s="1"/>
  <c r="L355" i="1"/>
  <c r="M355" i="1" s="1"/>
  <c r="L359" i="1"/>
  <c r="M359" i="1" s="1"/>
  <c r="L363" i="1"/>
  <c r="M363" i="1" s="1"/>
  <c r="L367" i="1"/>
  <c r="M367" i="1" s="1"/>
  <c r="L371" i="1"/>
  <c r="M371" i="1" s="1"/>
  <c r="L375" i="1"/>
  <c r="M375" i="1" s="1"/>
  <c r="L379" i="1"/>
  <c r="M379" i="1" s="1"/>
  <c r="L383" i="1"/>
  <c r="M383" i="1" s="1"/>
  <c r="L387" i="1"/>
  <c r="M387" i="1" s="1"/>
  <c r="L391" i="1"/>
  <c r="M391" i="1" s="1"/>
  <c r="L395" i="1"/>
  <c r="M395" i="1" s="1"/>
  <c r="K514" i="1"/>
  <c r="K530" i="1"/>
  <c r="K546" i="1"/>
  <c r="K562" i="1"/>
  <c r="K578" i="1"/>
  <c r="K594" i="1"/>
  <c r="K610" i="1"/>
  <c r="K626" i="1"/>
  <c r="K642" i="1"/>
  <c r="K658" i="1"/>
  <c r="K674" i="1"/>
  <c r="K690" i="1"/>
  <c r="L528" i="1"/>
  <c r="L544" i="1"/>
  <c r="M544" i="1" s="1"/>
  <c r="L560" i="1"/>
  <c r="L576" i="1"/>
  <c r="L587" i="1"/>
  <c r="L595" i="1"/>
  <c r="M595" i="1" s="1"/>
  <c r="L603" i="1"/>
  <c r="L611" i="1"/>
  <c r="L619" i="1"/>
  <c r="L627" i="1"/>
  <c r="L635" i="1"/>
  <c r="L643" i="1"/>
  <c r="L651" i="1"/>
  <c r="L659" i="1"/>
  <c r="L667" i="1"/>
  <c r="L675" i="1"/>
  <c r="L683" i="1"/>
  <c r="L691" i="1"/>
  <c r="K265" i="1"/>
  <c r="K273" i="1"/>
  <c r="K281" i="1"/>
  <c r="K289" i="1"/>
  <c r="K297" i="1"/>
  <c r="K305" i="1"/>
  <c r="K313" i="1"/>
  <c r="K320" i="1"/>
  <c r="K325" i="1"/>
  <c r="K330" i="1"/>
  <c r="K334" i="1"/>
  <c r="K338" i="1"/>
  <c r="K342" i="1"/>
  <c r="K346" i="1"/>
  <c r="K350" i="1"/>
  <c r="K354" i="1"/>
  <c r="K358" i="1"/>
  <c r="K362" i="1"/>
  <c r="K366" i="1"/>
  <c r="K370" i="1"/>
  <c r="K374" i="1"/>
  <c r="K378" i="1"/>
  <c r="K382" i="1"/>
  <c r="K386" i="1"/>
  <c r="K390" i="1"/>
  <c r="K394" i="1"/>
  <c r="K398" i="1"/>
  <c r="K402" i="1"/>
  <c r="K406" i="1"/>
  <c r="K410" i="1"/>
  <c r="K414" i="1"/>
  <c r="K418" i="1"/>
  <c r="K422" i="1"/>
  <c r="K426" i="1"/>
  <c r="K430" i="1"/>
  <c r="K434" i="1"/>
  <c r="K438" i="1"/>
  <c r="K442" i="1"/>
  <c r="K446" i="1"/>
  <c r="K450" i="1"/>
  <c r="K454" i="1"/>
  <c r="K458" i="1"/>
  <c r="K462" i="1"/>
  <c r="K466" i="1"/>
  <c r="K470" i="1"/>
  <c r="K474" i="1"/>
  <c r="K478" i="1"/>
  <c r="K482" i="1"/>
  <c r="K486" i="1"/>
  <c r="K490" i="1"/>
  <c r="K529" i="1"/>
  <c r="K561" i="1"/>
  <c r="K593" i="1"/>
  <c r="K625" i="1"/>
  <c r="K657" i="1"/>
  <c r="K689" i="1"/>
  <c r="L543" i="1"/>
  <c r="L575" i="1"/>
  <c r="L594" i="1"/>
  <c r="L610" i="1"/>
  <c r="L626" i="1"/>
  <c r="M626" i="1" s="1"/>
  <c r="L642" i="1"/>
  <c r="L658" i="1"/>
  <c r="L674" i="1"/>
  <c r="L690" i="1"/>
  <c r="K261" i="1"/>
  <c r="K277" i="1"/>
  <c r="K293" i="1"/>
  <c r="K309" i="1"/>
  <c r="K322" i="1"/>
  <c r="K332" i="1"/>
  <c r="K340" i="1"/>
  <c r="K348" i="1"/>
  <c r="K356" i="1"/>
  <c r="K364" i="1"/>
  <c r="K372" i="1"/>
  <c r="K380" i="1"/>
  <c r="K388" i="1"/>
  <c r="K396" i="1"/>
  <c r="K404" i="1"/>
  <c r="K412" i="1"/>
  <c r="K420" i="1"/>
  <c r="K428" i="1"/>
  <c r="K436" i="1"/>
  <c r="K444" i="1"/>
  <c r="K452" i="1"/>
  <c r="K460" i="1"/>
  <c r="K468" i="1"/>
  <c r="K476" i="1"/>
  <c r="K484" i="1"/>
  <c r="K492" i="1"/>
  <c r="K497" i="1"/>
  <c r="K502" i="1"/>
  <c r="K508" i="1"/>
  <c r="K513" i="1"/>
  <c r="L262" i="1"/>
  <c r="L268" i="1"/>
  <c r="L273" i="1"/>
  <c r="L278" i="1"/>
  <c r="L284" i="1"/>
  <c r="L289" i="1"/>
  <c r="L294" i="1"/>
  <c r="L300" i="1"/>
  <c r="L305" i="1"/>
  <c r="L310" i="1"/>
  <c r="L316" i="1"/>
  <c r="L321" i="1"/>
  <c r="L326" i="1"/>
  <c r="L332" i="1"/>
  <c r="L337" i="1"/>
  <c r="L342" i="1"/>
  <c r="L348" i="1"/>
  <c r="L353" i="1"/>
  <c r="L358" i="1"/>
  <c r="L364" i="1"/>
  <c r="M364" i="1" s="1"/>
  <c r="L369" i="1"/>
  <c r="L374" i="1"/>
  <c r="L380" i="1"/>
  <c r="L385" i="1"/>
  <c r="L390" i="1"/>
  <c r="L396" i="1"/>
  <c r="L400" i="1"/>
  <c r="L404" i="1"/>
  <c r="L408" i="1"/>
  <c r="L412" i="1"/>
  <c r="L416" i="1"/>
  <c r="L420" i="1"/>
  <c r="L424" i="1"/>
  <c r="L428" i="1"/>
  <c r="L432" i="1"/>
  <c r="L436" i="1"/>
  <c r="L440" i="1"/>
  <c r="L444" i="1"/>
  <c r="L448" i="1"/>
  <c r="L452" i="1"/>
  <c r="L456" i="1"/>
  <c r="L460" i="1"/>
  <c r="L464" i="1"/>
  <c r="L468" i="1"/>
  <c r="L472" i="1"/>
  <c r="L476" i="1"/>
  <c r="L480" i="1"/>
  <c r="L484" i="1"/>
  <c r="L488" i="1"/>
  <c r="L492" i="1"/>
  <c r="L496" i="1"/>
  <c r="L500" i="1"/>
  <c r="L504" i="1"/>
  <c r="L508" i="1"/>
  <c r="L512" i="1"/>
  <c r="K522" i="1"/>
  <c r="K554" i="1"/>
  <c r="K586" i="1"/>
  <c r="K618" i="1"/>
  <c r="K650" i="1"/>
  <c r="K682" i="1"/>
  <c r="L536" i="1"/>
  <c r="L568" i="1"/>
  <c r="M568" i="1" s="1"/>
  <c r="L591" i="1"/>
  <c r="L607" i="1"/>
  <c r="M607" i="1" s="1"/>
  <c r="L623" i="1"/>
  <c r="L639" i="1"/>
  <c r="L655" i="1"/>
  <c r="L671" i="1"/>
  <c r="M671" i="1" s="1"/>
  <c r="L687" i="1"/>
  <c r="K270" i="1"/>
  <c r="K286" i="1"/>
  <c r="K302" i="1"/>
  <c r="K318" i="1"/>
  <c r="K329" i="1"/>
  <c r="K337" i="1"/>
  <c r="K345" i="1"/>
  <c r="K353" i="1"/>
  <c r="K361" i="1"/>
  <c r="K369" i="1"/>
  <c r="K377" i="1"/>
  <c r="K385" i="1"/>
  <c r="K393" i="1"/>
  <c r="K401" i="1"/>
  <c r="K409" i="1"/>
  <c r="K417" i="1"/>
  <c r="K425" i="1"/>
  <c r="K433" i="1"/>
  <c r="K441" i="1"/>
  <c r="K449" i="1"/>
  <c r="K457" i="1"/>
  <c r="K465" i="1"/>
  <c r="K473" i="1"/>
  <c r="K481" i="1"/>
  <c r="K489" i="1"/>
  <c r="K496" i="1"/>
  <c r="K501" i="1"/>
  <c r="K506" i="1"/>
  <c r="K512" i="1"/>
  <c r="L261" i="1"/>
  <c r="L266" i="1"/>
  <c r="L272" i="1"/>
  <c r="L277" i="1"/>
  <c r="M277" i="1" s="1"/>
  <c r="L282" i="1"/>
  <c r="L288" i="1"/>
  <c r="L293" i="1"/>
  <c r="L298" i="1"/>
  <c r="L304" i="1"/>
  <c r="L309" i="1"/>
  <c r="L314" i="1"/>
  <c r="L320" i="1"/>
  <c r="L325" i="1"/>
  <c r="L330" i="1"/>
  <c r="M330" i="1" s="1"/>
  <c r="L336" i="1"/>
  <c r="L341" i="1"/>
  <c r="L346" i="1"/>
  <c r="L352" i="1"/>
  <c r="M352" i="1" s="1"/>
  <c r="L357" i="1"/>
  <c r="M357" i="1" s="1"/>
  <c r="L362" i="1"/>
  <c r="L368" i="1"/>
  <c r="L373" i="1"/>
  <c r="L378" i="1"/>
  <c r="L384" i="1"/>
  <c r="L389" i="1"/>
  <c r="L394" i="1"/>
  <c r="L399" i="1"/>
  <c r="L403" i="1"/>
  <c r="L407" i="1"/>
  <c r="L411" i="1"/>
  <c r="L415" i="1"/>
  <c r="L419" i="1"/>
  <c r="L423" i="1"/>
  <c r="L427" i="1"/>
  <c r="L431" i="1"/>
  <c r="L435" i="1"/>
  <c r="L439" i="1"/>
  <c r="L443" i="1"/>
  <c r="L447" i="1"/>
  <c r="L451" i="1"/>
  <c r="L455" i="1"/>
  <c r="L459" i="1"/>
  <c r="L463" i="1"/>
  <c r="L467" i="1"/>
  <c r="L471" i="1"/>
  <c r="L475" i="1"/>
  <c r="L479" i="1"/>
  <c r="L483" i="1"/>
  <c r="L487" i="1"/>
  <c r="L491" i="1"/>
  <c r="L495" i="1"/>
  <c r="L499" i="1"/>
  <c r="L503" i="1"/>
  <c r="L507" i="1"/>
  <c r="L511" i="1"/>
  <c r="K3" i="1"/>
  <c r="K7" i="1"/>
  <c r="K11" i="1"/>
  <c r="K15" i="1"/>
  <c r="K19" i="1"/>
  <c r="K23" i="1"/>
  <c r="K27" i="1"/>
  <c r="K31" i="1"/>
  <c r="K35" i="1"/>
  <c r="K39" i="1"/>
  <c r="K43" i="1"/>
  <c r="K47" i="1"/>
  <c r="K51" i="1"/>
  <c r="K55" i="1"/>
  <c r="K545" i="1"/>
  <c r="K609" i="1"/>
  <c r="K673" i="1"/>
  <c r="L559" i="1"/>
  <c r="L602" i="1"/>
  <c r="L634" i="1"/>
  <c r="L666" i="1"/>
  <c r="K285" i="1"/>
  <c r="K317" i="1"/>
  <c r="K336" i="1"/>
  <c r="K352" i="1"/>
  <c r="K368" i="1"/>
  <c r="K384" i="1"/>
  <c r="K400" i="1"/>
  <c r="K416" i="1"/>
  <c r="K432" i="1"/>
  <c r="K448" i="1"/>
  <c r="K464" i="1"/>
  <c r="K480" i="1"/>
  <c r="K494" i="1"/>
  <c r="K505" i="1"/>
  <c r="L260" i="1"/>
  <c r="L270" i="1"/>
  <c r="L281" i="1"/>
  <c r="L292" i="1"/>
  <c r="L302" i="1"/>
  <c r="L313" i="1"/>
  <c r="L324" i="1"/>
  <c r="L334" i="1"/>
  <c r="L345" i="1"/>
  <c r="L356" i="1"/>
  <c r="L366" i="1"/>
  <c r="M366" i="1" s="1"/>
  <c r="L377" i="1"/>
  <c r="L388" i="1"/>
  <c r="M388" i="1" s="1"/>
  <c r="L398" i="1"/>
  <c r="L406" i="1"/>
  <c r="L414" i="1"/>
  <c r="M414" i="1" s="1"/>
  <c r="L422" i="1"/>
  <c r="L430" i="1"/>
  <c r="M430" i="1" s="1"/>
  <c r="L438" i="1"/>
  <c r="L446" i="1"/>
  <c r="L454" i="1"/>
  <c r="L462" i="1"/>
  <c r="L470" i="1"/>
  <c r="L478" i="1"/>
  <c r="L486" i="1"/>
  <c r="M486" i="1" s="1"/>
  <c r="L494" i="1"/>
  <c r="L502" i="1"/>
  <c r="L510" i="1"/>
  <c r="K4" i="1"/>
  <c r="K9" i="1"/>
  <c r="K14" i="1"/>
  <c r="K20" i="1"/>
  <c r="K25" i="1"/>
  <c r="K30" i="1"/>
  <c r="K36" i="1"/>
  <c r="K41" i="1"/>
  <c r="K46" i="1"/>
  <c r="K52" i="1"/>
  <c r="K57" i="1"/>
  <c r="K61" i="1"/>
  <c r="K65" i="1"/>
  <c r="K69" i="1"/>
  <c r="K73" i="1"/>
  <c r="K77" i="1"/>
  <c r="K81" i="1"/>
  <c r="K85" i="1"/>
  <c r="K89" i="1"/>
  <c r="K93" i="1"/>
  <c r="K97" i="1"/>
  <c r="K101" i="1"/>
  <c r="K105" i="1"/>
  <c r="K109" i="1"/>
  <c r="K113" i="1"/>
  <c r="K117" i="1"/>
  <c r="K121" i="1"/>
  <c r="K125" i="1"/>
  <c r="K129" i="1"/>
  <c r="K133" i="1"/>
  <c r="K137" i="1"/>
  <c r="K141" i="1"/>
  <c r="K145" i="1"/>
  <c r="K149" i="1"/>
  <c r="K153" i="1"/>
  <c r="K157" i="1"/>
  <c r="K161" i="1"/>
  <c r="K165" i="1"/>
  <c r="K169" i="1"/>
  <c r="K173" i="1"/>
  <c r="K177" i="1"/>
  <c r="K181" i="1"/>
  <c r="K185" i="1"/>
  <c r="K189" i="1"/>
  <c r="K193" i="1"/>
  <c r="K197" i="1"/>
  <c r="K201" i="1"/>
  <c r="K205" i="1"/>
  <c r="K209" i="1"/>
  <c r="K213" i="1"/>
  <c r="K217" i="1"/>
  <c r="K221" i="1"/>
  <c r="K225" i="1"/>
  <c r="K229" i="1"/>
  <c r="K233" i="1"/>
  <c r="K237" i="1"/>
  <c r="K241" i="1"/>
  <c r="K245" i="1"/>
  <c r="K249" i="1"/>
  <c r="K253" i="1"/>
  <c r="K257" i="1"/>
  <c r="L6" i="1"/>
  <c r="L10" i="1"/>
  <c r="L14" i="1"/>
  <c r="L18" i="1"/>
  <c r="L22" i="1"/>
  <c r="L26" i="1"/>
  <c r="L30" i="1"/>
  <c r="L34" i="1"/>
  <c r="L38" i="1"/>
  <c r="L42" i="1"/>
  <c r="L46" i="1"/>
  <c r="L50" i="1"/>
  <c r="L54" i="1"/>
  <c r="L58" i="1"/>
  <c r="L62" i="1"/>
  <c r="L66" i="1"/>
  <c r="L70" i="1"/>
  <c r="L74" i="1"/>
  <c r="L78" i="1"/>
  <c r="L82" i="1"/>
  <c r="L86" i="1"/>
  <c r="L90" i="1"/>
  <c r="L94" i="1"/>
  <c r="L98" i="1"/>
  <c r="L102" i="1"/>
  <c r="L106" i="1"/>
  <c r="K570" i="1"/>
  <c r="K634" i="1"/>
  <c r="L520" i="1"/>
  <c r="M520" i="1" s="1"/>
  <c r="L583" i="1"/>
  <c r="L615" i="1"/>
  <c r="L647" i="1"/>
  <c r="M647" i="1" s="1"/>
  <c r="L679" i="1"/>
  <c r="K262" i="1"/>
  <c r="K294" i="1"/>
  <c r="K324" i="1"/>
  <c r="K341" i="1"/>
  <c r="K357" i="1"/>
  <c r="K373" i="1"/>
  <c r="K389" i="1"/>
  <c r="K405" i="1"/>
  <c r="K421" i="1"/>
  <c r="K437" i="1"/>
  <c r="K453" i="1"/>
  <c r="K469" i="1"/>
  <c r="K485" i="1"/>
  <c r="K498" i="1"/>
  <c r="K509" i="1"/>
  <c r="L264" i="1"/>
  <c r="L274" i="1"/>
  <c r="L285" i="1"/>
  <c r="L296" i="1"/>
  <c r="L306" i="1"/>
  <c r="M306" i="1" s="1"/>
  <c r="L317" i="1"/>
  <c r="L328" i="1"/>
  <c r="L338" i="1"/>
  <c r="M338" i="1" s="1"/>
  <c r="L349" i="1"/>
  <c r="L360" i="1"/>
  <c r="L370" i="1"/>
  <c r="M370" i="1" s="1"/>
  <c r="L381" i="1"/>
  <c r="L392" i="1"/>
  <c r="L401" i="1"/>
  <c r="M401" i="1" s="1"/>
  <c r="L409" i="1"/>
  <c r="L417" i="1"/>
  <c r="L425" i="1"/>
  <c r="L433" i="1"/>
  <c r="L441" i="1"/>
  <c r="L449" i="1"/>
  <c r="L457" i="1"/>
  <c r="L465" i="1"/>
  <c r="L473" i="1"/>
  <c r="M473" i="1" s="1"/>
  <c r="L481" i="1"/>
  <c r="L489" i="1"/>
  <c r="L497" i="1"/>
  <c r="L505" i="1"/>
  <c r="M505" i="1" s="1"/>
  <c r="L513" i="1"/>
  <c r="K5" i="1"/>
  <c r="K10" i="1"/>
  <c r="K16" i="1"/>
  <c r="K21" i="1"/>
  <c r="K26" i="1"/>
  <c r="K32" i="1"/>
  <c r="K37" i="1"/>
  <c r="K42" i="1"/>
  <c r="K48" i="1"/>
  <c r="K53" i="1"/>
  <c r="K58" i="1"/>
  <c r="K62" i="1"/>
  <c r="K66" i="1"/>
  <c r="K70" i="1"/>
  <c r="K74" i="1"/>
  <c r="K78" i="1"/>
  <c r="K82" i="1"/>
  <c r="K86" i="1"/>
  <c r="K90" i="1"/>
  <c r="K94" i="1"/>
  <c r="K98" i="1"/>
  <c r="K102" i="1"/>
  <c r="K106" i="1"/>
  <c r="K110" i="1"/>
  <c r="K114" i="1"/>
  <c r="K118" i="1"/>
  <c r="K122" i="1"/>
  <c r="K126" i="1"/>
  <c r="K130" i="1"/>
  <c r="K134" i="1"/>
  <c r="K138" i="1"/>
  <c r="K142" i="1"/>
  <c r="K146" i="1"/>
  <c r="K150" i="1"/>
  <c r="K154" i="1"/>
  <c r="K158" i="1"/>
  <c r="K162" i="1"/>
  <c r="K166" i="1"/>
  <c r="K170" i="1"/>
  <c r="K174" i="1"/>
  <c r="K178" i="1"/>
  <c r="K182" i="1"/>
  <c r="K186" i="1"/>
  <c r="K190" i="1"/>
  <c r="K194" i="1"/>
  <c r="K198" i="1"/>
  <c r="K202" i="1"/>
  <c r="K206" i="1"/>
  <c r="K210" i="1"/>
  <c r="K214" i="1"/>
  <c r="K218" i="1"/>
  <c r="K222" i="1"/>
  <c r="K226" i="1"/>
  <c r="K230" i="1"/>
  <c r="K234" i="1"/>
  <c r="K238" i="1"/>
  <c r="K242" i="1"/>
  <c r="K246" i="1"/>
  <c r="K250" i="1"/>
  <c r="K254" i="1"/>
  <c r="L3" i="1"/>
  <c r="L7" i="1"/>
  <c r="L11" i="1"/>
  <c r="L15" i="1"/>
  <c r="L19" i="1"/>
  <c r="L23" i="1"/>
  <c r="M23" i="1" s="1"/>
  <c r="L27" i="1"/>
  <c r="M27" i="1" s="1"/>
  <c r="L31" i="1"/>
  <c r="M31" i="1" s="1"/>
  <c r="L35" i="1"/>
  <c r="L39" i="1"/>
  <c r="L43" i="1"/>
  <c r="L47" i="1"/>
  <c r="L51" i="1"/>
  <c r="L55" i="1"/>
  <c r="L59" i="1"/>
  <c r="L63" i="1"/>
  <c r="L67" i="1"/>
  <c r="L71" i="1"/>
  <c r="L75" i="1"/>
  <c r="L79" i="1"/>
  <c r="L83" i="1"/>
  <c r="L87" i="1"/>
  <c r="L91" i="1"/>
  <c r="L95" i="1"/>
  <c r="L99" i="1"/>
  <c r="L103" i="1"/>
  <c r="L107" i="1"/>
  <c r="L111" i="1"/>
  <c r="K577" i="1"/>
  <c r="L527" i="1"/>
  <c r="L618" i="1"/>
  <c r="L682" i="1"/>
  <c r="K310" i="1"/>
  <c r="K349" i="1"/>
  <c r="K381" i="1"/>
  <c r="K413" i="1"/>
  <c r="K445" i="1"/>
  <c r="K477" i="1"/>
  <c r="K504" i="1"/>
  <c r="L269" i="1"/>
  <c r="L290" i="1"/>
  <c r="L312" i="1"/>
  <c r="L333" i="1"/>
  <c r="L354" i="1"/>
  <c r="L376" i="1"/>
  <c r="L397" i="1"/>
  <c r="L413" i="1"/>
  <c r="L429" i="1"/>
  <c r="L445" i="1"/>
  <c r="L461" i="1"/>
  <c r="L477" i="1"/>
  <c r="M477" i="1" s="1"/>
  <c r="L493" i="1"/>
  <c r="L509" i="1"/>
  <c r="K6" i="1"/>
  <c r="K17" i="1"/>
  <c r="K28" i="1"/>
  <c r="K38" i="1"/>
  <c r="K49" i="1"/>
  <c r="K59" i="1"/>
  <c r="K67" i="1"/>
  <c r="K75" i="1"/>
  <c r="K83" i="1"/>
  <c r="K91" i="1"/>
  <c r="K99" i="1"/>
  <c r="K107" i="1"/>
  <c r="K115" i="1"/>
  <c r="K123" i="1"/>
  <c r="K131" i="1"/>
  <c r="K139" i="1"/>
  <c r="K147" i="1"/>
  <c r="K155" i="1"/>
  <c r="K163" i="1"/>
  <c r="K171" i="1"/>
  <c r="K179" i="1"/>
  <c r="K187" i="1"/>
  <c r="K195" i="1"/>
  <c r="K203" i="1"/>
  <c r="K211" i="1"/>
  <c r="K219" i="1"/>
  <c r="K227" i="1"/>
  <c r="K235" i="1"/>
  <c r="K243" i="1"/>
  <c r="K251" i="1"/>
  <c r="L4" i="1"/>
  <c r="L12" i="1"/>
  <c r="L20" i="1"/>
  <c r="L28" i="1"/>
  <c r="L36" i="1"/>
  <c r="L44" i="1"/>
  <c r="L52" i="1"/>
  <c r="L60" i="1"/>
  <c r="L68" i="1"/>
  <c r="L76" i="1"/>
  <c r="L84" i="1"/>
  <c r="L92" i="1"/>
  <c r="M92" i="1" s="1"/>
  <c r="L100" i="1"/>
  <c r="L108" i="1"/>
  <c r="L113" i="1"/>
  <c r="L117" i="1"/>
  <c r="L121" i="1"/>
  <c r="L125" i="1"/>
  <c r="L129" i="1"/>
  <c r="L133" i="1"/>
  <c r="L137" i="1"/>
  <c r="M137" i="1" s="1"/>
  <c r="L141" i="1"/>
  <c r="L145" i="1"/>
  <c r="L149" i="1"/>
  <c r="L153" i="1"/>
  <c r="L157" i="1"/>
  <c r="L161" i="1"/>
  <c r="L165" i="1"/>
  <c r="L169" i="1"/>
  <c r="L173" i="1"/>
  <c r="L177" i="1"/>
  <c r="L181" i="1"/>
  <c r="L185" i="1"/>
  <c r="L189" i="1"/>
  <c r="L193" i="1"/>
  <c r="L197" i="1"/>
  <c r="M197" i="1" s="1"/>
  <c r="L201" i="1"/>
  <c r="L205" i="1"/>
  <c r="L209" i="1"/>
  <c r="L213" i="1"/>
  <c r="L217" i="1"/>
  <c r="L221" i="1"/>
  <c r="L225" i="1"/>
  <c r="L229" i="1"/>
  <c r="L233" i="1"/>
  <c r="L237" i="1"/>
  <c r="L241" i="1"/>
  <c r="L245" i="1"/>
  <c r="L249" i="1"/>
  <c r="L253" i="1"/>
  <c r="L257" i="1"/>
  <c r="L586" i="1"/>
  <c r="L650" i="1"/>
  <c r="M650" i="1" s="1"/>
  <c r="K278" i="1"/>
  <c r="K365" i="1"/>
  <c r="K429" i="1"/>
  <c r="K493" i="1"/>
  <c r="L280" i="1"/>
  <c r="L322" i="1"/>
  <c r="L365" i="1"/>
  <c r="L405" i="1"/>
  <c r="L437" i="1"/>
  <c r="L469" i="1"/>
  <c r="M469" i="1" s="1"/>
  <c r="L501" i="1"/>
  <c r="K22" i="1"/>
  <c r="K44" i="1"/>
  <c r="K63" i="1"/>
  <c r="K79" i="1"/>
  <c r="K95" i="1"/>
  <c r="K111" i="1"/>
  <c r="K127" i="1"/>
  <c r="K143" i="1"/>
  <c r="K159" i="1"/>
  <c r="K175" i="1"/>
  <c r="K191" i="1"/>
  <c r="K207" i="1"/>
  <c r="K223" i="1"/>
  <c r="K239" i="1"/>
  <c r="K255" i="1"/>
  <c r="L16" i="1"/>
  <c r="L32" i="1"/>
  <c r="L48" i="1"/>
  <c r="L64" i="1"/>
  <c r="L80" i="1"/>
  <c r="K602" i="1"/>
  <c r="L552" i="1"/>
  <c r="M552" i="1" s="1"/>
  <c r="L631" i="1"/>
  <c r="K269" i="1"/>
  <c r="K328" i="1"/>
  <c r="K360" i="1"/>
  <c r="K392" i="1"/>
  <c r="K424" i="1"/>
  <c r="K456" i="1"/>
  <c r="K488" i="1"/>
  <c r="K510" i="1"/>
  <c r="L276" i="1"/>
  <c r="L297" i="1"/>
  <c r="L318" i="1"/>
  <c r="L340" i="1"/>
  <c r="L361" i="1"/>
  <c r="L382" i="1"/>
  <c r="M382" i="1" s="1"/>
  <c r="L402" i="1"/>
  <c r="L418" i="1"/>
  <c r="L434" i="1"/>
  <c r="L450" i="1"/>
  <c r="L466" i="1"/>
  <c r="L482" i="1"/>
  <c r="L498" i="1"/>
  <c r="K8" i="1"/>
  <c r="K18" i="1"/>
  <c r="K29" i="1"/>
  <c r="K40" i="1"/>
  <c r="K50" i="1"/>
  <c r="K60" i="1"/>
  <c r="K68" i="1"/>
  <c r="K76" i="1"/>
  <c r="K84" i="1"/>
  <c r="K92" i="1"/>
  <c r="K100" i="1"/>
  <c r="K108" i="1"/>
  <c r="K116" i="1"/>
  <c r="K124" i="1"/>
  <c r="K132" i="1"/>
  <c r="K140" i="1"/>
  <c r="K148" i="1"/>
  <c r="K156" i="1"/>
  <c r="K164" i="1"/>
  <c r="K172" i="1"/>
  <c r="K180" i="1"/>
  <c r="K188" i="1"/>
  <c r="K196" i="1"/>
  <c r="K204" i="1"/>
  <c r="K212" i="1"/>
  <c r="K220" i="1"/>
  <c r="K228" i="1"/>
  <c r="K236" i="1"/>
  <c r="K244" i="1"/>
  <c r="K252" i="1"/>
  <c r="L5" i="1"/>
  <c r="L13" i="1"/>
  <c r="L21" i="1"/>
  <c r="L29" i="1"/>
  <c r="L37" i="1"/>
  <c r="L45" i="1"/>
  <c r="L53" i="1"/>
  <c r="L61" i="1"/>
  <c r="L69" i="1"/>
  <c r="L77" i="1"/>
  <c r="L85" i="1"/>
  <c r="L93" i="1"/>
  <c r="L101" i="1"/>
  <c r="L109" i="1"/>
  <c r="M109" i="1" s="1"/>
  <c r="L114" i="1"/>
  <c r="L118" i="1"/>
  <c r="L122" i="1"/>
  <c r="L126" i="1"/>
  <c r="L130" i="1"/>
  <c r="L134" i="1"/>
  <c r="L138" i="1"/>
  <c r="L142" i="1"/>
  <c r="L146" i="1"/>
  <c r="L150" i="1"/>
  <c r="L154" i="1"/>
  <c r="L158" i="1"/>
  <c r="L162" i="1"/>
  <c r="L166" i="1"/>
  <c r="L170" i="1"/>
  <c r="L174" i="1"/>
  <c r="L178" i="1"/>
  <c r="L182" i="1"/>
  <c r="L186" i="1"/>
  <c r="L190" i="1"/>
  <c r="L194" i="1"/>
  <c r="L198" i="1"/>
  <c r="M198" i="1" s="1"/>
  <c r="L202" i="1"/>
  <c r="L206" i="1"/>
  <c r="L210" i="1"/>
  <c r="M210" i="1" s="1"/>
  <c r="L214" i="1"/>
  <c r="L218" i="1"/>
  <c r="L222" i="1"/>
  <c r="L226" i="1"/>
  <c r="L230" i="1"/>
  <c r="M230" i="1" s="1"/>
  <c r="L234" i="1"/>
  <c r="L238" i="1"/>
  <c r="L242" i="1"/>
  <c r="L246" i="1"/>
  <c r="L250" i="1"/>
  <c r="L254" i="1"/>
  <c r="K641" i="1"/>
  <c r="K333" i="1"/>
  <c r="K397" i="1"/>
  <c r="K461" i="1"/>
  <c r="L258" i="1"/>
  <c r="M258" i="1" s="1"/>
  <c r="L301" i="1"/>
  <c r="L344" i="1"/>
  <c r="L386" i="1"/>
  <c r="M386" i="1" s="1"/>
  <c r="L421" i="1"/>
  <c r="L453" i="1"/>
  <c r="L485" i="1"/>
  <c r="K12" i="1"/>
  <c r="K33" i="1"/>
  <c r="K54" i="1"/>
  <c r="K71" i="1"/>
  <c r="K87" i="1"/>
  <c r="K103" i="1"/>
  <c r="K119" i="1"/>
  <c r="K135" i="1"/>
  <c r="K151" i="1"/>
  <c r="K167" i="1"/>
  <c r="K183" i="1"/>
  <c r="K199" i="1"/>
  <c r="K215" i="1"/>
  <c r="K231" i="1"/>
  <c r="K247" i="1"/>
  <c r="L8" i="1"/>
  <c r="L24" i="1"/>
  <c r="L40" i="1"/>
  <c r="M40" i="1" s="1"/>
  <c r="L56" i="1"/>
  <c r="L72" i="1"/>
  <c r="L88" i="1"/>
  <c r="K666" i="1"/>
  <c r="K376" i="1"/>
  <c r="K500" i="1"/>
  <c r="L329" i="1"/>
  <c r="M329" i="1" s="1"/>
  <c r="L410" i="1"/>
  <c r="L474" i="1"/>
  <c r="K34" i="1"/>
  <c r="K72" i="1"/>
  <c r="K104" i="1"/>
  <c r="K136" i="1"/>
  <c r="K168" i="1"/>
  <c r="K200" i="1"/>
  <c r="K232" i="1"/>
  <c r="L9" i="1"/>
  <c r="L41" i="1"/>
  <c r="L73" i="1"/>
  <c r="L97" i="1"/>
  <c r="L112" i="1"/>
  <c r="L120" i="1"/>
  <c r="L128" i="1"/>
  <c r="L136" i="1"/>
  <c r="L152" i="1"/>
  <c r="L168" i="1"/>
  <c r="L184" i="1"/>
  <c r="L208" i="1"/>
  <c r="L224" i="1"/>
  <c r="L240" i="1"/>
  <c r="L256" i="1"/>
  <c r="L599" i="1"/>
  <c r="L265" i="1"/>
  <c r="L426" i="1"/>
  <c r="L490" i="1"/>
  <c r="K80" i="1"/>
  <c r="K144" i="1"/>
  <c r="K208" i="1"/>
  <c r="L17" i="1"/>
  <c r="L81" i="1"/>
  <c r="L115" i="1"/>
  <c r="L131" i="1"/>
  <c r="L147" i="1"/>
  <c r="L163" i="1"/>
  <c r="M163" i="1" s="1"/>
  <c r="L179" i="1"/>
  <c r="M179" i="1" s="1"/>
  <c r="L195" i="1"/>
  <c r="L211" i="1"/>
  <c r="M211" i="1" s="1"/>
  <c r="L227" i="1"/>
  <c r="L243" i="1"/>
  <c r="L663" i="1"/>
  <c r="K301" i="1"/>
  <c r="K440" i="1"/>
  <c r="L286" i="1"/>
  <c r="L442" i="1"/>
  <c r="L506" i="1"/>
  <c r="K13" i="1"/>
  <c r="K56" i="1"/>
  <c r="K88" i="1"/>
  <c r="K120" i="1"/>
  <c r="K184" i="1"/>
  <c r="K248" i="1"/>
  <c r="L57" i="1"/>
  <c r="L105" i="1"/>
  <c r="L124" i="1"/>
  <c r="L140" i="1"/>
  <c r="L156" i="1"/>
  <c r="L172" i="1"/>
  <c r="L180" i="1"/>
  <c r="L196" i="1"/>
  <c r="L212" i="1"/>
  <c r="L228" i="1"/>
  <c r="L244" i="1"/>
  <c r="K538" i="1"/>
  <c r="K344" i="1"/>
  <c r="K472" i="1"/>
  <c r="L308" i="1"/>
  <c r="L393" i="1"/>
  <c r="L458" i="1"/>
  <c r="K24" i="1"/>
  <c r="K64" i="1"/>
  <c r="K96" i="1"/>
  <c r="K128" i="1"/>
  <c r="K160" i="1"/>
  <c r="K192" i="1"/>
  <c r="K224" i="1"/>
  <c r="K256" i="1"/>
  <c r="L33" i="1"/>
  <c r="L65" i="1"/>
  <c r="L96" i="1"/>
  <c r="L110" i="1"/>
  <c r="L119" i="1"/>
  <c r="L127" i="1"/>
  <c r="L135" i="1"/>
  <c r="L143" i="1"/>
  <c r="L151" i="1"/>
  <c r="L159" i="1"/>
  <c r="L167" i="1"/>
  <c r="L175" i="1"/>
  <c r="L183" i="1"/>
  <c r="L191" i="1"/>
  <c r="L199" i="1"/>
  <c r="L207" i="1"/>
  <c r="L215" i="1"/>
  <c r="L223" i="1"/>
  <c r="L231" i="1"/>
  <c r="L239" i="1"/>
  <c r="M239" i="1" s="1"/>
  <c r="L247" i="1"/>
  <c r="L255" i="1"/>
  <c r="L144" i="1"/>
  <c r="M144" i="1" s="1"/>
  <c r="L160" i="1"/>
  <c r="L176" i="1"/>
  <c r="L192" i="1"/>
  <c r="L200" i="1"/>
  <c r="L216" i="1"/>
  <c r="L232" i="1"/>
  <c r="L248" i="1"/>
  <c r="K408" i="1"/>
  <c r="L350" i="1"/>
  <c r="K45" i="1"/>
  <c r="K112" i="1"/>
  <c r="K176" i="1"/>
  <c r="K240" i="1"/>
  <c r="L49" i="1"/>
  <c r="M49" i="1" s="1"/>
  <c r="L104" i="1"/>
  <c r="L123" i="1"/>
  <c r="L139" i="1"/>
  <c r="L155" i="1"/>
  <c r="L171" i="1"/>
  <c r="L187" i="1"/>
  <c r="L203" i="1"/>
  <c r="L219" i="1"/>
  <c r="L235" i="1"/>
  <c r="L251" i="1"/>
  <c r="L372" i="1"/>
  <c r="K152" i="1"/>
  <c r="K216" i="1"/>
  <c r="L25" i="1"/>
  <c r="L89" i="1"/>
  <c r="L116" i="1"/>
  <c r="L132" i="1"/>
  <c r="M132" i="1" s="1"/>
  <c r="L148" i="1"/>
  <c r="L164" i="1"/>
  <c r="L188" i="1"/>
  <c r="L204" i="1"/>
  <c r="M204" i="1" s="1"/>
  <c r="L220" i="1"/>
  <c r="L236" i="1"/>
  <c r="L252" i="1"/>
  <c r="M252" i="1" s="1"/>
  <c r="L2" i="1"/>
  <c r="K2" i="1"/>
  <c r="C4" i="16"/>
  <c r="G7" i="10" l="1"/>
  <c r="G8" i="10"/>
  <c r="G5" i="10"/>
  <c r="G9" i="10"/>
  <c r="G6" i="10"/>
  <c r="G10" i="10"/>
  <c r="M203" i="1"/>
  <c r="M350" i="1"/>
  <c r="M527" i="1"/>
  <c r="M39" i="1"/>
  <c r="M559" i="1"/>
  <c r="M304" i="1"/>
  <c r="M655" i="1"/>
  <c r="M591" i="1"/>
  <c r="M485" i="1"/>
  <c r="M322" i="1"/>
  <c r="M55" i="1"/>
  <c r="M274" i="1"/>
  <c r="M26" i="1"/>
  <c r="M281" i="1"/>
  <c r="M282" i="1"/>
  <c r="M484" i="1"/>
  <c r="M452" i="1"/>
  <c r="M420" i="1"/>
  <c r="M319" i="1"/>
  <c r="M303" i="1"/>
  <c r="M287" i="1"/>
  <c r="M271" i="1"/>
  <c r="M686" i="1"/>
  <c r="M654" i="1"/>
  <c r="M622" i="1"/>
  <c r="M590" i="1"/>
  <c r="M247" i="1"/>
  <c r="M215" i="1"/>
  <c r="M183" i="1"/>
  <c r="M119" i="1"/>
  <c r="M228" i="1"/>
  <c r="M77" i="1"/>
  <c r="M501" i="1"/>
  <c r="M409" i="1"/>
  <c r="M615" i="1"/>
  <c r="M334" i="1"/>
  <c r="M491" i="1"/>
  <c r="M288" i="1"/>
  <c r="M305" i="1"/>
  <c r="M284" i="1"/>
  <c r="M627" i="1"/>
  <c r="M551" i="1"/>
  <c r="M558" i="1"/>
  <c r="M356" i="1"/>
  <c r="M515" i="1"/>
  <c r="M69" i="1"/>
  <c r="M498" i="1"/>
  <c r="M213" i="1"/>
  <c r="M133" i="1"/>
  <c r="M107" i="1"/>
  <c r="M11" i="1"/>
  <c r="M547" i="1"/>
  <c r="M149" i="1"/>
  <c r="M175" i="1"/>
  <c r="M5" i="1"/>
  <c r="M199" i="1"/>
  <c r="M286" i="1"/>
  <c r="M35" i="1"/>
  <c r="M643" i="1"/>
  <c r="M139" i="1"/>
  <c r="M458" i="1"/>
  <c r="M156" i="1"/>
  <c r="M300" i="1"/>
  <c r="M220" i="1"/>
  <c r="M135" i="1"/>
  <c r="M196" i="1"/>
  <c r="M243" i="1"/>
  <c r="M115" i="1"/>
  <c r="M246" i="1"/>
  <c r="M214" i="1"/>
  <c r="M182" i="1"/>
  <c r="M166" i="1"/>
  <c r="M150" i="1"/>
  <c r="M134" i="1"/>
  <c r="M118" i="1"/>
  <c r="M445" i="1"/>
  <c r="M3" i="1"/>
  <c r="M457" i="1"/>
  <c r="M313" i="1"/>
  <c r="M270" i="1"/>
  <c r="M639" i="1"/>
  <c r="M273" i="1"/>
  <c r="M575" i="1"/>
  <c r="M675" i="1"/>
  <c r="M611" i="1"/>
  <c r="M315" i="1"/>
  <c r="M299" i="1"/>
  <c r="M283" i="1"/>
  <c r="M267" i="1"/>
  <c r="M678" i="1"/>
  <c r="M646" i="1"/>
  <c r="M614" i="1"/>
  <c r="M582" i="1"/>
  <c r="M685" i="1"/>
  <c r="M653" i="1"/>
  <c r="M621" i="1"/>
  <c r="M589" i="1"/>
  <c r="M7" i="1"/>
  <c r="M465" i="1"/>
  <c r="M346" i="1"/>
  <c r="M261" i="1"/>
  <c r="M192" i="1"/>
  <c r="M308" i="1"/>
  <c r="M227" i="1"/>
  <c r="M194" i="1"/>
  <c r="M21" i="1"/>
  <c r="M233" i="1"/>
  <c r="M201" i="1"/>
  <c r="M121" i="1"/>
  <c r="M36" i="1"/>
  <c r="M269" i="1"/>
  <c r="M15" i="1"/>
  <c r="M381" i="1"/>
  <c r="M296" i="1"/>
  <c r="M260" i="1"/>
  <c r="M293" i="1"/>
  <c r="M374" i="1"/>
  <c r="M268" i="1"/>
  <c r="M543" i="1"/>
  <c r="M635" i="1"/>
  <c r="M560" i="1"/>
  <c r="M9" i="1"/>
  <c r="M474" i="1"/>
  <c r="M19" i="1"/>
  <c r="M462" i="1"/>
  <c r="M362" i="1"/>
  <c r="M684" i="1"/>
  <c r="M652" i="1"/>
  <c r="M563" i="1"/>
  <c r="M2" i="1"/>
  <c r="M235" i="1"/>
  <c r="M171" i="1"/>
  <c r="M248" i="1"/>
  <c r="M255" i="1"/>
  <c r="M599" i="1"/>
  <c r="M208" i="1"/>
  <c r="M136" i="1"/>
  <c r="M410" i="1"/>
  <c r="M242" i="1"/>
  <c r="M226" i="1"/>
  <c r="M178" i="1"/>
  <c r="M146" i="1"/>
  <c r="M130" i="1"/>
  <c r="M114" i="1"/>
  <c r="M85" i="1"/>
  <c r="M297" i="1"/>
  <c r="M32" i="1"/>
  <c r="M405" i="1"/>
  <c r="M249" i="1"/>
  <c r="M217" i="1"/>
  <c r="M185" i="1"/>
  <c r="M153" i="1"/>
  <c r="M100" i="1"/>
  <c r="M4" i="1"/>
  <c r="M354" i="1"/>
  <c r="M682" i="1"/>
  <c r="M111" i="1"/>
  <c r="M481" i="1"/>
  <c r="M34" i="1"/>
  <c r="M18" i="1"/>
  <c r="M454" i="1"/>
  <c r="M422" i="1"/>
  <c r="M345" i="1"/>
  <c r="M302" i="1"/>
  <c r="M511" i="1"/>
  <c r="M495" i="1"/>
  <c r="M479" i="1"/>
  <c r="M463" i="1"/>
  <c r="M415" i="1"/>
  <c r="M399" i="1"/>
  <c r="M378" i="1"/>
  <c r="M314" i="1"/>
  <c r="M272" i="1"/>
  <c r="M687" i="1"/>
  <c r="M623" i="1"/>
  <c r="M536" i="1"/>
  <c r="M508" i="1"/>
  <c r="M492" i="1"/>
  <c r="M476" i="1"/>
  <c r="M460" i="1"/>
  <c r="M332" i="1"/>
  <c r="M310" i="1"/>
  <c r="M289" i="1"/>
  <c r="M690" i="1"/>
  <c r="M667" i="1"/>
  <c r="M603" i="1"/>
  <c r="M327" i="1"/>
  <c r="M311" i="1"/>
  <c r="M295" i="1"/>
  <c r="M279" i="1"/>
  <c r="M263" i="1"/>
  <c r="M670" i="1"/>
  <c r="M638" i="1"/>
  <c r="M606" i="1"/>
  <c r="M567" i="1"/>
  <c r="M665" i="1"/>
  <c r="M649" i="1"/>
  <c r="M633" i="1"/>
  <c r="M601" i="1"/>
  <c r="M585" i="1"/>
  <c r="M556" i="1"/>
  <c r="M524" i="1"/>
  <c r="M680" i="1"/>
  <c r="M664" i="1"/>
  <c r="M648" i="1"/>
  <c r="M632" i="1"/>
  <c r="M616" i="1"/>
  <c r="M600" i="1"/>
  <c r="M584" i="1"/>
  <c r="M555" i="1"/>
  <c r="M578" i="1"/>
  <c r="M562" i="1"/>
  <c r="M530" i="1"/>
  <c r="M569" i="1"/>
  <c r="M537" i="1"/>
  <c r="M489" i="1"/>
  <c r="M316" i="1"/>
  <c r="M668" i="1"/>
  <c r="M636" i="1"/>
  <c r="M620" i="1"/>
  <c r="M604" i="1"/>
  <c r="M588" i="1"/>
  <c r="M223" i="1"/>
  <c r="M191" i="1"/>
  <c r="M159" i="1"/>
  <c r="M127" i="1"/>
  <c r="M65" i="1"/>
  <c r="M244" i="1"/>
  <c r="M124" i="1"/>
  <c r="M188" i="1"/>
  <c r="M219" i="1"/>
  <c r="M151" i="1"/>
  <c r="M172" i="1"/>
  <c r="M147" i="1"/>
  <c r="M17" i="1"/>
  <c r="M490" i="1"/>
  <c r="M256" i="1"/>
  <c r="M128" i="1"/>
  <c r="M73" i="1"/>
  <c r="M361" i="1"/>
  <c r="M276" i="1"/>
  <c r="M16" i="1"/>
  <c r="M365" i="1"/>
  <c r="M245" i="1"/>
  <c r="M229" i="1"/>
  <c r="M165" i="1"/>
  <c r="M117" i="1"/>
  <c r="M60" i="1"/>
  <c r="M333" i="1"/>
  <c r="M618" i="1"/>
  <c r="M75" i="1"/>
  <c r="M43" i="1"/>
  <c r="M285" i="1"/>
  <c r="M30" i="1"/>
  <c r="M14" i="1"/>
  <c r="M510" i="1"/>
  <c r="M478" i="1"/>
  <c r="M377" i="1"/>
  <c r="M292" i="1"/>
  <c r="M475" i="1"/>
  <c r="M459" i="1"/>
  <c r="M394" i="1"/>
  <c r="M488" i="1"/>
  <c r="M369" i="1"/>
  <c r="M262" i="1"/>
  <c r="M691" i="1"/>
  <c r="M659" i="1"/>
  <c r="M323" i="1"/>
  <c r="M307" i="1"/>
  <c r="M291" i="1"/>
  <c r="M275" i="1"/>
  <c r="M259" i="1"/>
  <c r="M662" i="1"/>
  <c r="M630" i="1"/>
  <c r="M598" i="1"/>
  <c r="M677" i="1"/>
  <c r="M661" i="1"/>
  <c r="M645" i="1"/>
  <c r="M629" i="1"/>
  <c r="M613" i="1"/>
  <c r="M597" i="1"/>
  <c r="M579" i="1"/>
  <c r="M581" i="1"/>
  <c r="M549" i="1"/>
  <c r="M517" i="1"/>
  <c r="M50" i="1"/>
  <c r="M353" i="1"/>
  <c r="M681" i="1"/>
  <c r="M617" i="1"/>
  <c r="M232" i="1"/>
  <c r="M184" i="1"/>
  <c r="M24" i="1"/>
  <c r="M254" i="1"/>
  <c r="M222" i="1"/>
  <c r="M190" i="1"/>
  <c r="M126" i="1"/>
  <c r="M13" i="1"/>
  <c r="M586" i="1"/>
  <c r="M28" i="1"/>
  <c r="M59" i="1"/>
  <c r="M602" i="1"/>
  <c r="M309" i="1"/>
  <c r="M266" i="1"/>
  <c r="M472" i="1"/>
  <c r="M674" i="1"/>
  <c r="M580" i="1"/>
  <c r="M516" i="1"/>
  <c r="M676" i="1"/>
  <c r="M644" i="1"/>
  <c r="M612" i="1"/>
  <c r="M596" i="1"/>
  <c r="M565" i="1"/>
  <c r="M236" i="1"/>
  <c r="M160" i="1"/>
  <c r="M207" i="1"/>
  <c r="M148" i="1"/>
  <c r="M25" i="1"/>
  <c r="M251" i="1"/>
  <c r="M187" i="1"/>
  <c r="M123" i="1"/>
  <c r="M200" i="1"/>
  <c r="M231" i="1"/>
  <c r="M140" i="1"/>
  <c r="M265" i="1"/>
  <c r="M224" i="1"/>
  <c r="M152" i="1"/>
  <c r="M112" i="1"/>
  <c r="M56" i="1"/>
  <c r="M453" i="1"/>
  <c r="M301" i="1"/>
  <c r="M93" i="1"/>
  <c r="M29" i="1"/>
  <c r="M466" i="1"/>
  <c r="M318" i="1"/>
  <c r="M437" i="1"/>
  <c r="M280" i="1"/>
  <c r="M253" i="1"/>
  <c r="M237" i="1"/>
  <c r="M221" i="1"/>
  <c r="M205" i="1"/>
  <c r="M189" i="1"/>
  <c r="M173" i="1"/>
  <c r="M141" i="1"/>
  <c r="M125" i="1"/>
  <c r="M108" i="1"/>
  <c r="M44" i="1"/>
  <c r="M12" i="1"/>
  <c r="M376" i="1"/>
  <c r="M290" i="1"/>
  <c r="M349" i="1"/>
  <c r="M264" i="1"/>
  <c r="M679" i="1"/>
  <c r="M70" i="1"/>
  <c r="M54" i="1"/>
  <c r="M38" i="1"/>
  <c r="M22" i="1"/>
  <c r="M6" i="1"/>
  <c r="M494" i="1"/>
  <c r="M666" i="1"/>
  <c r="M483" i="1"/>
  <c r="M467" i="1"/>
  <c r="M419" i="1"/>
  <c r="M403" i="1"/>
  <c r="M384" i="1"/>
  <c r="M341" i="1"/>
  <c r="M320" i="1"/>
  <c r="M298" i="1"/>
  <c r="M496" i="1"/>
  <c r="M480" i="1"/>
  <c r="M464" i="1"/>
  <c r="M416" i="1"/>
  <c r="M400" i="1"/>
  <c r="M380" i="1"/>
  <c r="M358" i="1"/>
  <c r="M337" i="1"/>
  <c r="M294" i="1"/>
  <c r="M642" i="1"/>
  <c r="M576" i="1"/>
  <c r="M669" i="1"/>
  <c r="M637" i="1"/>
  <c r="M605" i="1"/>
  <c r="M564" i="1"/>
  <c r="M532" i="1"/>
  <c r="M566" i="1"/>
  <c r="M550" i="1"/>
  <c r="M534" i="1"/>
  <c r="M518" i="1"/>
  <c r="M573" i="1"/>
  <c r="M557" i="1"/>
  <c r="M541" i="1"/>
  <c r="M493" i="1"/>
  <c r="M634" i="1"/>
  <c r="M336" i="1"/>
  <c r="M546" i="1"/>
  <c r="M553" i="1"/>
  <c r="M116" i="1"/>
  <c r="M33" i="1"/>
  <c r="M238" i="1"/>
  <c r="M206" i="1"/>
  <c r="M142" i="1"/>
  <c r="M45" i="1"/>
  <c r="M328" i="1"/>
  <c r="M78" i="1"/>
  <c r="M46" i="1"/>
  <c r="M373" i="1"/>
  <c r="M504" i="1"/>
  <c r="M456" i="1"/>
  <c r="M390" i="1"/>
  <c r="M348" i="1"/>
  <c r="M326" i="1"/>
  <c r="M610" i="1"/>
  <c r="M548" i="1"/>
  <c r="M660" i="1"/>
  <c r="M628" i="1"/>
  <c r="M574" i="1"/>
  <c r="M542" i="1"/>
  <c r="M533" i="1"/>
  <c r="M372" i="1"/>
  <c r="M216" i="1"/>
  <c r="M143" i="1"/>
  <c r="M110" i="1"/>
  <c r="M212" i="1"/>
  <c r="M663" i="1"/>
  <c r="M195" i="1"/>
  <c r="M131" i="1"/>
  <c r="M240" i="1"/>
  <c r="M120" i="1"/>
  <c r="M41" i="1"/>
  <c r="M8" i="1"/>
  <c r="M344" i="1"/>
  <c r="M250" i="1"/>
  <c r="M234" i="1"/>
  <c r="M218" i="1"/>
  <c r="M202" i="1"/>
  <c r="M186" i="1"/>
  <c r="M170" i="1"/>
  <c r="M138" i="1"/>
  <c r="M122" i="1"/>
  <c r="M37" i="1"/>
  <c r="M482" i="1"/>
  <c r="M418" i="1"/>
  <c r="M340" i="1"/>
  <c r="M631" i="1"/>
  <c r="M64" i="1"/>
  <c r="M257" i="1"/>
  <c r="M241" i="1"/>
  <c r="M225" i="1"/>
  <c r="M209" i="1"/>
  <c r="M193" i="1"/>
  <c r="M145" i="1"/>
  <c r="M129" i="1"/>
  <c r="M113" i="1"/>
  <c r="M20" i="1"/>
  <c r="M461" i="1"/>
  <c r="M312" i="1"/>
  <c r="M71" i="1"/>
  <c r="M497" i="1"/>
  <c r="M360" i="1"/>
  <c r="M317" i="1"/>
  <c r="M583" i="1"/>
  <c r="M74" i="1"/>
  <c r="M58" i="1"/>
  <c r="M42" i="1"/>
  <c r="M10" i="1"/>
  <c r="M470" i="1"/>
  <c r="M438" i="1"/>
  <c r="M324" i="1"/>
  <c r="M487" i="1"/>
  <c r="M471" i="1"/>
  <c r="M455" i="1"/>
  <c r="M423" i="1"/>
  <c r="M389" i="1"/>
  <c r="M368" i="1"/>
  <c r="M325" i="1"/>
  <c r="M468" i="1"/>
  <c r="M404" i="1"/>
  <c r="M385" i="1"/>
  <c r="M342" i="1"/>
  <c r="M321" i="1"/>
  <c r="M278" i="1"/>
  <c r="M658" i="1"/>
  <c r="M594" i="1"/>
  <c r="M683" i="1"/>
  <c r="M651" i="1"/>
  <c r="M619" i="1"/>
  <c r="M587" i="1"/>
  <c r="M528" i="1"/>
  <c r="M535" i="1"/>
  <c r="M689" i="1"/>
  <c r="M673" i="1"/>
  <c r="M657" i="1"/>
  <c r="M641" i="1"/>
  <c r="M625" i="1"/>
  <c r="M609" i="1"/>
  <c r="M593" i="1"/>
  <c r="M688" i="1"/>
  <c r="M672" i="1"/>
  <c r="M656" i="1"/>
  <c r="M640" i="1"/>
  <c r="M624" i="1"/>
  <c r="M608" i="1"/>
  <c r="M592" i="1"/>
  <c r="M571" i="1"/>
  <c r="M539" i="1"/>
  <c r="M570" i="1"/>
  <c r="M554" i="1"/>
  <c r="M538" i="1"/>
  <c r="M577" i="1"/>
  <c r="M561" i="1"/>
  <c r="M545" i="1"/>
  <c r="M529" i="1"/>
  <c r="G4" i="10"/>
  <c r="A2" i="7"/>
  <c r="G6" i="6" l="1"/>
  <c r="G10" i="6"/>
  <c r="H5" i="6"/>
  <c r="H9" i="6"/>
  <c r="G5" i="6"/>
  <c r="G3" i="6"/>
  <c r="G7" i="6"/>
  <c r="G11" i="6"/>
  <c r="H6" i="6"/>
  <c r="H10" i="6"/>
  <c r="H4" i="6"/>
  <c r="H8" i="6"/>
  <c r="G4" i="6"/>
  <c r="G8" i="6"/>
  <c r="H3" i="6"/>
  <c r="H7" i="6"/>
  <c r="H11" i="6"/>
  <c r="G9" i="6"/>
  <c r="H2" i="6"/>
  <c r="G2" i="6"/>
</calcChain>
</file>

<file path=xl/sharedStrings.xml><?xml version="1.0" encoding="utf-8"?>
<sst xmlns="http://schemas.openxmlformats.org/spreadsheetml/2006/main" count="21483" uniqueCount="161">
  <si>
    <t>Population</t>
  </si>
  <si>
    <t>Cost Basis</t>
  </si>
  <si>
    <t>Period</t>
  </si>
  <si>
    <t>IsCompleted</t>
  </si>
  <si>
    <t>Trend</t>
  </si>
  <si>
    <t>Trend Order</t>
  </si>
  <si>
    <t>Staging Data</t>
  </si>
  <si>
    <t>Production Data</t>
  </si>
  <si>
    <t>Staging Incurred Claims</t>
  </si>
  <si>
    <t>Staging Paid Claims</t>
  </si>
  <si>
    <t>Production Incurred Claims</t>
  </si>
  <si>
    <t>Production Paid Claims</t>
  </si>
  <si>
    <t>Medical PMPM</t>
  </si>
  <si>
    <t>Drug PMPM</t>
  </si>
  <si>
    <t>Overall PMPM</t>
  </si>
  <si>
    <t>Readmission Cost</t>
  </si>
  <si>
    <t>Readmission Quality</t>
  </si>
  <si>
    <t>Avoidable Admission Cost</t>
  </si>
  <si>
    <t>Avoidable Admission Quality</t>
  </si>
  <si>
    <t>Outpatient Imaging Cost</t>
  </si>
  <si>
    <t>Hospiatl Outpatient MRIs per 1k</t>
  </si>
  <si>
    <t>Hospiatl Outpatient CTs per 1k</t>
  </si>
  <si>
    <t>Office Based MRIs per 1k</t>
  </si>
  <si>
    <t>Office Based CTs per 1k</t>
  </si>
  <si>
    <t>ED Cost</t>
  </si>
  <si>
    <t>ED Utilization</t>
  </si>
  <si>
    <t>Drug - Generic Utilization Cost</t>
  </si>
  <si>
    <t>Drug - Generic Utilization</t>
  </si>
  <si>
    <t>Chronic Disease Management - Cost</t>
  </si>
  <si>
    <t>Chronic Disease Management - Members</t>
  </si>
  <si>
    <t>Inpatient Claim Count</t>
  </si>
  <si>
    <t>Outpatient Claim Count</t>
  </si>
  <si>
    <t>Professional Claim Count</t>
  </si>
  <si>
    <t>Ancillary Claim Count</t>
  </si>
  <si>
    <t>Drug Claim Count</t>
  </si>
  <si>
    <t>Data</t>
  </si>
  <si>
    <t>Incurred Claims</t>
  </si>
  <si>
    <t>Paid Claims</t>
  </si>
  <si>
    <t>Vlookup</t>
  </si>
  <si>
    <t>Row Labels</t>
  </si>
  <si>
    <t>Grand Total</t>
  </si>
  <si>
    <t>All Tabs Trend</t>
  </si>
  <si>
    <t>IBNR Staging vs Production</t>
  </si>
  <si>
    <t>Staging</t>
  </si>
  <si>
    <t>Production</t>
  </si>
  <si>
    <t>Incomplete Months</t>
  </si>
  <si>
    <t>Trend Sheet Reference</t>
  </si>
  <si>
    <t>Tab</t>
  </si>
  <si>
    <t>Description</t>
  </si>
  <si>
    <t>All Trend Sheet</t>
  </si>
  <si>
    <t>IBNR Trend Sheet</t>
  </si>
  <si>
    <t>Here we can test the IBNR trend as we see in the CPRM site</t>
  </si>
  <si>
    <t>This will show the no of incomplete months b/w staging and production</t>
  </si>
  <si>
    <t>This tab is used to test all the trends in the site. Except EBM</t>
  </si>
  <si>
    <t>Test Cases Covered</t>
  </si>
  <si>
    <t>Test Cases Yet to Cover</t>
  </si>
  <si>
    <t>Patients, Physicians, Population Dashboard (Qualtiy and Utilization summary) and EBM</t>
  </si>
  <si>
    <t>File movement</t>
  </si>
  <si>
    <t>Verified</t>
  </si>
  <si>
    <t>Comments</t>
  </si>
  <si>
    <t>Check whether the member files are moved to \\atxentntap-p01a\CDA_Archive\DM\Files</t>
  </si>
  <si>
    <t>Check whether mail is attached to SF ticket when files sent to MM</t>
  </si>
  <si>
    <t>Check whether  all the member files are deleted from the temp folder once files are sent to MM</t>
  </si>
  <si>
    <t>Smoke test</t>
  </si>
  <si>
    <t>Check whether .bak name is addded</t>
  </si>
  <si>
    <t>Check whether current dataload instance is mark completed in DM</t>
  </si>
  <si>
    <t>If 10.3.bak check whether Episodes Explorer is enabled</t>
  </si>
  <si>
    <t>Enable Domestic Steerage for New members (Mandatory)</t>
  </si>
  <si>
    <t>Enable Domestic steerage based on the Domestic Fag information in the Physicians tab for Existing members</t>
  </si>
  <si>
    <t>Check whether Validation mail is attached in the SF after completing Smoke test</t>
  </si>
  <si>
    <t>New Memberorg creation</t>
  </si>
  <si>
    <t>Check whether all steps are performed from the following wiki page</t>
  </si>
  <si>
    <t>https://wiki.advisory.com/login.action;jsessionid=05F1141AFC5C97FD163DFCBE0D2142E0?os_destination=%2Fpages%2Fviewpage.action%3Ftitle%3DCPRM%2BSite%2BBuild%26spaceKey%3DCPRM</t>
  </si>
  <si>
    <t>Check whether Siam is enabled in both Production and Staging</t>
  </si>
  <si>
    <t>Check whether staging and production site are deployed in Site Manager</t>
  </si>
  <si>
    <t>Verify dates are updated in Datamilestones in SAlesforce ticket</t>
  </si>
  <si>
    <t xml:space="preserve">Verify DM instance and SalesForce description are for the same month </t>
  </si>
  <si>
    <t>Incurred</t>
  </si>
  <si>
    <t>Paid</t>
  </si>
  <si>
    <t>Other Checks</t>
  </si>
  <si>
    <t>DisplayName</t>
  </si>
  <si>
    <t>Tabs</t>
  </si>
  <si>
    <t>Checks</t>
  </si>
  <si>
    <t>Results</t>
  </si>
  <si>
    <t>Prodution</t>
  </si>
  <si>
    <t>Display Name</t>
  </si>
  <si>
    <t>Critical</t>
  </si>
  <si>
    <t>Trivial</t>
  </si>
  <si>
    <t>Perc Deviation</t>
  </si>
  <si>
    <t>Result</t>
  </si>
  <si>
    <t>CHESAPEAKE EMPLOYEE</t>
  </si>
  <si>
    <t>Allowed</t>
  </si>
  <si>
    <t>2016-03-01</t>
  </si>
  <si>
    <t>Y</t>
  </si>
  <si>
    <t>2016-04-01</t>
  </si>
  <si>
    <t>2016-05-01</t>
  </si>
  <si>
    <t>2016-06-01</t>
  </si>
  <si>
    <t>2016-07-01</t>
  </si>
  <si>
    <t>2016-08-01</t>
  </si>
  <si>
    <t>2016-09-01</t>
  </si>
  <si>
    <t>2016-10-01</t>
  </si>
  <si>
    <t>2016-11-01</t>
  </si>
  <si>
    <t>2016-12-01</t>
  </si>
  <si>
    <t>2017-01-01</t>
  </si>
  <si>
    <t>2017-02-01</t>
  </si>
  <si>
    <t>2017-03-01</t>
  </si>
  <si>
    <t>N</t>
  </si>
  <si>
    <t>2017-04-01</t>
  </si>
  <si>
    <t>2017-05-01</t>
  </si>
  <si>
    <t>Focus</t>
  </si>
  <si>
    <t>No of Incomplete Months</t>
  </si>
  <si>
    <t>March-17(73%), May-17(39%</t>
  </si>
  <si>
    <t>Patients</t>
  </si>
  <si>
    <t>No of Patients</t>
  </si>
  <si>
    <t>5369</t>
  </si>
  <si>
    <t>PCPs</t>
  </si>
  <si>
    <t>No of PCPs</t>
  </si>
  <si>
    <t>785</t>
  </si>
  <si>
    <t>PCPs - Not Affiliated with practice</t>
  </si>
  <si>
    <t>49</t>
  </si>
  <si>
    <t>PCPs with "Non-Domestic" Network Affiliation</t>
  </si>
  <si>
    <t>375</t>
  </si>
  <si>
    <t>PCPs with "Unknown" Network Affiliation</t>
  </si>
  <si>
    <t>318</t>
  </si>
  <si>
    <t>Practice</t>
  </si>
  <si>
    <t>No of Practice</t>
  </si>
  <si>
    <t>460</t>
  </si>
  <si>
    <t>BAYVIEW EMPLOYEE</t>
  </si>
  <si>
    <t>MSSP_ATTRIBUTED</t>
  </si>
  <si>
    <t>MSSP_NONATTRIBUTED</t>
  </si>
  <si>
    <t>2015-11-01</t>
  </si>
  <si>
    <t>2015-12-01</t>
  </si>
  <si>
    <t>2016-01-01</t>
  </si>
  <si>
    <t>2016-02-01</t>
  </si>
  <si>
    <t>2015-10-01</t>
  </si>
  <si>
    <t>November-16(67%), December-16(79%), January-17(33%</t>
  </si>
  <si>
    <t>1511</t>
  </si>
  <si>
    <t>394</t>
  </si>
  <si>
    <t>26</t>
  </si>
  <si>
    <t>181</t>
  </si>
  <si>
    <t>121</t>
  </si>
  <si>
    <t>224</t>
  </si>
  <si>
    <t>February-17(87%), March-17(93%), April-17(42%</t>
  </si>
  <si>
    <t>5370</t>
  </si>
  <si>
    <t>772</t>
  </si>
  <si>
    <t>52</t>
  </si>
  <si>
    <t>361</t>
  </si>
  <si>
    <t>320</t>
  </si>
  <si>
    <t>October-16(92%), November-16(78%), December-16(20%</t>
  </si>
  <si>
    <t>19027</t>
  </si>
  <si>
    <t>976</t>
  </si>
  <si>
    <t>98</t>
  </si>
  <si>
    <t>617</t>
  </si>
  <si>
    <t>519</t>
  </si>
  <si>
    <t>October-16(93%), November-16(80%), December-16(22%</t>
  </si>
  <si>
    <t>14407</t>
  </si>
  <si>
    <t>2099</t>
  </si>
  <si>
    <t>251</t>
  </si>
  <si>
    <t>1243</t>
  </si>
  <si>
    <t>649</t>
  </si>
  <si>
    <t>1218</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</si>
</sst>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4"/>
      <color theme="1"/>
      <name val="Calibri"/>
      <family val="2"/>
      <scheme val="minor"/>
    </font>
    <font>
      <b/>
      <sz val="11"/>
      <color theme="1"/>
      <name val="Calibri"/>
      <family val="2"/>
      <scheme val="minor"/>
    </font>
    <font>
      <u/>
      <sz val="11"/>
      <color theme="10"/>
      <name val="Calibri"/>
      <family val="2"/>
      <scheme val="minor"/>
    </font>
    <font>
      <b/>
      <i/>
      <sz val="14"/>
      <color rgb="FF0066CC"/>
      <name val="Calibri"/>
      <family val="2"/>
    </font>
  </fonts>
  <fills count="3">
    <fill>
      <patternFill patternType="none"/>
    </fill>
    <fill>
      <patternFill patternType="gray125"/>
    </fill>
    <fill>
      <patternFill patternType="solid">
        <fgColor theme="5"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Font="1" applyAlignment="1">
      <alignment horizontal="left"/>
    </xf>
    <xf numFmtId="0" fontId="0" fillId="0" borderId="0" xfId="0" applyNumberFormat="1"/>
    <xf numFmtId="0" fontId="1" fillId="0" borderId="0" xfId="0" applyFont="1" applyAlignment="1">
      <alignment horizontal="left"/>
    </xf>
    <xf numFmtId="14" fontId="0" fillId="0" borderId="0" xfId="0" applyNumberFormat="1" applyAlignment="1">
      <alignment horizontal="left"/>
    </xf>
    <xf numFmtId="0" fontId="0" fillId="0" borderId="1" xfId="0" applyBorder="1"/>
    <xf numFmtId="0" fontId="2" fillId="0" borderId="0" xfId="0" applyFont="1"/>
    <xf numFmtId="0" fontId="1" fillId="0" borderId="0" xfId="0" applyFont="1"/>
    <xf numFmtId="0" fontId="2" fillId="2" borderId="1" xfId="0" applyFont="1" applyFill="1" applyBorder="1"/>
    <xf numFmtId="0" fontId="2" fillId="0" borderId="0" xfId="0" applyFont="1" applyBorder="1"/>
    <xf numFmtId="0" fontId="0" fillId="0" borderId="0" xfId="0" applyBorder="1"/>
    <xf numFmtId="0" fontId="3" fillId="0" borderId="0" xfId="1" applyAlignment="1"/>
    <xf numFmtId="0" fontId="0" fillId="0" borderId="0" xfId="0" applyAlignment="1"/>
    <xf numFmtId="0" fontId="0" fillId="0" borderId="0" xfId="0" applyBorder="1" applyAlignment="1"/>
    <xf numFmtId="0" fontId="1" fillId="0" borderId="0" xfId="0" applyFont="1" applyAlignment="1">
      <alignment horizontal="left"/>
    </xf>
    <xf numFmtId="0" fontId="0" fillId="0" borderId="0" xfId="0" applyNumberFormat="1" applyAlignment="1">
      <alignment horizontal="left"/>
    </xf>
  </cellXfs>
  <cellStyles count="2">
    <cellStyle name="Hyperlink" xfId="1" builtinId="8"/>
    <cellStyle name="Normal" xfId="0" builtinId="0"/>
  </cellStyles>
  <dxfs count="22">
    <dxf>
      <numFmt numFmtId="0" formatCode="General"/>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[ChesapeakeRegionalMedicalCenter_06_27_2017_Trendsheet.xlsm]Trend Sheet Data!PivotTable1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4.8554615692244618E-2"/>
          <c:y val="6.1580100652556043E-2"/>
          <c:w val="0.91900833778620183"/>
          <c:h val="0.83627248428808787"/>
        </c:manualLayout>
      </c:layout>
      <c:lineChart>
        <c:grouping val="standard"/>
        <c:varyColors val="0"/>
        <c:ser>
          <c:idx val="0"/>
          <c:order val="0"/>
          <c:tx>
            <c:strRef>
              <c:f>'Trend Sheet Data'!$B$1</c:f>
              <c:strCache>
                <c:ptCount val="1"/>
                <c:pt idx="0">
                  <c:v>Production</c:v>
                </c:pt>
              </c:strCache>
            </c:strRef>
          </c:tx>
          <c:cat>
            <c:strRef>
              <c:f>'Trend Sheet Data'!$A$2:$A$17</c:f>
              <c:strCache>
                <c:ptCount val="15"/>
                <c:pt idx="0">
                  <c:v>2016-03-01</c:v>
                </c:pt>
                <c:pt idx="1">
                  <c:v>2016-04-01</c:v>
                </c:pt>
                <c:pt idx="2">
                  <c:v>2016-05-01</c:v>
                </c:pt>
                <c:pt idx="3">
                  <c:v>2016-06-01</c:v>
                </c:pt>
                <c:pt idx="4">
                  <c:v>2016-07-01</c:v>
                </c:pt>
                <c:pt idx="5">
                  <c:v>2016-08-01</c:v>
                </c:pt>
                <c:pt idx="6">
                  <c:v>2016-09-01</c:v>
                </c:pt>
                <c:pt idx="7">
                  <c:v>2016-10-01</c:v>
                </c:pt>
                <c:pt idx="8">
                  <c:v>2016-11-01</c:v>
                </c:pt>
                <c:pt idx="9">
                  <c:v>2016-12-01</c:v>
                </c:pt>
                <c:pt idx="10">
                  <c:v>2017-01-01</c:v>
                </c:pt>
                <c:pt idx="11">
                  <c:v>2017-02-01</c:v>
                </c:pt>
                <c:pt idx="12">
                  <c:v>2017-03-01</c:v>
                </c:pt>
                <c:pt idx="13">
                  <c:v>2017-04-01</c:v>
                </c:pt>
                <c:pt idx="14">
                  <c:v>2017-05-01</c:v>
                </c:pt>
              </c:strCache>
            </c:strRef>
          </c:cat>
          <c:val>
            <c:numRef>
              <c:f>'Trend Sheet Data'!$B$2:$B$17</c:f>
              <c:numCache>
                <c:formatCode>General</c:formatCode>
                <c:ptCount val="15"/>
                <c:pt idx="0">
                  <c:v>212</c:v>
                </c:pt>
                <c:pt idx="1">
                  <c:v>183</c:v>
                </c:pt>
                <c:pt idx="2">
                  <c:v>204</c:v>
                </c:pt>
                <c:pt idx="3">
                  <c:v>233</c:v>
                </c:pt>
                <c:pt idx="4">
                  <c:v>218</c:v>
                </c:pt>
                <c:pt idx="5">
                  <c:v>321</c:v>
                </c:pt>
                <c:pt idx="6">
                  <c:v>287</c:v>
                </c:pt>
                <c:pt idx="7">
                  <c:v>368</c:v>
                </c:pt>
                <c:pt idx="8">
                  <c:v>386</c:v>
                </c:pt>
                <c:pt idx="9">
                  <c:v>304</c:v>
                </c:pt>
                <c:pt idx="10">
                  <c:v>309</c:v>
                </c:pt>
                <c:pt idx="11">
                  <c:v>323</c:v>
                </c:pt>
                <c:pt idx="12">
                  <c:v>241</c:v>
                </c:pt>
                <c:pt idx="13">
                  <c:v>85</c:v>
                </c:pt>
                <c:pt idx="14">
                  <c:v>0</c:v>
                </c:pt>
              </c:numCache>
            </c:numRef>
          </c:val>
          <c:smooth val="0"/>
        </c:ser>
        <c:ser>
          <c:idx val="1"/>
          <c:order val="1"/>
          <c:tx>
            <c:strRef>
              <c:f>'Trend Sheet Data'!$C$1</c:f>
              <c:strCache>
                <c:ptCount val="1"/>
                <c:pt idx="0">
                  <c:v>Staging</c:v>
                </c:pt>
              </c:strCache>
            </c:strRef>
          </c:tx>
          <c:cat>
            <c:strRef>
              <c:f>'Trend Sheet Data'!$A$2:$A$17</c:f>
              <c:strCache>
                <c:ptCount val="15"/>
                <c:pt idx="0">
                  <c:v>2016-03-01</c:v>
                </c:pt>
                <c:pt idx="1">
                  <c:v>2016-04-01</c:v>
                </c:pt>
                <c:pt idx="2">
                  <c:v>2016-05-01</c:v>
                </c:pt>
                <c:pt idx="3">
                  <c:v>2016-06-01</c:v>
                </c:pt>
                <c:pt idx="4">
                  <c:v>2016-07-01</c:v>
                </c:pt>
                <c:pt idx="5">
                  <c:v>2016-08-01</c:v>
                </c:pt>
                <c:pt idx="6">
                  <c:v>2016-09-01</c:v>
                </c:pt>
                <c:pt idx="7">
                  <c:v>2016-10-01</c:v>
                </c:pt>
                <c:pt idx="8">
                  <c:v>2016-11-01</c:v>
                </c:pt>
                <c:pt idx="9">
                  <c:v>2016-12-01</c:v>
                </c:pt>
                <c:pt idx="10">
                  <c:v>2017-01-01</c:v>
                </c:pt>
                <c:pt idx="11">
                  <c:v>2017-02-01</c:v>
                </c:pt>
                <c:pt idx="12">
                  <c:v>2017-03-01</c:v>
                </c:pt>
                <c:pt idx="13">
                  <c:v>2017-04-01</c:v>
                </c:pt>
                <c:pt idx="14">
                  <c:v>2017-05-01</c:v>
                </c:pt>
              </c:strCache>
            </c:strRef>
          </c:cat>
          <c:val>
            <c:numRef>
              <c:f>'Trend Sheet Data'!$C$2:$C$17</c:f>
              <c:numCache>
                <c:formatCode>General</c:formatCode>
                <c:ptCount val="15"/>
                <c:pt idx="0">
                  <c:v>208</c:v>
                </c:pt>
                <c:pt idx="1">
                  <c:v>171</c:v>
                </c:pt>
                <c:pt idx="2">
                  <c:v>196</c:v>
                </c:pt>
                <c:pt idx="3">
                  <c:v>230</c:v>
                </c:pt>
                <c:pt idx="4">
                  <c:v>215</c:v>
                </c:pt>
                <c:pt idx="5">
                  <c:v>318</c:v>
                </c:pt>
                <c:pt idx="6">
                  <c:v>299</c:v>
                </c:pt>
                <c:pt idx="7">
                  <c:v>352</c:v>
                </c:pt>
                <c:pt idx="8">
                  <c:v>365</c:v>
                </c:pt>
                <c:pt idx="9">
                  <c:v>300</c:v>
                </c:pt>
                <c:pt idx="10">
                  <c:v>306</c:v>
                </c:pt>
                <c:pt idx="11">
                  <c:v>377</c:v>
                </c:pt>
                <c:pt idx="12">
                  <c:v>268</c:v>
                </c:pt>
                <c:pt idx="13">
                  <c:v>191</c:v>
                </c:pt>
                <c:pt idx="14">
                  <c:v>143</c:v>
                </c:pt>
              </c:numCache>
            </c:numRef>
          </c:val>
          <c:smooth val="0"/>
        </c:ser>
        <c:dLbls>
          <c:showLegendKey val="0"/>
          <c:showVal val="0"/>
          <c:showCatName val="0"/>
          <c:showSerName val="0"/>
          <c:showPercent val="0"/>
          <c:showBubbleSize val="0"/>
        </c:dLbls>
        <c:marker val="1"/>
        <c:smooth val="0"/>
        <c:axId val="110929408"/>
        <c:axId val="108272960"/>
      </c:lineChart>
      <c:catAx>
        <c:axId val="110929408"/>
        <c:scaling>
          <c:orientation val="minMax"/>
        </c:scaling>
        <c:delete val="0"/>
        <c:axPos val="b"/>
        <c:numFmt formatCode="General" sourceLinked="0"/>
        <c:majorTickMark val="out"/>
        <c:minorTickMark val="none"/>
        <c:tickLblPos val="nextTo"/>
        <c:crossAx val="108272960"/>
        <c:crosses val="autoZero"/>
        <c:auto val="1"/>
        <c:lblAlgn val="ctr"/>
        <c:lblOffset val="100"/>
        <c:noMultiLvlLbl val="0"/>
      </c:catAx>
      <c:valAx>
        <c:axId val="108272960"/>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10929408"/>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65609848064766552"/>
          <c:y val="0"/>
          <c:w val="0.30634283390632511"/>
          <c:h val="5.7760761556181615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[ChesapeakeRegionalMedicalCenter_06_27_2017_Trendsheet.xlsm]IBNR Trend Sheet Data!PivotTable2</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s>
    <c:plotArea>
      <c:layout/>
      <c:lineChart>
        <c:grouping val="standard"/>
        <c:varyColors val="0"/>
        <c:ser>
          <c:idx val="0"/>
          <c:order val="0"/>
          <c:tx>
            <c:strRef>
              <c:f>'IBNR Trend Sheet Data'!$B$1</c:f>
              <c:strCache>
                <c:ptCount val="1"/>
                <c:pt idx="0">
                  <c:v>Incurred</c:v>
                </c:pt>
              </c:strCache>
            </c:strRef>
          </c:tx>
          <c:cat>
            <c:strRef>
              <c:f>'IBNR Trend Sheet Data'!$A$2:$A$7</c:f>
              <c:strCache>
                <c:ptCount val="5"/>
                <c:pt idx="0">
                  <c:v>2017-01-01</c:v>
                </c:pt>
                <c:pt idx="1">
                  <c:v>2017-02-01</c:v>
                </c:pt>
                <c:pt idx="2">
                  <c:v>2017-03-01</c:v>
                </c:pt>
                <c:pt idx="3">
                  <c:v>2017-04-01</c:v>
                </c:pt>
                <c:pt idx="4">
                  <c:v>2017-05-01</c:v>
                </c:pt>
              </c:strCache>
            </c:strRef>
          </c:cat>
          <c:val>
            <c:numRef>
              <c:f>'IBNR Trend Sheet Data'!$B$2:$B$7</c:f>
              <c:numCache>
                <c:formatCode>General</c:formatCode>
                <c:ptCount val="5"/>
                <c:pt idx="0">
                  <c:v>1167603.92</c:v>
                </c:pt>
                <c:pt idx="1">
                  <c:v>2380787.23</c:v>
                </c:pt>
                <c:pt idx="2">
                  <c:v>4237391.9400000004</c:v>
                </c:pt>
                <c:pt idx="3">
                  <c:v>6341718.04</c:v>
                </c:pt>
                <c:pt idx="4">
                  <c:v>8041989.9500000002</c:v>
                </c:pt>
              </c:numCache>
            </c:numRef>
          </c:val>
          <c:smooth val="0"/>
        </c:ser>
        <c:ser>
          <c:idx val="1"/>
          <c:order val="1"/>
          <c:tx>
            <c:strRef>
              <c:f>'IBNR Trend Sheet Data'!$C$1</c:f>
              <c:strCache>
                <c:ptCount val="1"/>
                <c:pt idx="0">
                  <c:v>Paid</c:v>
                </c:pt>
              </c:strCache>
            </c:strRef>
          </c:tx>
          <c:cat>
            <c:strRef>
              <c:f>'IBNR Trend Sheet Data'!$A$2:$A$7</c:f>
              <c:strCache>
                <c:ptCount val="5"/>
                <c:pt idx="0">
                  <c:v>2017-01-01</c:v>
                </c:pt>
                <c:pt idx="1">
                  <c:v>2017-02-01</c:v>
                </c:pt>
                <c:pt idx="2">
                  <c:v>2017-03-01</c:v>
                </c:pt>
                <c:pt idx="3">
                  <c:v>2017-04-01</c:v>
                </c:pt>
                <c:pt idx="4">
                  <c:v>2017-05-01</c:v>
                </c:pt>
              </c:strCache>
            </c:strRef>
          </c:cat>
          <c:val>
            <c:numRef>
              <c:f>'IBNR Trend Sheet Data'!$C$2:$C$7</c:f>
              <c:numCache>
                <c:formatCode>General</c:formatCode>
                <c:ptCount val="5"/>
                <c:pt idx="0">
                  <c:v>1125322.69</c:v>
                </c:pt>
                <c:pt idx="1">
                  <c:v>2277707.59</c:v>
                </c:pt>
                <c:pt idx="2">
                  <c:v>3646264.42</c:v>
                </c:pt>
                <c:pt idx="3">
                  <c:v>5621674.6600000001</c:v>
                </c:pt>
                <c:pt idx="4">
                  <c:v>6272675.8399999999</c:v>
                </c:pt>
              </c:numCache>
            </c:numRef>
          </c:val>
          <c:smooth val="0"/>
        </c:ser>
        <c:dLbls>
          <c:showLegendKey val="0"/>
          <c:showVal val="0"/>
          <c:showCatName val="0"/>
          <c:showSerName val="0"/>
          <c:showPercent val="0"/>
          <c:showBubbleSize val="0"/>
        </c:dLbls>
        <c:marker val="1"/>
        <c:smooth val="0"/>
        <c:axId val="113661440"/>
        <c:axId val="108271808"/>
      </c:lineChart>
      <c:catAx>
        <c:axId val="113661440"/>
        <c:scaling>
          <c:orientation val="minMax"/>
        </c:scaling>
        <c:delete val="0"/>
        <c:axPos val="b"/>
        <c:numFmt formatCode="General" sourceLinked="0"/>
        <c:majorTickMark val="out"/>
        <c:minorTickMark val="none"/>
        <c:tickLblPos val="nextTo"/>
        <c:crossAx val="108271808"/>
        <c:crosses val="autoZero"/>
        <c:auto val="1"/>
        <c:lblAlgn val="ctr"/>
        <c:lblOffset val="100"/>
        <c:noMultiLvlLbl val="0"/>
      </c:catAx>
      <c:valAx>
        <c:axId val="108271808"/>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13661440"/>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1017896842214834"/>
          <c:y val="0"/>
          <c:w val="0.26715814205943805"/>
          <c:h val="5.460165732289059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[ChesapeakeRegionalMedicalCenter_06_27_2017_Trendsheet.xlsm]IBNR Trend Sheet Data!PivotTable3</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5.2668270632837563E-2"/>
          <c:y val="5.9930633670791149E-2"/>
          <c:w val="0.92325765529308845"/>
          <c:h val="0.84065804274465694"/>
        </c:manualLayout>
      </c:layout>
      <c:lineChart>
        <c:grouping val="standard"/>
        <c:varyColors val="0"/>
        <c:ser>
          <c:idx val="0"/>
          <c:order val="0"/>
          <c:tx>
            <c:strRef>
              <c:f>'IBNR Trend Sheet Data'!$O$1</c:f>
              <c:strCache>
                <c:ptCount val="1"/>
                <c:pt idx="0">
                  <c:v>Incurred</c:v>
                </c:pt>
              </c:strCache>
            </c:strRef>
          </c:tx>
          <c:cat>
            <c:strRef>
              <c:f>'IBNR Trend Sheet Data'!$N$2:$N$7</c:f>
              <c:strCache>
                <c:ptCount val="5"/>
                <c:pt idx="0">
                  <c:v>2017-01-01</c:v>
                </c:pt>
                <c:pt idx="1">
                  <c:v>2017-02-01</c:v>
                </c:pt>
                <c:pt idx="2">
                  <c:v>2017-03-01</c:v>
                </c:pt>
                <c:pt idx="3">
                  <c:v>2017-04-01</c:v>
                </c:pt>
                <c:pt idx="4">
                  <c:v>2017-05-01</c:v>
                </c:pt>
              </c:strCache>
            </c:strRef>
          </c:cat>
          <c:val>
            <c:numRef>
              <c:f>'IBNR Trend Sheet Data'!$O$2:$O$7</c:f>
              <c:numCache>
                <c:formatCode>General</c:formatCode>
                <c:ptCount val="5"/>
                <c:pt idx="0">
                  <c:v>1115625.02</c:v>
                </c:pt>
                <c:pt idx="1">
                  <c:v>2406984.88</c:v>
                </c:pt>
                <c:pt idx="2">
                  <c:v>3769274.65</c:v>
                </c:pt>
                <c:pt idx="3">
                  <c:v>5159599.5199999996</c:v>
                </c:pt>
                <c:pt idx="4">
                  <c:v>#N/A</c:v>
                </c:pt>
              </c:numCache>
            </c:numRef>
          </c:val>
          <c:smooth val="0"/>
        </c:ser>
        <c:ser>
          <c:idx val="1"/>
          <c:order val="1"/>
          <c:tx>
            <c:strRef>
              <c:f>'IBNR Trend Sheet Data'!$P$1</c:f>
              <c:strCache>
                <c:ptCount val="1"/>
                <c:pt idx="0">
                  <c:v>Paid</c:v>
                </c:pt>
              </c:strCache>
            </c:strRef>
          </c:tx>
          <c:cat>
            <c:strRef>
              <c:f>'IBNR Trend Sheet Data'!$N$2:$N$7</c:f>
              <c:strCache>
                <c:ptCount val="5"/>
                <c:pt idx="0">
                  <c:v>2017-01-01</c:v>
                </c:pt>
                <c:pt idx="1">
                  <c:v>2017-02-01</c:v>
                </c:pt>
                <c:pt idx="2">
                  <c:v>2017-03-01</c:v>
                </c:pt>
                <c:pt idx="3">
                  <c:v>2017-04-01</c:v>
                </c:pt>
                <c:pt idx="4">
                  <c:v>2017-05-01</c:v>
                </c:pt>
              </c:strCache>
            </c:strRef>
          </c:cat>
          <c:val>
            <c:numRef>
              <c:f>'IBNR Trend Sheet Data'!$P$2:$P$7</c:f>
              <c:numCache>
                <c:formatCode>General</c:formatCode>
                <c:ptCount val="5"/>
                <c:pt idx="0">
                  <c:v>1068217.94</c:v>
                </c:pt>
                <c:pt idx="1">
                  <c:v>2197563.37</c:v>
                </c:pt>
                <c:pt idx="2">
                  <c:v>3469382.07</c:v>
                </c:pt>
                <c:pt idx="3">
                  <c:v>4027103.76</c:v>
                </c:pt>
                <c:pt idx="4">
                  <c:v>#N/A</c:v>
                </c:pt>
              </c:numCache>
            </c:numRef>
          </c:val>
          <c:smooth val="0"/>
        </c:ser>
        <c:dLbls>
          <c:showLegendKey val="0"/>
          <c:showVal val="0"/>
          <c:showCatName val="0"/>
          <c:showSerName val="0"/>
          <c:showPercent val="0"/>
          <c:showBubbleSize val="0"/>
        </c:dLbls>
        <c:marker val="1"/>
        <c:smooth val="0"/>
        <c:axId val="113663488"/>
        <c:axId val="112282432"/>
      </c:lineChart>
      <c:catAx>
        <c:axId val="113663488"/>
        <c:scaling>
          <c:orientation val="minMax"/>
        </c:scaling>
        <c:delete val="0"/>
        <c:axPos val="b"/>
        <c:numFmt formatCode="General" sourceLinked="0"/>
        <c:majorTickMark val="out"/>
        <c:minorTickMark val="none"/>
        <c:tickLblPos val="nextTo"/>
        <c:crossAx val="112282432"/>
        <c:crosses val="autoZero"/>
        <c:auto val="1"/>
        <c:lblAlgn val="ctr"/>
        <c:lblOffset val="100"/>
        <c:noMultiLvlLbl val="0"/>
      </c:catAx>
      <c:valAx>
        <c:axId val="112282432"/>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13663488"/>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4729585885097694"/>
          <c:y val="0"/>
          <c:w val="0.2267782152230971"/>
          <c:h val="4.82770903637045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19050</xdr:colOff>
          <xdr:row>1</xdr:row>
          <xdr:rowOff>171450</xdr:rowOff>
        </xdr:from>
        <xdr:to>
          <xdr:col>12</xdr:col>
          <xdr:colOff>800100</xdr:colOff>
          <xdr:row>3</xdr:row>
          <xdr:rowOff>0</xdr:rowOff>
        </xdr:to>
        <xdr:sp macro="" textlink="">
          <xdr:nvSpPr>
            <xdr:cNvPr id="13313" name="Check Box 1"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xdr:row>
          <xdr:rowOff>0</xdr:rowOff>
        </xdr:from>
        <xdr:to>
          <xdr:col>12</xdr:col>
          <xdr:colOff>800100</xdr:colOff>
          <xdr:row>4</xdr:row>
          <xdr:rowOff>19050</xdr:rowOff>
        </xdr:to>
        <xdr:sp macro="" textlink="">
          <xdr:nvSpPr>
            <xdr:cNvPr id="13314" name="Check Box 2" hidden="1">
              <a:extLst>
                <a:ext uri="{63B3BB69-23CF-44E3-9099-C40C66FF867C}">
                  <a14:compatExt spid="_x0000_s13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4</xdr:row>
          <xdr:rowOff>0</xdr:rowOff>
        </xdr:from>
        <xdr:to>
          <xdr:col>12</xdr:col>
          <xdr:colOff>800100</xdr:colOff>
          <xdr:row>5</xdr:row>
          <xdr:rowOff>19050</xdr:rowOff>
        </xdr:to>
        <xdr:sp macro="" textlink="">
          <xdr:nvSpPr>
            <xdr:cNvPr id="13315" name="Check Box 3" hidden="1">
              <a:extLst>
                <a:ext uri="{63B3BB69-23CF-44E3-9099-C40C66FF867C}">
                  <a14:compatExt spid="_x0000_s13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10</xdr:row>
          <xdr:rowOff>0</xdr:rowOff>
        </xdr:from>
        <xdr:to>
          <xdr:col>12</xdr:col>
          <xdr:colOff>800100</xdr:colOff>
          <xdr:row>11</xdr:row>
          <xdr:rowOff>19050</xdr:rowOff>
        </xdr:to>
        <xdr:sp macro="" textlink="">
          <xdr:nvSpPr>
            <xdr:cNvPr id="13316" name="Check Box 4" hidden="1">
              <a:extLst>
                <a:ext uri="{63B3BB69-23CF-44E3-9099-C40C66FF867C}">
                  <a14:compatExt spid="_x0000_s13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11</xdr:row>
          <xdr:rowOff>0</xdr:rowOff>
        </xdr:from>
        <xdr:to>
          <xdr:col>12</xdr:col>
          <xdr:colOff>762000</xdr:colOff>
          <xdr:row>12</xdr:row>
          <xdr:rowOff>19050</xdr:rowOff>
        </xdr:to>
        <xdr:sp macro="" textlink="">
          <xdr:nvSpPr>
            <xdr:cNvPr id="13317" name="Check Box 5" hidden="1">
              <a:extLst>
                <a:ext uri="{63B3BB69-23CF-44E3-9099-C40C66FF867C}">
                  <a14:compatExt spid="_x0000_s13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12</xdr:row>
          <xdr:rowOff>0</xdr:rowOff>
        </xdr:from>
        <xdr:to>
          <xdr:col>12</xdr:col>
          <xdr:colOff>800100</xdr:colOff>
          <xdr:row>13</xdr:row>
          <xdr:rowOff>19050</xdr:rowOff>
        </xdr:to>
        <xdr:sp macro="" textlink="">
          <xdr:nvSpPr>
            <xdr:cNvPr id="13318" name="Check Box 6" hidden="1">
              <a:extLst>
                <a:ext uri="{63B3BB69-23CF-44E3-9099-C40C66FF867C}">
                  <a14:compatExt spid="_x0000_s13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13</xdr:row>
          <xdr:rowOff>0</xdr:rowOff>
        </xdr:from>
        <xdr:to>
          <xdr:col>12</xdr:col>
          <xdr:colOff>800100</xdr:colOff>
          <xdr:row>14</xdr:row>
          <xdr:rowOff>19050</xdr:rowOff>
        </xdr:to>
        <xdr:sp macro="" textlink="">
          <xdr:nvSpPr>
            <xdr:cNvPr id="13319" name="Check Box 7" hidden="1">
              <a:extLst>
                <a:ext uri="{63B3BB69-23CF-44E3-9099-C40C66FF867C}">
                  <a14:compatExt spid="_x0000_s13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14</xdr:row>
          <xdr:rowOff>0</xdr:rowOff>
        </xdr:from>
        <xdr:to>
          <xdr:col>12</xdr:col>
          <xdr:colOff>800100</xdr:colOff>
          <xdr:row>15</xdr:row>
          <xdr:rowOff>19050</xdr:rowOff>
        </xdr:to>
        <xdr:sp macro="" textlink="">
          <xdr:nvSpPr>
            <xdr:cNvPr id="13320" name="Check Box 8" hidden="1">
              <a:extLst>
                <a:ext uri="{63B3BB69-23CF-44E3-9099-C40C66FF867C}">
                  <a14:compatExt spid="_x0000_s13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15</xdr:row>
          <xdr:rowOff>0</xdr:rowOff>
        </xdr:from>
        <xdr:to>
          <xdr:col>12</xdr:col>
          <xdr:colOff>857250</xdr:colOff>
          <xdr:row>16</xdr:row>
          <xdr:rowOff>19050</xdr:rowOff>
        </xdr:to>
        <xdr:sp macro="" textlink="">
          <xdr:nvSpPr>
            <xdr:cNvPr id="13321" name="Check Box 9" hidden="1">
              <a:extLst>
                <a:ext uri="{63B3BB69-23CF-44E3-9099-C40C66FF867C}">
                  <a14:compatExt spid="_x0000_s13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19</xdr:row>
          <xdr:rowOff>171450</xdr:rowOff>
        </xdr:from>
        <xdr:to>
          <xdr:col>12</xdr:col>
          <xdr:colOff>847725</xdr:colOff>
          <xdr:row>21</xdr:row>
          <xdr:rowOff>0</xdr:rowOff>
        </xdr:to>
        <xdr:sp macro="" textlink="">
          <xdr:nvSpPr>
            <xdr:cNvPr id="13322" name="Check Box 10" hidden="1">
              <a:extLst>
                <a:ext uri="{63B3BB69-23CF-44E3-9099-C40C66FF867C}">
                  <a14:compatExt spid="_x0000_s13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22</xdr:row>
          <xdr:rowOff>0</xdr:rowOff>
        </xdr:from>
        <xdr:to>
          <xdr:col>12</xdr:col>
          <xdr:colOff>847725</xdr:colOff>
          <xdr:row>23</xdr:row>
          <xdr:rowOff>19050</xdr:rowOff>
        </xdr:to>
        <xdr:sp macro="" textlink="">
          <xdr:nvSpPr>
            <xdr:cNvPr id="13323" name="Check Box 11" hidden="1">
              <a:extLst>
                <a:ext uri="{63B3BB69-23CF-44E3-9099-C40C66FF867C}">
                  <a14:compatExt spid="_x0000_s13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23</xdr:row>
          <xdr:rowOff>0</xdr:rowOff>
        </xdr:from>
        <xdr:to>
          <xdr:col>12</xdr:col>
          <xdr:colOff>847725</xdr:colOff>
          <xdr:row>24</xdr:row>
          <xdr:rowOff>19050</xdr:rowOff>
        </xdr:to>
        <xdr:sp macro="" textlink="">
          <xdr:nvSpPr>
            <xdr:cNvPr id="13324" name="Check Box 12" hidden="1">
              <a:extLst>
                <a:ext uri="{63B3BB69-23CF-44E3-9099-C40C66FF867C}">
                  <a14:compatExt spid="_x0000_s13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7</xdr:row>
          <xdr:rowOff>95250</xdr:rowOff>
        </xdr:from>
        <xdr:to>
          <xdr:col>12</xdr:col>
          <xdr:colOff>323850</xdr:colOff>
          <xdr:row>8</xdr:row>
          <xdr:rowOff>123825</xdr:rowOff>
        </xdr:to>
        <xdr:sp macro="" textlink="">
          <xdr:nvSpPr>
            <xdr:cNvPr id="13326" name="Check Box 14" hidden="1">
              <a:extLst>
                <a:ext uri="{63B3BB69-23CF-44E3-9099-C40C66FF867C}">
                  <a14:compatExt spid="_x0000_s13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8</xdr:row>
          <xdr:rowOff>57150</xdr:rowOff>
        </xdr:from>
        <xdr:to>
          <xdr:col>12</xdr:col>
          <xdr:colOff>323850</xdr:colOff>
          <xdr:row>9</xdr:row>
          <xdr:rowOff>85725</xdr:rowOff>
        </xdr:to>
        <xdr:sp macro="" textlink="">
          <xdr:nvSpPr>
            <xdr:cNvPr id="13327" name="Check Box 15" hidden="1">
              <a:extLst>
                <a:ext uri="{63B3BB69-23CF-44E3-9099-C40C66FF867C}">
                  <a14:compatExt spid="_x0000_s133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590550</xdr:colOff>
      <xdr:row>5</xdr:row>
      <xdr:rowOff>123824</xdr:rowOff>
    </xdr:from>
    <xdr:to>
      <xdr:col>16</xdr:col>
      <xdr:colOff>104775</xdr:colOff>
      <xdr:row>21</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9524</xdr:colOff>
      <xdr:row>11</xdr:row>
      <xdr:rowOff>19051</xdr:rowOff>
    </xdr:from>
    <xdr:to>
      <xdr:col>3</xdr:col>
      <xdr:colOff>581025</xdr:colOff>
      <xdr:row>15</xdr:row>
      <xdr:rowOff>180975</xdr:rowOff>
    </xdr:to>
    <mc:AlternateContent xmlns:mc="http://schemas.openxmlformats.org/markup-compatibility/2006" xmlns:a14="http://schemas.microsoft.com/office/drawing/2010/main">
      <mc:Choice Requires="a14">
        <xdr:graphicFrame macro="">
          <xdr:nvGraphicFramePr>
            <xdr:cNvPr id="4" name="Cost Basis"/>
            <xdr:cNvGraphicFramePr/>
          </xdr:nvGraphicFramePr>
          <xdr:xfrm>
            <a:off x="0" y="0"/>
            <a:ext cx="0" cy="0"/>
          </xdr:xfrm>
          <a:graphic>
            <a:graphicData uri="http://schemas.microsoft.com/office/drawing/2010/slicer">
              <sle:slicer xmlns:sle="http://schemas.microsoft.com/office/drawing/2010/slicer" name="Cost Basis"/>
            </a:graphicData>
          </a:graphic>
        </xdr:graphicFrame>
      </mc:Choice>
      <mc:Fallback xmlns="">
        <xdr:sp macro="" textlink="">
          <xdr:nvSpPr>
            <xdr:cNvPr id="0" name=""/>
            <xdr:cNvSpPr>
              <a:spLocks noTextEdit="1"/>
            </xdr:cNvSpPr>
          </xdr:nvSpPr>
          <xdr:spPr>
            <a:xfrm>
              <a:off x="9524" y="2162176"/>
              <a:ext cx="2400301" cy="92392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123824</xdr:colOff>
      <xdr:row>0</xdr:row>
      <xdr:rowOff>28574</xdr:rowOff>
    </xdr:from>
    <xdr:to>
      <xdr:col>20</xdr:col>
      <xdr:colOff>38100</xdr:colOff>
      <xdr:row>23</xdr:row>
      <xdr:rowOff>9524</xdr:rowOff>
    </xdr:to>
    <mc:AlternateContent xmlns:mc="http://schemas.openxmlformats.org/markup-compatibility/2006" xmlns:a14="http://schemas.microsoft.com/office/drawing/2010/main">
      <mc:Choice Requires="a14">
        <xdr:graphicFrame macro="">
          <xdr:nvGraphicFramePr>
            <xdr:cNvPr id="5" name="Trend"/>
            <xdr:cNvGraphicFramePr/>
          </xdr:nvGraphicFramePr>
          <xdr:xfrm>
            <a:off x="0" y="0"/>
            <a:ext cx="0" cy="0"/>
          </xdr:xfrm>
          <a:graphic>
            <a:graphicData uri="http://schemas.microsoft.com/office/drawing/2010/slicer">
              <sle:slicer xmlns:sle="http://schemas.microsoft.com/office/drawing/2010/slicer" name="Trend"/>
            </a:graphicData>
          </a:graphic>
        </xdr:graphicFrame>
      </mc:Choice>
      <mc:Fallback xmlns="">
        <xdr:sp macro="" textlink="">
          <xdr:nvSpPr>
            <xdr:cNvPr id="0" name=""/>
            <xdr:cNvSpPr>
              <a:spLocks noTextEdit="1"/>
            </xdr:cNvSpPr>
          </xdr:nvSpPr>
          <xdr:spPr>
            <a:xfrm>
              <a:off x="9877424" y="28574"/>
              <a:ext cx="2352676" cy="44100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11</xdr:col>
          <xdr:colOff>19050</xdr:colOff>
          <xdr:row>1</xdr:row>
          <xdr:rowOff>9525</xdr:rowOff>
        </xdr:from>
        <xdr:to>
          <xdr:col>14</xdr:col>
          <xdr:colOff>0</xdr:colOff>
          <xdr:row>4</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66CC"/>
                  </a:solidFill>
                  <a:latin typeface="Calibri"/>
                </a:rPr>
                <a:t>Run Macro</a:t>
              </a:r>
            </a:p>
          </xdr:txBody>
        </xdr:sp>
        <xdr:clientData fPrintsWithSheet="0"/>
      </xdr:twoCellAnchor>
    </mc:Choice>
    <mc:Fallback/>
  </mc:AlternateContent>
  <xdr:twoCellAnchor editAs="oneCell">
    <xdr:from>
      <xdr:col>0</xdr:col>
      <xdr:colOff>1</xdr:colOff>
      <xdr:row>0</xdr:row>
      <xdr:rowOff>19049</xdr:rowOff>
    </xdr:from>
    <xdr:to>
      <xdr:col>3</xdr:col>
      <xdr:colOff>514351</xdr:colOff>
      <xdr:row>10</xdr:row>
      <xdr:rowOff>152399</xdr:rowOff>
    </xdr:to>
    <mc:AlternateContent xmlns:mc="http://schemas.openxmlformats.org/markup-compatibility/2006" xmlns:a14="http://schemas.microsoft.com/office/drawing/2010/main">
      <mc:Choice Requires="a14">
        <xdr:graphicFrame macro="">
          <xdr:nvGraphicFramePr>
            <xdr:cNvPr id="8" name="Population"/>
            <xdr:cNvGraphicFramePr/>
          </xdr:nvGraphicFramePr>
          <xdr:xfrm>
            <a:off x="0" y="0"/>
            <a:ext cx="0" cy="0"/>
          </xdr:xfrm>
          <a:graphic>
            <a:graphicData uri="http://schemas.microsoft.com/office/drawing/2010/slicer">
              <sle:slicer xmlns:sle="http://schemas.microsoft.com/office/drawing/2010/slicer" name="Population"/>
            </a:graphicData>
          </a:graphic>
        </xdr:graphicFrame>
      </mc:Choice>
      <mc:Fallback xmlns="">
        <xdr:sp macro="" textlink="">
          <xdr:nvSpPr>
            <xdr:cNvPr id="0" name=""/>
            <xdr:cNvSpPr>
              <a:spLocks noTextEdit="1"/>
            </xdr:cNvSpPr>
          </xdr:nvSpPr>
          <xdr:spPr>
            <a:xfrm>
              <a:off x="1" y="19049"/>
              <a:ext cx="2343150" cy="2085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3</xdr:row>
      <xdr:rowOff>52387</xdr:rowOff>
    </xdr:from>
    <xdr:to>
      <xdr:col>15</xdr:col>
      <xdr:colOff>47625</xdr:colOff>
      <xdr:row>19</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19049</xdr:colOff>
      <xdr:row>13</xdr:row>
      <xdr:rowOff>161924</xdr:rowOff>
    </xdr:from>
    <xdr:to>
      <xdr:col>3</xdr:col>
      <xdr:colOff>600075</xdr:colOff>
      <xdr:row>18</xdr:row>
      <xdr:rowOff>171449</xdr:rowOff>
    </xdr:to>
    <mc:AlternateContent xmlns:mc="http://schemas.openxmlformats.org/markup-compatibility/2006" xmlns:a14="http://schemas.microsoft.com/office/drawing/2010/main">
      <mc:Choice Requires="a14">
        <xdr:graphicFrame macro="">
          <xdr:nvGraphicFramePr>
            <xdr:cNvPr id="4" name="Cost Basis 1"/>
            <xdr:cNvGraphicFramePr/>
          </xdr:nvGraphicFramePr>
          <xdr:xfrm>
            <a:off x="0" y="0"/>
            <a:ext cx="0" cy="0"/>
          </xdr:xfrm>
          <a:graphic>
            <a:graphicData uri="http://schemas.microsoft.com/office/drawing/2010/slicer">
              <sle:slicer xmlns:sle="http://schemas.microsoft.com/office/drawing/2010/slicer" name="Cost Basis 1"/>
            </a:graphicData>
          </a:graphic>
        </xdr:graphicFrame>
      </mc:Choice>
      <mc:Fallback xmlns="">
        <xdr:sp macro="" textlink="">
          <xdr:nvSpPr>
            <xdr:cNvPr id="0" name=""/>
            <xdr:cNvSpPr>
              <a:spLocks noTextEdit="1"/>
            </xdr:cNvSpPr>
          </xdr:nvSpPr>
          <xdr:spPr>
            <a:xfrm>
              <a:off x="19049" y="2733674"/>
              <a:ext cx="2409826"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4</xdr:col>
      <xdr:colOff>9525</xdr:colOff>
      <xdr:row>23</xdr:row>
      <xdr:rowOff>4762</xdr:rowOff>
    </xdr:from>
    <xdr:to>
      <xdr:col>15</xdr:col>
      <xdr:colOff>161925</xdr:colOff>
      <xdr:row>39</xdr:row>
      <xdr:rowOff>157162</xdr:rowOff>
    </xdr:to>
    <xdr:graphicFrame macro="">
      <xdr:nvGraphicFramePr>
        <xdr:cNvPr id="5"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19049</xdr:colOff>
      <xdr:row>0</xdr:row>
      <xdr:rowOff>19050</xdr:rowOff>
    </xdr:from>
    <xdr:to>
      <xdr:col>3</xdr:col>
      <xdr:colOff>600074</xdr:colOff>
      <xdr:row>13</xdr:row>
      <xdr:rowOff>133350</xdr:rowOff>
    </xdr:to>
    <mc:AlternateContent xmlns:mc="http://schemas.openxmlformats.org/markup-compatibility/2006" xmlns:a14="http://schemas.microsoft.com/office/drawing/2010/main">
      <mc:Choice Requires="a14">
        <xdr:graphicFrame macro="">
          <xdr:nvGraphicFramePr>
            <xdr:cNvPr id="6" name="Population 1"/>
            <xdr:cNvGraphicFramePr/>
          </xdr:nvGraphicFramePr>
          <xdr:xfrm>
            <a:off x="0" y="0"/>
            <a:ext cx="0" cy="0"/>
          </xdr:xfrm>
          <a:graphic>
            <a:graphicData uri="http://schemas.microsoft.com/office/drawing/2010/slicer">
              <sle:slicer xmlns:sle="http://schemas.microsoft.com/office/drawing/2010/slicer" name="Population 1"/>
            </a:graphicData>
          </a:graphic>
        </xdr:graphicFrame>
      </mc:Choice>
      <mc:Fallback xmlns="">
        <xdr:sp macro="" textlink="">
          <xdr:nvSpPr>
            <xdr:cNvPr id="0" name=""/>
            <xdr:cNvSpPr>
              <a:spLocks noTextEdit="1"/>
            </xdr:cNvSpPr>
          </xdr:nvSpPr>
          <xdr:spPr>
            <a:xfrm>
              <a:off x="19049" y="19050"/>
              <a:ext cx="2409825" cy="26860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2913.599075115744" createdVersion="4" refreshedVersion="4" minRefreshableVersion="3" recordCount="690">
  <cacheSource type="worksheet">
    <worksheetSource name="TrendSheetStgData"/>
  </cacheSource>
  <cacheFields count="13">
    <cacheField name="Population" numFmtId="0">
      <sharedItems/>
    </cacheField>
    <cacheField name="Display Name" numFmtId="0">
      <sharedItems containsBlank="1" count="2">
        <s v="CHESAPEAKE EMPLOYEE"/>
        <m u="1"/>
      </sharedItems>
    </cacheField>
    <cacheField name="Cost Basis" numFmtId="0">
      <sharedItems containsBlank="1" count="3">
        <s v="Allowed"/>
        <s v="Paid"/>
        <m u="1"/>
      </sharedItems>
    </cacheField>
    <cacheField name="Period" numFmtId="14">
      <sharedItems containsBlank="1" count="34">
        <s v="2016-03-01"/>
        <s v="2016-04-01"/>
        <s v="2016-05-01"/>
        <s v="2016-06-01"/>
        <s v="2016-07-01"/>
        <s v="2016-08-01"/>
        <s v="2016-09-01"/>
        <s v="2016-10-01"/>
        <s v="2016-11-01"/>
        <s v="2016-12-01"/>
        <s v="2017-01-01"/>
        <s v="2017-02-01"/>
        <s v="2017-03-01"/>
        <s v="2017-04-01"/>
        <s v="2017-05-01"/>
        <m u="1"/>
        <s v="2014-06-01" u="1"/>
        <s v="2015-08-01" u="1"/>
        <s v="2014-07-01" u="1"/>
        <s v="2014-08-01" u="1"/>
        <s v="2014-09-01" u="1"/>
        <s v="2015-01-01" u="1"/>
        <s v="2015-02-01" u="1"/>
        <s v="2014-10-01" u="1"/>
        <s v="2015-03-01" u="1"/>
        <s v="2014-11-01" u="1"/>
        <s v="2015-04-01" u="1"/>
        <s v="2014-12-01" u="1"/>
        <s v="2014-03-01" u="1"/>
        <s v="2015-05-01" u="1"/>
        <s v="2014-04-01" u="1"/>
        <s v="2015-06-01" u="1"/>
        <s v="2014-05-01" u="1"/>
        <s v="2015-07-01" u="1"/>
      </sharedItems>
    </cacheField>
    <cacheField name="IsCompleted" numFmtId="0">
      <sharedItems/>
    </cacheField>
    <cacheField name="Trend" numFmtId="0">
      <sharedItems containsBlank="1" count="25">
        <s v="Medical PMPM"/>
        <s v="Drug PMPM"/>
        <s v="Overall PMPM"/>
        <s v="Readmission Cost"/>
        <s v="Readmission Quality"/>
        <s v="Avoidable Admission Cost"/>
        <s v="Avoidable Admission Quality"/>
        <s v="Outpatient Imaging Cost"/>
        <s v="Hospiatl Outpatient MRIs per 1k"/>
        <s v="Hospiatl Outpatient CTs per 1k"/>
        <s v="Office Based MRIs per 1k"/>
        <s v="Office Based CTs per 1k"/>
        <s v="ED Cost"/>
        <s v="ED Utilization"/>
        <s v="Drug - Generic Utilization Cost"/>
        <s v="Drug - Generic Utilization"/>
        <s v="Chronic Disease Management - Cost"/>
        <s v="Chronic Disease Management - Members"/>
        <s v="Inpatient Claim Count"/>
        <s v="Outpatient Claim Count"/>
        <s v="Professional Claim Count"/>
        <s v="Ancillary Claim Count"/>
        <s v="Drug Claim Count"/>
        <m u="1"/>
        <s v="IBNR" u="1"/>
      </sharedItems>
    </cacheField>
    <cacheField name="Trend Order" numFmtId="0">
      <sharedItems containsSemiMixedTypes="0" containsString="0" containsNumber="1" containsInteger="1" minValue="1" maxValue="23"/>
    </cacheField>
    <cacheField name="Staging Data" numFmtId="0">
      <sharedItems containsSemiMixedTypes="0" containsString="0" containsNumber="1" minValue="0" maxValue="1218080"/>
    </cacheField>
    <cacheField name="Production Data" numFmtId="0">
      <sharedItems containsSemiMixedTypes="0" containsString="0" containsNumber="1" minValue="0" maxValue="1147899"/>
    </cacheField>
    <cacheField name="Perc Deviation" numFmtId="0">
      <sharedItems containsSemiMixedTypes="0" containsString="0" containsNumber="1" minValue="0" maxValue="657.20620842572055"/>
    </cacheField>
    <cacheField name="Critical" numFmtId="0">
      <sharedItems containsSemiMixedTypes="0" containsString="0" containsNumber="1" containsInteger="1" minValue="10" maxValue="10"/>
    </cacheField>
    <cacheField name="Trivial" numFmtId="0">
      <sharedItems containsSemiMixedTypes="0" containsString="0" containsNumber="1" containsInteger="1" minValue="5" maxValue="5"/>
    </cacheField>
    <cacheField name="Result" numFmtId="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2913.599075115744" createdVersion="4" refreshedVersion="4" minRefreshableVersion="3" recordCount="10">
  <cacheSource type="worksheet">
    <worksheetSource name="StgIBNRTrendData"/>
  </cacheSource>
  <cacheFields count="8">
    <cacheField name="Population" numFmtId="0">
      <sharedItems/>
    </cacheField>
    <cacheField name="Display Name" numFmtId="0">
      <sharedItems containsBlank="1" count="2">
        <s v="CHESAPEAKE EMPLOYEE"/>
        <m u="1"/>
      </sharedItems>
    </cacheField>
    <cacheField name="Cost Basis" numFmtId="0">
      <sharedItems containsBlank="1" count="3">
        <s v="Allowed"/>
        <s v="Paid"/>
        <m u="1"/>
      </sharedItems>
    </cacheField>
    <cacheField name="Period" numFmtId="14">
      <sharedItems containsDate="1" containsMixedTypes="1" minDate="2015-01-01T00:00:00" maxDate="2015-07-02T00:00:00" count="12">
        <s v="2017-01-01"/>
        <s v="2017-02-01"/>
        <s v="2017-03-01"/>
        <s v="2017-04-01"/>
        <s v="2017-05-01"/>
        <d v="2015-03-01T00:00:00" u="1"/>
        <d v="2015-07-01T00:00:00" u="1"/>
        <d v="2015-02-01T00:00:00" u="1"/>
        <d v="2015-06-01T00:00:00" u="1"/>
        <d v="2015-01-01T00:00:00" u="1"/>
        <d v="2015-05-01T00:00:00" u="1"/>
        <d v="2015-04-01T00:00:00" u="1"/>
      </sharedItems>
    </cacheField>
    <cacheField name="Staging Incurred Claims" numFmtId="0">
      <sharedItems containsSemiMixedTypes="0" containsString="0" containsNumber="1" minValue="911060.52" maxValue="8041989.9500000002"/>
    </cacheField>
    <cacheField name="Staging Paid Claims" numFmtId="0">
      <sharedItems containsSemiMixedTypes="0" containsString="0" containsNumber="1" minValue="874873.92" maxValue="6272675.8399999999"/>
    </cacheField>
    <cacheField name="Production Incurred Claims" numFmtId="0">
      <sharedItems containsMixedTypes="1" containsNumber="1" minValue="856729.56" maxValue="5159599.5199999996"/>
    </cacheField>
    <cacheField name="Production Paid Claims" numFmtId="0">
      <sharedItems containsMixedTypes="1" containsNumber="1" minValue="818439.42" maxValue="4027103.76"/>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690">
  <r>
    <s v="CHESAPEAKE EMPLOYEE"/>
    <x v="0"/>
    <x v="0"/>
    <x v="0"/>
    <s v="Y"/>
    <x v="0"/>
    <n v="1"/>
    <n v="386.56"/>
    <n v="381.69"/>
    <n v="1.2759045298540712"/>
    <n v="10"/>
    <n v="5"/>
    <s v="TRIVIAL"/>
  </r>
  <r>
    <s v="CHESAPEAKE EMPLOYEE"/>
    <x v="0"/>
    <x v="0"/>
    <x v="1"/>
    <s v="Y"/>
    <x v="0"/>
    <n v="1"/>
    <n v="765.94"/>
    <n v="401.11"/>
    <n v="90.955099598613856"/>
    <n v="10"/>
    <n v="5"/>
    <s v="CRITICAL"/>
  </r>
  <r>
    <s v="CHESAPEAKE EMPLOYEE"/>
    <x v="0"/>
    <x v="0"/>
    <x v="2"/>
    <s v="Y"/>
    <x v="0"/>
    <n v="1"/>
    <n v="404.58"/>
    <n v="394.58"/>
    <n v="2.5343403112169902"/>
    <n v="10"/>
    <n v="5"/>
    <s v="TRIVIAL"/>
  </r>
  <r>
    <s v="CHESAPEAKE EMPLOYEE"/>
    <x v="0"/>
    <x v="0"/>
    <x v="3"/>
    <s v="Y"/>
    <x v="0"/>
    <n v="1"/>
    <n v="408.93"/>
    <n v="403.52"/>
    <n v="1.340701823949253"/>
    <n v="10"/>
    <n v="5"/>
    <s v="TRIVIAL"/>
  </r>
  <r>
    <s v="CHESAPEAKE EMPLOYEE"/>
    <x v="0"/>
    <x v="0"/>
    <x v="4"/>
    <s v="Y"/>
    <x v="0"/>
    <n v="1"/>
    <n v="393.42"/>
    <n v="377.99"/>
    <n v="4.0821185745654667"/>
    <n v="10"/>
    <n v="5"/>
    <s v="TRIVIAL"/>
  </r>
  <r>
    <s v="CHESAPEAKE EMPLOYEE"/>
    <x v="0"/>
    <x v="0"/>
    <x v="5"/>
    <s v="Y"/>
    <x v="0"/>
    <n v="1"/>
    <n v="265.52"/>
    <n v="259.79000000000002"/>
    <n v="2.2056276223103124"/>
    <n v="10"/>
    <n v="5"/>
    <s v="TRIVIAL"/>
  </r>
  <r>
    <s v="CHESAPEAKE EMPLOYEE"/>
    <x v="0"/>
    <x v="0"/>
    <x v="6"/>
    <s v="Y"/>
    <x v="0"/>
    <n v="1"/>
    <n v="274.58"/>
    <n v="270.61"/>
    <n v="1.4670559107202137"/>
    <n v="10"/>
    <n v="5"/>
    <s v="TRIVIAL"/>
  </r>
  <r>
    <s v="CHESAPEAKE EMPLOYEE"/>
    <x v="0"/>
    <x v="0"/>
    <x v="7"/>
    <s v="Y"/>
    <x v="0"/>
    <n v="1"/>
    <n v="368.61"/>
    <n v="371.32"/>
    <n v="0.72982871916405778"/>
    <n v="10"/>
    <n v="5"/>
    <s v="TRIVIAL"/>
  </r>
  <r>
    <s v="CHESAPEAKE EMPLOYEE"/>
    <x v="0"/>
    <x v="0"/>
    <x v="8"/>
    <s v="Y"/>
    <x v="0"/>
    <n v="1"/>
    <n v="309.47000000000003"/>
    <n v="306.60000000000002"/>
    <n v="0.93607305936073204"/>
    <n v="10"/>
    <n v="5"/>
    <s v="TRIVIAL"/>
  </r>
  <r>
    <s v="CHESAPEAKE EMPLOYEE"/>
    <x v="0"/>
    <x v="0"/>
    <x v="9"/>
    <s v="Y"/>
    <x v="0"/>
    <n v="1"/>
    <n v="315.42"/>
    <n v="298.95999999999998"/>
    <n v="5.5057532780305181"/>
    <n v="10"/>
    <n v="5"/>
    <s v="CAUTIONARY"/>
  </r>
  <r>
    <s v="CHESAPEAKE EMPLOYEE"/>
    <x v="0"/>
    <x v="0"/>
    <x v="10"/>
    <s v="Y"/>
    <x v="0"/>
    <n v="1"/>
    <n v="251.64"/>
    <n v="233.66"/>
    <n v="7.6949413677993626"/>
    <n v="10"/>
    <n v="5"/>
    <s v="CAUTIONARY"/>
  </r>
  <r>
    <s v="CHESAPEAKE EMPLOYEE"/>
    <x v="0"/>
    <x v="0"/>
    <x v="11"/>
    <s v="Y"/>
    <x v="0"/>
    <n v="1"/>
    <n v="241.7"/>
    <n v="231.97"/>
    <n v="4.1945079105056644"/>
    <n v="10"/>
    <n v="5"/>
    <s v="TRIVIAL"/>
  </r>
  <r>
    <s v="CHESAPEAKE EMPLOYEE"/>
    <x v="0"/>
    <x v="0"/>
    <x v="12"/>
    <s v="N"/>
    <x v="0"/>
    <n v="1"/>
    <n v="297.49"/>
    <n v="264.87"/>
    <n v="12.315475516291013"/>
    <n v="10"/>
    <n v="5"/>
    <s v="CRITICAL"/>
  </r>
  <r>
    <s v="CHESAPEAKE EMPLOYEE"/>
    <x v="0"/>
    <x v="0"/>
    <x v="13"/>
    <s v="N"/>
    <x v="0"/>
    <n v="1"/>
    <n v="486.72"/>
    <n v="74.290000000000006"/>
    <n v="555.16220218064336"/>
    <n v="10"/>
    <n v="5"/>
    <s v="CRITICAL"/>
  </r>
  <r>
    <s v="CHESAPEAKE EMPLOYEE"/>
    <x v="0"/>
    <x v="0"/>
    <x v="14"/>
    <s v="N"/>
    <x v="0"/>
    <n v="1"/>
    <n v="124.99"/>
    <n v="0"/>
    <n v="100"/>
    <n v="10"/>
    <n v="5"/>
    <s v="CRITICAL"/>
  </r>
  <r>
    <s v="CHESAPEAKE EMPLOYEE"/>
    <x v="0"/>
    <x v="0"/>
    <x v="0"/>
    <s v="Y"/>
    <x v="1"/>
    <n v="2"/>
    <n v="114.94"/>
    <n v="114.94"/>
    <n v="0"/>
    <n v="10"/>
    <n v="5"/>
    <s v="PASSED"/>
  </r>
  <r>
    <s v="CHESAPEAKE EMPLOYEE"/>
    <x v="0"/>
    <x v="0"/>
    <x v="1"/>
    <s v="Y"/>
    <x v="1"/>
    <n v="2"/>
    <n v="152.34"/>
    <n v="152.34"/>
    <n v="0"/>
    <n v="10"/>
    <n v="5"/>
    <s v="PASSED"/>
  </r>
  <r>
    <s v="CHESAPEAKE EMPLOYEE"/>
    <x v="0"/>
    <x v="0"/>
    <x v="2"/>
    <s v="Y"/>
    <x v="1"/>
    <n v="2"/>
    <n v="169.62"/>
    <n v="169.62"/>
    <n v="0"/>
    <n v="10"/>
    <n v="5"/>
    <s v="PASSED"/>
  </r>
  <r>
    <s v="CHESAPEAKE EMPLOYEE"/>
    <x v="0"/>
    <x v="0"/>
    <x v="3"/>
    <s v="Y"/>
    <x v="1"/>
    <n v="2"/>
    <n v="132.41999999999999"/>
    <n v="132.4"/>
    <n v="1.5105740181255142E-2"/>
    <n v="10"/>
    <n v="5"/>
    <s v="TRIVIAL"/>
  </r>
  <r>
    <s v="CHESAPEAKE EMPLOYEE"/>
    <x v="0"/>
    <x v="0"/>
    <x v="4"/>
    <s v="Y"/>
    <x v="1"/>
    <n v="2"/>
    <n v="130.25"/>
    <n v="130.30000000000001"/>
    <n v="3.8372985418274261E-2"/>
    <n v="10"/>
    <n v="5"/>
    <s v="TRIVIAL"/>
  </r>
  <r>
    <s v="CHESAPEAKE EMPLOYEE"/>
    <x v="0"/>
    <x v="0"/>
    <x v="5"/>
    <s v="Y"/>
    <x v="1"/>
    <n v="2"/>
    <n v="132.68"/>
    <n v="132.72"/>
    <n v="3.0138637733568445E-2"/>
    <n v="10"/>
    <n v="5"/>
    <s v="TRIVIAL"/>
  </r>
  <r>
    <s v="CHESAPEAKE EMPLOYEE"/>
    <x v="0"/>
    <x v="0"/>
    <x v="6"/>
    <s v="Y"/>
    <x v="1"/>
    <n v="2"/>
    <n v="124.21"/>
    <n v="124.25"/>
    <n v="3.2193158953727367E-2"/>
    <n v="10"/>
    <n v="5"/>
    <s v="TRIVIAL"/>
  </r>
  <r>
    <s v="CHESAPEAKE EMPLOYEE"/>
    <x v="0"/>
    <x v="0"/>
    <x v="7"/>
    <s v="Y"/>
    <x v="1"/>
    <n v="2"/>
    <n v="125.05"/>
    <n v="125.1"/>
    <n v="3.9968025579534099E-2"/>
    <n v="10"/>
    <n v="5"/>
    <s v="TRIVIAL"/>
  </r>
  <r>
    <s v="CHESAPEAKE EMPLOYEE"/>
    <x v="0"/>
    <x v="0"/>
    <x v="8"/>
    <s v="Y"/>
    <x v="1"/>
    <n v="2"/>
    <n v="131.01"/>
    <n v="131.1"/>
    <n v="6.8649885583526624E-2"/>
    <n v="10"/>
    <n v="5"/>
    <s v="TRIVIAL"/>
  </r>
  <r>
    <s v="CHESAPEAKE EMPLOYEE"/>
    <x v="0"/>
    <x v="0"/>
    <x v="9"/>
    <s v="Y"/>
    <x v="1"/>
    <n v="2"/>
    <n v="138.69"/>
    <n v="138.79"/>
    <n v="7.2051300525970405E-2"/>
    <n v="10"/>
    <n v="5"/>
    <s v="TRIVIAL"/>
  </r>
  <r>
    <s v="CHESAPEAKE EMPLOYEE"/>
    <x v="0"/>
    <x v="0"/>
    <x v="10"/>
    <s v="Y"/>
    <x v="1"/>
    <n v="2"/>
    <n v="108.57"/>
    <n v="108.71"/>
    <n v="0.12878300064391554"/>
    <n v="10"/>
    <n v="5"/>
    <s v="TRIVIAL"/>
  </r>
  <r>
    <s v="CHESAPEAKE EMPLOYEE"/>
    <x v="0"/>
    <x v="0"/>
    <x v="11"/>
    <s v="Y"/>
    <x v="1"/>
    <n v="2"/>
    <n v="124.25"/>
    <n v="127.13"/>
    <n v="2.2653976244788767"/>
    <n v="10"/>
    <n v="5"/>
    <s v="TRIVIAL"/>
  </r>
  <r>
    <s v="CHESAPEAKE EMPLOYEE"/>
    <x v="0"/>
    <x v="0"/>
    <x v="12"/>
    <s v="N"/>
    <x v="1"/>
    <n v="2"/>
    <n v="133.13999999999999"/>
    <n v="135.82"/>
    <n v="1.9731998232955434"/>
    <n v="10"/>
    <n v="5"/>
    <s v="TRIVIAL"/>
  </r>
  <r>
    <s v="CHESAPEAKE EMPLOYEE"/>
    <x v="0"/>
    <x v="0"/>
    <x v="13"/>
    <s v="N"/>
    <x v="1"/>
    <n v="2"/>
    <n v="126"/>
    <n v="98.92"/>
    <n v="27.375657096643753"/>
    <n v="10"/>
    <n v="5"/>
    <s v="CRITICAL"/>
  </r>
  <r>
    <s v="CHESAPEAKE EMPLOYEE"/>
    <x v="0"/>
    <x v="0"/>
    <x v="14"/>
    <s v="N"/>
    <x v="1"/>
    <n v="2"/>
    <n v="75.5"/>
    <n v="0"/>
    <n v="100"/>
    <n v="10"/>
    <n v="5"/>
    <s v="CRITICAL"/>
  </r>
  <r>
    <s v="CHESAPEAKE EMPLOYEE"/>
    <x v="0"/>
    <x v="0"/>
    <x v="0"/>
    <s v="Y"/>
    <x v="2"/>
    <n v="3"/>
    <n v="501.5"/>
    <n v="496.63"/>
    <n v="0.98060930672734314"/>
    <n v="10"/>
    <n v="5"/>
    <s v="TRIVIAL"/>
  </r>
  <r>
    <s v="CHESAPEAKE EMPLOYEE"/>
    <x v="0"/>
    <x v="0"/>
    <x v="1"/>
    <s v="Y"/>
    <x v="2"/>
    <n v="3"/>
    <n v="918.28"/>
    <n v="553.45000000000005"/>
    <n v="65.919233896467588"/>
    <n v="10"/>
    <n v="5"/>
    <s v="CRITICAL"/>
  </r>
  <r>
    <s v="CHESAPEAKE EMPLOYEE"/>
    <x v="0"/>
    <x v="0"/>
    <x v="2"/>
    <s v="Y"/>
    <x v="2"/>
    <n v="3"/>
    <n v="574.20000000000005"/>
    <n v="564.20000000000005"/>
    <n v="1.7724211272598367"/>
    <n v="10"/>
    <n v="5"/>
    <s v="TRIVIAL"/>
  </r>
  <r>
    <s v="CHESAPEAKE EMPLOYEE"/>
    <x v="0"/>
    <x v="0"/>
    <x v="3"/>
    <s v="Y"/>
    <x v="2"/>
    <n v="3"/>
    <n v="541.35"/>
    <n v="535.91999999999996"/>
    <n v="1.0132109270040424"/>
    <n v="10"/>
    <n v="5"/>
    <s v="TRIVIAL"/>
  </r>
  <r>
    <s v="CHESAPEAKE EMPLOYEE"/>
    <x v="0"/>
    <x v="0"/>
    <x v="4"/>
    <s v="Y"/>
    <x v="2"/>
    <n v="3"/>
    <n v="523.66999999999996"/>
    <n v="508.29"/>
    <n v="3.0258317102441401"/>
    <n v="10"/>
    <n v="5"/>
    <s v="TRIVIAL"/>
  </r>
  <r>
    <s v="CHESAPEAKE EMPLOYEE"/>
    <x v="0"/>
    <x v="0"/>
    <x v="5"/>
    <s v="Y"/>
    <x v="2"/>
    <n v="3"/>
    <n v="398.2"/>
    <n v="392.51"/>
    <n v="1.4496445950421639"/>
    <n v="10"/>
    <n v="5"/>
    <s v="TRIVIAL"/>
  </r>
  <r>
    <s v="CHESAPEAKE EMPLOYEE"/>
    <x v="0"/>
    <x v="0"/>
    <x v="6"/>
    <s v="Y"/>
    <x v="2"/>
    <n v="3"/>
    <n v="398.79"/>
    <n v="394.86"/>
    <n v="0.99528946968545984"/>
    <n v="10"/>
    <n v="5"/>
    <s v="TRIVIAL"/>
  </r>
  <r>
    <s v="CHESAPEAKE EMPLOYEE"/>
    <x v="0"/>
    <x v="0"/>
    <x v="7"/>
    <s v="Y"/>
    <x v="2"/>
    <n v="3"/>
    <n v="493.66"/>
    <n v="496.42"/>
    <n v="0.5559808226904619"/>
    <n v="10"/>
    <n v="5"/>
    <s v="TRIVIAL"/>
  </r>
  <r>
    <s v="CHESAPEAKE EMPLOYEE"/>
    <x v="0"/>
    <x v="0"/>
    <x v="8"/>
    <s v="Y"/>
    <x v="2"/>
    <n v="3"/>
    <n v="440.48"/>
    <n v="437.7"/>
    <n v="0.6351382225268517"/>
    <n v="10"/>
    <n v="5"/>
    <s v="TRIVIAL"/>
  </r>
  <r>
    <s v="CHESAPEAKE EMPLOYEE"/>
    <x v="0"/>
    <x v="0"/>
    <x v="9"/>
    <s v="Y"/>
    <x v="2"/>
    <n v="3"/>
    <n v="454.11"/>
    <n v="437.75"/>
    <n v="3.7372929754426076"/>
    <n v="10"/>
    <n v="5"/>
    <s v="TRIVIAL"/>
  </r>
  <r>
    <s v="CHESAPEAKE EMPLOYEE"/>
    <x v="0"/>
    <x v="0"/>
    <x v="10"/>
    <s v="Y"/>
    <x v="2"/>
    <n v="3"/>
    <n v="360.21"/>
    <n v="342.37"/>
    <n v="5.2107369220433952"/>
    <n v="10"/>
    <n v="5"/>
    <s v="CAUTIONARY"/>
  </r>
  <r>
    <s v="CHESAPEAKE EMPLOYEE"/>
    <x v="0"/>
    <x v="0"/>
    <x v="11"/>
    <s v="Y"/>
    <x v="2"/>
    <n v="3"/>
    <n v="365.95"/>
    <n v="359.1"/>
    <n v="1.9075466443887401"/>
    <n v="10"/>
    <n v="5"/>
    <s v="TRIVIAL"/>
  </r>
  <r>
    <s v="CHESAPEAKE EMPLOYEE"/>
    <x v="0"/>
    <x v="0"/>
    <x v="12"/>
    <s v="N"/>
    <x v="2"/>
    <n v="3"/>
    <n v="430.63"/>
    <n v="400.69"/>
    <n v="7.4721106091991309"/>
    <n v="10"/>
    <n v="5"/>
    <s v="CAUTIONARY"/>
  </r>
  <r>
    <s v="CHESAPEAKE EMPLOYEE"/>
    <x v="0"/>
    <x v="0"/>
    <x v="13"/>
    <s v="N"/>
    <x v="2"/>
    <n v="3"/>
    <n v="612.72"/>
    <n v="173.21"/>
    <n v="253.74401016107612"/>
    <n v="10"/>
    <n v="5"/>
    <s v="CRITICAL"/>
  </r>
  <r>
    <s v="CHESAPEAKE EMPLOYEE"/>
    <x v="0"/>
    <x v="0"/>
    <x v="14"/>
    <s v="N"/>
    <x v="2"/>
    <n v="3"/>
    <n v="200.49"/>
    <n v="0"/>
    <n v="100"/>
    <n v="10"/>
    <n v="5"/>
    <s v="CRITICAL"/>
  </r>
  <r>
    <s v="CHESAPEAKE EMPLOYEE"/>
    <x v="0"/>
    <x v="0"/>
    <x v="0"/>
    <s v="Y"/>
    <x v="3"/>
    <n v="4"/>
    <n v="0"/>
    <n v="0"/>
    <n v="0"/>
    <n v="10"/>
    <n v="5"/>
    <s v="PASSED"/>
  </r>
  <r>
    <s v="CHESAPEAKE EMPLOYEE"/>
    <x v="0"/>
    <x v="0"/>
    <x v="1"/>
    <s v="Y"/>
    <x v="3"/>
    <n v="4"/>
    <n v="0"/>
    <n v="0"/>
    <n v="0"/>
    <n v="10"/>
    <n v="5"/>
    <s v="PASSED"/>
  </r>
  <r>
    <s v="CHESAPEAKE EMPLOYEE"/>
    <x v="0"/>
    <x v="0"/>
    <x v="2"/>
    <s v="Y"/>
    <x v="3"/>
    <n v="4"/>
    <n v="97549.99"/>
    <n v="97549.99"/>
    <n v="0"/>
    <n v="10"/>
    <n v="5"/>
    <s v="PASSED"/>
  </r>
  <r>
    <s v="CHESAPEAKE EMPLOYEE"/>
    <x v="0"/>
    <x v="0"/>
    <x v="3"/>
    <s v="Y"/>
    <x v="3"/>
    <n v="4"/>
    <n v="97596.98"/>
    <n v="97596.98"/>
    <n v="0"/>
    <n v="10"/>
    <n v="5"/>
    <s v="PASSED"/>
  </r>
  <r>
    <s v="CHESAPEAKE EMPLOYEE"/>
    <x v="0"/>
    <x v="0"/>
    <x v="4"/>
    <s v="Y"/>
    <x v="3"/>
    <n v="4"/>
    <n v="0"/>
    <n v="0"/>
    <n v="0"/>
    <n v="10"/>
    <n v="5"/>
    <s v="PASSED"/>
  </r>
  <r>
    <s v="CHESAPEAKE EMPLOYEE"/>
    <x v="0"/>
    <x v="0"/>
    <x v="5"/>
    <s v="Y"/>
    <x v="3"/>
    <n v="4"/>
    <n v="0"/>
    <n v="0"/>
    <n v="0"/>
    <n v="10"/>
    <n v="5"/>
    <s v="PASSED"/>
  </r>
  <r>
    <s v="CHESAPEAKE EMPLOYEE"/>
    <x v="0"/>
    <x v="0"/>
    <x v="6"/>
    <s v="Y"/>
    <x v="3"/>
    <n v="4"/>
    <n v="0"/>
    <n v="0"/>
    <n v="0"/>
    <n v="10"/>
    <n v="5"/>
    <s v="PASSED"/>
  </r>
  <r>
    <s v="CHESAPEAKE EMPLOYEE"/>
    <x v="0"/>
    <x v="0"/>
    <x v="7"/>
    <s v="Y"/>
    <x v="3"/>
    <n v="4"/>
    <n v="499.76"/>
    <n v="0"/>
    <n v="100"/>
    <n v="10"/>
    <n v="5"/>
    <s v="CRITICAL"/>
  </r>
  <r>
    <s v="CHESAPEAKE EMPLOYEE"/>
    <x v="0"/>
    <x v="0"/>
    <x v="8"/>
    <s v="Y"/>
    <x v="3"/>
    <n v="4"/>
    <n v="8289.39"/>
    <n v="8289.39"/>
    <n v="0"/>
    <n v="10"/>
    <n v="5"/>
    <s v="PASSED"/>
  </r>
  <r>
    <s v="CHESAPEAKE EMPLOYEE"/>
    <x v="0"/>
    <x v="0"/>
    <x v="9"/>
    <s v="Y"/>
    <x v="3"/>
    <n v="4"/>
    <n v="35188.639999999999"/>
    <n v="35188.639999999999"/>
    <n v="0"/>
    <n v="10"/>
    <n v="5"/>
    <s v="PASSED"/>
  </r>
  <r>
    <s v="CHESAPEAKE EMPLOYEE"/>
    <x v="0"/>
    <x v="0"/>
    <x v="10"/>
    <s v="Y"/>
    <x v="3"/>
    <n v="4"/>
    <n v="0"/>
    <n v="0"/>
    <n v="0"/>
    <n v="10"/>
    <n v="5"/>
    <s v="PASSED"/>
  </r>
  <r>
    <s v="CHESAPEAKE EMPLOYEE"/>
    <x v="0"/>
    <x v="0"/>
    <x v="11"/>
    <s v="Y"/>
    <x v="3"/>
    <n v="4"/>
    <n v="709"/>
    <n v="384.7"/>
    <n v="84.299454120093586"/>
    <n v="10"/>
    <n v="5"/>
    <s v="CRITICAL"/>
  </r>
  <r>
    <s v="CHESAPEAKE EMPLOYEE"/>
    <x v="0"/>
    <x v="0"/>
    <x v="12"/>
    <s v="N"/>
    <x v="3"/>
    <n v="4"/>
    <n v="1565"/>
    <n v="1565"/>
    <n v="0"/>
    <n v="10"/>
    <n v="5"/>
    <s v="PASSED"/>
  </r>
  <r>
    <s v="CHESAPEAKE EMPLOYEE"/>
    <x v="0"/>
    <x v="0"/>
    <x v="13"/>
    <s v="N"/>
    <x v="3"/>
    <n v="4"/>
    <n v="5481"/>
    <n v="0"/>
    <n v="100"/>
    <n v="10"/>
    <n v="5"/>
    <s v="CRITICAL"/>
  </r>
  <r>
    <s v="CHESAPEAKE EMPLOYEE"/>
    <x v="0"/>
    <x v="0"/>
    <x v="14"/>
    <s v="N"/>
    <x v="3"/>
    <n v="4"/>
    <n v="0"/>
    <n v="0"/>
    <n v="0"/>
    <n v="10"/>
    <n v="5"/>
    <s v="PASSED"/>
  </r>
  <r>
    <s v="CHESAPEAKE EMPLOYEE"/>
    <x v="0"/>
    <x v="0"/>
    <x v="0"/>
    <s v="Y"/>
    <x v="4"/>
    <n v="5"/>
    <n v="0"/>
    <n v="0"/>
    <n v="0"/>
    <n v="10"/>
    <n v="5"/>
    <s v="PASSED"/>
  </r>
  <r>
    <s v="CHESAPEAKE EMPLOYEE"/>
    <x v="0"/>
    <x v="0"/>
    <x v="1"/>
    <s v="Y"/>
    <x v="4"/>
    <n v="5"/>
    <n v="0"/>
    <n v="0"/>
    <n v="0"/>
    <n v="10"/>
    <n v="5"/>
    <s v="PASSED"/>
  </r>
  <r>
    <s v="CHESAPEAKE EMPLOYEE"/>
    <x v="0"/>
    <x v="0"/>
    <x v="2"/>
    <s v="Y"/>
    <x v="4"/>
    <n v="5"/>
    <n v="3"/>
    <n v="3"/>
    <n v="0"/>
    <n v="10"/>
    <n v="5"/>
    <s v="PASSED"/>
  </r>
  <r>
    <s v="CHESAPEAKE EMPLOYEE"/>
    <x v="0"/>
    <x v="0"/>
    <x v="3"/>
    <s v="Y"/>
    <x v="4"/>
    <n v="5"/>
    <n v="2"/>
    <n v="2"/>
    <n v="0"/>
    <n v="10"/>
    <n v="5"/>
    <s v="PASSED"/>
  </r>
  <r>
    <s v="CHESAPEAKE EMPLOYEE"/>
    <x v="0"/>
    <x v="0"/>
    <x v="4"/>
    <s v="Y"/>
    <x v="4"/>
    <n v="5"/>
    <n v="0"/>
    <n v="0"/>
    <n v="0"/>
    <n v="10"/>
    <n v="5"/>
    <s v="PASSED"/>
  </r>
  <r>
    <s v="CHESAPEAKE EMPLOYEE"/>
    <x v="0"/>
    <x v="0"/>
    <x v="5"/>
    <s v="Y"/>
    <x v="4"/>
    <n v="5"/>
    <n v="0"/>
    <n v="0"/>
    <n v="0"/>
    <n v="10"/>
    <n v="5"/>
    <s v="PASSED"/>
  </r>
  <r>
    <s v="CHESAPEAKE EMPLOYEE"/>
    <x v="0"/>
    <x v="0"/>
    <x v="6"/>
    <s v="Y"/>
    <x v="4"/>
    <n v="5"/>
    <n v="0"/>
    <n v="0"/>
    <n v="0"/>
    <n v="10"/>
    <n v="5"/>
    <s v="PASSED"/>
  </r>
  <r>
    <s v="CHESAPEAKE EMPLOYEE"/>
    <x v="0"/>
    <x v="0"/>
    <x v="7"/>
    <s v="Y"/>
    <x v="4"/>
    <n v="5"/>
    <n v="1"/>
    <n v="1"/>
    <n v="0"/>
    <n v="10"/>
    <n v="5"/>
    <s v="PASSED"/>
  </r>
  <r>
    <s v="CHESAPEAKE EMPLOYEE"/>
    <x v="0"/>
    <x v="0"/>
    <x v="8"/>
    <s v="Y"/>
    <x v="4"/>
    <n v="5"/>
    <n v="1"/>
    <n v="1"/>
    <n v="0"/>
    <n v="10"/>
    <n v="5"/>
    <s v="PASSED"/>
  </r>
  <r>
    <s v="CHESAPEAKE EMPLOYEE"/>
    <x v="0"/>
    <x v="0"/>
    <x v="9"/>
    <s v="Y"/>
    <x v="4"/>
    <n v="5"/>
    <n v="1"/>
    <n v="1"/>
    <n v="0"/>
    <n v="10"/>
    <n v="5"/>
    <s v="PASSED"/>
  </r>
  <r>
    <s v="CHESAPEAKE EMPLOYEE"/>
    <x v="0"/>
    <x v="0"/>
    <x v="10"/>
    <s v="Y"/>
    <x v="4"/>
    <n v="5"/>
    <n v="0"/>
    <n v="0"/>
    <n v="0"/>
    <n v="10"/>
    <n v="5"/>
    <s v="PASSED"/>
  </r>
  <r>
    <s v="CHESAPEAKE EMPLOYEE"/>
    <x v="0"/>
    <x v="0"/>
    <x v="11"/>
    <s v="Y"/>
    <x v="4"/>
    <n v="5"/>
    <n v="1"/>
    <n v="1"/>
    <n v="0"/>
    <n v="10"/>
    <n v="5"/>
    <s v="PASSED"/>
  </r>
  <r>
    <s v="CHESAPEAKE EMPLOYEE"/>
    <x v="0"/>
    <x v="0"/>
    <x v="12"/>
    <s v="N"/>
    <x v="4"/>
    <n v="5"/>
    <n v="2"/>
    <n v="2"/>
    <n v="0"/>
    <n v="10"/>
    <n v="5"/>
    <s v="PASSED"/>
  </r>
  <r>
    <s v="CHESAPEAKE EMPLOYEE"/>
    <x v="0"/>
    <x v="0"/>
    <x v="13"/>
    <s v="N"/>
    <x v="4"/>
    <n v="5"/>
    <n v="2"/>
    <n v="0"/>
    <n v="100"/>
    <n v="10"/>
    <n v="5"/>
    <s v="CRITICAL"/>
  </r>
  <r>
    <s v="CHESAPEAKE EMPLOYEE"/>
    <x v="0"/>
    <x v="0"/>
    <x v="14"/>
    <s v="N"/>
    <x v="4"/>
    <n v="5"/>
    <n v="0"/>
    <n v="0"/>
    <n v="0"/>
    <n v="10"/>
    <n v="5"/>
    <s v="PASSED"/>
  </r>
  <r>
    <s v="CHESAPEAKE EMPLOYEE"/>
    <x v="0"/>
    <x v="0"/>
    <x v="0"/>
    <s v="Y"/>
    <x v="5"/>
    <n v="6"/>
    <n v="12199.62"/>
    <n v="12199.62"/>
    <n v="0"/>
    <n v="10"/>
    <n v="5"/>
    <s v="PASSED"/>
  </r>
  <r>
    <s v="CHESAPEAKE EMPLOYEE"/>
    <x v="0"/>
    <x v="0"/>
    <x v="1"/>
    <s v="Y"/>
    <x v="5"/>
    <n v="6"/>
    <n v="24714.32"/>
    <n v="24714.32"/>
    <n v="0"/>
    <n v="10"/>
    <n v="5"/>
    <s v="PASSED"/>
  </r>
  <r>
    <s v="CHESAPEAKE EMPLOYEE"/>
    <x v="0"/>
    <x v="0"/>
    <x v="2"/>
    <s v="Y"/>
    <x v="5"/>
    <n v="6"/>
    <n v="0"/>
    <n v="0"/>
    <n v="0"/>
    <n v="10"/>
    <n v="5"/>
    <s v="PASSED"/>
  </r>
  <r>
    <s v="CHESAPEAKE EMPLOYEE"/>
    <x v="0"/>
    <x v="0"/>
    <x v="3"/>
    <s v="Y"/>
    <x v="5"/>
    <n v="6"/>
    <n v="0"/>
    <n v="0"/>
    <n v="0"/>
    <n v="10"/>
    <n v="5"/>
    <s v="PASSED"/>
  </r>
  <r>
    <s v="CHESAPEAKE EMPLOYEE"/>
    <x v="0"/>
    <x v="0"/>
    <x v="4"/>
    <s v="Y"/>
    <x v="5"/>
    <n v="6"/>
    <n v="0"/>
    <n v="0"/>
    <n v="0"/>
    <n v="10"/>
    <n v="5"/>
    <s v="PASSED"/>
  </r>
  <r>
    <s v="CHESAPEAKE EMPLOYEE"/>
    <x v="0"/>
    <x v="0"/>
    <x v="5"/>
    <s v="Y"/>
    <x v="5"/>
    <n v="6"/>
    <n v="0"/>
    <n v="0"/>
    <n v="0"/>
    <n v="10"/>
    <n v="5"/>
    <s v="PASSED"/>
  </r>
  <r>
    <s v="CHESAPEAKE EMPLOYEE"/>
    <x v="0"/>
    <x v="0"/>
    <x v="6"/>
    <s v="Y"/>
    <x v="5"/>
    <n v="6"/>
    <n v="0"/>
    <n v="0"/>
    <n v="0"/>
    <n v="10"/>
    <n v="5"/>
    <s v="PASSED"/>
  </r>
  <r>
    <s v="CHESAPEAKE EMPLOYEE"/>
    <x v="0"/>
    <x v="0"/>
    <x v="7"/>
    <s v="Y"/>
    <x v="5"/>
    <n v="6"/>
    <n v="0"/>
    <n v="0"/>
    <n v="0"/>
    <n v="10"/>
    <n v="5"/>
    <s v="PASSED"/>
  </r>
  <r>
    <s v="CHESAPEAKE EMPLOYEE"/>
    <x v="0"/>
    <x v="0"/>
    <x v="8"/>
    <s v="Y"/>
    <x v="5"/>
    <n v="6"/>
    <n v="7961.74"/>
    <n v="7961.74"/>
    <n v="0"/>
    <n v="10"/>
    <n v="5"/>
    <s v="PASSED"/>
  </r>
  <r>
    <s v="CHESAPEAKE EMPLOYEE"/>
    <x v="0"/>
    <x v="0"/>
    <x v="9"/>
    <s v="Y"/>
    <x v="5"/>
    <n v="6"/>
    <n v="0"/>
    <n v="0"/>
    <n v="0"/>
    <n v="10"/>
    <n v="5"/>
    <s v="PASSED"/>
  </r>
  <r>
    <s v="CHESAPEAKE EMPLOYEE"/>
    <x v="0"/>
    <x v="0"/>
    <x v="10"/>
    <s v="Y"/>
    <x v="5"/>
    <n v="6"/>
    <n v="0"/>
    <n v="0"/>
    <n v="0"/>
    <n v="10"/>
    <n v="5"/>
    <s v="PASSED"/>
  </r>
  <r>
    <s v="CHESAPEAKE EMPLOYEE"/>
    <x v="0"/>
    <x v="0"/>
    <x v="11"/>
    <s v="Y"/>
    <x v="5"/>
    <n v="6"/>
    <n v="0"/>
    <n v="0"/>
    <n v="0"/>
    <n v="10"/>
    <n v="5"/>
    <s v="PASSED"/>
  </r>
  <r>
    <s v="CHESAPEAKE EMPLOYEE"/>
    <x v="0"/>
    <x v="0"/>
    <x v="12"/>
    <s v="N"/>
    <x v="5"/>
    <n v="6"/>
    <n v="0"/>
    <n v="0"/>
    <n v="0"/>
    <n v="10"/>
    <n v="5"/>
    <s v="PASSED"/>
  </r>
  <r>
    <s v="CHESAPEAKE EMPLOYEE"/>
    <x v="0"/>
    <x v="0"/>
    <x v="13"/>
    <s v="N"/>
    <x v="5"/>
    <n v="6"/>
    <n v="0"/>
    <n v="0"/>
    <n v="0"/>
    <n v="10"/>
    <n v="5"/>
    <s v="PASSED"/>
  </r>
  <r>
    <s v="CHESAPEAKE EMPLOYEE"/>
    <x v="0"/>
    <x v="0"/>
    <x v="14"/>
    <s v="N"/>
    <x v="5"/>
    <n v="6"/>
    <n v="0"/>
    <n v="0"/>
    <n v="0"/>
    <n v="10"/>
    <n v="5"/>
    <s v="PASSED"/>
  </r>
  <r>
    <s v="CHESAPEAKE EMPLOYEE"/>
    <x v="0"/>
    <x v="0"/>
    <x v="0"/>
    <s v="Y"/>
    <x v="6"/>
    <n v="7"/>
    <n v="2"/>
    <n v="2"/>
    <n v="0"/>
    <n v="10"/>
    <n v="5"/>
    <s v="PASSED"/>
  </r>
  <r>
    <s v="CHESAPEAKE EMPLOYEE"/>
    <x v="0"/>
    <x v="0"/>
    <x v="1"/>
    <s v="Y"/>
    <x v="6"/>
    <n v="7"/>
    <n v="1"/>
    <n v="1"/>
    <n v="0"/>
    <n v="10"/>
    <n v="5"/>
    <s v="PASSED"/>
  </r>
  <r>
    <s v="CHESAPEAKE EMPLOYEE"/>
    <x v="0"/>
    <x v="0"/>
    <x v="2"/>
    <s v="Y"/>
    <x v="6"/>
    <n v="7"/>
    <n v="0"/>
    <n v="0"/>
    <n v="0"/>
    <n v="10"/>
    <n v="5"/>
    <s v="PASSED"/>
  </r>
  <r>
    <s v="CHESAPEAKE EMPLOYEE"/>
    <x v="0"/>
    <x v="0"/>
    <x v="3"/>
    <s v="Y"/>
    <x v="6"/>
    <n v="7"/>
    <n v="0"/>
    <n v="0"/>
    <n v="0"/>
    <n v="10"/>
    <n v="5"/>
    <s v="PASSED"/>
  </r>
  <r>
    <s v="CHESAPEAKE EMPLOYEE"/>
    <x v="0"/>
    <x v="0"/>
    <x v="4"/>
    <s v="Y"/>
    <x v="6"/>
    <n v="7"/>
    <n v="0"/>
    <n v="0"/>
    <n v="0"/>
    <n v="10"/>
    <n v="5"/>
    <s v="PASSED"/>
  </r>
  <r>
    <s v="CHESAPEAKE EMPLOYEE"/>
    <x v="0"/>
    <x v="0"/>
    <x v="5"/>
    <s v="Y"/>
    <x v="6"/>
    <n v="7"/>
    <n v="0"/>
    <n v="0"/>
    <n v="0"/>
    <n v="10"/>
    <n v="5"/>
    <s v="PASSED"/>
  </r>
  <r>
    <s v="CHESAPEAKE EMPLOYEE"/>
    <x v="0"/>
    <x v="0"/>
    <x v="6"/>
    <s v="Y"/>
    <x v="6"/>
    <n v="7"/>
    <n v="0"/>
    <n v="0"/>
    <n v="0"/>
    <n v="10"/>
    <n v="5"/>
    <s v="PASSED"/>
  </r>
  <r>
    <s v="CHESAPEAKE EMPLOYEE"/>
    <x v="0"/>
    <x v="0"/>
    <x v="7"/>
    <s v="Y"/>
    <x v="6"/>
    <n v="7"/>
    <n v="0"/>
    <n v="0"/>
    <n v="0"/>
    <n v="10"/>
    <n v="5"/>
    <s v="PASSED"/>
  </r>
  <r>
    <s v="CHESAPEAKE EMPLOYEE"/>
    <x v="0"/>
    <x v="0"/>
    <x v="8"/>
    <s v="Y"/>
    <x v="6"/>
    <n v="7"/>
    <n v="1"/>
    <n v="1"/>
    <n v="0"/>
    <n v="10"/>
    <n v="5"/>
    <s v="PASSED"/>
  </r>
  <r>
    <s v="CHESAPEAKE EMPLOYEE"/>
    <x v="0"/>
    <x v="0"/>
    <x v="9"/>
    <s v="Y"/>
    <x v="6"/>
    <n v="7"/>
    <n v="0"/>
    <n v="0"/>
    <n v="0"/>
    <n v="10"/>
    <n v="5"/>
    <s v="PASSED"/>
  </r>
  <r>
    <s v="CHESAPEAKE EMPLOYEE"/>
    <x v="0"/>
    <x v="0"/>
    <x v="10"/>
    <s v="Y"/>
    <x v="6"/>
    <n v="7"/>
    <n v="0"/>
    <n v="0"/>
    <n v="0"/>
    <n v="10"/>
    <n v="5"/>
    <s v="PASSED"/>
  </r>
  <r>
    <s v="CHESAPEAKE EMPLOYEE"/>
    <x v="0"/>
    <x v="0"/>
    <x v="11"/>
    <s v="Y"/>
    <x v="6"/>
    <n v="7"/>
    <n v="0"/>
    <n v="0"/>
    <n v="0"/>
    <n v="10"/>
    <n v="5"/>
    <s v="PASSED"/>
  </r>
  <r>
    <s v="CHESAPEAKE EMPLOYEE"/>
    <x v="0"/>
    <x v="0"/>
    <x v="12"/>
    <s v="N"/>
    <x v="6"/>
    <n v="7"/>
    <n v="0"/>
    <n v="0"/>
    <n v="0"/>
    <n v="10"/>
    <n v="5"/>
    <s v="PASSED"/>
  </r>
  <r>
    <s v="CHESAPEAKE EMPLOYEE"/>
    <x v="0"/>
    <x v="0"/>
    <x v="13"/>
    <s v="N"/>
    <x v="6"/>
    <n v="7"/>
    <n v="0"/>
    <n v="0"/>
    <n v="0"/>
    <n v="10"/>
    <n v="5"/>
    <s v="PASSED"/>
  </r>
  <r>
    <s v="CHESAPEAKE EMPLOYEE"/>
    <x v="0"/>
    <x v="0"/>
    <x v="14"/>
    <s v="N"/>
    <x v="6"/>
    <n v="7"/>
    <n v="0"/>
    <n v="0"/>
    <n v="0"/>
    <n v="10"/>
    <n v="5"/>
    <s v="PASSED"/>
  </r>
  <r>
    <s v="CHESAPEAKE EMPLOYEE"/>
    <x v="0"/>
    <x v="0"/>
    <x v="0"/>
    <s v="Y"/>
    <x v="7"/>
    <n v="8"/>
    <n v="36660.199999999997"/>
    <n v="36660.199999999997"/>
    <n v="0"/>
    <n v="10"/>
    <n v="5"/>
    <s v="PASSED"/>
  </r>
  <r>
    <s v="CHESAPEAKE EMPLOYEE"/>
    <x v="0"/>
    <x v="0"/>
    <x v="1"/>
    <s v="Y"/>
    <x v="7"/>
    <n v="8"/>
    <n v="32938.639999999999"/>
    <n v="32318.13"/>
    <n v="1.9200058914299756"/>
    <n v="10"/>
    <n v="5"/>
    <s v="TRIVIAL"/>
  </r>
  <r>
    <s v="CHESAPEAKE EMPLOYEE"/>
    <x v="0"/>
    <x v="0"/>
    <x v="2"/>
    <s v="Y"/>
    <x v="7"/>
    <n v="8"/>
    <n v="43006.65"/>
    <n v="40754.79"/>
    <n v="5.5253873225699373"/>
    <n v="10"/>
    <n v="5"/>
    <s v="CAUTIONARY"/>
  </r>
  <r>
    <s v="CHESAPEAKE EMPLOYEE"/>
    <x v="0"/>
    <x v="0"/>
    <x v="3"/>
    <s v="Y"/>
    <x v="7"/>
    <n v="8"/>
    <n v="43679.56"/>
    <n v="43679.56"/>
    <n v="0"/>
    <n v="10"/>
    <n v="5"/>
    <s v="PASSED"/>
  </r>
  <r>
    <s v="CHESAPEAKE EMPLOYEE"/>
    <x v="0"/>
    <x v="0"/>
    <x v="4"/>
    <s v="Y"/>
    <x v="7"/>
    <n v="8"/>
    <n v="38110.43"/>
    <n v="38110.43"/>
    <n v="0"/>
    <n v="10"/>
    <n v="5"/>
    <s v="PASSED"/>
  </r>
  <r>
    <s v="CHESAPEAKE EMPLOYEE"/>
    <x v="0"/>
    <x v="0"/>
    <x v="5"/>
    <s v="Y"/>
    <x v="7"/>
    <n v="8"/>
    <n v="43457.54"/>
    <n v="43457.54"/>
    <n v="0"/>
    <n v="10"/>
    <n v="5"/>
    <s v="PASSED"/>
  </r>
  <r>
    <s v="CHESAPEAKE EMPLOYEE"/>
    <x v="0"/>
    <x v="0"/>
    <x v="6"/>
    <s v="Y"/>
    <x v="7"/>
    <n v="8"/>
    <n v="19065.830000000002"/>
    <n v="16807.21"/>
    <n v="13.438399353610759"/>
    <n v="10"/>
    <n v="5"/>
    <s v="CRITICAL"/>
  </r>
  <r>
    <s v="CHESAPEAKE EMPLOYEE"/>
    <x v="0"/>
    <x v="0"/>
    <x v="7"/>
    <s v="Y"/>
    <x v="7"/>
    <n v="8"/>
    <n v="53492.91"/>
    <n v="49139.51"/>
    <n v="8.8592661994391104"/>
    <n v="10"/>
    <n v="5"/>
    <s v="CAUTIONARY"/>
  </r>
  <r>
    <s v="CHESAPEAKE EMPLOYEE"/>
    <x v="0"/>
    <x v="0"/>
    <x v="8"/>
    <s v="Y"/>
    <x v="7"/>
    <n v="8"/>
    <n v="61406.720000000001"/>
    <n v="57553.32"/>
    <n v="6.6953565841206055"/>
    <n v="10"/>
    <n v="5"/>
    <s v="CAUTIONARY"/>
  </r>
  <r>
    <s v="CHESAPEAKE EMPLOYEE"/>
    <x v="0"/>
    <x v="0"/>
    <x v="9"/>
    <s v="Y"/>
    <x v="7"/>
    <n v="8"/>
    <n v="47603.6"/>
    <n v="44258.3"/>
    <n v="7.5585822320333031"/>
    <n v="10"/>
    <n v="5"/>
    <s v="CAUTIONARY"/>
  </r>
  <r>
    <s v="CHESAPEAKE EMPLOYEE"/>
    <x v="0"/>
    <x v="0"/>
    <x v="10"/>
    <s v="Y"/>
    <x v="7"/>
    <n v="8"/>
    <n v="30404.48"/>
    <n v="30404.48"/>
    <n v="0"/>
    <n v="10"/>
    <n v="5"/>
    <s v="PASSED"/>
  </r>
  <r>
    <s v="CHESAPEAKE EMPLOYEE"/>
    <x v="0"/>
    <x v="0"/>
    <x v="11"/>
    <s v="Y"/>
    <x v="7"/>
    <n v="8"/>
    <n v="35690.36"/>
    <n v="29231.42"/>
    <n v="22.095881760106089"/>
    <n v="10"/>
    <n v="5"/>
    <s v="CRITICAL"/>
  </r>
  <r>
    <s v="CHESAPEAKE EMPLOYEE"/>
    <x v="0"/>
    <x v="0"/>
    <x v="12"/>
    <s v="N"/>
    <x v="7"/>
    <n v="8"/>
    <n v="41588.17"/>
    <n v="36044.61"/>
    <n v="15.379719741731144"/>
    <n v="10"/>
    <n v="5"/>
    <s v="CRITICAL"/>
  </r>
  <r>
    <s v="CHESAPEAKE EMPLOYEE"/>
    <x v="0"/>
    <x v="0"/>
    <x v="13"/>
    <s v="N"/>
    <x v="7"/>
    <n v="8"/>
    <n v="54363.86"/>
    <n v="29485.54"/>
    <n v="84.374646012927016"/>
    <n v="10"/>
    <n v="5"/>
    <s v="CRITICAL"/>
  </r>
  <r>
    <s v="CHESAPEAKE EMPLOYEE"/>
    <x v="0"/>
    <x v="0"/>
    <x v="14"/>
    <s v="N"/>
    <x v="7"/>
    <n v="8"/>
    <n v="17986.27"/>
    <n v="0"/>
    <n v="100"/>
    <n v="10"/>
    <n v="5"/>
    <s v="CRITICAL"/>
  </r>
  <r>
    <s v="CHESAPEAKE EMPLOYEE"/>
    <x v="0"/>
    <x v="0"/>
    <x v="0"/>
    <s v="Y"/>
    <x v="8"/>
    <n v="9"/>
    <n v="50"/>
    <n v="50"/>
    <n v="0"/>
    <n v="10"/>
    <n v="5"/>
    <s v="PASSED"/>
  </r>
  <r>
    <s v="CHESAPEAKE EMPLOYEE"/>
    <x v="0"/>
    <x v="0"/>
    <x v="1"/>
    <s v="Y"/>
    <x v="8"/>
    <n v="9"/>
    <n v="36"/>
    <n v="36"/>
    <n v="0"/>
    <n v="10"/>
    <n v="5"/>
    <s v="PASSED"/>
  </r>
  <r>
    <s v="CHESAPEAKE EMPLOYEE"/>
    <x v="0"/>
    <x v="0"/>
    <x v="2"/>
    <s v="Y"/>
    <x v="8"/>
    <n v="9"/>
    <n v="63"/>
    <n v="58"/>
    <n v="8.6206896551724146"/>
    <n v="10"/>
    <n v="5"/>
    <s v="CAUTIONARY"/>
  </r>
  <r>
    <s v="CHESAPEAKE EMPLOYEE"/>
    <x v="0"/>
    <x v="0"/>
    <x v="3"/>
    <s v="Y"/>
    <x v="8"/>
    <n v="9"/>
    <n v="36"/>
    <n v="36"/>
    <n v="0"/>
    <n v="10"/>
    <n v="5"/>
    <s v="PASSED"/>
  </r>
  <r>
    <s v="CHESAPEAKE EMPLOYEE"/>
    <x v="0"/>
    <x v="0"/>
    <x v="4"/>
    <s v="Y"/>
    <x v="8"/>
    <n v="9"/>
    <n v="44"/>
    <n v="44"/>
    <n v="0"/>
    <n v="10"/>
    <n v="5"/>
    <s v="PASSED"/>
  </r>
  <r>
    <s v="CHESAPEAKE EMPLOYEE"/>
    <x v="0"/>
    <x v="0"/>
    <x v="5"/>
    <s v="Y"/>
    <x v="8"/>
    <n v="9"/>
    <n v="52"/>
    <n v="52"/>
    <n v="0"/>
    <n v="10"/>
    <n v="5"/>
    <s v="PASSED"/>
  </r>
  <r>
    <s v="CHESAPEAKE EMPLOYEE"/>
    <x v="0"/>
    <x v="0"/>
    <x v="6"/>
    <s v="Y"/>
    <x v="8"/>
    <n v="9"/>
    <n v="21"/>
    <n v="17"/>
    <n v="23.52941176470588"/>
    <n v="10"/>
    <n v="5"/>
    <s v="CRITICAL"/>
  </r>
  <r>
    <s v="CHESAPEAKE EMPLOYEE"/>
    <x v="0"/>
    <x v="0"/>
    <x v="7"/>
    <s v="Y"/>
    <x v="8"/>
    <n v="9"/>
    <n v="78"/>
    <n v="74"/>
    <n v="5.4054054054054053"/>
    <n v="10"/>
    <n v="5"/>
    <s v="CAUTIONARY"/>
  </r>
  <r>
    <s v="CHESAPEAKE EMPLOYEE"/>
    <x v="0"/>
    <x v="0"/>
    <x v="8"/>
    <s v="Y"/>
    <x v="8"/>
    <n v="9"/>
    <n v="70"/>
    <n v="65"/>
    <n v="7.6923076923076925"/>
    <n v="10"/>
    <n v="5"/>
    <s v="CAUTIONARY"/>
  </r>
  <r>
    <s v="CHESAPEAKE EMPLOYEE"/>
    <x v="0"/>
    <x v="0"/>
    <x v="9"/>
    <s v="Y"/>
    <x v="8"/>
    <n v="9"/>
    <n v="73"/>
    <n v="69"/>
    <n v="5.7971014492753623"/>
    <n v="10"/>
    <n v="5"/>
    <s v="CAUTIONARY"/>
  </r>
  <r>
    <s v="CHESAPEAKE EMPLOYEE"/>
    <x v="0"/>
    <x v="0"/>
    <x v="10"/>
    <s v="Y"/>
    <x v="8"/>
    <n v="9"/>
    <n v="27"/>
    <n v="27"/>
    <n v="0"/>
    <n v="10"/>
    <n v="5"/>
    <s v="PASSED"/>
  </r>
  <r>
    <s v="CHESAPEAKE EMPLOYEE"/>
    <x v="0"/>
    <x v="0"/>
    <x v="11"/>
    <s v="Y"/>
    <x v="8"/>
    <n v="9"/>
    <n v="38"/>
    <n v="34"/>
    <n v="11.76470588235294"/>
    <n v="10"/>
    <n v="5"/>
    <s v="CRITICAL"/>
  </r>
  <r>
    <s v="CHESAPEAKE EMPLOYEE"/>
    <x v="0"/>
    <x v="0"/>
    <x v="12"/>
    <s v="N"/>
    <x v="8"/>
    <n v="9"/>
    <n v="30"/>
    <n v="26"/>
    <n v="15.384615384615385"/>
    <n v="10"/>
    <n v="5"/>
    <s v="CRITICAL"/>
  </r>
  <r>
    <s v="CHESAPEAKE EMPLOYEE"/>
    <x v="0"/>
    <x v="0"/>
    <x v="13"/>
    <s v="N"/>
    <x v="8"/>
    <n v="9"/>
    <n v="41"/>
    <n v="19"/>
    <n v="115.78947368421053"/>
    <n v="10"/>
    <n v="5"/>
    <s v="CRITICAL"/>
  </r>
  <r>
    <s v="CHESAPEAKE EMPLOYEE"/>
    <x v="0"/>
    <x v="0"/>
    <x v="14"/>
    <s v="N"/>
    <x v="8"/>
    <n v="9"/>
    <n v="18"/>
    <n v="0"/>
    <n v="100"/>
    <n v="10"/>
    <n v="5"/>
    <s v="CRITICAL"/>
  </r>
  <r>
    <s v="CHESAPEAKE EMPLOYEE"/>
    <x v="0"/>
    <x v="0"/>
    <x v="0"/>
    <s v="Y"/>
    <x v="9"/>
    <n v="10"/>
    <n v="41"/>
    <n v="41"/>
    <n v="0"/>
    <n v="10"/>
    <n v="5"/>
    <s v="PASSED"/>
  </r>
  <r>
    <s v="CHESAPEAKE EMPLOYEE"/>
    <x v="0"/>
    <x v="0"/>
    <x v="1"/>
    <s v="Y"/>
    <x v="9"/>
    <n v="10"/>
    <n v="50"/>
    <n v="50"/>
    <n v="0"/>
    <n v="10"/>
    <n v="5"/>
    <s v="PASSED"/>
  </r>
  <r>
    <s v="CHESAPEAKE EMPLOYEE"/>
    <x v="0"/>
    <x v="0"/>
    <x v="2"/>
    <s v="Y"/>
    <x v="9"/>
    <n v="10"/>
    <n v="27"/>
    <n v="27"/>
    <n v="0"/>
    <n v="10"/>
    <n v="5"/>
    <s v="PASSED"/>
  </r>
  <r>
    <s v="CHESAPEAKE EMPLOYEE"/>
    <x v="0"/>
    <x v="0"/>
    <x v="3"/>
    <s v="Y"/>
    <x v="9"/>
    <n v="10"/>
    <n v="58"/>
    <n v="58"/>
    <n v="0"/>
    <n v="10"/>
    <n v="5"/>
    <s v="PASSED"/>
  </r>
  <r>
    <s v="CHESAPEAKE EMPLOYEE"/>
    <x v="0"/>
    <x v="0"/>
    <x v="4"/>
    <s v="Y"/>
    <x v="9"/>
    <n v="10"/>
    <n v="39"/>
    <n v="39"/>
    <n v="0"/>
    <n v="10"/>
    <n v="5"/>
    <s v="PASSED"/>
  </r>
  <r>
    <s v="CHESAPEAKE EMPLOYEE"/>
    <x v="0"/>
    <x v="0"/>
    <x v="5"/>
    <s v="Y"/>
    <x v="9"/>
    <n v="10"/>
    <n v="56"/>
    <n v="56"/>
    <n v="0"/>
    <n v="10"/>
    <n v="5"/>
    <s v="PASSED"/>
  </r>
  <r>
    <s v="CHESAPEAKE EMPLOYEE"/>
    <x v="0"/>
    <x v="0"/>
    <x v="6"/>
    <s v="Y"/>
    <x v="9"/>
    <n v="10"/>
    <n v="29"/>
    <n v="29"/>
    <n v="0"/>
    <n v="10"/>
    <n v="5"/>
    <s v="PASSED"/>
  </r>
  <r>
    <s v="CHESAPEAKE EMPLOYEE"/>
    <x v="0"/>
    <x v="0"/>
    <x v="7"/>
    <s v="Y"/>
    <x v="9"/>
    <n v="10"/>
    <n v="29"/>
    <n v="21"/>
    <n v="38.095238095238095"/>
    <n v="10"/>
    <n v="5"/>
    <s v="CRITICAL"/>
  </r>
  <r>
    <s v="CHESAPEAKE EMPLOYEE"/>
    <x v="0"/>
    <x v="0"/>
    <x v="8"/>
    <s v="Y"/>
    <x v="9"/>
    <n v="10"/>
    <n v="49"/>
    <n v="45"/>
    <n v="8.8888888888888893"/>
    <n v="10"/>
    <n v="5"/>
    <s v="CAUTIONARY"/>
  </r>
  <r>
    <s v="CHESAPEAKE EMPLOYEE"/>
    <x v="0"/>
    <x v="0"/>
    <x v="9"/>
    <s v="Y"/>
    <x v="9"/>
    <n v="10"/>
    <n v="24"/>
    <n v="24"/>
    <n v="0"/>
    <n v="10"/>
    <n v="5"/>
    <s v="PASSED"/>
  </r>
  <r>
    <s v="CHESAPEAKE EMPLOYEE"/>
    <x v="0"/>
    <x v="0"/>
    <x v="10"/>
    <s v="Y"/>
    <x v="9"/>
    <n v="10"/>
    <n v="27"/>
    <n v="27"/>
    <n v="0"/>
    <n v="10"/>
    <n v="5"/>
    <s v="PASSED"/>
  </r>
  <r>
    <s v="CHESAPEAKE EMPLOYEE"/>
    <x v="0"/>
    <x v="0"/>
    <x v="11"/>
    <s v="Y"/>
    <x v="9"/>
    <n v="10"/>
    <n v="23"/>
    <n v="23"/>
    <n v="0"/>
    <n v="10"/>
    <n v="5"/>
    <s v="PASSED"/>
  </r>
  <r>
    <s v="CHESAPEAKE EMPLOYEE"/>
    <x v="0"/>
    <x v="0"/>
    <x v="12"/>
    <s v="N"/>
    <x v="9"/>
    <n v="10"/>
    <n v="42"/>
    <n v="38"/>
    <n v="10.526315789473683"/>
    <n v="10"/>
    <n v="5"/>
    <s v="CRITICAL"/>
  </r>
  <r>
    <s v="CHESAPEAKE EMPLOYEE"/>
    <x v="0"/>
    <x v="0"/>
    <x v="13"/>
    <s v="N"/>
    <x v="9"/>
    <n v="10"/>
    <n v="41"/>
    <n v="19"/>
    <n v="115.78947368421053"/>
    <n v="10"/>
    <n v="5"/>
    <s v="CRITICAL"/>
  </r>
  <r>
    <s v="CHESAPEAKE EMPLOYEE"/>
    <x v="0"/>
    <x v="0"/>
    <x v="14"/>
    <s v="N"/>
    <x v="9"/>
    <n v="10"/>
    <n v="22"/>
    <n v="0"/>
    <n v="100"/>
    <n v="10"/>
    <n v="5"/>
    <s v="CRITICAL"/>
  </r>
  <r>
    <s v="CHESAPEAKE EMPLOYEE"/>
    <x v="0"/>
    <x v="0"/>
    <x v="0"/>
    <s v="Y"/>
    <x v="10"/>
    <n v="11"/>
    <n v="5"/>
    <n v="5"/>
    <n v="0"/>
    <n v="10"/>
    <n v="5"/>
    <s v="PASSED"/>
  </r>
  <r>
    <s v="CHESAPEAKE EMPLOYEE"/>
    <x v="0"/>
    <x v="0"/>
    <x v="1"/>
    <s v="Y"/>
    <x v="10"/>
    <n v="11"/>
    <n v="9"/>
    <n v="9"/>
    <n v="0"/>
    <n v="10"/>
    <n v="5"/>
    <s v="PASSED"/>
  </r>
  <r>
    <s v="CHESAPEAKE EMPLOYEE"/>
    <x v="0"/>
    <x v="0"/>
    <x v="2"/>
    <s v="Y"/>
    <x v="10"/>
    <n v="11"/>
    <n v="0"/>
    <n v="0"/>
    <n v="0"/>
    <n v="10"/>
    <n v="5"/>
    <s v="PASSED"/>
  </r>
  <r>
    <s v="CHESAPEAKE EMPLOYEE"/>
    <x v="0"/>
    <x v="0"/>
    <x v="3"/>
    <s v="Y"/>
    <x v="10"/>
    <n v="11"/>
    <n v="0"/>
    <n v="0"/>
    <n v="0"/>
    <n v="10"/>
    <n v="5"/>
    <s v="PASSED"/>
  </r>
  <r>
    <s v="CHESAPEAKE EMPLOYEE"/>
    <x v="0"/>
    <x v="0"/>
    <x v="4"/>
    <s v="Y"/>
    <x v="10"/>
    <n v="11"/>
    <n v="9"/>
    <n v="9"/>
    <n v="0"/>
    <n v="10"/>
    <n v="5"/>
    <s v="PASSED"/>
  </r>
  <r>
    <s v="CHESAPEAKE EMPLOYEE"/>
    <x v="0"/>
    <x v="0"/>
    <x v="5"/>
    <s v="Y"/>
    <x v="10"/>
    <n v="11"/>
    <n v="0"/>
    <n v="0"/>
    <n v="0"/>
    <n v="10"/>
    <n v="5"/>
    <s v="PASSED"/>
  </r>
  <r>
    <s v="CHESAPEAKE EMPLOYEE"/>
    <x v="0"/>
    <x v="0"/>
    <x v="6"/>
    <s v="Y"/>
    <x v="10"/>
    <n v="11"/>
    <n v="0"/>
    <n v="0"/>
    <n v="0"/>
    <n v="10"/>
    <n v="5"/>
    <s v="PASSED"/>
  </r>
  <r>
    <s v="CHESAPEAKE EMPLOYEE"/>
    <x v="0"/>
    <x v="0"/>
    <x v="7"/>
    <s v="Y"/>
    <x v="10"/>
    <n v="11"/>
    <n v="4"/>
    <n v="4"/>
    <n v="0"/>
    <n v="10"/>
    <n v="5"/>
    <s v="PASSED"/>
  </r>
  <r>
    <s v="CHESAPEAKE EMPLOYEE"/>
    <x v="0"/>
    <x v="0"/>
    <x v="8"/>
    <s v="Y"/>
    <x v="10"/>
    <n v="11"/>
    <n v="4"/>
    <n v="4"/>
    <n v="0"/>
    <n v="10"/>
    <n v="5"/>
    <s v="PASSED"/>
  </r>
  <r>
    <s v="CHESAPEAKE EMPLOYEE"/>
    <x v="0"/>
    <x v="0"/>
    <x v="9"/>
    <s v="Y"/>
    <x v="10"/>
    <n v="11"/>
    <n v="0"/>
    <n v="0"/>
    <n v="0"/>
    <n v="10"/>
    <n v="5"/>
    <s v="PASSED"/>
  </r>
  <r>
    <s v="CHESAPEAKE EMPLOYEE"/>
    <x v="0"/>
    <x v="0"/>
    <x v="10"/>
    <s v="Y"/>
    <x v="10"/>
    <n v="11"/>
    <n v="0"/>
    <n v="0"/>
    <n v="0"/>
    <n v="10"/>
    <n v="5"/>
    <s v="PASSED"/>
  </r>
  <r>
    <s v="CHESAPEAKE EMPLOYEE"/>
    <x v="0"/>
    <x v="0"/>
    <x v="11"/>
    <s v="Y"/>
    <x v="10"/>
    <n v="11"/>
    <n v="4"/>
    <n v="4"/>
    <n v="0"/>
    <n v="10"/>
    <n v="5"/>
    <s v="PASSED"/>
  </r>
  <r>
    <s v="CHESAPEAKE EMPLOYEE"/>
    <x v="0"/>
    <x v="0"/>
    <x v="12"/>
    <s v="N"/>
    <x v="10"/>
    <n v="11"/>
    <n v="0"/>
    <n v="0"/>
    <n v="0"/>
    <n v="10"/>
    <n v="5"/>
    <s v="PASSED"/>
  </r>
  <r>
    <s v="CHESAPEAKE EMPLOYEE"/>
    <x v="0"/>
    <x v="0"/>
    <x v="13"/>
    <s v="N"/>
    <x v="10"/>
    <n v="11"/>
    <n v="7"/>
    <n v="7"/>
    <n v="0"/>
    <n v="10"/>
    <n v="5"/>
    <s v="PASSED"/>
  </r>
  <r>
    <s v="CHESAPEAKE EMPLOYEE"/>
    <x v="0"/>
    <x v="0"/>
    <x v="14"/>
    <s v="N"/>
    <x v="10"/>
    <n v="11"/>
    <n v="4"/>
    <n v="0"/>
    <n v="100"/>
    <n v="10"/>
    <n v="5"/>
    <s v="CRITICAL"/>
  </r>
  <r>
    <s v="CHESAPEAKE EMPLOYEE"/>
    <x v="0"/>
    <x v="0"/>
    <x v="0"/>
    <s v="Y"/>
    <x v="11"/>
    <n v="12"/>
    <n v="0"/>
    <n v="0"/>
    <n v="0"/>
    <n v="10"/>
    <n v="5"/>
    <s v="PASSED"/>
  </r>
  <r>
    <s v="CHESAPEAKE EMPLOYEE"/>
    <x v="0"/>
    <x v="0"/>
    <x v="1"/>
    <s v="Y"/>
    <x v="11"/>
    <n v="12"/>
    <n v="0"/>
    <n v="0"/>
    <n v="0"/>
    <n v="10"/>
    <n v="5"/>
    <s v="PASSED"/>
  </r>
  <r>
    <s v="CHESAPEAKE EMPLOYEE"/>
    <x v="0"/>
    <x v="0"/>
    <x v="2"/>
    <s v="Y"/>
    <x v="11"/>
    <n v="12"/>
    <n v="0"/>
    <n v="0"/>
    <n v="0"/>
    <n v="10"/>
    <n v="5"/>
    <s v="PASSED"/>
  </r>
  <r>
    <s v="CHESAPEAKE EMPLOYEE"/>
    <x v="0"/>
    <x v="0"/>
    <x v="3"/>
    <s v="Y"/>
    <x v="11"/>
    <n v="12"/>
    <n v="13"/>
    <n v="13"/>
    <n v="0"/>
    <n v="10"/>
    <n v="5"/>
    <s v="PASSED"/>
  </r>
  <r>
    <s v="CHESAPEAKE EMPLOYEE"/>
    <x v="0"/>
    <x v="0"/>
    <x v="4"/>
    <s v="Y"/>
    <x v="11"/>
    <n v="12"/>
    <n v="4"/>
    <n v="4"/>
    <n v="0"/>
    <n v="10"/>
    <n v="5"/>
    <s v="PASSED"/>
  </r>
  <r>
    <s v="CHESAPEAKE EMPLOYEE"/>
    <x v="0"/>
    <x v="0"/>
    <x v="5"/>
    <s v="Y"/>
    <x v="11"/>
    <n v="12"/>
    <n v="4"/>
    <n v="4"/>
    <n v="0"/>
    <n v="10"/>
    <n v="5"/>
    <s v="PASSED"/>
  </r>
  <r>
    <s v="CHESAPEAKE EMPLOYEE"/>
    <x v="0"/>
    <x v="0"/>
    <x v="6"/>
    <s v="Y"/>
    <x v="11"/>
    <n v="12"/>
    <n v="4"/>
    <n v="4"/>
    <n v="0"/>
    <n v="10"/>
    <n v="5"/>
    <s v="PASSED"/>
  </r>
  <r>
    <s v="CHESAPEAKE EMPLOYEE"/>
    <x v="0"/>
    <x v="0"/>
    <x v="7"/>
    <s v="Y"/>
    <x v="11"/>
    <n v="12"/>
    <n v="0"/>
    <n v="0"/>
    <n v="0"/>
    <n v="10"/>
    <n v="5"/>
    <s v="PASSED"/>
  </r>
  <r>
    <s v="CHESAPEAKE EMPLOYEE"/>
    <x v="0"/>
    <x v="0"/>
    <x v="8"/>
    <s v="Y"/>
    <x v="11"/>
    <n v="12"/>
    <n v="8"/>
    <n v="8"/>
    <n v="0"/>
    <n v="10"/>
    <n v="5"/>
    <s v="PASSED"/>
  </r>
  <r>
    <s v="CHESAPEAKE EMPLOYEE"/>
    <x v="0"/>
    <x v="0"/>
    <x v="9"/>
    <s v="Y"/>
    <x v="11"/>
    <n v="12"/>
    <n v="0"/>
    <n v="0"/>
    <n v="0"/>
    <n v="10"/>
    <n v="5"/>
    <s v="PASSED"/>
  </r>
  <r>
    <s v="CHESAPEAKE EMPLOYEE"/>
    <x v="0"/>
    <x v="0"/>
    <x v="10"/>
    <s v="Y"/>
    <x v="11"/>
    <n v="12"/>
    <n v="0"/>
    <n v="0"/>
    <n v="0"/>
    <n v="10"/>
    <n v="5"/>
    <s v="PASSED"/>
  </r>
  <r>
    <s v="CHESAPEAKE EMPLOYEE"/>
    <x v="0"/>
    <x v="0"/>
    <x v="11"/>
    <s v="Y"/>
    <x v="11"/>
    <n v="12"/>
    <n v="4"/>
    <n v="4"/>
    <n v="0"/>
    <n v="10"/>
    <n v="5"/>
    <s v="PASSED"/>
  </r>
  <r>
    <s v="CHESAPEAKE EMPLOYEE"/>
    <x v="0"/>
    <x v="0"/>
    <x v="12"/>
    <s v="N"/>
    <x v="11"/>
    <n v="12"/>
    <n v="4"/>
    <n v="4"/>
    <n v="0"/>
    <n v="10"/>
    <n v="5"/>
    <s v="PASSED"/>
  </r>
  <r>
    <s v="CHESAPEAKE EMPLOYEE"/>
    <x v="0"/>
    <x v="0"/>
    <x v="13"/>
    <s v="N"/>
    <x v="11"/>
    <n v="12"/>
    <n v="0"/>
    <n v="0"/>
    <n v="0"/>
    <n v="10"/>
    <n v="5"/>
    <s v="PASSED"/>
  </r>
  <r>
    <s v="CHESAPEAKE EMPLOYEE"/>
    <x v="0"/>
    <x v="0"/>
    <x v="14"/>
    <s v="N"/>
    <x v="11"/>
    <n v="12"/>
    <n v="0"/>
    <n v="0"/>
    <n v="0"/>
    <n v="10"/>
    <n v="5"/>
    <s v="PASSED"/>
  </r>
  <r>
    <s v="CHESAPEAKE EMPLOYEE"/>
    <x v="0"/>
    <x v="0"/>
    <x v="0"/>
    <s v="Y"/>
    <x v="12"/>
    <n v="13"/>
    <n v="122096"/>
    <n v="116304"/>
    <n v="4.9800522767918558"/>
    <n v="10"/>
    <n v="5"/>
    <s v="TRIVIAL"/>
  </r>
  <r>
    <s v="CHESAPEAKE EMPLOYEE"/>
    <x v="0"/>
    <x v="0"/>
    <x v="1"/>
    <s v="Y"/>
    <x v="12"/>
    <n v="13"/>
    <n v="75703"/>
    <n v="75166"/>
    <n v="0.71441875315967329"/>
    <n v="10"/>
    <n v="5"/>
    <s v="TRIVIAL"/>
  </r>
  <r>
    <s v="CHESAPEAKE EMPLOYEE"/>
    <x v="0"/>
    <x v="0"/>
    <x v="2"/>
    <s v="Y"/>
    <x v="12"/>
    <n v="13"/>
    <n v="40473"/>
    <n v="41481"/>
    <n v="2.4300282056845304"/>
    <n v="10"/>
    <n v="5"/>
    <s v="TRIVIAL"/>
  </r>
  <r>
    <s v="CHESAPEAKE EMPLOYEE"/>
    <x v="0"/>
    <x v="0"/>
    <x v="3"/>
    <s v="Y"/>
    <x v="12"/>
    <n v="13"/>
    <n v="76417"/>
    <n v="76418"/>
    <n v="1.3085922164934962E-3"/>
    <n v="10"/>
    <n v="5"/>
    <s v="TRIVIAL"/>
  </r>
  <r>
    <s v="CHESAPEAKE EMPLOYEE"/>
    <x v="0"/>
    <x v="0"/>
    <x v="4"/>
    <s v="Y"/>
    <x v="12"/>
    <n v="13"/>
    <n v="65375"/>
    <n v="64816"/>
    <n v="0.86244137250061703"/>
    <n v="10"/>
    <n v="5"/>
    <s v="TRIVIAL"/>
  </r>
  <r>
    <s v="CHESAPEAKE EMPLOYEE"/>
    <x v="0"/>
    <x v="0"/>
    <x v="5"/>
    <s v="Y"/>
    <x v="12"/>
    <n v="13"/>
    <n v="39361"/>
    <n v="37498"/>
    <n v="4.9682649741319533"/>
    <n v="10"/>
    <n v="5"/>
    <s v="TRIVIAL"/>
  </r>
  <r>
    <s v="CHESAPEAKE EMPLOYEE"/>
    <x v="0"/>
    <x v="0"/>
    <x v="6"/>
    <s v="Y"/>
    <x v="12"/>
    <n v="13"/>
    <n v="58264"/>
    <n v="55650"/>
    <n v="4.6972147349505837"/>
    <n v="10"/>
    <n v="5"/>
    <s v="TRIVIAL"/>
  </r>
  <r>
    <s v="CHESAPEAKE EMPLOYEE"/>
    <x v="0"/>
    <x v="0"/>
    <x v="7"/>
    <s v="Y"/>
    <x v="12"/>
    <n v="13"/>
    <n v="78753"/>
    <n v="76743"/>
    <n v="2.6191313865759742"/>
    <n v="10"/>
    <n v="5"/>
    <s v="TRIVIAL"/>
  </r>
  <r>
    <s v="CHESAPEAKE EMPLOYEE"/>
    <x v="0"/>
    <x v="0"/>
    <x v="8"/>
    <s v="Y"/>
    <x v="12"/>
    <n v="13"/>
    <n v="57745"/>
    <n v="57355"/>
    <n v="0.67997559061982393"/>
    <n v="10"/>
    <n v="5"/>
    <s v="TRIVIAL"/>
  </r>
  <r>
    <s v="CHESAPEAKE EMPLOYEE"/>
    <x v="0"/>
    <x v="0"/>
    <x v="9"/>
    <s v="Y"/>
    <x v="12"/>
    <n v="13"/>
    <n v="118703"/>
    <n v="72265"/>
    <n v="64.260707119629146"/>
    <n v="10"/>
    <n v="5"/>
    <s v="CRITICAL"/>
  </r>
  <r>
    <s v="CHESAPEAKE EMPLOYEE"/>
    <x v="0"/>
    <x v="0"/>
    <x v="10"/>
    <s v="Y"/>
    <x v="12"/>
    <n v="13"/>
    <n v="73389"/>
    <n v="73652"/>
    <n v="0.35708466844077552"/>
    <n v="10"/>
    <n v="5"/>
    <s v="TRIVIAL"/>
  </r>
  <r>
    <s v="CHESAPEAKE EMPLOYEE"/>
    <x v="0"/>
    <x v="0"/>
    <x v="11"/>
    <s v="Y"/>
    <x v="12"/>
    <n v="13"/>
    <n v="70466"/>
    <n v="67849"/>
    <n v="3.8570944302790018"/>
    <n v="10"/>
    <n v="5"/>
    <s v="TRIVIAL"/>
  </r>
  <r>
    <s v="CHESAPEAKE EMPLOYEE"/>
    <x v="0"/>
    <x v="0"/>
    <x v="12"/>
    <s v="N"/>
    <x v="12"/>
    <n v="13"/>
    <n v="92283"/>
    <n v="80483"/>
    <n v="14.661481306611336"/>
    <n v="10"/>
    <n v="5"/>
    <s v="CRITICAL"/>
  </r>
  <r>
    <s v="CHESAPEAKE EMPLOYEE"/>
    <x v="0"/>
    <x v="0"/>
    <x v="13"/>
    <s v="N"/>
    <x v="12"/>
    <n v="13"/>
    <n v="77630"/>
    <n v="22099"/>
    <n v="251.28286347798542"/>
    <n v="10"/>
    <n v="5"/>
    <s v="CRITICAL"/>
  </r>
  <r>
    <s v="CHESAPEAKE EMPLOYEE"/>
    <x v="0"/>
    <x v="0"/>
    <x v="14"/>
    <s v="N"/>
    <x v="12"/>
    <n v="13"/>
    <n v="39171"/>
    <n v="0"/>
    <n v="100"/>
    <n v="10"/>
    <n v="5"/>
    <s v="CRITICAL"/>
  </r>
  <r>
    <s v="CHESAPEAKE EMPLOYEE"/>
    <x v="0"/>
    <x v="0"/>
    <x v="0"/>
    <s v="Y"/>
    <x v="13"/>
    <n v="14"/>
    <n v="266"/>
    <n v="266"/>
    <n v="0"/>
    <n v="10"/>
    <n v="5"/>
    <s v="PASSED"/>
  </r>
  <r>
    <s v="CHESAPEAKE EMPLOYEE"/>
    <x v="0"/>
    <x v="0"/>
    <x v="1"/>
    <s v="Y"/>
    <x v="13"/>
    <n v="14"/>
    <n v="244"/>
    <n v="244"/>
    <n v="0"/>
    <n v="10"/>
    <n v="5"/>
    <s v="PASSED"/>
  </r>
  <r>
    <s v="CHESAPEAKE EMPLOYEE"/>
    <x v="0"/>
    <x v="0"/>
    <x v="2"/>
    <s v="Y"/>
    <x v="13"/>
    <n v="14"/>
    <n v="183"/>
    <n v="183"/>
    <n v="0"/>
    <n v="10"/>
    <n v="5"/>
    <s v="PASSED"/>
  </r>
  <r>
    <s v="CHESAPEAKE EMPLOYEE"/>
    <x v="0"/>
    <x v="0"/>
    <x v="3"/>
    <s v="Y"/>
    <x v="13"/>
    <n v="14"/>
    <n v="222"/>
    <n v="222"/>
    <n v="0"/>
    <n v="10"/>
    <n v="5"/>
    <s v="PASSED"/>
  </r>
  <r>
    <s v="CHESAPEAKE EMPLOYEE"/>
    <x v="0"/>
    <x v="0"/>
    <x v="4"/>
    <s v="Y"/>
    <x v="13"/>
    <n v="14"/>
    <n v="227"/>
    <n v="228"/>
    <n v="0.43859649122807015"/>
    <n v="10"/>
    <n v="5"/>
    <s v="TRIVIAL"/>
  </r>
  <r>
    <s v="CHESAPEAKE EMPLOYEE"/>
    <x v="0"/>
    <x v="0"/>
    <x v="5"/>
    <s v="Y"/>
    <x v="13"/>
    <n v="14"/>
    <n v="177"/>
    <n v="169"/>
    <n v="4.7337278106508878"/>
    <n v="10"/>
    <n v="5"/>
    <s v="TRIVIAL"/>
  </r>
  <r>
    <s v="CHESAPEAKE EMPLOYEE"/>
    <x v="0"/>
    <x v="0"/>
    <x v="6"/>
    <s v="Y"/>
    <x v="13"/>
    <n v="14"/>
    <n v="147"/>
    <n v="147"/>
    <n v="0"/>
    <n v="10"/>
    <n v="5"/>
    <s v="PASSED"/>
  </r>
  <r>
    <s v="CHESAPEAKE EMPLOYEE"/>
    <x v="0"/>
    <x v="0"/>
    <x v="7"/>
    <s v="Y"/>
    <x v="13"/>
    <n v="14"/>
    <n v="202"/>
    <n v="202"/>
    <n v="0"/>
    <n v="10"/>
    <n v="5"/>
    <s v="PASSED"/>
  </r>
  <r>
    <s v="CHESAPEAKE EMPLOYEE"/>
    <x v="0"/>
    <x v="0"/>
    <x v="8"/>
    <s v="Y"/>
    <x v="13"/>
    <n v="14"/>
    <n v="200"/>
    <n v="201"/>
    <n v="0.49751243781094528"/>
    <n v="10"/>
    <n v="5"/>
    <s v="TRIVIAL"/>
  </r>
  <r>
    <s v="CHESAPEAKE EMPLOYEE"/>
    <x v="0"/>
    <x v="0"/>
    <x v="9"/>
    <s v="Y"/>
    <x v="13"/>
    <n v="14"/>
    <n v="190"/>
    <n v="186"/>
    <n v="2.1505376344086025"/>
    <n v="10"/>
    <n v="5"/>
    <s v="TRIVIAL"/>
  </r>
  <r>
    <s v="CHESAPEAKE EMPLOYEE"/>
    <x v="0"/>
    <x v="0"/>
    <x v="10"/>
    <s v="Y"/>
    <x v="13"/>
    <n v="14"/>
    <n v="169"/>
    <n v="169"/>
    <n v="0"/>
    <n v="10"/>
    <n v="5"/>
    <s v="PASSED"/>
  </r>
  <r>
    <s v="CHESAPEAKE EMPLOYEE"/>
    <x v="0"/>
    <x v="0"/>
    <x v="11"/>
    <s v="Y"/>
    <x v="13"/>
    <n v="14"/>
    <n v="137"/>
    <n v="137"/>
    <n v="0"/>
    <n v="10"/>
    <n v="5"/>
    <s v="PASSED"/>
  </r>
  <r>
    <s v="CHESAPEAKE EMPLOYEE"/>
    <x v="0"/>
    <x v="0"/>
    <x v="12"/>
    <s v="N"/>
    <x v="13"/>
    <n v="14"/>
    <n v="253"/>
    <n v="246"/>
    <n v="2.8455284552845526"/>
    <n v="10"/>
    <n v="5"/>
    <s v="TRIVIAL"/>
  </r>
  <r>
    <s v="CHESAPEAKE EMPLOYEE"/>
    <x v="0"/>
    <x v="0"/>
    <x v="13"/>
    <s v="N"/>
    <x v="13"/>
    <n v="14"/>
    <n v="175"/>
    <n v="63"/>
    <n v="177.77777777777777"/>
    <n v="10"/>
    <n v="5"/>
    <s v="CRITICAL"/>
  </r>
  <r>
    <s v="CHESAPEAKE EMPLOYEE"/>
    <x v="0"/>
    <x v="0"/>
    <x v="14"/>
    <s v="N"/>
    <x v="13"/>
    <n v="14"/>
    <n v="122"/>
    <n v="0"/>
    <n v="100"/>
    <n v="10"/>
    <n v="5"/>
    <s v="CRITICAL"/>
  </r>
  <r>
    <s v="CHESAPEAKE EMPLOYEE"/>
    <x v="0"/>
    <x v="0"/>
    <x v="0"/>
    <s v="Y"/>
    <x v="14"/>
    <n v="15"/>
    <n v="306075"/>
    <n v="306075"/>
    <n v="0"/>
    <n v="10"/>
    <n v="5"/>
    <s v="PASSED"/>
  </r>
  <r>
    <s v="CHESAPEAKE EMPLOYEE"/>
    <x v="0"/>
    <x v="0"/>
    <x v="1"/>
    <s v="Y"/>
    <x v="14"/>
    <n v="15"/>
    <n v="404916"/>
    <n v="404916"/>
    <n v="0"/>
    <n v="10"/>
    <n v="5"/>
    <s v="PASSED"/>
  </r>
  <r>
    <s v="CHESAPEAKE EMPLOYEE"/>
    <x v="0"/>
    <x v="0"/>
    <x v="2"/>
    <s v="Y"/>
    <x v="14"/>
    <n v="15"/>
    <n v="455097"/>
    <n v="455097"/>
    <n v="0"/>
    <n v="10"/>
    <n v="5"/>
    <s v="PASSED"/>
  </r>
  <r>
    <s v="CHESAPEAKE EMPLOYEE"/>
    <x v="0"/>
    <x v="0"/>
    <x v="3"/>
    <s v="Y"/>
    <x v="14"/>
    <n v="15"/>
    <n v="357919"/>
    <n v="357889"/>
    <n v="8.382487307517136E-3"/>
    <n v="10"/>
    <n v="5"/>
    <s v="TRIVIAL"/>
  </r>
  <r>
    <s v="CHESAPEAKE EMPLOYEE"/>
    <x v="0"/>
    <x v="0"/>
    <x v="4"/>
    <s v="Y"/>
    <x v="14"/>
    <n v="15"/>
    <n v="357284"/>
    <n v="357284"/>
    <n v="0"/>
    <n v="10"/>
    <n v="5"/>
    <s v="PASSED"/>
  </r>
  <r>
    <s v="CHESAPEAKE EMPLOYEE"/>
    <x v="0"/>
    <x v="0"/>
    <x v="5"/>
    <s v="Y"/>
    <x v="14"/>
    <n v="15"/>
    <n v="368462"/>
    <n v="368435"/>
    <n v="7.3282940002985597E-3"/>
    <n v="10"/>
    <n v="5"/>
    <s v="TRIVIAL"/>
  </r>
  <r>
    <s v="CHESAPEAKE EMPLOYEE"/>
    <x v="0"/>
    <x v="0"/>
    <x v="6"/>
    <s v="Y"/>
    <x v="14"/>
    <n v="15"/>
    <n v="355108"/>
    <n v="355108"/>
    <n v="0"/>
    <n v="10"/>
    <n v="5"/>
    <s v="PASSED"/>
  </r>
  <r>
    <s v="CHESAPEAKE EMPLOYEE"/>
    <x v="0"/>
    <x v="0"/>
    <x v="7"/>
    <s v="Y"/>
    <x v="14"/>
    <n v="15"/>
    <n v="363282"/>
    <n v="363282"/>
    <n v="0"/>
    <n v="10"/>
    <n v="5"/>
    <s v="PASSED"/>
  </r>
  <r>
    <s v="CHESAPEAKE EMPLOYEE"/>
    <x v="0"/>
    <x v="0"/>
    <x v="8"/>
    <s v="Y"/>
    <x v="14"/>
    <n v="15"/>
    <n v="384389"/>
    <n v="384389"/>
    <n v="0"/>
    <n v="10"/>
    <n v="5"/>
    <s v="PASSED"/>
  </r>
  <r>
    <s v="CHESAPEAKE EMPLOYEE"/>
    <x v="0"/>
    <x v="0"/>
    <x v="9"/>
    <s v="Y"/>
    <x v="14"/>
    <n v="15"/>
    <n v="412196"/>
    <n v="412196"/>
    <n v="0"/>
    <n v="10"/>
    <n v="5"/>
    <s v="PASSED"/>
  </r>
  <r>
    <s v="CHESAPEAKE EMPLOYEE"/>
    <x v="0"/>
    <x v="0"/>
    <x v="10"/>
    <s v="Y"/>
    <x v="14"/>
    <n v="15"/>
    <n v="339188"/>
    <n v="339188"/>
    <n v="0"/>
    <n v="10"/>
    <n v="5"/>
    <s v="PASSED"/>
  </r>
  <r>
    <s v="CHESAPEAKE EMPLOYEE"/>
    <x v="0"/>
    <x v="0"/>
    <x v="11"/>
    <s v="Y"/>
    <x v="14"/>
    <n v="15"/>
    <n v="391260"/>
    <n v="399808"/>
    <n v="2.1380262526012488"/>
    <n v="10"/>
    <n v="5"/>
    <s v="TRIVIAL"/>
  </r>
  <r>
    <s v="CHESAPEAKE EMPLOYEE"/>
    <x v="0"/>
    <x v="0"/>
    <x v="12"/>
    <s v="N"/>
    <x v="14"/>
    <n v="15"/>
    <n v="423120"/>
    <n v="431107"/>
    <n v="1.8526723064111694"/>
    <n v="10"/>
    <n v="5"/>
    <s v="TRIVIAL"/>
  </r>
  <r>
    <s v="CHESAPEAKE EMPLOYEE"/>
    <x v="0"/>
    <x v="0"/>
    <x v="13"/>
    <s v="N"/>
    <x v="14"/>
    <n v="15"/>
    <n v="406236"/>
    <n v="318509"/>
    <n v="27.543020762364645"/>
    <n v="10"/>
    <n v="5"/>
    <s v="CRITICAL"/>
  </r>
  <r>
    <s v="CHESAPEAKE EMPLOYEE"/>
    <x v="0"/>
    <x v="0"/>
    <x v="14"/>
    <s v="N"/>
    <x v="14"/>
    <n v="15"/>
    <n v="245154"/>
    <n v="0"/>
    <n v="100"/>
    <n v="10"/>
    <n v="5"/>
    <s v="CRITICAL"/>
  </r>
  <r>
    <s v="CHESAPEAKE EMPLOYEE"/>
    <x v="0"/>
    <x v="0"/>
    <x v="0"/>
    <s v="Y"/>
    <x v="15"/>
    <n v="16"/>
    <n v="0.76"/>
    <n v="0.76"/>
    <n v="0"/>
    <n v="10"/>
    <n v="5"/>
    <s v="PASSED"/>
  </r>
  <r>
    <s v="CHESAPEAKE EMPLOYEE"/>
    <x v="0"/>
    <x v="0"/>
    <x v="1"/>
    <s v="Y"/>
    <x v="15"/>
    <n v="16"/>
    <n v="0.78"/>
    <n v="0.78"/>
    <n v="0"/>
    <n v="10"/>
    <n v="5"/>
    <s v="PASSED"/>
  </r>
  <r>
    <s v="CHESAPEAKE EMPLOYEE"/>
    <x v="0"/>
    <x v="0"/>
    <x v="2"/>
    <s v="Y"/>
    <x v="15"/>
    <n v="16"/>
    <n v="0.8"/>
    <n v="0.8"/>
    <n v="0"/>
    <n v="10"/>
    <n v="5"/>
    <s v="PASSED"/>
  </r>
  <r>
    <s v="CHESAPEAKE EMPLOYEE"/>
    <x v="0"/>
    <x v="0"/>
    <x v="3"/>
    <s v="Y"/>
    <x v="15"/>
    <n v="16"/>
    <n v="0.8"/>
    <n v="0.8"/>
    <n v="0"/>
    <n v="10"/>
    <n v="5"/>
    <s v="PASSED"/>
  </r>
  <r>
    <s v="CHESAPEAKE EMPLOYEE"/>
    <x v="0"/>
    <x v="0"/>
    <x v="4"/>
    <s v="Y"/>
    <x v="15"/>
    <n v="16"/>
    <n v="0.79"/>
    <n v="0.79"/>
    <n v="0"/>
    <n v="10"/>
    <n v="5"/>
    <s v="PASSED"/>
  </r>
  <r>
    <s v="CHESAPEAKE EMPLOYEE"/>
    <x v="0"/>
    <x v="0"/>
    <x v="5"/>
    <s v="Y"/>
    <x v="15"/>
    <n v="16"/>
    <n v="0.81"/>
    <n v="0.81"/>
    <n v="0"/>
    <n v="10"/>
    <n v="5"/>
    <s v="PASSED"/>
  </r>
  <r>
    <s v="CHESAPEAKE EMPLOYEE"/>
    <x v="0"/>
    <x v="0"/>
    <x v="6"/>
    <s v="Y"/>
    <x v="15"/>
    <n v="16"/>
    <n v="0.8"/>
    <n v="0.8"/>
    <n v="0"/>
    <n v="10"/>
    <n v="5"/>
    <s v="PASSED"/>
  </r>
  <r>
    <s v="CHESAPEAKE EMPLOYEE"/>
    <x v="0"/>
    <x v="0"/>
    <x v="7"/>
    <s v="Y"/>
    <x v="15"/>
    <n v="16"/>
    <n v="0.79"/>
    <n v="0.79"/>
    <n v="0"/>
    <n v="10"/>
    <n v="5"/>
    <s v="PASSED"/>
  </r>
  <r>
    <s v="CHESAPEAKE EMPLOYEE"/>
    <x v="0"/>
    <x v="0"/>
    <x v="8"/>
    <s v="Y"/>
    <x v="15"/>
    <n v="16"/>
    <n v="0.79"/>
    <n v="0.79"/>
    <n v="0"/>
    <n v="10"/>
    <n v="5"/>
    <s v="PASSED"/>
  </r>
  <r>
    <s v="CHESAPEAKE EMPLOYEE"/>
    <x v="0"/>
    <x v="0"/>
    <x v="9"/>
    <s v="Y"/>
    <x v="15"/>
    <n v="16"/>
    <n v="0.82"/>
    <n v="0.82"/>
    <n v="0"/>
    <n v="10"/>
    <n v="5"/>
    <s v="PASSED"/>
  </r>
  <r>
    <s v="CHESAPEAKE EMPLOYEE"/>
    <x v="0"/>
    <x v="0"/>
    <x v="10"/>
    <s v="Y"/>
    <x v="15"/>
    <n v="16"/>
    <n v="0.79"/>
    <n v="0.79"/>
    <n v="0"/>
    <n v="10"/>
    <n v="5"/>
    <s v="PASSED"/>
  </r>
  <r>
    <s v="CHESAPEAKE EMPLOYEE"/>
    <x v="0"/>
    <x v="0"/>
    <x v="11"/>
    <s v="Y"/>
    <x v="15"/>
    <n v="16"/>
    <n v="0.79"/>
    <n v="0.79"/>
    <n v="0"/>
    <n v="10"/>
    <n v="5"/>
    <s v="PASSED"/>
  </r>
  <r>
    <s v="CHESAPEAKE EMPLOYEE"/>
    <x v="0"/>
    <x v="0"/>
    <x v="12"/>
    <s v="N"/>
    <x v="15"/>
    <n v="16"/>
    <n v="0.81"/>
    <n v="0.82"/>
    <n v="1.2195121951219388"/>
    <n v="10"/>
    <n v="5"/>
    <s v="TRIVIAL"/>
  </r>
  <r>
    <s v="CHESAPEAKE EMPLOYEE"/>
    <x v="0"/>
    <x v="0"/>
    <x v="13"/>
    <s v="N"/>
    <x v="15"/>
    <n v="16"/>
    <n v="0.81"/>
    <n v="0.82"/>
    <n v="1.2195121951219388"/>
    <n v="10"/>
    <n v="5"/>
    <s v="TRIVIAL"/>
  </r>
  <r>
    <s v="CHESAPEAKE EMPLOYEE"/>
    <x v="0"/>
    <x v="0"/>
    <x v="14"/>
    <s v="N"/>
    <x v="15"/>
    <n v="16"/>
    <n v="0.78"/>
    <n v="0"/>
    <n v="100"/>
    <n v="10"/>
    <n v="5"/>
    <s v="CRITICAL"/>
  </r>
  <r>
    <s v="CHESAPEAKE EMPLOYEE"/>
    <x v="0"/>
    <x v="0"/>
    <x v="0"/>
    <s v="Y"/>
    <x v="16"/>
    <n v="17"/>
    <n v="1019976"/>
    <n v="1006506"/>
    <n v="1.3382930653170473"/>
    <n v="10"/>
    <n v="5"/>
    <s v="TRIVIAL"/>
  </r>
  <r>
    <s v="CHESAPEAKE EMPLOYEE"/>
    <x v="0"/>
    <x v="0"/>
    <x v="1"/>
    <s v="Y"/>
    <x v="16"/>
    <n v="17"/>
    <n v="913915"/>
    <n v="909257"/>
    <n v="0.51228640527375646"/>
    <n v="10"/>
    <n v="5"/>
    <s v="TRIVIAL"/>
  </r>
  <r>
    <s v="CHESAPEAKE EMPLOYEE"/>
    <x v="0"/>
    <x v="0"/>
    <x v="2"/>
    <s v="Y"/>
    <x v="16"/>
    <n v="17"/>
    <n v="1173314"/>
    <n v="1147899"/>
    <n v="2.2140449638861956"/>
    <n v="10"/>
    <n v="5"/>
    <s v="TRIVIAL"/>
  </r>
  <r>
    <s v="CHESAPEAKE EMPLOYEE"/>
    <x v="0"/>
    <x v="0"/>
    <x v="3"/>
    <s v="Y"/>
    <x v="16"/>
    <n v="17"/>
    <n v="1134016"/>
    <n v="1122078"/>
    <n v="1.0639189075982241"/>
    <n v="10"/>
    <n v="5"/>
    <s v="TRIVIAL"/>
  </r>
  <r>
    <s v="CHESAPEAKE EMPLOYEE"/>
    <x v="0"/>
    <x v="0"/>
    <x v="4"/>
    <s v="Y"/>
    <x v="16"/>
    <n v="17"/>
    <n v="1218080"/>
    <n v="1146177"/>
    <n v="6.2732893785165817"/>
    <n v="10"/>
    <n v="5"/>
    <s v="CAUTIONARY"/>
  </r>
  <r>
    <s v="CHESAPEAKE EMPLOYEE"/>
    <x v="0"/>
    <x v="0"/>
    <x v="5"/>
    <s v="Y"/>
    <x v="16"/>
    <n v="17"/>
    <n v="858580"/>
    <n v="844618"/>
    <n v="1.653054990540102"/>
    <n v="10"/>
    <n v="5"/>
    <s v="TRIVIAL"/>
  </r>
  <r>
    <s v="CHESAPEAKE EMPLOYEE"/>
    <x v="0"/>
    <x v="0"/>
    <x v="6"/>
    <s v="Y"/>
    <x v="16"/>
    <n v="17"/>
    <n v="919607"/>
    <n v="909371"/>
    <n v="1.1256131985735196"/>
    <n v="10"/>
    <n v="5"/>
    <s v="TRIVIAL"/>
  </r>
  <r>
    <s v="CHESAPEAKE EMPLOYEE"/>
    <x v="0"/>
    <x v="0"/>
    <x v="7"/>
    <s v="Y"/>
    <x v="16"/>
    <n v="17"/>
    <n v="1080257"/>
    <n v="1088423"/>
    <n v="0.75025977951586831"/>
    <n v="10"/>
    <n v="5"/>
    <s v="TRIVIAL"/>
  </r>
  <r>
    <s v="CHESAPEAKE EMPLOYEE"/>
    <x v="0"/>
    <x v="0"/>
    <x v="8"/>
    <s v="Y"/>
    <x v="16"/>
    <n v="17"/>
    <n v="1003766"/>
    <n v="1002540"/>
    <n v="0.12228938496219603"/>
    <n v="10"/>
    <n v="5"/>
    <s v="TRIVIAL"/>
  </r>
  <r>
    <s v="CHESAPEAKE EMPLOYEE"/>
    <x v="0"/>
    <x v="0"/>
    <x v="9"/>
    <s v="Y"/>
    <x v="16"/>
    <n v="17"/>
    <n v="1002390"/>
    <n v="997863"/>
    <n v="0.45366949170377097"/>
    <n v="10"/>
    <n v="5"/>
    <s v="TRIVIAL"/>
  </r>
  <r>
    <s v="CHESAPEAKE EMPLOYEE"/>
    <x v="0"/>
    <x v="0"/>
    <x v="10"/>
    <s v="Y"/>
    <x v="16"/>
    <n v="17"/>
    <n v="869708"/>
    <n v="829293"/>
    <n v="4.8734283299147583"/>
    <n v="10"/>
    <n v="5"/>
    <s v="TRIVIAL"/>
  </r>
  <r>
    <s v="CHESAPEAKE EMPLOYEE"/>
    <x v="0"/>
    <x v="0"/>
    <x v="11"/>
    <s v="Y"/>
    <x v="16"/>
    <n v="17"/>
    <n v="898440"/>
    <n v="887084"/>
    <n v="1.2801493432414519"/>
    <n v="10"/>
    <n v="5"/>
    <s v="TRIVIAL"/>
  </r>
  <r>
    <s v="CHESAPEAKE EMPLOYEE"/>
    <x v="0"/>
    <x v="0"/>
    <x v="12"/>
    <s v="N"/>
    <x v="16"/>
    <n v="17"/>
    <n v="1055882"/>
    <n v="981975"/>
    <n v="7.5263626874411269"/>
    <n v="10"/>
    <n v="5"/>
    <s v="CAUTIONARY"/>
  </r>
  <r>
    <s v="CHESAPEAKE EMPLOYEE"/>
    <x v="0"/>
    <x v="0"/>
    <x v="13"/>
    <s v="N"/>
    <x v="16"/>
    <n v="17"/>
    <n v="907495"/>
    <n v="453523"/>
    <n v="100.09900269666588"/>
    <n v="10"/>
    <n v="5"/>
    <s v="CRITICAL"/>
  </r>
  <r>
    <s v="CHESAPEAKE EMPLOYEE"/>
    <x v="0"/>
    <x v="0"/>
    <x v="14"/>
    <s v="N"/>
    <x v="16"/>
    <n v="17"/>
    <n v="513387"/>
    <n v="0"/>
    <n v="100"/>
    <n v="10"/>
    <n v="5"/>
    <s v="CRITICAL"/>
  </r>
  <r>
    <s v="CHESAPEAKE EMPLOYEE"/>
    <x v="0"/>
    <x v="0"/>
    <x v="0"/>
    <s v="Y"/>
    <x v="17"/>
    <n v="18"/>
    <n v="372.14"/>
    <n v="372.14"/>
    <n v="0"/>
    <n v="10"/>
    <n v="5"/>
    <s v="PASSED"/>
  </r>
  <r>
    <s v="CHESAPEAKE EMPLOYEE"/>
    <x v="0"/>
    <x v="0"/>
    <x v="1"/>
    <s v="Y"/>
    <x v="17"/>
    <n v="18"/>
    <n v="380.74"/>
    <n v="380.74"/>
    <n v="0"/>
    <n v="10"/>
    <n v="5"/>
    <s v="PASSED"/>
  </r>
  <r>
    <s v="CHESAPEAKE EMPLOYEE"/>
    <x v="0"/>
    <x v="0"/>
    <x v="2"/>
    <s v="Y"/>
    <x v="17"/>
    <n v="18"/>
    <n v="379.05"/>
    <n v="379.05"/>
    <n v="0"/>
    <n v="10"/>
    <n v="5"/>
    <s v="PASSED"/>
  </r>
  <r>
    <s v="CHESAPEAKE EMPLOYEE"/>
    <x v="0"/>
    <x v="0"/>
    <x v="3"/>
    <s v="Y"/>
    <x v="17"/>
    <n v="18"/>
    <n v="384.76"/>
    <n v="384.76"/>
    <n v="0"/>
    <n v="10"/>
    <n v="5"/>
    <s v="PASSED"/>
  </r>
  <r>
    <s v="CHESAPEAKE EMPLOYEE"/>
    <x v="0"/>
    <x v="0"/>
    <x v="4"/>
    <s v="Y"/>
    <x v="17"/>
    <n v="18"/>
    <n v="386.07"/>
    <n v="385.49"/>
    <n v="0.15045785882901866"/>
    <n v="10"/>
    <n v="5"/>
    <s v="TRIVIAL"/>
  </r>
  <r>
    <s v="CHESAPEAKE EMPLOYEE"/>
    <x v="0"/>
    <x v="0"/>
    <x v="5"/>
    <s v="Y"/>
    <x v="17"/>
    <n v="18"/>
    <n v="387.47"/>
    <n v="386.53"/>
    <n v="0.24318940315112789"/>
    <n v="10"/>
    <n v="5"/>
    <s v="TRIVIAL"/>
  </r>
  <r>
    <s v="CHESAPEAKE EMPLOYEE"/>
    <x v="0"/>
    <x v="0"/>
    <x v="6"/>
    <s v="Y"/>
    <x v="17"/>
    <n v="18"/>
    <n v="382.3"/>
    <n v="381.74"/>
    <n v="0.14669670456331593"/>
    <n v="10"/>
    <n v="5"/>
    <s v="TRIVIAL"/>
  </r>
  <r>
    <s v="CHESAPEAKE EMPLOYEE"/>
    <x v="0"/>
    <x v="0"/>
    <x v="7"/>
    <s v="Y"/>
    <x v="17"/>
    <n v="18"/>
    <n v="379.35"/>
    <n v="378.1"/>
    <n v="0.33060037027241468"/>
    <n v="10"/>
    <n v="5"/>
    <s v="TRIVIAL"/>
  </r>
  <r>
    <s v="CHESAPEAKE EMPLOYEE"/>
    <x v="0"/>
    <x v="0"/>
    <x v="8"/>
    <s v="Y"/>
    <x v="17"/>
    <n v="18"/>
    <n v="381.73"/>
    <n v="380.63"/>
    <n v="0.28899456164780041"/>
    <n v="10"/>
    <n v="5"/>
    <s v="TRIVIAL"/>
  </r>
  <r>
    <s v="CHESAPEAKE EMPLOYEE"/>
    <x v="0"/>
    <x v="0"/>
    <x v="9"/>
    <s v="Y"/>
    <x v="17"/>
    <n v="18"/>
    <n v="382.23"/>
    <n v="379.8"/>
    <n v="0.63981042654028608"/>
    <n v="10"/>
    <n v="5"/>
    <s v="TRIVIAL"/>
  </r>
  <r>
    <s v="CHESAPEAKE EMPLOYEE"/>
    <x v="0"/>
    <x v="0"/>
    <x v="10"/>
    <s v="Y"/>
    <x v="17"/>
    <n v="18"/>
    <n v="370.36"/>
    <n v="367.95"/>
    <n v="0.65498029623590848"/>
    <n v="10"/>
    <n v="5"/>
    <s v="TRIVIAL"/>
  </r>
  <r>
    <s v="CHESAPEAKE EMPLOYEE"/>
    <x v="0"/>
    <x v="0"/>
    <x v="11"/>
    <s v="Y"/>
    <x v="17"/>
    <n v="18"/>
    <n v="374.09"/>
    <n v="371.07"/>
    <n v="0.81386261352305"/>
    <n v="10"/>
    <n v="5"/>
    <s v="TRIVIAL"/>
  </r>
  <r>
    <s v="CHESAPEAKE EMPLOYEE"/>
    <x v="0"/>
    <x v="0"/>
    <x v="12"/>
    <s v="N"/>
    <x v="17"/>
    <n v="18"/>
    <n v="377.28"/>
    <n v="372.72"/>
    <n v="1.2234385061171777"/>
    <n v="10"/>
    <n v="5"/>
    <s v="TRIVIAL"/>
  </r>
  <r>
    <s v="CHESAPEAKE EMPLOYEE"/>
    <x v="0"/>
    <x v="0"/>
    <x v="13"/>
    <s v="N"/>
    <x v="17"/>
    <n v="18"/>
    <n v="371.59"/>
    <n v="360.87"/>
    <n v="2.9705988306038105"/>
    <n v="10"/>
    <n v="5"/>
    <s v="TRIVIAL"/>
  </r>
  <r>
    <s v="CHESAPEAKE EMPLOYEE"/>
    <x v="0"/>
    <x v="0"/>
    <x v="14"/>
    <s v="N"/>
    <x v="17"/>
    <n v="18"/>
    <n v="366.49"/>
    <n v="0"/>
    <n v="100"/>
    <n v="10"/>
    <n v="5"/>
    <s v="CRITICAL"/>
  </r>
  <r>
    <s v="CHESAPEAKE EMPLOYEE"/>
    <x v="0"/>
    <x v="0"/>
    <x v="0"/>
    <s v="Y"/>
    <x v="18"/>
    <n v="19"/>
    <n v="363"/>
    <n v="360"/>
    <n v="0.83333333333333337"/>
    <n v="10"/>
    <n v="5"/>
    <s v="TRIVIAL"/>
  </r>
  <r>
    <s v="CHESAPEAKE EMPLOYEE"/>
    <x v="0"/>
    <x v="0"/>
    <x v="1"/>
    <s v="Y"/>
    <x v="18"/>
    <n v="19"/>
    <n v="335"/>
    <n v="335"/>
    <n v="0"/>
    <n v="10"/>
    <n v="5"/>
    <s v="PASSED"/>
  </r>
  <r>
    <s v="CHESAPEAKE EMPLOYEE"/>
    <x v="0"/>
    <x v="0"/>
    <x v="2"/>
    <s v="Y"/>
    <x v="18"/>
    <n v="19"/>
    <n v="286"/>
    <n v="223"/>
    <n v="28.251121076233183"/>
    <n v="10"/>
    <n v="5"/>
    <s v="CRITICAL"/>
  </r>
  <r>
    <s v="CHESAPEAKE EMPLOYEE"/>
    <x v="0"/>
    <x v="0"/>
    <x v="3"/>
    <s v="Y"/>
    <x v="18"/>
    <n v="19"/>
    <n v="372"/>
    <n v="372"/>
    <n v="0"/>
    <n v="10"/>
    <n v="5"/>
    <s v="PASSED"/>
  </r>
  <r>
    <s v="CHESAPEAKE EMPLOYEE"/>
    <x v="0"/>
    <x v="0"/>
    <x v="4"/>
    <s v="Y"/>
    <x v="18"/>
    <n v="19"/>
    <n v="271"/>
    <n v="271"/>
    <n v="0"/>
    <n v="10"/>
    <n v="5"/>
    <s v="PASSED"/>
  </r>
  <r>
    <s v="CHESAPEAKE EMPLOYEE"/>
    <x v="0"/>
    <x v="0"/>
    <x v="5"/>
    <s v="Y"/>
    <x v="18"/>
    <n v="19"/>
    <n v="279"/>
    <n v="277"/>
    <n v="0.72202166064981954"/>
    <n v="10"/>
    <n v="5"/>
    <s v="TRIVIAL"/>
  </r>
  <r>
    <s v="CHESAPEAKE EMPLOYEE"/>
    <x v="0"/>
    <x v="0"/>
    <x v="6"/>
    <s v="Y"/>
    <x v="18"/>
    <n v="19"/>
    <n v="302"/>
    <n v="302"/>
    <n v="0"/>
    <n v="10"/>
    <n v="5"/>
    <s v="PASSED"/>
  </r>
  <r>
    <s v="CHESAPEAKE EMPLOYEE"/>
    <x v="0"/>
    <x v="0"/>
    <x v="7"/>
    <s v="Y"/>
    <x v="18"/>
    <n v="19"/>
    <n v="787"/>
    <n v="787"/>
    <n v="0"/>
    <n v="10"/>
    <n v="5"/>
    <s v="PASSED"/>
  </r>
  <r>
    <s v="CHESAPEAKE EMPLOYEE"/>
    <x v="0"/>
    <x v="0"/>
    <x v="8"/>
    <s v="Y"/>
    <x v="18"/>
    <n v="19"/>
    <n v="466"/>
    <n v="469"/>
    <n v="0.63965884861407252"/>
    <n v="10"/>
    <n v="5"/>
    <s v="TRIVIAL"/>
  </r>
  <r>
    <s v="CHESAPEAKE EMPLOYEE"/>
    <x v="0"/>
    <x v="0"/>
    <x v="9"/>
    <s v="Y"/>
    <x v="18"/>
    <n v="19"/>
    <n v="133"/>
    <n v="138"/>
    <n v="3.6231884057971016"/>
    <n v="10"/>
    <n v="5"/>
    <s v="TRIVIAL"/>
  </r>
  <r>
    <s v="CHESAPEAKE EMPLOYEE"/>
    <x v="0"/>
    <x v="0"/>
    <x v="10"/>
    <s v="Y"/>
    <x v="18"/>
    <n v="19"/>
    <n v="141"/>
    <n v="86"/>
    <n v="63.953488372093027"/>
    <n v="10"/>
    <n v="5"/>
    <s v="CRITICAL"/>
  </r>
  <r>
    <s v="CHESAPEAKE EMPLOYEE"/>
    <x v="0"/>
    <x v="0"/>
    <x v="11"/>
    <s v="Y"/>
    <x v="18"/>
    <n v="19"/>
    <n v="175"/>
    <n v="175"/>
    <n v="0"/>
    <n v="10"/>
    <n v="5"/>
    <s v="PASSED"/>
  </r>
  <r>
    <s v="CHESAPEAKE EMPLOYEE"/>
    <x v="0"/>
    <x v="0"/>
    <x v="12"/>
    <s v="N"/>
    <x v="18"/>
    <n v="19"/>
    <n v="125"/>
    <n v="115"/>
    <n v="8.695652173913043"/>
    <n v="10"/>
    <n v="5"/>
    <s v="CAUTIONARY"/>
  </r>
  <r>
    <s v="CHESAPEAKE EMPLOYEE"/>
    <x v="0"/>
    <x v="0"/>
    <x v="13"/>
    <s v="N"/>
    <x v="18"/>
    <n v="19"/>
    <n v="115"/>
    <n v="43"/>
    <n v="167.44186046511629"/>
    <n v="10"/>
    <n v="5"/>
    <s v="CRITICAL"/>
  </r>
  <r>
    <s v="CHESAPEAKE EMPLOYEE"/>
    <x v="0"/>
    <x v="0"/>
    <x v="14"/>
    <s v="N"/>
    <x v="18"/>
    <n v="19"/>
    <n v="43"/>
    <n v="0"/>
    <n v="100"/>
    <n v="10"/>
    <n v="5"/>
    <s v="CRITICAL"/>
  </r>
  <r>
    <s v="CHESAPEAKE EMPLOYEE"/>
    <x v="0"/>
    <x v="0"/>
    <x v="0"/>
    <s v="Y"/>
    <x v="19"/>
    <n v="20"/>
    <n v="3001"/>
    <n v="2992"/>
    <n v="0.30080213903743314"/>
    <n v="10"/>
    <n v="5"/>
    <s v="TRIVIAL"/>
  </r>
  <r>
    <s v="CHESAPEAKE EMPLOYEE"/>
    <x v="0"/>
    <x v="0"/>
    <x v="1"/>
    <s v="Y"/>
    <x v="19"/>
    <n v="20"/>
    <n v="2908"/>
    <n v="2889"/>
    <n v="0.65766701280719975"/>
    <n v="10"/>
    <n v="5"/>
    <s v="TRIVIAL"/>
  </r>
  <r>
    <s v="CHESAPEAKE EMPLOYEE"/>
    <x v="0"/>
    <x v="0"/>
    <x v="2"/>
    <s v="Y"/>
    <x v="19"/>
    <n v="20"/>
    <n v="2729"/>
    <n v="2728"/>
    <n v="3.6656891495601175E-2"/>
    <n v="10"/>
    <n v="5"/>
    <s v="TRIVIAL"/>
  </r>
  <r>
    <s v="CHESAPEAKE EMPLOYEE"/>
    <x v="0"/>
    <x v="0"/>
    <x v="3"/>
    <s v="Y"/>
    <x v="19"/>
    <n v="20"/>
    <n v="2656"/>
    <n v="2636"/>
    <n v="0.75872534142640369"/>
    <n v="10"/>
    <n v="5"/>
    <s v="TRIVIAL"/>
  </r>
  <r>
    <s v="CHESAPEAKE EMPLOYEE"/>
    <x v="0"/>
    <x v="0"/>
    <x v="4"/>
    <s v="Y"/>
    <x v="19"/>
    <n v="20"/>
    <n v="2304"/>
    <n v="2250"/>
    <n v="2.4"/>
    <n v="10"/>
    <n v="5"/>
    <s v="TRIVIAL"/>
  </r>
  <r>
    <s v="CHESAPEAKE EMPLOYEE"/>
    <x v="0"/>
    <x v="0"/>
    <x v="5"/>
    <s v="Y"/>
    <x v="19"/>
    <n v="20"/>
    <n v="2237"/>
    <n v="2124"/>
    <n v="5.3201506591337102"/>
    <n v="10"/>
    <n v="5"/>
    <s v="CAUTIONARY"/>
  </r>
  <r>
    <s v="CHESAPEAKE EMPLOYEE"/>
    <x v="0"/>
    <x v="0"/>
    <x v="6"/>
    <s v="Y"/>
    <x v="19"/>
    <n v="20"/>
    <n v="2097"/>
    <n v="2028"/>
    <n v="3.4023668639053253"/>
    <n v="10"/>
    <n v="5"/>
    <s v="TRIVIAL"/>
  </r>
  <r>
    <s v="CHESAPEAKE EMPLOYEE"/>
    <x v="0"/>
    <x v="0"/>
    <x v="7"/>
    <s v="Y"/>
    <x v="19"/>
    <n v="20"/>
    <n v="2273"/>
    <n v="2262"/>
    <n v="0.48629531388152081"/>
    <n v="10"/>
    <n v="5"/>
    <s v="TRIVIAL"/>
  </r>
  <r>
    <s v="CHESAPEAKE EMPLOYEE"/>
    <x v="0"/>
    <x v="0"/>
    <x v="8"/>
    <s v="Y"/>
    <x v="19"/>
    <n v="20"/>
    <n v="2761"/>
    <n v="2700"/>
    <n v="2.2592592592592591"/>
    <n v="10"/>
    <n v="5"/>
    <s v="TRIVIAL"/>
  </r>
  <r>
    <s v="CHESAPEAKE EMPLOYEE"/>
    <x v="0"/>
    <x v="0"/>
    <x v="9"/>
    <s v="Y"/>
    <x v="19"/>
    <n v="20"/>
    <n v="2657"/>
    <n v="2601"/>
    <n v="2.1530180699730872"/>
    <n v="10"/>
    <n v="5"/>
    <s v="TRIVIAL"/>
  </r>
  <r>
    <s v="CHESAPEAKE EMPLOYEE"/>
    <x v="0"/>
    <x v="0"/>
    <x v="10"/>
    <s v="Y"/>
    <x v="19"/>
    <n v="20"/>
    <n v="2419"/>
    <n v="2258"/>
    <n v="7.1302037201062891"/>
    <n v="10"/>
    <n v="5"/>
    <s v="CAUTIONARY"/>
  </r>
  <r>
    <s v="CHESAPEAKE EMPLOYEE"/>
    <x v="0"/>
    <x v="0"/>
    <x v="11"/>
    <s v="Y"/>
    <x v="19"/>
    <n v="20"/>
    <n v="1874"/>
    <n v="1805"/>
    <n v="3.8227146814404431"/>
    <n v="10"/>
    <n v="5"/>
    <s v="TRIVIAL"/>
  </r>
  <r>
    <s v="CHESAPEAKE EMPLOYEE"/>
    <x v="0"/>
    <x v="0"/>
    <x v="12"/>
    <s v="N"/>
    <x v="19"/>
    <n v="20"/>
    <n v="2551"/>
    <n v="2133"/>
    <n v="19.596812001875293"/>
    <n v="10"/>
    <n v="5"/>
    <s v="CRITICAL"/>
  </r>
  <r>
    <s v="CHESAPEAKE EMPLOYEE"/>
    <x v="0"/>
    <x v="0"/>
    <x v="13"/>
    <s v="N"/>
    <x v="19"/>
    <n v="20"/>
    <n v="1490"/>
    <n v="446"/>
    <n v="234.08071748878925"/>
    <n v="10"/>
    <n v="5"/>
    <s v="CRITICAL"/>
  </r>
  <r>
    <s v="CHESAPEAKE EMPLOYEE"/>
    <x v="0"/>
    <x v="0"/>
    <x v="14"/>
    <s v="N"/>
    <x v="19"/>
    <n v="20"/>
    <n v="879"/>
    <n v="0"/>
    <n v="100"/>
    <n v="10"/>
    <n v="5"/>
    <s v="CRITICAL"/>
  </r>
  <r>
    <s v="CHESAPEAKE EMPLOYEE"/>
    <x v="0"/>
    <x v="0"/>
    <x v="0"/>
    <s v="Y"/>
    <x v="20"/>
    <n v="21"/>
    <n v="4263"/>
    <n v="4255"/>
    <n v="0.18801410105757932"/>
    <n v="10"/>
    <n v="5"/>
    <s v="TRIVIAL"/>
  </r>
  <r>
    <s v="CHESAPEAKE EMPLOYEE"/>
    <x v="0"/>
    <x v="0"/>
    <x v="1"/>
    <s v="Y"/>
    <x v="20"/>
    <n v="21"/>
    <n v="3986"/>
    <n v="3966"/>
    <n v="0.50428643469490664"/>
    <n v="10"/>
    <n v="5"/>
    <s v="TRIVIAL"/>
  </r>
  <r>
    <s v="CHESAPEAKE EMPLOYEE"/>
    <x v="0"/>
    <x v="0"/>
    <x v="2"/>
    <s v="Y"/>
    <x v="20"/>
    <n v="21"/>
    <n v="3838"/>
    <n v="3819"/>
    <n v="0.49751243781094528"/>
    <n v="10"/>
    <n v="5"/>
    <s v="TRIVIAL"/>
  </r>
  <r>
    <s v="CHESAPEAKE EMPLOYEE"/>
    <x v="0"/>
    <x v="0"/>
    <x v="3"/>
    <s v="Y"/>
    <x v="20"/>
    <n v="21"/>
    <n v="4256"/>
    <n v="4244"/>
    <n v="0.28275212064090482"/>
    <n v="10"/>
    <n v="5"/>
    <s v="TRIVIAL"/>
  </r>
  <r>
    <s v="CHESAPEAKE EMPLOYEE"/>
    <x v="0"/>
    <x v="0"/>
    <x v="4"/>
    <s v="Y"/>
    <x v="20"/>
    <n v="21"/>
    <n v="3421"/>
    <n v="3409"/>
    <n v="0.35200938691698441"/>
    <n v="10"/>
    <n v="5"/>
    <s v="TRIVIAL"/>
  </r>
  <r>
    <s v="CHESAPEAKE EMPLOYEE"/>
    <x v="0"/>
    <x v="0"/>
    <x v="5"/>
    <s v="Y"/>
    <x v="20"/>
    <n v="21"/>
    <n v="3617"/>
    <n v="3603"/>
    <n v="0.38856508465167916"/>
    <n v="10"/>
    <n v="5"/>
    <s v="TRIVIAL"/>
  </r>
  <r>
    <s v="CHESAPEAKE EMPLOYEE"/>
    <x v="0"/>
    <x v="0"/>
    <x v="6"/>
    <s v="Y"/>
    <x v="20"/>
    <n v="21"/>
    <n v="3684"/>
    <n v="3673"/>
    <n v="0.29948271167982576"/>
    <n v="10"/>
    <n v="5"/>
    <s v="TRIVIAL"/>
  </r>
  <r>
    <s v="CHESAPEAKE EMPLOYEE"/>
    <x v="0"/>
    <x v="0"/>
    <x v="7"/>
    <s v="Y"/>
    <x v="20"/>
    <n v="21"/>
    <n v="4251"/>
    <n v="4163"/>
    <n v="2.1138601969733366"/>
    <n v="10"/>
    <n v="5"/>
    <s v="TRIVIAL"/>
  </r>
  <r>
    <s v="CHESAPEAKE EMPLOYEE"/>
    <x v="0"/>
    <x v="0"/>
    <x v="8"/>
    <s v="Y"/>
    <x v="20"/>
    <n v="21"/>
    <n v="3882"/>
    <n v="3832"/>
    <n v="1.3048016701461378"/>
    <n v="10"/>
    <n v="5"/>
    <s v="TRIVIAL"/>
  </r>
  <r>
    <s v="CHESAPEAKE EMPLOYEE"/>
    <x v="0"/>
    <x v="0"/>
    <x v="9"/>
    <s v="Y"/>
    <x v="20"/>
    <n v="21"/>
    <n v="3844"/>
    <n v="3802"/>
    <n v="1.1046817464492371"/>
    <n v="10"/>
    <n v="5"/>
    <s v="TRIVIAL"/>
  </r>
  <r>
    <s v="CHESAPEAKE EMPLOYEE"/>
    <x v="0"/>
    <x v="0"/>
    <x v="10"/>
    <s v="Y"/>
    <x v="20"/>
    <n v="21"/>
    <n v="3622"/>
    <n v="3540"/>
    <n v="2.3163841807909606"/>
    <n v="10"/>
    <n v="5"/>
    <s v="TRIVIAL"/>
  </r>
  <r>
    <s v="CHESAPEAKE EMPLOYEE"/>
    <x v="0"/>
    <x v="0"/>
    <x v="11"/>
    <s v="Y"/>
    <x v="20"/>
    <n v="21"/>
    <n v="3788"/>
    <n v="3674"/>
    <n v="3.1028851388132823"/>
    <n v="10"/>
    <n v="5"/>
    <s v="TRIVIAL"/>
  </r>
  <r>
    <s v="CHESAPEAKE EMPLOYEE"/>
    <x v="0"/>
    <x v="0"/>
    <x v="12"/>
    <s v="N"/>
    <x v="20"/>
    <n v="21"/>
    <n v="4578"/>
    <n v="4232"/>
    <n v="8.175803402646503"/>
    <n v="10"/>
    <n v="5"/>
    <s v="CAUTIONARY"/>
  </r>
  <r>
    <s v="CHESAPEAKE EMPLOYEE"/>
    <x v="0"/>
    <x v="0"/>
    <x v="13"/>
    <s v="N"/>
    <x v="20"/>
    <n v="21"/>
    <n v="3293"/>
    <n v="1298"/>
    <n v="153.69799691833589"/>
    <n v="10"/>
    <n v="5"/>
    <s v="CRITICAL"/>
  </r>
  <r>
    <s v="CHESAPEAKE EMPLOYEE"/>
    <x v="0"/>
    <x v="0"/>
    <x v="14"/>
    <s v="N"/>
    <x v="20"/>
    <n v="21"/>
    <n v="2046"/>
    <n v="0"/>
    <n v="100"/>
    <n v="10"/>
    <n v="5"/>
    <s v="CRITICAL"/>
  </r>
  <r>
    <s v="CHESAPEAKE EMPLOYEE"/>
    <x v="0"/>
    <x v="0"/>
    <x v="0"/>
    <s v="Y"/>
    <x v="21"/>
    <n v="22"/>
    <n v="208"/>
    <n v="212"/>
    <n v="1.8867924528301887"/>
    <n v="10"/>
    <n v="5"/>
    <s v="TRIVIAL"/>
  </r>
  <r>
    <s v="CHESAPEAKE EMPLOYEE"/>
    <x v="0"/>
    <x v="0"/>
    <x v="1"/>
    <s v="Y"/>
    <x v="21"/>
    <n v="22"/>
    <n v="171"/>
    <n v="183"/>
    <n v="6.557377049180328"/>
    <n v="10"/>
    <n v="5"/>
    <s v="CAUTIONARY"/>
  </r>
  <r>
    <s v="CHESAPEAKE EMPLOYEE"/>
    <x v="0"/>
    <x v="0"/>
    <x v="2"/>
    <s v="Y"/>
    <x v="21"/>
    <n v="22"/>
    <n v="196"/>
    <n v="204"/>
    <n v="3.9215686274509802"/>
    <n v="10"/>
    <n v="5"/>
    <s v="TRIVIAL"/>
  </r>
  <r>
    <s v="CHESAPEAKE EMPLOYEE"/>
    <x v="0"/>
    <x v="0"/>
    <x v="3"/>
    <s v="Y"/>
    <x v="21"/>
    <n v="22"/>
    <n v="230"/>
    <n v="233"/>
    <n v="1.2875536480686696"/>
    <n v="10"/>
    <n v="5"/>
    <s v="TRIVIAL"/>
  </r>
  <r>
    <s v="CHESAPEAKE EMPLOYEE"/>
    <x v="0"/>
    <x v="0"/>
    <x v="4"/>
    <s v="Y"/>
    <x v="21"/>
    <n v="22"/>
    <n v="215"/>
    <n v="218"/>
    <n v="1.3761467889908259"/>
    <n v="10"/>
    <n v="5"/>
    <s v="TRIVIAL"/>
  </r>
  <r>
    <s v="CHESAPEAKE EMPLOYEE"/>
    <x v="0"/>
    <x v="0"/>
    <x v="5"/>
    <s v="Y"/>
    <x v="21"/>
    <n v="22"/>
    <n v="318"/>
    <n v="321"/>
    <n v="0.93457943925233633"/>
    <n v="10"/>
    <n v="5"/>
    <s v="TRIVIAL"/>
  </r>
  <r>
    <s v="CHESAPEAKE EMPLOYEE"/>
    <x v="0"/>
    <x v="0"/>
    <x v="6"/>
    <s v="Y"/>
    <x v="21"/>
    <n v="22"/>
    <n v="299"/>
    <n v="287"/>
    <n v="4.1811846689895473"/>
    <n v="10"/>
    <n v="5"/>
    <s v="TRIVIAL"/>
  </r>
  <r>
    <s v="CHESAPEAKE EMPLOYEE"/>
    <x v="0"/>
    <x v="0"/>
    <x v="7"/>
    <s v="Y"/>
    <x v="21"/>
    <n v="22"/>
    <n v="352"/>
    <n v="368"/>
    <n v="4.3478260869565215"/>
    <n v="10"/>
    <n v="5"/>
    <s v="TRIVIAL"/>
  </r>
  <r>
    <s v="CHESAPEAKE EMPLOYEE"/>
    <x v="0"/>
    <x v="0"/>
    <x v="8"/>
    <s v="Y"/>
    <x v="21"/>
    <n v="22"/>
    <n v="365"/>
    <n v="386"/>
    <n v="5.4404145077720205"/>
    <n v="10"/>
    <n v="5"/>
    <s v="CAUTIONARY"/>
  </r>
  <r>
    <s v="CHESAPEAKE EMPLOYEE"/>
    <x v="0"/>
    <x v="0"/>
    <x v="9"/>
    <s v="Y"/>
    <x v="21"/>
    <n v="22"/>
    <n v="300"/>
    <n v="304"/>
    <n v="1.3157894736842104"/>
    <n v="10"/>
    <n v="5"/>
    <s v="TRIVIAL"/>
  </r>
  <r>
    <s v="CHESAPEAKE EMPLOYEE"/>
    <x v="0"/>
    <x v="0"/>
    <x v="10"/>
    <s v="Y"/>
    <x v="21"/>
    <n v="22"/>
    <n v="306"/>
    <n v="309"/>
    <n v="0.97087378640776689"/>
    <n v="10"/>
    <n v="5"/>
    <s v="TRIVIAL"/>
  </r>
  <r>
    <s v="CHESAPEAKE EMPLOYEE"/>
    <x v="0"/>
    <x v="0"/>
    <x v="11"/>
    <s v="Y"/>
    <x v="21"/>
    <n v="22"/>
    <n v="377"/>
    <n v="323"/>
    <n v="16.718266253869967"/>
    <n v="10"/>
    <n v="5"/>
    <s v="CRITICAL"/>
  </r>
  <r>
    <s v="CHESAPEAKE EMPLOYEE"/>
    <x v="0"/>
    <x v="0"/>
    <x v="12"/>
    <s v="N"/>
    <x v="21"/>
    <n v="22"/>
    <n v="268"/>
    <n v="241"/>
    <n v="11.20331950207469"/>
    <n v="10"/>
    <n v="5"/>
    <s v="CRITICAL"/>
  </r>
  <r>
    <s v="CHESAPEAKE EMPLOYEE"/>
    <x v="0"/>
    <x v="0"/>
    <x v="13"/>
    <s v="N"/>
    <x v="21"/>
    <n v="22"/>
    <n v="191"/>
    <n v="85"/>
    <n v="124.70588235294117"/>
    <n v="10"/>
    <n v="5"/>
    <s v="CRITICAL"/>
  </r>
  <r>
    <s v="CHESAPEAKE EMPLOYEE"/>
    <x v="0"/>
    <x v="0"/>
    <x v="14"/>
    <s v="N"/>
    <x v="21"/>
    <n v="22"/>
    <n v="143"/>
    <n v="0"/>
    <n v="100"/>
    <n v="10"/>
    <n v="5"/>
    <s v="CRITICAL"/>
  </r>
  <r>
    <s v="CHESAPEAKE EMPLOYEE"/>
    <x v="0"/>
    <x v="0"/>
    <x v="0"/>
    <s v="Y"/>
    <x v="22"/>
    <n v="23"/>
    <n v="4529"/>
    <n v="4529"/>
    <n v="0"/>
    <n v="10"/>
    <n v="5"/>
    <s v="PASSED"/>
  </r>
  <r>
    <s v="CHESAPEAKE EMPLOYEE"/>
    <x v="0"/>
    <x v="0"/>
    <x v="1"/>
    <s v="Y"/>
    <x v="22"/>
    <n v="23"/>
    <n v="4099"/>
    <n v="4099"/>
    <n v="0"/>
    <n v="10"/>
    <n v="5"/>
    <s v="PASSED"/>
  </r>
  <r>
    <s v="CHESAPEAKE EMPLOYEE"/>
    <x v="0"/>
    <x v="0"/>
    <x v="2"/>
    <s v="Y"/>
    <x v="22"/>
    <n v="23"/>
    <n v="4095"/>
    <n v="4095"/>
    <n v="0"/>
    <n v="10"/>
    <n v="5"/>
    <s v="PASSED"/>
  </r>
  <r>
    <s v="CHESAPEAKE EMPLOYEE"/>
    <x v="0"/>
    <x v="0"/>
    <x v="3"/>
    <s v="Y"/>
    <x v="22"/>
    <n v="23"/>
    <n v="4097"/>
    <n v="4096"/>
    <n v="2.44140625E-2"/>
    <n v="10"/>
    <n v="5"/>
    <s v="TRIVIAL"/>
  </r>
  <r>
    <s v="CHESAPEAKE EMPLOYEE"/>
    <x v="0"/>
    <x v="0"/>
    <x v="4"/>
    <s v="Y"/>
    <x v="22"/>
    <n v="23"/>
    <n v="3653"/>
    <n v="3653"/>
    <n v="0"/>
    <n v="10"/>
    <n v="5"/>
    <s v="PASSED"/>
  </r>
  <r>
    <s v="CHESAPEAKE EMPLOYEE"/>
    <x v="0"/>
    <x v="0"/>
    <x v="5"/>
    <s v="Y"/>
    <x v="22"/>
    <n v="23"/>
    <n v="3958"/>
    <n v="3957"/>
    <n v="2.5271670457417232E-2"/>
    <n v="10"/>
    <n v="5"/>
    <s v="TRIVIAL"/>
  </r>
  <r>
    <s v="CHESAPEAKE EMPLOYEE"/>
    <x v="0"/>
    <x v="0"/>
    <x v="6"/>
    <s v="Y"/>
    <x v="22"/>
    <n v="23"/>
    <n v="3845"/>
    <n v="3845"/>
    <n v="0"/>
    <n v="10"/>
    <n v="5"/>
    <s v="PASSED"/>
  </r>
  <r>
    <s v="CHESAPEAKE EMPLOYEE"/>
    <x v="0"/>
    <x v="0"/>
    <x v="7"/>
    <s v="Y"/>
    <x v="22"/>
    <n v="23"/>
    <n v="3944"/>
    <n v="3944"/>
    <n v="0"/>
    <n v="10"/>
    <n v="5"/>
    <s v="PASSED"/>
  </r>
  <r>
    <s v="CHESAPEAKE EMPLOYEE"/>
    <x v="0"/>
    <x v="0"/>
    <x v="8"/>
    <s v="Y"/>
    <x v="22"/>
    <n v="23"/>
    <n v="4135"/>
    <n v="4135"/>
    <n v="0"/>
    <n v="10"/>
    <n v="5"/>
    <s v="PASSED"/>
  </r>
  <r>
    <s v="CHESAPEAKE EMPLOYEE"/>
    <x v="0"/>
    <x v="0"/>
    <x v="9"/>
    <s v="Y"/>
    <x v="22"/>
    <n v="23"/>
    <n v="4402"/>
    <n v="4400"/>
    <n v="4.5454545454545456E-2"/>
    <n v="10"/>
    <n v="5"/>
    <s v="TRIVIAL"/>
  </r>
  <r>
    <s v="CHESAPEAKE EMPLOYEE"/>
    <x v="0"/>
    <x v="0"/>
    <x v="10"/>
    <s v="Y"/>
    <x v="22"/>
    <n v="23"/>
    <n v="4347"/>
    <n v="4346"/>
    <n v="2.3009664058904741E-2"/>
    <n v="10"/>
    <n v="5"/>
    <s v="TRIVIAL"/>
  </r>
  <r>
    <s v="CHESAPEAKE EMPLOYEE"/>
    <x v="0"/>
    <x v="0"/>
    <x v="11"/>
    <s v="Y"/>
    <x v="22"/>
    <n v="23"/>
    <n v="3951"/>
    <n v="3952"/>
    <n v="2.5303643724696356E-2"/>
    <n v="10"/>
    <n v="5"/>
    <s v="TRIVIAL"/>
  </r>
  <r>
    <s v="CHESAPEAKE EMPLOYEE"/>
    <x v="0"/>
    <x v="0"/>
    <x v="12"/>
    <s v="N"/>
    <x v="22"/>
    <n v="23"/>
    <n v="4433"/>
    <n v="4498"/>
    <n v="1.4450867052023122"/>
    <n v="10"/>
    <n v="5"/>
    <s v="TRIVIAL"/>
  </r>
  <r>
    <s v="CHESAPEAKE EMPLOYEE"/>
    <x v="0"/>
    <x v="0"/>
    <x v="13"/>
    <s v="N"/>
    <x v="22"/>
    <n v="23"/>
    <n v="3978"/>
    <n v="3147"/>
    <n v="26.406101048617732"/>
    <n v="10"/>
    <n v="5"/>
    <s v="CRITICAL"/>
  </r>
  <r>
    <s v="CHESAPEAKE EMPLOYEE"/>
    <x v="0"/>
    <x v="0"/>
    <x v="14"/>
    <s v="N"/>
    <x v="22"/>
    <n v="23"/>
    <n v="2812"/>
    <n v="0"/>
    <n v="100"/>
    <n v="10"/>
    <n v="5"/>
    <s v="CRITICAL"/>
  </r>
  <r>
    <s v="CHESAPEAKE EMPLOYEE"/>
    <x v="0"/>
    <x v="1"/>
    <x v="0"/>
    <s v="Y"/>
    <x v="0"/>
    <n v="1"/>
    <n v="311.83"/>
    <n v="307.04000000000002"/>
    <n v="1.560057321521614"/>
    <n v="10"/>
    <n v="5"/>
    <s v="TRIVIAL"/>
  </r>
  <r>
    <s v="CHESAPEAKE EMPLOYEE"/>
    <x v="0"/>
    <x v="1"/>
    <x v="1"/>
    <s v="Y"/>
    <x v="0"/>
    <n v="1"/>
    <n v="710.64"/>
    <n v="345.98"/>
    <n v="105.39915602057921"/>
    <n v="10"/>
    <n v="5"/>
    <s v="CRITICAL"/>
  </r>
  <r>
    <s v="CHESAPEAKE EMPLOYEE"/>
    <x v="0"/>
    <x v="1"/>
    <x v="2"/>
    <s v="Y"/>
    <x v="0"/>
    <n v="1"/>
    <n v="345.89"/>
    <n v="336.21"/>
    <n v="2.8791529103833935"/>
    <n v="10"/>
    <n v="5"/>
    <s v="TRIVIAL"/>
  </r>
  <r>
    <s v="CHESAPEAKE EMPLOYEE"/>
    <x v="0"/>
    <x v="1"/>
    <x v="3"/>
    <s v="Y"/>
    <x v="0"/>
    <n v="1"/>
    <n v="353.67"/>
    <n v="348.38"/>
    <n v="1.5184568574545096"/>
    <n v="10"/>
    <n v="5"/>
    <s v="TRIVIAL"/>
  </r>
  <r>
    <s v="CHESAPEAKE EMPLOYEE"/>
    <x v="0"/>
    <x v="1"/>
    <x v="4"/>
    <s v="Y"/>
    <x v="0"/>
    <n v="1"/>
    <n v="351.57"/>
    <n v="336.1"/>
    <n v="4.6027967866706243"/>
    <n v="10"/>
    <n v="5"/>
    <s v="TRIVIAL"/>
  </r>
  <r>
    <s v="CHESAPEAKE EMPLOYEE"/>
    <x v="0"/>
    <x v="1"/>
    <x v="5"/>
    <s v="Y"/>
    <x v="0"/>
    <n v="1"/>
    <n v="225.82"/>
    <n v="220.47"/>
    <n v="2.426634009162242"/>
    <n v="10"/>
    <n v="5"/>
    <s v="TRIVIAL"/>
  </r>
  <r>
    <s v="CHESAPEAKE EMPLOYEE"/>
    <x v="0"/>
    <x v="1"/>
    <x v="6"/>
    <s v="Y"/>
    <x v="0"/>
    <n v="1"/>
    <n v="236.87"/>
    <n v="232.97"/>
    <n v="1.6740352835129011"/>
    <n v="10"/>
    <n v="5"/>
    <s v="TRIVIAL"/>
  </r>
  <r>
    <s v="CHESAPEAKE EMPLOYEE"/>
    <x v="0"/>
    <x v="1"/>
    <x v="7"/>
    <s v="Y"/>
    <x v="0"/>
    <n v="1"/>
    <n v="317.87"/>
    <n v="320.48"/>
    <n v="0.81440339490764269"/>
    <n v="10"/>
    <n v="5"/>
    <s v="TRIVIAL"/>
  </r>
  <r>
    <s v="CHESAPEAKE EMPLOYEE"/>
    <x v="0"/>
    <x v="1"/>
    <x v="8"/>
    <s v="Y"/>
    <x v="0"/>
    <n v="1"/>
    <n v="266.66000000000003"/>
    <n v="263.97000000000003"/>
    <n v="1.0190551956661731"/>
    <n v="10"/>
    <n v="5"/>
    <s v="TRIVIAL"/>
  </r>
  <r>
    <s v="CHESAPEAKE EMPLOYEE"/>
    <x v="0"/>
    <x v="1"/>
    <x v="9"/>
    <s v="Y"/>
    <x v="0"/>
    <n v="1"/>
    <n v="275.04000000000002"/>
    <n v="258.60000000000002"/>
    <n v="6.3573085846867734"/>
    <n v="10"/>
    <n v="5"/>
    <s v="CAUTIONARY"/>
  </r>
  <r>
    <s v="CHESAPEAKE EMPLOYEE"/>
    <x v="0"/>
    <x v="1"/>
    <x v="10"/>
    <s v="Y"/>
    <x v="0"/>
    <n v="1"/>
    <n v="192.48"/>
    <n v="174.63"/>
    <n v="10.221611406974745"/>
    <n v="10"/>
    <n v="5"/>
    <s v="CRITICAL"/>
  </r>
  <r>
    <s v="CHESAPEAKE EMPLOYEE"/>
    <x v="0"/>
    <x v="1"/>
    <x v="11"/>
    <s v="Y"/>
    <x v="0"/>
    <n v="1"/>
    <n v="195.11"/>
    <n v="186.45"/>
    <n v="4.6446768570662513"/>
    <n v="10"/>
    <n v="5"/>
    <s v="TRIVIAL"/>
  </r>
  <r>
    <s v="CHESAPEAKE EMPLOYEE"/>
    <x v="0"/>
    <x v="1"/>
    <x v="12"/>
    <s v="N"/>
    <x v="0"/>
    <n v="1"/>
    <n v="235.47"/>
    <n v="206.1"/>
    <n v="14.250363901018925"/>
    <n v="10"/>
    <n v="5"/>
    <s v="CRITICAL"/>
  </r>
  <r>
    <s v="CHESAPEAKE EMPLOYEE"/>
    <x v="0"/>
    <x v="1"/>
    <x v="13"/>
    <s v="N"/>
    <x v="0"/>
    <n v="1"/>
    <n v="443.95"/>
    <n v="58.63"/>
    <n v="657.20620842572055"/>
    <n v="10"/>
    <n v="5"/>
    <s v="CRITICAL"/>
  </r>
  <r>
    <s v="CHESAPEAKE EMPLOYEE"/>
    <x v="0"/>
    <x v="1"/>
    <x v="14"/>
    <s v="N"/>
    <x v="0"/>
    <n v="1"/>
    <n v="103.78"/>
    <n v="0"/>
    <n v="100"/>
    <n v="10"/>
    <n v="5"/>
    <s v="CRITICAL"/>
  </r>
  <r>
    <s v="CHESAPEAKE EMPLOYEE"/>
    <x v="0"/>
    <x v="1"/>
    <x v="0"/>
    <s v="Y"/>
    <x v="1"/>
    <n v="2"/>
    <n v="94.6"/>
    <n v="94.6"/>
    <n v="0"/>
    <n v="10"/>
    <n v="5"/>
    <s v="PASSED"/>
  </r>
  <r>
    <s v="CHESAPEAKE EMPLOYEE"/>
    <x v="0"/>
    <x v="1"/>
    <x v="1"/>
    <s v="Y"/>
    <x v="1"/>
    <n v="2"/>
    <n v="130.82"/>
    <n v="130.82"/>
    <n v="0"/>
    <n v="10"/>
    <n v="5"/>
    <s v="PASSED"/>
  </r>
  <r>
    <s v="CHESAPEAKE EMPLOYEE"/>
    <x v="0"/>
    <x v="1"/>
    <x v="2"/>
    <s v="Y"/>
    <x v="1"/>
    <n v="2"/>
    <n v="148.74"/>
    <n v="148.74"/>
    <n v="0"/>
    <n v="10"/>
    <n v="5"/>
    <s v="PASSED"/>
  </r>
  <r>
    <s v="CHESAPEAKE EMPLOYEE"/>
    <x v="0"/>
    <x v="1"/>
    <x v="3"/>
    <s v="Y"/>
    <x v="1"/>
    <n v="2"/>
    <n v="114.78"/>
    <n v="114.78"/>
    <n v="0"/>
    <n v="10"/>
    <n v="5"/>
    <s v="PASSED"/>
  </r>
  <r>
    <s v="CHESAPEAKE EMPLOYEE"/>
    <x v="0"/>
    <x v="1"/>
    <x v="4"/>
    <s v="Y"/>
    <x v="1"/>
    <n v="2"/>
    <n v="114.46"/>
    <n v="114.5"/>
    <n v="3.4934497816599346E-2"/>
    <n v="10"/>
    <n v="5"/>
    <s v="TRIVIAL"/>
  </r>
  <r>
    <s v="CHESAPEAKE EMPLOYEE"/>
    <x v="0"/>
    <x v="1"/>
    <x v="5"/>
    <s v="Y"/>
    <x v="1"/>
    <n v="2"/>
    <n v="117.52"/>
    <n v="117.56"/>
    <n v="3.4025178632193134E-2"/>
    <n v="10"/>
    <n v="5"/>
    <s v="TRIVIAL"/>
  </r>
  <r>
    <s v="CHESAPEAKE EMPLOYEE"/>
    <x v="0"/>
    <x v="1"/>
    <x v="6"/>
    <s v="Y"/>
    <x v="1"/>
    <n v="2"/>
    <n v="109.16"/>
    <n v="109.2"/>
    <n v="3.6630036630042356E-2"/>
    <n v="10"/>
    <n v="5"/>
    <s v="TRIVIAL"/>
  </r>
  <r>
    <s v="CHESAPEAKE EMPLOYEE"/>
    <x v="0"/>
    <x v="1"/>
    <x v="7"/>
    <s v="Y"/>
    <x v="1"/>
    <n v="2"/>
    <n v="111.15"/>
    <n v="111.19"/>
    <n v="3.597445813471719E-2"/>
    <n v="10"/>
    <n v="5"/>
    <s v="TRIVIAL"/>
  </r>
  <r>
    <s v="CHESAPEAKE EMPLOYEE"/>
    <x v="0"/>
    <x v="1"/>
    <x v="8"/>
    <s v="Y"/>
    <x v="1"/>
    <n v="2"/>
    <n v="116.98"/>
    <n v="117.06"/>
    <n v="6.8341021698272927E-2"/>
    <n v="10"/>
    <n v="5"/>
    <s v="TRIVIAL"/>
  </r>
  <r>
    <s v="CHESAPEAKE EMPLOYEE"/>
    <x v="0"/>
    <x v="1"/>
    <x v="9"/>
    <s v="Y"/>
    <x v="1"/>
    <n v="2"/>
    <n v="125.19"/>
    <n v="125.27"/>
    <n v="6.386205795481624E-2"/>
    <n v="10"/>
    <n v="5"/>
    <s v="TRIVIAL"/>
  </r>
  <r>
    <s v="CHESAPEAKE EMPLOYEE"/>
    <x v="0"/>
    <x v="1"/>
    <x v="10"/>
    <s v="Y"/>
    <x v="1"/>
    <n v="2"/>
    <n v="87.57"/>
    <n v="87.69"/>
    <n v="0.13684570646596483"/>
    <n v="10"/>
    <n v="5"/>
    <s v="TRIVIAL"/>
  </r>
  <r>
    <s v="CHESAPEAKE EMPLOYEE"/>
    <x v="0"/>
    <x v="1"/>
    <x v="11"/>
    <s v="Y"/>
    <x v="1"/>
    <n v="2"/>
    <n v="106.07"/>
    <n v="108.92"/>
    <n v="2.6165993389643853"/>
    <n v="10"/>
    <n v="5"/>
    <s v="TRIVIAL"/>
  </r>
  <r>
    <s v="CHESAPEAKE EMPLOYEE"/>
    <x v="0"/>
    <x v="1"/>
    <x v="12"/>
    <s v="N"/>
    <x v="1"/>
    <n v="2"/>
    <n v="114.54"/>
    <n v="116.79"/>
    <n v="1.9265348060621628"/>
    <n v="10"/>
    <n v="5"/>
    <s v="TRIVIAL"/>
  </r>
  <r>
    <s v="CHESAPEAKE EMPLOYEE"/>
    <x v="0"/>
    <x v="1"/>
    <x v="13"/>
    <s v="N"/>
    <x v="1"/>
    <n v="2"/>
    <n v="110.93"/>
    <n v="87.21"/>
    <n v="27.198715743607398"/>
    <n v="10"/>
    <n v="5"/>
    <s v="CRITICAL"/>
  </r>
  <r>
    <s v="CHESAPEAKE EMPLOYEE"/>
    <x v="0"/>
    <x v="1"/>
    <x v="14"/>
    <s v="N"/>
    <x v="1"/>
    <n v="2"/>
    <n v="64.45"/>
    <n v="0"/>
    <n v="100"/>
    <n v="10"/>
    <n v="5"/>
    <s v="CRITICAL"/>
  </r>
  <r>
    <s v="CHESAPEAKE EMPLOYEE"/>
    <x v="0"/>
    <x v="1"/>
    <x v="0"/>
    <s v="Y"/>
    <x v="2"/>
    <n v="3"/>
    <n v="406.43"/>
    <n v="401.64"/>
    <n v="1.1926102977791109"/>
    <n v="10"/>
    <n v="5"/>
    <s v="TRIVIAL"/>
  </r>
  <r>
    <s v="CHESAPEAKE EMPLOYEE"/>
    <x v="0"/>
    <x v="1"/>
    <x v="1"/>
    <s v="Y"/>
    <x v="2"/>
    <n v="3"/>
    <n v="841.46"/>
    <n v="476.8"/>
    <n v="76.480704697986582"/>
    <n v="10"/>
    <n v="5"/>
    <s v="CRITICAL"/>
  </r>
  <r>
    <s v="CHESAPEAKE EMPLOYEE"/>
    <x v="0"/>
    <x v="1"/>
    <x v="2"/>
    <s v="Y"/>
    <x v="2"/>
    <n v="3"/>
    <n v="494.63"/>
    <n v="484.95"/>
    <n v="1.996082070316529"/>
    <n v="10"/>
    <n v="5"/>
    <s v="TRIVIAL"/>
  </r>
  <r>
    <s v="CHESAPEAKE EMPLOYEE"/>
    <x v="0"/>
    <x v="1"/>
    <x v="3"/>
    <s v="Y"/>
    <x v="2"/>
    <n v="3"/>
    <n v="468.45"/>
    <n v="463.16"/>
    <n v="1.1421538993004499"/>
    <n v="10"/>
    <n v="5"/>
    <s v="TRIVIAL"/>
  </r>
  <r>
    <s v="CHESAPEAKE EMPLOYEE"/>
    <x v="0"/>
    <x v="1"/>
    <x v="4"/>
    <s v="Y"/>
    <x v="2"/>
    <n v="3"/>
    <n v="466.03"/>
    <n v="450.6"/>
    <n v="3.4243231247225809"/>
    <n v="10"/>
    <n v="5"/>
    <s v="TRIVIAL"/>
  </r>
  <r>
    <s v="CHESAPEAKE EMPLOYEE"/>
    <x v="0"/>
    <x v="1"/>
    <x v="5"/>
    <s v="Y"/>
    <x v="2"/>
    <n v="3"/>
    <n v="343.34"/>
    <n v="338.03"/>
    <n v="1.5708664911398404"/>
    <n v="10"/>
    <n v="5"/>
    <s v="TRIVIAL"/>
  </r>
  <r>
    <s v="CHESAPEAKE EMPLOYEE"/>
    <x v="0"/>
    <x v="1"/>
    <x v="6"/>
    <s v="Y"/>
    <x v="2"/>
    <n v="3"/>
    <n v="346.03"/>
    <n v="342.17"/>
    <n v="1.1280942221702535"/>
    <n v="10"/>
    <n v="5"/>
    <s v="TRIVIAL"/>
  </r>
  <r>
    <s v="CHESAPEAKE EMPLOYEE"/>
    <x v="0"/>
    <x v="1"/>
    <x v="7"/>
    <s v="Y"/>
    <x v="2"/>
    <n v="3"/>
    <n v="429.02"/>
    <n v="431.67"/>
    <n v="0.61389487339866888"/>
    <n v="10"/>
    <n v="5"/>
    <s v="TRIVIAL"/>
  </r>
  <r>
    <s v="CHESAPEAKE EMPLOYEE"/>
    <x v="0"/>
    <x v="1"/>
    <x v="8"/>
    <s v="Y"/>
    <x v="2"/>
    <n v="3"/>
    <n v="383.64"/>
    <n v="381.03"/>
    <n v="0.68498543421778169"/>
    <n v="10"/>
    <n v="5"/>
    <s v="TRIVIAL"/>
  </r>
  <r>
    <s v="CHESAPEAKE EMPLOYEE"/>
    <x v="0"/>
    <x v="1"/>
    <x v="9"/>
    <s v="Y"/>
    <x v="2"/>
    <n v="3"/>
    <n v="400.23"/>
    <n v="383.87"/>
    <n v="4.2618594836793742"/>
    <n v="10"/>
    <n v="5"/>
    <s v="TRIVIAL"/>
  </r>
  <r>
    <s v="CHESAPEAKE EMPLOYEE"/>
    <x v="0"/>
    <x v="1"/>
    <x v="10"/>
    <s v="Y"/>
    <x v="2"/>
    <n v="3"/>
    <n v="280.05"/>
    <n v="262.32"/>
    <n v="6.7589204025617633"/>
    <n v="10"/>
    <n v="5"/>
    <s v="CAUTIONARY"/>
  </r>
  <r>
    <s v="CHESAPEAKE EMPLOYEE"/>
    <x v="0"/>
    <x v="1"/>
    <x v="11"/>
    <s v="Y"/>
    <x v="2"/>
    <n v="3"/>
    <n v="301.18"/>
    <n v="295.37"/>
    <n v="1.9670244100619567"/>
    <n v="10"/>
    <n v="5"/>
    <s v="TRIVIAL"/>
  </r>
  <r>
    <s v="CHESAPEAKE EMPLOYEE"/>
    <x v="0"/>
    <x v="1"/>
    <x v="12"/>
    <s v="N"/>
    <x v="2"/>
    <n v="3"/>
    <n v="350.01"/>
    <n v="322.89"/>
    <n v="8.399145219734276"/>
    <n v="10"/>
    <n v="5"/>
    <s v="CAUTIONARY"/>
  </r>
  <r>
    <s v="CHESAPEAKE EMPLOYEE"/>
    <x v="0"/>
    <x v="1"/>
    <x v="13"/>
    <s v="N"/>
    <x v="2"/>
    <n v="3"/>
    <n v="554.88"/>
    <n v="145.84"/>
    <n v="280.47174986286336"/>
    <n v="10"/>
    <n v="5"/>
    <s v="CRITICAL"/>
  </r>
  <r>
    <s v="CHESAPEAKE EMPLOYEE"/>
    <x v="0"/>
    <x v="1"/>
    <x v="14"/>
    <s v="N"/>
    <x v="2"/>
    <n v="3"/>
    <n v="168.23"/>
    <n v="0"/>
    <n v="100"/>
    <n v="10"/>
    <n v="5"/>
    <s v="CRITICAL"/>
  </r>
  <r>
    <s v="CHESAPEAKE EMPLOYEE"/>
    <x v="0"/>
    <x v="1"/>
    <x v="0"/>
    <s v="Y"/>
    <x v="3"/>
    <n v="4"/>
    <n v="0"/>
    <n v="0"/>
    <n v="0"/>
    <n v="10"/>
    <n v="5"/>
    <s v="PASSED"/>
  </r>
  <r>
    <s v="CHESAPEAKE EMPLOYEE"/>
    <x v="0"/>
    <x v="1"/>
    <x v="1"/>
    <s v="Y"/>
    <x v="3"/>
    <n v="4"/>
    <n v="0"/>
    <n v="0"/>
    <n v="0"/>
    <n v="10"/>
    <n v="5"/>
    <s v="PASSED"/>
  </r>
  <r>
    <s v="CHESAPEAKE EMPLOYEE"/>
    <x v="0"/>
    <x v="1"/>
    <x v="2"/>
    <s v="Y"/>
    <x v="3"/>
    <n v="4"/>
    <n v="97429.01"/>
    <n v="97429.01"/>
    <n v="0"/>
    <n v="10"/>
    <n v="5"/>
    <s v="PASSED"/>
  </r>
  <r>
    <s v="CHESAPEAKE EMPLOYEE"/>
    <x v="0"/>
    <x v="1"/>
    <x v="3"/>
    <s v="Y"/>
    <x v="3"/>
    <n v="4"/>
    <n v="97596.95"/>
    <n v="97596.95"/>
    <n v="0"/>
    <n v="10"/>
    <n v="5"/>
    <s v="PASSED"/>
  </r>
  <r>
    <s v="CHESAPEAKE EMPLOYEE"/>
    <x v="0"/>
    <x v="1"/>
    <x v="4"/>
    <s v="Y"/>
    <x v="3"/>
    <n v="4"/>
    <n v="0"/>
    <n v="0"/>
    <n v="0"/>
    <n v="10"/>
    <n v="5"/>
    <s v="PASSED"/>
  </r>
  <r>
    <s v="CHESAPEAKE EMPLOYEE"/>
    <x v="0"/>
    <x v="1"/>
    <x v="5"/>
    <s v="Y"/>
    <x v="3"/>
    <n v="4"/>
    <n v="0"/>
    <n v="0"/>
    <n v="0"/>
    <n v="10"/>
    <n v="5"/>
    <s v="PASSED"/>
  </r>
  <r>
    <s v="CHESAPEAKE EMPLOYEE"/>
    <x v="0"/>
    <x v="1"/>
    <x v="6"/>
    <s v="Y"/>
    <x v="3"/>
    <n v="4"/>
    <n v="0"/>
    <n v="0"/>
    <n v="0"/>
    <n v="10"/>
    <n v="5"/>
    <s v="PASSED"/>
  </r>
  <r>
    <s v="CHESAPEAKE EMPLOYEE"/>
    <x v="0"/>
    <x v="1"/>
    <x v="7"/>
    <s v="Y"/>
    <x v="3"/>
    <n v="4"/>
    <n v="499.76"/>
    <n v="0"/>
    <n v="100"/>
    <n v="10"/>
    <n v="5"/>
    <s v="CRITICAL"/>
  </r>
  <r>
    <s v="CHESAPEAKE EMPLOYEE"/>
    <x v="0"/>
    <x v="1"/>
    <x v="8"/>
    <s v="Y"/>
    <x v="3"/>
    <n v="4"/>
    <n v="8289.39"/>
    <n v="8289.39"/>
    <n v="0"/>
    <n v="10"/>
    <n v="5"/>
    <s v="PASSED"/>
  </r>
  <r>
    <s v="CHESAPEAKE EMPLOYEE"/>
    <x v="0"/>
    <x v="1"/>
    <x v="9"/>
    <s v="Y"/>
    <x v="3"/>
    <n v="4"/>
    <n v="35188.57"/>
    <n v="35188.57"/>
    <n v="0"/>
    <n v="10"/>
    <n v="5"/>
    <s v="PASSED"/>
  </r>
  <r>
    <s v="CHESAPEAKE EMPLOYEE"/>
    <x v="0"/>
    <x v="1"/>
    <x v="10"/>
    <s v="Y"/>
    <x v="3"/>
    <n v="4"/>
    <n v="0"/>
    <n v="0"/>
    <n v="0"/>
    <n v="10"/>
    <n v="5"/>
    <s v="PASSED"/>
  </r>
  <r>
    <s v="CHESAPEAKE EMPLOYEE"/>
    <x v="0"/>
    <x v="1"/>
    <x v="11"/>
    <s v="Y"/>
    <x v="3"/>
    <n v="4"/>
    <n v="709"/>
    <n v="384.7"/>
    <n v="84.299454120093586"/>
    <n v="10"/>
    <n v="5"/>
    <s v="CRITICAL"/>
  </r>
  <r>
    <s v="CHESAPEAKE EMPLOYEE"/>
    <x v="0"/>
    <x v="1"/>
    <x v="12"/>
    <s v="N"/>
    <x v="3"/>
    <n v="4"/>
    <n v="891.74"/>
    <n v="891.74"/>
    <n v="0"/>
    <n v="10"/>
    <n v="5"/>
    <s v="PASSED"/>
  </r>
  <r>
    <s v="CHESAPEAKE EMPLOYEE"/>
    <x v="0"/>
    <x v="1"/>
    <x v="13"/>
    <s v="N"/>
    <x v="3"/>
    <n v="4"/>
    <n v="846"/>
    <n v="0"/>
    <n v="100"/>
    <n v="10"/>
    <n v="5"/>
    <s v="CRITICAL"/>
  </r>
  <r>
    <s v="CHESAPEAKE EMPLOYEE"/>
    <x v="0"/>
    <x v="1"/>
    <x v="14"/>
    <s v="N"/>
    <x v="3"/>
    <n v="4"/>
    <n v="0"/>
    <n v="0"/>
    <n v="0"/>
    <n v="10"/>
    <n v="5"/>
    <s v="PASSED"/>
  </r>
  <r>
    <s v="CHESAPEAKE EMPLOYEE"/>
    <x v="0"/>
    <x v="1"/>
    <x v="0"/>
    <s v="Y"/>
    <x v="4"/>
    <n v="5"/>
    <n v="0"/>
    <n v="0"/>
    <n v="0"/>
    <n v="10"/>
    <n v="5"/>
    <s v="PASSED"/>
  </r>
  <r>
    <s v="CHESAPEAKE EMPLOYEE"/>
    <x v="0"/>
    <x v="1"/>
    <x v="1"/>
    <s v="Y"/>
    <x v="4"/>
    <n v="5"/>
    <n v="0"/>
    <n v="0"/>
    <n v="0"/>
    <n v="10"/>
    <n v="5"/>
    <s v="PASSED"/>
  </r>
  <r>
    <s v="CHESAPEAKE EMPLOYEE"/>
    <x v="0"/>
    <x v="1"/>
    <x v="2"/>
    <s v="Y"/>
    <x v="4"/>
    <n v="5"/>
    <n v="3"/>
    <n v="3"/>
    <n v="0"/>
    <n v="10"/>
    <n v="5"/>
    <s v="PASSED"/>
  </r>
  <r>
    <s v="CHESAPEAKE EMPLOYEE"/>
    <x v="0"/>
    <x v="1"/>
    <x v="3"/>
    <s v="Y"/>
    <x v="4"/>
    <n v="5"/>
    <n v="2"/>
    <n v="2"/>
    <n v="0"/>
    <n v="10"/>
    <n v="5"/>
    <s v="PASSED"/>
  </r>
  <r>
    <s v="CHESAPEAKE EMPLOYEE"/>
    <x v="0"/>
    <x v="1"/>
    <x v="4"/>
    <s v="Y"/>
    <x v="4"/>
    <n v="5"/>
    <n v="0"/>
    <n v="0"/>
    <n v="0"/>
    <n v="10"/>
    <n v="5"/>
    <s v="PASSED"/>
  </r>
  <r>
    <s v="CHESAPEAKE EMPLOYEE"/>
    <x v="0"/>
    <x v="1"/>
    <x v="5"/>
    <s v="Y"/>
    <x v="4"/>
    <n v="5"/>
    <n v="0"/>
    <n v="0"/>
    <n v="0"/>
    <n v="10"/>
    <n v="5"/>
    <s v="PASSED"/>
  </r>
  <r>
    <s v="CHESAPEAKE EMPLOYEE"/>
    <x v="0"/>
    <x v="1"/>
    <x v="6"/>
    <s v="Y"/>
    <x v="4"/>
    <n v="5"/>
    <n v="0"/>
    <n v="0"/>
    <n v="0"/>
    <n v="10"/>
    <n v="5"/>
    <s v="PASSED"/>
  </r>
  <r>
    <s v="CHESAPEAKE EMPLOYEE"/>
    <x v="0"/>
    <x v="1"/>
    <x v="7"/>
    <s v="Y"/>
    <x v="4"/>
    <n v="5"/>
    <n v="1"/>
    <n v="1"/>
    <n v="0"/>
    <n v="10"/>
    <n v="5"/>
    <s v="PASSED"/>
  </r>
  <r>
    <s v="CHESAPEAKE EMPLOYEE"/>
    <x v="0"/>
    <x v="1"/>
    <x v="8"/>
    <s v="Y"/>
    <x v="4"/>
    <n v="5"/>
    <n v="1"/>
    <n v="1"/>
    <n v="0"/>
    <n v="10"/>
    <n v="5"/>
    <s v="PASSED"/>
  </r>
  <r>
    <s v="CHESAPEAKE EMPLOYEE"/>
    <x v="0"/>
    <x v="1"/>
    <x v="9"/>
    <s v="Y"/>
    <x v="4"/>
    <n v="5"/>
    <n v="1"/>
    <n v="1"/>
    <n v="0"/>
    <n v="10"/>
    <n v="5"/>
    <s v="PASSED"/>
  </r>
  <r>
    <s v="CHESAPEAKE EMPLOYEE"/>
    <x v="0"/>
    <x v="1"/>
    <x v="10"/>
    <s v="Y"/>
    <x v="4"/>
    <n v="5"/>
    <n v="0"/>
    <n v="0"/>
    <n v="0"/>
    <n v="10"/>
    <n v="5"/>
    <s v="PASSED"/>
  </r>
  <r>
    <s v="CHESAPEAKE EMPLOYEE"/>
    <x v="0"/>
    <x v="1"/>
    <x v="11"/>
    <s v="Y"/>
    <x v="4"/>
    <n v="5"/>
    <n v="1"/>
    <n v="1"/>
    <n v="0"/>
    <n v="10"/>
    <n v="5"/>
    <s v="PASSED"/>
  </r>
  <r>
    <s v="CHESAPEAKE EMPLOYEE"/>
    <x v="0"/>
    <x v="1"/>
    <x v="12"/>
    <s v="N"/>
    <x v="4"/>
    <n v="5"/>
    <n v="2"/>
    <n v="2"/>
    <n v="0"/>
    <n v="10"/>
    <n v="5"/>
    <s v="PASSED"/>
  </r>
  <r>
    <s v="CHESAPEAKE EMPLOYEE"/>
    <x v="0"/>
    <x v="1"/>
    <x v="13"/>
    <s v="N"/>
    <x v="4"/>
    <n v="5"/>
    <n v="2"/>
    <n v="0"/>
    <n v="100"/>
    <n v="10"/>
    <n v="5"/>
    <s v="CRITICAL"/>
  </r>
  <r>
    <s v="CHESAPEAKE EMPLOYEE"/>
    <x v="0"/>
    <x v="1"/>
    <x v="14"/>
    <s v="N"/>
    <x v="4"/>
    <n v="5"/>
    <n v="0"/>
    <n v="0"/>
    <n v="0"/>
    <n v="10"/>
    <n v="5"/>
    <s v="PASSED"/>
  </r>
  <r>
    <s v="CHESAPEAKE EMPLOYEE"/>
    <x v="0"/>
    <x v="1"/>
    <x v="0"/>
    <s v="Y"/>
    <x v="5"/>
    <n v="6"/>
    <n v="11993.27"/>
    <n v="11993.27"/>
    <n v="0"/>
    <n v="10"/>
    <n v="5"/>
    <s v="PASSED"/>
  </r>
  <r>
    <s v="CHESAPEAKE EMPLOYEE"/>
    <x v="0"/>
    <x v="1"/>
    <x v="1"/>
    <s v="Y"/>
    <x v="5"/>
    <n v="6"/>
    <n v="23478.6"/>
    <n v="23478.6"/>
    <n v="0"/>
    <n v="10"/>
    <n v="5"/>
    <s v="PASSED"/>
  </r>
  <r>
    <s v="CHESAPEAKE EMPLOYEE"/>
    <x v="0"/>
    <x v="1"/>
    <x v="2"/>
    <s v="Y"/>
    <x v="5"/>
    <n v="6"/>
    <n v="0"/>
    <n v="0"/>
    <n v="0"/>
    <n v="10"/>
    <n v="5"/>
    <s v="PASSED"/>
  </r>
  <r>
    <s v="CHESAPEAKE EMPLOYEE"/>
    <x v="0"/>
    <x v="1"/>
    <x v="3"/>
    <s v="Y"/>
    <x v="5"/>
    <n v="6"/>
    <n v="0"/>
    <n v="0"/>
    <n v="0"/>
    <n v="10"/>
    <n v="5"/>
    <s v="PASSED"/>
  </r>
  <r>
    <s v="CHESAPEAKE EMPLOYEE"/>
    <x v="0"/>
    <x v="1"/>
    <x v="4"/>
    <s v="Y"/>
    <x v="5"/>
    <n v="6"/>
    <n v="0"/>
    <n v="0"/>
    <n v="0"/>
    <n v="10"/>
    <n v="5"/>
    <s v="PASSED"/>
  </r>
  <r>
    <s v="CHESAPEAKE EMPLOYEE"/>
    <x v="0"/>
    <x v="1"/>
    <x v="5"/>
    <s v="Y"/>
    <x v="5"/>
    <n v="6"/>
    <n v="0"/>
    <n v="0"/>
    <n v="0"/>
    <n v="10"/>
    <n v="5"/>
    <s v="PASSED"/>
  </r>
  <r>
    <s v="CHESAPEAKE EMPLOYEE"/>
    <x v="0"/>
    <x v="1"/>
    <x v="6"/>
    <s v="Y"/>
    <x v="5"/>
    <n v="6"/>
    <n v="0"/>
    <n v="0"/>
    <n v="0"/>
    <n v="10"/>
    <n v="5"/>
    <s v="PASSED"/>
  </r>
  <r>
    <s v="CHESAPEAKE EMPLOYEE"/>
    <x v="0"/>
    <x v="1"/>
    <x v="7"/>
    <s v="Y"/>
    <x v="5"/>
    <n v="6"/>
    <n v="0"/>
    <n v="0"/>
    <n v="0"/>
    <n v="10"/>
    <n v="5"/>
    <s v="PASSED"/>
  </r>
  <r>
    <s v="CHESAPEAKE EMPLOYEE"/>
    <x v="0"/>
    <x v="1"/>
    <x v="8"/>
    <s v="Y"/>
    <x v="5"/>
    <n v="6"/>
    <n v="7961.74"/>
    <n v="7961.74"/>
    <n v="0"/>
    <n v="10"/>
    <n v="5"/>
    <s v="PASSED"/>
  </r>
  <r>
    <s v="CHESAPEAKE EMPLOYEE"/>
    <x v="0"/>
    <x v="1"/>
    <x v="9"/>
    <s v="Y"/>
    <x v="5"/>
    <n v="6"/>
    <n v="0"/>
    <n v="0"/>
    <n v="0"/>
    <n v="10"/>
    <n v="5"/>
    <s v="PASSED"/>
  </r>
  <r>
    <s v="CHESAPEAKE EMPLOYEE"/>
    <x v="0"/>
    <x v="1"/>
    <x v="10"/>
    <s v="Y"/>
    <x v="5"/>
    <n v="6"/>
    <n v="0"/>
    <n v="0"/>
    <n v="0"/>
    <n v="10"/>
    <n v="5"/>
    <s v="PASSED"/>
  </r>
  <r>
    <s v="CHESAPEAKE EMPLOYEE"/>
    <x v="0"/>
    <x v="1"/>
    <x v="11"/>
    <s v="Y"/>
    <x v="5"/>
    <n v="6"/>
    <n v="0"/>
    <n v="0"/>
    <n v="0"/>
    <n v="10"/>
    <n v="5"/>
    <s v="PASSED"/>
  </r>
  <r>
    <s v="CHESAPEAKE EMPLOYEE"/>
    <x v="0"/>
    <x v="1"/>
    <x v="12"/>
    <s v="N"/>
    <x v="5"/>
    <n v="6"/>
    <n v="0"/>
    <n v="0"/>
    <n v="0"/>
    <n v="10"/>
    <n v="5"/>
    <s v="PASSED"/>
  </r>
  <r>
    <s v="CHESAPEAKE EMPLOYEE"/>
    <x v="0"/>
    <x v="1"/>
    <x v="13"/>
    <s v="N"/>
    <x v="5"/>
    <n v="6"/>
    <n v="0"/>
    <n v="0"/>
    <n v="0"/>
    <n v="10"/>
    <n v="5"/>
    <s v="PASSED"/>
  </r>
  <r>
    <s v="CHESAPEAKE EMPLOYEE"/>
    <x v="0"/>
    <x v="1"/>
    <x v="14"/>
    <s v="N"/>
    <x v="5"/>
    <n v="6"/>
    <n v="0"/>
    <n v="0"/>
    <n v="0"/>
    <n v="10"/>
    <n v="5"/>
    <s v="PASSED"/>
  </r>
  <r>
    <s v="CHESAPEAKE EMPLOYEE"/>
    <x v="0"/>
    <x v="1"/>
    <x v="0"/>
    <s v="Y"/>
    <x v="6"/>
    <n v="7"/>
    <n v="2"/>
    <n v="2"/>
    <n v="0"/>
    <n v="10"/>
    <n v="5"/>
    <s v="PASSED"/>
  </r>
  <r>
    <s v="CHESAPEAKE EMPLOYEE"/>
    <x v="0"/>
    <x v="1"/>
    <x v="1"/>
    <s v="Y"/>
    <x v="6"/>
    <n v="7"/>
    <n v="1"/>
    <n v="1"/>
    <n v="0"/>
    <n v="10"/>
    <n v="5"/>
    <s v="PASSED"/>
  </r>
  <r>
    <s v="CHESAPEAKE EMPLOYEE"/>
    <x v="0"/>
    <x v="1"/>
    <x v="2"/>
    <s v="Y"/>
    <x v="6"/>
    <n v="7"/>
    <n v="0"/>
    <n v="0"/>
    <n v="0"/>
    <n v="10"/>
    <n v="5"/>
    <s v="PASSED"/>
  </r>
  <r>
    <s v="CHESAPEAKE EMPLOYEE"/>
    <x v="0"/>
    <x v="1"/>
    <x v="3"/>
    <s v="Y"/>
    <x v="6"/>
    <n v="7"/>
    <n v="0"/>
    <n v="0"/>
    <n v="0"/>
    <n v="10"/>
    <n v="5"/>
    <s v="PASSED"/>
  </r>
  <r>
    <s v="CHESAPEAKE EMPLOYEE"/>
    <x v="0"/>
    <x v="1"/>
    <x v="4"/>
    <s v="Y"/>
    <x v="6"/>
    <n v="7"/>
    <n v="0"/>
    <n v="0"/>
    <n v="0"/>
    <n v="10"/>
    <n v="5"/>
    <s v="PASSED"/>
  </r>
  <r>
    <s v="CHESAPEAKE EMPLOYEE"/>
    <x v="0"/>
    <x v="1"/>
    <x v="5"/>
    <s v="Y"/>
    <x v="6"/>
    <n v="7"/>
    <n v="0"/>
    <n v="0"/>
    <n v="0"/>
    <n v="10"/>
    <n v="5"/>
    <s v="PASSED"/>
  </r>
  <r>
    <s v="CHESAPEAKE EMPLOYEE"/>
    <x v="0"/>
    <x v="1"/>
    <x v="6"/>
    <s v="Y"/>
    <x v="6"/>
    <n v="7"/>
    <n v="0"/>
    <n v="0"/>
    <n v="0"/>
    <n v="10"/>
    <n v="5"/>
    <s v="PASSED"/>
  </r>
  <r>
    <s v="CHESAPEAKE EMPLOYEE"/>
    <x v="0"/>
    <x v="1"/>
    <x v="7"/>
    <s v="Y"/>
    <x v="6"/>
    <n v="7"/>
    <n v="0"/>
    <n v="0"/>
    <n v="0"/>
    <n v="10"/>
    <n v="5"/>
    <s v="PASSED"/>
  </r>
  <r>
    <s v="CHESAPEAKE EMPLOYEE"/>
    <x v="0"/>
    <x v="1"/>
    <x v="8"/>
    <s v="Y"/>
    <x v="6"/>
    <n v="7"/>
    <n v="1"/>
    <n v="1"/>
    <n v="0"/>
    <n v="10"/>
    <n v="5"/>
    <s v="PASSED"/>
  </r>
  <r>
    <s v="CHESAPEAKE EMPLOYEE"/>
    <x v="0"/>
    <x v="1"/>
    <x v="9"/>
    <s v="Y"/>
    <x v="6"/>
    <n v="7"/>
    <n v="0"/>
    <n v="0"/>
    <n v="0"/>
    <n v="10"/>
    <n v="5"/>
    <s v="PASSED"/>
  </r>
  <r>
    <s v="CHESAPEAKE EMPLOYEE"/>
    <x v="0"/>
    <x v="1"/>
    <x v="10"/>
    <s v="Y"/>
    <x v="6"/>
    <n v="7"/>
    <n v="0"/>
    <n v="0"/>
    <n v="0"/>
    <n v="10"/>
    <n v="5"/>
    <s v="PASSED"/>
  </r>
  <r>
    <s v="CHESAPEAKE EMPLOYEE"/>
    <x v="0"/>
    <x v="1"/>
    <x v="11"/>
    <s v="Y"/>
    <x v="6"/>
    <n v="7"/>
    <n v="0"/>
    <n v="0"/>
    <n v="0"/>
    <n v="10"/>
    <n v="5"/>
    <s v="PASSED"/>
  </r>
  <r>
    <s v="CHESAPEAKE EMPLOYEE"/>
    <x v="0"/>
    <x v="1"/>
    <x v="12"/>
    <s v="N"/>
    <x v="6"/>
    <n v="7"/>
    <n v="0"/>
    <n v="0"/>
    <n v="0"/>
    <n v="10"/>
    <n v="5"/>
    <s v="PASSED"/>
  </r>
  <r>
    <s v="CHESAPEAKE EMPLOYEE"/>
    <x v="0"/>
    <x v="1"/>
    <x v="13"/>
    <s v="N"/>
    <x v="6"/>
    <n v="7"/>
    <n v="0"/>
    <n v="0"/>
    <n v="0"/>
    <n v="10"/>
    <n v="5"/>
    <s v="PASSED"/>
  </r>
  <r>
    <s v="CHESAPEAKE EMPLOYEE"/>
    <x v="0"/>
    <x v="1"/>
    <x v="14"/>
    <s v="N"/>
    <x v="6"/>
    <n v="7"/>
    <n v="0"/>
    <n v="0"/>
    <n v="0"/>
    <n v="10"/>
    <n v="5"/>
    <s v="PASSED"/>
  </r>
  <r>
    <s v="CHESAPEAKE EMPLOYEE"/>
    <x v="0"/>
    <x v="1"/>
    <x v="0"/>
    <s v="Y"/>
    <x v="7"/>
    <n v="8"/>
    <n v="30500.07"/>
    <n v="30500.07"/>
    <n v="0"/>
    <n v="10"/>
    <n v="5"/>
    <s v="PASSED"/>
  </r>
  <r>
    <s v="CHESAPEAKE EMPLOYEE"/>
    <x v="0"/>
    <x v="1"/>
    <x v="1"/>
    <s v="Y"/>
    <x v="7"/>
    <n v="8"/>
    <n v="26055.87"/>
    <n v="25435.360000000001"/>
    <n v="2.4395565857923707"/>
    <n v="10"/>
    <n v="5"/>
    <s v="TRIVIAL"/>
  </r>
  <r>
    <s v="CHESAPEAKE EMPLOYEE"/>
    <x v="0"/>
    <x v="1"/>
    <x v="2"/>
    <s v="Y"/>
    <x v="7"/>
    <n v="8"/>
    <n v="36567.1"/>
    <n v="34390.53"/>
    <n v="6.3289806816004281"/>
    <n v="10"/>
    <n v="5"/>
    <s v="CAUTIONARY"/>
  </r>
  <r>
    <s v="CHESAPEAKE EMPLOYEE"/>
    <x v="0"/>
    <x v="1"/>
    <x v="3"/>
    <s v="Y"/>
    <x v="7"/>
    <n v="8"/>
    <n v="36334.29"/>
    <n v="36334.29"/>
    <n v="0"/>
    <n v="10"/>
    <n v="5"/>
    <s v="PASSED"/>
  </r>
  <r>
    <s v="CHESAPEAKE EMPLOYEE"/>
    <x v="0"/>
    <x v="1"/>
    <x v="4"/>
    <s v="Y"/>
    <x v="7"/>
    <n v="8"/>
    <n v="31363.84"/>
    <n v="31363.84"/>
    <n v="0"/>
    <n v="10"/>
    <n v="5"/>
    <s v="PASSED"/>
  </r>
  <r>
    <s v="CHESAPEAKE EMPLOYEE"/>
    <x v="0"/>
    <x v="1"/>
    <x v="5"/>
    <s v="Y"/>
    <x v="7"/>
    <n v="8"/>
    <n v="39548.89"/>
    <n v="39548.89"/>
    <n v="0"/>
    <n v="10"/>
    <n v="5"/>
    <s v="PASSED"/>
  </r>
  <r>
    <s v="CHESAPEAKE EMPLOYEE"/>
    <x v="0"/>
    <x v="1"/>
    <x v="6"/>
    <s v="Y"/>
    <x v="7"/>
    <n v="8"/>
    <n v="16510.82"/>
    <n v="14197.46"/>
    <n v="16.294182198787677"/>
    <n v="10"/>
    <n v="5"/>
    <s v="CRITICAL"/>
  </r>
  <r>
    <s v="CHESAPEAKE EMPLOYEE"/>
    <x v="0"/>
    <x v="1"/>
    <x v="7"/>
    <s v="Y"/>
    <x v="7"/>
    <n v="8"/>
    <n v="46288.88"/>
    <n v="42128.15"/>
    <n v="9.8763653281712962"/>
    <n v="10"/>
    <n v="5"/>
    <s v="CAUTIONARY"/>
  </r>
  <r>
    <s v="CHESAPEAKE EMPLOYEE"/>
    <x v="0"/>
    <x v="1"/>
    <x v="8"/>
    <s v="Y"/>
    <x v="7"/>
    <n v="8"/>
    <n v="55872.08"/>
    <n v="52186.35"/>
    <n v="7.062632278363985"/>
    <n v="10"/>
    <n v="5"/>
    <s v="CAUTIONARY"/>
  </r>
  <r>
    <s v="CHESAPEAKE EMPLOYEE"/>
    <x v="0"/>
    <x v="1"/>
    <x v="9"/>
    <s v="Y"/>
    <x v="7"/>
    <n v="8"/>
    <n v="46199.17"/>
    <n v="42853.87"/>
    <n v="7.8062961408152765"/>
    <n v="10"/>
    <n v="5"/>
    <s v="CAUTIONARY"/>
  </r>
  <r>
    <s v="CHESAPEAKE EMPLOYEE"/>
    <x v="0"/>
    <x v="1"/>
    <x v="10"/>
    <s v="Y"/>
    <x v="7"/>
    <n v="8"/>
    <n v="22548.1"/>
    <n v="22548.1"/>
    <n v="0"/>
    <n v="10"/>
    <n v="5"/>
    <s v="PASSED"/>
  </r>
  <r>
    <s v="CHESAPEAKE EMPLOYEE"/>
    <x v="0"/>
    <x v="1"/>
    <x v="11"/>
    <s v="Y"/>
    <x v="7"/>
    <n v="8"/>
    <n v="29753.53"/>
    <n v="23617.53"/>
    <n v="25.980701622904682"/>
    <n v="10"/>
    <n v="5"/>
    <s v="CRITICAL"/>
  </r>
  <r>
    <s v="CHESAPEAKE EMPLOYEE"/>
    <x v="0"/>
    <x v="1"/>
    <x v="12"/>
    <s v="N"/>
    <x v="7"/>
    <n v="8"/>
    <n v="32996.71"/>
    <n v="27730.33"/>
    <n v="18.991407603155093"/>
    <n v="10"/>
    <n v="5"/>
    <s v="CRITICAL"/>
  </r>
  <r>
    <s v="CHESAPEAKE EMPLOYEE"/>
    <x v="0"/>
    <x v="1"/>
    <x v="13"/>
    <s v="N"/>
    <x v="7"/>
    <n v="8"/>
    <n v="48707.92"/>
    <n v="25424.59"/>
    <n v="91.577995948017247"/>
    <n v="10"/>
    <n v="5"/>
    <s v="CRITICAL"/>
  </r>
  <r>
    <s v="CHESAPEAKE EMPLOYEE"/>
    <x v="0"/>
    <x v="1"/>
    <x v="14"/>
    <s v="N"/>
    <x v="7"/>
    <n v="8"/>
    <n v="15741.02"/>
    <n v="0"/>
    <n v="100"/>
    <n v="10"/>
    <n v="5"/>
    <s v="CRITICAL"/>
  </r>
  <r>
    <s v="CHESAPEAKE EMPLOYEE"/>
    <x v="0"/>
    <x v="1"/>
    <x v="0"/>
    <s v="Y"/>
    <x v="8"/>
    <n v="9"/>
    <n v="50"/>
    <n v="50"/>
    <n v="0"/>
    <n v="10"/>
    <n v="5"/>
    <s v="PASSED"/>
  </r>
  <r>
    <s v="CHESAPEAKE EMPLOYEE"/>
    <x v="0"/>
    <x v="1"/>
    <x v="1"/>
    <s v="Y"/>
    <x v="8"/>
    <n v="9"/>
    <n v="36"/>
    <n v="36"/>
    <n v="0"/>
    <n v="10"/>
    <n v="5"/>
    <s v="PASSED"/>
  </r>
  <r>
    <s v="CHESAPEAKE EMPLOYEE"/>
    <x v="0"/>
    <x v="1"/>
    <x v="2"/>
    <s v="Y"/>
    <x v="8"/>
    <n v="9"/>
    <n v="63"/>
    <n v="58"/>
    <n v="8.6206896551724146"/>
    <n v="10"/>
    <n v="5"/>
    <s v="CAUTIONARY"/>
  </r>
  <r>
    <s v="CHESAPEAKE EMPLOYEE"/>
    <x v="0"/>
    <x v="1"/>
    <x v="3"/>
    <s v="Y"/>
    <x v="8"/>
    <n v="9"/>
    <n v="36"/>
    <n v="36"/>
    <n v="0"/>
    <n v="10"/>
    <n v="5"/>
    <s v="PASSED"/>
  </r>
  <r>
    <s v="CHESAPEAKE EMPLOYEE"/>
    <x v="0"/>
    <x v="1"/>
    <x v="4"/>
    <s v="Y"/>
    <x v="8"/>
    <n v="9"/>
    <n v="44"/>
    <n v="44"/>
    <n v="0"/>
    <n v="10"/>
    <n v="5"/>
    <s v="PASSED"/>
  </r>
  <r>
    <s v="CHESAPEAKE EMPLOYEE"/>
    <x v="0"/>
    <x v="1"/>
    <x v="5"/>
    <s v="Y"/>
    <x v="8"/>
    <n v="9"/>
    <n v="52"/>
    <n v="52"/>
    <n v="0"/>
    <n v="10"/>
    <n v="5"/>
    <s v="PASSED"/>
  </r>
  <r>
    <s v="CHESAPEAKE EMPLOYEE"/>
    <x v="0"/>
    <x v="1"/>
    <x v="6"/>
    <s v="Y"/>
    <x v="8"/>
    <n v="9"/>
    <n v="21"/>
    <n v="17"/>
    <n v="23.52941176470588"/>
    <n v="10"/>
    <n v="5"/>
    <s v="CRITICAL"/>
  </r>
  <r>
    <s v="CHESAPEAKE EMPLOYEE"/>
    <x v="0"/>
    <x v="1"/>
    <x v="7"/>
    <s v="Y"/>
    <x v="8"/>
    <n v="9"/>
    <n v="78"/>
    <n v="74"/>
    <n v="5.4054054054054053"/>
    <n v="10"/>
    <n v="5"/>
    <s v="CAUTIONARY"/>
  </r>
  <r>
    <s v="CHESAPEAKE EMPLOYEE"/>
    <x v="0"/>
    <x v="1"/>
    <x v="8"/>
    <s v="Y"/>
    <x v="8"/>
    <n v="9"/>
    <n v="70"/>
    <n v="65"/>
    <n v="7.6923076923076925"/>
    <n v="10"/>
    <n v="5"/>
    <s v="CAUTIONARY"/>
  </r>
  <r>
    <s v="CHESAPEAKE EMPLOYEE"/>
    <x v="0"/>
    <x v="1"/>
    <x v="9"/>
    <s v="Y"/>
    <x v="8"/>
    <n v="9"/>
    <n v="73"/>
    <n v="69"/>
    <n v="5.7971014492753623"/>
    <n v="10"/>
    <n v="5"/>
    <s v="CAUTIONARY"/>
  </r>
  <r>
    <s v="CHESAPEAKE EMPLOYEE"/>
    <x v="0"/>
    <x v="1"/>
    <x v="10"/>
    <s v="Y"/>
    <x v="8"/>
    <n v="9"/>
    <n v="27"/>
    <n v="27"/>
    <n v="0"/>
    <n v="10"/>
    <n v="5"/>
    <s v="PASSED"/>
  </r>
  <r>
    <s v="CHESAPEAKE EMPLOYEE"/>
    <x v="0"/>
    <x v="1"/>
    <x v="11"/>
    <s v="Y"/>
    <x v="8"/>
    <n v="9"/>
    <n v="38"/>
    <n v="34"/>
    <n v="11.76470588235294"/>
    <n v="10"/>
    <n v="5"/>
    <s v="CRITICAL"/>
  </r>
  <r>
    <s v="CHESAPEAKE EMPLOYEE"/>
    <x v="0"/>
    <x v="1"/>
    <x v="12"/>
    <s v="N"/>
    <x v="8"/>
    <n v="9"/>
    <n v="30"/>
    <n v="26"/>
    <n v="15.384615384615385"/>
    <n v="10"/>
    <n v="5"/>
    <s v="CRITICAL"/>
  </r>
  <r>
    <s v="CHESAPEAKE EMPLOYEE"/>
    <x v="0"/>
    <x v="1"/>
    <x v="13"/>
    <s v="N"/>
    <x v="8"/>
    <n v="9"/>
    <n v="41"/>
    <n v="19"/>
    <n v="115.78947368421053"/>
    <n v="10"/>
    <n v="5"/>
    <s v="CRITICAL"/>
  </r>
  <r>
    <s v="CHESAPEAKE EMPLOYEE"/>
    <x v="0"/>
    <x v="1"/>
    <x v="14"/>
    <s v="N"/>
    <x v="8"/>
    <n v="9"/>
    <n v="18"/>
    <n v="0"/>
    <n v="100"/>
    <n v="10"/>
    <n v="5"/>
    <s v="CRITICAL"/>
  </r>
  <r>
    <s v="CHESAPEAKE EMPLOYEE"/>
    <x v="0"/>
    <x v="1"/>
    <x v="0"/>
    <s v="Y"/>
    <x v="9"/>
    <n v="10"/>
    <n v="41"/>
    <n v="41"/>
    <n v="0"/>
    <n v="10"/>
    <n v="5"/>
    <s v="PASSED"/>
  </r>
  <r>
    <s v="CHESAPEAKE EMPLOYEE"/>
    <x v="0"/>
    <x v="1"/>
    <x v="1"/>
    <s v="Y"/>
    <x v="9"/>
    <n v="10"/>
    <n v="50"/>
    <n v="50"/>
    <n v="0"/>
    <n v="10"/>
    <n v="5"/>
    <s v="PASSED"/>
  </r>
  <r>
    <s v="CHESAPEAKE EMPLOYEE"/>
    <x v="0"/>
    <x v="1"/>
    <x v="2"/>
    <s v="Y"/>
    <x v="9"/>
    <n v="10"/>
    <n v="27"/>
    <n v="27"/>
    <n v="0"/>
    <n v="10"/>
    <n v="5"/>
    <s v="PASSED"/>
  </r>
  <r>
    <s v="CHESAPEAKE EMPLOYEE"/>
    <x v="0"/>
    <x v="1"/>
    <x v="3"/>
    <s v="Y"/>
    <x v="9"/>
    <n v="10"/>
    <n v="58"/>
    <n v="58"/>
    <n v="0"/>
    <n v="10"/>
    <n v="5"/>
    <s v="PASSED"/>
  </r>
  <r>
    <s v="CHESAPEAKE EMPLOYEE"/>
    <x v="0"/>
    <x v="1"/>
    <x v="4"/>
    <s v="Y"/>
    <x v="9"/>
    <n v="10"/>
    <n v="39"/>
    <n v="39"/>
    <n v="0"/>
    <n v="10"/>
    <n v="5"/>
    <s v="PASSED"/>
  </r>
  <r>
    <s v="CHESAPEAKE EMPLOYEE"/>
    <x v="0"/>
    <x v="1"/>
    <x v="5"/>
    <s v="Y"/>
    <x v="9"/>
    <n v="10"/>
    <n v="56"/>
    <n v="56"/>
    <n v="0"/>
    <n v="10"/>
    <n v="5"/>
    <s v="PASSED"/>
  </r>
  <r>
    <s v="CHESAPEAKE EMPLOYEE"/>
    <x v="0"/>
    <x v="1"/>
    <x v="6"/>
    <s v="Y"/>
    <x v="9"/>
    <n v="10"/>
    <n v="29"/>
    <n v="29"/>
    <n v="0"/>
    <n v="10"/>
    <n v="5"/>
    <s v="PASSED"/>
  </r>
  <r>
    <s v="CHESAPEAKE EMPLOYEE"/>
    <x v="0"/>
    <x v="1"/>
    <x v="7"/>
    <s v="Y"/>
    <x v="9"/>
    <n v="10"/>
    <n v="29"/>
    <n v="21"/>
    <n v="38.095238095238095"/>
    <n v="10"/>
    <n v="5"/>
    <s v="CRITICAL"/>
  </r>
  <r>
    <s v="CHESAPEAKE EMPLOYEE"/>
    <x v="0"/>
    <x v="1"/>
    <x v="8"/>
    <s v="Y"/>
    <x v="9"/>
    <n v="10"/>
    <n v="49"/>
    <n v="45"/>
    <n v="8.8888888888888893"/>
    <n v="10"/>
    <n v="5"/>
    <s v="CAUTIONARY"/>
  </r>
  <r>
    <s v="CHESAPEAKE EMPLOYEE"/>
    <x v="0"/>
    <x v="1"/>
    <x v="9"/>
    <s v="Y"/>
    <x v="9"/>
    <n v="10"/>
    <n v="24"/>
    <n v="24"/>
    <n v="0"/>
    <n v="10"/>
    <n v="5"/>
    <s v="PASSED"/>
  </r>
  <r>
    <s v="CHESAPEAKE EMPLOYEE"/>
    <x v="0"/>
    <x v="1"/>
    <x v="10"/>
    <s v="Y"/>
    <x v="9"/>
    <n v="10"/>
    <n v="27"/>
    <n v="27"/>
    <n v="0"/>
    <n v="10"/>
    <n v="5"/>
    <s v="PASSED"/>
  </r>
  <r>
    <s v="CHESAPEAKE EMPLOYEE"/>
    <x v="0"/>
    <x v="1"/>
    <x v="11"/>
    <s v="Y"/>
    <x v="9"/>
    <n v="10"/>
    <n v="23"/>
    <n v="23"/>
    <n v="0"/>
    <n v="10"/>
    <n v="5"/>
    <s v="PASSED"/>
  </r>
  <r>
    <s v="CHESAPEAKE EMPLOYEE"/>
    <x v="0"/>
    <x v="1"/>
    <x v="12"/>
    <s v="N"/>
    <x v="9"/>
    <n v="10"/>
    <n v="42"/>
    <n v="38"/>
    <n v="10.526315789473683"/>
    <n v="10"/>
    <n v="5"/>
    <s v="CRITICAL"/>
  </r>
  <r>
    <s v="CHESAPEAKE EMPLOYEE"/>
    <x v="0"/>
    <x v="1"/>
    <x v="13"/>
    <s v="N"/>
    <x v="9"/>
    <n v="10"/>
    <n v="41"/>
    <n v="19"/>
    <n v="115.78947368421053"/>
    <n v="10"/>
    <n v="5"/>
    <s v="CRITICAL"/>
  </r>
  <r>
    <s v="CHESAPEAKE EMPLOYEE"/>
    <x v="0"/>
    <x v="1"/>
    <x v="14"/>
    <s v="N"/>
    <x v="9"/>
    <n v="10"/>
    <n v="22"/>
    <n v="0"/>
    <n v="100"/>
    <n v="10"/>
    <n v="5"/>
    <s v="CRITICAL"/>
  </r>
  <r>
    <s v="CHESAPEAKE EMPLOYEE"/>
    <x v="0"/>
    <x v="1"/>
    <x v="0"/>
    <s v="Y"/>
    <x v="10"/>
    <n v="11"/>
    <n v="5"/>
    <n v="5"/>
    <n v="0"/>
    <n v="10"/>
    <n v="5"/>
    <s v="PASSED"/>
  </r>
  <r>
    <s v="CHESAPEAKE EMPLOYEE"/>
    <x v="0"/>
    <x v="1"/>
    <x v="1"/>
    <s v="Y"/>
    <x v="10"/>
    <n v="11"/>
    <n v="9"/>
    <n v="9"/>
    <n v="0"/>
    <n v="10"/>
    <n v="5"/>
    <s v="PASSED"/>
  </r>
  <r>
    <s v="CHESAPEAKE EMPLOYEE"/>
    <x v="0"/>
    <x v="1"/>
    <x v="2"/>
    <s v="Y"/>
    <x v="10"/>
    <n v="11"/>
    <n v="0"/>
    <n v="0"/>
    <n v="0"/>
    <n v="10"/>
    <n v="5"/>
    <s v="PASSED"/>
  </r>
  <r>
    <s v="CHESAPEAKE EMPLOYEE"/>
    <x v="0"/>
    <x v="1"/>
    <x v="3"/>
    <s v="Y"/>
    <x v="10"/>
    <n v="11"/>
    <n v="0"/>
    <n v="0"/>
    <n v="0"/>
    <n v="10"/>
    <n v="5"/>
    <s v="PASSED"/>
  </r>
  <r>
    <s v="CHESAPEAKE EMPLOYEE"/>
    <x v="0"/>
    <x v="1"/>
    <x v="4"/>
    <s v="Y"/>
    <x v="10"/>
    <n v="11"/>
    <n v="9"/>
    <n v="9"/>
    <n v="0"/>
    <n v="10"/>
    <n v="5"/>
    <s v="PASSED"/>
  </r>
  <r>
    <s v="CHESAPEAKE EMPLOYEE"/>
    <x v="0"/>
    <x v="1"/>
    <x v="5"/>
    <s v="Y"/>
    <x v="10"/>
    <n v="11"/>
    <n v="0"/>
    <n v="0"/>
    <n v="0"/>
    <n v="10"/>
    <n v="5"/>
    <s v="PASSED"/>
  </r>
  <r>
    <s v="CHESAPEAKE EMPLOYEE"/>
    <x v="0"/>
    <x v="1"/>
    <x v="6"/>
    <s v="Y"/>
    <x v="10"/>
    <n v="11"/>
    <n v="0"/>
    <n v="0"/>
    <n v="0"/>
    <n v="10"/>
    <n v="5"/>
    <s v="PASSED"/>
  </r>
  <r>
    <s v="CHESAPEAKE EMPLOYEE"/>
    <x v="0"/>
    <x v="1"/>
    <x v="7"/>
    <s v="Y"/>
    <x v="10"/>
    <n v="11"/>
    <n v="4"/>
    <n v="4"/>
    <n v="0"/>
    <n v="10"/>
    <n v="5"/>
    <s v="PASSED"/>
  </r>
  <r>
    <s v="CHESAPEAKE EMPLOYEE"/>
    <x v="0"/>
    <x v="1"/>
    <x v="8"/>
    <s v="Y"/>
    <x v="10"/>
    <n v="11"/>
    <n v="4"/>
    <n v="4"/>
    <n v="0"/>
    <n v="10"/>
    <n v="5"/>
    <s v="PASSED"/>
  </r>
  <r>
    <s v="CHESAPEAKE EMPLOYEE"/>
    <x v="0"/>
    <x v="1"/>
    <x v="9"/>
    <s v="Y"/>
    <x v="10"/>
    <n v="11"/>
    <n v="0"/>
    <n v="0"/>
    <n v="0"/>
    <n v="10"/>
    <n v="5"/>
    <s v="PASSED"/>
  </r>
  <r>
    <s v="CHESAPEAKE EMPLOYEE"/>
    <x v="0"/>
    <x v="1"/>
    <x v="10"/>
    <s v="Y"/>
    <x v="10"/>
    <n v="11"/>
    <n v="0"/>
    <n v="0"/>
    <n v="0"/>
    <n v="10"/>
    <n v="5"/>
    <s v="PASSED"/>
  </r>
  <r>
    <s v="CHESAPEAKE EMPLOYEE"/>
    <x v="0"/>
    <x v="1"/>
    <x v="11"/>
    <s v="Y"/>
    <x v="10"/>
    <n v="11"/>
    <n v="4"/>
    <n v="4"/>
    <n v="0"/>
    <n v="10"/>
    <n v="5"/>
    <s v="PASSED"/>
  </r>
  <r>
    <s v="CHESAPEAKE EMPLOYEE"/>
    <x v="0"/>
    <x v="1"/>
    <x v="12"/>
    <s v="N"/>
    <x v="10"/>
    <n v="11"/>
    <n v="0"/>
    <n v="0"/>
    <n v="0"/>
    <n v="10"/>
    <n v="5"/>
    <s v="PASSED"/>
  </r>
  <r>
    <s v="CHESAPEAKE EMPLOYEE"/>
    <x v="0"/>
    <x v="1"/>
    <x v="13"/>
    <s v="N"/>
    <x v="10"/>
    <n v="11"/>
    <n v="7"/>
    <n v="7"/>
    <n v="0"/>
    <n v="10"/>
    <n v="5"/>
    <s v="PASSED"/>
  </r>
  <r>
    <s v="CHESAPEAKE EMPLOYEE"/>
    <x v="0"/>
    <x v="1"/>
    <x v="14"/>
    <s v="N"/>
    <x v="10"/>
    <n v="11"/>
    <n v="4"/>
    <n v="0"/>
    <n v="100"/>
    <n v="10"/>
    <n v="5"/>
    <s v="CRITICAL"/>
  </r>
  <r>
    <s v="CHESAPEAKE EMPLOYEE"/>
    <x v="0"/>
    <x v="1"/>
    <x v="0"/>
    <s v="Y"/>
    <x v="11"/>
    <n v="12"/>
    <n v="0"/>
    <n v="0"/>
    <n v="0"/>
    <n v="10"/>
    <n v="5"/>
    <s v="PASSED"/>
  </r>
  <r>
    <s v="CHESAPEAKE EMPLOYEE"/>
    <x v="0"/>
    <x v="1"/>
    <x v="1"/>
    <s v="Y"/>
    <x v="11"/>
    <n v="12"/>
    <n v="0"/>
    <n v="0"/>
    <n v="0"/>
    <n v="10"/>
    <n v="5"/>
    <s v="PASSED"/>
  </r>
  <r>
    <s v="CHESAPEAKE EMPLOYEE"/>
    <x v="0"/>
    <x v="1"/>
    <x v="2"/>
    <s v="Y"/>
    <x v="11"/>
    <n v="12"/>
    <n v="0"/>
    <n v="0"/>
    <n v="0"/>
    <n v="10"/>
    <n v="5"/>
    <s v="PASSED"/>
  </r>
  <r>
    <s v="CHESAPEAKE EMPLOYEE"/>
    <x v="0"/>
    <x v="1"/>
    <x v="3"/>
    <s v="Y"/>
    <x v="11"/>
    <n v="12"/>
    <n v="13"/>
    <n v="13"/>
    <n v="0"/>
    <n v="10"/>
    <n v="5"/>
    <s v="PASSED"/>
  </r>
  <r>
    <s v="CHESAPEAKE EMPLOYEE"/>
    <x v="0"/>
    <x v="1"/>
    <x v="4"/>
    <s v="Y"/>
    <x v="11"/>
    <n v="12"/>
    <n v="4"/>
    <n v="4"/>
    <n v="0"/>
    <n v="10"/>
    <n v="5"/>
    <s v="PASSED"/>
  </r>
  <r>
    <s v="CHESAPEAKE EMPLOYEE"/>
    <x v="0"/>
    <x v="1"/>
    <x v="5"/>
    <s v="Y"/>
    <x v="11"/>
    <n v="12"/>
    <n v="4"/>
    <n v="4"/>
    <n v="0"/>
    <n v="10"/>
    <n v="5"/>
    <s v="PASSED"/>
  </r>
  <r>
    <s v="CHESAPEAKE EMPLOYEE"/>
    <x v="0"/>
    <x v="1"/>
    <x v="6"/>
    <s v="Y"/>
    <x v="11"/>
    <n v="12"/>
    <n v="4"/>
    <n v="4"/>
    <n v="0"/>
    <n v="10"/>
    <n v="5"/>
    <s v="PASSED"/>
  </r>
  <r>
    <s v="CHESAPEAKE EMPLOYEE"/>
    <x v="0"/>
    <x v="1"/>
    <x v="7"/>
    <s v="Y"/>
    <x v="11"/>
    <n v="12"/>
    <n v="0"/>
    <n v="0"/>
    <n v="0"/>
    <n v="10"/>
    <n v="5"/>
    <s v="PASSED"/>
  </r>
  <r>
    <s v="CHESAPEAKE EMPLOYEE"/>
    <x v="0"/>
    <x v="1"/>
    <x v="8"/>
    <s v="Y"/>
    <x v="11"/>
    <n v="12"/>
    <n v="8"/>
    <n v="8"/>
    <n v="0"/>
    <n v="10"/>
    <n v="5"/>
    <s v="PASSED"/>
  </r>
  <r>
    <s v="CHESAPEAKE EMPLOYEE"/>
    <x v="0"/>
    <x v="1"/>
    <x v="9"/>
    <s v="Y"/>
    <x v="11"/>
    <n v="12"/>
    <n v="0"/>
    <n v="0"/>
    <n v="0"/>
    <n v="10"/>
    <n v="5"/>
    <s v="PASSED"/>
  </r>
  <r>
    <s v="CHESAPEAKE EMPLOYEE"/>
    <x v="0"/>
    <x v="1"/>
    <x v="10"/>
    <s v="Y"/>
    <x v="11"/>
    <n v="12"/>
    <n v="0"/>
    <n v="0"/>
    <n v="0"/>
    <n v="10"/>
    <n v="5"/>
    <s v="PASSED"/>
  </r>
  <r>
    <s v="CHESAPEAKE EMPLOYEE"/>
    <x v="0"/>
    <x v="1"/>
    <x v="11"/>
    <s v="Y"/>
    <x v="11"/>
    <n v="12"/>
    <n v="4"/>
    <n v="4"/>
    <n v="0"/>
    <n v="10"/>
    <n v="5"/>
    <s v="PASSED"/>
  </r>
  <r>
    <s v="CHESAPEAKE EMPLOYEE"/>
    <x v="0"/>
    <x v="1"/>
    <x v="12"/>
    <s v="N"/>
    <x v="11"/>
    <n v="12"/>
    <n v="4"/>
    <n v="4"/>
    <n v="0"/>
    <n v="10"/>
    <n v="5"/>
    <s v="PASSED"/>
  </r>
  <r>
    <s v="CHESAPEAKE EMPLOYEE"/>
    <x v="0"/>
    <x v="1"/>
    <x v="13"/>
    <s v="N"/>
    <x v="11"/>
    <n v="12"/>
    <n v="0"/>
    <n v="0"/>
    <n v="0"/>
    <n v="10"/>
    <n v="5"/>
    <s v="PASSED"/>
  </r>
  <r>
    <s v="CHESAPEAKE EMPLOYEE"/>
    <x v="0"/>
    <x v="1"/>
    <x v="14"/>
    <s v="N"/>
    <x v="11"/>
    <n v="12"/>
    <n v="0"/>
    <n v="0"/>
    <n v="0"/>
    <n v="10"/>
    <n v="5"/>
    <s v="PASSED"/>
  </r>
  <r>
    <s v="CHESAPEAKE EMPLOYEE"/>
    <x v="0"/>
    <x v="1"/>
    <x v="0"/>
    <s v="Y"/>
    <x v="12"/>
    <n v="13"/>
    <n v="103437"/>
    <n v="97489"/>
    <n v="6.1012011611566432"/>
    <n v="10"/>
    <n v="5"/>
    <s v="CAUTIONARY"/>
  </r>
  <r>
    <s v="CHESAPEAKE EMPLOYEE"/>
    <x v="0"/>
    <x v="1"/>
    <x v="1"/>
    <s v="Y"/>
    <x v="12"/>
    <n v="13"/>
    <n v="62335"/>
    <n v="61184"/>
    <n v="1.8812107740585775"/>
    <n v="10"/>
    <n v="5"/>
    <s v="TRIVIAL"/>
  </r>
  <r>
    <s v="CHESAPEAKE EMPLOYEE"/>
    <x v="0"/>
    <x v="1"/>
    <x v="2"/>
    <s v="Y"/>
    <x v="12"/>
    <n v="13"/>
    <n v="31952"/>
    <n v="32770"/>
    <n v="2.4961855355508087"/>
    <n v="10"/>
    <n v="5"/>
    <s v="TRIVIAL"/>
  </r>
  <r>
    <s v="CHESAPEAKE EMPLOYEE"/>
    <x v="0"/>
    <x v="1"/>
    <x v="3"/>
    <s v="Y"/>
    <x v="12"/>
    <n v="13"/>
    <n v="64099"/>
    <n v="63949"/>
    <n v="0.23456191652723263"/>
    <n v="10"/>
    <n v="5"/>
    <s v="TRIVIAL"/>
  </r>
  <r>
    <s v="CHESAPEAKE EMPLOYEE"/>
    <x v="0"/>
    <x v="1"/>
    <x v="4"/>
    <s v="Y"/>
    <x v="12"/>
    <n v="13"/>
    <n v="52656"/>
    <n v="52063"/>
    <n v="1.1390046674221617"/>
    <n v="10"/>
    <n v="5"/>
    <s v="TRIVIAL"/>
  </r>
  <r>
    <s v="CHESAPEAKE EMPLOYEE"/>
    <x v="0"/>
    <x v="1"/>
    <x v="5"/>
    <s v="Y"/>
    <x v="12"/>
    <n v="13"/>
    <n v="32675"/>
    <n v="31105"/>
    <n v="5.0474200289342548"/>
    <n v="10"/>
    <n v="5"/>
    <s v="CAUTIONARY"/>
  </r>
  <r>
    <s v="CHESAPEAKE EMPLOYEE"/>
    <x v="0"/>
    <x v="1"/>
    <x v="6"/>
    <s v="Y"/>
    <x v="12"/>
    <n v="13"/>
    <n v="52354"/>
    <n v="49726"/>
    <n v="5.2849615895105178"/>
    <n v="10"/>
    <n v="5"/>
    <s v="CAUTIONARY"/>
  </r>
  <r>
    <s v="CHESAPEAKE EMPLOYEE"/>
    <x v="0"/>
    <x v="1"/>
    <x v="7"/>
    <s v="Y"/>
    <x v="12"/>
    <n v="13"/>
    <n v="69112"/>
    <n v="67087"/>
    <n v="3.018468555755959"/>
    <n v="10"/>
    <n v="5"/>
    <s v="TRIVIAL"/>
  </r>
  <r>
    <s v="CHESAPEAKE EMPLOYEE"/>
    <x v="0"/>
    <x v="1"/>
    <x v="8"/>
    <s v="Y"/>
    <x v="12"/>
    <n v="13"/>
    <n v="49284"/>
    <n v="48889"/>
    <n v="0.80795270919838824"/>
    <n v="10"/>
    <n v="5"/>
    <s v="TRIVIAL"/>
  </r>
  <r>
    <s v="CHESAPEAKE EMPLOYEE"/>
    <x v="0"/>
    <x v="1"/>
    <x v="9"/>
    <s v="Y"/>
    <x v="12"/>
    <n v="13"/>
    <n v="107360"/>
    <n v="61018"/>
    <n v="75.948080894162374"/>
    <n v="10"/>
    <n v="5"/>
    <s v="CRITICAL"/>
  </r>
  <r>
    <s v="CHESAPEAKE EMPLOYEE"/>
    <x v="0"/>
    <x v="1"/>
    <x v="10"/>
    <s v="Y"/>
    <x v="12"/>
    <n v="13"/>
    <n v="61202"/>
    <n v="61309"/>
    <n v="0.17452576293855715"/>
    <n v="10"/>
    <n v="5"/>
    <s v="TRIVIAL"/>
  </r>
  <r>
    <s v="CHESAPEAKE EMPLOYEE"/>
    <x v="0"/>
    <x v="1"/>
    <x v="11"/>
    <s v="Y"/>
    <x v="12"/>
    <n v="13"/>
    <n v="60395"/>
    <n v="57796"/>
    <n v="4.496850993148314"/>
    <n v="10"/>
    <n v="5"/>
    <s v="TRIVIAL"/>
  </r>
  <r>
    <s v="CHESAPEAKE EMPLOYEE"/>
    <x v="0"/>
    <x v="1"/>
    <x v="12"/>
    <s v="N"/>
    <x v="12"/>
    <n v="13"/>
    <n v="70081"/>
    <n v="58974"/>
    <n v="18.833723335707262"/>
    <n v="10"/>
    <n v="5"/>
    <s v="CRITICAL"/>
  </r>
  <r>
    <s v="CHESAPEAKE EMPLOYEE"/>
    <x v="0"/>
    <x v="1"/>
    <x v="13"/>
    <s v="N"/>
    <x v="12"/>
    <n v="13"/>
    <n v="66528"/>
    <n v="18929"/>
    <n v="251.46072164403824"/>
    <n v="10"/>
    <n v="5"/>
    <s v="CRITICAL"/>
  </r>
  <r>
    <s v="CHESAPEAKE EMPLOYEE"/>
    <x v="0"/>
    <x v="1"/>
    <x v="14"/>
    <s v="N"/>
    <x v="12"/>
    <n v="13"/>
    <n v="30838"/>
    <n v="0"/>
    <n v="100"/>
    <n v="10"/>
    <n v="5"/>
    <s v="CRITICAL"/>
  </r>
  <r>
    <s v="CHESAPEAKE EMPLOYEE"/>
    <x v="0"/>
    <x v="1"/>
    <x v="0"/>
    <s v="Y"/>
    <x v="13"/>
    <n v="14"/>
    <n v="266"/>
    <n v="266"/>
    <n v="0"/>
    <n v="10"/>
    <n v="5"/>
    <s v="PASSED"/>
  </r>
  <r>
    <s v="CHESAPEAKE EMPLOYEE"/>
    <x v="0"/>
    <x v="1"/>
    <x v="1"/>
    <s v="Y"/>
    <x v="13"/>
    <n v="14"/>
    <n v="244"/>
    <n v="244"/>
    <n v="0"/>
    <n v="10"/>
    <n v="5"/>
    <s v="PASSED"/>
  </r>
  <r>
    <s v="CHESAPEAKE EMPLOYEE"/>
    <x v="0"/>
    <x v="1"/>
    <x v="2"/>
    <s v="Y"/>
    <x v="13"/>
    <n v="14"/>
    <n v="183"/>
    <n v="183"/>
    <n v="0"/>
    <n v="10"/>
    <n v="5"/>
    <s v="PASSED"/>
  </r>
  <r>
    <s v="CHESAPEAKE EMPLOYEE"/>
    <x v="0"/>
    <x v="1"/>
    <x v="3"/>
    <s v="Y"/>
    <x v="13"/>
    <n v="14"/>
    <n v="222"/>
    <n v="222"/>
    <n v="0"/>
    <n v="10"/>
    <n v="5"/>
    <s v="PASSED"/>
  </r>
  <r>
    <s v="CHESAPEAKE EMPLOYEE"/>
    <x v="0"/>
    <x v="1"/>
    <x v="4"/>
    <s v="Y"/>
    <x v="13"/>
    <n v="14"/>
    <n v="227"/>
    <n v="228"/>
    <n v="0.43859649122807015"/>
    <n v="10"/>
    <n v="5"/>
    <s v="TRIVIAL"/>
  </r>
  <r>
    <s v="CHESAPEAKE EMPLOYEE"/>
    <x v="0"/>
    <x v="1"/>
    <x v="5"/>
    <s v="Y"/>
    <x v="13"/>
    <n v="14"/>
    <n v="177"/>
    <n v="169"/>
    <n v="4.7337278106508878"/>
    <n v="10"/>
    <n v="5"/>
    <s v="TRIVIAL"/>
  </r>
  <r>
    <s v="CHESAPEAKE EMPLOYEE"/>
    <x v="0"/>
    <x v="1"/>
    <x v="6"/>
    <s v="Y"/>
    <x v="13"/>
    <n v="14"/>
    <n v="147"/>
    <n v="147"/>
    <n v="0"/>
    <n v="10"/>
    <n v="5"/>
    <s v="PASSED"/>
  </r>
  <r>
    <s v="CHESAPEAKE EMPLOYEE"/>
    <x v="0"/>
    <x v="1"/>
    <x v="7"/>
    <s v="Y"/>
    <x v="13"/>
    <n v="14"/>
    <n v="202"/>
    <n v="202"/>
    <n v="0"/>
    <n v="10"/>
    <n v="5"/>
    <s v="PASSED"/>
  </r>
  <r>
    <s v="CHESAPEAKE EMPLOYEE"/>
    <x v="0"/>
    <x v="1"/>
    <x v="8"/>
    <s v="Y"/>
    <x v="13"/>
    <n v="14"/>
    <n v="200"/>
    <n v="201"/>
    <n v="0.49751243781094528"/>
    <n v="10"/>
    <n v="5"/>
    <s v="TRIVIAL"/>
  </r>
  <r>
    <s v="CHESAPEAKE EMPLOYEE"/>
    <x v="0"/>
    <x v="1"/>
    <x v="9"/>
    <s v="Y"/>
    <x v="13"/>
    <n v="14"/>
    <n v="190"/>
    <n v="186"/>
    <n v="2.1505376344086025"/>
    <n v="10"/>
    <n v="5"/>
    <s v="TRIVIAL"/>
  </r>
  <r>
    <s v="CHESAPEAKE EMPLOYEE"/>
    <x v="0"/>
    <x v="1"/>
    <x v="10"/>
    <s v="Y"/>
    <x v="13"/>
    <n v="14"/>
    <n v="169"/>
    <n v="169"/>
    <n v="0"/>
    <n v="10"/>
    <n v="5"/>
    <s v="PASSED"/>
  </r>
  <r>
    <s v="CHESAPEAKE EMPLOYEE"/>
    <x v="0"/>
    <x v="1"/>
    <x v="11"/>
    <s v="Y"/>
    <x v="13"/>
    <n v="14"/>
    <n v="137"/>
    <n v="137"/>
    <n v="0"/>
    <n v="10"/>
    <n v="5"/>
    <s v="PASSED"/>
  </r>
  <r>
    <s v="CHESAPEAKE EMPLOYEE"/>
    <x v="0"/>
    <x v="1"/>
    <x v="12"/>
    <s v="N"/>
    <x v="13"/>
    <n v="14"/>
    <n v="253"/>
    <n v="246"/>
    <n v="2.8455284552845526"/>
    <n v="10"/>
    <n v="5"/>
    <s v="TRIVIAL"/>
  </r>
  <r>
    <s v="CHESAPEAKE EMPLOYEE"/>
    <x v="0"/>
    <x v="1"/>
    <x v="13"/>
    <s v="N"/>
    <x v="13"/>
    <n v="14"/>
    <n v="175"/>
    <n v="63"/>
    <n v="177.77777777777777"/>
    <n v="10"/>
    <n v="5"/>
    <s v="CRITICAL"/>
  </r>
  <r>
    <s v="CHESAPEAKE EMPLOYEE"/>
    <x v="0"/>
    <x v="1"/>
    <x v="14"/>
    <s v="N"/>
    <x v="13"/>
    <n v="14"/>
    <n v="122"/>
    <n v="0"/>
    <n v="100"/>
    <n v="10"/>
    <n v="5"/>
    <s v="CRITICAL"/>
  </r>
  <r>
    <s v="CHESAPEAKE EMPLOYEE"/>
    <x v="0"/>
    <x v="1"/>
    <x v="0"/>
    <s v="Y"/>
    <x v="14"/>
    <n v="15"/>
    <n v="251915"/>
    <n v="251915"/>
    <n v="0"/>
    <n v="10"/>
    <n v="5"/>
    <s v="PASSED"/>
  </r>
  <r>
    <s v="CHESAPEAKE EMPLOYEE"/>
    <x v="0"/>
    <x v="1"/>
    <x v="1"/>
    <s v="Y"/>
    <x v="14"/>
    <n v="15"/>
    <n v="347725"/>
    <n v="347725"/>
    <n v="0"/>
    <n v="10"/>
    <n v="5"/>
    <s v="PASSED"/>
  </r>
  <r>
    <s v="CHESAPEAKE EMPLOYEE"/>
    <x v="0"/>
    <x v="1"/>
    <x v="2"/>
    <s v="Y"/>
    <x v="14"/>
    <n v="15"/>
    <n v="399080"/>
    <n v="399080"/>
    <n v="0"/>
    <n v="10"/>
    <n v="5"/>
    <s v="PASSED"/>
  </r>
  <r>
    <s v="CHESAPEAKE EMPLOYEE"/>
    <x v="0"/>
    <x v="1"/>
    <x v="3"/>
    <s v="Y"/>
    <x v="14"/>
    <n v="15"/>
    <n v="310259"/>
    <n v="310259"/>
    <n v="0"/>
    <n v="10"/>
    <n v="5"/>
    <s v="PASSED"/>
  </r>
  <r>
    <s v="CHESAPEAKE EMPLOYEE"/>
    <x v="0"/>
    <x v="1"/>
    <x v="4"/>
    <s v="Y"/>
    <x v="14"/>
    <n v="15"/>
    <n v="313970"/>
    <n v="313970"/>
    <n v="0"/>
    <n v="10"/>
    <n v="5"/>
    <s v="PASSED"/>
  </r>
  <r>
    <s v="CHESAPEAKE EMPLOYEE"/>
    <x v="0"/>
    <x v="1"/>
    <x v="5"/>
    <s v="Y"/>
    <x v="14"/>
    <n v="15"/>
    <n v="326344"/>
    <n v="326336"/>
    <n v="2.4514610707981957E-3"/>
    <n v="10"/>
    <n v="5"/>
    <s v="TRIVIAL"/>
  </r>
  <r>
    <s v="CHESAPEAKE EMPLOYEE"/>
    <x v="0"/>
    <x v="1"/>
    <x v="6"/>
    <s v="Y"/>
    <x v="14"/>
    <n v="15"/>
    <n v="312102"/>
    <n v="312102"/>
    <n v="0"/>
    <n v="10"/>
    <n v="5"/>
    <s v="PASSED"/>
  </r>
  <r>
    <s v="CHESAPEAKE EMPLOYEE"/>
    <x v="0"/>
    <x v="1"/>
    <x v="7"/>
    <s v="Y"/>
    <x v="14"/>
    <n v="15"/>
    <n v="322884"/>
    <n v="322884"/>
    <n v="0"/>
    <n v="10"/>
    <n v="5"/>
    <s v="PASSED"/>
  </r>
  <r>
    <s v="CHESAPEAKE EMPLOYEE"/>
    <x v="0"/>
    <x v="1"/>
    <x v="8"/>
    <s v="Y"/>
    <x v="14"/>
    <n v="15"/>
    <n v="343213"/>
    <n v="343213"/>
    <n v="0"/>
    <n v="10"/>
    <n v="5"/>
    <s v="PASSED"/>
  </r>
  <r>
    <s v="CHESAPEAKE EMPLOYEE"/>
    <x v="0"/>
    <x v="1"/>
    <x v="9"/>
    <s v="Y"/>
    <x v="14"/>
    <n v="15"/>
    <n v="372060"/>
    <n v="372060"/>
    <n v="0"/>
    <n v="10"/>
    <n v="5"/>
    <s v="PASSED"/>
  </r>
  <r>
    <s v="CHESAPEAKE EMPLOYEE"/>
    <x v="0"/>
    <x v="1"/>
    <x v="10"/>
    <s v="Y"/>
    <x v="14"/>
    <n v="15"/>
    <n v="273580"/>
    <n v="273580"/>
    <n v="0"/>
    <n v="10"/>
    <n v="5"/>
    <s v="PASSED"/>
  </r>
  <r>
    <s v="CHESAPEAKE EMPLOYEE"/>
    <x v="0"/>
    <x v="1"/>
    <x v="11"/>
    <s v="Y"/>
    <x v="14"/>
    <n v="15"/>
    <n v="334013"/>
    <n v="342561"/>
    <n v="2.4953220010450696"/>
    <n v="10"/>
    <n v="5"/>
    <s v="TRIVIAL"/>
  </r>
  <r>
    <s v="CHESAPEAKE EMPLOYEE"/>
    <x v="0"/>
    <x v="1"/>
    <x v="12"/>
    <s v="N"/>
    <x v="14"/>
    <n v="15"/>
    <n v="364018"/>
    <n v="370696"/>
    <n v="1.801476142175799"/>
    <n v="10"/>
    <n v="5"/>
    <s v="TRIVIAL"/>
  </r>
  <r>
    <s v="CHESAPEAKE EMPLOYEE"/>
    <x v="0"/>
    <x v="1"/>
    <x v="13"/>
    <s v="N"/>
    <x v="14"/>
    <n v="15"/>
    <n v="357649"/>
    <n v="280811"/>
    <n v="27.362888205946351"/>
    <n v="10"/>
    <n v="5"/>
    <s v="CRITICAL"/>
  </r>
  <r>
    <s v="CHESAPEAKE EMPLOYEE"/>
    <x v="0"/>
    <x v="1"/>
    <x v="14"/>
    <s v="N"/>
    <x v="14"/>
    <n v="15"/>
    <n v="209266"/>
    <n v="0"/>
    <n v="100"/>
    <n v="10"/>
    <n v="5"/>
    <s v="CRITICAL"/>
  </r>
  <r>
    <s v="CHESAPEAKE EMPLOYEE"/>
    <x v="0"/>
    <x v="1"/>
    <x v="0"/>
    <s v="Y"/>
    <x v="15"/>
    <n v="16"/>
    <n v="0.76"/>
    <n v="0.76"/>
    <n v="0"/>
    <n v="10"/>
    <n v="5"/>
    <s v="PASSED"/>
  </r>
  <r>
    <s v="CHESAPEAKE EMPLOYEE"/>
    <x v="0"/>
    <x v="1"/>
    <x v="1"/>
    <s v="Y"/>
    <x v="15"/>
    <n v="16"/>
    <n v="0.78"/>
    <n v="0.78"/>
    <n v="0"/>
    <n v="10"/>
    <n v="5"/>
    <s v="PASSED"/>
  </r>
  <r>
    <s v="CHESAPEAKE EMPLOYEE"/>
    <x v="0"/>
    <x v="1"/>
    <x v="2"/>
    <s v="Y"/>
    <x v="15"/>
    <n v="16"/>
    <n v="0.8"/>
    <n v="0.8"/>
    <n v="0"/>
    <n v="10"/>
    <n v="5"/>
    <s v="PASSED"/>
  </r>
  <r>
    <s v="CHESAPEAKE EMPLOYEE"/>
    <x v="0"/>
    <x v="1"/>
    <x v="3"/>
    <s v="Y"/>
    <x v="15"/>
    <n v="16"/>
    <n v="0.8"/>
    <n v="0.8"/>
    <n v="0"/>
    <n v="10"/>
    <n v="5"/>
    <s v="PASSED"/>
  </r>
  <r>
    <s v="CHESAPEAKE EMPLOYEE"/>
    <x v="0"/>
    <x v="1"/>
    <x v="4"/>
    <s v="Y"/>
    <x v="15"/>
    <n v="16"/>
    <n v="0.79"/>
    <n v="0.79"/>
    <n v="0"/>
    <n v="10"/>
    <n v="5"/>
    <s v="PASSED"/>
  </r>
  <r>
    <s v="CHESAPEAKE EMPLOYEE"/>
    <x v="0"/>
    <x v="1"/>
    <x v="5"/>
    <s v="Y"/>
    <x v="15"/>
    <n v="16"/>
    <n v="0.81"/>
    <n v="0.81"/>
    <n v="0"/>
    <n v="10"/>
    <n v="5"/>
    <s v="PASSED"/>
  </r>
  <r>
    <s v="CHESAPEAKE EMPLOYEE"/>
    <x v="0"/>
    <x v="1"/>
    <x v="6"/>
    <s v="Y"/>
    <x v="15"/>
    <n v="16"/>
    <n v="0.8"/>
    <n v="0.8"/>
    <n v="0"/>
    <n v="10"/>
    <n v="5"/>
    <s v="PASSED"/>
  </r>
  <r>
    <s v="CHESAPEAKE EMPLOYEE"/>
    <x v="0"/>
    <x v="1"/>
    <x v="7"/>
    <s v="Y"/>
    <x v="15"/>
    <n v="16"/>
    <n v="0.79"/>
    <n v="0.79"/>
    <n v="0"/>
    <n v="10"/>
    <n v="5"/>
    <s v="PASSED"/>
  </r>
  <r>
    <s v="CHESAPEAKE EMPLOYEE"/>
    <x v="0"/>
    <x v="1"/>
    <x v="8"/>
    <s v="Y"/>
    <x v="15"/>
    <n v="16"/>
    <n v="0.79"/>
    <n v="0.79"/>
    <n v="0"/>
    <n v="10"/>
    <n v="5"/>
    <s v="PASSED"/>
  </r>
  <r>
    <s v="CHESAPEAKE EMPLOYEE"/>
    <x v="0"/>
    <x v="1"/>
    <x v="9"/>
    <s v="Y"/>
    <x v="15"/>
    <n v="16"/>
    <n v="0.82"/>
    <n v="0.82"/>
    <n v="0"/>
    <n v="10"/>
    <n v="5"/>
    <s v="PASSED"/>
  </r>
  <r>
    <s v="CHESAPEAKE EMPLOYEE"/>
    <x v="0"/>
    <x v="1"/>
    <x v="10"/>
    <s v="Y"/>
    <x v="15"/>
    <n v="16"/>
    <n v="0.79"/>
    <n v="0.79"/>
    <n v="0"/>
    <n v="10"/>
    <n v="5"/>
    <s v="PASSED"/>
  </r>
  <r>
    <s v="CHESAPEAKE EMPLOYEE"/>
    <x v="0"/>
    <x v="1"/>
    <x v="11"/>
    <s v="Y"/>
    <x v="15"/>
    <n v="16"/>
    <n v="0.79"/>
    <n v="0.79"/>
    <n v="0"/>
    <n v="10"/>
    <n v="5"/>
    <s v="PASSED"/>
  </r>
  <r>
    <s v="CHESAPEAKE EMPLOYEE"/>
    <x v="0"/>
    <x v="1"/>
    <x v="12"/>
    <s v="N"/>
    <x v="15"/>
    <n v="16"/>
    <n v="0.81"/>
    <n v="0.82"/>
    <n v="1.2195121951219388"/>
    <n v="10"/>
    <n v="5"/>
    <s v="TRIVIAL"/>
  </r>
  <r>
    <s v="CHESAPEAKE EMPLOYEE"/>
    <x v="0"/>
    <x v="1"/>
    <x v="13"/>
    <s v="N"/>
    <x v="15"/>
    <n v="16"/>
    <n v="0.81"/>
    <n v="0.82"/>
    <n v="1.2195121951219388"/>
    <n v="10"/>
    <n v="5"/>
    <s v="TRIVIAL"/>
  </r>
  <r>
    <s v="CHESAPEAKE EMPLOYEE"/>
    <x v="0"/>
    <x v="1"/>
    <x v="14"/>
    <s v="N"/>
    <x v="15"/>
    <n v="16"/>
    <n v="0.78"/>
    <n v="0"/>
    <n v="100"/>
    <n v="10"/>
    <n v="5"/>
    <s v="CRITICAL"/>
  </r>
  <r>
    <s v="CHESAPEAKE EMPLOYEE"/>
    <x v="0"/>
    <x v="1"/>
    <x v="0"/>
    <s v="Y"/>
    <x v="16"/>
    <n v="17"/>
    <n v="841963"/>
    <n v="828829"/>
    <n v="1.5846453249102048"/>
    <n v="10"/>
    <n v="5"/>
    <s v="TRIVIAL"/>
  </r>
  <r>
    <s v="CHESAPEAKE EMPLOYEE"/>
    <x v="0"/>
    <x v="1"/>
    <x v="1"/>
    <s v="Y"/>
    <x v="16"/>
    <n v="17"/>
    <n v="768579"/>
    <n v="764824"/>
    <n v="0.49096262669581492"/>
    <n v="10"/>
    <n v="5"/>
    <s v="TRIVIAL"/>
  </r>
  <r>
    <s v="CHESAPEAKE EMPLOYEE"/>
    <x v="0"/>
    <x v="1"/>
    <x v="2"/>
    <s v="Y"/>
    <x v="16"/>
    <n v="17"/>
    <n v="1020959"/>
    <n v="996146"/>
    <n v="2.4908999283237598"/>
    <n v="10"/>
    <n v="5"/>
    <s v="TRIVIAL"/>
  </r>
  <r>
    <s v="CHESAPEAKE EMPLOYEE"/>
    <x v="0"/>
    <x v="1"/>
    <x v="3"/>
    <s v="Y"/>
    <x v="16"/>
    <n v="17"/>
    <n v="990875"/>
    <n v="979028"/>
    <n v="1.2100777505852744"/>
    <n v="10"/>
    <n v="5"/>
    <s v="TRIVIAL"/>
  </r>
  <r>
    <s v="CHESAPEAKE EMPLOYEE"/>
    <x v="0"/>
    <x v="1"/>
    <x v="4"/>
    <s v="Y"/>
    <x v="16"/>
    <n v="17"/>
    <n v="1109134"/>
    <n v="1037740"/>
    <n v="6.8797579355137124"/>
    <n v="10"/>
    <n v="5"/>
    <s v="CAUTIONARY"/>
  </r>
  <r>
    <s v="CHESAPEAKE EMPLOYEE"/>
    <x v="0"/>
    <x v="1"/>
    <x v="5"/>
    <s v="Y"/>
    <x v="16"/>
    <n v="17"/>
    <n v="753337"/>
    <n v="739936"/>
    <n v="1.8111025818449162"/>
    <n v="10"/>
    <n v="5"/>
    <s v="TRIVIAL"/>
  </r>
  <r>
    <s v="CHESAPEAKE EMPLOYEE"/>
    <x v="0"/>
    <x v="1"/>
    <x v="6"/>
    <s v="Y"/>
    <x v="16"/>
    <n v="17"/>
    <n v="814883"/>
    <n v="804650"/>
    <n v="1.2717330516373577"/>
    <n v="10"/>
    <n v="5"/>
    <s v="TRIVIAL"/>
  </r>
  <r>
    <s v="CHESAPEAKE EMPLOYEE"/>
    <x v="0"/>
    <x v="1"/>
    <x v="7"/>
    <s v="Y"/>
    <x v="16"/>
    <n v="17"/>
    <n v="951900"/>
    <n v="960451"/>
    <n v="0.89031090602227492"/>
    <n v="10"/>
    <n v="5"/>
    <s v="TRIVIAL"/>
  </r>
  <r>
    <s v="CHESAPEAKE EMPLOYEE"/>
    <x v="0"/>
    <x v="1"/>
    <x v="8"/>
    <s v="Y"/>
    <x v="16"/>
    <n v="17"/>
    <n v="889846"/>
    <n v="888575"/>
    <n v="0.14303801029738628"/>
    <n v="10"/>
    <n v="5"/>
    <s v="TRIVIAL"/>
  </r>
  <r>
    <s v="CHESAPEAKE EMPLOYEE"/>
    <x v="0"/>
    <x v="1"/>
    <x v="9"/>
    <s v="Y"/>
    <x v="16"/>
    <n v="17"/>
    <n v="891546"/>
    <n v="886853"/>
    <n v="0.52917450806390687"/>
    <n v="10"/>
    <n v="5"/>
    <s v="TRIVIAL"/>
  </r>
  <r>
    <s v="CHESAPEAKE EMPLOYEE"/>
    <x v="0"/>
    <x v="1"/>
    <x v="10"/>
    <s v="Y"/>
    <x v="16"/>
    <n v="17"/>
    <n v="680806"/>
    <n v="640216"/>
    <n v="6.3400477338898131"/>
    <n v="10"/>
    <n v="5"/>
    <s v="CAUTIONARY"/>
  </r>
  <r>
    <s v="CHESAPEAKE EMPLOYEE"/>
    <x v="0"/>
    <x v="1"/>
    <x v="11"/>
    <s v="Y"/>
    <x v="16"/>
    <n v="17"/>
    <n v="745655"/>
    <n v="736835"/>
    <n v="1.1970115426113037"/>
    <n v="10"/>
    <n v="5"/>
    <s v="TRIVIAL"/>
  </r>
  <r>
    <s v="CHESAPEAKE EMPLOYEE"/>
    <x v="0"/>
    <x v="1"/>
    <x v="12"/>
    <s v="N"/>
    <x v="16"/>
    <n v="17"/>
    <n v="880626"/>
    <n v="812736"/>
    <n v="8.3532660051972609"/>
    <n v="10"/>
    <n v="5"/>
    <s v="CAUTIONARY"/>
  </r>
  <r>
    <s v="CHESAPEAKE EMPLOYEE"/>
    <x v="0"/>
    <x v="1"/>
    <x v="13"/>
    <s v="N"/>
    <x v="16"/>
    <n v="17"/>
    <n v="774047"/>
    <n v="390577"/>
    <n v="98.180384405635763"/>
    <n v="10"/>
    <n v="5"/>
    <s v="CRITICAL"/>
  </r>
  <r>
    <s v="CHESAPEAKE EMPLOYEE"/>
    <x v="0"/>
    <x v="1"/>
    <x v="14"/>
    <s v="N"/>
    <x v="16"/>
    <n v="17"/>
    <n v="439609"/>
    <n v="0"/>
    <n v="100"/>
    <n v="10"/>
    <n v="5"/>
    <s v="CRITICAL"/>
  </r>
  <r>
    <s v="CHESAPEAKE EMPLOYEE"/>
    <x v="0"/>
    <x v="1"/>
    <x v="0"/>
    <s v="Y"/>
    <x v="17"/>
    <n v="18"/>
    <n v="372.14"/>
    <n v="372.14"/>
    <n v="0"/>
    <n v="10"/>
    <n v="5"/>
    <s v="PASSED"/>
  </r>
  <r>
    <s v="CHESAPEAKE EMPLOYEE"/>
    <x v="0"/>
    <x v="1"/>
    <x v="1"/>
    <s v="Y"/>
    <x v="17"/>
    <n v="18"/>
    <n v="380.74"/>
    <n v="380.74"/>
    <n v="0"/>
    <n v="10"/>
    <n v="5"/>
    <s v="PASSED"/>
  </r>
  <r>
    <s v="CHESAPEAKE EMPLOYEE"/>
    <x v="0"/>
    <x v="1"/>
    <x v="2"/>
    <s v="Y"/>
    <x v="17"/>
    <n v="18"/>
    <n v="379.05"/>
    <n v="379.05"/>
    <n v="0"/>
    <n v="10"/>
    <n v="5"/>
    <s v="PASSED"/>
  </r>
  <r>
    <s v="CHESAPEAKE EMPLOYEE"/>
    <x v="0"/>
    <x v="1"/>
    <x v="3"/>
    <s v="Y"/>
    <x v="17"/>
    <n v="18"/>
    <n v="384.76"/>
    <n v="384.76"/>
    <n v="0"/>
    <n v="10"/>
    <n v="5"/>
    <s v="PASSED"/>
  </r>
  <r>
    <s v="CHESAPEAKE EMPLOYEE"/>
    <x v="0"/>
    <x v="1"/>
    <x v="4"/>
    <s v="Y"/>
    <x v="17"/>
    <n v="18"/>
    <n v="386.07"/>
    <n v="385.49"/>
    <n v="0.15045785882901866"/>
    <n v="10"/>
    <n v="5"/>
    <s v="TRIVIAL"/>
  </r>
  <r>
    <s v="CHESAPEAKE EMPLOYEE"/>
    <x v="0"/>
    <x v="1"/>
    <x v="5"/>
    <s v="Y"/>
    <x v="17"/>
    <n v="18"/>
    <n v="387.47"/>
    <n v="386.53"/>
    <n v="0.24318940315112789"/>
    <n v="10"/>
    <n v="5"/>
    <s v="TRIVIAL"/>
  </r>
  <r>
    <s v="CHESAPEAKE EMPLOYEE"/>
    <x v="0"/>
    <x v="1"/>
    <x v="6"/>
    <s v="Y"/>
    <x v="17"/>
    <n v="18"/>
    <n v="382.3"/>
    <n v="381.74"/>
    <n v="0.14669670456331593"/>
    <n v="10"/>
    <n v="5"/>
    <s v="TRIVIAL"/>
  </r>
  <r>
    <s v="CHESAPEAKE EMPLOYEE"/>
    <x v="0"/>
    <x v="1"/>
    <x v="7"/>
    <s v="Y"/>
    <x v="17"/>
    <n v="18"/>
    <n v="379.35"/>
    <n v="378.1"/>
    <n v="0.33060037027241468"/>
    <n v="10"/>
    <n v="5"/>
    <s v="TRIVIAL"/>
  </r>
  <r>
    <s v="CHESAPEAKE EMPLOYEE"/>
    <x v="0"/>
    <x v="1"/>
    <x v="8"/>
    <s v="Y"/>
    <x v="17"/>
    <n v="18"/>
    <n v="381.73"/>
    <n v="380.63"/>
    <n v="0.28899456164780041"/>
    <n v="10"/>
    <n v="5"/>
    <s v="TRIVIAL"/>
  </r>
  <r>
    <s v="CHESAPEAKE EMPLOYEE"/>
    <x v="0"/>
    <x v="1"/>
    <x v="9"/>
    <s v="Y"/>
    <x v="17"/>
    <n v="18"/>
    <n v="382.23"/>
    <n v="379.8"/>
    <n v="0.63981042654028608"/>
    <n v="10"/>
    <n v="5"/>
    <s v="TRIVIAL"/>
  </r>
  <r>
    <s v="CHESAPEAKE EMPLOYEE"/>
    <x v="0"/>
    <x v="1"/>
    <x v="10"/>
    <s v="Y"/>
    <x v="17"/>
    <n v="18"/>
    <n v="370.36"/>
    <n v="367.95"/>
    <n v="0.65498029623590848"/>
    <n v="10"/>
    <n v="5"/>
    <s v="TRIVIAL"/>
  </r>
  <r>
    <s v="CHESAPEAKE EMPLOYEE"/>
    <x v="0"/>
    <x v="1"/>
    <x v="11"/>
    <s v="Y"/>
    <x v="17"/>
    <n v="18"/>
    <n v="374.09"/>
    <n v="371.07"/>
    <n v="0.81386261352305"/>
    <n v="10"/>
    <n v="5"/>
    <s v="TRIVIAL"/>
  </r>
  <r>
    <s v="CHESAPEAKE EMPLOYEE"/>
    <x v="0"/>
    <x v="1"/>
    <x v="12"/>
    <s v="N"/>
    <x v="17"/>
    <n v="18"/>
    <n v="377.28"/>
    <n v="372.72"/>
    <n v="1.2234385061171777"/>
    <n v="10"/>
    <n v="5"/>
    <s v="TRIVIAL"/>
  </r>
  <r>
    <s v="CHESAPEAKE EMPLOYEE"/>
    <x v="0"/>
    <x v="1"/>
    <x v="13"/>
    <s v="N"/>
    <x v="17"/>
    <n v="18"/>
    <n v="371.59"/>
    <n v="360.87"/>
    <n v="2.9705988306038105"/>
    <n v="10"/>
    <n v="5"/>
    <s v="TRIVIAL"/>
  </r>
  <r>
    <s v="CHESAPEAKE EMPLOYEE"/>
    <x v="0"/>
    <x v="1"/>
    <x v="14"/>
    <s v="N"/>
    <x v="17"/>
    <n v="18"/>
    <n v="366.49"/>
    <n v="0"/>
    <n v="100"/>
    <n v="10"/>
    <n v="5"/>
    <s v="CRITICAL"/>
  </r>
  <r>
    <s v="CHESAPEAKE EMPLOYEE"/>
    <x v="0"/>
    <x v="1"/>
    <x v="0"/>
    <s v="Y"/>
    <x v="18"/>
    <n v="19"/>
    <n v="363"/>
    <n v="360"/>
    <n v="0.83333333333333337"/>
    <n v="10"/>
    <n v="5"/>
    <s v="TRIVIAL"/>
  </r>
  <r>
    <s v="CHESAPEAKE EMPLOYEE"/>
    <x v="0"/>
    <x v="1"/>
    <x v="1"/>
    <s v="Y"/>
    <x v="18"/>
    <n v="19"/>
    <n v="335"/>
    <n v="335"/>
    <n v="0"/>
    <n v="10"/>
    <n v="5"/>
    <s v="PASSED"/>
  </r>
  <r>
    <s v="CHESAPEAKE EMPLOYEE"/>
    <x v="0"/>
    <x v="1"/>
    <x v="2"/>
    <s v="Y"/>
    <x v="18"/>
    <n v="19"/>
    <n v="286"/>
    <n v="223"/>
    <n v="28.251121076233183"/>
    <n v="10"/>
    <n v="5"/>
    <s v="CRITICAL"/>
  </r>
  <r>
    <s v="CHESAPEAKE EMPLOYEE"/>
    <x v="0"/>
    <x v="1"/>
    <x v="3"/>
    <s v="Y"/>
    <x v="18"/>
    <n v="19"/>
    <n v="372"/>
    <n v="372"/>
    <n v="0"/>
    <n v="10"/>
    <n v="5"/>
    <s v="PASSED"/>
  </r>
  <r>
    <s v="CHESAPEAKE EMPLOYEE"/>
    <x v="0"/>
    <x v="1"/>
    <x v="4"/>
    <s v="Y"/>
    <x v="18"/>
    <n v="19"/>
    <n v="271"/>
    <n v="271"/>
    <n v="0"/>
    <n v="10"/>
    <n v="5"/>
    <s v="PASSED"/>
  </r>
  <r>
    <s v="CHESAPEAKE EMPLOYEE"/>
    <x v="0"/>
    <x v="1"/>
    <x v="5"/>
    <s v="Y"/>
    <x v="18"/>
    <n v="19"/>
    <n v="279"/>
    <n v="277"/>
    <n v="0.72202166064981954"/>
    <n v="10"/>
    <n v="5"/>
    <s v="TRIVIAL"/>
  </r>
  <r>
    <s v="CHESAPEAKE EMPLOYEE"/>
    <x v="0"/>
    <x v="1"/>
    <x v="6"/>
    <s v="Y"/>
    <x v="18"/>
    <n v="19"/>
    <n v="302"/>
    <n v="302"/>
    <n v="0"/>
    <n v="10"/>
    <n v="5"/>
    <s v="PASSED"/>
  </r>
  <r>
    <s v="CHESAPEAKE EMPLOYEE"/>
    <x v="0"/>
    <x v="1"/>
    <x v="7"/>
    <s v="Y"/>
    <x v="18"/>
    <n v="19"/>
    <n v="787"/>
    <n v="787"/>
    <n v="0"/>
    <n v="10"/>
    <n v="5"/>
    <s v="PASSED"/>
  </r>
  <r>
    <s v="CHESAPEAKE EMPLOYEE"/>
    <x v="0"/>
    <x v="1"/>
    <x v="8"/>
    <s v="Y"/>
    <x v="18"/>
    <n v="19"/>
    <n v="466"/>
    <n v="469"/>
    <n v="0.63965884861407252"/>
    <n v="10"/>
    <n v="5"/>
    <s v="TRIVIAL"/>
  </r>
  <r>
    <s v="CHESAPEAKE EMPLOYEE"/>
    <x v="0"/>
    <x v="1"/>
    <x v="9"/>
    <s v="Y"/>
    <x v="18"/>
    <n v="19"/>
    <n v="133"/>
    <n v="138"/>
    <n v="3.6231884057971016"/>
    <n v="10"/>
    <n v="5"/>
    <s v="TRIVIAL"/>
  </r>
  <r>
    <s v="CHESAPEAKE EMPLOYEE"/>
    <x v="0"/>
    <x v="1"/>
    <x v="10"/>
    <s v="Y"/>
    <x v="18"/>
    <n v="19"/>
    <n v="141"/>
    <n v="86"/>
    <n v="63.953488372093027"/>
    <n v="10"/>
    <n v="5"/>
    <s v="CRITICAL"/>
  </r>
  <r>
    <s v="CHESAPEAKE EMPLOYEE"/>
    <x v="0"/>
    <x v="1"/>
    <x v="11"/>
    <s v="Y"/>
    <x v="18"/>
    <n v="19"/>
    <n v="175"/>
    <n v="175"/>
    <n v="0"/>
    <n v="10"/>
    <n v="5"/>
    <s v="PASSED"/>
  </r>
  <r>
    <s v="CHESAPEAKE EMPLOYEE"/>
    <x v="0"/>
    <x v="1"/>
    <x v="12"/>
    <s v="N"/>
    <x v="18"/>
    <n v="19"/>
    <n v="125"/>
    <n v="115"/>
    <n v="8.695652173913043"/>
    <n v="10"/>
    <n v="5"/>
    <s v="CAUTIONARY"/>
  </r>
  <r>
    <s v="CHESAPEAKE EMPLOYEE"/>
    <x v="0"/>
    <x v="1"/>
    <x v="13"/>
    <s v="N"/>
    <x v="18"/>
    <n v="19"/>
    <n v="115"/>
    <n v="43"/>
    <n v="167.44186046511629"/>
    <n v="10"/>
    <n v="5"/>
    <s v="CRITICAL"/>
  </r>
  <r>
    <s v="CHESAPEAKE EMPLOYEE"/>
    <x v="0"/>
    <x v="1"/>
    <x v="14"/>
    <s v="N"/>
    <x v="18"/>
    <n v="19"/>
    <n v="43"/>
    <n v="0"/>
    <n v="100"/>
    <n v="10"/>
    <n v="5"/>
    <s v="CRITICAL"/>
  </r>
  <r>
    <s v="CHESAPEAKE EMPLOYEE"/>
    <x v="0"/>
    <x v="1"/>
    <x v="0"/>
    <s v="Y"/>
    <x v="19"/>
    <n v="20"/>
    <n v="3001"/>
    <n v="2992"/>
    <n v="0.30080213903743314"/>
    <n v="10"/>
    <n v="5"/>
    <s v="TRIVIAL"/>
  </r>
  <r>
    <s v="CHESAPEAKE EMPLOYEE"/>
    <x v="0"/>
    <x v="1"/>
    <x v="1"/>
    <s v="Y"/>
    <x v="19"/>
    <n v="20"/>
    <n v="2908"/>
    <n v="2889"/>
    <n v="0.65766701280719975"/>
    <n v="10"/>
    <n v="5"/>
    <s v="TRIVIAL"/>
  </r>
  <r>
    <s v="CHESAPEAKE EMPLOYEE"/>
    <x v="0"/>
    <x v="1"/>
    <x v="2"/>
    <s v="Y"/>
    <x v="19"/>
    <n v="20"/>
    <n v="2729"/>
    <n v="2728"/>
    <n v="3.6656891495601175E-2"/>
    <n v="10"/>
    <n v="5"/>
    <s v="TRIVIAL"/>
  </r>
  <r>
    <s v="CHESAPEAKE EMPLOYEE"/>
    <x v="0"/>
    <x v="1"/>
    <x v="3"/>
    <s v="Y"/>
    <x v="19"/>
    <n v="20"/>
    <n v="2656"/>
    <n v="2636"/>
    <n v="0.75872534142640369"/>
    <n v="10"/>
    <n v="5"/>
    <s v="TRIVIAL"/>
  </r>
  <r>
    <s v="CHESAPEAKE EMPLOYEE"/>
    <x v="0"/>
    <x v="1"/>
    <x v="4"/>
    <s v="Y"/>
    <x v="19"/>
    <n v="20"/>
    <n v="2304"/>
    <n v="2250"/>
    <n v="2.4"/>
    <n v="10"/>
    <n v="5"/>
    <s v="TRIVIAL"/>
  </r>
  <r>
    <s v="CHESAPEAKE EMPLOYEE"/>
    <x v="0"/>
    <x v="1"/>
    <x v="5"/>
    <s v="Y"/>
    <x v="19"/>
    <n v="20"/>
    <n v="2237"/>
    <n v="2124"/>
    <n v="5.3201506591337102"/>
    <n v="10"/>
    <n v="5"/>
    <s v="CAUTIONARY"/>
  </r>
  <r>
    <s v="CHESAPEAKE EMPLOYEE"/>
    <x v="0"/>
    <x v="1"/>
    <x v="6"/>
    <s v="Y"/>
    <x v="19"/>
    <n v="20"/>
    <n v="2097"/>
    <n v="2028"/>
    <n v="3.4023668639053253"/>
    <n v="10"/>
    <n v="5"/>
    <s v="TRIVIAL"/>
  </r>
  <r>
    <s v="CHESAPEAKE EMPLOYEE"/>
    <x v="0"/>
    <x v="1"/>
    <x v="7"/>
    <s v="Y"/>
    <x v="19"/>
    <n v="20"/>
    <n v="2273"/>
    <n v="2262"/>
    <n v="0.48629531388152081"/>
    <n v="10"/>
    <n v="5"/>
    <s v="TRIVIAL"/>
  </r>
  <r>
    <s v="CHESAPEAKE EMPLOYEE"/>
    <x v="0"/>
    <x v="1"/>
    <x v="8"/>
    <s v="Y"/>
    <x v="19"/>
    <n v="20"/>
    <n v="2761"/>
    <n v="2700"/>
    <n v="2.2592592592592591"/>
    <n v="10"/>
    <n v="5"/>
    <s v="TRIVIAL"/>
  </r>
  <r>
    <s v="CHESAPEAKE EMPLOYEE"/>
    <x v="0"/>
    <x v="1"/>
    <x v="9"/>
    <s v="Y"/>
    <x v="19"/>
    <n v="20"/>
    <n v="2657"/>
    <n v="2601"/>
    <n v="2.1530180699730872"/>
    <n v="10"/>
    <n v="5"/>
    <s v="TRIVIAL"/>
  </r>
  <r>
    <s v="CHESAPEAKE EMPLOYEE"/>
    <x v="0"/>
    <x v="1"/>
    <x v="10"/>
    <s v="Y"/>
    <x v="19"/>
    <n v="20"/>
    <n v="2419"/>
    <n v="2258"/>
    <n v="7.1302037201062891"/>
    <n v="10"/>
    <n v="5"/>
    <s v="CAUTIONARY"/>
  </r>
  <r>
    <s v="CHESAPEAKE EMPLOYEE"/>
    <x v="0"/>
    <x v="1"/>
    <x v="11"/>
    <s v="Y"/>
    <x v="19"/>
    <n v="20"/>
    <n v="1874"/>
    <n v="1805"/>
    <n v="3.8227146814404431"/>
    <n v="10"/>
    <n v="5"/>
    <s v="TRIVIAL"/>
  </r>
  <r>
    <s v="CHESAPEAKE EMPLOYEE"/>
    <x v="0"/>
    <x v="1"/>
    <x v="12"/>
    <s v="N"/>
    <x v="19"/>
    <n v="20"/>
    <n v="2551"/>
    <n v="2133"/>
    <n v="19.596812001875293"/>
    <n v="10"/>
    <n v="5"/>
    <s v="CRITICAL"/>
  </r>
  <r>
    <s v="CHESAPEAKE EMPLOYEE"/>
    <x v="0"/>
    <x v="1"/>
    <x v="13"/>
    <s v="N"/>
    <x v="19"/>
    <n v="20"/>
    <n v="1490"/>
    <n v="446"/>
    <n v="234.08071748878925"/>
    <n v="10"/>
    <n v="5"/>
    <s v="CRITICAL"/>
  </r>
  <r>
    <s v="CHESAPEAKE EMPLOYEE"/>
    <x v="0"/>
    <x v="1"/>
    <x v="14"/>
    <s v="N"/>
    <x v="19"/>
    <n v="20"/>
    <n v="879"/>
    <n v="0"/>
    <n v="100"/>
    <n v="10"/>
    <n v="5"/>
    <s v="CRITICAL"/>
  </r>
  <r>
    <s v="CHESAPEAKE EMPLOYEE"/>
    <x v="0"/>
    <x v="1"/>
    <x v="0"/>
    <s v="Y"/>
    <x v="20"/>
    <n v="21"/>
    <n v="4263"/>
    <n v="4255"/>
    <n v="0.18801410105757932"/>
    <n v="10"/>
    <n v="5"/>
    <s v="TRIVIAL"/>
  </r>
  <r>
    <s v="CHESAPEAKE EMPLOYEE"/>
    <x v="0"/>
    <x v="1"/>
    <x v="1"/>
    <s v="Y"/>
    <x v="20"/>
    <n v="21"/>
    <n v="3986"/>
    <n v="3966"/>
    <n v="0.50428643469490664"/>
    <n v="10"/>
    <n v="5"/>
    <s v="TRIVIAL"/>
  </r>
  <r>
    <s v="CHESAPEAKE EMPLOYEE"/>
    <x v="0"/>
    <x v="1"/>
    <x v="2"/>
    <s v="Y"/>
    <x v="20"/>
    <n v="21"/>
    <n v="3838"/>
    <n v="3819"/>
    <n v="0.49751243781094528"/>
    <n v="10"/>
    <n v="5"/>
    <s v="TRIVIAL"/>
  </r>
  <r>
    <s v="CHESAPEAKE EMPLOYEE"/>
    <x v="0"/>
    <x v="1"/>
    <x v="3"/>
    <s v="Y"/>
    <x v="20"/>
    <n v="21"/>
    <n v="4256"/>
    <n v="4244"/>
    <n v="0.28275212064090482"/>
    <n v="10"/>
    <n v="5"/>
    <s v="TRIVIAL"/>
  </r>
  <r>
    <s v="CHESAPEAKE EMPLOYEE"/>
    <x v="0"/>
    <x v="1"/>
    <x v="4"/>
    <s v="Y"/>
    <x v="20"/>
    <n v="21"/>
    <n v="3421"/>
    <n v="3409"/>
    <n v="0.35200938691698441"/>
    <n v="10"/>
    <n v="5"/>
    <s v="TRIVIAL"/>
  </r>
  <r>
    <s v="CHESAPEAKE EMPLOYEE"/>
    <x v="0"/>
    <x v="1"/>
    <x v="5"/>
    <s v="Y"/>
    <x v="20"/>
    <n v="21"/>
    <n v="3617"/>
    <n v="3603"/>
    <n v="0.38856508465167916"/>
    <n v="10"/>
    <n v="5"/>
    <s v="TRIVIAL"/>
  </r>
  <r>
    <s v="CHESAPEAKE EMPLOYEE"/>
    <x v="0"/>
    <x v="1"/>
    <x v="6"/>
    <s v="Y"/>
    <x v="20"/>
    <n v="21"/>
    <n v="3684"/>
    <n v="3673"/>
    <n v="0.29948271167982576"/>
    <n v="10"/>
    <n v="5"/>
    <s v="TRIVIAL"/>
  </r>
  <r>
    <s v="CHESAPEAKE EMPLOYEE"/>
    <x v="0"/>
    <x v="1"/>
    <x v="7"/>
    <s v="Y"/>
    <x v="20"/>
    <n v="21"/>
    <n v="4251"/>
    <n v="4163"/>
    <n v="2.1138601969733366"/>
    <n v="10"/>
    <n v="5"/>
    <s v="TRIVIAL"/>
  </r>
  <r>
    <s v="CHESAPEAKE EMPLOYEE"/>
    <x v="0"/>
    <x v="1"/>
    <x v="8"/>
    <s v="Y"/>
    <x v="20"/>
    <n v="21"/>
    <n v="3882"/>
    <n v="3832"/>
    <n v="1.3048016701461378"/>
    <n v="10"/>
    <n v="5"/>
    <s v="TRIVIAL"/>
  </r>
  <r>
    <s v="CHESAPEAKE EMPLOYEE"/>
    <x v="0"/>
    <x v="1"/>
    <x v="9"/>
    <s v="Y"/>
    <x v="20"/>
    <n v="21"/>
    <n v="3844"/>
    <n v="3802"/>
    <n v="1.1046817464492371"/>
    <n v="10"/>
    <n v="5"/>
    <s v="TRIVIAL"/>
  </r>
  <r>
    <s v="CHESAPEAKE EMPLOYEE"/>
    <x v="0"/>
    <x v="1"/>
    <x v="10"/>
    <s v="Y"/>
    <x v="20"/>
    <n v="21"/>
    <n v="3622"/>
    <n v="3540"/>
    <n v="2.3163841807909606"/>
    <n v="10"/>
    <n v="5"/>
    <s v="TRIVIAL"/>
  </r>
  <r>
    <s v="CHESAPEAKE EMPLOYEE"/>
    <x v="0"/>
    <x v="1"/>
    <x v="11"/>
    <s v="Y"/>
    <x v="20"/>
    <n v="21"/>
    <n v="3788"/>
    <n v="3674"/>
    <n v="3.1028851388132823"/>
    <n v="10"/>
    <n v="5"/>
    <s v="TRIVIAL"/>
  </r>
  <r>
    <s v="CHESAPEAKE EMPLOYEE"/>
    <x v="0"/>
    <x v="1"/>
    <x v="12"/>
    <s v="N"/>
    <x v="20"/>
    <n v="21"/>
    <n v="4578"/>
    <n v="4232"/>
    <n v="8.175803402646503"/>
    <n v="10"/>
    <n v="5"/>
    <s v="CAUTIONARY"/>
  </r>
  <r>
    <s v="CHESAPEAKE EMPLOYEE"/>
    <x v="0"/>
    <x v="1"/>
    <x v="13"/>
    <s v="N"/>
    <x v="20"/>
    <n v="21"/>
    <n v="3293"/>
    <n v="1298"/>
    <n v="153.69799691833589"/>
    <n v="10"/>
    <n v="5"/>
    <s v="CRITICAL"/>
  </r>
  <r>
    <s v="CHESAPEAKE EMPLOYEE"/>
    <x v="0"/>
    <x v="1"/>
    <x v="14"/>
    <s v="N"/>
    <x v="20"/>
    <n v="21"/>
    <n v="2046"/>
    <n v="0"/>
    <n v="100"/>
    <n v="10"/>
    <n v="5"/>
    <s v="CRITICAL"/>
  </r>
  <r>
    <s v="CHESAPEAKE EMPLOYEE"/>
    <x v="0"/>
    <x v="1"/>
    <x v="0"/>
    <s v="Y"/>
    <x v="21"/>
    <n v="22"/>
    <n v="208"/>
    <n v="212"/>
    <n v="1.8867924528301887"/>
    <n v="10"/>
    <n v="5"/>
    <s v="TRIVIAL"/>
  </r>
  <r>
    <s v="CHESAPEAKE EMPLOYEE"/>
    <x v="0"/>
    <x v="1"/>
    <x v="1"/>
    <s v="Y"/>
    <x v="21"/>
    <n v="22"/>
    <n v="171"/>
    <n v="183"/>
    <n v="6.557377049180328"/>
    <n v="10"/>
    <n v="5"/>
    <s v="CAUTIONARY"/>
  </r>
  <r>
    <s v="CHESAPEAKE EMPLOYEE"/>
    <x v="0"/>
    <x v="1"/>
    <x v="2"/>
    <s v="Y"/>
    <x v="21"/>
    <n v="22"/>
    <n v="196"/>
    <n v="204"/>
    <n v="3.9215686274509802"/>
    <n v="10"/>
    <n v="5"/>
    <s v="TRIVIAL"/>
  </r>
  <r>
    <s v="CHESAPEAKE EMPLOYEE"/>
    <x v="0"/>
    <x v="1"/>
    <x v="3"/>
    <s v="Y"/>
    <x v="21"/>
    <n v="22"/>
    <n v="230"/>
    <n v="233"/>
    <n v="1.2875536480686696"/>
    <n v="10"/>
    <n v="5"/>
    <s v="TRIVIAL"/>
  </r>
  <r>
    <s v="CHESAPEAKE EMPLOYEE"/>
    <x v="0"/>
    <x v="1"/>
    <x v="4"/>
    <s v="Y"/>
    <x v="21"/>
    <n v="22"/>
    <n v="215"/>
    <n v="218"/>
    <n v="1.3761467889908259"/>
    <n v="10"/>
    <n v="5"/>
    <s v="TRIVIAL"/>
  </r>
  <r>
    <s v="CHESAPEAKE EMPLOYEE"/>
    <x v="0"/>
    <x v="1"/>
    <x v="5"/>
    <s v="Y"/>
    <x v="21"/>
    <n v="22"/>
    <n v="318"/>
    <n v="321"/>
    <n v="0.93457943925233633"/>
    <n v="10"/>
    <n v="5"/>
    <s v="TRIVIAL"/>
  </r>
  <r>
    <s v="CHESAPEAKE EMPLOYEE"/>
    <x v="0"/>
    <x v="1"/>
    <x v="6"/>
    <s v="Y"/>
    <x v="21"/>
    <n v="22"/>
    <n v="299"/>
    <n v="287"/>
    <n v="4.1811846689895473"/>
    <n v="10"/>
    <n v="5"/>
    <s v="TRIVIAL"/>
  </r>
  <r>
    <s v="CHESAPEAKE EMPLOYEE"/>
    <x v="0"/>
    <x v="1"/>
    <x v="7"/>
    <s v="Y"/>
    <x v="21"/>
    <n v="22"/>
    <n v="352"/>
    <n v="368"/>
    <n v="4.3478260869565215"/>
    <n v="10"/>
    <n v="5"/>
    <s v="TRIVIAL"/>
  </r>
  <r>
    <s v="CHESAPEAKE EMPLOYEE"/>
    <x v="0"/>
    <x v="1"/>
    <x v="8"/>
    <s v="Y"/>
    <x v="21"/>
    <n v="22"/>
    <n v="365"/>
    <n v="386"/>
    <n v="5.4404145077720205"/>
    <n v="10"/>
    <n v="5"/>
    <s v="CAUTIONARY"/>
  </r>
  <r>
    <s v="CHESAPEAKE EMPLOYEE"/>
    <x v="0"/>
    <x v="1"/>
    <x v="9"/>
    <s v="Y"/>
    <x v="21"/>
    <n v="22"/>
    <n v="300"/>
    <n v="304"/>
    <n v="1.3157894736842104"/>
    <n v="10"/>
    <n v="5"/>
    <s v="TRIVIAL"/>
  </r>
  <r>
    <s v="CHESAPEAKE EMPLOYEE"/>
    <x v="0"/>
    <x v="1"/>
    <x v="10"/>
    <s v="Y"/>
    <x v="21"/>
    <n v="22"/>
    <n v="306"/>
    <n v="309"/>
    <n v="0.97087378640776689"/>
    <n v="10"/>
    <n v="5"/>
    <s v="TRIVIAL"/>
  </r>
  <r>
    <s v="CHESAPEAKE EMPLOYEE"/>
    <x v="0"/>
    <x v="1"/>
    <x v="11"/>
    <s v="Y"/>
    <x v="21"/>
    <n v="22"/>
    <n v="377"/>
    <n v="323"/>
    <n v="16.718266253869967"/>
    <n v="10"/>
    <n v="5"/>
    <s v="CRITICAL"/>
  </r>
  <r>
    <s v="CHESAPEAKE EMPLOYEE"/>
    <x v="0"/>
    <x v="1"/>
    <x v="12"/>
    <s v="N"/>
    <x v="21"/>
    <n v="22"/>
    <n v="268"/>
    <n v="241"/>
    <n v="11.20331950207469"/>
    <n v="10"/>
    <n v="5"/>
    <s v="CRITICAL"/>
  </r>
  <r>
    <s v="CHESAPEAKE EMPLOYEE"/>
    <x v="0"/>
    <x v="1"/>
    <x v="13"/>
    <s v="N"/>
    <x v="21"/>
    <n v="22"/>
    <n v="191"/>
    <n v="85"/>
    <n v="124.70588235294117"/>
    <n v="10"/>
    <n v="5"/>
    <s v="CRITICAL"/>
  </r>
  <r>
    <s v="CHESAPEAKE EMPLOYEE"/>
    <x v="0"/>
    <x v="1"/>
    <x v="14"/>
    <s v="N"/>
    <x v="21"/>
    <n v="22"/>
    <n v="143"/>
    <n v="0"/>
    <n v="100"/>
    <n v="10"/>
    <n v="5"/>
    <s v="CRITICAL"/>
  </r>
  <r>
    <s v="CHESAPEAKE EMPLOYEE"/>
    <x v="0"/>
    <x v="1"/>
    <x v="0"/>
    <s v="Y"/>
    <x v="22"/>
    <n v="23"/>
    <n v="4529"/>
    <n v="4529"/>
    <n v="0"/>
    <n v="10"/>
    <n v="5"/>
    <s v="PASSED"/>
  </r>
  <r>
    <s v="CHESAPEAKE EMPLOYEE"/>
    <x v="0"/>
    <x v="1"/>
    <x v="1"/>
    <s v="Y"/>
    <x v="22"/>
    <n v="23"/>
    <n v="4099"/>
    <n v="4099"/>
    <n v="0"/>
    <n v="10"/>
    <n v="5"/>
    <s v="PASSED"/>
  </r>
  <r>
    <s v="CHESAPEAKE EMPLOYEE"/>
    <x v="0"/>
    <x v="1"/>
    <x v="2"/>
    <s v="Y"/>
    <x v="22"/>
    <n v="23"/>
    <n v="4095"/>
    <n v="4095"/>
    <n v="0"/>
    <n v="10"/>
    <n v="5"/>
    <s v="PASSED"/>
  </r>
  <r>
    <s v="CHESAPEAKE EMPLOYEE"/>
    <x v="0"/>
    <x v="1"/>
    <x v="3"/>
    <s v="Y"/>
    <x v="22"/>
    <n v="23"/>
    <n v="4097"/>
    <n v="4096"/>
    <n v="2.44140625E-2"/>
    <n v="10"/>
    <n v="5"/>
    <s v="TRIVIAL"/>
  </r>
  <r>
    <s v="CHESAPEAKE EMPLOYEE"/>
    <x v="0"/>
    <x v="1"/>
    <x v="4"/>
    <s v="Y"/>
    <x v="22"/>
    <n v="23"/>
    <n v="3653"/>
    <n v="3653"/>
    <n v="0"/>
    <n v="10"/>
    <n v="5"/>
    <s v="PASSED"/>
  </r>
  <r>
    <s v="CHESAPEAKE EMPLOYEE"/>
    <x v="0"/>
    <x v="1"/>
    <x v="5"/>
    <s v="Y"/>
    <x v="22"/>
    <n v="23"/>
    <n v="3958"/>
    <n v="3957"/>
    <n v="2.5271670457417232E-2"/>
    <n v="10"/>
    <n v="5"/>
    <s v="TRIVIAL"/>
  </r>
  <r>
    <s v="CHESAPEAKE EMPLOYEE"/>
    <x v="0"/>
    <x v="1"/>
    <x v="6"/>
    <s v="Y"/>
    <x v="22"/>
    <n v="23"/>
    <n v="3845"/>
    <n v="3845"/>
    <n v="0"/>
    <n v="10"/>
    <n v="5"/>
    <s v="PASSED"/>
  </r>
  <r>
    <s v="CHESAPEAKE EMPLOYEE"/>
    <x v="0"/>
    <x v="1"/>
    <x v="7"/>
    <s v="Y"/>
    <x v="22"/>
    <n v="23"/>
    <n v="3944"/>
    <n v="3944"/>
    <n v="0"/>
    <n v="10"/>
    <n v="5"/>
    <s v="PASSED"/>
  </r>
  <r>
    <s v="CHESAPEAKE EMPLOYEE"/>
    <x v="0"/>
    <x v="1"/>
    <x v="8"/>
    <s v="Y"/>
    <x v="22"/>
    <n v="23"/>
    <n v="4135"/>
    <n v="4135"/>
    <n v="0"/>
    <n v="10"/>
    <n v="5"/>
    <s v="PASSED"/>
  </r>
  <r>
    <s v="CHESAPEAKE EMPLOYEE"/>
    <x v="0"/>
    <x v="1"/>
    <x v="9"/>
    <s v="Y"/>
    <x v="22"/>
    <n v="23"/>
    <n v="4402"/>
    <n v="4400"/>
    <n v="4.5454545454545456E-2"/>
    <n v="10"/>
    <n v="5"/>
    <s v="TRIVIAL"/>
  </r>
  <r>
    <s v="CHESAPEAKE EMPLOYEE"/>
    <x v="0"/>
    <x v="1"/>
    <x v="10"/>
    <s v="Y"/>
    <x v="22"/>
    <n v="23"/>
    <n v="4347"/>
    <n v="4346"/>
    <n v="2.3009664058904741E-2"/>
    <n v="10"/>
    <n v="5"/>
    <s v="TRIVIAL"/>
  </r>
  <r>
    <s v="CHESAPEAKE EMPLOYEE"/>
    <x v="0"/>
    <x v="1"/>
    <x v="11"/>
    <s v="Y"/>
    <x v="22"/>
    <n v="23"/>
    <n v="3951"/>
    <n v="3952"/>
    <n v="2.5303643724696356E-2"/>
    <n v="10"/>
    <n v="5"/>
    <s v="TRIVIAL"/>
  </r>
  <r>
    <s v="CHESAPEAKE EMPLOYEE"/>
    <x v="0"/>
    <x v="1"/>
    <x v="12"/>
    <s v="N"/>
    <x v="22"/>
    <n v="23"/>
    <n v="4433"/>
    <n v="4498"/>
    <n v="1.4450867052023122"/>
    <n v="10"/>
    <n v="5"/>
    <s v="TRIVIAL"/>
  </r>
  <r>
    <s v="CHESAPEAKE EMPLOYEE"/>
    <x v="0"/>
    <x v="1"/>
    <x v="13"/>
    <s v="N"/>
    <x v="22"/>
    <n v="23"/>
    <n v="3978"/>
    <n v="3147"/>
    <n v="26.406101048617732"/>
    <n v="10"/>
    <n v="5"/>
    <s v="CRITICAL"/>
  </r>
  <r>
    <s v="CHESAPEAKE EMPLOYEE"/>
    <x v="0"/>
    <x v="1"/>
    <x v="14"/>
    <s v="N"/>
    <x v="22"/>
    <n v="23"/>
    <n v="2812"/>
    <n v="0"/>
    <n v="100"/>
    <n v="10"/>
    <n v="5"/>
    <s v="CRITICAL"/>
  </r>
</pivotCacheRecords>
</file>

<file path=xl/pivotCache/pivotCacheRecords2.xml><?xml version="1.0" encoding="utf-8"?>
<pivotCacheRecords xmlns="http://schemas.openxmlformats.org/spreadsheetml/2006/main" xmlns:r="http://schemas.openxmlformats.org/officeDocument/2006/relationships" count="10">
  <r>
    <s v="CHESAPEAKE EMPLOYEE"/>
    <x v="0"/>
    <x v="0"/>
    <x v="0"/>
    <n v="1167603.92"/>
    <n v="1125322.69"/>
    <n v="1115625.02"/>
    <n v="1068217.94"/>
  </r>
  <r>
    <s v="CHESAPEAKE EMPLOYEE"/>
    <x v="0"/>
    <x v="0"/>
    <x v="1"/>
    <n v="2380787.23"/>
    <n v="2277707.59"/>
    <n v="2406984.88"/>
    <n v="2197563.37"/>
  </r>
  <r>
    <s v="CHESAPEAKE EMPLOYEE"/>
    <x v="0"/>
    <x v="0"/>
    <x v="2"/>
    <n v="4237391.9400000004"/>
    <n v="3646264.42"/>
    <n v="3769274.65"/>
    <n v="3469382.07"/>
  </r>
  <r>
    <s v="CHESAPEAKE EMPLOYEE"/>
    <x v="0"/>
    <x v="0"/>
    <x v="3"/>
    <n v="6341718.04"/>
    <n v="5621674.6600000001"/>
    <n v="5159599.5199999996"/>
    <n v="4027103.76"/>
  </r>
  <r>
    <s v="CHESAPEAKE EMPLOYEE"/>
    <x v="0"/>
    <x v="0"/>
    <x v="4"/>
    <n v="8041989.9500000002"/>
    <n v="6272675.8399999999"/>
    <e v="#N/A"/>
    <e v="#N/A"/>
  </r>
  <r>
    <s v="CHESAPEAKE EMPLOYEE"/>
    <x v="0"/>
    <x v="1"/>
    <x v="0"/>
    <n v="911060.52"/>
    <n v="874873.92"/>
    <n v="856729.56"/>
    <n v="818439.42"/>
  </r>
  <r>
    <s v="CHESAPEAKE EMPLOYEE"/>
    <x v="0"/>
    <x v="1"/>
    <x v="1"/>
    <n v="1913468.81"/>
    <n v="1823278.18"/>
    <n v="1921662.97"/>
    <n v="1747383.26"/>
  </r>
  <r>
    <s v="CHESAPEAKE EMPLOYEE"/>
    <x v="0"/>
    <x v="1"/>
    <x v="2"/>
    <n v="3443289.19"/>
    <n v="2935612.31"/>
    <n v="3018962.96"/>
    <n v="2772253.66"/>
  </r>
  <r>
    <s v="CHESAPEAKE EMPLOYEE"/>
    <x v="0"/>
    <x v="1"/>
    <x v="3"/>
    <n v="5329372.46"/>
    <n v="4724547.3"/>
    <n v="4132049.3"/>
    <n v="3241845.27"/>
  </r>
  <r>
    <s v="CHESAPEAKE EMPLOYEE"/>
    <x v="0"/>
    <x v="1"/>
    <x v="4"/>
    <n v="6743573.7599999998"/>
    <n v="5270779.0999999996"/>
    <e v="#N/A"/>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C17" firstHeaderRow="0" firstDataRow="1" firstDataCol="1"/>
  <pivotFields count="13">
    <pivotField showAll="0"/>
    <pivotField showAll="0" defaultSubtotal="0">
      <items count="2">
        <item x="0"/>
        <item h="1" m="1" x="1"/>
      </items>
    </pivotField>
    <pivotField showAll="0">
      <items count="4">
        <item x="0"/>
        <item h="1" x="1"/>
        <item h="1" m="1" x="2"/>
        <item t="default"/>
      </items>
    </pivotField>
    <pivotField axis="axisRow" showAll="0" sortType="ascending">
      <items count="35">
        <item m="1" x="28"/>
        <item m="1" x="30"/>
        <item m="1" x="32"/>
        <item m="1" x="16"/>
        <item m="1" x="18"/>
        <item m="1" x="19"/>
        <item m="1" x="20"/>
        <item m="1" x="23"/>
        <item m="1" x="25"/>
        <item m="1" x="27"/>
        <item m="1" x="21"/>
        <item m="1" x="22"/>
        <item m="1" x="24"/>
        <item m="1" x="26"/>
        <item m="1" x="29"/>
        <item m="1" x="31"/>
        <item m="1" x="33"/>
        <item m="1" x="17"/>
        <item x="0"/>
        <item x="1"/>
        <item x="2"/>
        <item x="3"/>
        <item x="4"/>
        <item x="5"/>
        <item x="6"/>
        <item x="7"/>
        <item x="8"/>
        <item x="9"/>
        <item x="10"/>
        <item x="11"/>
        <item x="12"/>
        <item x="13"/>
        <item x="14"/>
        <item m="1" x="15"/>
        <item t="default"/>
      </items>
    </pivotField>
    <pivotField showAll="0"/>
    <pivotField showAll="0">
      <items count="26">
        <item x="21"/>
        <item h="1" x="5"/>
        <item h="1" x="6"/>
        <item h="1" x="16"/>
        <item h="1" x="17"/>
        <item h="1" x="15"/>
        <item h="1" x="14"/>
        <item h="1" x="22"/>
        <item h="1" x="1"/>
        <item h="1" x="12"/>
        <item h="1" x="13"/>
        <item h="1" x="9"/>
        <item h="1" x="8"/>
        <item h="1" m="1" x="24"/>
        <item h="1" x="18"/>
        <item h="1" x="0"/>
        <item h="1" x="11"/>
        <item h="1" x="10"/>
        <item h="1" x="19"/>
        <item h="1" x="7"/>
        <item h="1" x="2"/>
        <item h="1" x="20"/>
        <item h="1" x="3"/>
        <item h="1" x="4"/>
        <item h="1" m="1" x="23"/>
        <item t="default"/>
      </items>
    </pivotField>
    <pivotField showAll="0"/>
    <pivotField dataField="1" showAll="0"/>
    <pivotField dataField="1" showAll="0"/>
    <pivotField showAll="0" defaultSubtotal="0"/>
    <pivotField showAll="0" defaultSubtotal="0"/>
    <pivotField showAll="0" defaultSubtotal="0"/>
    <pivotField showAll="0" defaultSubtotal="0"/>
  </pivotFields>
  <rowFields count="1">
    <field x="3"/>
  </rowFields>
  <rowItems count="16">
    <i>
      <x v="18"/>
    </i>
    <i>
      <x v="19"/>
    </i>
    <i>
      <x v="20"/>
    </i>
    <i>
      <x v="21"/>
    </i>
    <i>
      <x v="22"/>
    </i>
    <i>
      <x v="23"/>
    </i>
    <i>
      <x v="24"/>
    </i>
    <i>
      <x v="25"/>
    </i>
    <i>
      <x v="26"/>
    </i>
    <i>
      <x v="27"/>
    </i>
    <i>
      <x v="28"/>
    </i>
    <i>
      <x v="29"/>
    </i>
    <i>
      <x v="30"/>
    </i>
    <i>
      <x v="31"/>
    </i>
    <i>
      <x v="32"/>
    </i>
    <i t="grand">
      <x/>
    </i>
  </rowItems>
  <colFields count="1">
    <field x="-2"/>
  </colFields>
  <colItems count="2">
    <i>
      <x/>
    </i>
    <i i="1">
      <x v="1"/>
    </i>
  </colItems>
  <dataFields count="2">
    <dataField name="Production" fld="8" baseField="2" baseItem="17"/>
    <dataField name="Staging" fld="7" baseField="2" baseItem="17"/>
  </dataFields>
  <chartFormats count="2">
    <chartFormat chart="0" format="7"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N1:P7" firstHeaderRow="0" firstDataRow="1" firstDataCol="1"/>
  <pivotFields count="8">
    <pivotField showAll="0"/>
    <pivotField showAll="0" defaultSubtotal="0">
      <items count="2">
        <item x="0"/>
        <item h="1" m="1" x="1"/>
      </items>
    </pivotField>
    <pivotField showAll="0">
      <items count="4">
        <item x="0"/>
        <item h="1" x="1"/>
        <item h="1" m="1" x="2"/>
        <item t="default"/>
      </items>
    </pivotField>
    <pivotField axis="axisRow" numFmtId="14" showAll="0">
      <items count="13">
        <item m="1" x="9"/>
        <item m="1" x="7"/>
        <item m="1" x="5"/>
        <item m="1" x="11"/>
        <item m="1" x="10"/>
        <item m="1" x="8"/>
        <item m="1" x="6"/>
        <item x="0"/>
        <item x="1"/>
        <item x="2"/>
        <item x="3"/>
        <item x="4"/>
        <item t="default"/>
      </items>
    </pivotField>
    <pivotField showAll="0"/>
    <pivotField showAll="0"/>
    <pivotField dataField="1" showAll="0"/>
    <pivotField dataField="1" showAll="0"/>
  </pivotFields>
  <rowFields count="1">
    <field x="3"/>
  </rowFields>
  <rowItems count="6">
    <i>
      <x v="7"/>
    </i>
    <i>
      <x v="8"/>
    </i>
    <i>
      <x v="9"/>
    </i>
    <i>
      <x v="10"/>
    </i>
    <i>
      <x v="11"/>
    </i>
    <i t="grand">
      <x/>
    </i>
  </rowItems>
  <colFields count="1">
    <field x="-2"/>
  </colFields>
  <colItems count="2">
    <i>
      <x/>
    </i>
    <i i="1">
      <x v="1"/>
    </i>
  </colItems>
  <dataFields count="2">
    <dataField name="Incurred" fld="6" baseField="0" baseItem="0"/>
    <dataField name="Paid" fld="7" baseField="0" baseItem="0"/>
  </dataFields>
  <chartFormats count="2">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C7" firstHeaderRow="0" firstDataRow="1" firstDataCol="1"/>
  <pivotFields count="8">
    <pivotField showAll="0"/>
    <pivotField showAll="0" defaultSubtotal="0">
      <items count="2">
        <item x="0"/>
        <item h="1" m="1" x="1"/>
      </items>
    </pivotField>
    <pivotField showAll="0">
      <items count="4">
        <item x="0"/>
        <item h="1" x="1"/>
        <item h="1" m="1" x="2"/>
        <item t="default"/>
      </items>
    </pivotField>
    <pivotField axis="axisRow" numFmtId="14" showAll="0">
      <items count="13">
        <item m="1" x="9"/>
        <item m="1" x="7"/>
        <item m="1" x="5"/>
        <item m="1" x="11"/>
        <item m="1" x="10"/>
        <item m="1" x="8"/>
        <item m="1" x="6"/>
        <item x="0"/>
        <item x="1"/>
        <item x="2"/>
        <item x="3"/>
        <item x="4"/>
        <item t="default"/>
      </items>
    </pivotField>
    <pivotField dataField="1" showAll="0"/>
    <pivotField dataField="1" showAll="0"/>
    <pivotField showAll="0"/>
    <pivotField showAll="0"/>
  </pivotFields>
  <rowFields count="1">
    <field x="3"/>
  </rowFields>
  <rowItems count="6">
    <i>
      <x v="7"/>
    </i>
    <i>
      <x v="8"/>
    </i>
    <i>
      <x v="9"/>
    </i>
    <i>
      <x v="10"/>
    </i>
    <i>
      <x v="11"/>
    </i>
    <i t="grand">
      <x/>
    </i>
  </rowItems>
  <colFields count="1">
    <field x="-2"/>
  </colFields>
  <colItems count="2">
    <i>
      <x/>
    </i>
    <i i="1">
      <x v="1"/>
    </i>
  </colItems>
  <dataFields count="2">
    <dataField name="Incurred" fld="4" baseField="2" baseItem="7"/>
    <dataField name="Paid" fld="5" baseField="0" baseItem="0"/>
  </dataFields>
  <chartFormats count="2">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st_Basis" sourceName="Cost Basis">
  <pivotTables>
    <pivotTable tabId="3" name="PivotTable1"/>
  </pivotTables>
  <data>
    <tabular pivotCacheId="1" showMissing="0">
      <items count="3">
        <i x="0" s="1"/>
        <i x="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rend" sourceName="Trend">
  <pivotTables>
    <pivotTable tabId="3" name="PivotTable1"/>
  </pivotTables>
  <data>
    <tabular pivotCacheId="1" showMissing="0">
      <items count="25">
        <i x="21" s="1"/>
        <i x="5"/>
        <i x="6"/>
        <i x="16"/>
        <i x="17"/>
        <i x="15"/>
        <i x="14"/>
        <i x="22"/>
        <i x="1"/>
        <i x="12"/>
        <i x="13"/>
        <i x="9"/>
        <i x="8"/>
        <i x="18"/>
        <i x="0"/>
        <i x="11"/>
        <i x="10"/>
        <i x="19"/>
        <i x="7"/>
        <i x="2"/>
        <i x="20"/>
        <i x="3"/>
        <i x="4"/>
        <i x="24" nd="1"/>
        <i x="2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ost_Basis1" sourceName="Cost Basis">
  <pivotTables>
    <pivotTable tabId="9" name="PivotTable2"/>
    <pivotTable tabId="9" name="PivotTable3"/>
  </pivotTables>
  <data>
    <tabular pivotCacheId="2" showMissing="0">
      <items count="3">
        <i x="0" s="1"/>
        <i x="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Display_Name" sourceName="Display Name">
  <pivotTables>
    <pivotTable tabId="3" name="PivotTable1"/>
  </pivotTables>
  <data>
    <tabular pivotCacheId="1" showMissing="0">
      <items count="2">
        <i x="0" s="1"/>
        <i x="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isplay_Name1" sourceName="Display Name">
  <pivotTables>
    <pivotTable tabId="9" name="PivotTable2"/>
    <pivotTable tabId="9" name="PivotTable3"/>
  </pivotTables>
  <data>
    <tabular pivotCacheId="2" showMissing="0">
      <items count="2">
        <i x="0" s="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st Basis" cache="Slicer_Cost_Basis" caption="Cost Basis" rowHeight="241300"/>
  <slicer name="Trend" cache="Slicer_Trend" caption="Trend" rowHeight="241300"/>
  <slicer name="Population" cache="Slicer_Display_Name" caption="Popul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st Basis 1" cache="Slicer_Cost_Basis1" caption="Cost Basis" rowHeight="241300"/>
  <slicer name="Population 1" cache="Slicer_Display_Name1" caption="Population" rowHeight="241300"/>
</slicers>
</file>

<file path=xl/tables/table1.xml><?xml version="1.0" encoding="utf-8"?>
<table xmlns="http://schemas.openxmlformats.org/spreadsheetml/2006/main" id="8" name="Threshold" displayName="Threshold" ref="A1:E93" totalsRowShown="0">
  <autoFilter ref="A1:E93"/>
  <tableColumns count="5">
    <tableColumn id="1" name="Vlookup" dataDxfId="21">
      <calculatedColumnFormula>Threshold[[#This Row],[Population]]&amp;Threshold[[#This Row],[Trend]]</calculatedColumnFormula>
    </tableColumn>
    <tableColumn id="2" name="Population"/>
    <tableColumn id="3" name="Trend"/>
    <tableColumn id="4" name="Critical"/>
    <tableColumn id="5" name="Trivial"/>
  </tableColumns>
  <tableStyleInfo name="TableStyleMedium2" showFirstColumn="0" showLastColumn="0" showRowStripes="1" showColumnStripes="0"/>
</table>
</file>

<file path=xl/tables/table2.xml><?xml version="1.0" encoding="utf-8"?>
<table xmlns="http://schemas.openxmlformats.org/spreadsheetml/2006/main" id="1" name="TrendSheetStgData" displayName="TrendSheetStgData" ref="A1:M691" totalsRowShown="0">
  <autoFilter ref="A1:M691"/>
  <tableColumns count="13">
    <tableColumn id="1" name="Population"/>
    <tableColumn id="10" name="Display Name"/>
    <tableColumn id="2" name="Cost Basis"/>
    <tableColumn id="3" name="Period" dataDxfId="20"/>
    <tableColumn id="4" name="IsCompleted"/>
    <tableColumn id="5" name="Trend"/>
    <tableColumn id="6" name="Trend Order"/>
    <tableColumn id="7" name="Staging Data"/>
    <tableColumn id="8" name="Production Data" dataDxfId="19">
      <calculatedColumnFormula>IFERROR(VLOOKUP(TrendSheetStgData[Population]&amp;TrendSheetStgData[Cost Basis]&amp;TrendSheetStgData[Period]&amp;TrendSheetStgData[Trend],TrendSheetPrdData[#All],9,FALSE),0)</calculatedColumnFormula>
    </tableColumn>
    <tableColumn id="9" name="Perc Deviation" dataDxfId="18">
      <calculatedColumnFormula>IF(AND(TrendSheetStgData[Staging Data] = 0, TrendSheetStgData[Production Data]=0),0,IF(OR(TrendSheetStgData[Staging Data] = 0, TrendSheetStgData[Production Data]=0), 100, ABS((TrendSheetStgData[[#This Row],[Staging Data]]-TrendSheetStgData[[#This Row],[Production Data]])/TrendSheetStgData[[#This Row],[Production Data]]*100)))</calculatedColumnFormula>
    </tableColumn>
    <tableColumn id="11" name="Critical" dataDxfId="17">
      <calculatedColumnFormula>VLOOKUP(TrendSheetStgData[Population]&amp;TrendSheetStgData[Trend],Threshold[#All],4,FALSE)</calculatedColumnFormula>
    </tableColumn>
    <tableColumn id="12" name="Trivial" dataDxfId="16">
      <calculatedColumnFormula>VLOOKUP(TrendSheetStgData[Population]&amp;TrendSheetStgData[Trend],Threshold[#All],5,FALSE)</calculatedColumnFormula>
    </tableColumn>
    <tableColumn id="13" name="Result" dataDxfId="15">
      <calculatedColumnFormula>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rendSheetPrdData" displayName="TrendSheetPrdData" ref="A1:I2761" totalsRowShown="0">
  <autoFilter ref="A1:I2761"/>
  <tableColumns count="9">
    <tableColumn id="10" name="Vlookup" dataDxfId="14">
      <calculatedColumnFormula>TrendSheetPrdData[[#This Row],[Population]]&amp;TrendSheetPrdData[[#This Row],[Cost Basis]]&amp;TrendSheetPrdData[[#This Row],[Period]]&amp;TrendSheetPrdData[[#This Row],[Trend]]</calculatedColumnFormula>
    </tableColumn>
    <tableColumn id="1" name="Population"/>
    <tableColumn id="8" name="Display Name"/>
    <tableColumn id="2" name="Cost Basis"/>
    <tableColumn id="3" name="Period" dataDxfId="13"/>
    <tableColumn id="4" name="IsCompleted"/>
    <tableColumn id="5" name="Trend"/>
    <tableColumn id="6" name="Trend Order"/>
    <tableColumn id="7" name="Data"/>
  </tableColumns>
  <tableStyleInfo name="TableStyleMedium2" showFirstColumn="0" showLastColumn="0" showRowStripes="1" showColumnStripes="0"/>
</table>
</file>

<file path=xl/tables/table4.xml><?xml version="1.0" encoding="utf-8"?>
<table xmlns="http://schemas.openxmlformats.org/spreadsheetml/2006/main" id="3" name="StgIBNRTrendData" displayName="StgIBNRTrendData" ref="A1:H11" totalsRowShown="0">
  <autoFilter ref="A1:H11"/>
  <tableColumns count="8">
    <tableColumn id="1" name="Population"/>
    <tableColumn id="8" name="Display Name"/>
    <tableColumn id="2" name="Cost Basis"/>
    <tableColumn id="3" name="Period" dataDxfId="12"/>
    <tableColumn id="4" name="Staging Incurred Claims"/>
    <tableColumn id="5" name="Staging Paid Claims"/>
    <tableColumn id="6" name="Production Incurred Claims" dataDxfId="11">
      <calculatedColumnFormula>VLOOKUP(StgIBNRTrendData[[#This Row],[Population]]&amp;StgIBNRTrendData[[#This Row],[Cost Basis]]&amp;StgIBNRTrendData[[#This Row],[Period]],PrdIBNRTrendData[],6,FALSE)</calculatedColumnFormula>
    </tableColumn>
    <tableColumn id="7" name="Production Paid Claims" dataDxfId="10">
      <calculatedColumnFormula>VLOOKUP(StgIBNRTrendData[[#This Row],[Population]]&amp;StgIBNRTrendData[[#This Row],[Cost Basis]]&amp;StgIBNRTrendData[[#This Row],[Period]],PrdIBNRTrendData[],7,FALSE)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PrdIBNRTrendData" displayName="PrdIBNRTrendData" ref="A1:G59" totalsRowShown="0">
  <autoFilter ref="A1:G59"/>
  <tableColumns count="7">
    <tableColumn id="1" name="Vlookup" dataDxfId="9">
      <calculatedColumnFormula>PrdIBNRTrendData[[#This Row],[Population]]&amp;PrdIBNRTrendData[[#This Row],[Cost Basis]]&amp;PrdIBNRTrendData[[#This Row],[Period]]</calculatedColumnFormula>
    </tableColumn>
    <tableColumn id="2" name="Population"/>
    <tableColumn id="7" name="Display Name"/>
    <tableColumn id="3" name="Cost Basis"/>
    <tableColumn id="4" name="Period" dataDxfId="8"/>
    <tableColumn id="5" name="Incurred Claims"/>
    <tableColumn id="6" name="Paid Claims"/>
  </tableColumns>
  <tableStyleInfo name="TableStyleMedium2" showFirstColumn="0" showLastColumn="0" showRowStripes="1" showColumnStripes="0"/>
</table>
</file>

<file path=xl/tables/table6.xml><?xml version="1.0" encoding="utf-8"?>
<table xmlns="http://schemas.openxmlformats.org/spreadsheetml/2006/main" id="4" name="OtherChecksTable" displayName="OtherChecksTable" ref="B3:G10" totalsRowShown="0" dataDxfId="7">
  <autoFilter ref="B3:G10"/>
  <tableColumns count="6">
    <tableColumn id="1" name="Population" dataDxfId="6"/>
    <tableColumn id="2" name="DisplayName" dataDxfId="5"/>
    <tableColumn id="3" name="Tabs" dataDxfId="4"/>
    <tableColumn id="4" name="Checks" dataDxfId="3"/>
    <tableColumn id="5" name="Staging" dataDxfId="2"/>
    <tableColumn id="6" name="Prodution" dataDxfId="1">
      <calculatedColumnFormula>VLOOKUP(OtherChecksTable[[#This Row],[Population]]&amp;OtherChecksTable[[#This Row],[Tabs]]&amp;OtherChecksTable[[#This Row],[Checks]],OtherChecksPrdTable[],6,FALSE)</calculatedColumnFormula>
    </tableColumn>
  </tableColumns>
  <tableStyleInfo name="TableStyleLight9" showFirstColumn="0" showLastColumn="0" showRowStripes="1" showColumnStripes="0"/>
</table>
</file>

<file path=xl/tables/table7.xml><?xml version="1.0" encoding="utf-8"?>
<table xmlns="http://schemas.openxmlformats.org/spreadsheetml/2006/main" id="7" name="OtherChecksPrdTable" displayName="OtherChecksPrdTable" ref="C3:H31" totalsRowShown="0">
  <autoFilter ref="C3:H31"/>
  <tableColumns count="6">
    <tableColumn id="6" name="Vlookup" dataDxfId="0">
      <calculatedColumnFormula>OtherChecksPrdTable[[#This Row],[Population]]&amp;OtherChecksPrdTable[[#This Row],[Tabs]]&amp;OtherChecksPrdTable[[#This Row],[Checks]]</calculatedColumnFormula>
    </tableColumn>
    <tableColumn id="1" name="Population"/>
    <tableColumn id="2" name="DisplayName"/>
    <tableColumn id="3" name="Tabs"/>
    <tableColumn id="4" name="Checks"/>
    <tableColumn id="5" name="Result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s://wiki.advisory.com/login.action;jsessionid=05F1141AFC5C97FD163DFCBE0D2142E0?os_destination=%2Fpages%2Fviewpage.action%3Ftitle%3DCPRM%2BSite%2BBuild%26spaceKey%3DCPR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93"/>
  <sheetViews>
    <sheetView workbookViewId="0">
      <selection activeCell="D13" sqref="D13"/>
    </sheetView>
  </sheetViews>
  <sheetFormatPr defaultRowHeight="15" x14ac:dyDescent="0.25"/>
  <cols>
    <col min="1" max="1" width="10.7109375" bestFit="1" customWidth="1"/>
    <col min="2" max="2" width="13" bestFit="1" customWidth="1"/>
    <col min="3" max="3" width="8.42578125" bestFit="1" customWidth="1"/>
    <col min="4" max="4" width="9.42578125" bestFit="1" customWidth="1"/>
    <col min="5" max="5" width="8.7109375" bestFit="1" customWidth="1"/>
  </cols>
  <sheetData>
    <row r="1" spans="1:5" x14ac:dyDescent="0.25">
      <c r="A1" t="s">
        <v>38</v>
      </c>
      <c r="B1" t="s">
        <v>0</v>
      </c>
      <c r="C1" t="s">
        <v>4</v>
      </c>
      <c r="D1" t="s">
        <v>86</v>
      </c>
      <c r="E1" t="s">
        <v>87</v>
      </c>
    </row>
    <row r="2" spans="1:5" x14ac:dyDescent="0.25">
      <c r="A2" t="str">
        <f>Threshold[[#This Row],[Population]]&amp;Threshold[[#This Row],[Trend]]</f>
        <v>BAYVIEW EMPLOYEEAncillary Claim Count</v>
      </c>
      <c r="B2" t="s">
        <v>127</v>
      </c>
      <c r="C2" t="s">
        <v>33</v>
      </c>
      <c r="D2">
        <v>10</v>
      </c>
      <c r="E2">
        <v>5</v>
      </c>
    </row>
    <row r="3" spans="1:5" x14ac:dyDescent="0.25">
      <c r="A3" s="5" t="str">
        <f>Threshold[[#This Row],[Population]]&amp;Threshold[[#This Row],[Trend]]</f>
        <v>BAYVIEW EMPLOYEEAvoidable Admission Cost</v>
      </c>
      <c r="B3" t="s">
        <v>127</v>
      </c>
      <c r="C3" t="s">
        <v>17</v>
      </c>
      <c r="D3">
        <v>10</v>
      </c>
      <c r="E3">
        <v>5</v>
      </c>
    </row>
    <row r="4" spans="1:5" x14ac:dyDescent="0.25">
      <c r="A4" s="5" t="str">
        <f>Threshold[[#This Row],[Population]]&amp;Threshold[[#This Row],[Trend]]</f>
        <v>BAYVIEW EMPLOYEEAvoidable Admission Quality</v>
      </c>
      <c r="B4" t="s">
        <v>127</v>
      </c>
      <c r="C4" t="s">
        <v>18</v>
      </c>
      <c r="D4">
        <v>10</v>
      </c>
      <c r="E4">
        <v>5</v>
      </c>
    </row>
    <row r="5" spans="1:5" x14ac:dyDescent="0.25">
      <c r="A5" s="5" t="str">
        <f>Threshold[[#This Row],[Population]]&amp;Threshold[[#This Row],[Trend]]</f>
        <v>BAYVIEW EMPLOYEEChronic Disease Management - Cost</v>
      </c>
      <c r="B5" t="s">
        <v>127</v>
      </c>
      <c r="C5" t="s">
        <v>28</v>
      </c>
      <c r="D5">
        <v>10</v>
      </c>
      <c r="E5">
        <v>5</v>
      </c>
    </row>
    <row r="6" spans="1:5" x14ac:dyDescent="0.25">
      <c r="A6" s="5" t="str">
        <f>Threshold[[#This Row],[Population]]&amp;Threshold[[#This Row],[Trend]]</f>
        <v>BAYVIEW EMPLOYEEChronic Disease Management - Members</v>
      </c>
      <c r="B6" t="s">
        <v>127</v>
      </c>
      <c r="C6" t="s">
        <v>29</v>
      </c>
      <c r="D6">
        <v>10</v>
      </c>
      <c r="E6">
        <v>5</v>
      </c>
    </row>
    <row r="7" spans="1:5" x14ac:dyDescent="0.25">
      <c r="A7" s="5" t="str">
        <f>Threshold[[#This Row],[Population]]&amp;Threshold[[#This Row],[Trend]]</f>
        <v>BAYVIEW EMPLOYEEDrug - Generic Utilization</v>
      </c>
      <c r="B7" t="s">
        <v>127</v>
      </c>
      <c r="C7" t="s">
        <v>27</v>
      </c>
      <c r="D7">
        <v>10</v>
      </c>
      <c r="E7">
        <v>5</v>
      </c>
    </row>
    <row r="8" spans="1:5" x14ac:dyDescent="0.25">
      <c r="A8" s="5" t="str">
        <f>Threshold[[#This Row],[Population]]&amp;Threshold[[#This Row],[Trend]]</f>
        <v>BAYVIEW EMPLOYEEDrug - Generic Utilization Cost</v>
      </c>
      <c r="B8" t="s">
        <v>127</v>
      </c>
      <c r="C8" t="s">
        <v>26</v>
      </c>
      <c r="D8">
        <v>10</v>
      </c>
      <c r="E8">
        <v>5</v>
      </c>
    </row>
    <row r="9" spans="1:5" x14ac:dyDescent="0.25">
      <c r="A9" s="5" t="str">
        <f>Threshold[[#This Row],[Population]]&amp;Threshold[[#This Row],[Trend]]</f>
        <v>BAYVIEW EMPLOYEEDrug Claim Count</v>
      </c>
      <c r="B9" t="s">
        <v>127</v>
      </c>
      <c r="C9" t="s">
        <v>34</v>
      </c>
      <c r="D9">
        <v>10</v>
      </c>
      <c r="E9">
        <v>5</v>
      </c>
    </row>
    <row r="10" spans="1:5" x14ac:dyDescent="0.25">
      <c r="A10" s="5" t="str">
        <f>Threshold[[#This Row],[Population]]&amp;Threshold[[#This Row],[Trend]]</f>
        <v>BAYVIEW EMPLOYEEDrug PMPM</v>
      </c>
      <c r="B10" t="s">
        <v>127</v>
      </c>
      <c r="C10" t="s">
        <v>13</v>
      </c>
      <c r="D10">
        <v>10</v>
      </c>
      <c r="E10">
        <v>5</v>
      </c>
    </row>
    <row r="11" spans="1:5" x14ac:dyDescent="0.25">
      <c r="A11" s="5" t="str">
        <f>Threshold[[#This Row],[Population]]&amp;Threshold[[#This Row],[Trend]]</f>
        <v>BAYVIEW EMPLOYEEED Cost</v>
      </c>
      <c r="B11" t="s">
        <v>127</v>
      </c>
      <c r="C11" t="s">
        <v>24</v>
      </c>
      <c r="D11">
        <v>10</v>
      </c>
      <c r="E11">
        <v>5</v>
      </c>
    </row>
    <row r="12" spans="1:5" x14ac:dyDescent="0.25">
      <c r="A12" s="5" t="str">
        <f>Threshold[[#This Row],[Population]]&amp;Threshold[[#This Row],[Trend]]</f>
        <v>BAYVIEW EMPLOYEEED Utilization</v>
      </c>
      <c r="B12" t="s">
        <v>127</v>
      </c>
      <c r="C12" t="s">
        <v>25</v>
      </c>
      <c r="D12">
        <v>10</v>
      </c>
      <c r="E12">
        <v>5</v>
      </c>
    </row>
    <row r="13" spans="1:5" x14ac:dyDescent="0.25">
      <c r="A13" s="5" t="str">
        <f>Threshold[[#This Row],[Population]]&amp;Threshold[[#This Row],[Trend]]</f>
        <v>BAYVIEW EMPLOYEEHospiatl Outpatient CTs per 1k</v>
      </c>
      <c r="B13" t="s">
        <v>127</v>
      </c>
      <c r="C13" t="s">
        <v>21</v>
      </c>
      <c r="D13">
        <v>10</v>
      </c>
      <c r="E13">
        <v>5</v>
      </c>
    </row>
    <row r="14" spans="1:5" x14ac:dyDescent="0.25">
      <c r="A14" s="5" t="str">
        <f>Threshold[[#This Row],[Population]]&amp;Threshold[[#This Row],[Trend]]</f>
        <v>BAYVIEW EMPLOYEEHospiatl Outpatient MRIs per 1k</v>
      </c>
      <c r="B14" t="s">
        <v>127</v>
      </c>
      <c r="C14" t="s">
        <v>20</v>
      </c>
      <c r="D14">
        <v>10</v>
      </c>
      <c r="E14">
        <v>5</v>
      </c>
    </row>
    <row r="15" spans="1:5" x14ac:dyDescent="0.25">
      <c r="A15" s="5" t="str">
        <f>Threshold[[#This Row],[Population]]&amp;Threshold[[#This Row],[Trend]]</f>
        <v>BAYVIEW EMPLOYEEInpatient Claim Count</v>
      </c>
      <c r="B15" t="s">
        <v>127</v>
      </c>
      <c r="C15" t="s">
        <v>30</v>
      </c>
      <c r="D15">
        <v>10</v>
      </c>
      <c r="E15">
        <v>5</v>
      </c>
    </row>
    <row r="16" spans="1:5" x14ac:dyDescent="0.25">
      <c r="A16" s="5" t="str">
        <f>Threshold[[#This Row],[Population]]&amp;Threshold[[#This Row],[Trend]]</f>
        <v>BAYVIEW EMPLOYEEMedical PMPM</v>
      </c>
      <c r="B16" t="s">
        <v>127</v>
      </c>
      <c r="C16" t="s">
        <v>12</v>
      </c>
      <c r="D16">
        <v>10</v>
      </c>
      <c r="E16">
        <v>5</v>
      </c>
    </row>
    <row r="17" spans="1:5" x14ac:dyDescent="0.25">
      <c r="A17" s="5" t="str">
        <f>Threshold[[#This Row],[Population]]&amp;Threshold[[#This Row],[Trend]]</f>
        <v>BAYVIEW EMPLOYEEOffice Based CTs per 1k</v>
      </c>
      <c r="B17" t="s">
        <v>127</v>
      </c>
      <c r="C17" t="s">
        <v>23</v>
      </c>
      <c r="D17">
        <v>10</v>
      </c>
      <c r="E17">
        <v>5</v>
      </c>
    </row>
    <row r="18" spans="1:5" x14ac:dyDescent="0.25">
      <c r="A18" s="5" t="str">
        <f>Threshold[[#This Row],[Population]]&amp;Threshold[[#This Row],[Trend]]</f>
        <v>BAYVIEW EMPLOYEEOffice Based MRIs per 1k</v>
      </c>
      <c r="B18" t="s">
        <v>127</v>
      </c>
      <c r="C18" t="s">
        <v>22</v>
      </c>
      <c r="D18">
        <v>10</v>
      </c>
      <c r="E18">
        <v>5</v>
      </c>
    </row>
    <row r="19" spans="1:5" x14ac:dyDescent="0.25">
      <c r="A19" s="5" t="str">
        <f>Threshold[[#This Row],[Population]]&amp;Threshold[[#This Row],[Trend]]</f>
        <v>BAYVIEW EMPLOYEEOutpatient Claim Count</v>
      </c>
      <c r="B19" t="s">
        <v>127</v>
      </c>
      <c r="C19" t="s">
        <v>31</v>
      </c>
      <c r="D19">
        <v>10</v>
      </c>
      <c r="E19">
        <v>5</v>
      </c>
    </row>
    <row r="20" spans="1:5" x14ac:dyDescent="0.25">
      <c r="A20" s="5" t="str">
        <f>Threshold[[#This Row],[Population]]&amp;Threshold[[#This Row],[Trend]]</f>
        <v>BAYVIEW EMPLOYEEOutpatient Imaging Cost</v>
      </c>
      <c r="B20" t="s">
        <v>127</v>
      </c>
      <c r="C20" t="s">
        <v>19</v>
      </c>
      <c r="D20">
        <v>10</v>
      </c>
      <c r="E20">
        <v>5</v>
      </c>
    </row>
    <row r="21" spans="1:5" x14ac:dyDescent="0.25">
      <c r="A21" s="5" t="str">
        <f>Threshold[[#This Row],[Population]]&amp;Threshold[[#This Row],[Trend]]</f>
        <v>BAYVIEW EMPLOYEEOverall PMPM</v>
      </c>
      <c r="B21" t="s">
        <v>127</v>
      </c>
      <c r="C21" t="s">
        <v>14</v>
      </c>
      <c r="D21">
        <v>10</v>
      </c>
      <c r="E21">
        <v>5</v>
      </c>
    </row>
    <row r="22" spans="1:5" x14ac:dyDescent="0.25">
      <c r="A22" s="5" t="str">
        <f>Threshold[[#This Row],[Population]]&amp;Threshold[[#This Row],[Trend]]</f>
        <v>BAYVIEW EMPLOYEEProfessional Claim Count</v>
      </c>
      <c r="B22" t="s">
        <v>127</v>
      </c>
      <c r="C22" t="s">
        <v>32</v>
      </c>
      <c r="D22">
        <v>10</v>
      </c>
      <c r="E22">
        <v>5</v>
      </c>
    </row>
    <row r="23" spans="1:5" x14ac:dyDescent="0.25">
      <c r="A23" s="5" t="str">
        <f>Threshold[[#This Row],[Population]]&amp;Threshold[[#This Row],[Trend]]</f>
        <v>BAYVIEW EMPLOYEEReadmission Cost</v>
      </c>
      <c r="B23" t="s">
        <v>127</v>
      </c>
      <c r="C23" t="s">
        <v>15</v>
      </c>
      <c r="D23">
        <v>10</v>
      </c>
      <c r="E23">
        <v>5</v>
      </c>
    </row>
    <row r="24" spans="1:5" x14ac:dyDescent="0.25">
      <c r="A24" s="5" t="str">
        <f>Threshold[[#This Row],[Population]]&amp;Threshold[[#This Row],[Trend]]</f>
        <v>BAYVIEW EMPLOYEEReadmission Quality</v>
      </c>
      <c r="B24" t="s">
        <v>127</v>
      </c>
      <c r="C24" t="s">
        <v>16</v>
      </c>
      <c r="D24">
        <v>10</v>
      </c>
      <c r="E24">
        <v>5</v>
      </c>
    </row>
    <row r="25" spans="1:5" x14ac:dyDescent="0.25">
      <c r="A25" s="5" t="str">
        <f>Threshold[[#This Row],[Population]]&amp;Threshold[[#This Row],[Trend]]</f>
        <v>CHESAPEAKE EMPLOYEEAncillary Claim Count</v>
      </c>
      <c r="B25" t="s">
        <v>90</v>
      </c>
      <c r="C25" t="s">
        <v>33</v>
      </c>
      <c r="D25">
        <v>10</v>
      </c>
      <c r="E25">
        <v>5</v>
      </c>
    </row>
    <row r="26" spans="1:5" x14ac:dyDescent="0.25">
      <c r="A26" s="5" t="str">
        <f>Threshold[[#This Row],[Population]]&amp;Threshold[[#This Row],[Trend]]</f>
        <v>CHESAPEAKE EMPLOYEEAvoidable Admission Cost</v>
      </c>
      <c r="B26" t="s">
        <v>90</v>
      </c>
      <c r="C26" t="s">
        <v>17</v>
      </c>
      <c r="D26">
        <v>10</v>
      </c>
      <c r="E26">
        <v>5</v>
      </c>
    </row>
    <row r="27" spans="1:5" x14ac:dyDescent="0.25">
      <c r="A27" s="5" t="str">
        <f>Threshold[[#This Row],[Population]]&amp;Threshold[[#This Row],[Trend]]</f>
        <v>CHESAPEAKE EMPLOYEEAvoidable Admission Quality</v>
      </c>
      <c r="B27" t="s">
        <v>90</v>
      </c>
      <c r="C27" t="s">
        <v>18</v>
      </c>
      <c r="D27">
        <v>10</v>
      </c>
      <c r="E27">
        <v>5</v>
      </c>
    </row>
    <row r="28" spans="1:5" x14ac:dyDescent="0.25">
      <c r="A28" s="5" t="str">
        <f>Threshold[[#This Row],[Population]]&amp;Threshold[[#This Row],[Trend]]</f>
        <v>CHESAPEAKE EMPLOYEEChronic Disease Management - Cost</v>
      </c>
      <c r="B28" t="s">
        <v>90</v>
      </c>
      <c r="C28" t="s">
        <v>28</v>
      </c>
      <c r="D28">
        <v>10</v>
      </c>
      <c r="E28">
        <v>5</v>
      </c>
    </row>
    <row r="29" spans="1:5" x14ac:dyDescent="0.25">
      <c r="A29" s="5" t="str">
        <f>Threshold[[#This Row],[Population]]&amp;Threshold[[#This Row],[Trend]]</f>
        <v>CHESAPEAKE EMPLOYEEChronic Disease Management - Members</v>
      </c>
      <c r="B29" t="s">
        <v>90</v>
      </c>
      <c r="C29" t="s">
        <v>29</v>
      </c>
      <c r="D29">
        <v>10</v>
      </c>
      <c r="E29">
        <v>5</v>
      </c>
    </row>
    <row r="30" spans="1:5" x14ac:dyDescent="0.25">
      <c r="A30" s="5" t="str">
        <f>Threshold[[#This Row],[Population]]&amp;Threshold[[#This Row],[Trend]]</f>
        <v>CHESAPEAKE EMPLOYEEDrug - Generic Utilization</v>
      </c>
      <c r="B30" t="s">
        <v>90</v>
      </c>
      <c r="C30" t="s">
        <v>27</v>
      </c>
      <c r="D30">
        <v>10</v>
      </c>
      <c r="E30">
        <v>5</v>
      </c>
    </row>
    <row r="31" spans="1:5" x14ac:dyDescent="0.25">
      <c r="A31" s="5" t="str">
        <f>Threshold[[#This Row],[Population]]&amp;Threshold[[#This Row],[Trend]]</f>
        <v>CHESAPEAKE EMPLOYEEDrug - Generic Utilization Cost</v>
      </c>
      <c r="B31" t="s">
        <v>90</v>
      </c>
      <c r="C31" t="s">
        <v>26</v>
      </c>
      <c r="D31">
        <v>10</v>
      </c>
      <c r="E31">
        <v>5</v>
      </c>
    </row>
    <row r="32" spans="1:5" x14ac:dyDescent="0.25">
      <c r="A32" s="5" t="str">
        <f>Threshold[[#This Row],[Population]]&amp;Threshold[[#This Row],[Trend]]</f>
        <v>CHESAPEAKE EMPLOYEEDrug Claim Count</v>
      </c>
      <c r="B32" t="s">
        <v>90</v>
      </c>
      <c r="C32" t="s">
        <v>34</v>
      </c>
      <c r="D32">
        <v>10</v>
      </c>
      <c r="E32">
        <v>5</v>
      </c>
    </row>
    <row r="33" spans="1:5" x14ac:dyDescent="0.25">
      <c r="A33" s="5" t="str">
        <f>Threshold[[#This Row],[Population]]&amp;Threshold[[#This Row],[Trend]]</f>
        <v>CHESAPEAKE EMPLOYEEDrug PMPM</v>
      </c>
      <c r="B33" t="s">
        <v>90</v>
      </c>
      <c r="C33" t="s">
        <v>13</v>
      </c>
      <c r="D33">
        <v>10</v>
      </c>
      <c r="E33">
        <v>5</v>
      </c>
    </row>
    <row r="34" spans="1:5" x14ac:dyDescent="0.25">
      <c r="A34" s="5" t="str">
        <f>Threshold[[#This Row],[Population]]&amp;Threshold[[#This Row],[Trend]]</f>
        <v>CHESAPEAKE EMPLOYEEED Cost</v>
      </c>
      <c r="B34" t="s">
        <v>90</v>
      </c>
      <c r="C34" t="s">
        <v>24</v>
      </c>
      <c r="D34">
        <v>10</v>
      </c>
      <c r="E34">
        <v>5</v>
      </c>
    </row>
    <row r="35" spans="1:5" x14ac:dyDescent="0.25">
      <c r="A35" s="5" t="str">
        <f>Threshold[[#This Row],[Population]]&amp;Threshold[[#This Row],[Trend]]</f>
        <v>CHESAPEAKE EMPLOYEEED Utilization</v>
      </c>
      <c r="B35" t="s">
        <v>90</v>
      </c>
      <c r="C35" t="s">
        <v>25</v>
      </c>
      <c r="D35">
        <v>10</v>
      </c>
      <c r="E35">
        <v>5</v>
      </c>
    </row>
    <row r="36" spans="1:5" x14ac:dyDescent="0.25">
      <c r="A36" s="5" t="str">
        <f>Threshold[[#This Row],[Population]]&amp;Threshold[[#This Row],[Trend]]</f>
        <v>CHESAPEAKE EMPLOYEEHospiatl Outpatient CTs per 1k</v>
      </c>
      <c r="B36" t="s">
        <v>90</v>
      </c>
      <c r="C36" t="s">
        <v>21</v>
      </c>
      <c r="D36">
        <v>10</v>
      </c>
      <c r="E36">
        <v>5</v>
      </c>
    </row>
    <row r="37" spans="1:5" x14ac:dyDescent="0.25">
      <c r="A37" s="5" t="str">
        <f>Threshold[[#This Row],[Population]]&amp;Threshold[[#This Row],[Trend]]</f>
        <v>CHESAPEAKE EMPLOYEEHospiatl Outpatient MRIs per 1k</v>
      </c>
      <c r="B37" t="s">
        <v>90</v>
      </c>
      <c r="C37" t="s">
        <v>20</v>
      </c>
      <c r="D37">
        <v>10</v>
      </c>
      <c r="E37">
        <v>5</v>
      </c>
    </row>
    <row r="38" spans="1:5" x14ac:dyDescent="0.25">
      <c r="A38" s="5" t="str">
        <f>Threshold[[#This Row],[Population]]&amp;Threshold[[#This Row],[Trend]]</f>
        <v>CHESAPEAKE EMPLOYEEInpatient Claim Count</v>
      </c>
      <c r="B38" t="s">
        <v>90</v>
      </c>
      <c r="C38" t="s">
        <v>30</v>
      </c>
      <c r="D38">
        <v>10</v>
      </c>
      <c r="E38">
        <v>5</v>
      </c>
    </row>
    <row r="39" spans="1:5" x14ac:dyDescent="0.25">
      <c r="A39" s="5" t="str">
        <f>Threshold[[#This Row],[Population]]&amp;Threshold[[#This Row],[Trend]]</f>
        <v>CHESAPEAKE EMPLOYEEMedical PMPM</v>
      </c>
      <c r="B39" t="s">
        <v>90</v>
      </c>
      <c r="C39" t="s">
        <v>12</v>
      </c>
      <c r="D39">
        <v>10</v>
      </c>
      <c r="E39">
        <v>5</v>
      </c>
    </row>
    <row r="40" spans="1:5" x14ac:dyDescent="0.25">
      <c r="A40" s="5" t="str">
        <f>Threshold[[#This Row],[Population]]&amp;Threshold[[#This Row],[Trend]]</f>
        <v>CHESAPEAKE EMPLOYEEOffice Based CTs per 1k</v>
      </c>
      <c r="B40" t="s">
        <v>90</v>
      </c>
      <c r="C40" t="s">
        <v>23</v>
      </c>
      <c r="D40">
        <v>10</v>
      </c>
      <c r="E40">
        <v>5</v>
      </c>
    </row>
    <row r="41" spans="1:5" x14ac:dyDescent="0.25">
      <c r="A41" s="5" t="str">
        <f>Threshold[[#This Row],[Population]]&amp;Threshold[[#This Row],[Trend]]</f>
        <v>CHESAPEAKE EMPLOYEEOffice Based MRIs per 1k</v>
      </c>
      <c r="B41" t="s">
        <v>90</v>
      </c>
      <c r="C41" t="s">
        <v>22</v>
      </c>
      <c r="D41">
        <v>10</v>
      </c>
      <c r="E41">
        <v>5</v>
      </c>
    </row>
    <row r="42" spans="1:5" x14ac:dyDescent="0.25">
      <c r="A42" s="5" t="str">
        <f>Threshold[[#This Row],[Population]]&amp;Threshold[[#This Row],[Trend]]</f>
        <v>CHESAPEAKE EMPLOYEEOutpatient Claim Count</v>
      </c>
      <c r="B42" t="s">
        <v>90</v>
      </c>
      <c r="C42" t="s">
        <v>31</v>
      </c>
      <c r="D42">
        <v>10</v>
      </c>
      <c r="E42">
        <v>5</v>
      </c>
    </row>
    <row r="43" spans="1:5" x14ac:dyDescent="0.25">
      <c r="A43" s="5" t="str">
        <f>Threshold[[#This Row],[Population]]&amp;Threshold[[#This Row],[Trend]]</f>
        <v>CHESAPEAKE EMPLOYEEOutpatient Imaging Cost</v>
      </c>
      <c r="B43" t="s">
        <v>90</v>
      </c>
      <c r="C43" t="s">
        <v>19</v>
      </c>
      <c r="D43">
        <v>10</v>
      </c>
      <c r="E43">
        <v>5</v>
      </c>
    </row>
    <row r="44" spans="1:5" x14ac:dyDescent="0.25">
      <c r="A44" s="5" t="str">
        <f>Threshold[[#This Row],[Population]]&amp;Threshold[[#This Row],[Trend]]</f>
        <v>CHESAPEAKE EMPLOYEEOverall PMPM</v>
      </c>
      <c r="B44" t="s">
        <v>90</v>
      </c>
      <c r="C44" t="s">
        <v>14</v>
      </c>
      <c r="D44">
        <v>10</v>
      </c>
      <c r="E44">
        <v>5</v>
      </c>
    </row>
    <row r="45" spans="1:5" x14ac:dyDescent="0.25">
      <c r="A45" s="5" t="str">
        <f>Threshold[[#This Row],[Population]]&amp;Threshold[[#This Row],[Trend]]</f>
        <v>CHESAPEAKE EMPLOYEEProfessional Claim Count</v>
      </c>
      <c r="B45" t="s">
        <v>90</v>
      </c>
      <c r="C45" t="s">
        <v>32</v>
      </c>
      <c r="D45">
        <v>10</v>
      </c>
      <c r="E45">
        <v>5</v>
      </c>
    </row>
    <row r="46" spans="1:5" x14ac:dyDescent="0.25">
      <c r="A46" s="5" t="str">
        <f>Threshold[[#This Row],[Population]]&amp;Threshold[[#This Row],[Trend]]</f>
        <v>CHESAPEAKE EMPLOYEEReadmission Cost</v>
      </c>
      <c r="B46" t="s">
        <v>90</v>
      </c>
      <c r="C46" t="s">
        <v>15</v>
      </c>
      <c r="D46">
        <v>10</v>
      </c>
      <c r="E46">
        <v>5</v>
      </c>
    </row>
    <row r="47" spans="1:5" x14ac:dyDescent="0.25">
      <c r="A47" s="5" t="str">
        <f>Threshold[[#This Row],[Population]]&amp;Threshold[[#This Row],[Trend]]</f>
        <v>CHESAPEAKE EMPLOYEEReadmission Quality</v>
      </c>
      <c r="B47" t="s">
        <v>90</v>
      </c>
      <c r="C47" t="s">
        <v>16</v>
      </c>
      <c r="D47">
        <v>10</v>
      </c>
      <c r="E47">
        <v>5</v>
      </c>
    </row>
    <row r="48" spans="1:5" x14ac:dyDescent="0.25">
      <c r="A48" s="5" t="str">
        <f>Threshold[[#This Row],[Population]]&amp;Threshold[[#This Row],[Trend]]</f>
        <v>MSSP_ATTRIBUTEDAncillary Claim Count</v>
      </c>
      <c r="B48" t="s">
        <v>128</v>
      </c>
      <c r="C48" t="s">
        <v>33</v>
      </c>
      <c r="D48">
        <v>10</v>
      </c>
      <c r="E48">
        <v>5</v>
      </c>
    </row>
    <row r="49" spans="1:5" x14ac:dyDescent="0.25">
      <c r="A49" s="5" t="str">
        <f>Threshold[[#This Row],[Population]]&amp;Threshold[[#This Row],[Trend]]</f>
        <v>MSSP_ATTRIBUTEDAvoidable Admission Cost</v>
      </c>
      <c r="B49" t="s">
        <v>128</v>
      </c>
      <c r="C49" t="s">
        <v>17</v>
      </c>
      <c r="D49">
        <v>10</v>
      </c>
      <c r="E49">
        <v>5</v>
      </c>
    </row>
    <row r="50" spans="1:5" x14ac:dyDescent="0.25">
      <c r="A50" s="5" t="str">
        <f>Threshold[[#This Row],[Population]]&amp;Threshold[[#This Row],[Trend]]</f>
        <v>MSSP_ATTRIBUTEDAvoidable Admission Quality</v>
      </c>
      <c r="B50" t="s">
        <v>128</v>
      </c>
      <c r="C50" t="s">
        <v>18</v>
      </c>
      <c r="D50">
        <v>10</v>
      </c>
      <c r="E50">
        <v>5</v>
      </c>
    </row>
    <row r="51" spans="1:5" x14ac:dyDescent="0.25">
      <c r="A51" s="5" t="str">
        <f>Threshold[[#This Row],[Population]]&amp;Threshold[[#This Row],[Trend]]</f>
        <v>MSSP_ATTRIBUTEDChronic Disease Management - Cost</v>
      </c>
      <c r="B51" t="s">
        <v>128</v>
      </c>
      <c r="C51" t="s">
        <v>28</v>
      </c>
      <c r="D51">
        <v>10</v>
      </c>
      <c r="E51">
        <v>5</v>
      </c>
    </row>
    <row r="52" spans="1:5" x14ac:dyDescent="0.25">
      <c r="A52" s="5" t="str">
        <f>Threshold[[#This Row],[Population]]&amp;Threshold[[#This Row],[Trend]]</f>
        <v>MSSP_ATTRIBUTEDChronic Disease Management - Members</v>
      </c>
      <c r="B52" t="s">
        <v>128</v>
      </c>
      <c r="C52" t="s">
        <v>29</v>
      </c>
      <c r="D52">
        <v>10</v>
      </c>
      <c r="E52">
        <v>5</v>
      </c>
    </row>
    <row r="53" spans="1:5" x14ac:dyDescent="0.25">
      <c r="A53" s="5" t="str">
        <f>Threshold[[#This Row],[Population]]&amp;Threshold[[#This Row],[Trend]]</f>
        <v>MSSP_ATTRIBUTEDDrug - Generic Utilization</v>
      </c>
      <c r="B53" t="s">
        <v>128</v>
      </c>
      <c r="C53" t="s">
        <v>27</v>
      </c>
      <c r="D53">
        <v>10</v>
      </c>
      <c r="E53">
        <v>5</v>
      </c>
    </row>
    <row r="54" spans="1:5" x14ac:dyDescent="0.25">
      <c r="A54" s="5" t="str">
        <f>Threshold[[#This Row],[Population]]&amp;Threshold[[#This Row],[Trend]]</f>
        <v>MSSP_ATTRIBUTEDDrug - Generic Utilization Cost</v>
      </c>
      <c r="B54" t="s">
        <v>128</v>
      </c>
      <c r="C54" t="s">
        <v>26</v>
      </c>
      <c r="D54">
        <v>10</v>
      </c>
      <c r="E54">
        <v>5</v>
      </c>
    </row>
    <row r="55" spans="1:5" x14ac:dyDescent="0.25">
      <c r="A55" s="5" t="str">
        <f>Threshold[[#This Row],[Population]]&amp;Threshold[[#This Row],[Trend]]</f>
        <v>MSSP_ATTRIBUTEDDrug Claim Count</v>
      </c>
      <c r="B55" t="s">
        <v>128</v>
      </c>
      <c r="C55" t="s">
        <v>34</v>
      </c>
      <c r="D55">
        <v>10</v>
      </c>
      <c r="E55">
        <v>5</v>
      </c>
    </row>
    <row r="56" spans="1:5" x14ac:dyDescent="0.25">
      <c r="A56" s="5" t="str">
        <f>Threshold[[#This Row],[Population]]&amp;Threshold[[#This Row],[Trend]]</f>
        <v>MSSP_ATTRIBUTEDDrug PMPM</v>
      </c>
      <c r="B56" t="s">
        <v>128</v>
      </c>
      <c r="C56" t="s">
        <v>13</v>
      </c>
      <c r="D56">
        <v>10</v>
      </c>
      <c r="E56">
        <v>5</v>
      </c>
    </row>
    <row r="57" spans="1:5" x14ac:dyDescent="0.25">
      <c r="A57" s="5" t="str">
        <f>Threshold[[#This Row],[Population]]&amp;Threshold[[#This Row],[Trend]]</f>
        <v>MSSP_ATTRIBUTEDED Cost</v>
      </c>
      <c r="B57" t="s">
        <v>128</v>
      </c>
      <c r="C57" t="s">
        <v>24</v>
      </c>
      <c r="D57">
        <v>10</v>
      </c>
      <c r="E57">
        <v>5</v>
      </c>
    </row>
    <row r="58" spans="1:5" x14ac:dyDescent="0.25">
      <c r="A58" s="5" t="str">
        <f>Threshold[[#This Row],[Population]]&amp;Threshold[[#This Row],[Trend]]</f>
        <v>MSSP_ATTRIBUTEDED Utilization</v>
      </c>
      <c r="B58" t="s">
        <v>128</v>
      </c>
      <c r="C58" t="s">
        <v>25</v>
      </c>
      <c r="D58">
        <v>10</v>
      </c>
      <c r="E58">
        <v>5</v>
      </c>
    </row>
    <row r="59" spans="1:5" x14ac:dyDescent="0.25">
      <c r="A59" s="5" t="str">
        <f>Threshold[[#This Row],[Population]]&amp;Threshold[[#This Row],[Trend]]</f>
        <v>MSSP_ATTRIBUTEDHospiatl Outpatient CTs per 1k</v>
      </c>
      <c r="B59" t="s">
        <v>128</v>
      </c>
      <c r="C59" t="s">
        <v>21</v>
      </c>
      <c r="D59">
        <v>10</v>
      </c>
      <c r="E59">
        <v>5</v>
      </c>
    </row>
    <row r="60" spans="1:5" x14ac:dyDescent="0.25">
      <c r="A60" s="5" t="str">
        <f>Threshold[[#This Row],[Population]]&amp;Threshold[[#This Row],[Trend]]</f>
        <v>MSSP_ATTRIBUTEDHospiatl Outpatient MRIs per 1k</v>
      </c>
      <c r="B60" t="s">
        <v>128</v>
      </c>
      <c r="C60" t="s">
        <v>20</v>
      </c>
      <c r="D60">
        <v>10</v>
      </c>
      <c r="E60">
        <v>5</v>
      </c>
    </row>
    <row r="61" spans="1:5" x14ac:dyDescent="0.25">
      <c r="A61" s="5" t="str">
        <f>Threshold[[#This Row],[Population]]&amp;Threshold[[#This Row],[Trend]]</f>
        <v>MSSP_ATTRIBUTEDInpatient Claim Count</v>
      </c>
      <c r="B61" t="s">
        <v>128</v>
      </c>
      <c r="C61" t="s">
        <v>30</v>
      </c>
      <c r="D61">
        <v>10</v>
      </c>
      <c r="E61">
        <v>5</v>
      </c>
    </row>
    <row r="62" spans="1:5" x14ac:dyDescent="0.25">
      <c r="A62" s="5" t="str">
        <f>Threshold[[#This Row],[Population]]&amp;Threshold[[#This Row],[Trend]]</f>
        <v>MSSP_ATTRIBUTEDMedical PMPM</v>
      </c>
      <c r="B62" t="s">
        <v>128</v>
      </c>
      <c r="C62" t="s">
        <v>12</v>
      </c>
      <c r="D62">
        <v>10</v>
      </c>
      <c r="E62">
        <v>5</v>
      </c>
    </row>
    <row r="63" spans="1:5" x14ac:dyDescent="0.25">
      <c r="A63" s="5" t="str">
        <f>Threshold[[#This Row],[Population]]&amp;Threshold[[#This Row],[Trend]]</f>
        <v>MSSP_ATTRIBUTEDOffice Based CTs per 1k</v>
      </c>
      <c r="B63" t="s">
        <v>128</v>
      </c>
      <c r="C63" t="s">
        <v>23</v>
      </c>
      <c r="D63">
        <v>10</v>
      </c>
      <c r="E63">
        <v>5</v>
      </c>
    </row>
    <row r="64" spans="1:5" x14ac:dyDescent="0.25">
      <c r="A64" s="5" t="str">
        <f>Threshold[[#This Row],[Population]]&amp;Threshold[[#This Row],[Trend]]</f>
        <v>MSSP_ATTRIBUTEDOffice Based MRIs per 1k</v>
      </c>
      <c r="B64" t="s">
        <v>128</v>
      </c>
      <c r="C64" t="s">
        <v>22</v>
      </c>
      <c r="D64">
        <v>10</v>
      </c>
      <c r="E64">
        <v>5</v>
      </c>
    </row>
    <row r="65" spans="1:5" x14ac:dyDescent="0.25">
      <c r="A65" s="5" t="str">
        <f>Threshold[[#This Row],[Population]]&amp;Threshold[[#This Row],[Trend]]</f>
        <v>MSSP_ATTRIBUTEDOutpatient Claim Count</v>
      </c>
      <c r="B65" t="s">
        <v>128</v>
      </c>
      <c r="C65" t="s">
        <v>31</v>
      </c>
      <c r="D65">
        <v>10</v>
      </c>
      <c r="E65">
        <v>5</v>
      </c>
    </row>
    <row r="66" spans="1:5" x14ac:dyDescent="0.25">
      <c r="A66" s="5" t="str">
        <f>Threshold[[#This Row],[Population]]&amp;Threshold[[#This Row],[Trend]]</f>
        <v>MSSP_ATTRIBUTEDOutpatient Imaging Cost</v>
      </c>
      <c r="B66" t="s">
        <v>128</v>
      </c>
      <c r="C66" t="s">
        <v>19</v>
      </c>
      <c r="D66">
        <v>10</v>
      </c>
      <c r="E66">
        <v>5</v>
      </c>
    </row>
    <row r="67" spans="1:5" x14ac:dyDescent="0.25">
      <c r="A67" s="5" t="str">
        <f>Threshold[[#This Row],[Population]]&amp;Threshold[[#This Row],[Trend]]</f>
        <v>MSSP_ATTRIBUTEDOverall PMPM</v>
      </c>
      <c r="B67" t="s">
        <v>128</v>
      </c>
      <c r="C67" t="s">
        <v>14</v>
      </c>
      <c r="D67">
        <v>10</v>
      </c>
      <c r="E67">
        <v>5</v>
      </c>
    </row>
    <row r="68" spans="1:5" x14ac:dyDescent="0.25">
      <c r="A68" s="5" t="str">
        <f>Threshold[[#This Row],[Population]]&amp;Threshold[[#This Row],[Trend]]</f>
        <v>MSSP_ATTRIBUTEDProfessional Claim Count</v>
      </c>
      <c r="B68" t="s">
        <v>128</v>
      </c>
      <c r="C68" t="s">
        <v>32</v>
      </c>
      <c r="D68">
        <v>10</v>
      </c>
      <c r="E68">
        <v>5</v>
      </c>
    </row>
    <row r="69" spans="1:5" x14ac:dyDescent="0.25">
      <c r="A69" s="5" t="str">
        <f>Threshold[[#This Row],[Population]]&amp;Threshold[[#This Row],[Trend]]</f>
        <v>MSSP_ATTRIBUTEDReadmission Cost</v>
      </c>
      <c r="B69" t="s">
        <v>128</v>
      </c>
      <c r="C69" t="s">
        <v>15</v>
      </c>
      <c r="D69">
        <v>10</v>
      </c>
      <c r="E69">
        <v>5</v>
      </c>
    </row>
    <row r="70" spans="1:5" x14ac:dyDescent="0.25">
      <c r="A70" s="5" t="str">
        <f>Threshold[[#This Row],[Population]]&amp;Threshold[[#This Row],[Trend]]</f>
        <v>MSSP_ATTRIBUTEDReadmission Quality</v>
      </c>
      <c r="B70" t="s">
        <v>128</v>
      </c>
      <c r="C70" t="s">
        <v>16</v>
      </c>
      <c r="D70">
        <v>10</v>
      </c>
      <c r="E70">
        <v>5</v>
      </c>
    </row>
    <row r="71" spans="1:5" x14ac:dyDescent="0.25">
      <c r="A71" s="5" t="str">
        <f>Threshold[[#This Row],[Population]]&amp;Threshold[[#This Row],[Trend]]</f>
        <v>MSSP_NONATTRIBUTEDAncillary Claim Count</v>
      </c>
      <c r="B71" t="s">
        <v>129</v>
      </c>
      <c r="C71" t="s">
        <v>33</v>
      </c>
      <c r="D71">
        <v>10</v>
      </c>
      <c r="E71">
        <v>5</v>
      </c>
    </row>
    <row r="72" spans="1:5" x14ac:dyDescent="0.25">
      <c r="A72" s="5" t="str">
        <f>Threshold[[#This Row],[Population]]&amp;Threshold[[#This Row],[Trend]]</f>
        <v>MSSP_NONATTRIBUTEDAvoidable Admission Cost</v>
      </c>
      <c r="B72" t="s">
        <v>129</v>
      </c>
      <c r="C72" t="s">
        <v>17</v>
      </c>
      <c r="D72">
        <v>10</v>
      </c>
      <c r="E72">
        <v>5</v>
      </c>
    </row>
    <row r="73" spans="1:5" x14ac:dyDescent="0.25">
      <c r="A73" s="5" t="str">
        <f>Threshold[[#This Row],[Population]]&amp;Threshold[[#This Row],[Trend]]</f>
        <v>MSSP_NONATTRIBUTEDAvoidable Admission Quality</v>
      </c>
      <c r="B73" t="s">
        <v>129</v>
      </c>
      <c r="C73" t="s">
        <v>18</v>
      </c>
      <c r="D73">
        <v>10</v>
      </c>
      <c r="E73">
        <v>5</v>
      </c>
    </row>
    <row r="74" spans="1:5" x14ac:dyDescent="0.25">
      <c r="A74" s="5" t="str">
        <f>Threshold[[#This Row],[Population]]&amp;Threshold[[#This Row],[Trend]]</f>
        <v>MSSP_NONATTRIBUTEDChronic Disease Management - Cost</v>
      </c>
      <c r="B74" t="s">
        <v>129</v>
      </c>
      <c r="C74" t="s">
        <v>28</v>
      </c>
      <c r="D74">
        <v>10</v>
      </c>
      <c r="E74">
        <v>5</v>
      </c>
    </row>
    <row r="75" spans="1:5" x14ac:dyDescent="0.25">
      <c r="A75" s="5" t="str">
        <f>Threshold[[#This Row],[Population]]&amp;Threshold[[#This Row],[Trend]]</f>
        <v>MSSP_NONATTRIBUTEDChronic Disease Management - Members</v>
      </c>
      <c r="B75" t="s">
        <v>129</v>
      </c>
      <c r="C75" t="s">
        <v>29</v>
      </c>
      <c r="D75">
        <v>10</v>
      </c>
      <c r="E75">
        <v>5</v>
      </c>
    </row>
    <row r="76" spans="1:5" x14ac:dyDescent="0.25">
      <c r="A76" s="5" t="str">
        <f>Threshold[[#This Row],[Population]]&amp;Threshold[[#This Row],[Trend]]</f>
        <v>MSSP_NONATTRIBUTEDDrug - Generic Utilization</v>
      </c>
      <c r="B76" t="s">
        <v>129</v>
      </c>
      <c r="C76" t="s">
        <v>27</v>
      </c>
      <c r="D76">
        <v>10</v>
      </c>
      <c r="E76">
        <v>5</v>
      </c>
    </row>
    <row r="77" spans="1:5" x14ac:dyDescent="0.25">
      <c r="A77" s="5" t="str">
        <f>Threshold[[#This Row],[Population]]&amp;Threshold[[#This Row],[Trend]]</f>
        <v>MSSP_NONATTRIBUTEDDrug - Generic Utilization Cost</v>
      </c>
      <c r="B77" t="s">
        <v>129</v>
      </c>
      <c r="C77" t="s">
        <v>26</v>
      </c>
      <c r="D77">
        <v>10</v>
      </c>
      <c r="E77">
        <v>5</v>
      </c>
    </row>
    <row r="78" spans="1:5" x14ac:dyDescent="0.25">
      <c r="A78" s="5" t="str">
        <f>Threshold[[#This Row],[Population]]&amp;Threshold[[#This Row],[Trend]]</f>
        <v>MSSP_NONATTRIBUTEDDrug Claim Count</v>
      </c>
      <c r="B78" t="s">
        <v>129</v>
      </c>
      <c r="C78" t="s">
        <v>34</v>
      </c>
      <c r="D78">
        <v>10</v>
      </c>
      <c r="E78">
        <v>5</v>
      </c>
    </row>
    <row r="79" spans="1:5" x14ac:dyDescent="0.25">
      <c r="A79" s="5" t="str">
        <f>Threshold[[#This Row],[Population]]&amp;Threshold[[#This Row],[Trend]]</f>
        <v>MSSP_NONATTRIBUTEDDrug PMPM</v>
      </c>
      <c r="B79" t="s">
        <v>129</v>
      </c>
      <c r="C79" t="s">
        <v>13</v>
      </c>
      <c r="D79">
        <v>10</v>
      </c>
      <c r="E79">
        <v>5</v>
      </c>
    </row>
    <row r="80" spans="1:5" x14ac:dyDescent="0.25">
      <c r="A80" s="5" t="str">
        <f>Threshold[[#This Row],[Population]]&amp;Threshold[[#This Row],[Trend]]</f>
        <v>MSSP_NONATTRIBUTEDED Cost</v>
      </c>
      <c r="B80" t="s">
        <v>129</v>
      </c>
      <c r="C80" t="s">
        <v>24</v>
      </c>
      <c r="D80">
        <v>10</v>
      </c>
      <c r="E80">
        <v>5</v>
      </c>
    </row>
    <row r="81" spans="1:5" x14ac:dyDescent="0.25">
      <c r="A81" s="5" t="str">
        <f>Threshold[[#This Row],[Population]]&amp;Threshold[[#This Row],[Trend]]</f>
        <v>MSSP_NONATTRIBUTEDED Utilization</v>
      </c>
      <c r="B81" t="s">
        <v>129</v>
      </c>
      <c r="C81" t="s">
        <v>25</v>
      </c>
      <c r="D81">
        <v>10</v>
      </c>
      <c r="E81">
        <v>5</v>
      </c>
    </row>
    <row r="82" spans="1:5" x14ac:dyDescent="0.25">
      <c r="A82" s="5" t="str">
        <f>Threshold[[#This Row],[Population]]&amp;Threshold[[#This Row],[Trend]]</f>
        <v>MSSP_NONATTRIBUTEDHospiatl Outpatient CTs per 1k</v>
      </c>
      <c r="B82" t="s">
        <v>129</v>
      </c>
      <c r="C82" t="s">
        <v>21</v>
      </c>
      <c r="D82">
        <v>10</v>
      </c>
      <c r="E82">
        <v>5</v>
      </c>
    </row>
    <row r="83" spans="1:5" x14ac:dyDescent="0.25">
      <c r="A83" s="5" t="str">
        <f>Threshold[[#This Row],[Population]]&amp;Threshold[[#This Row],[Trend]]</f>
        <v>MSSP_NONATTRIBUTEDHospiatl Outpatient MRIs per 1k</v>
      </c>
      <c r="B83" t="s">
        <v>129</v>
      </c>
      <c r="C83" t="s">
        <v>20</v>
      </c>
      <c r="D83">
        <v>10</v>
      </c>
      <c r="E83">
        <v>5</v>
      </c>
    </row>
    <row r="84" spans="1:5" x14ac:dyDescent="0.25">
      <c r="A84" s="5" t="str">
        <f>Threshold[[#This Row],[Population]]&amp;Threshold[[#This Row],[Trend]]</f>
        <v>MSSP_NONATTRIBUTEDInpatient Claim Count</v>
      </c>
      <c r="B84" t="s">
        <v>129</v>
      </c>
      <c r="C84" t="s">
        <v>30</v>
      </c>
      <c r="D84">
        <v>10</v>
      </c>
      <c r="E84">
        <v>5</v>
      </c>
    </row>
    <row r="85" spans="1:5" x14ac:dyDescent="0.25">
      <c r="A85" s="5" t="str">
        <f>Threshold[[#This Row],[Population]]&amp;Threshold[[#This Row],[Trend]]</f>
        <v>MSSP_NONATTRIBUTEDMedical PMPM</v>
      </c>
      <c r="B85" t="s">
        <v>129</v>
      </c>
      <c r="C85" t="s">
        <v>12</v>
      </c>
      <c r="D85">
        <v>10</v>
      </c>
      <c r="E85">
        <v>5</v>
      </c>
    </row>
    <row r="86" spans="1:5" x14ac:dyDescent="0.25">
      <c r="A86" s="5" t="str">
        <f>Threshold[[#This Row],[Population]]&amp;Threshold[[#This Row],[Trend]]</f>
        <v>MSSP_NONATTRIBUTEDOffice Based CTs per 1k</v>
      </c>
      <c r="B86" t="s">
        <v>129</v>
      </c>
      <c r="C86" t="s">
        <v>23</v>
      </c>
      <c r="D86">
        <v>10</v>
      </c>
      <c r="E86">
        <v>5</v>
      </c>
    </row>
    <row r="87" spans="1:5" x14ac:dyDescent="0.25">
      <c r="A87" s="5" t="str">
        <f>Threshold[[#This Row],[Population]]&amp;Threshold[[#This Row],[Trend]]</f>
        <v>MSSP_NONATTRIBUTEDOffice Based MRIs per 1k</v>
      </c>
      <c r="B87" t="s">
        <v>129</v>
      </c>
      <c r="C87" t="s">
        <v>22</v>
      </c>
      <c r="D87">
        <v>10</v>
      </c>
      <c r="E87">
        <v>5</v>
      </c>
    </row>
    <row r="88" spans="1:5" x14ac:dyDescent="0.25">
      <c r="A88" s="5" t="str">
        <f>Threshold[[#This Row],[Population]]&amp;Threshold[[#This Row],[Trend]]</f>
        <v>MSSP_NONATTRIBUTEDOutpatient Claim Count</v>
      </c>
      <c r="B88" t="s">
        <v>129</v>
      </c>
      <c r="C88" t="s">
        <v>31</v>
      </c>
      <c r="D88">
        <v>10</v>
      </c>
      <c r="E88">
        <v>5</v>
      </c>
    </row>
    <row r="89" spans="1:5" x14ac:dyDescent="0.25">
      <c r="A89" s="5" t="str">
        <f>Threshold[[#This Row],[Population]]&amp;Threshold[[#This Row],[Trend]]</f>
        <v>MSSP_NONATTRIBUTEDOutpatient Imaging Cost</v>
      </c>
      <c r="B89" t="s">
        <v>129</v>
      </c>
      <c r="C89" t="s">
        <v>19</v>
      </c>
      <c r="D89">
        <v>10</v>
      </c>
      <c r="E89">
        <v>5</v>
      </c>
    </row>
    <row r="90" spans="1:5" x14ac:dyDescent="0.25">
      <c r="A90" s="5" t="str">
        <f>Threshold[[#This Row],[Population]]&amp;Threshold[[#This Row],[Trend]]</f>
        <v>MSSP_NONATTRIBUTEDOverall PMPM</v>
      </c>
      <c r="B90" t="s">
        <v>129</v>
      </c>
      <c r="C90" t="s">
        <v>14</v>
      </c>
      <c r="D90">
        <v>10</v>
      </c>
      <c r="E90">
        <v>5</v>
      </c>
    </row>
    <row r="91" spans="1:5" x14ac:dyDescent="0.25">
      <c r="A91" s="5" t="str">
        <f>Threshold[[#This Row],[Population]]&amp;Threshold[[#This Row],[Trend]]</f>
        <v>MSSP_NONATTRIBUTEDProfessional Claim Count</v>
      </c>
      <c r="B91" t="s">
        <v>129</v>
      </c>
      <c r="C91" t="s">
        <v>32</v>
      </c>
      <c r="D91">
        <v>10</v>
      </c>
      <c r="E91">
        <v>5</v>
      </c>
    </row>
    <row r="92" spans="1:5" x14ac:dyDescent="0.25">
      <c r="A92" s="5" t="str">
        <f>Threshold[[#This Row],[Population]]&amp;Threshold[[#This Row],[Trend]]</f>
        <v>MSSP_NONATTRIBUTEDReadmission Cost</v>
      </c>
      <c r="B92" t="s">
        <v>129</v>
      </c>
      <c r="C92" t="s">
        <v>15</v>
      </c>
      <c r="D92">
        <v>10</v>
      </c>
      <c r="E92">
        <v>5</v>
      </c>
    </row>
    <row r="93" spans="1:5" x14ac:dyDescent="0.25">
      <c r="A93" s="5" t="str">
        <f>Threshold[[#This Row],[Population]]&amp;Threshold[[#This Row],[Trend]]</f>
        <v>MSSP_NONATTRIBUTEDReadmission Quality</v>
      </c>
      <c r="B93" t="s">
        <v>129</v>
      </c>
      <c r="C93" t="s">
        <v>16</v>
      </c>
      <c r="D93">
        <v>10</v>
      </c>
      <c r="E93">
        <v>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91"/>
  <sheetViews>
    <sheetView topLeftCell="C1" workbookViewId="0">
      <selection activeCell="I2" sqref="I2"/>
    </sheetView>
  </sheetViews>
  <sheetFormatPr defaultRowHeight="15" x14ac:dyDescent="0.25"/>
  <cols>
    <col min="1" max="1" width="46.7109375" bestFit="1" customWidth="1"/>
    <col min="2" max="2" width="46.7109375" customWidth="1"/>
    <col min="3" max="3" width="11.85546875" customWidth="1"/>
    <col min="4" max="4" width="9.7109375" bestFit="1" customWidth="1"/>
    <col min="5" max="5" width="14.42578125" customWidth="1"/>
    <col min="6" max="6" width="38.140625" bestFit="1" customWidth="1"/>
    <col min="7" max="7" width="13.85546875" customWidth="1"/>
    <col min="8" max="8" width="14" customWidth="1"/>
    <col min="9" max="9" width="17.28515625" customWidth="1"/>
    <col min="10" max="11" width="23.7109375" customWidth="1"/>
    <col min="12" max="12" width="27" customWidth="1"/>
    <col min="13" max="13" width="23.42578125" customWidth="1"/>
  </cols>
  <sheetData>
    <row r="1" spans="1:13" x14ac:dyDescent="0.25">
      <c r="A1" t="s">
        <v>0</v>
      </c>
      <c r="B1" t="s">
        <v>85</v>
      </c>
      <c r="C1" t="s">
        <v>1</v>
      </c>
      <c r="D1" t="s">
        <v>2</v>
      </c>
      <c r="E1" t="s">
        <v>3</v>
      </c>
      <c r="F1" t="s">
        <v>4</v>
      </c>
      <c r="G1" t="s">
        <v>5</v>
      </c>
      <c r="H1" t="s">
        <v>6</v>
      </c>
      <c r="I1" t="s">
        <v>7</v>
      </c>
      <c r="J1" t="s">
        <v>88</v>
      </c>
      <c r="K1" t="s">
        <v>86</v>
      </c>
      <c r="L1" t="s">
        <v>87</v>
      </c>
      <c r="M1" t="s">
        <v>89</v>
      </c>
    </row>
    <row r="2" spans="1:13" x14ac:dyDescent="0.25">
      <c r="A2" t="s">
        <v>90</v>
      </c>
      <c r="B2" t="s">
        <v>90</v>
      </c>
      <c r="C2" t="s">
        <v>91</v>
      </c>
      <c r="D2" s="1" t="s">
        <v>92</v>
      </c>
      <c r="E2" t="s">
        <v>93</v>
      </c>
      <c r="F2" t="s">
        <v>12</v>
      </c>
      <c r="G2">
        <v>1</v>
      </c>
      <c r="H2">
        <v>386.56</v>
      </c>
      <c r="I2" s="5">
        <f>IFERROR(VLOOKUP(TrendSheetStgData[Population]&amp;TrendSheetStgData[Cost Basis]&amp;TrendSheetStgData[Period]&amp;TrendSheetStgData[Trend],TrendSheetPrdData[#All],9,FALSE),0)</f>
        <v>381.69</v>
      </c>
      <c r="J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1.2759045298540712</v>
      </c>
      <c r="K2" s="5">
        <f>VLOOKUP(TrendSheetStgData[Population]&amp;TrendSheetStgData[Trend],Threshold[#All],4,FALSE)</f>
        <v>10</v>
      </c>
      <c r="L2" s="5">
        <f>VLOOKUP(TrendSheetStgData[Population]&amp;TrendSheetStgData[Trend],Threshold[#All],5,FALSE)</f>
        <v>5</v>
      </c>
      <c r="M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 spans="1:13" x14ac:dyDescent="0.25">
      <c r="A3" t="s">
        <v>90</v>
      </c>
      <c r="B3" t="s">
        <v>90</v>
      </c>
      <c r="C3" t="s">
        <v>91</v>
      </c>
      <c r="D3" s="1" t="s">
        <v>94</v>
      </c>
      <c r="E3" t="s">
        <v>93</v>
      </c>
      <c r="F3" t="s">
        <v>12</v>
      </c>
      <c r="G3">
        <v>1</v>
      </c>
      <c r="H3">
        <v>765.94</v>
      </c>
      <c r="I3" s="5">
        <f>IFERROR(VLOOKUP(TrendSheetStgData[Population]&amp;TrendSheetStgData[Cost Basis]&amp;TrendSheetStgData[Period]&amp;TrendSheetStgData[Trend],TrendSheetPrdData[#All],9,FALSE),0)</f>
        <v>401.11</v>
      </c>
      <c r="J3" s="5">
        <f>IF(AND(TrendSheetStgData[Staging Data] = 0, TrendSheetStgData[Production Data]=0),0,IF(OR(TrendSheetStgData[Staging Data] = 0, TrendSheetStgData[Production Data]=0), 100, ABS((TrendSheetStgData[[#This Row],[Staging Data]]-TrendSheetStgData[[#This Row],[Production Data]])/TrendSheetStgData[[#This Row],[Production Data]]*100)))</f>
        <v>90.955099598613856</v>
      </c>
      <c r="K3" s="5">
        <f>VLOOKUP(TrendSheetStgData[Population]&amp;TrendSheetStgData[Trend],Threshold[#All],4,FALSE)</f>
        <v>10</v>
      </c>
      <c r="L3" s="5">
        <f>VLOOKUP(TrendSheetStgData[Population]&amp;TrendSheetStgData[Trend],Threshold[#All],5,FALSE)</f>
        <v>5</v>
      </c>
      <c r="M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 spans="1:13" x14ac:dyDescent="0.25">
      <c r="A4" t="s">
        <v>90</v>
      </c>
      <c r="B4" t="s">
        <v>90</v>
      </c>
      <c r="C4" t="s">
        <v>91</v>
      </c>
      <c r="D4" s="1" t="s">
        <v>95</v>
      </c>
      <c r="E4" t="s">
        <v>93</v>
      </c>
      <c r="F4" t="s">
        <v>12</v>
      </c>
      <c r="G4">
        <v>1</v>
      </c>
      <c r="H4">
        <v>404.58</v>
      </c>
      <c r="I4" s="5">
        <f>IFERROR(VLOOKUP(TrendSheetStgData[Population]&amp;TrendSheetStgData[Cost Basis]&amp;TrendSheetStgData[Period]&amp;TrendSheetStgData[Trend],TrendSheetPrdData[#All],9,FALSE),0)</f>
        <v>394.58</v>
      </c>
      <c r="J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2.5343403112169902</v>
      </c>
      <c r="K4" s="5">
        <f>VLOOKUP(TrendSheetStgData[Population]&amp;TrendSheetStgData[Trend],Threshold[#All],4,FALSE)</f>
        <v>10</v>
      </c>
      <c r="L4" s="5">
        <f>VLOOKUP(TrendSheetStgData[Population]&amp;TrendSheetStgData[Trend],Threshold[#All],5,FALSE)</f>
        <v>5</v>
      </c>
      <c r="M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 spans="1:13" x14ac:dyDescent="0.25">
      <c r="A5" t="s">
        <v>90</v>
      </c>
      <c r="B5" t="s">
        <v>90</v>
      </c>
      <c r="C5" t="s">
        <v>91</v>
      </c>
      <c r="D5" s="1" t="s">
        <v>96</v>
      </c>
      <c r="E5" t="s">
        <v>93</v>
      </c>
      <c r="F5" t="s">
        <v>12</v>
      </c>
      <c r="G5">
        <v>1</v>
      </c>
      <c r="H5">
        <v>408.93</v>
      </c>
      <c r="I5" s="5">
        <f>IFERROR(VLOOKUP(TrendSheetStgData[Population]&amp;TrendSheetStgData[Cost Basis]&amp;TrendSheetStgData[Period]&amp;TrendSheetStgData[Trend],TrendSheetPrdData[#All],9,FALSE),0)</f>
        <v>403.52</v>
      </c>
      <c r="J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1.340701823949253</v>
      </c>
      <c r="K5" s="5">
        <f>VLOOKUP(TrendSheetStgData[Population]&amp;TrendSheetStgData[Trend],Threshold[#All],4,FALSE)</f>
        <v>10</v>
      </c>
      <c r="L5" s="5">
        <f>VLOOKUP(TrendSheetStgData[Population]&amp;TrendSheetStgData[Trend],Threshold[#All],5,FALSE)</f>
        <v>5</v>
      </c>
      <c r="M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 spans="1:13" x14ac:dyDescent="0.25">
      <c r="A6" t="s">
        <v>90</v>
      </c>
      <c r="B6" t="s">
        <v>90</v>
      </c>
      <c r="C6" t="s">
        <v>91</v>
      </c>
      <c r="D6" s="1" t="s">
        <v>97</v>
      </c>
      <c r="E6" t="s">
        <v>93</v>
      </c>
      <c r="F6" t="s">
        <v>12</v>
      </c>
      <c r="G6">
        <v>1</v>
      </c>
      <c r="H6">
        <v>393.42</v>
      </c>
      <c r="I6" s="5">
        <f>IFERROR(VLOOKUP(TrendSheetStgData[Population]&amp;TrendSheetStgData[Cost Basis]&amp;TrendSheetStgData[Period]&amp;TrendSheetStgData[Trend],TrendSheetPrdData[#All],9,FALSE),0)</f>
        <v>377.99</v>
      </c>
      <c r="J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4.0821185745654667</v>
      </c>
      <c r="K6" s="5">
        <f>VLOOKUP(TrendSheetStgData[Population]&amp;TrendSheetStgData[Trend],Threshold[#All],4,FALSE)</f>
        <v>10</v>
      </c>
      <c r="L6" s="5">
        <f>VLOOKUP(TrendSheetStgData[Population]&amp;TrendSheetStgData[Trend],Threshold[#All],5,FALSE)</f>
        <v>5</v>
      </c>
      <c r="M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 spans="1:13" x14ac:dyDescent="0.25">
      <c r="A7" t="s">
        <v>90</v>
      </c>
      <c r="B7" t="s">
        <v>90</v>
      </c>
      <c r="C7" t="s">
        <v>91</v>
      </c>
      <c r="D7" s="1" t="s">
        <v>98</v>
      </c>
      <c r="E7" t="s">
        <v>93</v>
      </c>
      <c r="F7" t="s">
        <v>12</v>
      </c>
      <c r="G7">
        <v>1</v>
      </c>
      <c r="H7">
        <v>265.52</v>
      </c>
      <c r="I7" s="5">
        <f>IFERROR(VLOOKUP(TrendSheetStgData[Population]&amp;TrendSheetStgData[Cost Basis]&amp;TrendSheetStgData[Period]&amp;TrendSheetStgData[Trend],TrendSheetPrdData[#All],9,FALSE),0)</f>
        <v>259.79000000000002</v>
      </c>
      <c r="J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2.2056276223103124</v>
      </c>
      <c r="K7" s="5">
        <f>VLOOKUP(TrendSheetStgData[Population]&amp;TrendSheetStgData[Trend],Threshold[#All],4,FALSE)</f>
        <v>10</v>
      </c>
      <c r="L7" s="5">
        <f>VLOOKUP(TrendSheetStgData[Population]&amp;TrendSheetStgData[Trend],Threshold[#All],5,FALSE)</f>
        <v>5</v>
      </c>
      <c r="M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 spans="1:13" x14ac:dyDescent="0.25">
      <c r="A8" t="s">
        <v>90</v>
      </c>
      <c r="B8" t="s">
        <v>90</v>
      </c>
      <c r="C8" t="s">
        <v>91</v>
      </c>
      <c r="D8" s="1" t="s">
        <v>99</v>
      </c>
      <c r="E8" t="s">
        <v>93</v>
      </c>
      <c r="F8" t="s">
        <v>12</v>
      </c>
      <c r="G8">
        <v>1</v>
      </c>
      <c r="H8">
        <v>274.58</v>
      </c>
      <c r="I8" s="5">
        <f>IFERROR(VLOOKUP(TrendSheetStgData[Population]&amp;TrendSheetStgData[Cost Basis]&amp;TrendSheetStgData[Period]&amp;TrendSheetStgData[Trend],TrendSheetPrdData[#All],9,FALSE),0)</f>
        <v>270.61</v>
      </c>
      <c r="J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1.4670559107202137</v>
      </c>
      <c r="K8" s="5">
        <f>VLOOKUP(TrendSheetStgData[Population]&amp;TrendSheetStgData[Trend],Threshold[#All],4,FALSE)</f>
        <v>10</v>
      </c>
      <c r="L8" s="5">
        <f>VLOOKUP(TrendSheetStgData[Population]&amp;TrendSheetStgData[Trend],Threshold[#All],5,FALSE)</f>
        <v>5</v>
      </c>
      <c r="M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 spans="1:13" x14ac:dyDescent="0.25">
      <c r="A9" t="s">
        <v>90</v>
      </c>
      <c r="B9" t="s">
        <v>90</v>
      </c>
      <c r="C9" t="s">
        <v>91</v>
      </c>
      <c r="D9" s="1" t="s">
        <v>100</v>
      </c>
      <c r="E9" t="s">
        <v>93</v>
      </c>
      <c r="F9" t="s">
        <v>12</v>
      </c>
      <c r="G9">
        <v>1</v>
      </c>
      <c r="H9">
        <v>368.61</v>
      </c>
      <c r="I9" s="5">
        <f>IFERROR(VLOOKUP(TrendSheetStgData[Population]&amp;TrendSheetStgData[Cost Basis]&amp;TrendSheetStgData[Period]&amp;TrendSheetStgData[Trend],TrendSheetPrdData[#All],9,FALSE),0)</f>
        <v>371.32</v>
      </c>
      <c r="J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0.72982871916405778</v>
      </c>
      <c r="K9" s="5">
        <f>VLOOKUP(TrendSheetStgData[Population]&amp;TrendSheetStgData[Trend],Threshold[#All],4,FALSE)</f>
        <v>10</v>
      </c>
      <c r="L9" s="5">
        <f>VLOOKUP(TrendSheetStgData[Population]&amp;TrendSheetStgData[Trend],Threshold[#All],5,FALSE)</f>
        <v>5</v>
      </c>
      <c r="M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 spans="1:13" x14ac:dyDescent="0.25">
      <c r="A10" t="s">
        <v>90</v>
      </c>
      <c r="B10" t="s">
        <v>90</v>
      </c>
      <c r="C10" t="s">
        <v>91</v>
      </c>
      <c r="D10" s="1" t="s">
        <v>101</v>
      </c>
      <c r="E10" t="s">
        <v>93</v>
      </c>
      <c r="F10" t="s">
        <v>12</v>
      </c>
      <c r="G10">
        <v>1</v>
      </c>
      <c r="H10">
        <v>309.47000000000003</v>
      </c>
      <c r="I10" s="5">
        <f>IFERROR(VLOOKUP(TrendSheetStgData[Population]&amp;TrendSheetStgData[Cost Basis]&amp;TrendSheetStgData[Period]&amp;TrendSheetStgData[Trend],TrendSheetPrdData[#All],9,FALSE),0)</f>
        <v>306.60000000000002</v>
      </c>
      <c r="J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0.93607305936073204</v>
      </c>
      <c r="K10" s="5">
        <f>VLOOKUP(TrendSheetStgData[Population]&amp;TrendSheetStgData[Trend],Threshold[#All],4,FALSE)</f>
        <v>10</v>
      </c>
      <c r="L10" s="5">
        <f>VLOOKUP(TrendSheetStgData[Population]&amp;TrendSheetStgData[Trend],Threshold[#All],5,FALSE)</f>
        <v>5</v>
      </c>
      <c r="M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1" spans="1:13" x14ac:dyDescent="0.25">
      <c r="A11" t="s">
        <v>90</v>
      </c>
      <c r="B11" t="s">
        <v>90</v>
      </c>
      <c r="C11" t="s">
        <v>91</v>
      </c>
      <c r="D11" s="1" t="s">
        <v>102</v>
      </c>
      <c r="E11" t="s">
        <v>93</v>
      </c>
      <c r="F11" t="s">
        <v>12</v>
      </c>
      <c r="G11">
        <v>1</v>
      </c>
      <c r="H11">
        <v>315.42</v>
      </c>
      <c r="I11" s="5">
        <f>IFERROR(VLOOKUP(TrendSheetStgData[Population]&amp;TrendSheetStgData[Cost Basis]&amp;TrendSheetStgData[Period]&amp;TrendSheetStgData[Trend],TrendSheetPrdData[#All],9,FALSE),0)</f>
        <v>298.95999999999998</v>
      </c>
      <c r="J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5.5057532780305181</v>
      </c>
      <c r="K11" s="5">
        <f>VLOOKUP(TrendSheetStgData[Population]&amp;TrendSheetStgData[Trend],Threshold[#All],4,FALSE)</f>
        <v>10</v>
      </c>
      <c r="L11" s="5">
        <f>VLOOKUP(TrendSheetStgData[Population]&amp;TrendSheetStgData[Trend],Threshold[#All],5,FALSE)</f>
        <v>5</v>
      </c>
      <c r="M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2" spans="1:13" x14ac:dyDescent="0.25">
      <c r="A12" t="s">
        <v>90</v>
      </c>
      <c r="B12" t="s">
        <v>90</v>
      </c>
      <c r="C12" t="s">
        <v>91</v>
      </c>
      <c r="D12" s="1" t="s">
        <v>103</v>
      </c>
      <c r="E12" t="s">
        <v>93</v>
      </c>
      <c r="F12" t="s">
        <v>12</v>
      </c>
      <c r="G12">
        <v>1</v>
      </c>
      <c r="H12">
        <v>251.64</v>
      </c>
      <c r="I12" s="5">
        <f>IFERROR(VLOOKUP(TrendSheetStgData[Population]&amp;TrendSheetStgData[Cost Basis]&amp;TrendSheetStgData[Period]&amp;TrendSheetStgData[Trend],TrendSheetPrdData[#All],9,FALSE),0)</f>
        <v>233.66</v>
      </c>
      <c r="J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7.6949413677993626</v>
      </c>
      <c r="K12" s="5">
        <f>VLOOKUP(TrendSheetStgData[Population]&amp;TrendSheetStgData[Trend],Threshold[#All],4,FALSE)</f>
        <v>10</v>
      </c>
      <c r="L12" s="5">
        <f>VLOOKUP(TrendSheetStgData[Population]&amp;TrendSheetStgData[Trend],Threshold[#All],5,FALSE)</f>
        <v>5</v>
      </c>
      <c r="M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3" spans="1:13" x14ac:dyDescent="0.25">
      <c r="A13" t="s">
        <v>90</v>
      </c>
      <c r="B13" t="s">
        <v>90</v>
      </c>
      <c r="C13" t="s">
        <v>91</v>
      </c>
      <c r="D13" s="1" t="s">
        <v>104</v>
      </c>
      <c r="E13" t="s">
        <v>93</v>
      </c>
      <c r="F13" t="s">
        <v>12</v>
      </c>
      <c r="G13">
        <v>1</v>
      </c>
      <c r="H13">
        <v>241.7</v>
      </c>
      <c r="I13" s="5">
        <f>IFERROR(VLOOKUP(TrendSheetStgData[Population]&amp;TrendSheetStgData[Cost Basis]&amp;TrendSheetStgData[Period]&amp;TrendSheetStgData[Trend],TrendSheetPrdData[#All],9,FALSE),0)</f>
        <v>231.97</v>
      </c>
      <c r="J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4.1945079105056644</v>
      </c>
      <c r="K13" s="5">
        <f>VLOOKUP(TrendSheetStgData[Population]&amp;TrendSheetStgData[Trend],Threshold[#All],4,FALSE)</f>
        <v>10</v>
      </c>
      <c r="L13" s="5">
        <f>VLOOKUP(TrendSheetStgData[Population]&amp;TrendSheetStgData[Trend],Threshold[#All],5,FALSE)</f>
        <v>5</v>
      </c>
      <c r="M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 spans="1:13" x14ac:dyDescent="0.25">
      <c r="A14" t="s">
        <v>90</v>
      </c>
      <c r="B14" t="s">
        <v>90</v>
      </c>
      <c r="C14" t="s">
        <v>91</v>
      </c>
      <c r="D14" s="1" t="s">
        <v>105</v>
      </c>
      <c r="E14" t="s">
        <v>106</v>
      </c>
      <c r="F14" t="s">
        <v>12</v>
      </c>
      <c r="G14">
        <v>1</v>
      </c>
      <c r="H14">
        <v>297.49</v>
      </c>
      <c r="I14" s="5">
        <f>IFERROR(VLOOKUP(TrendSheetStgData[Population]&amp;TrendSheetStgData[Cost Basis]&amp;TrendSheetStgData[Period]&amp;TrendSheetStgData[Trend],TrendSheetPrdData[#All],9,FALSE),0)</f>
        <v>264.87</v>
      </c>
      <c r="J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12.315475516291013</v>
      </c>
      <c r="K14" s="5">
        <f>VLOOKUP(TrendSheetStgData[Population]&amp;TrendSheetStgData[Trend],Threshold[#All],4,FALSE)</f>
        <v>10</v>
      </c>
      <c r="L14" s="5">
        <f>VLOOKUP(TrendSheetStgData[Population]&amp;TrendSheetStgData[Trend],Threshold[#All],5,FALSE)</f>
        <v>5</v>
      </c>
      <c r="M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 spans="1:13" x14ac:dyDescent="0.25">
      <c r="A15" t="s">
        <v>90</v>
      </c>
      <c r="B15" t="s">
        <v>90</v>
      </c>
      <c r="C15" t="s">
        <v>91</v>
      </c>
      <c r="D15" s="1" t="s">
        <v>107</v>
      </c>
      <c r="E15" t="s">
        <v>106</v>
      </c>
      <c r="F15" t="s">
        <v>12</v>
      </c>
      <c r="G15">
        <v>1</v>
      </c>
      <c r="H15">
        <v>486.72</v>
      </c>
      <c r="I15" s="5">
        <f>IFERROR(VLOOKUP(TrendSheetStgData[Population]&amp;TrendSheetStgData[Cost Basis]&amp;TrendSheetStgData[Period]&amp;TrendSheetStgData[Trend],TrendSheetPrdData[#All],9,FALSE),0)</f>
        <v>74.290000000000006</v>
      </c>
      <c r="J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555.16220218064336</v>
      </c>
      <c r="K15" s="5">
        <f>VLOOKUP(TrendSheetStgData[Population]&amp;TrendSheetStgData[Trend],Threshold[#All],4,FALSE)</f>
        <v>10</v>
      </c>
      <c r="L15" s="5">
        <f>VLOOKUP(TrendSheetStgData[Population]&amp;TrendSheetStgData[Trend],Threshold[#All],5,FALSE)</f>
        <v>5</v>
      </c>
      <c r="M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 spans="1:13" x14ac:dyDescent="0.25">
      <c r="A16" t="s">
        <v>90</v>
      </c>
      <c r="B16" t="s">
        <v>90</v>
      </c>
      <c r="C16" t="s">
        <v>91</v>
      </c>
      <c r="D16" s="1" t="s">
        <v>108</v>
      </c>
      <c r="E16" t="s">
        <v>106</v>
      </c>
      <c r="F16" t="s">
        <v>12</v>
      </c>
      <c r="G16">
        <v>1</v>
      </c>
      <c r="H16">
        <v>124.99</v>
      </c>
      <c r="I16" s="5">
        <f>IFERROR(VLOOKUP(TrendSheetStgData[Population]&amp;TrendSheetStgData[Cost Basis]&amp;TrendSheetStgData[Period]&amp;TrendSheetStgData[Trend],TrendSheetPrdData[#All],9,FALSE),0)</f>
        <v>0</v>
      </c>
      <c r="J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6" s="5">
        <f>VLOOKUP(TrendSheetStgData[Population]&amp;TrendSheetStgData[Trend],Threshold[#All],4,FALSE)</f>
        <v>10</v>
      </c>
      <c r="L16" s="5">
        <f>VLOOKUP(TrendSheetStgData[Population]&amp;TrendSheetStgData[Trend],Threshold[#All],5,FALSE)</f>
        <v>5</v>
      </c>
      <c r="M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 spans="1:13" x14ac:dyDescent="0.25">
      <c r="A17" t="s">
        <v>90</v>
      </c>
      <c r="B17" t="s">
        <v>90</v>
      </c>
      <c r="C17" t="s">
        <v>91</v>
      </c>
      <c r="D17" s="1" t="s">
        <v>92</v>
      </c>
      <c r="E17" t="s">
        <v>93</v>
      </c>
      <c r="F17" t="s">
        <v>13</v>
      </c>
      <c r="G17">
        <v>2</v>
      </c>
      <c r="H17">
        <v>114.94</v>
      </c>
      <c r="I17" s="5">
        <f>IFERROR(VLOOKUP(TrendSheetStgData[Population]&amp;TrendSheetStgData[Cost Basis]&amp;TrendSheetStgData[Period]&amp;TrendSheetStgData[Trend],TrendSheetPrdData[#All],9,FALSE),0)</f>
        <v>114.94</v>
      </c>
      <c r="J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 s="5">
        <f>VLOOKUP(TrendSheetStgData[Population]&amp;TrendSheetStgData[Trend],Threshold[#All],4,FALSE)</f>
        <v>10</v>
      </c>
      <c r="L17" s="5">
        <f>VLOOKUP(TrendSheetStgData[Population]&amp;TrendSheetStgData[Trend],Threshold[#All],5,FALSE)</f>
        <v>5</v>
      </c>
      <c r="M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 spans="1:13" x14ac:dyDescent="0.25">
      <c r="A18" t="s">
        <v>90</v>
      </c>
      <c r="B18" t="s">
        <v>90</v>
      </c>
      <c r="C18" t="s">
        <v>91</v>
      </c>
      <c r="D18" s="1" t="s">
        <v>94</v>
      </c>
      <c r="E18" t="s">
        <v>93</v>
      </c>
      <c r="F18" t="s">
        <v>13</v>
      </c>
      <c r="G18">
        <v>2</v>
      </c>
      <c r="H18">
        <v>152.34</v>
      </c>
      <c r="I18" s="5">
        <f>IFERROR(VLOOKUP(TrendSheetStgData[Population]&amp;TrendSheetStgData[Cost Basis]&amp;TrendSheetStgData[Period]&amp;TrendSheetStgData[Trend],TrendSheetPrdData[#All],9,FALSE),0)</f>
        <v>152.34</v>
      </c>
      <c r="J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 s="5">
        <f>VLOOKUP(TrendSheetStgData[Population]&amp;TrendSheetStgData[Trend],Threshold[#All],4,FALSE)</f>
        <v>10</v>
      </c>
      <c r="L18" s="5">
        <f>VLOOKUP(TrendSheetStgData[Population]&amp;TrendSheetStgData[Trend],Threshold[#All],5,FALSE)</f>
        <v>5</v>
      </c>
      <c r="M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 spans="1:13" x14ac:dyDescent="0.25">
      <c r="A19" t="s">
        <v>90</v>
      </c>
      <c r="B19" t="s">
        <v>90</v>
      </c>
      <c r="C19" t="s">
        <v>91</v>
      </c>
      <c r="D19" s="1" t="s">
        <v>95</v>
      </c>
      <c r="E19" t="s">
        <v>93</v>
      </c>
      <c r="F19" t="s">
        <v>13</v>
      </c>
      <c r="G19">
        <v>2</v>
      </c>
      <c r="H19">
        <v>169.62</v>
      </c>
      <c r="I19" s="5">
        <f>IFERROR(VLOOKUP(TrendSheetStgData[Population]&amp;TrendSheetStgData[Cost Basis]&amp;TrendSheetStgData[Period]&amp;TrendSheetStgData[Trend],TrendSheetPrdData[#All],9,FALSE),0)</f>
        <v>169.62</v>
      </c>
      <c r="J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 s="5">
        <f>VLOOKUP(TrendSheetStgData[Population]&amp;TrendSheetStgData[Trend],Threshold[#All],4,FALSE)</f>
        <v>10</v>
      </c>
      <c r="L19" s="5">
        <f>VLOOKUP(TrendSheetStgData[Population]&amp;TrendSheetStgData[Trend],Threshold[#All],5,FALSE)</f>
        <v>5</v>
      </c>
      <c r="M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 spans="1:13" x14ac:dyDescent="0.25">
      <c r="A20" t="s">
        <v>90</v>
      </c>
      <c r="B20" t="s">
        <v>90</v>
      </c>
      <c r="C20" t="s">
        <v>91</v>
      </c>
      <c r="D20" s="1" t="s">
        <v>96</v>
      </c>
      <c r="E20" t="s">
        <v>93</v>
      </c>
      <c r="F20" t="s">
        <v>13</v>
      </c>
      <c r="G20">
        <v>2</v>
      </c>
      <c r="H20">
        <v>132.41999999999999</v>
      </c>
      <c r="I20" s="5">
        <f>IFERROR(VLOOKUP(TrendSheetStgData[Population]&amp;TrendSheetStgData[Cost Basis]&amp;TrendSheetStgData[Period]&amp;TrendSheetStgData[Trend],TrendSheetPrdData[#All],9,FALSE),0)</f>
        <v>132.4</v>
      </c>
      <c r="J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1.5105740181255142E-2</v>
      </c>
      <c r="K20" s="5">
        <f>VLOOKUP(TrendSheetStgData[Population]&amp;TrendSheetStgData[Trend],Threshold[#All],4,FALSE)</f>
        <v>10</v>
      </c>
      <c r="L20" s="5">
        <f>VLOOKUP(TrendSheetStgData[Population]&amp;TrendSheetStgData[Trend],Threshold[#All],5,FALSE)</f>
        <v>5</v>
      </c>
      <c r="M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1" spans="1:13" x14ac:dyDescent="0.25">
      <c r="A21" t="s">
        <v>90</v>
      </c>
      <c r="B21" t="s">
        <v>90</v>
      </c>
      <c r="C21" t="s">
        <v>91</v>
      </c>
      <c r="D21" s="1" t="s">
        <v>97</v>
      </c>
      <c r="E21" t="s">
        <v>93</v>
      </c>
      <c r="F21" t="s">
        <v>13</v>
      </c>
      <c r="G21">
        <v>2</v>
      </c>
      <c r="H21">
        <v>130.25</v>
      </c>
      <c r="I21" s="5">
        <f>IFERROR(VLOOKUP(TrendSheetStgData[Population]&amp;TrendSheetStgData[Cost Basis]&amp;TrendSheetStgData[Period]&amp;TrendSheetStgData[Trend],TrendSheetPrdData[#All],9,FALSE),0)</f>
        <v>130.30000000000001</v>
      </c>
      <c r="J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3.8372985418274261E-2</v>
      </c>
      <c r="K21" s="5">
        <f>VLOOKUP(TrendSheetStgData[Population]&amp;TrendSheetStgData[Trend],Threshold[#All],4,FALSE)</f>
        <v>10</v>
      </c>
      <c r="L21" s="5">
        <f>VLOOKUP(TrendSheetStgData[Population]&amp;TrendSheetStgData[Trend],Threshold[#All],5,FALSE)</f>
        <v>5</v>
      </c>
      <c r="M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 spans="1:13" x14ac:dyDescent="0.25">
      <c r="A22" t="s">
        <v>90</v>
      </c>
      <c r="B22" t="s">
        <v>90</v>
      </c>
      <c r="C22" t="s">
        <v>91</v>
      </c>
      <c r="D22" s="1" t="s">
        <v>98</v>
      </c>
      <c r="E22" t="s">
        <v>93</v>
      </c>
      <c r="F22" t="s">
        <v>13</v>
      </c>
      <c r="G22">
        <v>2</v>
      </c>
      <c r="H22">
        <v>132.68</v>
      </c>
      <c r="I22" s="5">
        <f>IFERROR(VLOOKUP(TrendSheetStgData[Population]&amp;TrendSheetStgData[Cost Basis]&amp;TrendSheetStgData[Period]&amp;TrendSheetStgData[Trend],TrendSheetPrdData[#All],9,FALSE),0)</f>
        <v>132.72</v>
      </c>
      <c r="J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3.0138637733568445E-2</v>
      </c>
      <c r="K22" s="5">
        <f>VLOOKUP(TrendSheetStgData[Population]&amp;TrendSheetStgData[Trend],Threshold[#All],4,FALSE)</f>
        <v>10</v>
      </c>
      <c r="L22" s="5">
        <f>VLOOKUP(TrendSheetStgData[Population]&amp;TrendSheetStgData[Trend],Threshold[#All],5,FALSE)</f>
        <v>5</v>
      </c>
      <c r="M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 spans="1:13" x14ac:dyDescent="0.25">
      <c r="A23" t="s">
        <v>90</v>
      </c>
      <c r="B23" t="s">
        <v>90</v>
      </c>
      <c r="C23" t="s">
        <v>91</v>
      </c>
      <c r="D23" s="1" t="s">
        <v>99</v>
      </c>
      <c r="E23" t="s">
        <v>93</v>
      </c>
      <c r="F23" t="s">
        <v>13</v>
      </c>
      <c r="G23">
        <v>2</v>
      </c>
      <c r="H23">
        <v>124.21</v>
      </c>
      <c r="I23" s="5">
        <f>IFERROR(VLOOKUP(TrendSheetStgData[Population]&amp;TrendSheetStgData[Cost Basis]&amp;TrendSheetStgData[Period]&amp;TrendSheetStgData[Trend],TrendSheetPrdData[#All],9,FALSE),0)</f>
        <v>124.25</v>
      </c>
      <c r="J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3.2193158953727367E-2</v>
      </c>
      <c r="K23" s="5">
        <f>VLOOKUP(TrendSheetStgData[Population]&amp;TrendSheetStgData[Trend],Threshold[#All],4,FALSE)</f>
        <v>10</v>
      </c>
      <c r="L23" s="5">
        <f>VLOOKUP(TrendSheetStgData[Population]&amp;TrendSheetStgData[Trend],Threshold[#All],5,FALSE)</f>
        <v>5</v>
      </c>
      <c r="M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 spans="1:13" x14ac:dyDescent="0.25">
      <c r="A24" t="s">
        <v>90</v>
      </c>
      <c r="B24" t="s">
        <v>90</v>
      </c>
      <c r="C24" t="s">
        <v>91</v>
      </c>
      <c r="D24" s="1" t="s">
        <v>100</v>
      </c>
      <c r="E24" t="s">
        <v>93</v>
      </c>
      <c r="F24" t="s">
        <v>13</v>
      </c>
      <c r="G24">
        <v>2</v>
      </c>
      <c r="H24">
        <v>125.05</v>
      </c>
      <c r="I24" s="5">
        <f>IFERROR(VLOOKUP(TrendSheetStgData[Population]&amp;TrendSheetStgData[Cost Basis]&amp;TrendSheetStgData[Period]&amp;TrendSheetStgData[Trend],TrendSheetPrdData[#All],9,FALSE),0)</f>
        <v>125.1</v>
      </c>
      <c r="J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3.9968025579534099E-2</v>
      </c>
      <c r="K24" s="5">
        <f>VLOOKUP(TrendSheetStgData[Population]&amp;TrendSheetStgData[Trend],Threshold[#All],4,FALSE)</f>
        <v>10</v>
      </c>
      <c r="L24" s="5">
        <f>VLOOKUP(TrendSheetStgData[Population]&amp;TrendSheetStgData[Trend],Threshold[#All],5,FALSE)</f>
        <v>5</v>
      </c>
      <c r="M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 spans="1:13" x14ac:dyDescent="0.25">
      <c r="A25" t="s">
        <v>90</v>
      </c>
      <c r="B25" t="s">
        <v>90</v>
      </c>
      <c r="C25" t="s">
        <v>91</v>
      </c>
      <c r="D25" s="1" t="s">
        <v>101</v>
      </c>
      <c r="E25" t="s">
        <v>93</v>
      </c>
      <c r="F25" t="s">
        <v>13</v>
      </c>
      <c r="G25">
        <v>2</v>
      </c>
      <c r="H25">
        <v>131.01</v>
      </c>
      <c r="I25" s="5">
        <f>IFERROR(VLOOKUP(TrendSheetStgData[Population]&amp;TrendSheetStgData[Cost Basis]&amp;TrendSheetStgData[Period]&amp;TrendSheetStgData[Trend],TrendSheetPrdData[#All],9,FALSE),0)</f>
        <v>131.1</v>
      </c>
      <c r="J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6.8649885583526624E-2</v>
      </c>
      <c r="K25" s="5">
        <f>VLOOKUP(TrendSheetStgData[Population]&amp;TrendSheetStgData[Trend],Threshold[#All],4,FALSE)</f>
        <v>10</v>
      </c>
      <c r="L25" s="5">
        <f>VLOOKUP(TrendSheetStgData[Population]&amp;TrendSheetStgData[Trend],Threshold[#All],5,FALSE)</f>
        <v>5</v>
      </c>
      <c r="M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 spans="1:13" x14ac:dyDescent="0.25">
      <c r="A26" t="s">
        <v>90</v>
      </c>
      <c r="B26" t="s">
        <v>90</v>
      </c>
      <c r="C26" t="s">
        <v>91</v>
      </c>
      <c r="D26" s="1" t="s">
        <v>102</v>
      </c>
      <c r="E26" t="s">
        <v>93</v>
      </c>
      <c r="F26" t="s">
        <v>13</v>
      </c>
      <c r="G26">
        <v>2</v>
      </c>
      <c r="H26">
        <v>138.69</v>
      </c>
      <c r="I26" s="5">
        <f>IFERROR(VLOOKUP(TrendSheetStgData[Population]&amp;TrendSheetStgData[Cost Basis]&amp;TrendSheetStgData[Period]&amp;TrendSheetStgData[Trend],TrendSheetPrdData[#All],9,FALSE),0)</f>
        <v>138.79</v>
      </c>
      <c r="J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7.2051300525970405E-2</v>
      </c>
      <c r="K26" s="5">
        <f>VLOOKUP(TrendSheetStgData[Population]&amp;TrendSheetStgData[Trend],Threshold[#All],4,FALSE)</f>
        <v>10</v>
      </c>
      <c r="L26" s="5">
        <f>VLOOKUP(TrendSheetStgData[Population]&amp;TrendSheetStgData[Trend],Threshold[#All],5,FALSE)</f>
        <v>5</v>
      </c>
      <c r="M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 spans="1:13" x14ac:dyDescent="0.25">
      <c r="A27" t="s">
        <v>90</v>
      </c>
      <c r="B27" t="s">
        <v>90</v>
      </c>
      <c r="C27" t="s">
        <v>91</v>
      </c>
      <c r="D27" s="1" t="s">
        <v>103</v>
      </c>
      <c r="E27" t="s">
        <v>93</v>
      </c>
      <c r="F27" t="s">
        <v>13</v>
      </c>
      <c r="G27">
        <v>2</v>
      </c>
      <c r="H27">
        <v>108.57</v>
      </c>
      <c r="I27" s="5">
        <f>IFERROR(VLOOKUP(TrendSheetStgData[Population]&amp;TrendSheetStgData[Cost Basis]&amp;TrendSheetStgData[Period]&amp;TrendSheetStgData[Trend],TrendSheetPrdData[#All],9,FALSE),0)</f>
        <v>108.71</v>
      </c>
      <c r="J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0.12878300064391554</v>
      </c>
      <c r="K27" s="5">
        <f>VLOOKUP(TrendSheetStgData[Population]&amp;TrendSheetStgData[Trend],Threshold[#All],4,FALSE)</f>
        <v>10</v>
      </c>
      <c r="L27" s="5">
        <f>VLOOKUP(TrendSheetStgData[Population]&amp;TrendSheetStgData[Trend],Threshold[#All],5,FALSE)</f>
        <v>5</v>
      </c>
      <c r="M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 spans="1:13" x14ac:dyDescent="0.25">
      <c r="A28" t="s">
        <v>90</v>
      </c>
      <c r="B28" t="s">
        <v>90</v>
      </c>
      <c r="C28" t="s">
        <v>91</v>
      </c>
      <c r="D28" s="1" t="s">
        <v>104</v>
      </c>
      <c r="E28" t="s">
        <v>93</v>
      </c>
      <c r="F28" t="s">
        <v>13</v>
      </c>
      <c r="G28">
        <v>2</v>
      </c>
      <c r="H28">
        <v>124.25</v>
      </c>
      <c r="I28" s="5">
        <f>IFERROR(VLOOKUP(TrendSheetStgData[Population]&amp;TrendSheetStgData[Cost Basis]&amp;TrendSheetStgData[Period]&amp;TrendSheetStgData[Trend],TrendSheetPrdData[#All],9,FALSE),0)</f>
        <v>127.13</v>
      </c>
      <c r="J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2.2653976244788767</v>
      </c>
      <c r="K28" s="5">
        <f>VLOOKUP(TrendSheetStgData[Population]&amp;TrendSheetStgData[Trend],Threshold[#All],4,FALSE)</f>
        <v>10</v>
      </c>
      <c r="L28" s="5">
        <f>VLOOKUP(TrendSheetStgData[Population]&amp;TrendSheetStgData[Trend],Threshold[#All],5,FALSE)</f>
        <v>5</v>
      </c>
      <c r="M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 spans="1:13" x14ac:dyDescent="0.25">
      <c r="A29" t="s">
        <v>90</v>
      </c>
      <c r="B29" t="s">
        <v>90</v>
      </c>
      <c r="C29" t="s">
        <v>91</v>
      </c>
      <c r="D29" s="1" t="s">
        <v>105</v>
      </c>
      <c r="E29" t="s">
        <v>106</v>
      </c>
      <c r="F29" t="s">
        <v>13</v>
      </c>
      <c r="G29">
        <v>2</v>
      </c>
      <c r="H29">
        <v>133.13999999999999</v>
      </c>
      <c r="I29" s="5">
        <f>IFERROR(VLOOKUP(TrendSheetStgData[Population]&amp;TrendSheetStgData[Cost Basis]&amp;TrendSheetStgData[Period]&amp;TrendSheetStgData[Trend],TrendSheetPrdData[#All],9,FALSE),0)</f>
        <v>135.82</v>
      </c>
      <c r="J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1.9731998232955434</v>
      </c>
      <c r="K29" s="5">
        <f>VLOOKUP(TrendSheetStgData[Population]&amp;TrendSheetStgData[Trend],Threshold[#All],4,FALSE)</f>
        <v>10</v>
      </c>
      <c r="L29" s="5">
        <f>VLOOKUP(TrendSheetStgData[Population]&amp;TrendSheetStgData[Trend],Threshold[#All],5,FALSE)</f>
        <v>5</v>
      </c>
      <c r="M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 spans="1:13" x14ac:dyDescent="0.25">
      <c r="A30" t="s">
        <v>90</v>
      </c>
      <c r="B30" t="s">
        <v>90</v>
      </c>
      <c r="C30" t="s">
        <v>91</v>
      </c>
      <c r="D30" s="1" t="s">
        <v>107</v>
      </c>
      <c r="E30" t="s">
        <v>106</v>
      </c>
      <c r="F30" t="s">
        <v>13</v>
      </c>
      <c r="G30">
        <v>2</v>
      </c>
      <c r="H30">
        <v>126</v>
      </c>
      <c r="I30" s="5">
        <f>IFERROR(VLOOKUP(TrendSheetStgData[Population]&amp;TrendSheetStgData[Cost Basis]&amp;TrendSheetStgData[Period]&amp;TrendSheetStgData[Trend],TrendSheetPrdData[#All],9,FALSE),0)</f>
        <v>98.92</v>
      </c>
      <c r="J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27.375657096643753</v>
      </c>
      <c r="K30" s="5">
        <f>VLOOKUP(TrendSheetStgData[Population]&amp;TrendSheetStgData[Trend],Threshold[#All],4,FALSE)</f>
        <v>10</v>
      </c>
      <c r="L30" s="5">
        <f>VLOOKUP(TrendSheetStgData[Population]&amp;TrendSheetStgData[Trend],Threshold[#All],5,FALSE)</f>
        <v>5</v>
      </c>
      <c r="M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 spans="1:13" x14ac:dyDescent="0.25">
      <c r="A31" t="s">
        <v>90</v>
      </c>
      <c r="B31" t="s">
        <v>90</v>
      </c>
      <c r="C31" t="s">
        <v>91</v>
      </c>
      <c r="D31" s="1" t="s">
        <v>108</v>
      </c>
      <c r="E31" t="s">
        <v>106</v>
      </c>
      <c r="F31" t="s">
        <v>13</v>
      </c>
      <c r="G31">
        <v>2</v>
      </c>
      <c r="H31">
        <v>75.5</v>
      </c>
      <c r="I31" s="5">
        <f>IFERROR(VLOOKUP(TrendSheetStgData[Population]&amp;TrendSheetStgData[Cost Basis]&amp;TrendSheetStgData[Period]&amp;TrendSheetStgData[Trend],TrendSheetPrdData[#All],9,FALSE),0)</f>
        <v>0</v>
      </c>
      <c r="J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1" s="5">
        <f>VLOOKUP(TrendSheetStgData[Population]&amp;TrendSheetStgData[Trend],Threshold[#All],4,FALSE)</f>
        <v>10</v>
      </c>
      <c r="L31" s="5">
        <f>VLOOKUP(TrendSheetStgData[Population]&amp;TrendSheetStgData[Trend],Threshold[#All],5,FALSE)</f>
        <v>5</v>
      </c>
      <c r="M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 spans="1:13" x14ac:dyDescent="0.25">
      <c r="A32" t="s">
        <v>90</v>
      </c>
      <c r="B32" t="s">
        <v>90</v>
      </c>
      <c r="C32" t="s">
        <v>91</v>
      </c>
      <c r="D32" s="1" t="s">
        <v>92</v>
      </c>
      <c r="E32" t="s">
        <v>93</v>
      </c>
      <c r="F32" t="s">
        <v>14</v>
      </c>
      <c r="G32">
        <v>3</v>
      </c>
      <c r="H32">
        <v>501.5</v>
      </c>
      <c r="I32" s="5">
        <f>IFERROR(VLOOKUP(TrendSheetStgData[Population]&amp;TrendSheetStgData[Cost Basis]&amp;TrendSheetStgData[Period]&amp;TrendSheetStgData[Trend],TrendSheetPrdData[#All],9,FALSE),0)</f>
        <v>496.63</v>
      </c>
      <c r="J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0.98060930672734314</v>
      </c>
      <c r="K32" s="5">
        <f>VLOOKUP(TrendSheetStgData[Population]&amp;TrendSheetStgData[Trend],Threshold[#All],4,FALSE)</f>
        <v>10</v>
      </c>
      <c r="L32" s="5">
        <f>VLOOKUP(TrendSheetStgData[Population]&amp;TrendSheetStgData[Trend],Threshold[#All],5,FALSE)</f>
        <v>5</v>
      </c>
      <c r="M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 spans="1:13" x14ac:dyDescent="0.25">
      <c r="A33" t="s">
        <v>90</v>
      </c>
      <c r="B33" t="s">
        <v>90</v>
      </c>
      <c r="C33" t="s">
        <v>91</v>
      </c>
      <c r="D33" s="1" t="s">
        <v>94</v>
      </c>
      <c r="E33" t="s">
        <v>93</v>
      </c>
      <c r="F33" t="s">
        <v>14</v>
      </c>
      <c r="G33">
        <v>3</v>
      </c>
      <c r="H33">
        <v>918.28</v>
      </c>
      <c r="I33" s="5">
        <f>IFERROR(VLOOKUP(TrendSheetStgData[Population]&amp;TrendSheetStgData[Cost Basis]&amp;TrendSheetStgData[Period]&amp;TrendSheetStgData[Trend],TrendSheetPrdData[#All],9,FALSE),0)</f>
        <v>553.45000000000005</v>
      </c>
      <c r="J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65.919233896467588</v>
      </c>
      <c r="K33" s="5">
        <f>VLOOKUP(TrendSheetStgData[Population]&amp;TrendSheetStgData[Trend],Threshold[#All],4,FALSE)</f>
        <v>10</v>
      </c>
      <c r="L33" s="5">
        <f>VLOOKUP(TrendSheetStgData[Population]&amp;TrendSheetStgData[Trend],Threshold[#All],5,FALSE)</f>
        <v>5</v>
      </c>
      <c r="M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 spans="1:13" x14ac:dyDescent="0.25">
      <c r="A34" t="s">
        <v>90</v>
      </c>
      <c r="B34" t="s">
        <v>90</v>
      </c>
      <c r="C34" t="s">
        <v>91</v>
      </c>
      <c r="D34" s="1" t="s">
        <v>95</v>
      </c>
      <c r="E34" t="s">
        <v>93</v>
      </c>
      <c r="F34" t="s">
        <v>14</v>
      </c>
      <c r="G34">
        <v>3</v>
      </c>
      <c r="H34">
        <v>574.20000000000005</v>
      </c>
      <c r="I34" s="5">
        <f>IFERROR(VLOOKUP(TrendSheetStgData[Population]&amp;TrendSheetStgData[Cost Basis]&amp;TrendSheetStgData[Period]&amp;TrendSheetStgData[Trend],TrendSheetPrdData[#All],9,FALSE),0)</f>
        <v>564.20000000000005</v>
      </c>
      <c r="J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1.7724211272598367</v>
      </c>
      <c r="K34" s="5">
        <f>VLOOKUP(TrendSheetStgData[Population]&amp;TrendSheetStgData[Trend],Threshold[#All],4,FALSE)</f>
        <v>10</v>
      </c>
      <c r="L34" s="5">
        <f>VLOOKUP(TrendSheetStgData[Population]&amp;TrendSheetStgData[Trend],Threshold[#All],5,FALSE)</f>
        <v>5</v>
      </c>
      <c r="M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 spans="1:13" x14ac:dyDescent="0.25">
      <c r="A35" t="s">
        <v>90</v>
      </c>
      <c r="B35" t="s">
        <v>90</v>
      </c>
      <c r="C35" t="s">
        <v>91</v>
      </c>
      <c r="D35" s="1" t="s">
        <v>96</v>
      </c>
      <c r="E35" t="s">
        <v>93</v>
      </c>
      <c r="F35" t="s">
        <v>14</v>
      </c>
      <c r="G35">
        <v>3</v>
      </c>
      <c r="H35">
        <v>541.35</v>
      </c>
      <c r="I35" s="5">
        <f>IFERROR(VLOOKUP(TrendSheetStgData[Population]&amp;TrendSheetStgData[Cost Basis]&amp;TrendSheetStgData[Period]&amp;TrendSheetStgData[Trend],TrendSheetPrdData[#All],9,FALSE),0)</f>
        <v>535.91999999999996</v>
      </c>
      <c r="J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1.0132109270040424</v>
      </c>
      <c r="K35" s="5">
        <f>VLOOKUP(TrendSheetStgData[Population]&amp;TrendSheetStgData[Trend],Threshold[#All],4,FALSE)</f>
        <v>10</v>
      </c>
      <c r="L35" s="5">
        <f>VLOOKUP(TrendSheetStgData[Population]&amp;TrendSheetStgData[Trend],Threshold[#All],5,FALSE)</f>
        <v>5</v>
      </c>
      <c r="M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 spans="1:13" x14ac:dyDescent="0.25">
      <c r="A36" t="s">
        <v>90</v>
      </c>
      <c r="B36" t="s">
        <v>90</v>
      </c>
      <c r="C36" t="s">
        <v>91</v>
      </c>
      <c r="D36" s="1" t="s">
        <v>97</v>
      </c>
      <c r="E36" t="s">
        <v>93</v>
      </c>
      <c r="F36" t="s">
        <v>14</v>
      </c>
      <c r="G36">
        <v>3</v>
      </c>
      <c r="H36">
        <v>523.66999999999996</v>
      </c>
      <c r="I36" s="5">
        <f>IFERROR(VLOOKUP(TrendSheetStgData[Population]&amp;TrendSheetStgData[Cost Basis]&amp;TrendSheetStgData[Period]&amp;TrendSheetStgData[Trend],TrendSheetPrdData[#All],9,FALSE),0)</f>
        <v>508.29</v>
      </c>
      <c r="J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3.0258317102441401</v>
      </c>
      <c r="K36" s="5">
        <f>VLOOKUP(TrendSheetStgData[Population]&amp;TrendSheetStgData[Trend],Threshold[#All],4,FALSE)</f>
        <v>10</v>
      </c>
      <c r="L36" s="5">
        <f>VLOOKUP(TrendSheetStgData[Population]&amp;TrendSheetStgData[Trend],Threshold[#All],5,FALSE)</f>
        <v>5</v>
      </c>
      <c r="M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 spans="1:13" x14ac:dyDescent="0.25">
      <c r="A37" t="s">
        <v>90</v>
      </c>
      <c r="B37" t="s">
        <v>90</v>
      </c>
      <c r="C37" t="s">
        <v>91</v>
      </c>
      <c r="D37" s="1" t="s">
        <v>98</v>
      </c>
      <c r="E37" t="s">
        <v>93</v>
      </c>
      <c r="F37" t="s">
        <v>14</v>
      </c>
      <c r="G37">
        <v>3</v>
      </c>
      <c r="H37">
        <v>398.2</v>
      </c>
      <c r="I37" s="5">
        <f>IFERROR(VLOOKUP(TrendSheetStgData[Population]&amp;TrendSheetStgData[Cost Basis]&amp;TrendSheetStgData[Period]&amp;TrendSheetStgData[Trend],TrendSheetPrdData[#All],9,FALSE),0)</f>
        <v>392.51</v>
      </c>
      <c r="J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1.4496445950421639</v>
      </c>
      <c r="K37" s="5">
        <f>VLOOKUP(TrendSheetStgData[Population]&amp;TrendSheetStgData[Trend],Threshold[#All],4,FALSE)</f>
        <v>10</v>
      </c>
      <c r="L37" s="5">
        <f>VLOOKUP(TrendSheetStgData[Population]&amp;TrendSheetStgData[Trend],Threshold[#All],5,FALSE)</f>
        <v>5</v>
      </c>
      <c r="M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 spans="1:13" x14ac:dyDescent="0.25">
      <c r="A38" t="s">
        <v>90</v>
      </c>
      <c r="B38" t="s">
        <v>90</v>
      </c>
      <c r="C38" t="s">
        <v>91</v>
      </c>
      <c r="D38" s="1" t="s">
        <v>99</v>
      </c>
      <c r="E38" t="s">
        <v>93</v>
      </c>
      <c r="F38" t="s">
        <v>14</v>
      </c>
      <c r="G38">
        <v>3</v>
      </c>
      <c r="H38">
        <v>398.79</v>
      </c>
      <c r="I38" s="5">
        <f>IFERROR(VLOOKUP(TrendSheetStgData[Population]&amp;TrendSheetStgData[Cost Basis]&amp;TrendSheetStgData[Period]&amp;TrendSheetStgData[Trend],TrendSheetPrdData[#All],9,FALSE),0)</f>
        <v>394.86</v>
      </c>
      <c r="J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0.99528946968545984</v>
      </c>
      <c r="K38" s="5">
        <f>VLOOKUP(TrendSheetStgData[Population]&amp;TrendSheetStgData[Trend],Threshold[#All],4,FALSE)</f>
        <v>10</v>
      </c>
      <c r="L38" s="5">
        <f>VLOOKUP(TrendSheetStgData[Population]&amp;TrendSheetStgData[Trend],Threshold[#All],5,FALSE)</f>
        <v>5</v>
      </c>
      <c r="M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 spans="1:13" x14ac:dyDescent="0.25">
      <c r="A39" t="s">
        <v>90</v>
      </c>
      <c r="B39" t="s">
        <v>90</v>
      </c>
      <c r="C39" t="s">
        <v>91</v>
      </c>
      <c r="D39" s="1" t="s">
        <v>100</v>
      </c>
      <c r="E39" t="s">
        <v>93</v>
      </c>
      <c r="F39" t="s">
        <v>14</v>
      </c>
      <c r="G39">
        <v>3</v>
      </c>
      <c r="H39">
        <v>493.66</v>
      </c>
      <c r="I39" s="5">
        <f>IFERROR(VLOOKUP(TrendSheetStgData[Population]&amp;TrendSheetStgData[Cost Basis]&amp;TrendSheetStgData[Period]&amp;TrendSheetStgData[Trend],TrendSheetPrdData[#All],9,FALSE),0)</f>
        <v>496.42</v>
      </c>
      <c r="J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0.5559808226904619</v>
      </c>
      <c r="K39" s="5">
        <f>VLOOKUP(TrendSheetStgData[Population]&amp;TrendSheetStgData[Trend],Threshold[#All],4,FALSE)</f>
        <v>10</v>
      </c>
      <c r="L39" s="5">
        <f>VLOOKUP(TrendSheetStgData[Population]&amp;TrendSheetStgData[Trend],Threshold[#All],5,FALSE)</f>
        <v>5</v>
      </c>
      <c r="M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0" spans="1:13" x14ac:dyDescent="0.25">
      <c r="A40" t="s">
        <v>90</v>
      </c>
      <c r="B40" t="s">
        <v>90</v>
      </c>
      <c r="C40" t="s">
        <v>91</v>
      </c>
      <c r="D40" s="1" t="s">
        <v>101</v>
      </c>
      <c r="E40" t="s">
        <v>93</v>
      </c>
      <c r="F40" t="s">
        <v>14</v>
      </c>
      <c r="G40">
        <v>3</v>
      </c>
      <c r="H40">
        <v>440.48</v>
      </c>
      <c r="I40" s="5">
        <f>IFERROR(VLOOKUP(TrendSheetStgData[Population]&amp;TrendSheetStgData[Cost Basis]&amp;TrendSheetStgData[Period]&amp;TrendSheetStgData[Trend],TrendSheetPrdData[#All],9,FALSE),0)</f>
        <v>437.7</v>
      </c>
      <c r="J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0.6351382225268517</v>
      </c>
      <c r="K40" s="5">
        <f>VLOOKUP(TrendSheetStgData[Population]&amp;TrendSheetStgData[Trend],Threshold[#All],4,FALSE)</f>
        <v>10</v>
      </c>
      <c r="L40" s="5">
        <f>VLOOKUP(TrendSheetStgData[Population]&amp;TrendSheetStgData[Trend],Threshold[#All],5,FALSE)</f>
        <v>5</v>
      </c>
      <c r="M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 spans="1:13" x14ac:dyDescent="0.25">
      <c r="A41" t="s">
        <v>90</v>
      </c>
      <c r="B41" t="s">
        <v>90</v>
      </c>
      <c r="C41" t="s">
        <v>91</v>
      </c>
      <c r="D41" s="1" t="s">
        <v>102</v>
      </c>
      <c r="E41" t="s">
        <v>93</v>
      </c>
      <c r="F41" t="s">
        <v>14</v>
      </c>
      <c r="G41">
        <v>3</v>
      </c>
      <c r="H41">
        <v>454.11</v>
      </c>
      <c r="I41" s="5">
        <f>IFERROR(VLOOKUP(TrendSheetStgData[Population]&amp;TrendSheetStgData[Cost Basis]&amp;TrendSheetStgData[Period]&amp;TrendSheetStgData[Trend],TrendSheetPrdData[#All],9,FALSE),0)</f>
        <v>437.75</v>
      </c>
      <c r="J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3.7372929754426076</v>
      </c>
      <c r="K41" s="5">
        <f>VLOOKUP(TrendSheetStgData[Population]&amp;TrendSheetStgData[Trend],Threshold[#All],4,FALSE)</f>
        <v>10</v>
      </c>
      <c r="L41" s="5">
        <f>VLOOKUP(TrendSheetStgData[Population]&amp;TrendSheetStgData[Trend],Threshold[#All],5,FALSE)</f>
        <v>5</v>
      </c>
      <c r="M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 spans="1:13" x14ac:dyDescent="0.25">
      <c r="A42" t="s">
        <v>90</v>
      </c>
      <c r="B42" t="s">
        <v>90</v>
      </c>
      <c r="C42" t="s">
        <v>91</v>
      </c>
      <c r="D42" s="1" t="s">
        <v>103</v>
      </c>
      <c r="E42" t="s">
        <v>93</v>
      </c>
      <c r="F42" t="s">
        <v>14</v>
      </c>
      <c r="G42">
        <v>3</v>
      </c>
      <c r="H42">
        <v>360.21</v>
      </c>
      <c r="I42" s="5">
        <f>IFERROR(VLOOKUP(TrendSheetStgData[Population]&amp;TrendSheetStgData[Cost Basis]&amp;TrendSheetStgData[Period]&amp;TrendSheetStgData[Trend],TrendSheetPrdData[#All],9,FALSE),0)</f>
        <v>342.37</v>
      </c>
      <c r="J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5.2107369220433952</v>
      </c>
      <c r="K42" s="5">
        <f>VLOOKUP(TrendSheetStgData[Population]&amp;TrendSheetStgData[Trend],Threshold[#All],4,FALSE)</f>
        <v>10</v>
      </c>
      <c r="L42" s="5">
        <f>VLOOKUP(TrendSheetStgData[Population]&amp;TrendSheetStgData[Trend],Threshold[#All],5,FALSE)</f>
        <v>5</v>
      </c>
      <c r="M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3" spans="1:13" x14ac:dyDescent="0.25">
      <c r="A43" t="s">
        <v>90</v>
      </c>
      <c r="B43" t="s">
        <v>90</v>
      </c>
      <c r="C43" t="s">
        <v>91</v>
      </c>
      <c r="D43" s="1" t="s">
        <v>104</v>
      </c>
      <c r="E43" t="s">
        <v>93</v>
      </c>
      <c r="F43" t="s">
        <v>14</v>
      </c>
      <c r="G43">
        <v>3</v>
      </c>
      <c r="H43">
        <v>365.95</v>
      </c>
      <c r="I43" s="5">
        <f>IFERROR(VLOOKUP(TrendSheetStgData[Population]&amp;TrendSheetStgData[Cost Basis]&amp;TrendSheetStgData[Period]&amp;TrendSheetStgData[Trend],TrendSheetPrdData[#All],9,FALSE),0)</f>
        <v>359.1</v>
      </c>
      <c r="J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1.9075466443887401</v>
      </c>
      <c r="K43" s="5">
        <f>VLOOKUP(TrendSheetStgData[Population]&amp;TrendSheetStgData[Trend],Threshold[#All],4,FALSE)</f>
        <v>10</v>
      </c>
      <c r="L43" s="5">
        <f>VLOOKUP(TrendSheetStgData[Population]&amp;TrendSheetStgData[Trend],Threshold[#All],5,FALSE)</f>
        <v>5</v>
      </c>
      <c r="M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 spans="1:13" x14ac:dyDescent="0.25">
      <c r="A44" t="s">
        <v>90</v>
      </c>
      <c r="B44" t="s">
        <v>90</v>
      </c>
      <c r="C44" t="s">
        <v>91</v>
      </c>
      <c r="D44" s="1" t="s">
        <v>105</v>
      </c>
      <c r="E44" t="s">
        <v>106</v>
      </c>
      <c r="F44" t="s">
        <v>14</v>
      </c>
      <c r="G44">
        <v>3</v>
      </c>
      <c r="H44">
        <v>430.63</v>
      </c>
      <c r="I44" s="5">
        <f>IFERROR(VLOOKUP(TrendSheetStgData[Population]&amp;TrendSheetStgData[Cost Basis]&amp;TrendSheetStgData[Period]&amp;TrendSheetStgData[Trend],TrendSheetPrdData[#All],9,FALSE),0)</f>
        <v>400.69</v>
      </c>
      <c r="J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7.4721106091991309</v>
      </c>
      <c r="K44" s="5">
        <f>VLOOKUP(TrendSheetStgData[Population]&amp;TrendSheetStgData[Trend],Threshold[#All],4,FALSE)</f>
        <v>10</v>
      </c>
      <c r="L44" s="5">
        <f>VLOOKUP(TrendSheetStgData[Population]&amp;TrendSheetStgData[Trend],Threshold[#All],5,FALSE)</f>
        <v>5</v>
      </c>
      <c r="M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5" spans="1:13" x14ac:dyDescent="0.25">
      <c r="A45" t="s">
        <v>90</v>
      </c>
      <c r="B45" t="s">
        <v>90</v>
      </c>
      <c r="C45" t="s">
        <v>91</v>
      </c>
      <c r="D45" s="1" t="s">
        <v>107</v>
      </c>
      <c r="E45" t="s">
        <v>106</v>
      </c>
      <c r="F45" t="s">
        <v>14</v>
      </c>
      <c r="G45">
        <v>3</v>
      </c>
      <c r="H45">
        <v>612.72</v>
      </c>
      <c r="I45" s="5">
        <f>IFERROR(VLOOKUP(TrendSheetStgData[Population]&amp;TrendSheetStgData[Cost Basis]&amp;TrendSheetStgData[Period]&amp;TrendSheetStgData[Trend],TrendSheetPrdData[#All],9,FALSE),0)</f>
        <v>173.21</v>
      </c>
      <c r="J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253.74401016107612</v>
      </c>
      <c r="K45" s="5">
        <f>VLOOKUP(TrendSheetStgData[Population]&amp;TrendSheetStgData[Trend],Threshold[#All],4,FALSE)</f>
        <v>10</v>
      </c>
      <c r="L45" s="5">
        <f>VLOOKUP(TrendSheetStgData[Population]&amp;TrendSheetStgData[Trend],Threshold[#All],5,FALSE)</f>
        <v>5</v>
      </c>
      <c r="M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 spans="1:13" x14ac:dyDescent="0.25">
      <c r="A46" t="s">
        <v>90</v>
      </c>
      <c r="B46" t="s">
        <v>90</v>
      </c>
      <c r="C46" t="s">
        <v>91</v>
      </c>
      <c r="D46" s="1" t="s">
        <v>108</v>
      </c>
      <c r="E46" t="s">
        <v>106</v>
      </c>
      <c r="F46" t="s">
        <v>14</v>
      </c>
      <c r="G46">
        <v>3</v>
      </c>
      <c r="H46">
        <v>200.49</v>
      </c>
      <c r="I46" s="5">
        <f>IFERROR(VLOOKUP(TrendSheetStgData[Population]&amp;TrendSheetStgData[Cost Basis]&amp;TrendSheetStgData[Period]&amp;TrendSheetStgData[Trend],TrendSheetPrdData[#All],9,FALSE),0)</f>
        <v>0</v>
      </c>
      <c r="J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6" s="5">
        <f>VLOOKUP(TrendSheetStgData[Population]&amp;TrendSheetStgData[Trend],Threshold[#All],4,FALSE)</f>
        <v>10</v>
      </c>
      <c r="L46" s="5">
        <f>VLOOKUP(TrendSheetStgData[Population]&amp;TrendSheetStgData[Trend],Threshold[#All],5,FALSE)</f>
        <v>5</v>
      </c>
      <c r="M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 spans="1:13" x14ac:dyDescent="0.25">
      <c r="A47" t="s">
        <v>90</v>
      </c>
      <c r="B47" t="s">
        <v>90</v>
      </c>
      <c r="C47" t="s">
        <v>91</v>
      </c>
      <c r="D47" s="1" t="s">
        <v>92</v>
      </c>
      <c r="E47" t="s">
        <v>93</v>
      </c>
      <c r="F47" t="s">
        <v>15</v>
      </c>
      <c r="G47">
        <v>4</v>
      </c>
      <c r="H47">
        <v>0</v>
      </c>
      <c r="I47" s="5">
        <f>IFERROR(VLOOKUP(TrendSheetStgData[Population]&amp;TrendSheetStgData[Cost Basis]&amp;TrendSheetStgData[Period]&amp;TrendSheetStgData[Trend],TrendSheetPrdData[#All],9,FALSE),0)</f>
        <v>0</v>
      </c>
      <c r="J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 s="5">
        <f>VLOOKUP(TrendSheetStgData[Population]&amp;TrendSheetStgData[Trend],Threshold[#All],4,FALSE)</f>
        <v>10</v>
      </c>
      <c r="L47" s="5">
        <f>VLOOKUP(TrendSheetStgData[Population]&amp;TrendSheetStgData[Trend],Threshold[#All],5,FALSE)</f>
        <v>5</v>
      </c>
      <c r="M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 spans="1:13" x14ac:dyDescent="0.25">
      <c r="A48" t="s">
        <v>90</v>
      </c>
      <c r="B48" t="s">
        <v>90</v>
      </c>
      <c r="C48" t="s">
        <v>91</v>
      </c>
      <c r="D48" s="1" t="s">
        <v>94</v>
      </c>
      <c r="E48" t="s">
        <v>93</v>
      </c>
      <c r="F48" t="s">
        <v>15</v>
      </c>
      <c r="G48">
        <v>4</v>
      </c>
      <c r="H48">
        <v>0</v>
      </c>
      <c r="I48" s="5">
        <f>IFERROR(VLOOKUP(TrendSheetStgData[Population]&amp;TrendSheetStgData[Cost Basis]&amp;TrendSheetStgData[Period]&amp;TrendSheetStgData[Trend],TrendSheetPrdData[#All],9,FALSE),0)</f>
        <v>0</v>
      </c>
      <c r="J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 s="5">
        <f>VLOOKUP(TrendSheetStgData[Population]&amp;TrendSheetStgData[Trend],Threshold[#All],4,FALSE)</f>
        <v>10</v>
      </c>
      <c r="L48" s="5">
        <f>VLOOKUP(TrendSheetStgData[Population]&amp;TrendSheetStgData[Trend],Threshold[#All],5,FALSE)</f>
        <v>5</v>
      </c>
      <c r="M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 spans="1:13" x14ac:dyDescent="0.25">
      <c r="A49" t="s">
        <v>90</v>
      </c>
      <c r="B49" t="s">
        <v>90</v>
      </c>
      <c r="C49" t="s">
        <v>91</v>
      </c>
      <c r="D49" s="1" t="s">
        <v>95</v>
      </c>
      <c r="E49" t="s">
        <v>93</v>
      </c>
      <c r="F49" t="s">
        <v>15</v>
      </c>
      <c r="G49">
        <v>4</v>
      </c>
      <c r="H49">
        <v>97549.99</v>
      </c>
      <c r="I49" s="5">
        <f>IFERROR(VLOOKUP(TrendSheetStgData[Population]&amp;TrendSheetStgData[Cost Basis]&amp;TrendSheetStgData[Period]&amp;TrendSheetStgData[Trend],TrendSheetPrdData[#All],9,FALSE),0)</f>
        <v>97549.99</v>
      </c>
      <c r="J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 s="5">
        <f>VLOOKUP(TrendSheetStgData[Population]&amp;TrendSheetStgData[Trend],Threshold[#All],4,FALSE)</f>
        <v>10</v>
      </c>
      <c r="L49" s="5">
        <f>VLOOKUP(TrendSheetStgData[Population]&amp;TrendSheetStgData[Trend],Threshold[#All],5,FALSE)</f>
        <v>5</v>
      </c>
      <c r="M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 spans="1:13" x14ac:dyDescent="0.25">
      <c r="A50" t="s">
        <v>90</v>
      </c>
      <c r="B50" t="s">
        <v>90</v>
      </c>
      <c r="C50" t="s">
        <v>91</v>
      </c>
      <c r="D50" s="1" t="s">
        <v>96</v>
      </c>
      <c r="E50" t="s">
        <v>93</v>
      </c>
      <c r="F50" t="s">
        <v>15</v>
      </c>
      <c r="G50">
        <v>4</v>
      </c>
      <c r="H50">
        <v>97596.98</v>
      </c>
      <c r="I50" s="5">
        <f>IFERROR(VLOOKUP(TrendSheetStgData[Population]&amp;TrendSheetStgData[Cost Basis]&amp;TrendSheetStgData[Period]&amp;TrendSheetStgData[Trend],TrendSheetPrdData[#All],9,FALSE),0)</f>
        <v>97596.98</v>
      </c>
      <c r="J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 s="5">
        <f>VLOOKUP(TrendSheetStgData[Population]&amp;TrendSheetStgData[Trend],Threshold[#All],4,FALSE)</f>
        <v>10</v>
      </c>
      <c r="L50" s="5">
        <f>VLOOKUP(TrendSheetStgData[Population]&amp;TrendSheetStgData[Trend],Threshold[#All],5,FALSE)</f>
        <v>5</v>
      </c>
      <c r="M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 spans="1:13" x14ac:dyDescent="0.25">
      <c r="A51" t="s">
        <v>90</v>
      </c>
      <c r="B51" t="s">
        <v>90</v>
      </c>
      <c r="C51" t="s">
        <v>91</v>
      </c>
      <c r="D51" s="1" t="s">
        <v>97</v>
      </c>
      <c r="E51" t="s">
        <v>93</v>
      </c>
      <c r="F51" t="s">
        <v>15</v>
      </c>
      <c r="G51">
        <v>4</v>
      </c>
      <c r="H51">
        <v>0</v>
      </c>
      <c r="I51" s="5">
        <f>IFERROR(VLOOKUP(TrendSheetStgData[Population]&amp;TrendSheetStgData[Cost Basis]&amp;TrendSheetStgData[Period]&amp;TrendSheetStgData[Trend],TrendSheetPrdData[#All],9,FALSE),0)</f>
        <v>0</v>
      </c>
      <c r="J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 s="5">
        <f>VLOOKUP(TrendSheetStgData[Population]&amp;TrendSheetStgData[Trend],Threshold[#All],4,FALSE)</f>
        <v>10</v>
      </c>
      <c r="L51" s="5">
        <f>VLOOKUP(TrendSheetStgData[Population]&amp;TrendSheetStgData[Trend],Threshold[#All],5,FALSE)</f>
        <v>5</v>
      </c>
      <c r="M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 spans="1:13" x14ac:dyDescent="0.25">
      <c r="A52" t="s">
        <v>90</v>
      </c>
      <c r="B52" t="s">
        <v>90</v>
      </c>
      <c r="C52" t="s">
        <v>91</v>
      </c>
      <c r="D52" s="1" t="s">
        <v>98</v>
      </c>
      <c r="E52" t="s">
        <v>93</v>
      </c>
      <c r="F52" t="s">
        <v>15</v>
      </c>
      <c r="G52">
        <v>4</v>
      </c>
      <c r="H52">
        <v>0</v>
      </c>
      <c r="I52" s="5">
        <f>IFERROR(VLOOKUP(TrendSheetStgData[Population]&amp;TrendSheetStgData[Cost Basis]&amp;TrendSheetStgData[Period]&amp;TrendSheetStgData[Trend],TrendSheetPrdData[#All],9,FALSE),0)</f>
        <v>0</v>
      </c>
      <c r="J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 s="5">
        <f>VLOOKUP(TrendSheetStgData[Population]&amp;TrendSheetStgData[Trend],Threshold[#All],4,FALSE)</f>
        <v>10</v>
      </c>
      <c r="L52" s="5">
        <f>VLOOKUP(TrendSheetStgData[Population]&amp;TrendSheetStgData[Trend],Threshold[#All],5,FALSE)</f>
        <v>5</v>
      </c>
      <c r="M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 spans="1:13" x14ac:dyDescent="0.25">
      <c r="A53" t="s">
        <v>90</v>
      </c>
      <c r="B53" t="s">
        <v>90</v>
      </c>
      <c r="C53" t="s">
        <v>91</v>
      </c>
      <c r="D53" s="1" t="s">
        <v>99</v>
      </c>
      <c r="E53" t="s">
        <v>93</v>
      </c>
      <c r="F53" t="s">
        <v>15</v>
      </c>
      <c r="G53">
        <v>4</v>
      </c>
      <c r="H53">
        <v>0</v>
      </c>
      <c r="I53" s="5">
        <f>IFERROR(VLOOKUP(TrendSheetStgData[Population]&amp;TrendSheetStgData[Cost Basis]&amp;TrendSheetStgData[Period]&amp;TrendSheetStgData[Trend],TrendSheetPrdData[#All],9,FALSE),0)</f>
        <v>0</v>
      </c>
      <c r="J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 s="5">
        <f>VLOOKUP(TrendSheetStgData[Population]&amp;TrendSheetStgData[Trend],Threshold[#All],4,FALSE)</f>
        <v>10</v>
      </c>
      <c r="L53" s="5">
        <f>VLOOKUP(TrendSheetStgData[Population]&amp;TrendSheetStgData[Trend],Threshold[#All],5,FALSE)</f>
        <v>5</v>
      </c>
      <c r="M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 spans="1:13" x14ac:dyDescent="0.25">
      <c r="A54" t="s">
        <v>90</v>
      </c>
      <c r="B54" t="s">
        <v>90</v>
      </c>
      <c r="C54" t="s">
        <v>91</v>
      </c>
      <c r="D54" s="1" t="s">
        <v>100</v>
      </c>
      <c r="E54" t="s">
        <v>93</v>
      </c>
      <c r="F54" t="s">
        <v>15</v>
      </c>
      <c r="G54">
        <v>4</v>
      </c>
      <c r="H54">
        <v>499.76</v>
      </c>
      <c r="I54" s="5">
        <f>IFERROR(VLOOKUP(TrendSheetStgData[Population]&amp;TrendSheetStgData[Cost Basis]&amp;TrendSheetStgData[Period]&amp;TrendSheetStgData[Trend],TrendSheetPrdData[#All],9,FALSE),0)</f>
        <v>0</v>
      </c>
      <c r="J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4" s="5">
        <f>VLOOKUP(TrendSheetStgData[Population]&amp;TrendSheetStgData[Trend],Threshold[#All],4,FALSE)</f>
        <v>10</v>
      </c>
      <c r="L54" s="5">
        <f>VLOOKUP(TrendSheetStgData[Population]&amp;TrendSheetStgData[Trend],Threshold[#All],5,FALSE)</f>
        <v>5</v>
      </c>
      <c r="M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 spans="1:13" x14ac:dyDescent="0.25">
      <c r="A55" t="s">
        <v>90</v>
      </c>
      <c r="B55" t="s">
        <v>90</v>
      </c>
      <c r="C55" t="s">
        <v>91</v>
      </c>
      <c r="D55" s="1" t="s">
        <v>101</v>
      </c>
      <c r="E55" t="s">
        <v>93</v>
      </c>
      <c r="F55" t="s">
        <v>15</v>
      </c>
      <c r="G55">
        <v>4</v>
      </c>
      <c r="H55">
        <v>8289.39</v>
      </c>
      <c r="I55" s="5">
        <f>IFERROR(VLOOKUP(TrendSheetStgData[Population]&amp;TrendSheetStgData[Cost Basis]&amp;TrendSheetStgData[Period]&amp;TrendSheetStgData[Trend],TrendSheetPrdData[#All],9,FALSE),0)</f>
        <v>8289.39</v>
      </c>
      <c r="J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 s="5">
        <f>VLOOKUP(TrendSheetStgData[Population]&amp;TrendSheetStgData[Trend],Threshold[#All],4,FALSE)</f>
        <v>10</v>
      </c>
      <c r="L55" s="5">
        <f>VLOOKUP(TrendSheetStgData[Population]&amp;TrendSheetStgData[Trend],Threshold[#All],5,FALSE)</f>
        <v>5</v>
      </c>
      <c r="M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 spans="1:13" x14ac:dyDescent="0.25">
      <c r="A56" t="s">
        <v>90</v>
      </c>
      <c r="B56" t="s">
        <v>90</v>
      </c>
      <c r="C56" t="s">
        <v>91</v>
      </c>
      <c r="D56" s="1" t="s">
        <v>102</v>
      </c>
      <c r="E56" t="s">
        <v>93</v>
      </c>
      <c r="F56" t="s">
        <v>15</v>
      </c>
      <c r="G56">
        <v>4</v>
      </c>
      <c r="H56">
        <v>35188.639999999999</v>
      </c>
      <c r="I56" s="5">
        <f>IFERROR(VLOOKUP(TrendSheetStgData[Population]&amp;TrendSheetStgData[Cost Basis]&amp;TrendSheetStgData[Period]&amp;TrendSheetStgData[Trend],TrendSheetPrdData[#All],9,FALSE),0)</f>
        <v>35188.639999999999</v>
      </c>
      <c r="J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 s="5">
        <f>VLOOKUP(TrendSheetStgData[Population]&amp;TrendSheetStgData[Trend],Threshold[#All],4,FALSE)</f>
        <v>10</v>
      </c>
      <c r="L56" s="5">
        <f>VLOOKUP(TrendSheetStgData[Population]&amp;TrendSheetStgData[Trend],Threshold[#All],5,FALSE)</f>
        <v>5</v>
      </c>
      <c r="M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 spans="1:13" x14ac:dyDescent="0.25">
      <c r="A57" t="s">
        <v>90</v>
      </c>
      <c r="B57" t="s">
        <v>90</v>
      </c>
      <c r="C57" t="s">
        <v>91</v>
      </c>
      <c r="D57" s="1" t="s">
        <v>103</v>
      </c>
      <c r="E57" t="s">
        <v>93</v>
      </c>
      <c r="F57" t="s">
        <v>15</v>
      </c>
      <c r="G57">
        <v>4</v>
      </c>
      <c r="H57">
        <v>0</v>
      </c>
      <c r="I57" s="5">
        <f>IFERROR(VLOOKUP(TrendSheetStgData[Population]&amp;TrendSheetStgData[Cost Basis]&amp;TrendSheetStgData[Period]&amp;TrendSheetStgData[Trend],TrendSheetPrdData[#All],9,FALSE),0)</f>
        <v>0</v>
      </c>
      <c r="J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 s="5">
        <f>VLOOKUP(TrendSheetStgData[Population]&amp;TrendSheetStgData[Trend],Threshold[#All],4,FALSE)</f>
        <v>10</v>
      </c>
      <c r="L57" s="5">
        <f>VLOOKUP(TrendSheetStgData[Population]&amp;TrendSheetStgData[Trend],Threshold[#All],5,FALSE)</f>
        <v>5</v>
      </c>
      <c r="M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 spans="1:13" x14ac:dyDescent="0.25">
      <c r="A58" t="s">
        <v>90</v>
      </c>
      <c r="B58" t="s">
        <v>90</v>
      </c>
      <c r="C58" t="s">
        <v>91</v>
      </c>
      <c r="D58" s="1" t="s">
        <v>104</v>
      </c>
      <c r="E58" t="s">
        <v>93</v>
      </c>
      <c r="F58" t="s">
        <v>15</v>
      </c>
      <c r="G58">
        <v>4</v>
      </c>
      <c r="H58">
        <v>709</v>
      </c>
      <c r="I58" s="5">
        <f>IFERROR(VLOOKUP(TrendSheetStgData[Population]&amp;TrendSheetStgData[Cost Basis]&amp;TrendSheetStgData[Period]&amp;TrendSheetStgData[Trend],TrendSheetPrdData[#All],9,FALSE),0)</f>
        <v>384.7</v>
      </c>
      <c r="J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84.299454120093586</v>
      </c>
      <c r="K58" s="5">
        <f>VLOOKUP(TrendSheetStgData[Population]&amp;TrendSheetStgData[Trend],Threshold[#All],4,FALSE)</f>
        <v>10</v>
      </c>
      <c r="L58" s="5">
        <f>VLOOKUP(TrendSheetStgData[Population]&amp;TrendSheetStgData[Trend],Threshold[#All],5,FALSE)</f>
        <v>5</v>
      </c>
      <c r="M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9" spans="1:13" x14ac:dyDescent="0.25">
      <c r="A59" t="s">
        <v>90</v>
      </c>
      <c r="B59" t="s">
        <v>90</v>
      </c>
      <c r="C59" t="s">
        <v>91</v>
      </c>
      <c r="D59" s="1" t="s">
        <v>105</v>
      </c>
      <c r="E59" t="s">
        <v>106</v>
      </c>
      <c r="F59" t="s">
        <v>15</v>
      </c>
      <c r="G59">
        <v>4</v>
      </c>
      <c r="H59">
        <v>1565</v>
      </c>
      <c r="I59" s="5">
        <f>IFERROR(VLOOKUP(TrendSheetStgData[Population]&amp;TrendSheetStgData[Cost Basis]&amp;TrendSheetStgData[Period]&amp;TrendSheetStgData[Trend],TrendSheetPrdData[#All],9,FALSE),0)</f>
        <v>1565</v>
      </c>
      <c r="J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 s="5">
        <f>VLOOKUP(TrendSheetStgData[Population]&amp;TrendSheetStgData[Trend],Threshold[#All],4,FALSE)</f>
        <v>10</v>
      </c>
      <c r="L59" s="5">
        <f>VLOOKUP(TrendSheetStgData[Population]&amp;TrendSheetStgData[Trend],Threshold[#All],5,FALSE)</f>
        <v>5</v>
      </c>
      <c r="M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 spans="1:13" x14ac:dyDescent="0.25">
      <c r="A60" t="s">
        <v>90</v>
      </c>
      <c r="B60" t="s">
        <v>90</v>
      </c>
      <c r="C60" t="s">
        <v>91</v>
      </c>
      <c r="D60" s="1" t="s">
        <v>107</v>
      </c>
      <c r="E60" t="s">
        <v>106</v>
      </c>
      <c r="F60" t="s">
        <v>15</v>
      </c>
      <c r="G60">
        <v>4</v>
      </c>
      <c r="H60">
        <v>5481</v>
      </c>
      <c r="I60" s="5">
        <f>IFERROR(VLOOKUP(TrendSheetStgData[Population]&amp;TrendSheetStgData[Cost Basis]&amp;TrendSheetStgData[Period]&amp;TrendSheetStgData[Trend],TrendSheetPrdData[#All],9,FALSE),0)</f>
        <v>0</v>
      </c>
      <c r="J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0" s="5">
        <f>VLOOKUP(TrendSheetStgData[Population]&amp;TrendSheetStgData[Trend],Threshold[#All],4,FALSE)</f>
        <v>10</v>
      </c>
      <c r="L60" s="5">
        <f>VLOOKUP(TrendSheetStgData[Population]&amp;TrendSheetStgData[Trend],Threshold[#All],5,FALSE)</f>
        <v>5</v>
      </c>
      <c r="M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1" spans="1:13" x14ac:dyDescent="0.25">
      <c r="A61" t="s">
        <v>90</v>
      </c>
      <c r="B61" t="s">
        <v>90</v>
      </c>
      <c r="C61" t="s">
        <v>91</v>
      </c>
      <c r="D61" s="1" t="s">
        <v>108</v>
      </c>
      <c r="E61" t="s">
        <v>106</v>
      </c>
      <c r="F61" t="s">
        <v>15</v>
      </c>
      <c r="G61">
        <v>4</v>
      </c>
      <c r="H61">
        <v>0</v>
      </c>
      <c r="I61" s="5">
        <f>IFERROR(VLOOKUP(TrendSheetStgData[Population]&amp;TrendSheetStgData[Cost Basis]&amp;TrendSheetStgData[Period]&amp;TrendSheetStgData[Trend],TrendSheetPrdData[#All],9,FALSE),0)</f>
        <v>0</v>
      </c>
      <c r="J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 s="5">
        <f>VLOOKUP(TrendSheetStgData[Population]&amp;TrendSheetStgData[Trend],Threshold[#All],4,FALSE)</f>
        <v>10</v>
      </c>
      <c r="L61" s="5">
        <f>VLOOKUP(TrendSheetStgData[Population]&amp;TrendSheetStgData[Trend],Threshold[#All],5,FALSE)</f>
        <v>5</v>
      </c>
      <c r="M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 spans="1:13" x14ac:dyDescent="0.25">
      <c r="A62" t="s">
        <v>90</v>
      </c>
      <c r="B62" t="s">
        <v>90</v>
      </c>
      <c r="C62" t="s">
        <v>91</v>
      </c>
      <c r="D62" s="1" t="s">
        <v>92</v>
      </c>
      <c r="E62" t="s">
        <v>93</v>
      </c>
      <c r="F62" t="s">
        <v>16</v>
      </c>
      <c r="G62">
        <v>5</v>
      </c>
      <c r="H62">
        <v>0</v>
      </c>
      <c r="I62" s="5">
        <f>IFERROR(VLOOKUP(TrendSheetStgData[Population]&amp;TrendSheetStgData[Cost Basis]&amp;TrendSheetStgData[Period]&amp;TrendSheetStgData[Trend],TrendSheetPrdData[#All],9,FALSE),0)</f>
        <v>0</v>
      </c>
      <c r="J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 s="5">
        <f>VLOOKUP(TrendSheetStgData[Population]&amp;TrendSheetStgData[Trend],Threshold[#All],4,FALSE)</f>
        <v>10</v>
      </c>
      <c r="L62" s="5">
        <f>VLOOKUP(TrendSheetStgData[Population]&amp;TrendSheetStgData[Trend],Threshold[#All],5,FALSE)</f>
        <v>5</v>
      </c>
      <c r="M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 spans="1:13" x14ac:dyDescent="0.25">
      <c r="A63" t="s">
        <v>90</v>
      </c>
      <c r="B63" t="s">
        <v>90</v>
      </c>
      <c r="C63" t="s">
        <v>91</v>
      </c>
      <c r="D63" s="1" t="s">
        <v>94</v>
      </c>
      <c r="E63" t="s">
        <v>93</v>
      </c>
      <c r="F63" t="s">
        <v>16</v>
      </c>
      <c r="G63">
        <v>5</v>
      </c>
      <c r="H63">
        <v>0</v>
      </c>
      <c r="I63" s="5">
        <f>IFERROR(VLOOKUP(TrendSheetStgData[Population]&amp;TrendSheetStgData[Cost Basis]&amp;TrendSheetStgData[Period]&amp;TrendSheetStgData[Trend],TrendSheetPrdData[#All],9,FALSE),0)</f>
        <v>0</v>
      </c>
      <c r="J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 s="5">
        <f>VLOOKUP(TrendSheetStgData[Population]&amp;TrendSheetStgData[Trend],Threshold[#All],4,FALSE)</f>
        <v>10</v>
      </c>
      <c r="L63" s="5">
        <f>VLOOKUP(TrendSheetStgData[Population]&amp;TrendSheetStgData[Trend],Threshold[#All],5,FALSE)</f>
        <v>5</v>
      </c>
      <c r="M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 spans="1:13" x14ac:dyDescent="0.25">
      <c r="A64" t="s">
        <v>90</v>
      </c>
      <c r="B64" t="s">
        <v>90</v>
      </c>
      <c r="C64" t="s">
        <v>91</v>
      </c>
      <c r="D64" s="1" t="s">
        <v>95</v>
      </c>
      <c r="E64" t="s">
        <v>93</v>
      </c>
      <c r="F64" t="s">
        <v>16</v>
      </c>
      <c r="G64">
        <v>5</v>
      </c>
      <c r="H64">
        <v>3</v>
      </c>
      <c r="I64" s="5">
        <f>IFERROR(VLOOKUP(TrendSheetStgData[Population]&amp;TrendSheetStgData[Cost Basis]&amp;TrendSheetStgData[Period]&amp;TrendSheetStgData[Trend],TrendSheetPrdData[#All],9,FALSE),0)</f>
        <v>3</v>
      </c>
      <c r="J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 s="5">
        <f>VLOOKUP(TrendSheetStgData[Population]&amp;TrendSheetStgData[Trend],Threshold[#All],4,FALSE)</f>
        <v>10</v>
      </c>
      <c r="L64" s="5">
        <f>VLOOKUP(TrendSheetStgData[Population]&amp;TrendSheetStgData[Trend],Threshold[#All],5,FALSE)</f>
        <v>5</v>
      </c>
      <c r="M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 spans="1:13" x14ac:dyDescent="0.25">
      <c r="A65" t="s">
        <v>90</v>
      </c>
      <c r="B65" t="s">
        <v>90</v>
      </c>
      <c r="C65" t="s">
        <v>91</v>
      </c>
      <c r="D65" s="1" t="s">
        <v>96</v>
      </c>
      <c r="E65" t="s">
        <v>93</v>
      </c>
      <c r="F65" t="s">
        <v>16</v>
      </c>
      <c r="G65">
        <v>5</v>
      </c>
      <c r="H65">
        <v>2</v>
      </c>
      <c r="I65" s="5">
        <f>IFERROR(VLOOKUP(TrendSheetStgData[Population]&amp;TrendSheetStgData[Cost Basis]&amp;TrendSheetStgData[Period]&amp;TrendSheetStgData[Trend],TrendSheetPrdData[#All],9,FALSE),0)</f>
        <v>2</v>
      </c>
      <c r="J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 s="5">
        <f>VLOOKUP(TrendSheetStgData[Population]&amp;TrendSheetStgData[Trend],Threshold[#All],4,FALSE)</f>
        <v>10</v>
      </c>
      <c r="L65" s="5">
        <f>VLOOKUP(TrendSheetStgData[Population]&amp;TrendSheetStgData[Trend],Threshold[#All],5,FALSE)</f>
        <v>5</v>
      </c>
      <c r="M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 spans="1:13" x14ac:dyDescent="0.25">
      <c r="A66" t="s">
        <v>90</v>
      </c>
      <c r="B66" t="s">
        <v>90</v>
      </c>
      <c r="C66" t="s">
        <v>91</v>
      </c>
      <c r="D66" s="1" t="s">
        <v>97</v>
      </c>
      <c r="E66" t="s">
        <v>93</v>
      </c>
      <c r="F66" t="s">
        <v>16</v>
      </c>
      <c r="G66">
        <v>5</v>
      </c>
      <c r="H66">
        <v>0</v>
      </c>
      <c r="I66" s="5">
        <f>IFERROR(VLOOKUP(TrendSheetStgData[Population]&amp;TrendSheetStgData[Cost Basis]&amp;TrendSheetStgData[Period]&amp;TrendSheetStgData[Trend],TrendSheetPrdData[#All],9,FALSE),0)</f>
        <v>0</v>
      </c>
      <c r="J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 s="5">
        <f>VLOOKUP(TrendSheetStgData[Population]&amp;TrendSheetStgData[Trend],Threshold[#All],4,FALSE)</f>
        <v>10</v>
      </c>
      <c r="L66" s="5">
        <f>VLOOKUP(TrendSheetStgData[Population]&amp;TrendSheetStgData[Trend],Threshold[#All],5,FALSE)</f>
        <v>5</v>
      </c>
      <c r="M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 spans="1:13" x14ac:dyDescent="0.25">
      <c r="A67" t="s">
        <v>90</v>
      </c>
      <c r="B67" t="s">
        <v>90</v>
      </c>
      <c r="C67" t="s">
        <v>91</v>
      </c>
      <c r="D67" s="1" t="s">
        <v>98</v>
      </c>
      <c r="E67" t="s">
        <v>93</v>
      </c>
      <c r="F67" t="s">
        <v>16</v>
      </c>
      <c r="G67">
        <v>5</v>
      </c>
      <c r="H67">
        <v>0</v>
      </c>
      <c r="I67" s="5">
        <f>IFERROR(VLOOKUP(TrendSheetStgData[Population]&amp;TrendSheetStgData[Cost Basis]&amp;TrendSheetStgData[Period]&amp;TrendSheetStgData[Trend],TrendSheetPrdData[#All],9,FALSE),0)</f>
        <v>0</v>
      </c>
      <c r="J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 s="5">
        <f>VLOOKUP(TrendSheetStgData[Population]&amp;TrendSheetStgData[Trend],Threshold[#All],4,FALSE)</f>
        <v>10</v>
      </c>
      <c r="L67" s="5">
        <f>VLOOKUP(TrendSheetStgData[Population]&amp;TrendSheetStgData[Trend],Threshold[#All],5,FALSE)</f>
        <v>5</v>
      </c>
      <c r="M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 spans="1:13" x14ac:dyDescent="0.25">
      <c r="A68" t="s">
        <v>90</v>
      </c>
      <c r="B68" t="s">
        <v>90</v>
      </c>
      <c r="C68" t="s">
        <v>91</v>
      </c>
      <c r="D68" s="1" t="s">
        <v>99</v>
      </c>
      <c r="E68" t="s">
        <v>93</v>
      </c>
      <c r="F68" t="s">
        <v>16</v>
      </c>
      <c r="G68">
        <v>5</v>
      </c>
      <c r="H68">
        <v>0</v>
      </c>
      <c r="I68" s="5">
        <f>IFERROR(VLOOKUP(TrendSheetStgData[Population]&amp;TrendSheetStgData[Cost Basis]&amp;TrendSheetStgData[Period]&amp;TrendSheetStgData[Trend],TrendSheetPrdData[#All],9,FALSE),0)</f>
        <v>0</v>
      </c>
      <c r="J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 s="5">
        <f>VLOOKUP(TrendSheetStgData[Population]&amp;TrendSheetStgData[Trend],Threshold[#All],4,FALSE)</f>
        <v>10</v>
      </c>
      <c r="L68" s="5">
        <f>VLOOKUP(TrendSheetStgData[Population]&amp;TrendSheetStgData[Trend],Threshold[#All],5,FALSE)</f>
        <v>5</v>
      </c>
      <c r="M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 spans="1:13" x14ac:dyDescent="0.25">
      <c r="A69" t="s">
        <v>90</v>
      </c>
      <c r="B69" t="s">
        <v>90</v>
      </c>
      <c r="C69" t="s">
        <v>91</v>
      </c>
      <c r="D69" s="1" t="s">
        <v>100</v>
      </c>
      <c r="E69" t="s">
        <v>93</v>
      </c>
      <c r="F69" t="s">
        <v>16</v>
      </c>
      <c r="G69">
        <v>5</v>
      </c>
      <c r="H69">
        <v>1</v>
      </c>
      <c r="I69" s="5">
        <f>IFERROR(VLOOKUP(TrendSheetStgData[Population]&amp;TrendSheetStgData[Cost Basis]&amp;TrendSheetStgData[Period]&amp;TrendSheetStgData[Trend],TrendSheetPrdData[#All],9,FALSE),0)</f>
        <v>1</v>
      </c>
      <c r="J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 s="5">
        <f>VLOOKUP(TrendSheetStgData[Population]&amp;TrendSheetStgData[Trend],Threshold[#All],4,FALSE)</f>
        <v>10</v>
      </c>
      <c r="L69" s="5">
        <f>VLOOKUP(TrendSheetStgData[Population]&amp;TrendSheetStgData[Trend],Threshold[#All],5,FALSE)</f>
        <v>5</v>
      </c>
      <c r="M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 spans="1:13" x14ac:dyDescent="0.25">
      <c r="A70" t="s">
        <v>90</v>
      </c>
      <c r="B70" t="s">
        <v>90</v>
      </c>
      <c r="C70" t="s">
        <v>91</v>
      </c>
      <c r="D70" s="1" t="s">
        <v>101</v>
      </c>
      <c r="E70" t="s">
        <v>93</v>
      </c>
      <c r="F70" t="s">
        <v>16</v>
      </c>
      <c r="G70">
        <v>5</v>
      </c>
      <c r="H70">
        <v>1</v>
      </c>
      <c r="I70" s="5">
        <f>IFERROR(VLOOKUP(TrendSheetStgData[Population]&amp;TrendSheetStgData[Cost Basis]&amp;TrendSheetStgData[Period]&amp;TrendSheetStgData[Trend],TrendSheetPrdData[#All],9,FALSE),0)</f>
        <v>1</v>
      </c>
      <c r="J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 s="5">
        <f>VLOOKUP(TrendSheetStgData[Population]&amp;TrendSheetStgData[Trend],Threshold[#All],4,FALSE)</f>
        <v>10</v>
      </c>
      <c r="L70" s="5">
        <f>VLOOKUP(TrendSheetStgData[Population]&amp;TrendSheetStgData[Trend],Threshold[#All],5,FALSE)</f>
        <v>5</v>
      </c>
      <c r="M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 spans="1:13" x14ac:dyDescent="0.25">
      <c r="A71" t="s">
        <v>90</v>
      </c>
      <c r="B71" t="s">
        <v>90</v>
      </c>
      <c r="C71" t="s">
        <v>91</v>
      </c>
      <c r="D71" s="1" t="s">
        <v>102</v>
      </c>
      <c r="E71" t="s">
        <v>93</v>
      </c>
      <c r="F71" t="s">
        <v>16</v>
      </c>
      <c r="G71">
        <v>5</v>
      </c>
      <c r="H71">
        <v>1</v>
      </c>
      <c r="I71" s="5">
        <f>IFERROR(VLOOKUP(TrendSheetStgData[Population]&amp;TrendSheetStgData[Cost Basis]&amp;TrendSheetStgData[Period]&amp;TrendSheetStgData[Trend],TrendSheetPrdData[#All],9,FALSE),0)</f>
        <v>1</v>
      </c>
      <c r="J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 s="5">
        <f>VLOOKUP(TrendSheetStgData[Population]&amp;TrendSheetStgData[Trend],Threshold[#All],4,FALSE)</f>
        <v>10</v>
      </c>
      <c r="L71" s="5">
        <f>VLOOKUP(TrendSheetStgData[Population]&amp;TrendSheetStgData[Trend],Threshold[#All],5,FALSE)</f>
        <v>5</v>
      </c>
      <c r="M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 spans="1:13" x14ac:dyDescent="0.25">
      <c r="A72" t="s">
        <v>90</v>
      </c>
      <c r="B72" t="s">
        <v>90</v>
      </c>
      <c r="C72" t="s">
        <v>91</v>
      </c>
      <c r="D72" s="1" t="s">
        <v>103</v>
      </c>
      <c r="E72" t="s">
        <v>93</v>
      </c>
      <c r="F72" t="s">
        <v>16</v>
      </c>
      <c r="G72">
        <v>5</v>
      </c>
      <c r="H72">
        <v>0</v>
      </c>
      <c r="I72" s="5">
        <f>IFERROR(VLOOKUP(TrendSheetStgData[Population]&amp;TrendSheetStgData[Cost Basis]&amp;TrendSheetStgData[Period]&amp;TrendSheetStgData[Trend],TrendSheetPrdData[#All],9,FALSE),0)</f>
        <v>0</v>
      </c>
      <c r="J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 s="5">
        <f>VLOOKUP(TrendSheetStgData[Population]&amp;TrendSheetStgData[Trend],Threshold[#All],4,FALSE)</f>
        <v>10</v>
      </c>
      <c r="L72" s="5">
        <f>VLOOKUP(TrendSheetStgData[Population]&amp;TrendSheetStgData[Trend],Threshold[#All],5,FALSE)</f>
        <v>5</v>
      </c>
      <c r="M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 spans="1:13" x14ac:dyDescent="0.25">
      <c r="A73" t="s">
        <v>90</v>
      </c>
      <c r="B73" t="s">
        <v>90</v>
      </c>
      <c r="C73" t="s">
        <v>91</v>
      </c>
      <c r="D73" s="1" t="s">
        <v>104</v>
      </c>
      <c r="E73" t="s">
        <v>93</v>
      </c>
      <c r="F73" t="s">
        <v>16</v>
      </c>
      <c r="G73">
        <v>5</v>
      </c>
      <c r="H73">
        <v>1</v>
      </c>
      <c r="I73" s="5">
        <f>IFERROR(VLOOKUP(TrendSheetStgData[Population]&amp;TrendSheetStgData[Cost Basis]&amp;TrendSheetStgData[Period]&amp;TrendSheetStgData[Trend],TrendSheetPrdData[#All],9,FALSE),0)</f>
        <v>1</v>
      </c>
      <c r="J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 s="5">
        <f>VLOOKUP(TrendSheetStgData[Population]&amp;TrendSheetStgData[Trend],Threshold[#All],4,FALSE)</f>
        <v>10</v>
      </c>
      <c r="L73" s="5">
        <f>VLOOKUP(TrendSheetStgData[Population]&amp;TrendSheetStgData[Trend],Threshold[#All],5,FALSE)</f>
        <v>5</v>
      </c>
      <c r="M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 spans="1:13" x14ac:dyDescent="0.25">
      <c r="A74" t="s">
        <v>90</v>
      </c>
      <c r="B74" t="s">
        <v>90</v>
      </c>
      <c r="C74" t="s">
        <v>91</v>
      </c>
      <c r="D74" s="1" t="s">
        <v>105</v>
      </c>
      <c r="E74" t="s">
        <v>106</v>
      </c>
      <c r="F74" t="s">
        <v>16</v>
      </c>
      <c r="G74">
        <v>5</v>
      </c>
      <c r="H74">
        <v>2</v>
      </c>
      <c r="I74" s="5">
        <f>IFERROR(VLOOKUP(TrendSheetStgData[Population]&amp;TrendSheetStgData[Cost Basis]&amp;TrendSheetStgData[Period]&amp;TrendSheetStgData[Trend],TrendSheetPrdData[#All],9,FALSE),0)</f>
        <v>2</v>
      </c>
      <c r="J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 s="5">
        <f>VLOOKUP(TrendSheetStgData[Population]&amp;TrendSheetStgData[Trend],Threshold[#All],4,FALSE)</f>
        <v>10</v>
      </c>
      <c r="L74" s="5">
        <f>VLOOKUP(TrendSheetStgData[Population]&amp;TrendSheetStgData[Trend],Threshold[#All],5,FALSE)</f>
        <v>5</v>
      </c>
      <c r="M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 spans="1:13" x14ac:dyDescent="0.25">
      <c r="A75" t="s">
        <v>90</v>
      </c>
      <c r="B75" t="s">
        <v>90</v>
      </c>
      <c r="C75" t="s">
        <v>91</v>
      </c>
      <c r="D75" s="1" t="s">
        <v>107</v>
      </c>
      <c r="E75" t="s">
        <v>106</v>
      </c>
      <c r="F75" t="s">
        <v>16</v>
      </c>
      <c r="G75">
        <v>5</v>
      </c>
      <c r="H75">
        <v>2</v>
      </c>
      <c r="I75" s="5">
        <f>IFERROR(VLOOKUP(TrendSheetStgData[Population]&amp;TrendSheetStgData[Cost Basis]&amp;TrendSheetStgData[Period]&amp;TrendSheetStgData[Trend],TrendSheetPrdData[#All],9,FALSE),0)</f>
        <v>0</v>
      </c>
      <c r="J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75" s="5">
        <f>VLOOKUP(TrendSheetStgData[Population]&amp;TrendSheetStgData[Trend],Threshold[#All],4,FALSE)</f>
        <v>10</v>
      </c>
      <c r="L75" s="5">
        <f>VLOOKUP(TrendSheetStgData[Population]&amp;TrendSheetStgData[Trend],Threshold[#All],5,FALSE)</f>
        <v>5</v>
      </c>
      <c r="M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6" spans="1:13" x14ac:dyDescent="0.25">
      <c r="A76" t="s">
        <v>90</v>
      </c>
      <c r="B76" t="s">
        <v>90</v>
      </c>
      <c r="C76" t="s">
        <v>91</v>
      </c>
      <c r="D76" s="1" t="s">
        <v>108</v>
      </c>
      <c r="E76" t="s">
        <v>106</v>
      </c>
      <c r="F76" t="s">
        <v>16</v>
      </c>
      <c r="G76">
        <v>5</v>
      </c>
      <c r="H76">
        <v>0</v>
      </c>
      <c r="I76" s="5">
        <f>IFERROR(VLOOKUP(TrendSheetStgData[Population]&amp;TrendSheetStgData[Cost Basis]&amp;TrendSheetStgData[Period]&amp;TrendSheetStgData[Trend],TrendSheetPrdData[#All],9,FALSE),0)</f>
        <v>0</v>
      </c>
      <c r="J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 s="5">
        <f>VLOOKUP(TrendSheetStgData[Population]&amp;TrendSheetStgData[Trend],Threshold[#All],4,FALSE)</f>
        <v>10</v>
      </c>
      <c r="L76" s="5">
        <f>VLOOKUP(TrendSheetStgData[Population]&amp;TrendSheetStgData[Trend],Threshold[#All],5,FALSE)</f>
        <v>5</v>
      </c>
      <c r="M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 spans="1:13" x14ac:dyDescent="0.25">
      <c r="A77" t="s">
        <v>90</v>
      </c>
      <c r="B77" t="s">
        <v>90</v>
      </c>
      <c r="C77" t="s">
        <v>91</v>
      </c>
      <c r="D77" s="1" t="s">
        <v>92</v>
      </c>
      <c r="E77" t="s">
        <v>93</v>
      </c>
      <c r="F77" t="s">
        <v>17</v>
      </c>
      <c r="G77">
        <v>6</v>
      </c>
      <c r="H77">
        <v>12199.62</v>
      </c>
      <c r="I77" s="5">
        <f>IFERROR(VLOOKUP(TrendSheetStgData[Population]&amp;TrendSheetStgData[Cost Basis]&amp;TrendSheetStgData[Period]&amp;TrendSheetStgData[Trend],TrendSheetPrdData[#All],9,FALSE),0)</f>
        <v>12199.62</v>
      </c>
      <c r="J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 s="5">
        <f>VLOOKUP(TrendSheetStgData[Population]&amp;TrendSheetStgData[Trend],Threshold[#All],4,FALSE)</f>
        <v>10</v>
      </c>
      <c r="L77" s="5">
        <f>VLOOKUP(TrendSheetStgData[Population]&amp;TrendSheetStgData[Trend],Threshold[#All],5,FALSE)</f>
        <v>5</v>
      </c>
      <c r="M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 spans="1:13" x14ac:dyDescent="0.25">
      <c r="A78" t="s">
        <v>90</v>
      </c>
      <c r="B78" t="s">
        <v>90</v>
      </c>
      <c r="C78" t="s">
        <v>91</v>
      </c>
      <c r="D78" s="1" t="s">
        <v>94</v>
      </c>
      <c r="E78" t="s">
        <v>93</v>
      </c>
      <c r="F78" t="s">
        <v>17</v>
      </c>
      <c r="G78">
        <v>6</v>
      </c>
      <c r="H78">
        <v>24714.32</v>
      </c>
      <c r="I78" s="5">
        <f>IFERROR(VLOOKUP(TrendSheetStgData[Population]&amp;TrendSheetStgData[Cost Basis]&amp;TrendSheetStgData[Period]&amp;TrendSheetStgData[Trend],TrendSheetPrdData[#All],9,FALSE),0)</f>
        <v>24714.32</v>
      </c>
      <c r="J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 s="5">
        <f>VLOOKUP(TrendSheetStgData[Population]&amp;TrendSheetStgData[Trend],Threshold[#All],4,FALSE)</f>
        <v>10</v>
      </c>
      <c r="L78" s="5">
        <f>VLOOKUP(TrendSheetStgData[Population]&amp;TrendSheetStgData[Trend],Threshold[#All],5,FALSE)</f>
        <v>5</v>
      </c>
      <c r="M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 spans="1:13" x14ac:dyDescent="0.25">
      <c r="A79" t="s">
        <v>90</v>
      </c>
      <c r="B79" t="s">
        <v>90</v>
      </c>
      <c r="C79" t="s">
        <v>91</v>
      </c>
      <c r="D79" s="1" t="s">
        <v>95</v>
      </c>
      <c r="E79" t="s">
        <v>93</v>
      </c>
      <c r="F79" t="s">
        <v>17</v>
      </c>
      <c r="G79">
        <v>6</v>
      </c>
      <c r="H79">
        <v>0</v>
      </c>
      <c r="I79" s="5">
        <f>IFERROR(VLOOKUP(TrendSheetStgData[Population]&amp;TrendSheetStgData[Cost Basis]&amp;TrendSheetStgData[Period]&amp;TrendSheetStgData[Trend],TrendSheetPrdData[#All],9,FALSE),0)</f>
        <v>0</v>
      </c>
      <c r="J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 s="5">
        <f>VLOOKUP(TrendSheetStgData[Population]&amp;TrendSheetStgData[Trend],Threshold[#All],4,FALSE)</f>
        <v>10</v>
      </c>
      <c r="L79" s="5">
        <f>VLOOKUP(TrendSheetStgData[Population]&amp;TrendSheetStgData[Trend],Threshold[#All],5,FALSE)</f>
        <v>5</v>
      </c>
      <c r="M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 spans="1:13" x14ac:dyDescent="0.25">
      <c r="A80" t="s">
        <v>90</v>
      </c>
      <c r="B80" t="s">
        <v>90</v>
      </c>
      <c r="C80" t="s">
        <v>91</v>
      </c>
      <c r="D80" s="1" t="s">
        <v>96</v>
      </c>
      <c r="E80" t="s">
        <v>93</v>
      </c>
      <c r="F80" t="s">
        <v>17</v>
      </c>
      <c r="G80">
        <v>6</v>
      </c>
      <c r="H80">
        <v>0</v>
      </c>
      <c r="I80" s="5">
        <f>IFERROR(VLOOKUP(TrendSheetStgData[Population]&amp;TrendSheetStgData[Cost Basis]&amp;TrendSheetStgData[Period]&amp;TrendSheetStgData[Trend],TrendSheetPrdData[#All],9,FALSE),0)</f>
        <v>0</v>
      </c>
      <c r="J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 s="5">
        <f>VLOOKUP(TrendSheetStgData[Population]&amp;TrendSheetStgData[Trend],Threshold[#All],4,FALSE)</f>
        <v>10</v>
      </c>
      <c r="L80" s="5">
        <f>VLOOKUP(TrendSheetStgData[Population]&amp;TrendSheetStgData[Trend],Threshold[#All],5,FALSE)</f>
        <v>5</v>
      </c>
      <c r="M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 spans="1:13" x14ac:dyDescent="0.25">
      <c r="A81" t="s">
        <v>90</v>
      </c>
      <c r="B81" t="s">
        <v>90</v>
      </c>
      <c r="C81" t="s">
        <v>91</v>
      </c>
      <c r="D81" s="1" t="s">
        <v>97</v>
      </c>
      <c r="E81" t="s">
        <v>93</v>
      </c>
      <c r="F81" t="s">
        <v>17</v>
      </c>
      <c r="G81">
        <v>6</v>
      </c>
      <c r="H81">
        <v>0</v>
      </c>
      <c r="I81" s="5">
        <f>IFERROR(VLOOKUP(TrendSheetStgData[Population]&amp;TrendSheetStgData[Cost Basis]&amp;TrendSheetStgData[Period]&amp;TrendSheetStgData[Trend],TrendSheetPrdData[#All],9,FALSE),0)</f>
        <v>0</v>
      </c>
      <c r="J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 s="5">
        <f>VLOOKUP(TrendSheetStgData[Population]&amp;TrendSheetStgData[Trend],Threshold[#All],4,FALSE)</f>
        <v>10</v>
      </c>
      <c r="L81" s="5">
        <f>VLOOKUP(TrendSheetStgData[Population]&amp;TrendSheetStgData[Trend],Threshold[#All],5,FALSE)</f>
        <v>5</v>
      </c>
      <c r="M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 spans="1:13" x14ac:dyDescent="0.25">
      <c r="A82" t="s">
        <v>90</v>
      </c>
      <c r="B82" t="s">
        <v>90</v>
      </c>
      <c r="C82" t="s">
        <v>91</v>
      </c>
      <c r="D82" s="1" t="s">
        <v>98</v>
      </c>
      <c r="E82" t="s">
        <v>93</v>
      </c>
      <c r="F82" t="s">
        <v>17</v>
      </c>
      <c r="G82">
        <v>6</v>
      </c>
      <c r="H82">
        <v>0</v>
      </c>
      <c r="I82" s="5">
        <f>IFERROR(VLOOKUP(TrendSheetStgData[Population]&amp;TrendSheetStgData[Cost Basis]&amp;TrendSheetStgData[Period]&amp;TrendSheetStgData[Trend],TrendSheetPrdData[#All],9,FALSE),0)</f>
        <v>0</v>
      </c>
      <c r="J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 s="5">
        <f>VLOOKUP(TrendSheetStgData[Population]&amp;TrendSheetStgData[Trend],Threshold[#All],4,FALSE)</f>
        <v>10</v>
      </c>
      <c r="L82" s="5">
        <f>VLOOKUP(TrendSheetStgData[Population]&amp;TrendSheetStgData[Trend],Threshold[#All],5,FALSE)</f>
        <v>5</v>
      </c>
      <c r="M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 spans="1:13" x14ac:dyDescent="0.25">
      <c r="A83" t="s">
        <v>90</v>
      </c>
      <c r="B83" t="s">
        <v>90</v>
      </c>
      <c r="C83" t="s">
        <v>91</v>
      </c>
      <c r="D83" s="1" t="s">
        <v>99</v>
      </c>
      <c r="E83" t="s">
        <v>93</v>
      </c>
      <c r="F83" t="s">
        <v>17</v>
      </c>
      <c r="G83">
        <v>6</v>
      </c>
      <c r="H83">
        <v>0</v>
      </c>
      <c r="I83" s="5">
        <f>IFERROR(VLOOKUP(TrendSheetStgData[Population]&amp;TrendSheetStgData[Cost Basis]&amp;TrendSheetStgData[Period]&amp;TrendSheetStgData[Trend],TrendSheetPrdData[#All],9,FALSE),0)</f>
        <v>0</v>
      </c>
      <c r="J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 s="5">
        <f>VLOOKUP(TrendSheetStgData[Population]&amp;TrendSheetStgData[Trend],Threshold[#All],4,FALSE)</f>
        <v>10</v>
      </c>
      <c r="L83" s="5">
        <f>VLOOKUP(TrendSheetStgData[Population]&amp;TrendSheetStgData[Trend],Threshold[#All],5,FALSE)</f>
        <v>5</v>
      </c>
      <c r="M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 spans="1:13" x14ac:dyDescent="0.25">
      <c r="A84" t="s">
        <v>90</v>
      </c>
      <c r="B84" t="s">
        <v>90</v>
      </c>
      <c r="C84" t="s">
        <v>91</v>
      </c>
      <c r="D84" s="1" t="s">
        <v>100</v>
      </c>
      <c r="E84" t="s">
        <v>93</v>
      </c>
      <c r="F84" t="s">
        <v>17</v>
      </c>
      <c r="G84">
        <v>6</v>
      </c>
      <c r="H84">
        <v>0</v>
      </c>
      <c r="I84" s="5">
        <f>IFERROR(VLOOKUP(TrendSheetStgData[Population]&amp;TrendSheetStgData[Cost Basis]&amp;TrendSheetStgData[Period]&amp;TrendSheetStgData[Trend],TrendSheetPrdData[#All],9,FALSE),0)</f>
        <v>0</v>
      </c>
      <c r="J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 s="5">
        <f>VLOOKUP(TrendSheetStgData[Population]&amp;TrendSheetStgData[Trend],Threshold[#All],4,FALSE)</f>
        <v>10</v>
      </c>
      <c r="L84" s="5">
        <f>VLOOKUP(TrendSheetStgData[Population]&amp;TrendSheetStgData[Trend],Threshold[#All],5,FALSE)</f>
        <v>5</v>
      </c>
      <c r="M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 spans="1:13" x14ac:dyDescent="0.25">
      <c r="A85" t="s">
        <v>90</v>
      </c>
      <c r="B85" t="s">
        <v>90</v>
      </c>
      <c r="C85" t="s">
        <v>91</v>
      </c>
      <c r="D85" s="1" t="s">
        <v>101</v>
      </c>
      <c r="E85" t="s">
        <v>93</v>
      </c>
      <c r="F85" t="s">
        <v>17</v>
      </c>
      <c r="G85">
        <v>6</v>
      </c>
      <c r="H85">
        <v>7961.74</v>
      </c>
      <c r="I85" s="5">
        <f>IFERROR(VLOOKUP(TrendSheetStgData[Population]&amp;TrendSheetStgData[Cost Basis]&amp;TrendSheetStgData[Period]&amp;TrendSheetStgData[Trend],TrendSheetPrdData[#All],9,FALSE),0)</f>
        <v>7961.74</v>
      </c>
      <c r="J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 s="5">
        <f>VLOOKUP(TrendSheetStgData[Population]&amp;TrendSheetStgData[Trend],Threshold[#All],4,FALSE)</f>
        <v>10</v>
      </c>
      <c r="L85" s="5">
        <f>VLOOKUP(TrendSheetStgData[Population]&amp;TrendSheetStgData[Trend],Threshold[#All],5,FALSE)</f>
        <v>5</v>
      </c>
      <c r="M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 spans="1:13" x14ac:dyDescent="0.25">
      <c r="A86" t="s">
        <v>90</v>
      </c>
      <c r="B86" t="s">
        <v>90</v>
      </c>
      <c r="C86" t="s">
        <v>91</v>
      </c>
      <c r="D86" s="1" t="s">
        <v>102</v>
      </c>
      <c r="E86" t="s">
        <v>93</v>
      </c>
      <c r="F86" t="s">
        <v>17</v>
      </c>
      <c r="G86">
        <v>6</v>
      </c>
      <c r="H86">
        <v>0</v>
      </c>
      <c r="I86" s="5">
        <f>IFERROR(VLOOKUP(TrendSheetStgData[Population]&amp;TrendSheetStgData[Cost Basis]&amp;TrendSheetStgData[Period]&amp;TrendSheetStgData[Trend],TrendSheetPrdData[#All],9,FALSE),0)</f>
        <v>0</v>
      </c>
      <c r="J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 s="5">
        <f>VLOOKUP(TrendSheetStgData[Population]&amp;TrendSheetStgData[Trend],Threshold[#All],4,FALSE)</f>
        <v>10</v>
      </c>
      <c r="L86" s="5">
        <f>VLOOKUP(TrendSheetStgData[Population]&amp;TrendSheetStgData[Trend],Threshold[#All],5,FALSE)</f>
        <v>5</v>
      </c>
      <c r="M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 spans="1:13" x14ac:dyDescent="0.25">
      <c r="A87" t="s">
        <v>90</v>
      </c>
      <c r="B87" t="s">
        <v>90</v>
      </c>
      <c r="C87" t="s">
        <v>91</v>
      </c>
      <c r="D87" s="1" t="s">
        <v>103</v>
      </c>
      <c r="E87" t="s">
        <v>93</v>
      </c>
      <c r="F87" t="s">
        <v>17</v>
      </c>
      <c r="G87">
        <v>6</v>
      </c>
      <c r="H87">
        <v>0</v>
      </c>
      <c r="I87" s="5">
        <f>IFERROR(VLOOKUP(TrendSheetStgData[Population]&amp;TrendSheetStgData[Cost Basis]&amp;TrendSheetStgData[Period]&amp;TrendSheetStgData[Trend],TrendSheetPrdData[#All],9,FALSE),0)</f>
        <v>0</v>
      </c>
      <c r="J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 s="5">
        <f>VLOOKUP(TrendSheetStgData[Population]&amp;TrendSheetStgData[Trend],Threshold[#All],4,FALSE)</f>
        <v>10</v>
      </c>
      <c r="L87" s="5">
        <f>VLOOKUP(TrendSheetStgData[Population]&amp;TrendSheetStgData[Trend],Threshold[#All],5,FALSE)</f>
        <v>5</v>
      </c>
      <c r="M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 spans="1:13" x14ac:dyDescent="0.25">
      <c r="A88" t="s">
        <v>90</v>
      </c>
      <c r="B88" t="s">
        <v>90</v>
      </c>
      <c r="C88" t="s">
        <v>91</v>
      </c>
      <c r="D88" s="1" t="s">
        <v>104</v>
      </c>
      <c r="E88" t="s">
        <v>93</v>
      </c>
      <c r="F88" t="s">
        <v>17</v>
      </c>
      <c r="G88">
        <v>6</v>
      </c>
      <c r="H88">
        <v>0</v>
      </c>
      <c r="I88" s="5">
        <f>IFERROR(VLOOKUP(TrendSheetStgData[Population]&amp;TrendSheetStgData[Cost Basis]&amp;TrendSheetStgData[Period]&amp;TrendSheetStgData[Trend],TrendSheetPrdData[#All],9,FALSE),0)</f>
        <v>0</v>
      </c>
      <c r="J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 s="5">
        <f>VLOOKUP(TrendSheetStgData[Population]&amp;TrendSheetStgData[Trend],Threshold[#All],4,FALSE)</f>
        <v>10</v>
      </c>
      <c r="L88" s="5">
        <f>VLOOKUP(TrendSheetStgData[Population]&amp;TrendSheetStgData[Trend],Threshold[#All],5,FALSE)</f>
        <v>5</v>
      </c>
      <c r="M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 spans="1:13" x14ac:dyDescent="0.25">
      <c r="A89" t="s">
        <v>90</v>
      </c>
      <c r="B89" t="s">
        <v>90</v>
      </c>
      <c r="C89" t="s">
        <v>91</v>
      </c>
      <c r="D89" s="1" t="s">
        <v>105</v>
      </c>
      <c r="E89" t="s">
        <v>106</v>
      </c>
      <c r="F89" t="s">
        <v>17</v>
      </c>
      <c r="G89">
        <v>6</v>
      </c>
      <c r="H89">
        <v>0</v>
      </c>
      <c r="I89" s="5">
        <f>IFERROR(VLOOKUP(TrendSheetStgData[Population]&amp;TrendSheetStgData[Cost Basis]&amp;TrendSheetStgData[Period]&amp;TrendSheetStgData[Trend],TrendSheetPrdData[#All],9,FALSE),0)</f>
        <v>0</v>
      </c>
      <c r="J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 s="5">
        <f>VLOOKUP(TrendSheetStgData[Population]&amp;TrendSheetStgData[Trend],Threshold[#All],4,FALSE)</f>
        <v>10</v>
      </c>
      <c r="L89" s="5">
        <f>VLOOKUP(TrendSheetStgData[Population]&amp;TrendSheetStgData[Trend],Threshold[#All],5,FALSE)</f>
        <v>5</v>
      </c>
      <c r="M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 spans="1:13" x14ac:dyDescent="0.25">
      <c r="A90" t="s">
        <v>90</v>
      </c>
      <c r="B90" t="s">
        <v>90</v>
      </c>
      <c r="C90" t="s">
        <v>91</v>
      </c>
      <c r="D90" s="1" t="s">
        <v>107</v>
      </c>
      <c r="E90" t="s">
        <v>106</v>
      </c>
      <c r="F90" t="s">
        <v>17</v>
      </c>
      <c r="G90">
        <v>6</v>
      </c>
      <c r="H90">
        <v>0</v>
      </c>
      <c r="I90" s="5">
        <f>IFERROR(VLOOKUP(TrendSheetStgData[Population]&amp;TrendSheetStgData[Cost Basis]&amp;TrendSheetStgData[Period]&amp;TrendSheetStgData[Trend],TrendSheetPrdData[#All],9,FALSE),0)</f>
        <v>0</v>
      </c>
      <c r="J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 s="5">
        <f>VLOOKUP(TrendSheetStgData[Population]&amp;TrendSheetStgData[Trend],Threshold[#All],4,FALSE)</f>
        <v>10</v>
      </c>
      <c r="L90" s="5">
        <f>VLOOKUP(TrendSheetStgData[Population]&amp;TrendSheetStgData[Trend],Threshold[#All],5,FALSE)</f>
        <v>5</v>
      </c>
      <c r="M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 spans="1:13" x14ac:dyDescent="0.25">
      <c r="A91" t="s">
        <v>90</v>
      </c>
      <c r="B91" t="s">
        <v>90</v>
      </c>
      <c r="C91" t="s">
        <v>91</v>
      </c>
      <c r="D91" s="1" t="s">
        <v>108</v>
      </c>
      <c r="E91" t="s">
        <v>106</v>
      </c>
      <c r="F91" t="s">
        <v>17</v>
      </c>
      <c r="G91">
        <v>6</v>
      </c>
      <c r="H91">
        <v>0</v>
      </c>
      <c r="I91" s="5">
        <f>IFERROR(VLOOKUP(TrendSheetStgData[Population]&amp;TrendSheetStgData[Cost Basis]&amp;TrendSheetStgData[Period]&amp;TrendSheetStgData[Trend],TrendSheetPrdData[#All],9,FALSE),0)</f>
        <v>0</v>
      </c>
      <c r="J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 s="5">
        <f>VLOOKUP(TrendSheetStgData[Population]&amp;TrendSheetStgData[Trend],Threshold[#All],4,FALSE)</f>
        <v>10</v>
      </c>
      <c r="L91" s="5">
        <f>VLOOKUP(TrendSheetStgData[Population]&amp;TrendSheetStgData[Trend],Threshold[#All],5,FALSE)</f>
        <v>5</v>
      </c>
      <c r="M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 spans="1:13" x14ac:dyDescent="0.25">
      <c r="A92" t="s">
        <v>90</v>
      </c>
      <c r="B92" t="s">
        <v>90</v>
      </c>
      <c r="C92" t="s">
        <v>91</v>
      </c>
      <c r="D92" s="1" t="s">
        <v>92</v>
      </c>
      <c r="E92" t="s">
        <v>93</v>
      </c>
      <c r="F92" t="s">
        <v>18</v>
      </c>
      <c r="G92">
        <v>7</v>
      </c>
      <c r="H92">
        <v>2</v>
      </c>
      <c r="I92" s="5">
        <f>IFERROR(VLOOKUP(TrendSheetStgData[Population]&amp;TrendSheetStgData[Cost Basis]&amp;TrendSheetStgData[Period]&amp;TrendSheetStgData[Trend],TrendSheetPrdData[#All],9,FALSE),0)</f>
        <v>2</v>
      </c>
      <c r="J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 s="5">
        <f>VLOOKUP(TrendSheetStgData[Population]&amp;TrendSheetStgData[Trend],Threshold[#All],4,FALSE)</f>
        <v>10</v>
      </c>
      <c r="L92" s="5">
        <f>VLOOKUP(TrendSheetStgData[Population]&amp;TrendSheetStgData[Trend],Threshold[#All],5,FALSE)</f>
        <v>5</v>
      </c>
      <c r="M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 spans="1:13" x14ac:dyDescent="0.25">
      <c r="A93" t="s">
        <v>90</v>
      </c>
      <c r="B93" t="s">
        <v>90</v>
      </c>
      <c r="C93" t="s">
        <v>91</v>
      </c>
      <c r="D93" s="1" t="s">
        <v>94</v>
      </c>
      <c r="E93" t="s">
        <v>93</v>
      </c>
      <c r="F93" t="s">
        <v>18</v>
      </c>
      <c r="G93">
        <v>7</v>
      </c>
      <c r="H93">
        <v>1</v>
      </c>
      <c r="I93" s="5">
        <f>IFERROR(VLOOKUP(TrendSheetStgData[Population]&amp;TrendSheetStgData[Cost Basis]&amp;TrendSheetStgData[Period]&amp;TrendSheetStgData[Trend],TrendSheetPrdData[#All],9,FALSE),0)</f>
        <v>1</v>
      </c>
      <c r="J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 s="5">
        <f>VLOOKUP(TrendSheetStgData[Population]&amp;TrendSheetStgData[Trend],Threshold[#All],4,FALSE)</f>
        <v>10</v>
      </c>
      <c r="L93" s="5">
        <f>VLOOKUP(TrendSheetStgData[Population]&amp;TrendSheetStgData[Trend],Threshold[#All],5,FALSE)</f>
        <v>5</v>
      </c>
      <c r="M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 spans="1:13" x14ac:dyDescent="0.25">
      <c r="A94" t="s">
        <v>90</v>
      </c>
      <c r="B94" t="s">
        <v>90</v>
      </c>
      <c r="C94" t="s">
        <v>91</v>
      </c>
      <c r="D94" s="1" t="s">
        <v>95</v>
      </c>
      <c r="E94" t="s">
        <v>93</v>
      </c>
      <c r="F94" t="s">
        <v>18</v>
      </c>
      <c r="G94">
        <v>7</v>
      </c>
      <c r="H94">
        <v>0</v>
      </c>
      <c r="I94" s="5">
        <f>IFERROR(VLOOKUP(TrendSheetStgData[Population]&amp;TrendSheetStgData[Cost Basis]&amp;TrendSheetStgData[Period]&amp;TrendSheetStgData[Trend],TrendSheetPrdData[#All],9,FALSE),0)</f>
        <v>0</v>
      </c>
      <c r="J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 s="5">
        <f>VLOOKUP(TrendSheetStgData[Population]&amp;TrendSheetStgData[Trend],Threshold[#All],4,FALSE)</f>
        <v>10</v>
      </c>
      <c r="L94" s="5">
        <f>VLOOKUP(TrendSheetStgData[Population]&amp;TrendSheetStgData[Trend],Threshold[#All],5,FALSE)</f>
        <v>5</v>
      </c>
      <c r="M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 spans="1:13" x14ac:dyDescent="0.25">
      <c r="A95" t="s">
        <v>90</v>
      </c>
      <c r="B95" t="s">
        <v>90</v>
      </c>
      <c r="C95" t="s">
        <v>91</v>
      </c>
      <c r="D95" s="1" t="s">
        <v>96</v>
      </c>
      <c r="E95" t="s">
        <v>93</v>
      </c>
      <c r="F95" t="s">
        <v>18</v>
      </c>
      <c r="G95">
        <v>7</v>
      </c>
      <c r="H95">
        <v>0</v>
      </c>
      <c r="I95" s="5">
        <f>IFERROR(VLOOKUP(TrendSheetStgData[Population]&amp;TrendSheetStgData[Cost Basis]&amp;TrendSheetStgData[Period]&amp;TrendSheetStgData[Trend],TrendSheetPrdData[#All],9,FALSE),0)</f>
        <v>0</v>
      </c>
      <c r="J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 s="5">
        <f>VLOOKUP(TrendSheetStgData[Population]&amp;TrendSheetStgData[Trend],Threshold[#All],4,FALSE)</f>
        <v>10</v>
      </c>
      <c r="L95" s="5">
        <f>VLOOKUP(TrendSheetStgData[Population]&amp;TrendSheetStgData[Trend],Threshold[#All],5,FALSE)</f>
        <v>5</v>
      </c>
      <c r="M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 spans="1:13" x14ac:dyDescent="0.25">
      <c r="A96" t="s">
        <v>90</v>
      </c>
      <c r="B96" t="s">
        <v>90</v>
      </c>
      <c r="C96" t="s">
        <v>91</v>
      </c>
      <c r="D96" s="1" t="s">
        <v>97</v>
      </c>
      <c r="E96" t="s">
        <v>93</v>
      </c>
      <c r="F96" t="s">
        <v>18</v>
      </c>
      <c r="G96">
        <v>7</v>
      </c>
      <c r="H96">
        <v>0</v>
      </c>
      <c r="I96" s="5">
        <f>IFERROR(VLOOKUP(TrendSheetStgData[Population]&amp;TrendSheetStgData[Cost Basis]&amp;TrendSheetStgData[Period]&amp;TrendSheetStgData[Trend],TrendSheetPrdData[#All],9,FALSE),0)</f>
        <v>0</v>
      </c>
      <c r="J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 s="5">
        <f>VLOOKUP(TrendSheetStgData[Population]&amp;TrendSheetStgData[Trend],Threshold[#All],4,FALSE)</f>
        <v>10</v>
      </c>
      <c r="L96" s="5">
        <f>VLOOKUP(TrendSheetStgData[Population]&amp;TrendSheetStgData[Trend],Threshold[#All],5,FALSE)</f>
        <v>5</v>
      </c>
      <c r="M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 spans="1:13" x14ac:dyDescent="0.25">
      <c r="A97" t="s">
        <v>90</v>
      </c>
      <c r="B97" t="s">
        <v>90</v>
      </c>
      <c r="C97" t="s">
        <v>91</v>
      </c>
      <c r="D97" s="1" t="s">
        <v>98</v>
      </c>
      <c r="E97" t="s">
        <v>93</v>
      </c>
      <c r="F97" t="s">
        <v>18</v>
      </c>
      <c r="G97">
        <v>7</v>
      </c>
      <c r="H97">
        <v>0</v>
      </c>
      <c r="I97" s="5">
        <f>IFERROR(VLOOKUP(TrendSheetStgData[Population]&amp;TrendSheetStgData[Cost Basis]&amp;TrendSheetStgData[Period]&amp;TrendSheetStgData[Trend],TrendSheetPrdData[#All],9,FALSE),0)</f>
        <v>0</v>
      </c>
      <c r="J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 s="5">
        <f>VLOOKUP(TrendSheetStgData[Population]&amp;TrendSheetStgData[Trend],Threshold[#All],4,FALSE)</f>
        <v>10</v>
      </c>
      <c r="L97" s="5">
        <f>VLOOKUP(TrendSheetStgData[Population]&amp;TrendSheetStgData[Trend],Threshold[#All],5,FALSE)</f>
        <v>5</v>
      </c>
      <c r="M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 spans="1:13" x14ac:dyDescent="0.25">
      <c r="A98" t="s">
        <v>90</v>
      </c>
      <c r="B98" t="s">
        <v>90</v>
      </c>
      <c r="C98" t="s">
        <v>91</v>
      </c>
      <c r="D98" s="1" t="s">
        <v>99</v>
      </c>
      <c r="E98" t="s">
        <v>93</v>
      </c>
      <c r="F98" t="s">
        <v>18</v>
      </c>
      <c r="G98">
        <v>7</v>
      </c>
      <c r="H98">
        <v>0</v>
      </c>
      <c r="I98" s="5">
        <f>IFERROR(VLOOKUP(TrendSheetStgData[Population]&amp;TrendSheetStgData[Cost Basis]&amp;TrendSheetStgData[Period]&amp;TrendSheetStgData[Trend],TrendSheetPrdData[#All],9,FALSE),0)</f>
        <v>0</v>
      </c>
      <c r="J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 s="5">
        <f>VLOOKUP(TrendSheetStgData[Population]&amp;TrendSheetStgData[Trend],Threshold[#All],4,FALSE)</f>
        <v>10</v>
      </c>
      <c r="L98" s="5">
        <f>VLOOKUP(TrendSheetStgData[Population]&amp;TrendSheetStgData[Trend],Threshold[#All],5,FALSE)</f>
        <v>5</v>
      </c>
      <c r="M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 spans="1:13" x14ac:dyDescent="0.25">
      <c r="A99" t="s">
        <v>90</v>
      </c>
      <c r="B99" t="s">
        <v>90</v>
      </c>
      <c r="C99" t="s">
        <v>91</v>
      </c>
      <c r="D99" s="1" t="s">
        <v>100</v>
      </c>
      <c r="E99" t="s">
        <v>93</v>
      </c>
      <c r="F99" t="s">
        <v>18</v>
      </c>
      <c r="G99">
        <v>7</v>
      </c>
      <c r="H99">
        <v>0</v>
      </c>
      <c r="I99" s="5">
        <f>IFERROR(VLOOKUP(TrendSheetStgData[Population]&amp;TrendSheetStgData[Cost Basis]&amp;TrendSheetStgData[Period]&amp;TrendSheetStgData[Trend],TrendSheetPrdData[#All],9,FALSE),0)</f>
        <v>0</v>
      </c>
      <c r="J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 s="5">
        <f>VLOOKUP(TrendSheetStgData[Population]&amp;TrendSheetStgData[Trend],Threshold[#All],4,FALSE)</f>
        <v>10</v>
      </c>
      <c r="L99" s="5">
        <f>VLOOKUP(TrendSheetStgData[Population]&amp;TrendSheetStgData[Trend],Threshold[#All],5,FALSE)</f>
        <v>5</v>
      </c>
      <c r="M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 spans="1:13" x14ac:dyDescent="0.25">
      <c r="A100" t="s">
        <v>90</v>
      </c>
      <c r="B100" t="s">
        <v>90</v>
      </c>
      <c r="C100" t="s">
        <v>91</v>
      </c>
      <c r="D100" s="1" t="s">
        <v>101</v>
      </c>
      <c r="E100" t="s">
        <v>93</v>
      </c>
      <c r="F100" t="s">
        <v>18</v>
      </c>
      <c r="G100">
        <v>7</v>
      </c>
      <c r="H100">
        <v>1</v>
      </c>
      <c r="I100" s="5">
        <f>IFERROR(VLOOKUP(TrendSheetStgData[Population]&amp;TrendSheetStgData[Cost Basis]&amp;TrendSheetStgData[Period]&amp;TrendSheetStgData[Trend],TrendSheetPrdData[#All],9,FALSE),0)</f>
        <v>1</v>
      </c>
      <c r="J1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 s="5">
        <f>VLOOKUP(TrendSheetStgData[Population]&amp;TrendSheetStgData[Trend],Threshold[#All],4,FALSE)</f>
        <v>10</v>
      </c>
      <c r="L100" s="5">
        <f>VLOOKUP(TrendSheetStgData[Population]&amp;TrendSheetStgData[Trend],Threshold[#All],5,FALSE)</f>
        <v>5</v>
      </c>
      <c r="M1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 spans="1:13" x14ac:dyDescent="0.25">
      <c r="A101" t="s">
        <v>90</v>
      </c>
      <c r="B101" t="s">
        <v>90</v>
      </c>
      <c r="C101" t="s">
        <v>91</v>
      </c>
      <c r="D101" s="1" t="s">
        <v>102</v>
      </c>
      <c r="E101" t="s">
        <v>93</v>
      </c>
      <c r="F101" t="s">
        <v>18</v>
      </c>
      <c r="G101">
        <v>7</v>
      </c>
      <c r="H101">
        <v>0</v>
      </c>
      <c r="I101" s="5">
        <f>IFERROR(VLOOKUP(TrendSheetStgData[Population]&amp;TrendSheetStgData[Cost Basis]&amp;TrendSheetStgData[Period]&amp;TrendSheetStgData[Trend],TrendSheetPrdData[#All],9,FALSE),0)</f>
        <v>0</v>
      </c>
      <c r="J1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 s="5">
        <f>VLOOKUP(TrendSheetStgData[Population]&amp;TrendSheetStgData[Trend],Threshold[#All],4,FALSE)</f>
        <v>10</v>
      </c>
      <c r="L101" s="5">
        <f>VLOOKUP(TrendSheetStgData[Population]&amp;TrendSheetStgData[Trend],Threshold[#All],5,FALSE)</f>
        <v>5</v>
      </c>
      <c r="M1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 spans="1:13" x14ac:dyDescent="0.25">
      <c r="A102" t="s">
        <v>90</v>
      </c>
      <c r="B102" t="s">
        <v>90</v>
      </c>
      <c r="C102" t="s">
        <v>91</v>
      </c>
      <c r="D102" s="1" t="s">
        <v>103</v>
      </c>
      <c r="E102" t="s">
        <v>93</v>
      </c>
      <c r="F102" t="s">
        <v>18</v>
      </c>
      <c r="G102">
        <v>7</v>
      </c>
      <c r="H102">
        <v>0</v>
      </c>
      <c r="I102" s="5">
        <f>IFERROR(VLOOKUP(TrendSheetStgData[Population]&amp;TrendSheetStgData[Cost Basis]&amp;TrendSheetStgData[Period]&amp;TrendSheetStgData[Trend],TrendSheetPrdData[#All],9,FALSE),0)</f>
        <v>0</v>
      </c>
      <c r="J1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 s="5">
        <f>VLOOKUP(TrendSheetStgData[Population]&amp;TrendSheetStgData[Trend],Threshold[#All],4,FALSE)</f>
        <v>10</v>
      </c>
      <c r="L102" s="5">
        <f>VLOOKUP(TrendSheetStgData[Population]&amp;TrendSheetStgData[Trend],Threshold[#All],5,FALSE)</f>
        <v>5</v>
      </c>
      <c r="M1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 spans="1:13" x14ac:dyDescent="0.25">
      <c r="A103" t="s">
        <v>90</v>
      </c>
      <c r="B103" t="s">
        <v>90</v>
      </c>
      <c r="C103" t="s">
        <v>91</v>
      </c>
      <c r="D103" s="1" t="s">
        <v>104</v>
      </c>
      <c r="E103" t="s">
        <v>93</v>
      </c>
      <c r="F103" t="s">
        <v>18</v>
      </c>
      <c r="G103">
        <v>7</v>
      </c>
      <c r="H103">
        <v>0</v>
      </c>
      <c r="I103" s="5">
        <f>IFERROR(VLOOKUP(TrendSheetStgData[Population]&amp;TrendSheetStgData[Cost Basis]&amp;TrendSheetStgData[Period]&amp;TrendSheetStgData[Trend],TrendSheetPrdData[#All],9,FALSE),0)</f>
        <v>0</v>
      </c>
      <c r="J1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 s="5">
        <f>VLOOKUP(TrendSheetStgData[Population]&amp;TrendSheetStgData[Trend],Threshold[#All],4,FALSE)</f>
        <v>10</v>
      </c>
      <c r="L103" s="5">
        <f>VLOOKUP(TrendSheetStgData[Population]&amp;TrendSheetStgData[Trend],Threshold[#All],5,FALSE)</f>
        <v>5</v>
      </c>
      <c r="M1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 spans="1:13" x14ac:dyDescent="0.25">
      <c r="A104" t="s">
        <v>90</v>
      </c>
      <c r="B104" t="s">
        <v>90</v>
      </c>
      <c r="C104" t="s">
        <v>91</v>
      </c>
      <c r="D104" s="1" t="s">
        <v>105</v>
      </c>
      <c r="E104" t="s">
        <v>106</v>
      </c>
      <c r="F104" t="s">
        <v>18</v>
      </c>
      <c r="G104">
        <v>7</v>
      </c>
      <c r="H104">
        <v>0</v>
      </c>
      <c r="I104" s="5">
        <f>IFERROR(VLOOKUP(TrendSheetStgData[Population]&amp;TrendSheetStgData[Cost Basis]&amp;TrendSheetStgData[Period]&amp;TrendSheetStgData[Trend],TrendSheetPrdData[#All],9,FALSE),0)</f>
        <v>0</v>
      </c>
      <c r="J1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 s="5">
        <f>VLOOKUP(TrendSheetStgData[Population]&amp;TrendSheetStgData[Trend],Threshold[#All],4,FALSE)</f>
        <v>10</v>
      </c>
      <c r="L104" s="5">
        <f>VLOOKUP(TrendSheetStgData[Population]&amp;TrendSheetStgData[Trend],Threshold[#All],5,FALSE)</f>
        <v>5</v>
      </c>
      <c r="M1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 spans="1:13" x14ac:dyDescent="0.25">
      <c r="A105" t="s">
        <v>90</v>
      </c>
      <c r="B105" t="s">
        <v>90</v>
      </c>
      <c r="C105" t="s">
        <v>91</v>
      </c>
      <c r="D105" s="1" t="s">
        <v>107</v>
      </c>
      <c r="E105" t="s">
        <v>106</v>
      </c>
      <c r="F105" t="s">
        <v>18</v>
      </c>
      <c r="G105">
        <v>7</v>
      </c>
      <c r="H105">
        <v>0</v>
      </c>
      <c r="I105" s="5">
        <f>IFERROR(VLOOKUP(TrendSheetStgData[Population]&amp;TrendSheetStgData[Cost Basis]&amp;TrendSheetStgData[Period]&amp;TrendSheetStgData[Trend],TrendSheetPrdData[#All],9,FALSE),0)</f>
        <v>0</v>
      </c>
      <c r="J1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 s="5">
        <f>VLOOKUP(TrendSheetStgData[Population]&amp;TrendSheetStgData[Trend],Threshold[#All],4,FALSE)</f>
        <v>10</v>
      </c>
      <c r="L105" s="5">
        <f>VLOOKUP(TrendSheetStgData[Population]&amp;TrendSheetStgData[Trend],Threshold[#All],5,FALSE)</f>
        <v>5</v>
      </c>
      <c r="M1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 spans="1:13" x14ac:dyDescent="0.25">
      <c r="A106" t="s">
        <v>90</v>
      </c>
      <c r="B106" t="s">
        <v>90</v>
      </c>
      <c r="C106" t="s">
        <v>91</v>
      </c>
      <c r="D106" s="1" t="s">
        <v>108</v>
      </c>
      <c r="E106" t="s">
        <v>106</v>
      </c>
      <c r="F106" t="s">
        <v>18</v>
      </c>
      <c r="G106">
        <v>7</v>
      </c>
      <c r="H106">
        <v>0</v>
      </c>
      <c r="I106" s="5">
        <f>IFERROR(VLOOKUP(TrendSheetStgData[Population]&amp;TrendSheetStgData[Cost Basis]&amp;TrendSheetStgData[Period]&amp;TrendSheetStgData[Trend],TrendSheetPrdData[#All],9,FALSE),0)</f>
        <v>0</v>
      </c>
      <c r="J1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 s="5">
        <f>VLOOKUP(TrendSheetStgData[Population]&amp;TrendSheetStgData[Trend],Threshold[#All],4,FALSE)</f>
        <v>10</v>
      </c>
      <c r="L106" s="5">
        <f>VLOOKUP(TrendSheetStgData[Population]&amp;TrendSheetStgData[Trend],Threshold[#All],5,FALSE)</f>
        <v>5</v>
      </c>
      <c r="M1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 spans="1:13" x14ac:dyDescent="0.25">
      <c r="A107" t="s">
        <v>90</v>
      </c>
      <c r="B107" t="s">
        <v>90</v>
      </c>
      <c r="C107" t="s">
        <v>91</v>
      </c>
      <c r="D107" s="1" t="s">
        <v>92</v>
      </c>
      <c r="E107" t="s">
        <v>93</v>
      </c>
      <c r="F107" t="s">
        <v>19</v>
      </c>
      <c r="G107">
        <v>8</v>
      </c>
      <c r="H107">
        <v>36660.199999999997</v>
      </c>
      <c r="I107" s="5">
        <f>IFERROR(VLOOKUP(TrendSheetStgData[Population]&amp;TrendSheetStgData[Cost Basis]&amp;TrendSheetStgData[Period]&amp;TrendSheetStgData[Trend],TrendSheetPrdData[#All],9,FALSE),0)</f>
        <v>36660.199999999997</v>
      </c>
      <c r="J1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 s="5">
        <f>VLOOKUP(TrendSheetStgData[Population]&amp;TrendSheetStgData[Trend],Threshold[#All],4,FALSE)</f>
        <v>10</v>
      </c>
      <c r="L107" s="5">
        <f>VLOOKUP(TrendSheetStgData[Population]&amp;TrendSheetStgData[Trend],Threshold[#All],5,FALSE)</f>
        <v>5</v>
      </c>
      <c r="M1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 spans="1:13" x14ac:dyDescent="0.25">
      <c r="A108" t="s">
        <v>90</v>
      </c>
      <c r="B108" t="s">
        <v>90</v>
      </c>
      <c r="C108" t="s">
        <v>91</v>
      </c>
      <c r="D108" s="1" t="s">
        <v>94</v>
      </c>
      <c r="E108" t="s">
        <v>93</v>
      </c>
      <c r="F108" t="s">
        <v>19</v>
      </c>
      <c r="G108">
        <v>8</v>
      </c>
      <c r="H108">
        <v>32938.639999999999</v>
      </c>
      <c r="I108" s="5">
        <f>IFERROR(VLOOKUP(TrendSheetStgData[Population]&amp;TrendSheetStgData[Cost Basis]&amp;TrendSheetStgData[Period]&amp;TrendSheetStgData[Trend],TrendSheetPrdData[#All],9,FALSE),0)</f>
        <v>32318.13</v>
      </c>
      <c r="J1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1.9200058914299756</v>
      </c>
      <c r="K108" s="5">
        <f>VLOOKUP(TrendSheetStgData[Population]&amp;TrendSheetStgData[Trend],Threshold[#All],4,FALSE)</f>
        <v>10</v>
      </c>
      <c r="L108" s="5">
        <f>VLOOKUP(TrendSheetStgData[Population]&amp;TrendSheetStgData[Trend],Threshold[#All],5,FALSE)</f>
        <v>5</v>
      </c>
      <c r="M1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9" spans="1:13" x14ac:dyDescent="0.25">
      <c r="A109" t="s">
        <v>90</v>
      </c>
      <c r="B109" t="s">
        <v>90</v>
      </c>
      <c r="C109" t="s">
        <v>91</v>
      </c>
      <c r="D109" s="1" t="s">
        <v>95</v>
      </c>
      <c r="E109" t="s">
        <v>93</v>
      </c>
      <c r="F109" t="s">
        <v>19</v>
      </c>
      <c r="G109">
        <v>8</v>
      </c>
      <c r="H109">
        <v>43006.65</v>
      </c>
      <c r="I109" s="5">
        <f>IFERROR(VLOOKUP(TrendSheetStgData[Population]&amp;TrendSheetStgData[Cost Basis]&amp;TrendSheetStgData[Period]&amp;TrendSheetStgData[Trend],TrendSheetPrdData[#All],9,FALSE),0)</f>
        <v>40754.79</v>
      </c>
      <c r="J1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5.5253873225699373</v>
      </c>
      <c r="K109" s="5">
        <f>VLOOKUP(TrendSheetStgData[Population]&amp;TrendSheetStgData[Trend],Threshold[#All],4,FALSE)</f>
        <v>10</v>
      </c>
      <c r="L109" s="5">
        <f>VLOOKUP(TrendSheetStgData[Population]&amp;TrendSheetStgData[Trend],Threshold[#All],5,FALSE)</f>
        <v>5</v>
      </c>
      <c r="M1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10" spans="1:13" x14ac:dyDescent="0.25">
      <c r="A110" t="s">
        <v>90</v>
      </c>
      <c r="B110" t="s">
        <v>90</v>
      </c>
      <c r="C110" t="s">
        <v>91</v>
      </c>
      <c r="D110" s="1" t="s">
        <v>96</v>
      </c>
      <c r="E110" t="s">
        <v>93</v>
      </c>
      <c r="F110" t="s">
        <v>19</v>
      </c>
      <c r="G110">
        <v>8</v>
      </c>
      <c r="H110">
        <v>43679.56</v>
      </c>
      <c r="I110" s="5">
        <f>IFERROR(VLOOKUP(TrendSheetStgData[Population]&amp;TrendSheetStgData[Cost Basis]&amp;TrendSheetStgData[Period]&amp;TrendSheetStgData[Trend],TrendSheetPrdData[#All],9,FALSE),0)</f>
        <v>43679.56</v>
      </c>
      <c r="J1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 s="5">
        <f>VLOOKUP(TrendSheetStgData[Population]&amp;TrendSheetStgData[Trend],Threshold[#All],4,FALSE)</f>
        <v>10</v>
      </c>
      <c r="L110" s="5">
        <f>VLOOKUP(TrendSheetStgData[Population]&amp;TrendSheetStgData[Trend],Threshold[#All],5,FALSE)</f>
        <v>5</v>
      </c>
      <c r="M1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 spans="1:13" x14ac:dyDescent="0.25">
      <c r="A111" t="s">
        <v>90</v>
      </c>
      <c r="B111" t="s">
        <v>90</v>
      </c>
      <c r="C111" t="s">
        <v>91</v>
      </c>
      <c r="D111" s="1" t="s">
        <v>97</v>
      </c>
      <c r="E111" t="s">
        <v>93</v>
      </c>
      <c r="F111" t="s">
        <v>19</v>
      </c>
      <c r="G111">
        <v>8</v>
      </c>
      <c r="H111">
        <v>38110.43</v>
      </c>
      <c r="I111" s="5">
        <f>IFERROR(VLOOKUP(TrendSheetStgData[Population]&amp;TrendSheetStgData[Cost Basis]&amp;TrendSheetStgData[Period]&amp;TrendSheetStgData[Trend],TrendSheetPrdData[#All],9,FALSE),0)</f>
        <v>38110.43</v>
      </c>
      <c r="J1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 s="5">
        <f>VLOOKUP(TrendSheetStgData[Population]&amp;TrendSheetStgData[Trend],Threshold[#All],4,FALSE)</f>
        <v>10</v>
      </c>
      <c r="L111" s="5">
        <f>VLOOKUP(TrendSheetStgData[Population]&amp;TrendSheetStgData[Trend],Threshold[#All],5,FALSE)</f>
        <v>5</v>
      </c>
      <c r="M1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 spans="1:13" x14ac:dyDescent="0.25">
      <c r="A112" t="s">
        <v>90</v>
      </c>
      <c r="B112" t="s">
        <v>90</v>
      </c>
      <c r="C112" t="s">
        <v>91</v>
      </c>
      <c r="D112" s="1" t="s">
        <v>98</v>
      </c>
      <c r="E112" t="s">
        <v>93</v>
      </c>
      <c r="F112" t="s">
        <v>19</v>
      </c>
      <c r="G112">
        <v>8</v>
      </c>
      <c r="H112">
        <v>43457.54</v>
      </c>
      <c r="I112" s="5">
        <f>IFERROR(VLOOKUP(TrendSheetStgData[Population]&amp;TrendSheetStgData[Cost Basis]&amp;TrendSheetStgData[Period]&amp;TrendSheetStgData[Trend],TrendSheetPrdData[#All],9,FALSE),0)</f>
        <v>43457.54</v>
      </c>
      <c r="J1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 s="5">
        <f>VLOOKUP(TrendSheetStgData[Population]&amp;TrendSheetStgData[Trend],Threshold[#All],4,FALSE)</f>
        <v>10</v>
      </c>
      <c r="L112" s="5">
        <f>VLOOKUP(TrendSheetStgData[Population]&amp;TrendSheetStgData[Trend],Threshold[#All],5,FALSE)</f>
        <v>5</v>
      </c>
      <c r="M1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 spans="1:13" x14ac:dyDescent="0.25">
      <c r="A113" t="s">
        <v>90</v>
      </c>
      <c r="B113" t="s">
        <v>90</v>
      </c>
      <c r="C113" t="s">
        <v>91</v>
      </c>
      <c r="D113" s="1" t="s">
        <v>99</v>
      </c>
      <c r="E113" t="s">
        <v>93</v>
      </c>
      <c r="F113" t="s">
        <v>19</v>
      </c>
      <c r="G113">
        <v>8</v>
      </c>
      <c r="H113">
        <v>19065.830000000002</v>
      </c>
      <c r="I113" s="5">
        <f>IFERROR(VLOOKUP(TrendSheetStgData[Population]&amp;TrendSheetStgData[Cost Basis]&amp;TrendSheetStgData[Period]&amp;TrendSheetStgData[Trend],TrendSheetPrdData[#All],9,FALSE),0)</f>
        <v>16807.21</v>
      </c>
      <c r="J1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13.438399353610759</v>
      </c>
      <c r="K113" s="5">
        <f>VLOOKUP(TrendSheetStgData[Population]&amp;TrendSheetStgData[Trend],Threshold[#All],4,FALSE)</f>
        <v>10</v>
      </c>
      <c r="L113" s="5">
        <f>VLOOKUP(TrendSheetStgData[Population]&amp;TrendSheetStgData[Trend],Threshold[#All],5,FALSE)</f>
        <v>5</v>
      </c>
      <c r="M1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4" spans="1:13" x14ac:dyDescent="0.25">
      <c r="A114" t="s">
        <v>90</v>
      </c>
      <c r="B114" t="s">
        <v>90</v>
      </c>
      <c r="C114" t="s">
        <v>91</v>
      </c>
      <c r="D114" s="1" t="s">
        <v>100</v>
      </c>
      <c r="E114" t="s">
        <v>93</v>
      </c>
      <c r="F114" t="s">
        <v>19</v>
      </c>
      <c r="G114">
        <v>8</v>
      </c>
      <c r="H114">
        <v>53492.91</v>
      </c>
      <c r="I114" s="5">
        <f>IFERROR(VLOOKUP(TrendSheetStgData[Population]&amp;TrendSheetStgData[Cost Basis]&amp;TrendSheetStgData[Period]&amp;TrendSheetStgData[Trend],TrendSheetPrdData[#All],9,FALSE),0)</f>
        <v>49139.51</v>
      </c>
      <c r="J1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8.8592661994391104</v>
      </c>
      <c r="K114" s="5">
        <f>VLOOKUP(TrendSheetStgData[Population]&amp;TrendSheetStgData[Trend],Threshold[#All],4,FALSE)</f>
        <v>10</v>
      </c>
      <c r="L114" s="5">
        <f>VLOOKUP(TrendSheetStgData[Population]&amp;TrendSheetStgData[Trend],Threshold[#All],5,FALSE)</f>
        <v>5</v>
      </c>
      <c r="M1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15" spans="1:13" x14ac:dyDescent="0.25">
      <c r="A115" t="s">
        <v>90</v>
      </c>
      <c r="B115" t="s">
        <v>90</v>
      </c>
      <c r="C115" t="s">
        <v>91</v>
      </c>
      <c r="D115" s="1" t="s">
        <v>101</v>
      </c>
      <c r="E115" t="s">
        <v>93</v>
      </c>
      <c r="F115" t="s">
        <v>19</v>
      </c>
      <c r="G115">
        <v>8</v>
      </c>
      <c r="H115">
        <v>61406.720000000001</v>
      </c>
      <c r="I115" s="5">
        <f>IFERROR(VLOOKUP(TrendSheetStgData[Population]&amp;TrendSheetStgData[Cost Basis]&amp;TrendSheetStgData[Period]&amp;TrendSheetStgData[Trend],TrendSheetPrdData[#All],9,FALSE),0)</f>
        <v>57553.32</v>
      </c>
      <c r="J1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6.6953565841206055</v>
      </c>
      <c r="K115" s="5">
        <f>VLOOKUP(TrendSheetStgData[Population]&amp;TrendSheetStgData[Trend],Threshold[#All],4,FALSE)</f>
        <v>10</v>
      </c>
      <c r="L115" s="5">
        <f>VLOOKUP(TrendSheetStgData[Population]&amp;TrendSheetStgData[Trend],Threshold[#All],5,FALSE)</f>
        <v>5</v>
      </c>
      <c r="M1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16" spans="1:13" x14ac:dyDescent="0.25">
      <c r="A116" t="s">
        <v>90</v>
      </c>
      <c r="B116" t="s">
        <v>90</v>
      </c>
      <c r="C116" t="s">
        <v>91</v>
      </c>
      <c r="D116" s="1" t="s">
        <v>102</v>
      </c>
      <c r="E116" t="s">
        <v>93</v>
      </c>
      <c r="F116" t="s">
        <v>19</v>
      </c>
      <c r="G116">
        <v>8</v>
      </c>
      <c r="H116">
        <v>47603.6</v>
      </c>
      <c r="I116" s="5">
        <f>IFERROR(VLOOKUP(TrendSheetStgData[Population]&amp;TrendSheetStgData[Cost Basis]&amp;TrendSheetStgData[Period]&amp;TrendSheetStgData[Trend],TrendSheetPrdData[#All],9,FALSE),0)</f>
        <v>44258.3</v>
      </c>
      <c r="J1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7.5585822320333031</v>
      </c>
      <c r="K116" s="5">
        <f>VLOOKUP(TrendSheetStgData[Population]&amp;TrendSheetStgData[Trend],Threshold[#All],4,FALSE)</f>
        <v>10</v>
      </c>
      <c r="L116" s="5">
        <f>VLOOKUP(TrendSheetStgData[Population]&amp;TrendSheetStgData[Trend],Threshold[#All],5,FALSE)</f>
        <v>5</v>
      </c>
      <c r="M1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17" spans="1:13" x14ac:dyDescent="0.25">
      <c r="A117" t="s">
        <v>90</v>
      </c>
      <c r="B117" t="s">
        <v>90</v>
      </c>
      <c r="C117" t="s">
        <v>91</v>
      </c>
      <c r="D117" s="1" t="s">
        <v>103</v>
      </c>
      <c r="E117" t="s">
        <v>93</v>
      </c>
      <c r="F117" t="s">
        <v>19</v>
      </c>
      <c r="G117">
        <v>8</v>
      </c>
      <c r="H117">
        <v>30404.48</v>
      </c>
      <c r="I117" s="5">
        <f>IFERROR(VLOOKUP(TrendSheetStgData[Population]&amp;TrendSheetStgData[Cost Basis]&amp;TrendSheetStgData[Period]&amp;TrendSheetStgData[Trend],TrendSheetPrdData[#All],9,FALSE),0)</f>
        <v>30404.48</v>
      </c>
      <c r="J1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 s="5">
        <f>VLOOKUP(TrendSheetStgData[Population]&amp;TrendSheetStgData[Trend],Threshold[#All],4,FALSE)</f>
        <v>10</v>
      </c>
      <c r="L117" s="5">
        <f>VLOOKUP(TrendSheetStgData[Population]&amp;TrendSheetStgData[Trend],Threshold[#All],5,FALSE)</f>
        <v>5</v>
      </c>
      <c r="M1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 spans="1:13" x14ac:dyDescent="0.25">
      <c r="A118" t="s">
        <v>90</v>
      </c>
      <c r="B118" t="s">
        <v>90</v>
      </c>
      <c r="C118" t="s">
        <v>91</v>
      </c>
      <c r="D118" s="1" t="s">
        <v>104</v>
      </c>
      <c r="E118" t="s">
        <v>93</v>
      </c>
      <c r="F118" t="s">
        <v>19</v>
      </c>
      <c r="G118">
        <v>8</v>
      </c>
      <c r="H118">
        <v>35690.36</v>
      </c>
      <c r="I118" s="5">
        <f>IFERROR(VLOOKUP(TrendSheetStgData[Population]&amp;TrendSheetStgData[Cost Basis]&amp;TrendSheetStgData[Period]&amp;TrendSheetStgData[Trend],TrendSheetPrdData[#All],9,FALSE),0)</f>
        <v>29231.42</v>
      </c>
      <c r="J1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22.095881760106089</v>
      </c>
      <c r="K118" s="5">
        <f>VLOOKUP(TrendSheetStgData[Population]&amp;TrendSheetStgData[Trend],Threshold[#All],4,FALSE)</f>
        <v>10</v>
      </c>
      <c r="L118" s="5">
        <f>VLOOKUP(TrendSheetStgData[Population]&amp;TrendSheetStgData[Trend],Threshold[#All],5,FALSE)</f>
        <v>5</v>
      </c>
      <c r="M1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9" spans="1:13" x14ac:dyDescent="0.25">
      <c r="A119" t="s">
        <v>90</v>
      </c>
      <c r="B119" t="s">
        <v>90</v>
      </c>
      <c r="C119" t="s">
        <v>91</v>
      </c>
      <c r="D119" s="1" t="s">
        <v>105</v>
      </c>
      <c r="E119" t="s">
        <v>106</v>
      </c>
      <c r="F119" t="s">
        <v>19</v>
      </c>
      <c r="G119">
        <v>8</v>
      </c>
      <c r="H119">
        <v>41588.17</v>
      </c>
      <c r="I119" s="5">
        <f>IFERROR(VLOOKUP(TrendSheetStgData[Population]&amp;TrendSheetStgData[Cost Basis]&amp;TrendSheetStgData[Period]&amp;TrendSheetStgData[Trend],TrendSheetPrdData[#All],9,FALSE),0)</f>
        <v>36044.61</v>
      </c>
      <c r="J1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15.379719741731144</v>
      </c>
      <c r="K119" s="5">
        <f>VLOOKUP(TrendSheetStgData[Population]&amp;TrendSheetStgData[Trend],Threshold[#All],4,FALSE)</f>
        <v>10</v>
      </c>
      <c r="L119" s="5">
        <f>VLOOKUP(TrendSheetStgData[Population]&amp;TrendSheetStgData[Trend],Threshold[#All],5,FALSE)</f>
        <v>5</v>
      </c>
      <c r="M1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0" spans="1:13" x14ac:dyDescent="0.25">
      <c r="A120" t="s">
        <v>90</v>
      </c>
      <c r="B120" t="s">
        <v>90</v>
      </c>
      <c r="C120" t="s">
        <v>91</v>
      </c>
      <c r="D120" s="1" t="s">
        <v>107</v>
      </c>
      <c r="E120" t="s">
        <v>106</v>
      </c>
      <c r="F120" t="s">
        <v>19</v>
      </c>
      <c r="G120">
        <v>8</v>
      </c>
      <c r="H120">
        <v>54363.86</v>
      </c>
      <c r="I120" s="5">
        <f>IFERROR(VLOOKUP(TrendSheetStgData[Population]&amp;TrendSheetStgData[Cost Basis]&amp;TrendSheetStgData[Period]&amp;TrendSheetStgData[Trend],TrendSheetPrdData[#All],9,FALSE),0)</f>
        <v>29485.54</v>
      </c>
      <c r="J1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84.374646012927016</v>
      </c>
      <c r="K120" s="5">
        <f>VLOOKUP(TrendSheetStgData[Population]&amp;TrendSheetStgData[Trend],Threshold[#All],4,FALSE)</f>
        <v>10</v>
      </c>
      <c r="L120" s="5">
        <f>VLOOKUP(TrendSheetStgData[Population]&amp;TrendSheetStgData[Trend],Threshold[#All],5,FALSE)</f>
        <v>5</v>
      </c>
      <c r="M1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1" spans="1:13" x14ac:dyDescent="0.25">
      <c r="A121" t="s">
        <v>90</v>
      </c>
      <c r="B121" t="s">
        <v>90</v>
      </c>
      <c r="C121" t="s">
        <v>91</v>
      </c>
      <c r="D121" s="1" t="s">
        <v>108</v>
      </c>
      <c r="E121" t="s">
        <v>106</v>
      </c>
      <c r="F121" t="s">
        <v>19</v>
      </c>
      <c r="G121">
        <v>8</v>
      </c>
      <c r="H121">
        <v>17986.27</v>
      </c>
      <c r="I121" s="5">
        <f>IFERROR(VLOOKUP(TrendSheetStgData[Population]&amp;TrendSheetStgData[Cost Basis]&amp;TrendSheetStgData[Period]&amp;TrendSheetStgData[Trend],TrendSheetPrdData[#All],9,FALSE),0)</f>
        <v>0</v>
      </c>
      <c r="J1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21" s="5">
        <f>VLOOKUP(TrendSheetStgData[Population]&amp;TrendSheetStgData[Trend],Threshold[#All],4,FALSE)</f>
        <v>10</v>
      </c>
      <c r="L121" s="5">
        <f>VLOOKUP(TrendSheetStgData[Population]&amp;TrendSheetStgData[Trend],Threshold[#All],5,FALSE)</f>
        <v>5</v>
      </c>
      <c r="M1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2" spans="1:13" x14ac:dyDescent="0.25">
      <c r="A122" t="s">
        <v>90</v>
      </c>
      <c r="B122" t="s">
        <v>90</v>
      </c>
      <c r="C122" t="s">
        <v>91</v>
      </c>
      <c r="D122" s="1" t="s">
        <v>92</v>
      </c>
      <c r="E122" t="s">
        <v>93</v>
      </c>
      <c r="F122" t="s">
        <v>20</v>
      </c>
      <c r="G122">
        <v>9</v>
      </c>
      <c r="H122">
        <v>50</v>
      </c>
      <c r="I122" s="5">
        <f>IFERROR(VLOOKUP(TrendSheetStgData[Population]&amp;TrendSheetStgData[Cost Basis]&amp;TrendSheetStgData[Period]&amp;TrendSheetStgData[Trend],TrendSheetPrdData[#All],9,FALSE),0)</f>
        <v>50</v>
      </c>
      <c r="J1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 s="5">
        <f>VLOOKUP(TrendSheetStgData[Population]&amp;TrendSheetStgData[Trend],Threshold[#All],4,FALSE)</f>
        <v>10</v>
      </c>
      <c r="L122" s="5">
        <f>VLOOKUP(TrendSheetStgData[Population]&amp;TrendSheetStgData[Trend],Threshold[#All],5,FALSE)</f>
        <v>5</v>
      </c>
      <c r="M1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 spans="1:13" x14ac:dyDescent="0.25">
      <c r="A123" t="s">
        <v>90</v>
      </c>
      <c r="B123" t="s">
        <v>90</v>
      </c>
      <c r="C123" t="s">
        <v>91</v>
      </c>
      <c r="D123" s="1" t="s">
        <v>94</v>
      </c>
      <c r="E123" t="s">
        <v>93</v>
      </c>
      <c r="F123" t="s">
        <v>20</v>
      </c>
      <c r="G123">
        <v>9</v>
      </c>
      <c r="H123">
        <v>36</v>
      </c>
      <c r="I123" s="5">
        <f>IFERROR(VLOOKUP(TrendSheetStgData[Population]&amp;TrendSheetStgData[Cost Basis]&amp;TrendSheetStgData[Period]&amp;TrendSheetStgData[Trend],TrendSheetPrdData[#All],9,FALSE),0)</f>
        <v>36</v>
      </c>
      <c r="J1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 s="5">
        <f>VLOOKUP(TrendSheetStgData[Population]&amp;TrendSheetStgData[Trend],Threshold[#All],4,FALSE)</f>
        <v>10</v>
      </c>
      <c r="L123" s="5">
        <f>VLOOKUP(TrendSheetStgData[Population]&amp;TrendSheetStgData[Trend],Threshold[#All],5,FALSE)</f>
        <v>5</v>
      </c>
      <c r="M1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 spans="1:13" x14ac:dyDescent="0.25">
      <c r="A124" t="s">
        <v>90</v>
      </c>
      <c r="B124" t="s">
        <v>90</v>
      </c>
      <c r="C124" t="s">
        <v>91</v>
      </c>
      <c r="D124" s="1" t="s">
        <v>95</v>
      </c>
      <c r="E124" t="s">
        <v>93</v>
      </c>
      <c r="F124" t="s">
        <v>20</v>
      </c>
      <c r="G124">
        <v>9</v>
      </c>
      <c r="H124">
        <v>63</v>
      </c>
      <c r="I124" s="5">
        <f>IFERROR(VLOOKUP(TrendSheetStgData[Population]&amp;TrendSheetStgData[Cost Basis]&amp;TrendSheetStgData[Period]&amp;TrendSheetStgData[Trend],TrendSheetPrdData[#All],9,FALSE),0)</f>
        <v>58</v>
      </c>
      <c r="J1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8.6206896551724146</v>
      </c>
      <c r="K124" s="5">
        <f>VLOOKUP(TrendSheetStgData[Population]&amp;TrendSheetStgData[Trend],Threshold[#All],4,FALSE)</f>
        <v>10</v>
      </c>
      <c r="L124" s="5">
        <f>VLOOKUP(TrendSheetStgData[Population]&amp;TrendSheetStgData[Trend],Threshold[#All],5,FALSE)</f>
        <v>5</v>
      </c>
      <c r="M1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25" spans="1:13" x14ac:dyDescent="0.25">
      <c r="A125" t="s">
        <v>90</v>
      </c>
      <c r="B125" t="s">
        <v>90</v>
      </c>
      <c r="C125" t="s">
        <v>91</v>
      </c>
      <c r="D125" s="1" t="s">
        <v>96</v>
      </c>
      <c r="E125" t="s">
        <v>93</v>
      </c>
      <c r="F125" t="s">
        <v>20</v>
      </c>
      <c r="G125">
        <v>9</v>
      </c>
      <c r="H125">
        <v>36</v>
      </c>
      <c r="I125" s="5">
        <f>IFERROR(VLOOKUP(TrendSheetStgData[Population]&amp;TrendSheetStgData[Cost Basis]&amp;TrendSheetStgData[Period]&amp;TrendSheetStgData[Trend],TrendSheetPrdData[#All],9,FALSE),0)</f>
        <v>36</v>
      </c>
      <c r="J1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 s="5">
        <f>VLOOKUP(TrendSheetStgData[Population]&amp;TrendSheetStgData[Trend],Threshold[#All],4,FALSE)</f>
        <v>10</v>
      </c>
      <c r="L125" s="5">
        <f>VLOOKUP(TrendSheetStgData[Population]&amp;TrendSheetStgData[Trend],Threshold[#All],5,FALSE)</f>
        <v>5</v>
      </c>
      <c r="M1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 spans="1:13" x14ac:dyDescent="0.25">
      <c r="A126" t="s">
        <v>90</v>
      </c>
      <c r="B126" t="s">
        <v>90</v>
      </c>
      <c r="C126" t="s">
        <v>91</v>
      </c>
      <c r="D126" s="1" t="s">
        <v>97</v>
      </c>
      <c r="E126" t="s">
        <v>93</v>
      </c>
      <c r="F126" t="s">
        <v>20</v>
      </c>
      <c r="G126">
        <v>9</v>
      </c>
      <c r="H126">
        <v>44</v>
      </c>
      <c r="I126" s="5">
        <f>IFERROR(VLOOKUP(TrendSheetStgData[Population]&amp;TrendSheetStgData[Cost Basis]&amp;TrendSheetStgData[Period]&amp;TrendSheetStgData[Trend],TrendSheetPrdData[#All],9,FALSE),0)</f>
        <v>44</v>
      </c>
      <c r="J1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 s="5">
        <f>VLOOKUP(TrendSheetStgData[Population]&amp;TrendSheetStgData[Trend],Threshold[#All],4,FALSE)</f>
        <v>10</v>
      </c>
      <c r="L126" s="5">
        <f>VLOOKUP(TrendSheetStgData[Population]&amp;TrendSheetStgData[Trend],Threshold[#All],5,FALSE)</f>
        <v>5</v>
      </c>
      <c r="M1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 spans="1:13" x14ac:dyDescent="0.25">
      <c r="A127" t="s">
        <v>90</v>
      </c>
      <c r="B127" t="s">
        <v>90</v>
      </c>
      <c r="C127" t="s">
        <v>91</v>
      </c>
      <c r="D127" s="1" t="s">
        <v>98</v>
      </c>
      <c r="E127" t="s">
        <v>93</v>
      </c>
      <c r="F127" t="s">
        <v>20</v>
      </c>
      <c r="G127">
        <v>9</v>
      </c>
      <c r="H127">
        <v>52</v>
      </c>
      <c r="I127" s="5">
        <f>IFERROR(VLOOKUP(TrendSheetStgData[Population]&amp;TrendSheetStgData[Cost Basis]&amp;TrendSheetStgData[Period]&amp;TrendSheetStgData[Trend],TrendSheetPrdData[#All],9,FALSE),0)</f>
        <v>52</v>
      </c>
      <c r="J1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 s="5">
        <f>VLOOKUP(TrendSheetStgData[Population]&amp;TrendSheetStgData[Trend],Threshold[#All],4,FALSE)</f>
        <v>10</v>
      </c>
      <c r="L127" s="5">
        <f>VLOOKUP(TrendSheetStgData[Population]&amp;TrendSheetStgData[Trend],Threshold[#All],5,FALSE)</f>
        <v>5</v>
      </c>
      <c r="M1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 spans="1:13" x14ac:dyDescent="0.25">
      <c r="A128" t="s">
        <v>90</v>
      </c>
      <c r="B128" t="s">
        <v>90</v>
      </c>
      <c r="C128" t="s">
        <v>91</v>
      </c>
      <c r="D128" s="1" t="s">
        <v>99</v>
      </c>
      <c r="E128" t="s">
        <v>93</v>
      </c>
      <c r="F128" t="s">
        <v>20</v>
      </c>
      <c r="G128">
        <v>9</v>
      </c>
      <c r="H128">
        <v>21</v>
      </c>
      <c r="I128" s="5">
        <f>IFERROR(VLOOKUP(TrendSheetStgData[Population]&amp;TrendSheetStgData[Cost Basis]&amp;TrendSheetStgData[Period]&amp;TrendSheetStgData[Trend],TrendSheetPrdData[#All],9,FALSE),0)</f>
        <v>17</v>
      </c>
      <c r="J1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23.52941176470588</v>
      </c>
      <c r="K128" s="5">
        <f>VLOOKUP(TrendSheetStgData[Population]&amp;TrendSheetStgData[Trend],Threshold[#All],4,FALSE)</f>
        <v>10</v>
      </c>
      <c r="L128" s="5">
        <f>VLOOKUP(TrendSheetStgData[Population]&amp;TrendSheetStgData[Trend],Threshold[#All],5,FALSE)</f>
        <v>5</v>
      </c>
      <c r="M1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9" spans="1:13" x14ac:dyDescent="0.25">
      <c r="A129" t="s">
        <v>90</v>
      </c>
      <c r="B129" t="s">
        <v>90</v>
      </c>
      <c r="C129" t="s">
        <v>91</v>
      </c>
      <c r="D129" s="1" t="s">
        <v>100</v>
      </c>
      <c r="E129" t="s">
        <v>93</v>
      </c>
      <c r="F129" t="s">
        <v>20</v>
      </c>
      <c r="G129">
        <v>9</v>
      </c>
      <c r="H129">
        <v>78</v>
      </c>
      <c r="I129" s="5">
        <f>IFERROR(VLOOKUP(TrendSheetStgData[Population]&amp;TrendSheetStgData[Cost Basis]&amp;TrendSheetStgData[Period]&amp;TrendSheetStgData[Trend],TrendSheetPrdData[#All],9,FALSE),0)</f>
        <v>74</v>
      </c>
      <c r="J1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5.4054054054054053</v>
      </c>
      <c r="K129" s="5">
        <f>VLOOKUP(TrendSheetStgData[Population]&amp;TrendSheetStgData[Trend],Threshold[#All],4,FALSE)</f>
        <v>10</v>
      </c>
      <c r="L129" s="5">
        <f>VLOOKUP(TrendSheetStgData[Population]&amp;TrendSheetStgData[Trend],Threshold[#All],5,FALSE)</f>
        <v>5</v>
      </c>
      <c r="M1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30" spans="1:13" x14ac:dyDescent="0.25">
      <c r="A130" t="s">
        <v>90</v>
      </c>
      <c r="B130" t="s">
        <v>90</v>
      </c>
      <c r="C130" t="s">
        <v>91</v>
      </c>
      <c r="D130" s="1" t="s">
        <v>101</v>
      </c>
      <c r="E130" t="s">
        <v>93</v>
      </c>
      <c r="F130" t="s">
        <v>20</v>
      </c>
      <c r="G130">
        <v>9</v>
      </c>
      <c r="H130">
        <v>70</v>
      </c>
      <c r="I130" s="5">
        <f>IFERROR(VLOOKUP(TrendSheetStgData[Population]&amp;TrendSheetStgData[Cost Basis]&amp;TrendSheetStgData[Period]&amp;TrendSheetStgData[Trend],TrendSheetPrdData[#All],9,FALSE),0)</f>
        <v>65</v>
      </c>
      <c r="J1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7.6923076923076925</v>
      </c>
      <c r="K130" s="5">
        <f>VLOOKUP(TrendSheetStgData[Population]&amp;TrendSheetStgData[Trend],Threshold[#All],4,FALSE)</f>
        <v>10</v>
      </c>
      <c r="L130" s="5">
        <f>VLOOKUP(TrendSheetStgData[Population]&amp;TrendSheetStgData[Trend],Threshold[#All],5,FALSE)</f>
        <v>5</v>
      </c>
      <c r="M1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31" spans="1:13" x14ac:dyDescent="0.25">
      <c r="A131" t="s">
        <v>90</v>
      </c>
      <c r="B131" t="s">
        <v>90</v>
      </c>
      <c r="C131" t="s">
        <v>91</v>
      </c>
      <c r="D131" s="1" t="s">
        <v>102</v>
      </c>
      <c r="E131" t="s">
        <v>93</v>
      </c>
      <c r="F131" t="s">
        <v>20</v>
      </c>
      <c r="G131">
        <v>9</v>
      </c>
      <c r="H131">
        <v>73</v>
      </c>
      <c r="I131" s="5">
        <f>IFERROR(VLOOKUP(TrendSheetStgData[Population]&amp;TrendSheetStgData[Cost Basis]&amp;TrendSheetStgData[Period]&amp;TrendSheetStgData[Trend],TrendSheetPrdData[#All],9,FALSE),0)</f>
        <v>69</v>
      </c>
      <c r="J1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5.7971014492753623</v>
      </c>
      <c r="K131" s="5">
        <f>VLOOKUP(TrendSheetStgData[Population]&amp;TrendSheetStgData[Trend],Threshold[#All],4,FALSE)</f>
        <v>10</v>
      </c>
      <c r="L131" s="5">
        <f>VLOOKUP(TrendSheetStgData[Population]&amp;TrendSheetStgData[Trend],Threshold[#All],5,FALSE)</f>
        <v>5</v>
      </c>
      <c r="M1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32" spans="1:13" x14ac:dyDescent="0.25">
      <c r="A132" t="s">
        <v>90</v>
      </c>
      <c r="B132" t="s">
        <v>90</v>
      </c>
      <c r="C132" t="s">
        <v>91</v>
      </c>
      <c r="D132" s="1" t="s">
        <v>103</v>
      </c>
      <c r="E132" t="s">
        <v>93</v>
      </c>
      <c r="F132" t="s">
        <v>20</v>
      </c>
      <c r="G132">
        <v>9</v>
      </c>
      <c r="H132">
        <v>27</v>
      </c>
      <c r="I132" s="5">
        <f>IFERROR(VLOOKUP(TrendSheetStgData[Population]&amp;TrendSheetStgData[Cost Basis]&amp;TrendSheetStgData[Period]&amp;TrendSheetStgData[Trend],TrendSheetPrdData[#All],9,FALSE),0)</f>
        <v>27</v>
      </c>
      <c r="J1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 s="5">
        <f>VLOOKUP(TrendSheetStgData[Population]&amp;TrendSheetStgData[Trend],Threshold[#All],4,FALSE)</f>
        <v>10</v>
      </c>
      <c r="L132" s="5">
        <f>VLOOKUP(TrendSheetStgData[Population]&amp;TrendSheetStgData[Trend],Threshold[#All],5,FALSE)</f>
        <v>5</v>
      </c>
      <c r="M1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 spans="1:13" x14ac:dyDescent="0.25">
      <c r="A133" t="s">
        <v>90</v>
      </c>
      <c r="B133" t="s">
        <v>90</v>
      </c>
      <c r="C133" t="s">
        <v>91</v>
      </c>
      <c r="D133" s="1" t="s">
        <v>104</v>
      </c>
      <c r="E133" t="s">
        <v>93</v>
      </c>
      <c r="F133" t="s">
        <v>20</v>
      </c>
      <c r="G133">
        <v>9</v>
      </c>
      <c r="H133">
        <v>38</v>
      </c>
      <c r="I133" s="5">
        <f>IFERROR(VLOOKUP(TrendSheetStgData[Population]&amp;TrendSheetStgData[Cost Basis]&amp;TrendSheetStgData[Period]&amp;TrendSheetStgData[Trend],TrendSheetPrdData[#All],9,FALSE),0)</f>
        <v>34</v>
      </c>
      <c r="J1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11.76470588235294</v>
      </c>
      <c r="K133" s="5">
        <f>VLOOKUP(TrendSheetStgData[Population]&amp;TrendSheetStgData[Trend],Threshold[#All],4,FALSE)</f>
        <v>10</v>
      </c>
      <c r="L133" s="5">
        <f>VLOOKUP(TrendSheetStgData[Population]&amp;TrendSheetStgData[Trend],Threshold[#All],5,FALSE)</f>
        <v>5</v>
      </c>
      <c r="M1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4" spans="1:13" x14ac:dyDescent="0.25">
      <c r="A134" t="s">
        <v>90</v>
      </c>
      <c r="B134" t="s">
        <v>90</v>
      </c>
      <c r="C134" t="s">
        <v>91</v>
      </c>
      <c r="D134" s="1" t="s">
        <v>105</v>
      </c>
      <c r="E134" t="s">
        <v>106</v>
      </c>
      <c r="F134" t="s">
        <v>20</v>
      </c>
      <c r="G134">
        <v>9</v>
      </c>
      <c r="H134">
        <v>30</v>
      </c>
      <c r="I134" s="5">
        <f>IFERROR(VLOOKUP(TrendSheetStgData[Population]&amp;TrendSheetStgData[Cost Basis]&amp;TrendSheetStgData[Period]&amp;TrendSheetStgData[Trend],TrendSheetPrdData[#All],9,FALSE),0)</f>
        <v>26</v>
      </c>
      <c r="J1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15.384615384615385</v>
      </c>
      <c r="K134" s="5">
        <f>VLOOKUP(TrendSheetStgData[Population]&amp;TrendSheetStgData[Trend],Threshold[#All],4,FALSE)</f>
        <v>10</v>
      </c>
      <c r="L134" s="5">
        <f>VLOOKUP(TrendSheetStgData[Population]&amp;TrendSheetStgData[Trend],Threshold[#All],5,FALSE)</f>
        <v>5</v>
      </c>
      <c r="M1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5" spans="1:13" x14ac:dyDescent="0.25">
      <c r="A135" t="s">
        <v>90</v>
      </c>
      <c r="B135" t="s">
        <v>90</v>
      </c>
      <c r="C135" t="s">
        <v>91</v>
      </c>
      <c r="D135" s="1" t="s">
        <v>107</v>
      </c>
      <c r="E135" t="s">
        <v>106</v>
      </c>
      <c r="F135" t="s">
        <v>20</v>
      </c>
      <c r="G135">
        <v>9</v>
      </c>
      <c r="H135">
        <v>41</v>
      </c>
      <c r="I135" s="5">
        <f>IFERROR(VLOOKUP(TrendSheetStgData[Population]&amp;TrendSheetStgData[Cost Basis]&amp;TrendSheetStgData[Period]&amp;TrendSheetStgData[Trend],TrendSheetPrdData[#All],9,FALSE),0)</f>
        <v>19</v>
      </c>
      <c r="J1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115.78947368421053</v>
      </c>
      <c r="K135" s="5">
        <f>VLOOKUP(TrendSheetStgData[Population]&amp;TrendSheetStgData[Trend],Threshold[#All],4,FALSE)</f>
        <v>10</v>
      </c>
      <c r="L135" s="5">
        <f>VLOOKUP(TrendSheetStgData[Population]&amp;TrendSheetStgData[Trend],Threshold[#All],5,FALSE)</f>
        <v>5</v>
      </c>
      <c r="M1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6" spans="1:13" x14ac:dyDescent="0.25">
      <c r="A136" t="s">
        <v>90</v>
      </c>
      <c r="B136" t="s">
        <v>90</v>
      </c>
      <c r="C136" t="s">
        <v>91</v>
      </c>
      <c r="D136" s="1" t="s">
        <v>108</v>
      </c>
      <c r="E136" t="s">
        <v>106</v>
      </c>
      <c r="F136" t="s">
        <v>20</v>
      </c>
      <c r="G136">
        <v>9</v>
      </c>
      <c r="H136">
        <v>18</v>
      </c>
      <c r="I136" s="5">
        <f>IFERROR(VLOOKUP(TrendSheetStgData[Population]&amp;TrendSheetStgData[Cost Basis]&amp;TrendSheetStgData[Period]&amp;TrendSheetStgData[Trend],TrendSheetPrdData[#All],9,FALSE),0)</f>
        <v>0</v>
      </c>
      <c r="J1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36" s="5">
        <f>VLOOKUP(TrendSheetStgData[Population]&amp;TrendSheetStgData[Trend],Threshold[#All],4,FALSE)</f>
        <v>10</v>
      </c>
      <c r="L136" s="5">
        <f>VLOOKUP(TrendSheetStgData[Population]&amp;TrendSheetStgData[Trend],Threshold[#All],5,FALSE)</f>
        <v>5</v>
      </c>
      <c r="M1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7" spans="1:13" x14ac:dyDescent="0.25">
      <c r="A137" t="s">
        <v>90</v>
      </c>
      <c r="B137" t="s">
        <v>90</v>
      </c>
      <c r="C137" t="s">
        <v>91</v>
      </c>
      <c r="D137" s="1" t="s">
        <v>92</v>
      </c>
      <c r="E137" t="s">
        <v>93</v>
      </c>
      <c r="F137" t="s">
        <v>21</v>
      </c>
      <c r="G137">
        <v>10</v>
      </c>
      <c r="H137">
        <v>41</v>
      </c>
      <c r="I137" s="5">
        <f>IFERROR(VLOOKUP(TrendSheetStgData[Population]&amp;TrendSheetStgData[Cost Basis]&amp;TrendSheetStgData[Period]&amp;TrendSheetStgData[Trend],TrendSheetPrdData[#All],9,FALSE),0)</f>
        <v>41</v>
      </c>
      <c r="J1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 s="5">
        <f>VLOOKUP(TrendSheetStgData[Population]&amp;TrendSheetStgData[Trend],Threshold[#All],4,FALSE)</f>
        <v>10</v>
      </c>
      <c r="L137" s="5">
        <f>VLOOKUP(TrendSheetStgData[Population]&amp;TrendSheetStgData[Trend],Threshold[#All],5,FALSE)</f>
        <v>5</v>
      </c>
      <c r="M1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 spans="1:13" x14ac:dyDescent="0.25">
      <c r="A138" t="s">
        <v>90</v>
      </c>
      <c r="B138" t="s">
        <v>90</v>
      </c>
      <c r="C138" t="s">
        <v>91</v>
      </c>
      <c r="D138" s="1" t="s">
        <v>94</v>
      </c>
      <c r="E138" t="s">
        <v>93</v>
      </c>
      <c r="F138" t="s">
        <v>21</v>
      </c>
      <c r="G138">
        <v>10</v>
      </c>
      <c r="H138">
        <v>50</v>
      </c>
      <c r="I138" s="5">
        <f>IFERROR(VLOOKUP(TrendSheetStgData[Population]&amp;TrendSheetStgData[Cost Basis]&amp;TrendSheetStgData[Period]&amp;TrendSheetStgData[Trend],TrendSheetPrdData[#All],9,FALSE),0)</f>
        <v>50</v>
      </c>
      <c r="J1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 s="5">
        <f>VLOOKUP(TrendSheetStgData[Population]&amp;TrendSheetStgData[Trend],Threshold[#All],4,FALSE)</f>
        <v>10</v>
      </c>
      <c r="L138" s="5">
        <f>VLOOKUP(TrendSheetStgData[Population]&amp;TrendSheetStgData[Trend],Threshold[#All],5,FALSE)</f>
        <v>5</v>
      </c>
      <c r="M1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 spans="1:13" x14ac:dyDescent="0.25">
      <c r="A139" t="s">
        <v>90</v>
      </c>
      <c r="B139" t="s">
        <v>90</v>
      </c>
      <c r="C139" t="s">
        <v>91</v>
      </c>
      <c r="D139" s="1" t="s">
        <v>95</v>
      </c>
      <c r="E139" t="s">
        <v>93</v>
      </c>
      <c r="F139" t="s">
        <v>21</v>
      </c>
      <c r="G139">
        <v>10</v>
      </c>
      <c r="H139">
        <v>27</v>
      </c>
      <c r="I139" s="5">
        <f>IFERROR(VLOOKUP(TrendSheetStgData[Population]&amp;TrendSheetStgData[Cost Basis]&amp;TrendSheetStgData[Period]&amp;TrendSheetStgData[Trend],TrendSheetPrdData[#All],9,FALSE),0)</f>
        <v>27</v>
      </c>
      <c r="J1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 s="5">
        <f>VLOOKUP(TrendSheetStgData[Population]&amp;TrendSheetStgData[Trend],Threshold[#All],4,FALSE)</f>
        <v>10</v>
      </c>
      <c r="L139" s="5">
        <f>VLOOKUP(TrendSheetStgData[Population]&amp;TrendSheetStgData[Trend],Threshold[#All],5,FALSE)</f>
        <v>5</v>
      </c>
      <c r="M1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 spans="1:13" x14ac:dyDescent="0.25">
      <c r="A140" t="s">
        <v>90</v>
      </c>
      <c r="B140" t="s">
        <v>90</v>
      </c>
      <c r="C140" t="s">
        <v>91</v>
      </c>
      <c r="D140" s="1" t="s">
        <v>96</v>
      </c>
      <c r="E140" t="s">
        <v>93</v>
      </c>
      <c r="F140" t="s">
        <v>21</v>
      </c>
      <c r="G140">
        <v>10</v>
      </c>
      <c r="H140">
        <v>58</v>
      </c>
      <c r="I140" s="5">
        <f>IFERROR(VLOOKUP(TrendSheetStgData[Population]&amp;TrendSheetStgData[Cost Basis]&amp;TrendSheetStgData[Period]&amp;TrendSheetStgData[Trend],TrendSheetPrdData[#All],9,FALSE),0)</f>
        <v>58</v>
      </c>
      <c r="J1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 s="5">
        <f>VLOOKUP(TrendSheetStgData[Population]&amp;TrendSheetStgData[Trend],Threshold[#All],4,FALSE)</f>
        <v>10</v>
      </c>
      <c r="L140" s="5">
        <f>VLOOKUP(TrendSheetStgData[Population]&amp;TrendSheetStgData[Trend],Threshold[#All],5,FALSE)</f>
        <v>5</v>
      </c>
      <c r="M1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 spans="1:13" x14ac:dyDescent="0.25">
      <c r="A141" t="s">
        <v>90</v>
      </c>
      <c r="B141" t="s">
        <v>90</v>
      </c>
      <c r="C141" t="s">
        <v>91</v>
      </c>
      <c r="D141" s="1" t="s">
        <v>97</v>
      </c>
      <c r="E141" t="s">
        <v>93</v>
      </c>
      <c r="F141" t="s">
        <v>21</v>
      </c>
      <c r="G141">
        <v>10</v>
      </c>
      <c r="H141">
        <v>39</v>
      </c>
      <c r="I141" s="5">
        <f>IFERROR(VLOOKUP(TrendSheetStgData[Population]&amp;TrendSheetStgData[Cost Basis]&amp;TrendSheetStgData[Period]&amp;TrendSheetStgData[Trend],TrendSheetPrdData[#All],9,FALSE),0)</f>
        <v>39</v>
      </c>
      <c r="J1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 s="5">
        <f>VLOOKUP(TrendSheetStgData[Population]&amp;TrendSheetStgData[Trend],Threshold[#All],4,FALSE)</f>
        <v>10</v>
      </c>
      <c r="L141" s="5">
        <f>VLOOKUP(TrendSheetStgData[Population]&amp;TrendSheetStgData[Trend],Threshold[#All],5,FALSE)</f>
        <v>5</v>
      </c>
      <c r="M1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 spans="1:13" x14ac:dyDescent="0.25">
      <c r="A142" t="s">
        <v>90</v>
      </c>
      <c r="B142" t="s">
        <v>90</v>
      </c>
      <c r="C142" t="s">
        <v>91</v>
      </c>
      <c r="D142" s="1" t="s">
        <v>98</v>
      </c>
      <c r="E142" t="s">
        <v>93</v>
      </c>
      <c r="F142" t="s">
        <v>21</v>
      </c>
      <c r="G142">
        <v>10</v>
      </c>
      <c r="H142">
        <v>56</v>
      </c>
      <c r="I142" s="5">
        <f>IFERROR(VLOOKUP(TrendSheetStgData[Population]&amp;TrendSheetStgData[Cost Basis]&amp;TrendSheetStgData[Period]&amp;TrendSheetStgData[Trend],TrendSheetPrdData[#All],9,FALSE),0)</f>
        <v>56</v>
      </c>
      <c r="J1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 s="5">
        <f>VLOOKUP(TrendSheetStgData[Population]&amp;TrendSheetStgData[Trend],Threshold[#All],4,FALSE)</f>
        <v>10</v>
      </c>
      <c r="L142" s="5">
        <f>VLOOKUP(TrendSheetStgData[Population]&amp;TrendSheetStgData[Trend],Threshold[#All],5,FALSE)</f>
        <v>5</v>
      </c>
      <c r="M1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 spans="1:13" x14ac:dyDescent="0.25">
      <c r="A143" t="s">
        <v>90</v>
      </c>
      <c r="B143" t="s">
        <v>90</v>
      </c>
      <c r="C143" t="s">
        <v>91</v>
      </c>
      <c r="D143" s="1" t="s">
        <v>99</v>
      </c>
      <c r="E143" t="s">
        <v>93</v>
      </c>
      <c r="F143" t="s">
        <v>21</v>
      </c>
      <c r="G143">
        <v>10</v>
      </c>
      <c r="H143">
        <v>29</v>
      </c>
      <c r="I143" s="5">
        <f>IFERROR(VLOOKUP(TrendSheetStgData[Population]&amp;TrendSheetStgData[Cost Basis]&amp;TrendSheetStgData[Period]&amp;TrendSheetStgData[Trend],TrendSheetPrdData[#All],9,FALSE),0)</f>
        <v>29</v>
      </c>
      <c r="J1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 s="5">
        <f>VLOOKUP(TrendSheetStgData[Population]&amp;TrendSheetStgData[Trend],Threshold[#All],4,FALSE)</f>
        <v>10</v>
      </c>
      <c r="L143" s="5">
        <f>VLOOKUP(TrendSheetStgData[Population]&amp;TrendSheetStgData[Trend],Threshold[#All],5,FALSE)</f>
        <v>5</v>
      </c>
      <c r="M1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 spans="1:13" x14ac:dyDescent="0.25">
      <c r="A144" t="s">
        <v>90</v>
      </c>
      <c r="B144" t="s">
        <v>90</v>
      </c>
      <c r="C144" t="s">
        <v>91</v>
      </c>
      <c r="D144" s="1" t="s">
        <v>100</v>
      </c>
      <c r="E144" t="s">
        <v>93</v>
      </c>
      <c r="F144" t="s">
        <v>21</v>
      </c>
      <c r="G144">
        <v>10</v>
      </c>
      <c r="H144">
        <v>29</v>
      </c>
      <c r="I144" s="5">
        <f>IFERROR(VLOOKUP(TrendSheetStgData[Population]&amp;TrendSheetStgData[Cost Basis]&amp;TrendSheetStgData[Period]&amp;TrendSheetStgData[Trend],TrendSheetPrdData[#All],9,FALSE),0)</f>
        <v>21</v>
      </c>
      <c r="J1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38.095238095238095</v>
      </c>
      <c r="K144" s="5">
        <f>VLOOKUP(TrendSheetStgData[Population]&amp;TrendSheetStgData[Trend],Threshold[#All],4,FALSE)</f>
        <v>10</v>
      </c>
      <c r="L144" s="5">
        <f>VLOOKUP(TrendSheetStgData[Population]&amp;TrendSheetStgData[Trend],Threshold[#All],5,FALSE)</f>
        <v>5</v>
      </c>
      <c r="M1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5" spans="1:13" x14ac:dyDescent="0.25">
      <c r="A145" t="s">
        <v>90</v>
      </c>
      <c r="B145" t="s">
        <v>90</v>
      </c>
      <c r="C145" t="s">
        <v>91</v>
      </c>
      <c r="D145" s="1" t="s">
        <v>101</v>
      </c>
      <c r="E145" t="s">
        <v>93</v>
      </c>
      <c r="F145" t="s">
        <v>21</v>
      </c>
      <c r="G145">
        <v>10</v>
      </c>
      <c r="H145">
        <v>49</v>
      </c>
      <c r="I145" s="5">
        <f>IFERROR(VLOOKUP(TrendSheetStgData[Population]&amp;TrendSheetStgData[Cost Basis]&amp;TrendSheetStgData[Period]&amp;TrendSheetStgData[Trend],TrendSheetPrdData[#All],9,FALSE),0)</f>
        <v>45</v>
      </c>
      <c r="J1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8.8888888888888893</v>
      </c>
      <c r="K145" s="5">
        <f>VLOOKUP(TrendSheetStgData[Population]&amp;TrendSheetStgData[Trend],Threshold[#All],4,FALSE)</f>
        <v>10</v>
      </c>
      <c r="L145" s="5">
        <f>VLOOKUP(TrendSheetStgData[Population]&amp;TrendSheetStgData[Trend],Threshold[#All],5,FALSE)</f>
        <v>5</v>
      </c>
      <c r="M1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46" spans="1:13" x14ac:dyDescent="0.25">
      <c r="A146" t="s">
        <v>90</v>
      </c>
      <c r="B146" t="s">
        <v>90</v>
      </c>
      <c r="C146" t="s">
        <v>91</v>
      </c>
      <c r="D146" s="1" t="s">
        <v>102</v>
      </c>
      <c r="E146" t="s">
        <v>93</v>
      </c>
      <c r="F146" t="s">
        <v>21</v>
      </c>
      <c r="G146">
        <v>10</v>
      </c>
      <c r="H146">
        <v>24</v>
      </c>
      <c r="I146" s="5">
        <f>IFERROR(VLOOKUP(TrendSheetStgData[Population]&amp;TrendSheetStgData[Cost Basis]&amp;TrendSheetStgData[Period]&amp;TrendSheetStgData[Trend],TrendSheetPrdData[#All],9,FALSE),0)</f>
        <v>24</v>
      </c>
      <c r="J1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 s="5">
        <f>VLOOKUP(TrendSheetStgData[Population]&amp;TrendSheetStgData[Trend],Threshold[#All],4,FALSE)</f>
        <v>10</v>
      </c>
      <c r="L146" s="5">
        <f>VLOOKUP(TrendSheetStgData[Population]&amp;TrendSheetStgData[Trend],Threshold[#All],5,FALSE)</f>
        <v>5</v>
      </c>
      <c r="M1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 spans="1:13" x14ac:dyDescent="0.25">
      <c r="A147" t="s">
        <v>90</v>
      </c>
      <c r="B147" t="s">
        <v>90</v>
      </c>
      <c r="C147" t="s">
        <v>91</v>
      </c>
      <c r="D147" s="1" t="s">
        <v>103</v>
      </c>
      <c r="E147" t="s">
        <v>93</v>
      </c>
      <c r="F147" t="s">
        <v>21</v>
      </c>
      <c r="G147">
        <v>10</v>
      </c>
      <c r="H147">
        <v>27</v>
      </c>
      <c r="I147" s="5">
        <f>IFERROR(VLOOKUP(TrendSheetStgData[Population]&amp;TrendSheetStgData[Cost Basis]&amp;TrendSheetStgData[Period]&amp;TrendSheetStgData[Trend],TrendSheetPrdData[#All],9,FALSE),0)</f>
        <v>27</v>
      </c>
      <c r="J1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 s="5">
        <f>VLOOKUP(TrendSheetStgData[Population]&amp;TrendSheetStgData[Trend],Threshold[#All],4,FALSE)</f>
        <v>10</v>
      </c>
      <c r="L147" s="5">
        <f>VLOOKUP(TrendSheetStgData[Population]&amp;TrendSheetStgData[Trend],Threshold[#All],5,FALSE)</f>
        <v>5</v>
      </c>
      <c r="M1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 spans="1:13" x14ac:dyDescent="0.25">
      <c r="A148" t="s">
        <v>90</v>
      </c>
      <c r="B148" t="s">
        <v>90</v>
      </c>
      <c r="C148" t="s">
        <v>91</v>
      </c>
      <c r="D148" s="1" t="s">
        <v>104</v>
      </c>
      <c r="E148" t="s">
        <v>93</v>
      </c>
      <c r="F148" t="s">
        <v>21</v>
      </c>
      <c r="G148">
        <v>10</v>
      </c>
      <c r="H148">
        <v>23</v>
      </c>
      <c r="I148" s="5">
        <f>IFERROR(VLOOKUP(TrendSheetStgData[Population]&amp;TrendSheetStgData[Cost Basis]&amp;TrendSheetStgData[Period]&amp;TrendSheetStgData[Trend],TrendSheetPrdData[#All],9,FALSE),0)</f>
        <v>23</v>
      </c>
      <c r="J1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 s="5">
        <f>VLOOKUP(TrendSheetStgData[Population]&amp;TrendSheetStgData[Trend],Threshold[#All],4,FALSE)</f>
        <v>10</v>
      </c>
      <c r="L148" s="5">
        <f>VLOOKUP(TrendSheetStgData[Population]&amp;TrendSheetStgData[Trend],Threshold[#All],5,FALSE)</f>
        <v>5</v>
      </c>
      <c r="M1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 spans="1:13" x14ac:dyDescent="0.25">
      <c r="A149" t="s">
        <v>90</v>
      </c>
      <c r="B149" t="s">
        <v>90</v>
      </c>
      <c r="C149" t="s">
        <v>91</v>
      </c>
      <c r="D149" s="1" t="s">
        <v>105</v>
      </c>
      <c r="E149" t="s">
        <v>106</v>
      </c>
      <c r="F149" t="s">
        <v>21</v>
      </c>
      <c r="G149">
        <v>10</v>
      </c>
      <c r="H149">
        <v>42</v>
      </c>
      <c r="I149" s="5">
        <f>IFERROR(VLOOKUP(TrendSheetStgData[Population]&amp;TrendSheetStgData[Cost Basis]&amp;TrendSheetStgData[Period]&amp;TrendSheetStgData[Trend],TrendSheetPrdData[#All],9,FALSE),0)</f>
        <v>38</v>
      </c>
      <c r="J1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10.526315789473683</v>
      </c>
      <c r="K149" s="5">
        <f>VLOOKUP(TrendSheetStgData[Population]&amp;TrendSheetStgData[Trend],Threshold[#All],4,FALSE)</f>
        <v>10</v>
      </c>
      <c r="L149" s="5">
        <f>VLOOKUP(TrendSheetStgData[Population]&amp;TrendSheetStgData[Trend],Threshold[#All],5,FALSE)</f>
        <v>5</v>
      </c>
      <c r="M1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0" spans="1:13" x14ac:dyDescent="0.25">
      <c r="A150" t="s">
        <v>90</v>
      </c>
      <c r="B150" t="s">
        <v>90</v>
      </c>
      <c r="C150" t="s">
        <v>91</v>
      </c>
      <c r="D150" s="1" t="s">
        <v>107</v>
      </c>
      <c r="E150" t="s">
        <v>106</v>
      </c>
      <c r="F150" t="s">
        <v>21</v>
      </c>
      <c r="G150">
        <v>10</v>
      </c>
      <c r="H150">
        <v>41</v>
      </c>
      <c r="I150" s="5">
        <f>IFERROR(VLOOKUP(TrendSheetStgData[Population]&amp;TrendSheetStgData[Cost Basis]&amp;TrendSheetStgData[Period]&amp;TrendSheetStgData[Trend],TrendSheetPrdData[#All],9,FALSE),0)</f>
        <v>19</v>
      </c>
      <c r="J1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115.78947368421053</v>
      </c>
      <c r="K150" s="5">
        <f>VLOOKUP(TrendSheetStgData[Population]&amp;TrendSheetStgData[Trend],Threshold[#All],4,FALSE)</f>
        <v>10</v>
      </c>
      <c r="L150" s="5">
        <f>VLOOKUP(TrendSheetStgData[Population]&amp;TrendSheetStgData[Trend],Threshold[#All],5,FALSE)</f>
        <v>5</v>
      </c>
      <c r="M1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1" spans="1:13" x14ac:dyDescent="0.25">
      <c r="A151" t="s">
        <v>90</v>
      </c>
      <c r="B151" t="s">
        <v>90</v>
      </c>
      <c r="C151" t="s">
        <v>91</v>
      </c>
      <c r="D151" s="1" t="s">
        <v>108</v>
      </c>
      <c r="E151" t="s">
        <v>106</v>
      </c>
      <c r="F151" t="s">
        <v>21</v>
      </c>
      <c r="G151">
        <v>10</v>
      </c>
      <c r="H151">
        <v>22</v>
      </c>
      <c r="I151" s="5">
        <f>IFERROR(VLOOKUP(TrendSheetStgData[Population]&amp;TrendSheetStgData[Cost Basis]&amp;TrendSheetStgData[Period]&amp;TrendSheetStgData[Trend],TrendSheetPrdData[#All],9,FALSE),0)</f>
        <v>0</v>
      </c>
      <c r="J1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51" s="5">
        <f>VLOOKUP(TrendSheetStgData[Population]&amp;TrendSheetStgData[Trend],Threshold[#All],4,FALSE)</f>
        <v>10</v>
      </c>
      <c r="L151" s="5">
        <f>VLOOKUP(TrendSheetStgData[Population]&amp;TrendSheetStgData[Trend],Threshold[#All],5,FALSE)</f>
        <v>5</v>
      </c>
      <c r="M1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2" spans="1:13" x14ac:dyDescent="0.25">
      <c r="A152" t="s">
        <v>90</v>
      </c>
      <c r="B152" t="s">
        <v>90</v>
      </c>
      <c r="C152" t="s">
        <v>91</v>
      </c>
      <c r="D152" s="1" t="s">
        <v>92</v>
      </c>
      <c r="E152" t="s">
        <v>93</v>
      </c>
      <c r="F152" t="s">
        <v>22</v>
      </c>
      <c r="G152">
        <v>11</v>
      </c>
      <c r="H152">
        <v>5</v>
      </c>
      <c r="I152" s="5">
        <f>IFERROR(VLOOKUP(TrendSheetStgData[Population]&amp;TrendSheetStgData[Cost Basis]&amp;TrendSheetStgData[Period]&amp;TrendSheetStgData[Trend],TrendSheetPrdData[#All],9,FALSE),0)</f>
        <v>5</v>
      </c>
      <c r="J1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 s="5">
        <f>VLOOKUP(TrendSheetStgData[Population]&amp;TrendSheetStgData[Trend],Threshold[#All],4,FALSE)</f>
        <v>10</v>
      </c>
      <c r="L152" s="5">
        <f>VLOOKUP(TrendSheetStgData[Population]&amp;TrendSheetStgData[Trend],Threshold[#All],5,FALSE)</f>
        <v>5</v>
      </c>
      <c r="M1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 spans="1:13" x14ac:dyDescent="0.25">
      <c r="A153" t="s">
        <v>90</v>
      </c>
      <c r="B153" t="s">
        <v>90</v>
      </c>
      <c r="C153" t="s">
        <v>91</v>
      </c>
      <c r="D153" s="1" t="s">
        <v>94</v>
      </c>
      <c r="E153" t="s">
        <v>93</v>
      </c>
      <c r="F153" t="s">
        <v>22</v>
      </c>
      <c r="G153">
        <v>11</v>
      </c>
      <c r="H153">
        <v>9</v>
      </c>
      <c r="I153" s="5">
        <f>IFERROR(VLOOKUP(TrendSheetStgData[Population]&amp;TrendSheetStgData[Cost Basis]&amp;TrendSheetStgData[Period]&amp;TrendSheetStgData[Trend],TrendSheetPrdData[#All],9,FALSE),0)</f>
        <v>9</v>
      </c>
      <c r="J1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 s="5">
        <f>VLOOKUP(TrendSheetStgData[Population]&amp;TrendSheetStgData[Trend],Threshold[#All],4,FALSE)</f>
        <v>10</v>
      </c>
      <c r="L153" s="5">
        <f>VLOOKUP(TrendSheetStgData[Population]&amp;TrendSheetStgData[Trend],Threshold[#All],5,FALSE)</f>
        <v>5</v>
      </c>
      <c r="M1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 spans="1:13" x14ac:dyDescent="0.25">
      <c r="A154" t="s">
        <v>90</v>
      </c>
      <c r="B154" t="s">
        <v>90</v>
      </c>
      <c r="C154" t="s">
        <v>91</v>
      </c>
      <c r="D154" s="1" t="s">
        <v>95</v>
      </c>
      <c r="E154" t="s">
        <v>93</v>
      </c>
      <c r="F154" t="s">
        <v>22</v>
      </c>
      <c r="G154">
        <v>11</v>
      </c>
      <c r="H154">
        <v>0</v>
      </c>
      <c r="I154" s="5">
        <f>IFERROR(VLOOKUP(TrendSheetStgData[Population]&amp;TrendSheetStgData[Cost Basis]&amp;TrendSheetStgData[Period]&amp;TrendSheetStgData[Trend],TrendSheetPrdData[#All],9,FALSE),0)</f>
        <v>0</v>
      </c>
      <c r="J1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 s="5">
        <f>VLOOKUP(TrendSheetStgData[Population]&amp;TrendSheetStgData[Trend],Threshold[#All],4,FALSE)</f>
        <v>10</v>
      </c>
      <c r="L154" s="5">
        <f>VLOOKUP(TrendSheetStgData[Population]&amp;TrendSheetStgData[Trend],Threshold[#All],5,FALSE)</f>
        <v>5</v>
      </c>
      <c r="M1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 spans="1:13" x14ac:dyDescent="0.25">
      <c r="A155" t="s">
        <v>90</v>
      </c>
      <c r="B155" t="s">
        <v>90</v>
      </c>
      <c r="C155" t="s">
        <v>91</v>
      </c>
      <c r="D155" s="1" t="s">
        <v>96</v>
      </c>
      <c r="E155" t="s">
        <v>93</v>
      </c>
      <c r="F155" t="s">
        <v>22</v>
      </c>
      <c r="G155">
        <v>11</v>
      </c>
      <c r="H155">
        <v>0</v>
      </c>
      <c r="I155" s="5">
        <f>IFERROR(VLOOKUP(TrendSheetStgData[Population]&amp;TrendSheetStgData[Cost Basis]&amp;TrendSheetStgData[Period]&amp;TrendSheetStgData[Trend],TrendSheetPrdData[#All],9,FALSE),0)</f>
        <v>0</v>
      </c>
      <c r="J1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 s="5">
        <f>VLOOKUP(TrendSheetStgData[Population]&amp;TrendSheetStgData[Trend],Threshold[#All],4,FALSE)</f>
        <v>10</v>
      </c>
      <c r="L155" s="5">
        <f>VLOOKUP(TrendSheetStgData[Population]&amp;TrendSheetStgData[Trend],Threshold[#All],5,FALSE)</f>
        <v>5</v>
      </c>
      <c r="M1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 spans="1:13" x14ac:dyDescent="0.25">
      <c r="A156" t="s">
        <v>90</v>
      </c>
      <c r="B156" t="s">
        <v>90</v>
      </c>
      <c r="C156" t="s">
        <v>91</v>
      </c>
      <c r="D156" s="1" t="s">
        <v>97</v>
      </c>
      <c r="E156" t="s">
        <v>93</v>
      </c>
      <c r="F156" t="s">
        <v>22</v>
      </c>
      <c r="G156">
        <v>11</v>
      </c>
      <c r="H156">
        <v>9</v>
      </c>
      <c r="I156" s="5">
        <f>IFERROR(VLOOKUP(TrendSheetStgData[Population]&amp;TrendSheetStgData[Cost Basis]&amp;TrendSheetStgData[Period]&amp;TrendSheetStgData[Trend],TrendSheetPrdData[#All],9,FALSE),0)</f>
        <v>9</v>
      </c>
      <c r="J1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 s="5">
        <f>VLOOKUP(TrendSheetStgData[Population]&amp;TrendSheetStgData[Trend],Threshold[#All],4,FALSE)</f>
        <v>10</v>
      </c>
      <c r="L156" s="5">
        <f>VLOOKUP(TrendSheetStgData[Population]&amp;TrendSheetStgData[Trend],Threshold[#All],5,FALSE)</f>
        <v>5</v>
      </c>
      <c r="M1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 spans="1:13" x14ac:dyDescent="0.25">
      <c r="A157" t="s">
        <v>90</v>
      </c>
      <c r="B157" t="s">
        <v>90</v>
      </c>
      <c r="C157" t="s">
        <v>91</v>
      </c>
      <c r="D157" s="1" t="s">
        <v>98</v>
      </c>
      <c r="E157" t="s">
        <v>93</v>
      </c>
      <c r="F157" t="s">
        <v>22</v>
      </c>
      <c r="G157">
        <v>11</v>
      </c>
      <c r="H157">
        <v>0</v>
      </c>
      <c r="I157" s="5">
        <f>IFERROR(VLOOKUP(TrendSheetStgData[Population]&amp;TrendSheetStgData[Cost Basis]&amp;TrendSheetStgData[Period]&amp;TrendSheetStgData[Trend],TrendSheetPrdData[#All],9,FALSE),0)</f>
        <v>0</v>
      </c>
      <c r="J1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 s="5">
        <f>VLOOKUP(TrendSheetStgData[Population]&amp;TrendSheetStgData[Trend],Threshold[#All],4,FALSE)</f>
        <v>10</v>
      </c>
      <c r="L157" s="5">
        <f>VLOOKUP(TrendSheetStgData[Population]&amp;TrendSheetStgData[Trend],Threshold[#All],5,FALSE)</f>
        <v>5</v>
      </c>
      <c r="M1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 spans="1:13" x14ac:dyDescent="0.25">
      <c r="A158" t="s">
        <v>90</v>
      </c>
      <c r="B158" t="s">
        <v>90</v>
      </c>
      <c r="C158" t="s">
        <v>91</v>
      </c>
      <c r="D158" s="1" t="s">
        <v>99</v>
      </c>
      <c r="E158" t="s">
        <v>93</v>
      </c>
      <c r="F158" t="s">
        <v>22</v>
      </c>
      <c r="G158">
        <v>11</v>
      </c>
      <c r="H158">
        <v>0</v>
      </c>
      <c r="I158" s="5">
        <f>IFERROR(VLOOKUP(TrendSheetStgData[Population]&amp;TrendSheetStgData[Cost Basis]&amp;TrendSheetStgData[Period]&amp;TrendSheetStgData[Trend],TrendSheetPrdData[#All],9,FALSE),0)</f>
        <v>0</v>
      </c>
      <c r="J1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 s="5">
        <f>VLOOKUP(TrendSheetStgData[Population]&amp;TrendSheetStgData[Trend],Threshold[#All],4,FALSE)</f>
        <v>10</v>
      </c>
      <c r="L158" s="5">
        <f>VLOOKUP(TrendSheetStgData[Population]&amp;TrendSheetStgData[Trend],Threshold[#All],5,FALSE)</f>
        <v>5</v>
      </c>
      <c r="M1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 spans="1:13" x14ac:dyDescent="0.25">
      <c r="A159" t="s">
        <v>90</v>
      </c>
      <c r="B159" t="s">
        <v>90</v>
      </c>
      <c r="C159" t="s">
        <v>91</v>
      </c>
      <c r="D159" s="1" t="s">
        <v>100</v>
      </c>
      <c r="E159" t="s">
        <v>93</v>
      </c>
      <c r="F159" t="s">
        <v>22</v>
      </c>
      <c r="G159">
        <v>11</v>
      </c>
      <c r="H159">
        <v>4</v>
      </c>
      <c r="I159" s="5">
        <f>IFERROR(VLOOKUP(TrendSheetStgData[Population]&amp;TrendSheetStgData[Cost Basis]&amp;TrendSheetStgData[Period]&amp;TrendSheetStgData[Trend],TrendSheetPrdData[#All],9,FALSE),0)</f>
        <v>4</v>
      </c>
      <c r="J1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 s="5">
        <f>VLOOKUP(TrendSheetStgData[Population]&amp;TrendSheetStgData[Trend],Threshold[#All],4,FALSE)</f>
        <v>10</v>
      </c>
      <c r="L159" s="5">
        <f>VLOOKUP(TrendSheetStgData[Population]&amp;TrendSheetStgData[Trend],Threshold[#All],5,FALSE)</f>
        <v>5</v>
      </c>
      <c r="M1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 spans="1:13" x14ac:dyDescent="0.25">
      <c r="A160" t="s">
        <v>90</v>
      </c>
      <c r="B160" t="s">
        <v>90</v>
      </c>
      <c r="C160" t="s">
        <v>91</v>
      </c>
      <c r="D160" s="1" t="s">
        <v>101</v>
      </c>
      <c r="E160" t="s">
        <v>93</v>
      </c>
      <c r="F160" t="s">
        <v>22</v>
      </c>
      <c r="G160">
        <v>11</v>
      </c>
      <c r="H160">
        <v>4</v>
      </c>
      <c r="I160" s="5">
        <f>IFERROR(VLOOKUP(TrendSheetStgData[Population]&amp;TrendSheetStgData[Cost Basis]&amp;TrendSheetStgData[Period]&amp;TrendSheetStgData[Trend],TrendSheetPrdData[#All],9,FALSE),0)</f>
        <v>4</v>
      </c>
      <c r="J1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 s="5">
        <f>VLOOKUP(TrendSheetStgData[Population]&amp;TrendSheetStgData[Trend],Threshold[#All],4,FALSE)</f>
        <v>10</v>
      </c>
      <c r="L160" s="5">
        <f>VLOOKUP(TrendSheetStgData[Population]&amp;TrendSheetStgData[Trend],Threshold[#All],5,FALSE)</f>
        <v>5</v>
      </c>
      <c r="M1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1" spans="1:13" x14ac:dyDescent="0.25">
      <c r="A161" t="s">
        <v>90</v>
      </c>
      <c r="B161" t="s">
        <v>90</v>
      </c>
      <c r="C161" t="s">
        <v>91</v>
      </c>
      <c r="D161" s="1" t="s">
        <v>102</v>
      </c>
      <c r="E161" t="s">
        <v>93</v>
      </c>
      <c r="F161" t="s">
        <v>22</v>
      </c>
      <c r="G161">
        <v>11</v>
      </c>
      <c r="H161">
        <v>0</v>
      </c>
      <c r="I161" s="5">
        <f>IFERROR(VLOOKUP(TrendSheetStgData[Population]&amp;TrendSheetStgData[Cost Basis]&amp;TrendSheetStgData[Period]&amp;TrendSheetStgData[Trend],TrendSheetPrdData[#All],9,FALSE),0)</f>
        <v>0</v>
      </c>
      <c r="J1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1" s="5">
        <f>VLOOKUP(TrendSheetStgData[Population]&amp;TrendSheetStgData[Trend],Threshold[#All],4,FALSE)</f>
        <v>10</v>
      </c>
      <c r="L161" s="5">
        <f>VLOOKUP(TrendSheetStgData[Population]&amp;TrendSheetStgData[Trend],Threshold[#All],5,FALSE)</f>
        <v>5</v>
      </c>
      <c r="M1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 spans="1:13" x14ac:dyDescent="0.25">
      <c r="A162" t="s">
        <v>90</v>
      </c>
      <c r="B162" t="s">
        <v>90</v>
      </c>
      <c r="C162" t="s">
        <v>91</v>
      </c>
      <c r="D162" s="1" t="s">
        <v>103</v>
      </c>
      <c r="E162" t="s">
        <v>93</v>
      </c>
      <c r="F162" t="s">
        <v>22</v>
      </c>
      <c r="G162">
        <v>11</v>
      </c>
      <c r="H162">
        <v>0</v>
      </c>
      <c r="I162" s="5">
        <f>IFERROR(VLOOKUP(TrendSheetStgData[Population]&amp;TrendSheetStgData[Cost Basis]&amp;TrendSheetStgData[Period]&amp;TrendSheetStgData[Trend],TrendSheetPrdData[#All],9,FALSE),0)</f>
        <v>0</v>
      </c>
      <c r="J1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 s="5">
        <f>VLOOKUP(TrendSheetStgData[Population]&amp;TrendSheetStgData[Trend],Threshold[#All],4,FALSE)</f>
        <v>10</v>
      </c>
      <c r="L162" s="5">
        <f>VLOOKUP(TrendSheetStgData[Population]&amp;TrendSheetStgData[Trend],Threshold[#All],5,FALSE)</f>
        <v>5</v>
      </c>
      <c r="M1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 spans="1:13" x14ac:dyDescent="0.25">
      <c r="A163" t="s">
        <v>90</v>
      </c>
      <c r="B163" t="s">
        <v>90</v>
      </c>
      <c r="C163" t="s">
        <v>91</v>
      </c>
      <c r="D163" s="1" t="s">
        <v>104</v>
      </c>
      <c r="E163" t="s">
        <v>93</v>
      </c>
      <c r="F163" t="s">
        <v>22</v>
      </c>
      <c r="G163">
        <v>11</v>
      </c>
      <c r="H163">
        <v>4</v>
      </c>
      <c r="I163" s="5">
        <f>IFERROR(VLOOKUP(TrendSheetStgData[Population]&amp;TrendSheetStgData[Cost Basis]&amp;TrendSheetStgData[Period]&amp;TrendSheetStgData[Trend],TrendSheetPrdData[#All],9,FALSE),0)</f>
        <v>4</v>
      </c>
      <c r="J1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3" s="5">
        <f>VLOOKUP(TrendSheetStgData[Population]&amp;TrendSheetStgData[Trend],Threshold[#All],4,FALSE)</f>
        <v>10</v>
      </c>
      <c r="L163" s="5">
        <f>VLOOKUP(TrendSheetStgData[Population]&amp;TrendSheetStgData[Trend],Threshold[#All],5,FALSE)</f>
        <v>5</v>
      </c>
      <c r="M1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 spans="1:13" x14ac:dyDescent="0.25">
      <c r="A164" t="s">
        <v>90</v>
      </c>
      <c r="B164" t="s">
        <v>90</v>
      </c>
      <c r="C164" t="s">
        <v>91</v>
      </c>
      <c r="D164" s="1" t="s">
        <v>105</v>
      </c>
      <c r="E164" t="s">
        <v>106</v>
      </c>
      <c r="F164" t="s">
        <v>22</v>
      </c>
      <c r="G164">
        <v>11</v>
      </c>
      <c r="H164">
        <v>0</v>
      </c>
      <c r="I164" s="5">
        <f>IFERROR(VLOOKUP(TrendSheetStgData[Population]&amp;TrendSheetStgData[Cost Basis]&amp;TrendSheetStgData[Period]&amp;TrendSheetStgData[Trend],TrendSheetPrdData[#All],9,FALSE),0)</f>
        <v>0</v>
      </c>
      <c r="J1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 s="5">
        <f>VLOOKUP(TrendSheetStgData[Population]&amp;TrendSheetStgData[Trend],Threshold[#All],4,FALSE)</f>
        <v>10</v>
      </c>
      <c r="L164" s="5">
        <f>VLOOKUP(TrendSheetStgData[Population]&amp;TrendSheetStgData[Trend],Threshold[#All],5,FALSE)</f>
        <v>5</v>
      </c>
      <c r="M1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 spans="1:13" x14ac:dyDescent="0.25">
      <c r="A165" t="s">
        <v>90</v>
      </c>
      <c r="B165" t="s">
        <v>90</v>
      </c>
      <c r="C165" t="s">
        <v>91</v>
      </c>
      <c r="D165" s="1" t="s">
        <v>107</v>
      </c>
      <c r="E165" t="s">
        <v>106</v>
      </c>
      <c r="F165" t="s">
        <v>22</v>
      </c>
      <c r="G165">
        <v>11</v>
      </c>
      <c r="H165">
        <v>7</v>
      </c>
      <c r="I165" s="5">
        <f>IFERROR(VLOOKUP(TrendSheetStgData[Population]&amp;TrendSheetStgData[Cost Basis]&amp;TrendSheetStgData[Period]&amp;TrendSheetStgData[Trend],TrendSheetPrdData[#All],9,FALSE),0)</f>
        <v>7</v>
      </c>
      <c r="J1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 s="5">
        <f>VLOOKUP(TrendSheetStgData[Population]&amp;TrendSheetStgData[Trend],Threshold[#All],4,FALSE)</f>
        <v>10</v>
      </c>
      <c r="L165" s="5">
        <f>VLOOKUP(TrendSheetStgData[Population]&amp;TrendSheetStgData[Trend],Threshold[#All],5,FALSE)</f>
        <v>5</v>
      </c>
      <c r="M1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 spans="1:13" x14ac:dyDescent="0.25">
      <c r="A166" t="s">
        <v>90</v>
      </c>
      <c r="B166" t="s">
        <v>90</v>
      </c>
      <c r="C166" t="s">
        <v>91</v>
      </c>
      <c r="D166" s="1" t="s">
        <v>108</v>
      </c>
      <c r="E166" t="s">
        <v>106</v>
      </c>
      <c r="F166" t="s">
        <v>22</v>
      </c>
      <c r="G166">
        <v>11</v>
      </c>
      <c r="H166">
        <v>4</v>
      </c>
      <c r="I166" s="5">
        <f>IFERROR(VLOOKUP(TrendSheetStgData[Population]&amp;TrendSheetStgData[Cost Basis]&amp;TrendSheetStgData[Period]&amp;TrendSheetStgData[Trend],TrendSheetPrdData[#All],9,FALSE),0)</f>
        <v>0</v>
      </c>
      <c r="J1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66" s="5">
        <f>VLOOKUP(TrendSheetStgData[Population]&amp;TrendSheetStgData[Trend],Threshold[#All],4,FALSE)</f>
        <v>10</v>
      </c>
      <c r="L166" s="5">
        <f>VLOOKUP(TrendSheetStgData[Population]&amp;TrendSheetStgData[Trend],Threshold[#All],5,FALSE)</f>
        <v>5</v>
      </c>
      <c r="M1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7" spans="1:13" x14ac:dyDescent="0.25">
      <c r="A167" t="s">
        <v>90</v>
      </c>
      <c r="B167" t="s">
        <v>90</v>
      </c>
      <c r="C167" t="s">
        <v>91</v>
      </c>
      <c r="D167" s="1" t="s">
        <v>92</v>
      </c>
      <c r="E167" t="s">
        <v>93</v>
      </c>
      <c r="F167" t="s">
        <v>23</v>
      </c>
      <c r="G167">
        <v>12</v>
      </c>
      <c r="H167">
        <v>0</v>
      </c>
      <c r="I167" s="5">
        <f>IFERROR(VLOOKUP(TrendSheetStgData[Population]&amp;TrendSheetStgData[Cost Basis]&amp;TrendSheetStgData[Period]&amp;TrendSheetStgData[Trend],TrendSheetPrdData[#All],9,FALSE),0)</f>
        <v>0</v>
      </c>
      <c r="J1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 s="5">
        <f>VLOOKUP(TrendSheetStgData[Population]&amp;TrendSheetStgData[Trend],Threshold[#All],4,FALSE)</f>
        <v>10</v>
      </c>
      <c r="L167" s="5">
        <f>VLOOKUP(TrendSheetStgData[Population]&amp;TrendSheetStgData[Trend],Threshold[#All],5,FALSE)</f>
        <v>5</v>
      </c>
      <c r="M1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 spans="1:13" x14ac:dyDescent="0.25">
      <c r="A168" t="s">
        <v>90</v>
      </c>
      <c r="B168" t="s">
        <v>90</v>
      </c>
      <c r="C168" t="s">
        <v>91</v>
      </c>
      <c r="D168" s="1" t="s">
        <v>94</v>
      </c>
      <c r="E168" t="s">
        <v>93</v>
      </c>
      <c r="F168" t="s">
        <v>23</v>
      </c>
      <c r="G168">
        <v>12</v>
      </c>
      <c r="H168">
        <v>0</v>
      </c>
      <c r="I168" s="5">
        <f>IFERROR(VLOOKUP(TrendSheetStgData[Population]&amp;TrendSheetStgData[Cost Basis]&amp;TrendSheetStgData[Period]&amp;TrendSheetStgData[Trend],TrendSheetPrdData[#All],9,FALSE),0)</f>
        <v>0</v>
      </c>
      <c r="J1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8" s="5">
        <f>VLOOKUP(TrendSheetStgData[Population]&amp;TrendSheetStgData[Trend],Threshold[#All],4,FALSE)</f>
        <v>10</v>
      </c>
      <c r="L168" s="5">
        <f>VLOOKUP(TrendSheetStgData[Population]&amp;TrendSheetStgData[Trend],Threshold[#All],5,FALSE)</f>
        <v>5</v>
      </c>
      <c r="M1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 spans="1:13" x14ac:dyDescent="0.25">
      <c r="A169" t="s">
        <v>90</v>
      </c>
      <c r="B169" t="s">
        <v>90</v>
      </c>
      <c r="C169" t="s">
        <v>91</v>
      </c>
      <c r="D169" s="1" t="s">
        <v>95</v>
      </c>
      <c r="E169" t="s">
        <v>93</v>
      </c>
      <c r="F169" t="s">
        <v>23</v>
      </c>
      <c r="G169">
        <v>12</v>
      </c>
      <c r="H169">
        <v>0</v>
      </c>
      <c r="I169" s="5">
        <f>IFERROR(VLOOKUP(TrendSheetStgData[Population]&amp;TrendSheetStgData[Cost Basis]&amp;TrendSheetStgData[Period]&amp;TrendSheetStgData[Trend],TrendSheetPrdData[#All],9,FALSE),0)</f>
        <v>0</v>
      </c>
      <c r="J1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 s="5">
        <f>VLOOKUP(TrendSheetStgData[Population]&amp;TrendSheetStgData[Trend],Threshold[#All],4,FALSE)</f>
        <v>10</v>
      </c>
      <c r="L169" s="5">
        <f>VLOOKUP(TrendSheetStgData[Population]&amp;TrendSheetStgData[Trend],Threshold[#All],5,FALSE)</f>
        <v>5</v>
      </c>
      <c r="M1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0" spans="1:13" x14ac:dyDescent="0.25">
      <c r="A170" t="s">
        <v>90</v>
      </c>
      <c r="B170" t="s">
        <v>90</v>
      </c>
      <c r="C170" t="s">
        <v>91</v>
      </c>
      <c r="D170" s="1" t="s">
        <v>96</v>
      </c>
      <c r="E170" t="s">
        <v>93</v>
      </c>
      <c r="F170" t="s">
        <v>23</v>
      </c>
      <c r="G170">
        <v>12</v>
      </c>
      <c r="H170">
        <v>13</v>
      </c>
      <c r="I170" s="5">
        <f>IFERROR(VLOOKUP(TrendSheetStgData[Population]&amp;TrendSheetStgData[Cost Basis]&amp;TrendSheetStgData[Period]&amp;TrendSheetStgData[Trend],TrendSheetPrdData[#All],9,FALSE),0)</f>
        <v>13</v>
      </c>
      <c r="J1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 s="5">
        <f>VLOOKUP(TrendSheetStgData[Population]&amp;TrendSheetStgData[Trend],Threshold[#All],4,FALSE)</f>
        <v>10</v>
      </c>
      <c r="L170" s="5">
        <f>VLOOKUP(TrendSheetStgData[Population]&amp;TrendSheetStgData[Trend],Threshold[#All],5,FALSE)</f>
        <v>5</v>
      </c>
      <c r="M1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 spans="1:13" x14ac:dyDescent="0.25">
      <c r="A171" t="s">
        <v>90</v>
      </c>
      <c r="B171" t="s">
        <v>90</v>
      </c>
      <c r="C171" t="s">
        <v>91</v>
      </c>
      <c r="D171" s="1" t="s">
        <v>97</v>
      </c>
      <c r="E171" t="s">
        <v>93</v>
      </c>
      <c r="F171" t="s">
        <v>23</v>
      </c>
      <c r="G171">
        <v>12</v>
      </c>
      <c r="H171">
        <v>4</v>
      </c>
      <c r="I171" s="5">
        <f>IFERROR(VLOOKUP(TrendSheetStgData[Population]&amp;TrendSheetStgData[Cost Basis]&amp;TrendSheetStgData[Period]&amp;TrendSheetStgData[Trend],TrendSheetPrdData[#All],9,FALSE),0)</f>
        <v>4</v>
      </c>
      <c r="J1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 s="5">
        <f>VLOOKUP(TrendSheetStgData[Population]&amp;TrendSheetStgData[Trend],Threshold[#All],4,FALSE)</f>
        <v>10</v>
      </c>
      <c r="L171" s="5">
        <f>VLOOKUP(TrendSheetStgData[Population]&amp;TrendSheetStgData[Trend],Threshold[#All],5,FALSE)</f>
        <v>5</v>
      </c>
      <c r="M1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2" spans="1:13" x14ac:dyDescent="0.25">
      <c r="A172" t="s">
        <v>90</v>
      </c>
      <c r="B172" t="s">
        <v>90</v>
      </c>
      <c r="C172" t="s">
        <v>91</v>
      </c>
      <c r="D172" s="1" t="s">
        <v>98</v>
      </c>
      <c r="E172" t="s">
        <v>93</v>
      </c>
      <c r="F172" t="s">
        <v>23</v>
      </c>
      <c r="G172">
        <v>12</v>
      </c>
      <c r="H172">
        <v>4</v>
      </c>
      <c r="I172" s="5">
        <f>IFERROR(VLOOKUP(TrendSheetStgData[Population]&amp;TrendSheetStgData[Cost Basis]&amp;TrendSheetStgData[Period]&amp;TrendSheetStgData[Trend],TrendSheetPrdData[#All],9,FALSE),0)</f>
        <v>4</v>
      </c>
      <c r="J1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2" s="5">
        <f>VLOOKUP(TrendSheetStgData[Population]&amp;TrendSheetStgData[Trend],Threshold[#All],4,FALSE)</f>
        <v>10</v>
      </c>
      <c r="L172" s="5">
        <f>VLOOKUP(TrendSheetStgData[Population]&amp;TrendSheetStgData[Trend],Threshold[#All],5,FALSE)</f>
        <v>5</v>
      </c>
      <c r="M1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 spans="1:13" x14ac:dyDescent="0.25">
      <c r="A173" t="s">
        <v>90</v>
      </c>
      <c r="B173" t="s">
        <v>90</v>
      </c>
      <c r="C173" t="s">
        <v>91</v>
      </c>
      <c r="D173" s="1" t="s">
        <v>99</v>
      </c>
      <c r="E173" t="s">
        <v>93</v>
      </c>
      <c r="F173" t="s">
        <v>23</v>
      </c>
      <c r="G173">
        <v>12</v>
      </c>
      <c r="H173">
        <v>4</v>
      </c>
      <c r="I173" s="5">
        <f>IFERROR(VLOOKUP(TrendSheetStgData[Population]&amp;TrendSheetStgData[Cost Basis]&amp;TrendSheetStgData[Period]&amp;TrendSheetStgData[Trend],TrendSheetPrdData[#All],9,FALSE),0)</f>
        <v>4</v>
      </c>
      <c r="J1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 s="5">
        <f>VLOOKUP(TrendSheetStgData[Population]&amp;TrendSheetStgData[Trend],Threshold[#All],4,FALSE)</f>
        <v>10</v>
      </c>
      <c r="L173" s="5">
        <f>VLOOKUP(TrendSheetStgData[Population]&amp;TrendSheetStgData[Trend],Threshold[#All],5,FALSE)</f>
        <v>5</v>
      </c>
      <c r="M1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4" spans="1:13" x14ac:dyDescent="0.25">
      <c r="A174" t="s">
        <v>90</v>
      </c>
      <c r="B174" t="s">
        <v>90</v>
      </c>
      <c r="C174" t="s">
        <v>91</v>
      </c>
      <c r="D174" s="1" t="s">
        <v>100</v>
      </c>
      <c r="E174" t="s">
        <v>93</v>
      </c>
      <c r="F174" t="s">
        <v>23</v>
      </c>
      <c r="G174">
        <v>12</v>
      </c>
      <c r="H174">
        <v>0</v>
      </c>
      <c r="I174" s="5">
        <f>IFERROR(VLOOKUP(TrendSheetStgData[Population]&amp;TrendSheetStgData[Cost Basis]&amp;TrendSheetStgData[Period]&amp;TrendSheetStgData[Trend],TrendSheetPrdData[#All],9,FALSE),0)</f>
        <v>0</v>
      </c>
      <c r="J1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4" s="5">
        <f>VLOOKUP(TrendSheetStgData[Population]&amp;TrendSheetStgData[Trend],Threshold[#All],4,FALSE)</f>
        <v>10</v>
      </c>
      <c r="L174" s="5">
        <f>VLOOKUP(TrendSheetStgData[Population]&amp;TrendSheetStgData[Trend],Threshold[#All],5,FALSE)</f>
        <v>5</v>
      </c>
      <c r="M1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 spans="1:13" x14ac:dyDescent="0.25">
      <c r="A175" t="s">
        <v>90</v>
      </c>
      <c r="B175" t="s">
        <v>90</v>
      </c>
      <c r="C175" t="s">
        <v>91</v>
      </c>
      <c r="D175" s="1" t="s">
        <v>101</v>
      </c>
      <c r="E175" t="s">
        <v>93</v>
      </c>
      <c r="F175" t="s">
        <v>23</v>
      </c>
      <c r="G175">
        <v>12</v>
      </c>
      <c r="H175">
        <v>8</v>
      </c>
      <c r="I175" s="5">
        <f>IFERROR(VLOOKUP(TrendSheetStgData[Population]&amp;TrendSheetStgData[Cost Basis]&amp;TrendSheetStgData[Period]&amp;TrendSheetStgData[Trend],TrendSheetPrdData[#All],9,FALSE),0)</f>
        <v>8</v>
      </c>
      <c r="J1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 s="5">
        <f>VLOOKUP(TrendSheetStgData[Population]&amp;TrendSheetStgData[Trend],Threshold[#All],4,FALSE)</f>
        <v>10</v>
      </c>
      <c r="L175" s="5">
        <f>VLOOKUP(TrendSheetStgData[Population]&amp;TrendSheetStgData[Trend],Threshold[#All],5,FALSE)</f>
        <v>5</v>
      </c>
      <c r="M1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 spans="1:13" x14ac:dyDescent="0.25">
      <c r="A176" t="s">
        <v>90</v>
      </c>
      <c r="B176" t="s">
        <v>90</v>
      </c>
      <c r="C176" t="s">
        <v>91</v>
      </c>
      <c r="D176" s="1" t="s">
        <v>102</v>
      </c>
      <c r="E176" t="s">
        <v>93</v>
      </c>
      <c r="F176" t="s">
        <v>23</v>
      </c>
      <c r="G176">
        <v>12</v>
      </c>
      <c r="H176">
        <v>0</v>
      </c>
      <c r="I176" s="5">
        <f>IFERROR(VLOOKUP(TrendSheetStgData[Population]&amp;TrendSheetStgData[Cost Basis]&amp;TrendSheetStgData[Period]&amp;TrendSheetStgData[Trend],TrendSheetPrdData[#All],9,FALSE),0)</f>
        <v>0</v>
      </c>
      <c r="J1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 s="5">
        <f>VLOOKUP(TrendSheetStgData[Population]&amp;TrendSheetStgData[Trend],Threshold[#All],4,FALSE)</f>
        <v>10</v>
      </c>
      <c r="L176" s="5">
        <f>VLOOKUP(TrendSheetStgData[Population]&amp;TrendSheetStgData[Trend],Threshold[#All],5,FALSE)</f>
        <v>5</v>
      </c>
      <c r="M1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 spans="1:13" x14ac:dyDescent="0.25">
      <c r="A177" t="s">
        <v>90</v>
      </c>
      <c r="B177" t="s">
        <v>90</v>
      </c>
      <c r="C177" t="s">
        <v>91</v>
      </c>
      <c r="D177" s="1" t="s">
        <v>103</v>
      </c>
      <c r="E177" t="s">
        <v>93</v>
      </c>
      <c r="F177" t="s">
        <v>23</v>
      </c>
      <c r="G177">
        <v>12</v>
      </c>
      <c r="H177">
        <v>0</v>
      </c>
      <c r="I177" s="5">
        <f>IFERROR(VLOOKUP(TrendSheetStgData[Population]&amp;TrendSheetStgData[Cost Basis]&amp;TrendSheetStgData[Period]&amp;TrendSheetStgData[Trend],TrendSheetPrdData[#All],9,FALSE),0)</f>
        <v>0</v>
      </c>
      <c r="J1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 s="5">
        <f>VLOOKUP(TrendSheetStgData[Population]&amp;TrendSheetStgData[Trend],Threshold[#All],4,FALSE)</f>
        <v>10</v>
      </c>
      <c r="L177" s="5">
        <f>VLOOKUP(TrendSheetStgData[Population]&amp;TrendSheetStgData[Trend],Threshold[#All],5,FALSE)</f>
        <v>5</v>
      </c>
      <c r="M1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 spans="1:13" x14ac:dyDescent="0.25">
      <c r="A178" t="s">
        <v>90</v>
      </c>
      <c r="B178" t="s">
        <v>90</v>
      </c>
      <c r="C178" t="s">
        <v>91</v>
      </c>
      <c r="D178" s="1" t="s">
        <v>104</v>
      </c>
      <c r="E178" t="s">
        <v>93</v>
      </c>
      <c r="F178" t="s">
        <v>23</v>
      </c>
      <c r="G178">
        <v>12</v>
      </c>
      <c r="H178">
        <v>4</v>
      </c>
      <c r="I178" s="5">
        <f>IFERROR(VLOOKUP(TrendSheetStgData[Population]&amp;TrendSheetStgData[Cost Basis]&amp;TrendSheetStgData[Period]&amp;TrendSheetStgData[Trend],TrendSheetPrdData[#All],9,FALSE),0)</f>
        <v>4</v>
      </c>
      <c r="J1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 s="5">
        <f>VLOOKUP(TrendSheetStgData[Population]&amp;TrendSheetStgData[Trend],Threshold[#All],4,FALSE)</f>
        <v>10</v>
      </c>
      <c r="L178" s="5">
        <f>VLOOKUP(TrendSheetStgData[Population]&amp;TrendSheetStgData[Trend],Threshold[#All],5,FALSE)</f>
        <v>5</v>
      </c>
      <c r="M1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9" spans="1:13" x14ac:dyDescent="0.25">
      <c r="A179" t="s">
        <v>90</v>
      </c>
      <c r="B179" t="s">
        <v>90</v>
      </c>
      <c r="C179" t="s">
        <v>91</v>
      </c>
      <c r="D179" s="1" t="s">
        <v>105</v>
      </c>
      <c r="E179" t="s">
        <v>106</v>
      </c>
      <c r="F179" t="s">
        <v>23</v>
      </c>
      <c r="G179">
        <v>12</v>
      </c>
      <c r="H179">
        <v>4</v>
      </c>
      <c r="I179" s="5">
        <f>IFERROR(VLOOKUP(TrendSheetStgData[Population]&amp;TrendSheetStgData[Cost Basis]&amp;TrendSheetStgData[Period]&amp;TrendSheetStgData[Trend],TrendSheetPrdData[#All],9,FALSE),0)</f>
        <v>4</v>
      </c>
      <c r="J1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9" s="5">
        <f>VLOOKUP(TrendSheetStgData[Population]&amp;TrendSheetStgData[Trend],Threshold[#All],4,FALSE)</f>
        <v>10</v>
      </c>
      <c r="L179" s="5">
        <f>VLOOKUP(TrendSheetStgData[Population]&amp;TrendSheetStgData[Trend],Threshold[#All],5,FALSE)</f>
        <v>5</v>
      </c>
      <c r="M1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0" spans="1:13" x14ac:dyDescent="0.25">
      <c r="A180" t="s">
        <v>90</v>
      </c>
      <c r="B180" t="s">
        <v>90</v>
      </c>
      <c r="C180" t="s">
        <v>91</v>
      </c>
      <c r="D180" s="1" t="s">
        <v>107</v>
      </c>
      <c r="E180" t="s">
        <v>106</v>
      </c>
      <c r="F180" t="s">
        <v>23</v>
      </c>
      <c r="G180">
        <v>12</v>
      </c>
      <c r="H180">
        <v>0</v>
      </c>
      <c r="I180" s="5">
        <f>IFERROR(VLOOKUP(TrendSheetStgData[Population]&amp;TrendSheetStgData[Cost Basis]&amp;TrendSheetStgData[Period]&amp;TrendSheetStgData[Trend],TrendSheetPrdData[#All],9,FALSE),0)</f>
        <v>0</v>
      </c>
      <c r="J1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0" s="5">
        <f>VLOOKUP(TrendSheetStgData[Population]&amp;TrendSheetStgData[Trend],Threshold[#All],4,FALSE)</f>
        <v>10</v>
      </c>
      <c r="L180" s="5">
        <f>VLOOKUP(TrendSheetStgData[Population]&amp;TrendSheetStgData[Trend],Threshold[#All],5,FALSE)</f>
        <v>5</v>
      </c>
      <c r="M1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 spans="1:13" x14ac:dyDescent="0.25">
      <c r="A181" t="s">
        <v>90</v>
      </c>
      <c r="B181" t="s">
        <v>90</v>
      </c>
      <c r="C181" t="s">
        <v>91</v>
      </c>
      <c r="D181" s="1" t="s">
        <v>108</v>
      </c>
      <c r="E181" t="s">
        <v>106</v>
      </c>
      <c r="F181" t="s">
        <v>23</v>
      </c>
      <c r="G181">
        <v>12</v>
      </c>
      <c r="H181">
        <v>0</v>
      </c>
      <c r="I181" s="5">
        <f>IFERROR(VLOOKUP(TrendSheetStgData[Population]&amp;TrendSheetStgData[Cost Basis]&amp;TrendSheetStgData[Period]&amp;TrendSheetStgData[Trend],TrendSheetPrdData[#All],9,FALSE),0)</f>
        <v>0</v>
      </c>
      <c r="J1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 s="5">
        <f>VLOOKUP(TrendSheetStgData[Population]&amp;TrendSheetStgData[Trend],Threshold[#All],4,FALSE)</f>
        <v>10</v>
      </c>
      <c r="L181" s="5">
        <f>VLOOKUP(TrendSheetStgData[Population]&amp;TrendSheetStgData[Trend],Threshold[#All],5,FALSE)</f>
        <v>5</v>
      </c>
      <c r="M1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2" spans="1:13" x14ac:dyDescent="0.25">
      <c r="A182" t="s">
        <v>90</v>
      </c>
      <c r="B182" t="s">
        <v>90</v>
      </c>
      <c r="C182" t="s">
        <v>91</v>
      </c>
      <c r="D182" s="1" t="s">
        <v>92</v>
      </c>
      <c r="E182" t="s">
        <v>93</v>
      </c>
      <c r="F182" t="s">
        <v>24</v>
      </c>
      <c r="G182">
        <v>13</v>
      </c>
      <c r="H182">
        <v>122096</v>
      </c>
      <c r="I182" s="5">
        <f>IFERROR(VLOOKUP(TrendSheetStgData[Population]&amp;TrendSheetStgData[Cost Basis]&amp;TrendSheetStgData[Period]&amp;TrendSheetStgData[Trend],TrendSheetPrdData[#All],9,FALSE),0)</f>
        <v>116304</v>
      </c>
      <c r="J1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4.9800522767918558</v>
      </c>
      <c r="K182" s="5">
        <f>VLOOKUP(TrendSheetStgData[Population]&amp;TrendSheetStgData[Trend],Threshold[#All],4,FALSE)</f>
        <v>10</v>
      </c>
      <c r="L182" s="5">
        <f>VLOOKUP(TrendSheetStgData[Population]&amp;TrendSheetStgData[Trend],Threshold[#All],5,FALSE)</f>
        <v>5</v>
      </c>
      <c r="M1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3" spans="1:13" x14ac:dyDescent="0.25">
      <c r="A183" t="s">
        <v>90</v>
      </c>
      <c r="B183" t="s">
        <v>90</v>
      </c>
      <c r="C183" t="s">
        <v>91</v>
      </c>
      <c r="D183" s="1" t="s">
        <v>94</v>
      </c>
      <c r="E183" t="s">
        <v>93</v>
      </c>
      <c r="F183" t="s">
        <v>24</v>
      </c>
      <c r="G183">
        <v>13</v>
      </c>
      <c r="H183">
        <v>75703</v>
      </c>
      <c r="I183" s="5">
        <f>IFERROR(VLOOKUP(TrendSheetStgData[Population]&amp;TrendSheetStgData[Cost Basis]&amp;TrendSheetStgData[Period]&amp;TrendSheetStgData[Trend],TrendSheetPrdData[#All],9,FALSE),0)</f>
        <v>75166</v>
      </c>
      <c r="J1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0.71441875315967329</v>
      </c>
      <c r="K183" s="5">
        <f>VLOOKUP(TrendSheetStgData[Population]&amp;TrendSheetStgData[Trend],Threshold[#All],4,FALSE)</f>
        <v>10</v>
      </c>
      <c r="L183" s="5">
        <f>VLOOKUP(TrendSheetStgData[Population]&amp;TrendSheetStgData[Trend],Threshold[#All],5,FALSE)</f>
        <v>5</v>
      </c>
      <c r="M1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4" spans="1:13" x14ac:dyDescent="0.25">
      <c r="A184" t="s">
        <v>90</v>
      </c>
      <c r="B184" t="s">
        <v>90</v>
      </c>
      <c r="C184" t="s">
        <v>91</v>
      </c>
      <c r="D184" s="1" t="s">
        <v>95</v>
      </c>
      <c r="E184" t="s">
        <v>93</v>
      </c>
      <c r="F184" t="s">
        <v>24</v>
      </c>
      <c r="G184">
        <v>13</v>
      </c>
      <c r="H184">
        <v>40473</v>
      </c>
      <c r="I184" s="5">
        <f>IFERROR(VLOOKUP(TrendSheetStgData[Population]&amp;TrendSheetStgData[Cost Basis]&amp;TrendSheetStgData[Period]&amp;TrendSheetStgData[Trend],TrendSheetPrdData[#All],9,FALSE),0)</f>
        <v>41481</v>
      </c>
      <c r="J1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2.4300282056845304</v>
      </c>
      <c r="K184" s="5">
        <f>VLOOKUP(TrendSheetStgData[Population]&amp;TrendSheetStgData[Trend],Threshold[#All],4,FALSE)</f>
        <v>10</v>
      </c>
      <c r="L184" s="5">
        <f>VLOOKUP(TrendSheetStgData[Population]&amp;TrendSheetStgData[Trend],Threshold[#All],5,FALSE)</f>
        <v>5</v>
      </c>
      <c r="M1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5" spans="1:13" x14ac:dyDescent="0.25">
      <c r="A185" t="s">
        <v>90</v>
      </c>
      <c r="B185" t="s">
        <v>90</v>
      </c>
      <c r="C185" t="s">
        <v>91</v>
      </c>
      <c r="D185" s="1" t="s">
        <v>96</v>
      </c>
      <c r="E185" t="s">
        <v>93</v>
      </c>
      <c r="F185" t="s">
        <v>24</v>
      </c>
      <c r="G185">
        <v>13</v>
      </c>
      <c r="H185">
        <v>76417</v>
      </c>
      <c r="I185" s="5">
        <f>IFERROR(VLOOKUP(TrendSheetStgData[Population]&amp;TrendSheetStgData[Cost Basis]&amp;TrendSheetStgData[Period]&amp;TrendSheetStgData[Trend],TrendSheetPrdData[#All],9,FALSE),0)</f>
        <v>76418</v>
      </c>
      <c r="J1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1.3085922164934962E-3</v>
      </c>
      <c r="K185" s="5">
        <f>VLOOKUP(TrendSheetStgData[Population]&amp;TrendSheetStgData[Trend],Threshold[#All],4,FALSE)</f>
        <v>10</v>
      </c>
      <c r="L185" s="5">
        <f>VLOOKUP(TrendSheetStgData[Population]&amp;TrendSheetStgData[Trend],Threshold[#All],5,FALSE)</f>
        <v>5</v>
      </c>
      <c r="M1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6" spans="1:13" x14ac:dyDescent="0.25">
      <c r="A186" t="s">
        <v>90</v>
      </c>
      <c r="B186" t="s">
        <v>90</v>
      </c>
      <c r="C186" t="s">
        <v>91</v>
      </c>
      <c r="D186" s="1" t="s">
        <v>97</v>
      </c>
      <c r="E186" t="s">
        <v>93</v>
      </c>
      <c r="F186" t="s">
        <v>24</v>
      </c>
      <c r="G186">
        <v>13</v>
      </c>
      <c r="H186">
        <v>65375</v>
      </c>
      <c r="I186" s="5">
        <f>IFERROR(VLOOKUP(TrendSheetStgData[Population]&amp;TrendSheetStgData[Cost Basis]&amp;TrendSheetStgData[Period]&amp;TrendSheetStgData[Trend],TrendSheetPrdData[#All],9,FALSE),0)</f>
        <v>64816</v>
      </c>
      <c r="J1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0.86244137250061703</v>
      </c>
      <c r="K186" s="5">
        <f>VLOOKUP(TrendSheetStgData[Population]&amp;TrendSheetStgData[Trend],Threshold[#All],4,FALSE)</f>
        <v>10</v>
      </c>
      <c r="L186" s="5">
        <f>VLOOKUP(TrendSheetStgData[Population]&amp;TrendSheetStgData[Trend],Threshold[#All],5,FALSE)</f>
        <v>5</v>
      </c>
      <c r="M1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7" spans="1:13" x14ac:dyDescent="0.25">
      <c r="A187" t="s">
        <v>90</v>
      </c>
      <c r="B187" t="s">
        <v>90</v>
      </c>
      <c r="C187" t="s">
        <v>91</v>
      </c>
      <c r="D187" s="1" t="s">
        <v>98</v>
      </c>
      <c r="E187" t="s">
        <v>93</v>
      </c>
      <c r="F187" t="s">
        <v>24</v>
      </c>
      <c r="G187">
        <v>13</v>
      </c>
      <c r="H187">
        <v>39361</v>
      </c>
      <c r="I187" s="5">
        <f>IFERROR(VLOOKUP(TrendSheetStgData[Population]&amp;TrendSheetStgData[Cost Basis]&amp;TrendSheetStgData[Period]&amp;TrendSheetStgData[Trend],TrendSheetPrdData[#All],9,FALSE),0)</f>
        <v>37498</v>
      </c>
      <c r="J1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4.9682649741319533</v>
      </c>
      <c r="K187" s="5">
        <f>VLOOKUP(TrendSheetStgData[Population]&amp;TrendSheetStgData[Trend],Threshold[#All],4,FALSE)</f>
        <v>10</v>
      </c>
      <c r="L187" s="5">
        <f>VLOOKUP(TrendSheetStgData[Population]&amp;TrendSheetStgData[Trend],Threshold[#All],5,FALSE)</f>
        <v>5</v>
      </c>
      <c r="M1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8" spans="1:13" x14ac:dyDescent="0.25">
      <c r="A188" t="s">
        <v>90</v>
      </c>
      <c r="B188" t="s">
        <v>90</v>
      </c>
      <c r="C188" t="s">
        <v>91</v>
      </c>
      <c r="D188" s="1" t="s">
        <v>99</v>
      </c>
      <c r="E188" t="s">
        <v>93</v>
      </c>
      <c r="F188" t="s">
        <v>24</v>
      </c>
      <c r="G188">
        <v>13</v>
      </c>
      <c r="H188">
        <v>58264</v>
      </c>
      <c r="I188" s="5">
        <f>IFERROR(VLOOKUP(TrendSheetStgData[Population]&amp;TrendSheetStgData[Cost Basis]&amp;TrendSheetStgData[Period]&amp;TrendSheetStgData[Trend],TrendSheetPrdData[#All],9,FALSE),0)</f>
        <v>55650</v>
      </c>
      <c r="J1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4.6972147349505837</v>
      </c>
      <c r="K188" s="5">
        <f>VLOOKUP(TrendSheetStgData[Population]&amp;TrendSheetStgData[Trend],Threshold[#All],4,FALSE)</f>
        <v>10</v>
      </c>
      <c r="L188" s="5">
        <f>VLOOKUP(TrendSheetStgData[Population]&amp;TrendSheetStgData[Trend],Threshold[#All],5,FALSE)</f>
        <v>5</v>
      </c>
      <c r="M1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9" spans="1:13" x14ac:dyDescent="0.25">
      <c r="A189" t="s">
        <v>90</v>
      </c>
      <c r="B189" t="s">
        <v>90</v>
      </c>
      <c r="C189" t="s">
        <v>91</v>
      </c>
      <c r="D189" s="1" t="s">
        <v>100</v>
      </c>
      <c r="E189" t="s">
        <v>93</v>
      </c>
      <c r="F189" t="s">
        <v>24</v>
      </c>
      <c r="G189">
        <v>13</v>
      </c>
      <c r="H189">
        <v>78753</v>
      </c>
      <c r="I189" s="5">
        <f>IFERROR(VLOOKUP(TrendSheetStgData[Population]&amp;TrendSheetStgData[Cost Basis]&amp;TrendSheetStgData[Period]&amp;TrendSheetStgData[Trend],TrendSheetPrdData[#All],9,FALSE),0)</f>
        <v>76743</v>
      </c>
      <c r="J1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2.6191313865759742</v>
      </c>
      <c r="K189" s="5">
        <f>VLOOKUP(TrendSheetStgData[Population]&amp;TrendSheetStgData[Trend],Threshold[#All],4,FALSE)</f>
        <v>10</v>
      </c>
      <c r="L189" s="5">
        <f>VLOOKUP(TrendSheetStgData[Population]&amp;TrendSheetStgData[Trend],Threshold[#All],5,FALSE)</f>
        <v>5</v>
      </c>
      <c r="M1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0" spans="1:13" x14ac:dyDescent="0.25">
      <c r="A190" t="s">
        <v>90</v>
      </c>
      <c r="B190" t="s">
        <v>90</v>
      </c>
      <c r="C190" t="s">
        <v>91</v>
      </c>
      <c r="D190" s="1" t="s">
        <v>101</v>
      </c>
      <c r="E190" t="s">
        <v>93</v>
      </c>
      <c r="F190" t="s">
        <v>24</v>
      </c>
      <c r="G190">
        <v>13</v>
      </c>
      <c r="H190">
        <v>57745</v>
      </c>
      <c r="I190" s="5">
        <f>IFERROR(VLOOKUP(TrendSheetStgData[Population]&amp;TrendSheetStgData[Cost Basis]&amp;TrendSheetStgData[Period]&amp;TrendSheetStgData[Trend],TrendSheetPrdData[#All],9,FALSE),0)</f>
        <v>57355</v>
      </c>
      <c r="J1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0.67997559061982393</v>
      </c>
      <c r="K190" s="5">
        <f>VLOOKUP(TrendSheetStgData[Population]&amp;TrendSheetStgData[Trend],Threshold[#All],4,FALSE)</f>
        <v>10</v>
      </c>
      <c r="L190" s="5">
        <f>VLOOKUP(TrendSheetStgData[Population]&amp;TrendSheetStgData[Trend],Threshold[#All],5,FALSE)</f>
        <v>5</v>
      </c>
      <c r="M1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1" spans="1:13" x14ac:dyDescent="0.25">
      <c r="A191" t="s">
        <v>90</v>
      </c>
      <c r="B191" t="s">
        <v>90</v>
      </c>
      <c r="C191" t="s">
        <v>91</v>
      </c>
      <c r="D191" s="1" t="s">
        <v>102</v>
      </c>
      <c r="E191" t="s">
        <v>93</v>
      </c>
      <c r="F191" t="s">
        <v>24</v>
      </c>
      <c r="G191">
        <v>13</v>
      </c>
      <c r="H191">
        <v>118703</v>
      </c>
      <c r="I191" s="5">
        <f>IFERROR(VLOOKUP(TrendSheetStgData[Population]&amp;TrendSheetStgData[Cost Basis]&amp;TrendSheetStgData[Period]&amp;TrendSheetStgData[Trend],TrendSheetPrdData[#All],9,FALSE),0)</f>
        <v>72265</v>
      </c>
      <c r="J1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64.260707119629146</v>
      </c>
      <c r="K191" s="5">
        <f>VLOOKUP(TrendSheetStgData[Population]&amp;TrendSheetStgData[Trend],Threshold[#All],4,FALSE)</f>
        <v>10</v>
      </c>
      <c r="L191" s="5">
        <f>VLOOKUP(TrendSheetStgData[Population]&amp;TrendSheetStgData[Trend],Threshold[#All],5,FALSE)</f>
        <v>5</v>
      </c>
      <c r="M1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2" spans="1:13" x14ac:dyDescent="0.25">
      <c r="A192" t="s">
        <v>90</v>
      </c>
      <c r="B192" t="s">
        <v>90</v>
      </c>
      <c r="C192" t="s">
        <v>91</v>
      </c>
      <c r="D192" s="1" t="s">
        <v>103</v>
      </c>
      <c r="E192" t="s">
        <v>93</v>
      </c>
      <c r="F192" t="s">
        <v>24</v>
      </c>
      <c r="G192">
        <v>13</v>
      </c>
      <c r="H192">
        <v>73389</v>
      </c>
      <c r="I192" s="5">
        <f>IFERROR(VLOOKUP(TrendSheetStgData[Population]&amp;TrendSheetStgData[Cost Basis]&amp;TrendSheetStgData[Period]&amp;TrendSheetStgData[Trend],TrendSheetPrdData[#All],9,FALSE),0)</f>
        <v>73652</v>
      </c>
      <c r="J1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0.35708466844077552</v>
      </c>
      <c r="K192" s="5">
        <f>VLOOKUP(TrendSheetStgData[Population]&amp;TrendSheetStgData[Trend],Threshold[#All],4,FALSE)</f>
        <v>10</v>
      </c>
      <c r="L192" s="5">
        <f>VLOOKUP(TrendSheetStgData[Population]&amp;TrendSheetStgData[Trend],Threshold[#All],5,FALSE)</f>
        <v>5</v>
      </c>
      <c r="M1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3" spans="1:13" x14ac:dyDescent="0.25">
      <c r="A193" t="s">
        <v>90</v>
      </c>
      <c r="B193" t="s">
        <v>90</v>
      </c>
      <c r="C193" t="s">
        <v>91</v>
      </c>
      <c r="D193" s="1" t="s">
        <v>104</v>
      </c>
      <c r="E193" t="s">
        <v>93</v>
      </c>
      <c r="F193" t="s">
        <v>24</v>
      </c>
      <c r="G193">
        <v>13</v>
      </c>
      <c r="H193">
        <v>70466</v>
      </c>
      <c r="I193" s="5">
        <f>IFERROR(VLOOKUP(TrendSheetStgData[Population]&amp;TrendSheetStgData[Cost Basis]&amp;TrendSheetStgData[Period]&amp;TrendSheetStgData[Trend],TrendSheetPrdData[#All],9,FALSE),0)</f>
        <v>67849</v>
      </c>
      <c r="J1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3.8570944302790018</v>
      </c>
      <c r="K193" s="5">
        <f>VLOOKUP(TrendSheetStgData[Population]&amp;TrendSheetStgData[Trend],Threshold[#All],4,FALSE)</f>
        <v>10</v>
      </c>
      <c r="L193" s="5">
        <f>VLOOKUP(TrendSheetStgData[Population]&amp;TrendSheetStgData[Trend],Threshold[#All],5,FALSE)</f>
        <v>5</v>
      </c>
      <c r="M1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4" spans="1:13" x14ac:dyDescent="0.25">
      <c r="A194" t="s">
        <v>90</v>
      </c>
      <c r="B194" t="s">
        <v>90</v>
      </c>
      <c r="C194" t="s">
        <v>91</v>
      </c>
      <c r="D194" s="1" t="s">
        <v>105</v>
      </c>
      <c r="E194" t="s">
        <v>106</v>
      </c>
      <c r="F194" t="s">
        <v>24</v>
      </c>
      <c r="G194">
        <v>13</v>
      </c>
      <c r="H194">
        <v>92283</v>
      </c>
      <c r="I194" s="5">
        <f>IFERROR(VLOOKUP(TrendSheetStgData[Population]&amp;TrendSheetStgData[Cost Basis]&amp;TrendSheetStgData[Period]&amp;TrendSheetStgData[Trend],TrendSheetPrdData[#All],9,FALSE),0)</f>
        <v>80483</v>
      </c>
      <c r="J1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14.661481306611336</v>
      </c>
      <c r="K194" s="5">
        <f>VLOOKUP(TrendSheetStgData[Population]&amp;TrendSheetStgData[Trend],Threshold[#All],4,FALSE)</f>
        <v>10</v>
      </c>
      <c r="L194" s="5">
        <f>VLOOKUP(TrendSheetStgData[Population]&amp;TrendSheetStgData[Trend],Threshold[#All],5,FALSE)</f>
        <v>5</v>
      </c>
      <c r="M1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5" spans="1:13" x14ac:dyDescent="0.25">
      <c r="A195" t="s">
        <v>90</v>
      </c>
      <c r="B195" t="s">
        <v>90</v>
      </c>
      <c r="C195" t="s">
        <v>91</v>
      </c>
      <c r="D195" s="1" t="s">
        <v>107</v>
      </c>
      <c r="E195" t="s">
        <v>106</v>
      </c>
      <c r="F195" t="s">
        <v>24</v>
      </c>
      <c r="G195">
        <v>13</v>
      </c>
      <c r="H195">
        <v>77630</v>
      </c>
      <c r="I195" s="5">
        <f>IFERROR(VLOOKUP(TrendSheetStgData[Population]&amp;TrendSheetStgData[Cost Basis]&amp;TrendSheetStgData[Period]&amp;TrendSheetStgData[Trend],TrendSheetPrdData[#All],9,FALSE),0)</f>
        <v>22099</v>
      </c>
      <c r="J1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251.28286347798542</v>
      </c>
      <c r="K195" s="5">
        <f>VLOOKUP(TrendSheetStgData[Population]&amp;TrendSheetStgData[Trend],Threshold[#All],4,FALSE)</f>
        <v>10</v>
      </c>
      <c r="L195" s="5">
        <f>VLOOKUP(TrendSheetStgData[Population]&amp;TrendSheetStgData[Trend],Threshold[#All],5,FALSE)</f>
        <v>5</v>
      </c>
      <c r="M1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6" spans="1:13" x14ac:dyDescent="0.25">
      <c r="A196" t="s">
        <v>90</v>
      </c>
      <c r="B196" t="s">
        <v>90</v>
      </c>
      <c r="C196" t="s">
        <v>91</v>
      </c>
      <c r="D196" s="1" t="s">
        <v>108</v>
      </c>
      <c r="E196" t="s">
        <v>106</v>
      </c>
      <c r="F196" t="s">
        <v>24</v>
      </c>
      <c r="G196">
        <v>13</v>
      </c>
      <c r="H196">
        <v>39171</v>
      </c>
      <c r="I196" s="5">
        <f>IFERROR(VLOOKUP(TrendSheetStgData[Population]&amp;TrendSheetStgData[Cost Basis]&amp;TrendSheetStgData[Period]&amp;TrendSheetStgData[Trend],TrendSheetPrdData[#All],9,FALSE),0)</f>
        <v>0</v>
      </c>
      <c r="J1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96" s="5">
        <f>VLOOKUP(TrendSheetStgData[Population]&amp;TrendSheetStgData[Trend],Threshold[#All],4,FALSE)</f>
        <v>10</v>
      </c>
      <c r="L196" s="5">
        <f>VLOOKUP(TrendSheetStgData[Population]&amp;TrendSheetStgData[Trend],Threshold[#All],5,FALSE)</f>
        <v>5</v>
      </c>
      <c r="M1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7" spans="1:13" x14ac:dyDescent="0.25">
      <c r="A197" t="s">
        <v>90</v>
      </c>
      <c r="B197" t="s">
        <v>90</v>
      </c>
      <c r="C197" t="s">
        <v>91</v>
      </c>
      <c r="D197" s="1" t="s">
        <v>92</v>
      </c>
      <c r="E197" t="s">
        <v>93</v>
      </c>
      <c r="F197" t="s">
        <v>25</v>
      </c>
      <c r="G197">
        <v>14</v>
      </c>
      <c r="H197">
        <v>266</v>
      </c>
      <c r="I197" s="5">
        <f>IFERROR(VLOOKUP(TrendSheetStgData[Population]&amp;TrendSheetStgData[Cost Basis]&amp;TrendSheetStgData[Period]&amp;TrendSheetStgData[Trend],TrendSheetPrdData[#All],9,FALSE),0)</f>
        <v>266</v>
      </c>
      <c r="J1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7" s="5">
        <f>VLOOKUP(TrendSheetStgData[Population]&amp;TrendSheetStgData[Trend],Threshold[#All],4,FALSE)</f>
        <v>10</v>
      </c>
      <c r="L197" s="5">
        <f>VLOOKUP(TrendSheetStgData[Population]&amp;TrendSheetStgData[Trend],Threshold[#All],5,FALSE)</f>
        <v>5</v>
      </c>
      <c r="M1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 spans="1:13" x14ac:dyDescent="0.25">
      <c r="A198" t="s">
        <v>90</v>
      </c>
      <c r="B198" t="s">
        <v>90</v>
      </c>
      <c r="C198" t="s">
        <v>91</v>
      </c>
      <c r="D198" s="1" t="s">
        <v>94</v>
      </c>
      <c r="E198" t="s">
        <v>93</v>
      </c>
      <c r="F198" t="s">
        <v>25</v>
      </c>
      <c r="G198">
        <v>14</v>
      </c>
      <c r="H198">
        <v>244</v>
      </c>
      <c r="I198" s="5">
        <f>IFERROR(VLOOKUP(TrendSheetStgData[Population]&amp;TrendSheetStgData[Cost Basis]&amp;TrendSheetStgData[Period]&amp;TrendSheetStgData[Trend],TrendSheetPrdData[#All],9,FALSE),0)</f>
        <v>244</v>
      </c>
      <c r="J1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 s="5">
        <f>VLOOKUP(TrendSheetStgData[Population]&amp;TrendSheetStgData[Trend],Threshold[#All],4,FALSE)</f>
        <v>10</v>
      </c>
      <c r="L198" s="5">
        <f>VLOOKUP(TrendSheetStgData[Population]&amp;TrendSheetStgData[Trend],Threshold[#All],5,FALSE)</f>
        <v>5</v>
      </c>
      <c r="M1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9" spans="1:13" x14ac:dyDescent="0.25">
      <c r="A199" t="s">
        <v>90</v>
      </c>
      <c r="B199" t="s">
        <v>90</v>
      </c>
      <c r="C199" t="s">
        <v>91</v>
      </c>
      <c r="D199" s="1" t="s">
        <v>95</v>
      </c>
      <c r="E199" t="s">
        <v>93</v>
      </c>
      <c r="F199" t="s">
        <v>25</v>
      </c>
      <c r="G199">
        <v>14</v>
      </c>
      <c r="H199">
        <v>183</v>
      </c>
      <c r="I199" s="5">
        <f>IFERROR(VLOOKUP(TrendSheetStgData[Population]&amp;TrendSheetStgData[Cost Basis]&amp;TrendSheetStgData[Period]&amp;TrendSheetStgData[Trend],TrendSheetPrdData[#All],9,FALSE),0)</f>
        <v>183</v>
      </c>
      <c r="J1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9" s="5">
        <f>VLOOKUP(TrendSheetStgData[Population]&amp;TrendSheetStgData[Trend],Threshold[#All],4,FALSE)</f>
        <v>10</v>
      </c>
      <c r="L199" s="5">
        <f>VLOOKUP(TrendSheetStgData[Population]&amp;TrendSheetStgData[Trend],Threshold[#All],5,FALSE)</f>
        <v>5</v>
      </c>
      <c r="M1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 spans="1:13" x14ac:dyDescent="0.25">
      <c r="A200" t="s">
        <v>90</v>
      </c>
      <c r="B200" t="s">
        <v>90</v>
      </c>
      <c r="C200" t="s">
        <v>91</v>
      </c>
      <c r="D200" s="1" t="s">
        <v>96</v>
      </c>
      <c r="E200" t="s">
        <v>93</v>
      </c>
      <c r="F200" t="s">
        <v>25</v>
      </c>
      <c r="G200">
        <v>14</v>
      </c>
      <c r="H200">
        <v>222</v>
      </c>
      <c r="I200" s="5">
        <f>IFERROR(VLOOKUP(TrendSheetStgData[Population]&amp;TrendSheetStgData[Cost Basis]&amp;TrendSheetStgData[Period]&amp;TrendSheetStgData[Trend],TrendSheetPrdData[#All],9,FALSE),0)</f>
        <v>222</v>
      </c>
      <c r="J2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 s="5">
        <f>VLOOKUP(TrendSheetStgData[Population]&amp;TrendSheetStgData[Trend],Threshold[#All],4,FALSE)</f>
        <v>10</v>
      </c>
      <c r="L200" s="5">
        <f>VLOOKUP(TrendSheetStgData[Population]&amp;TrendSheetStgData[Trend],Threshold[#All],5,FALSE)</f>
        <v>5</v>
      </c>
      <c r="M2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 spans="1:13" x14ac:dyDescent="0.25">
      <c r="A201" t="s">
        <v>90</v>
      </c>
      <c r="B201" t="s">
        <v>90</v>
      </c>
      <c r="C201" t="s">
        <v>91</v>
      </c>
      <c r="D201" s="1" t="s">
        <v>97</v>
      </c>
      <c r="E201" t="s">
        <v>93</v>
      </c>
      <c r="F201" t="s">
        <v>25</v>
      </c>
      <c r="G201">
        <v>14</v>
      </c>
      <c r="H201">
        <v>227</v>
      </c>
      <c r="I201" s="5">
        <f>IFERROR(VLOOKUP(TrendSheetStgData[Population]&amp;TrendSheetStgData[Cost Basis]&amp;TrendSheetStgData[Period]&amp;TrendSheetStgData[Trend],TrendSheetPrdData[#All],9,FALSE),0)</f>
        <v>228</v>
      </c>
      <c r="J2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0.43859649122807015</v>
      </c>
      <c r="K201" s="5">
        <f>VLOOKUP(TrendSheetStgData[Population]&amp;TrendSheetStgData[Trend],Threshold[#All],4,FALSE)</f>
        <v>10</v>
      </c>
      <c r="L201" s="5">
        <f>VLOOKUP(TrendSheetStgData[Population]&amp;TrendSheetStgData[Trend],Threshold[#All],5,FALSE)</f>
        <v>5</v>
      </c>
      <c r="M2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2" spans="1:13" x14ac:dyDescent="0.25">
      <c r="A202" t="s">
        <v>90</v>
      </c>
      <c r="B202" t="s">
        <v>90</v>
      </c>
      <c r="C202" t="s">
        <v>91</v>
      </c>
      <c r="D202" s="1" t="s">
        <v>98</v>
      </c>
      <c r="E202" t="s">
        <v>93</v>
      </c>
      <c r="F202" t="s">
        <v>25</v>
      </c>
      <c r="G202">
        <v>14</v>
      </c>
      <c r="H202">
        <v>177</v>
      </c>
      <c r="I202" s="5">
        <f>IFERROR(VLOOKUP(TrendSheetStgData[Population]&amp;TrendSheetStgData[Cost Basis]&amp;TrendSheetStgData[Period]&amp;TrendSheetStgData[Trend],TrendSheetPrdData[#All],9,FALSE),0)</f>
        <v>169</v>
      </c>
      <c r="J2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4.7337278106508878</v>
      </c>
      <c r="K202" s="5">
        <f>VLOOKUP(TrendSheetStgData[Population]&amp;TrendSheetStgData[Trend],Threshold[#All],4,FALSE)</f>
        <v>10</v>
      </c>
      <c r="L202" s="5">
        <f>VLOOKUP(TrendSheetStgData[Population]&amp;TrendSheetStgData[Trend],Threshold[#All],5,FALSE)</f>
        <v>5</v>
      </c>
      <c r="M2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3" spans="1:13" x14ac:dyDescent="0.25">
      <c r="A203" t="s">
        <v>90</v>
      </c>
      <c r="B203" t="s">
        <v>90</v>
      </c>
      <c r="C203" t="s">
        <v>91</v>
      </c>
      <c r="D203" s="1" t="s">
        <v>99</v>
      </c>
      <c r="E203" t="s">
        <v>93</v>
      </c>
      <c r="F203" t="s">
        <v>25</v>
      </c>
      <c r="G203">
        <v>14</v>
      </c>
      <c r="H203">
        <v>147</v>
      </c>
      <c r="I203" s="5">
        <f>IFERROR(VLOOKUP(TrendSheetStgData[Population]&amp;TrendSheetStgData[Cost Basis]&amp;TrendSheetStgData[Period]&amp;TrendSheetStgData[Trend],TrendSheetPrdData[#All],9,FALSE),0)</f>
        <v>147</v>
      </c>
      <c r="J2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 s="5">
        <f>VLOOKUP(TrendSheetStgData[Population]&amp;TrendSheetStgData[Trend],Threshold[#All],4,FALSE)</f>
        <v>10</v>
      </c>
      <c r="L203" s="5">
        <f>VLOOKUP(TrendSheetStgData[Population]&amp;TrendSheetStgData[Trend],Threshold[#All],5,FALSE)</f>
        <v>5</v>
      </c>
      <c r="M2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 spans="1:13" x14ac:dyDescent="0.25">
      <c r="A204" t="s">
        <v>90</v>
      </c>
      <c r="B204" t="s">
        <v>90</v>
      </c>
      <c r="C204" t="s">
        <v>91</v>
      </c>
      <c r="D204" s="1" t="s">
        <v>100</v>
      </c>
      <c r="E204" t="s">
        <v>93</v>
      </c>
      <c r="F204" t="s">
        <v>25</v>
      </c>
      <c r="G204">
        <v>14</v>
      </c>
      <c r="H204">
        <v>202</v>
      </c>
      <c r="I204" s="5">
        <f>IFERROR(VLOOKUP(TrendSheetStgData[Population]&amp;TrendSheetStgData[Cost Basis]&amp;TrendSheetStgData[Period]&amp;TrendSheetStgData[Trend],TrendSheetPrdData[#All],9,FALSE),0)</f>
        <v>202</v>
      </c>
      <c r="J2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 s="5">
        <f>VLOOKUP(TrendSheetStgData[Population]&amp;TrendSheetStgData[Trend],Threshold[#All],4,FALSE)</f>
        <v>10</v>
      </c>
      <c r="L204" s="5">
        <f>VLOOKUP(TrendSheetStgData[Population]&amp;TrendSheetStgData[Trend],Threshold[#All],5,FALSE)</f>
        <v>5</v>
      </c>
      <c r="M2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 spans="1:13" x14ac:dyDescent="0.25">
      <c r="A205" t="s">
        <v>90</v>
      </c>
      <c r="B205" t="s">
        <v>90</v>
      </c>
      <c r="C205" t="s">
        <v>91</v>
      </c>
      <c r="D205" s="1" t="s">
        <v>101</v>
      </c>
      <c r="E205" t="s">
        <v>93</v>
      </c>
      <c r="F205" t="s">
        <v>25</v>
      </c>
      <c r="G205">
        <v>14</v>
      </c>
      <c r="H205">
        <v>200</v>
      </c>
      <c r="I205" s="5">
        <f>IFERROR(VLOOKUP(TrendSheetStgData[Population]&amp;TrendSheetStgData[Cost Basis]&amp;TrendSheetStgData[Period]&amp;TrendSheetStgData[Trend],TrendSheetPrdData[#All],9,FALSE),0)</f>
        <v>201</v>
      </c>
      <c r="J2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0.49751243781094528</v>
      </c>
      <c r="K205" s="5">
        <f>VLOOKUP(TrendSheetStgData[Population]&amp;TrendSheetStgData[Trend],Threshold[#All],4,FALSE)</f>
        <v>10</v>
      </c>
      <c r="L205" s="5">
        <f>VLOOKUP(TrendSheetStgData[Population]&amp;TrendSheetStgData[Trend],Threshold[#All],5,FALSE)</f>
        <v>5</v>
      </c>
      <c r="M2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6" spans="1:13" x14ac:dyDescent="0.25">
      <c r="A206" t="s">
        <v>90</v>
      </c>
      <c r="B206" t="s">
        <v>90</v>
      </c>
      <c r="C206" t="s">
        <v>91</v>
      </c>
      <c r="D206" s="1" t="s">
        <v>102</v>
      </c>
      <c r="E206" t="s">
        <v>93</v>
      </c>
      <c r="F206" t="s">
        <v>25</v>
      </c>
      <c r="G206">
        <v>14</v>
      </c>
      <c r="H206">
        <v>190</v>
      </c>
      <c r="I206" s="5">
        <f>IFERROR(VLOOKUP(TrendSheetStgData[Population]&amp;TrendSheetStgData[Cost Basis]&amp;TrendSheetStgData[Period]&amp;TrendSheetStgData[Trend],TrendSheetPrdData[#All],9,FALSE),0)</f>
        <v>186</v>
      </c>
      <c r="J2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2.1505376344086025</v>
      </c>
      <c r="K206" s="5">
        <f>VLOOKUP(TrendSheetStgData[Population]&amp;TrendSheetStgData[Trend],Threshold[#All],4,FALSE)</f>
        <v>10</v>
      </c>
      <c r="L206" s="5">
        <f>VLOOKUP(TrendSheetStgData[Population]&amp;TrendSheetStgData[Trend],Threshold[#All],5,FALSE)</f>
        <v>5</v>
      </c>
      <c r="M2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7" spans="1:13" x14ac:dyDescent="0.25">
      <c r="A207" t="s">
        <v>90</v>
      </c>
      <c r="B207" t="s">
        <v>90</v>
      </c>
      <c r="C207" t="s">
        <v>91</v>
      </c>
      <c r="D207" s="1" t="s">
        <v>103</v>
      </c>
      <c r="E207" t="s">
        <v>93</v>
      </c>
      <c r="F207" t="s">
        <v>25</v>
      </c>
      <c r="G207">
        <v>14</v>
      </c>
      <c r="H207">
        <v>169</v>
      </c>
      <c r="I207" s="5">
        <f>IFERROR(VLOOKUP(TrendSheetStgData[Population]&amp;TrendSheetStgData[Cost Basis]&amp;TrendSheetStgData[Period]&amp;TrendSheetStgData[Trend],TrendSheetPrdData[#All],9,FALSE),0)</f>
        <v>169</v>
      </c>
      <c r="J2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 s="5">
        <f>VLOOKUP(TrendSheetStgData[Population]&amp;TrendSheetStgData[Trend],Threshold[#All],4,FALSE)</f>
        <v>10</v>
      </c>
      <c r="L207" s="5">
        <f>VLOOKUP(TrendSheetStgData[Population]&amp;TrendSheetStgData[Trend],Threshold[#All],5,FALSE)</f>
        <v>5</v>
      </c>
      <c r="M2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 spans="1:13" x14ac:dyDescent="0.25">
      <c r="A208" t="s">
        <v>90</v>
      </c>
      <c r="B208" t="s">
        <v>90</v>
      </c>
      <c r="C208" t="s">
        <v>91</v>
      </c>
      <c r="D208" s="1" t="s">
        <v>104</v>
      </c>
      <c r="E208" t="s">
        <v>93</v>
      </c>
      <c r="F208" t="s">
        <v>25</v>
      </c>
      <c r="G208">
        <v>14</v>
      </c>
      <c r="H208">
        <v>137</v>
      </c>
      <c r="I208" s="5">
        <f>IFERROR(VLOOKUP(TrendSheetStgData[Population]&amp;TrendSheetStgData[Cost Basis]&amp;TrendSheetStgData[Period]&amp;TrendSheetStgData[Trend],TrendSheetPrdData[#All],9,FALSE),0)</f>
        <v>137</v>
      </c>
      <c r="J2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 s="5">
        <f>VLOOKUP(TrendSheetStgData[Population]&amp;TrendSheetStgData[Trend],Threshold[#All],4,FALSE)</f>
        <v>10</v>
      </c>
      <c r="L208" s="5">
        <f>VLOOKUP(TrendSheetStgData[Population]&amp;TrendSheetStgData[Trend],Threshold[#All],5,FALSE)</f>
        <v>5</v>
      </c>
      <c r="M2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 spans="1:13" x14ac:dyDescent="0.25">
      <c r="A209" t="s">
        <v>90</v>
      </c>
      <c r="B209" t="s">
        <v>90</v>
      </c>
      <c r="C209" t="s">
        <v>91</v>
      </c>
      <c r="D209" s="1" t="s">
        <v>105</v>
      </c>
      <c r="E209" t="s">
        <v>106</v>
      </c>
      <c r="F209" t="s">
        <v>25</v>
      </c>
      <c r="G209">
        <v>14</v>
      </c>
      <c r="H209">
        <v>253</v>
      </c>
      <c r="I209" s="5">
        <f>IFERROR(VLOOKUP(TrendSheetStgData[Population]&amp;TrendSheetStgData[Cost Basis]&amp;TrendSheetStgData[Period]&amp;TrendSheetStgData[Trend],TrendSheetPrdData[#All],9,FALSE),0)</f>
        <v>246</v>
      </c>
      <c r="J2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2.8455284552845526</v>
      </c>
      <c r="K209" s="5">
        <f>VLOOKUP(TrendSheetStgData[Population]&amp;TrendSheetStgData[Trend],Threshold[#All],4,FALSE)</f>
        <v>10</v>
      </c>
      <c r="L209" s="5">
        <f>VLOOKUP(TrendSheetStgData[Population]&amp;TrendSheetStgData[Trend],Threshold[#All],5,FALSE)</f>
        <v>5</v>
      </c>
      <c r="M2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10" spans="1:13" x14ac:dyDescent="0.25">
      <c r="A210" t="s">
        <v>90</v>
      </c>
      <c r="B210" t="s">
        <v>90</v>
      </c>
      <c r="C210" t="s">
        <v>91</v>
      </c>
      <c r="D210" s="1" t="s">
        <v>107</v>
      </c>
      <c r="E210" t="s">
        <v>106</v>
      </c>
      <c r="F210" t="s">
        <v>25</v>
      </c>
      <c r="G210">
        <v>14</v>
      </c>
      <c r="H210">
        <v>175</v>
      </c>
      <c r="I210" s="5">
        <f>IFERROR(VLOOKUP(TrendSheetStgData[Population]&amp;TrendSheetStgData[Cost Basis]&amp;TrendSheetStgData[Period]&amp;TrendSheetStgData[Trend],TrendSheetPrdData[#All],9,FALSE),0)</f>
        <v>63</v>
      </c>
      <c r="J2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177.77777777777777</v>
      </c>
      <c r="K210" s="5">
        <f>VLOOKUP(TrendSheetStgData[Population]&amp;TrendSheetStgData[Trend],Threshold[#All],4,FALSE)</f>
        <v>10</v>
      </c>
      <c r="L210" s="5">
        <f>VLOOKUP(TrendSheetStgData[Population]&amp;TrendSheetStgData[Trend],Threshold[#All],5,FALSE)</f>
        <v>5</v>
      </c>
      <c r="M2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1" spans="1:13" x14ac:dyDescent="0.25">
      <c r="A211" t="s">
        <v>90</v>
      </c>
      <c r="B211" t="s">
        <v>90</v>
      </c>
      <c r="C211" t="s">
        <v>91</v>
      </c>
      <c r="D211" s="1" t="s">
        <v>108</v>
      </c>
      <c r="E211" t="s">
        <v>106</v>
      </c>
      <c r="F211" t="s">
        <v>25</v>
      </c>
      <c r="G211">
        <v>14</v>
      </c>
      <c r="H211">
        <v>122</v>
      </c>
      <c r="I211" s="5">
        <f>IFERROR(VLOOKUP(TrendSheetStgData[Population]&amp;TrendSheetStgData[Cost Basis]&amp;TrendSheetStgData[Period]&amp;TrendSheetStgData[Trend],TrendSheetPrdData[#All],9,FALSE),0)</f>
        <v>0</v>
      </c>
      <c r="J2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11" s="5">
        <f>VLOOKUP(TrendSheetStgData[Population]&amp;TrendSheetStgData[Trend],Threshold[#All],4,FALSE)</f>
        <v>10</v>
      </c>
      <c r="L211" s="5">
        <f>VLOOKUP(TrendSheetStgData[Population]&amp;TrendSheetStgData[Trend],Threshold[#All],5,FALSE)</f>
        <v>5</v>
      </c>
      <c r="M2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2" spans="1:13" x14ac:dyDescent="0.25">
      <c r="A212" t="s">
        <v>90</v>
      </c>
      <c r="B212" t="s">
        <v>90</v>
      </c>
      <c r="C212" t="s">
        <v>91</v>
      </c>
      <c r="D212" s="1" t="s">
        <v>92</v>
      </c>
      <c r="E212" t="s">
        <v>93</v>
      </c>
      <c r="F212" t="s">
        <v>26</v>
      </c>
      <c r="G212">
        <v>15</v>
      </c>
      <c r="H212">
        <v>306075</v>
      </c>
      <c r="I212" s="5">
        <f>IFERROR(VLOOKUP(TrendSheetStgData[Population]&amp;TrendSheetStgData[Cost Basis]&amp;TrendSheetStgData[Period]&amp;TrendSheetStgData[Trend],TrendSheetPrdData[#All],9,FALSE),0)</f>
        <v>306075</v>
      </c>
      <c r="J2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 s="5">
        <f>VLOOKUP(TrendSheetStgData[Population]&amp;TrendSheetStgData[Trend],Threshold[#All],4,FALSE)</f>
        <v>10</v>
      </c>
      <c r="L212" s="5">
        <f>VLOOKUP(TrendSheetStgData[Population]&amp;TrendSheetStgData[Trend],Threshold[#All],5,FALSE)</f>
        <v>5</v>
      </c>
      <c r="M2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 spans="1:13" x14ac:dyDescent="0.25">
      <c r="A213" t="s">
        <v>90</v>
      </c>
      <c r="B213" t="s">
        <v>90</v>
      </c>
      <c r="C213" t="s">
        <v>91</v>
      </c>
      <c r="D213" s="1" t="s">
        <v>94</v>
      </c>
      <c r="E213" t="s">
        <v>93</v>
      </c>
      <c r="F213" t="s">
        <v>26</v>
      </c>
      <c r="G213">
        <v>15</v>
      </c>
      <c r="H213">
        <v>404916</v>
      </c>
      <c r="I213" s="5">
        <f>IFERROR(VLOOKUP(TrendSheetStgData[Population]&amp;TrendSheetStgData[Cost Basis]&amp;TrendSheetStgData[Period]&amp;TrendSheetStgData[Trend],TrendSheetPrdData[#All],9,FALSE),0)</f>
        <v>404916</v>
      </c>
      <c r="J2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 s="5">
        <f>VLOOKUP(TrendSheetStgData[Population]&amp;TrendSheetStgData[Trend],Threshold[#All],4,FALSE)</f>
        <v>10</v>
      </c>
      <c r="L213" s="5">
        <f>VLOOKUP(TrendSheetStgData[Population]&amp;TrendSheetStgData[Trend],Threshold[#All],5,FALSE)</f>
        <v>5</v>
      </c>
      <c r="M2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 spans="1:13" x14ac:dyDescent="0.25">
      <c r="A214" t="s">
        <v>90</v>
      </c>
      <c r="B214" t="s">
        <v>90</v>
      </c>
      <c r="C214" t="s">
        <v>91</v>
      </c>
      <c r="D214" s="1" t="s">
        <v>95</v>
      </c>
      <c r="E214" t="s">
        <v>93</v>
      </c>
      <c r="F214" t="s">
        <v>26</v>
      </c>
      <c r="G214">
        <v>15</v>
      </c>
      <c r="H214">
        <v>455097</v>
      </c>
      <c r="I214" s="5">
        <f>IFERROR(VLOOKUP(TrendSheetStgData[Population]&amp;TrendSheetStgData[Cost Basis]&amp;TrendSheetStgData[Period]&amp;TrendSheetStgData[Trend],TrendSheetPrdData[#All],9,FALSE),0)</f>
        <v>455097</v>
      </c>
      <c r="J2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 s="5">
        <f>VLOOKUP(TrendSheetStgData[Population]&amp;TrendSheetStgData[Trend],Threshold[#All],4,FALSE)</f>
        <v>10</v>
      </c>
      <c r="L214" s="5">
        <f>VLOOKUP(TrendSheetStgData[Population]&amp;TrendSheetStgData[Trend],Threshold[#All],5,FALSE)</f>
        <v>5</v>
      </c>
      <c r="M2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 spans="1:13" x14ac:dyDescent="0.25">
      <c r="A215" t="s">
        <v>90</v>
      </c>
      <c r="B215" t="s">
        <v>90</v>
      </c>
      <c r="C215" t="s">
        <v>91</v>
      </c>
      <c r="D215" s="1" t="s">
        <v>96</v>
      </c>
      <c r="E215" t="s">
        <v>93</v>
      </c>
      <c r="F215" t="s">
        <v>26</v>
      </c>
      <c r="G215">
        <v>15</v>
      </c>
      <c r="H215">
        <v>357919</v>
      </c>
      <c r="I215" s="5">
        <f>IFERROR(VLOOKUP(TrendSheetStgData[Population]&amp;TrendSheetStgData[Cost Basis]&amp;TrendSheetStgData[Period]&amp;TrendSheetStgData[Trend],TrendSheetPrdData[#All],9,FALSE),0)</f>
        <v>357889</v>
      </c>
      <c r="J2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8.382487307517136E-3</v>
      </c>
      <c r="K215" s="5">
        <f>VLOOKUP(TrendSheetStgData[Population]&amp;TrendSheetStgData[Trend],Threshold[#All],4,FALSE)</f>
        <v>10</v>
      </c>
      <c r="L215" s="5">
        <f>VLOOKUP(TrendSheetStgData[Population]&amp;TrendSheetStgData[Trend],Threshold[#All],5,FALSE)</f>
        <v>5</v>
      </c>
      <c r="M2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16" spans="1:13" x14ac:dyDescent="0.25">
      <c r="A216" t="s">
        <v>90</v>
      </c>
      <c r="B216" t="s">
        <v>90</v>
      </c>
      <c r="C216" t="s">
        <v>91</v>
      </c>
      <c r="D216" s="1" t="s">
        <v>97</v>
      </c>
      <c r="E216" t="s">
        <v>93</v>
      </c>
      <c r="F216" t="s">
        <v>26</v>
      </c>
      <c r="G216">
        <v>15</v>
      </c>
      <c r="H216">
        <v>357284</v>
      </c>
      <c r="I216" s="5">
        <f>IFERROR(VLOOKUP(TrendSheetStgData[Population]&amp;TrendSheetStgData[Cost Basis]&amp;TrendSheetStgData[Period]&amp;TrendSheetStgData[Trend],TrendSheetPrdData[#All],9,FALSE),0)</f>
        <v>357284</v>
      </c>
      <c r="J2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 s="5">
        <f>VLOOKUP(TrendSheetStgData[Population]&amp;TrendSheetStgData[Trend],Threshold[#All],4,FALSE)</f>
        <v>10</v>
      </c>
      <c r="L216" s="5">
        <f>VLOOKUP(TrendSheetStgData[Population]&amp;TrendSheetStgData[Trend],Threshold[#All],5,FALSE)</f>
        <v>5</v>
      </c>
      <c r="M2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 spans="1:13" x14ac:dyDescent="0.25">
      <c r="A217" t="s">
        <v>90</v>
      </c>
      <c r="B217" t="s">
        <v>90</v>
      </c>
      <c r="C217" t="s">
        <v>91</v>
      </c>
      <c r="D217" s="1" t="s">
        <v>98</v>
      </c>
      <c r="E217" t="s">
        <v>93</v>
      </c>
      <c r="F217" t="s">
        <v>26</v>
      </c>
      <c r="G217">
        <v>15</v>
      </c>
      <c r="H217">
        <v>368462</v>
      </c>
      <c r="I217" s="5">
        <f>IFERROR(VLOOKUP(TrendSheetStgData[Population]&amp;TrendSheetStgData[Cost Basis]&amp;TrendSheetStgData[Period]&amp;TrendSheetStgData[Trend],TrendSheetPrdData[#All],9,FALSE),0)</f>
        <v>368435</v>
      </c>
      <c r="J2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7.3282940002985597E-3</v>
      </c>
      <c r="K217" s="5">
        <f>VLOOKUP(TrendSheetStgData[Population]&amp;TrendSheetStgData[Trend],Threshold[#All],4,FALSE)</f>
        <v>10</v>
      </c>
      <c r="L217" s="5">
        <f>VLOOKUP(TrendSheetStgData[Population]&amp;TrendSheetStgData[Trend],Threshold[#All],5,FALSE)</f>
        <v>5</v>
      </c>
      <c r="M2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18" spans="1:13" x14ac:dyDescent="0.25">
      <c r="A218" t="s">
        <v>90</v>
      </c>
      <c r="B218" t="s">
        <v>90</v>
      </c>
      <c r="C218" t="s">
        <v>91</v>
      </c>
      <c r="D218" s="1" t="s">
        <v>99</v>
      </c>
      <c r="E218" t="s">
        <v>93</v>
      </c>
      <c r="F218" t="s">
        <v>26</v>
      </c>
      <c r="G218">
        <v>15</v>
      </c>
      <c r="H218">
        <v>355108</v>
      </c>
      <c r="I218" s="5">
        <f>IFERROR(VLOOKUP(TrendSheetStgData[Population]&amp;TrendSheetStgData[Cost Basis]&amp;TrendSheetStgData[Period]&amp;TrendSheetStgData[Trend],TrendSheetPrdData[#All],9,FALSE),0)</f>
        <v>355108</v>
      </c>
      <c r="J2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 s="5">
        <f>VLOOKUP(TrendSheetStgData[Population]&amp;TrendSheetStgData[Trend],Threshold[#All],4,FALSE)</f>
        <v>10</v>
      </c>
      <c r="L218" s="5">
        <f>VLOOKUP(TrendSheetStgData[Population]&amp;TrendSheetStgData[Trend],Threshold[#All],5,FALSE)</f>
        <v>5</v>
      </c>
      <c r="M2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 spans="1:13" x14ac:dyDescent="0.25">
      <c r="A219" t="s">
        <v>90</v>
      </c>
      <c r="B219" t="s">
        <v>90</v>
      </c>
      <c r="C219" t="s">
        <v>91</v>
      </c>
      <c r="D219" s="1" t="s">
        <v>100</v>
      </c>
      <c r="E219" t="s">
        <v>93</v>
      </c>
      <c r="F219" t="s">
        <v>26</v>
      </c>
      <c r="G219">
        <v>15</v>
      </c>
      <c r="H219">
        <v>363282</v>
      </c>
      <c r="I219" s="5">
        <f>IFERROR(VLOOKUP(TrendSheetStgData[Population]&amp;TrendSheetStgData[Cost Basis]&amp;TrendSheetStgData[Period]&amp;TrendSheetStgData[Trend],TrendSheetPrdData[#All],9,FALSE),0)</f>
        <v>363282</v>
      </c>
      <c r="J2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 s="5">
        <f>VLOOKUP(TrendSheetStgData[Population]&amp;TrendSheetStgData[Trend],Threshold[#All],4,FALSE)</f>
        <v>10</v>
      </c>
      <c r="L219" s="5">
        <f>VLOOKUP(TrendSheetStgData[Population]&amp;TrendSheetStgData[Trend],Threshold[#All],5,FALSE)</f>
        <v>5</v>
      </c>
      <c r="M2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0" spans="1:13" x14ac:dyDescent="0.25">
      <c r="A220" t="s">
        <v>90</v>
      </c>
      <c r="B220" t="s">
        <v>90</v>
      </c>
      <c r="C220" t="s">
        <v>91</v>
      </c>
      <c r="D220" s="1" t="s">
        <v>101</v>
      </c>
      <c r="E220" t="s">
        <v>93</v>
      </c>
      <c r="F220" t="s">
        <v>26</v>
      </c>
      <c r="G220">
        <v>15</v>
      </c>
      <c r="H220">
        <v>384389</v>
      </c>
      <c r="I220" s="5">
        <f>IFERROR(VLOOKUP(TrendSheetStgData[Population]&amp;TrendSheetStgData[Cost Basis]&amp;TrendSheetStgData[Period]&amp;TrendSheetStgData[Trend],TrendSheetPrdData[#All],9,FALSE),0)</f>
        <v>384389</v>
      </c>
      <c r="J2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0" s="5">
        <f>VLOOKUP(TrendSheetStgData[Population]&amp;TrendSheetStgData[Trend],Threshold[#All],4,FALSE)</f>
        <v>10</v>
      </c>
      <c r="L220" s="5">
        <f>VLOOKUP(TrendSheetStgData[Population]&amp;TrendSheetStgData[Trend],Threshold[#All],5,FALSE)</f>
        <v>5</v>
      </c>
      <c r="M2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 spans="1:13" x14ac:dyDescent="0.25">
      <c r="A221" t="s">
        <v>90</v>
      </c>
      <c r="B221" t="s">
        <v>90</v>
      </c>
      <c r="C221" t="s">
        <v>91</v>
      </c>
      <c r="D221" s="1" t="s">
        <v>102</v>
      </c>
      <c r="E221" t="s">
        <v>93</v>
      </c>
      <c r="F221" t="s">
        <v>26</v>
      </c>
      <c r="G221">
        <v>15</v>
      </c>
      <c r="H221">
        <v>412196</v>
      </c>
      <c r="I221" s="5">
        <f>IFERROR(VLOOKUP(TrendSheetStgData[Population]&amp;TrendSheetStgData[Cost Basis]&amp;TrendSheetStgData[Period]&amp;TrendSheetStgData[Trend],TrendSheetPrdData[#All],9,FALSE),0)</f>
        <v>412196</v>
      </c>
      <c r="J2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 s="5">
        <f>VLOOKUP(TrendSheetStgData[Population]&amp;TrendSheetStgData[Trend],Threshold[#All],4,FALSE)</f>
        <v>10</v>
      </c>
      <c r="L221" s="5">
        <f>VLOOKUP(TrendSheetStgData[Population]&amp;TrendSheetStgData[Trend],Threshold[#All],5,FALSE)</f>
        <v>5</v>
      </c>
      <c r="M2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 spans="1:13" x14ac:dyDescent="0.25">
      <c r="A222" t="s">
        <v>90</v>
      </c>
      <c r="B222" t="s">
        <v>90</v>
      </c>
      <c r="C222" t="s">
        <v>91</v>
      </c>
      <c r="D222" s="1" t="s">
        <v>103</v>
      </c>
      <c r="E222" t="s">
        <v>93</v>
      </c>
      <c r="F222" t="s">
        <v>26</v>
      </c>
      <c r="G222">
        <v>15</v>
      </c>
      <c r="H222">
        <v>339188</v>
      </c>
      <c r="I222" s="5">
        <f>IFERROR(VLOOKUP(TrendSheetStgData[Population]&amp;TrendSheetStgData[Cost Basis]&amp;TrendSheetStgData[Period]&amp;TrendSheetStgData[Trend],TrendSheetPrdData[#All],9,FALSE),0)</f>
        <v>339188</v>
      </c>
      <c r="J2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 s="5">
        <f>VLOOKUP(TrendSheetStgData[Population]&amp;TrendSheetStgData[Trend],Threshold[#All],4,FALSE)</f>
        <v>10</v>
      </c>
      <c r="L222" s="5">
        <f>VLOOKUP(TrendSheetStgData[Population]&amp;TrendSheetStgData[Trend],Threshold[#All],5,FALSE)</f>
        <v>5</v>
      </c>
      <c r="M2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 spans="1:13" x14ac:dyDescent="0.25">
      <c r="A223" t="s">
        <v>90</v>
      </c>
      <c r="B223" t="s">
        <v>90</v>
      </c>
      <c r="C223" t="s">
        <v>91</v>
      </c>
      <c r="D223" s="1" t="s">
        <v>104</v>
      </c>
      <c r="E223" t="s">
        <v>93</v>
      </c>
      <c r="F223" t="s">
        <v>26</v>
      </c>
      <c r="G223">
        <v>15</v>
      </c>
      <c r="H223">
        <v>391260</v>
      </c>
      <c r="I223" s="5">
        <f>IFERROR(VLOOKUP(TrendSheetStgData[Population]&amp;TrendSheetStgData[Cost Basis]&amp;TrendSheetStgData[Period]&amp;TrendSheetStgData[Trend],TrendSheetPrdData[#All],9,FALSE),0)</f>
        <v>399808</v>
      </c>
      <c r="J2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2.1380262526012488</v>
      </c>
      <c r="K223" s="5">
        <f>VLOOKUP(TrendSheetStgData[Population]&amp;TrendSheetStgData[Trend],Threshold[#All],4,FALSE)</f>
        <v>10</v>
      </c>
      <c r="L223" s="5">
        <f>VLOOKUP(TrendSheetStgData[Population]&amp;TrendSheetStgData[Trend],Threshold[#All],5,FALSE)</f>
        <v>5</v>
      </c>
      <c r="M2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4" spans="1:13" x14ac:dyDescent="0.25">
      <c r="A224" t="s">
        <v>90</v>
      </c>
      <c r="B224" t="s">
        <v>90</v>
      </c>
      <c r="C224" t="s">
        <v>91</v>
      </c>
      <c r="D224" s="1" t="s">
        <v>105</v>
      </c>
      <c r="E224" t="s">
        <v>106</v>
      </c>
      <c r="F224" t="s">
        <v>26</v>
      </c>
      <c r="G224">
        <v>15</v>
      </c>
      <c r="H224">
        <v>423120</v>
      </c>
      <c r="I224" s="5">
        <f>IFERROR(VLOOKUP(TrendSheetStgData[Population]&amp;TrendSheetStgData[Cost Basis]&amp;TrendSheetStgData[Period]&amp;TrendSheetStgData[Trend],TrendSheetPrdData[#All],9,FALSE),0)</f>
        <v>431107</v>
      </c>
      <c r="J2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1.8526723064111694</v>
      </c>
      <c r="K224" s="5">
        <f>VLOOKUP(TrendSheetStgData[Population]&amp;TrendSheetStgData[Trend],Threshold[#All],4,FALSE)</f>
        <v>10</v>
      </c>
      <c r="L224" s="5">
        <f>VLOOKUP(TrendSheetStgData[Population]&amp;TrendSheetStgData[Trend],Threshold[#All],5,FALSE)</f>
        <v>5</v>
      </c>
      <c r="M2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5" spans="1:13" x14ac:dyDescent="0.25">
      <c r="A225" t="s">
        <v>90</v>
      </c>
      <c r="B225" t="s">
        <v>90</v>
      </c>
      <c r="C225" t="s">
        <v>91</v>
      </c>
      <c r="D225" s="1" t="s">
        <v>107</v>
      </c>
      <c r="E225" t="s">
        <v>106</v>
      </c>
      <c r="F225" t="s">
        <v>26</v>
      </c>
      <c r="G225">
        <v>15</v>
      </c>
      <c r="H225">
        <v>406236</v>
      </c>
      <c r="I225" s="5">
        <f>IFERROR(VLOOKUP(TrendSheetStgData[Population]&amp;TrendSheetStgData[Cost Basis]&amp;TrendSheetStgData[Period]&amp;TrendSheetStgData[Trend],TrendSheetPrdData[#All],9,FALSE),0)</f>
        <v>318509</v>
      </c>
      <c r="J2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27.543020762364645</v>
      </c>
      <c r="K225" s="5">
        <f>VLOOKUP(TrendSheetStgData[Population]&amp;TrendSheetStgData[Trend],Threshold[#All],4,FALSE)</f>
        <v>10</v>
      </c>
      <c r="L225" s="5">
        <f>VLOOKUP(TrendSheetStgData[Population]&amp;TrendSheetStgData[Trend],Threshold[#All],5,FALSE)</f>
        <v>5</v>
      </c>
      <c r="M2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6" spans="1:13" x14ac:dyDescent="0.25">
      <c r="A226" t="s">
        <v>90</v>
      </c>
      <c r="B226" t="s">
        <v>90</v>
      </c>
      <c r="C226" t="s">
        <v>91</v>
      </c>
      <c r="D226" s="1" t="s">
        <v>108</v>
      </c>
      <c r="E226" t="s">
        <v>106</v>
      </c>
      <c r="F226" t="s">
        <v>26</v>
      </c>
      <c r="G226">
        <v>15</v>
      </c>
      <c r="H226">
        <v>245154</v>
      </c>
      <c r="I226" s="5">
        <f>IFERROR(VLOOKUP(TrendSheetStgData[Population]&amp;TrendSheetStgData[Cost Basis]&amp;TrendSheetStgData[Period]&amp;TrendSheetStgData[Trend],TrendSheetPrdData[#All],9,FALSE),0)</f>
        <v>0</v>
      </c>
      <c r="J2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26" s="5">
        <f>VLOOKUP(TrendSheetStgData[Population]&amp;TrendSheetStgData[Trend],Threshold[#All],4,FALSE)</f>
        <v>10</v>
      </c>
      <c r="L226" s="5">
        <f>VLOOKUP(TrendSheetStgData[Population]&amp;TrendSheetStgData[Trend],Threshold[#All],5,FALSE)</f>
        <v>5</v>
      </c>
      <c r="M2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7" spans="1:13" x14ac:dyDescent="0.25">
      <c r="A227" t="s">
        <v>90</v>
      </c>
      <c r="B227" t="s">
        <v>90</v>
      </c>
      <c r="C227" t="s">
        <v>91</v>
      </c>
      <c r="D227" s="1" t="s">
        <v>92</v>
      </c>
      <c r="E227" t="s">
        <v>93</v>
      </c>
      <c r="F227" t="s">
        <v>27</v>
      </c>
      <c r="G227">
        <v>16</v>
      </c>
      <c r="H227">
        <v>0.76</v>
      </c>
      <c r="I227" s="5">
        <f>IFERROR(VLOOKUP(TrendSheetStgData[Population]&amp;TrendSheetStgData[Cost Basis]&amp;TrendSheetStgData[Period]&amp;TrendSheetStgData[Trend],TrendSheetPrdData[#All],9,FALSE),0)</f>
        <v>0.76</v>
      </c>
      <c r="J2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 s="5">
        <f>VLOOKUP(TrendSheetStgData[Population]&amp;TrendSheetStgData[Trend],Threshold[#All],4,FALSE)</f>
        <v>10</v>
      </c>
      <c r="L227" s="5">
        <f>VLOOKUP(TrendSheetStgData[Population]&amp;TrendSheetStgData[Trend],Threshold[#All],5,FALSE)</f>
        <v>5</v>
      </c>
      <c r="M2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8" spans="1:13" x14ac:dyDescent="0.25">
      <c r="A228" t="s">
        <v>90</v>
      </c>
      <c r="B228" t="s">
        <v>90</v>
      </c>
      <c r="C228" t="s">
        <v>91</v>
      </c>
      <c r="D228" s="1" t="s">
        <v>94</v>
      </c>
      <c r="E228" t="s">
        <v>93</v>
      </c>
      <c r="F228" t="s">
        <v>27</v>
      </c>
      <c r="G228">
        <v>16</v>
      </c>
      <c r="H228">
        <v>0.78</v>
      </c>
      <c r="I228" s="5">
        <f>IFERROR(VLOOKUP(TrendSheetStgData[Population]&amp;TrendSheetStgData[Cost Basis]&amp;TrendSheetStgData[Period]&amp;TrendSheetStgData[Trend],TrendSheetPrdData[#All],9,FALSE),0)</f>
        <v>0.78</v>
      </c>
      <c r="J2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8" s="5">
        <f>VLOOKUP(TrendSheetStgData[Population]&amp;TrendSheetStgData[Trend],Threshold[#All],4,FALSE)</f>
        <v>10</v>
      </c>
      <c r="L228" s="5">
        <f>VLOOKUP(TrendSheetStgData[Population]&amp;TrendSheetStgData[Trend],Threshold[#All],5,FALSE)</f>
        <v>5</v>
      </c>
      <c r="M2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 spans="1:13" x14ac:dyDescent="0.25">
      <c r="A229" t="s">
        <v>90</v>
      </c>
      <c r="B229" t="s">
        <v>90</v>
      </c>
      <c r="C229" t="s">
        <v>91</v>
      </c>
      <c r="D229" s="1" t="s">
        <v>95</v>
      </c>
      <c r="E229" t="s">
        <v>93</v>
      </c>
      <c r="F229" t="s">
        <v>27</v>
      </c>
      <c r="G229">
        <v>16</v>
      </c>
      <c r="H229">
        <v>0.8</v>
      </c>
      <c r="I229" s="5">
        <f>IFERROR(VLOOKUP(TrendSheetStgData[Population]&amp;TrendSheetStgData[Cost Basis]&amp;TrendSheetStgData[Period]&amp;TrendSheetStgData[Trend],TrendSheetPrdData[#All],9,FALSE),0)</f>
        <v>0.8</v>
      </c>
      <c r="J2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 s="5">
        <f>VLOOKUP(TrendSheetStgData[Population]&amp;TrendSheetStgData[Trend],Threshold[#All],4,FALSE)</f>
        <v>10</v>
      </c>
      <c r="L229" s="5">
        <f>VLOOKUP(TrendSheetStgData[Population]&amp;TrendSheetStgData[Trend],Threshold[#All],5,FALSE)</f>
        <v>5</v>
      </c>
      <c r="M2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0" spans="1:13" x14ac:dyDescent="0.25">
      <c r="A230" t="s">
        <v>90</v>
      </c>
      <c r="B230" t="s">
        <v>90</v>
      </c>
      <c r="C230" t="s">
        <v>91</v>
      </c>
      <c r="D230" s="1" t="s">
        <v>96</v>
      </c>
      <c r="E230" t="s">
        <v>93</v>
      </c>
      <c r="F230" t="s">
        <v>27</v>
      </c>
      <c r="G230">
        <v>16</v>
      </c>
      <c r="H230">
        <v>0.8</v>
      </c>
      <c r="I230" s="5">
        <f>IFERROR(VLOOKUP(TrendSheetStgData[Population]&amp;TrendSheetStgData[Cost Basis]&amp;TrendSheetStgData[Period]&amp;TrendSheetStgData[Trend],TrendSheetPrdData[#All],9,FALSE),0)</f>
        <v>0.8</v>
      </c>
      <c r="J2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0" s="5">
        <f>VLOOKUP(TrendSheetStgData[Population]&amp;TrendSheetStgData[Trend],Threshold[#All],4,FALSE)</f>
        <v>10</v>
      </c>
      <c r="L230" s="5">
        <f>VLOOKUP(TrendSheetStgData[Population]&amp;TrendSheetStgData[Trend],Threshold[#All],5,FALSE)</f>
        <v>5</v>
      </c>
      <c r="M2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1" spans="1:13" x14ac:dyDescent="0.25">
      <c r="A231" t="s">
        <v>90</v>
      </c>
      <c r="B231" t="s">
        <v>90</v>
      </c>
      <c r="C231" t="s">
        <v>91</v>
      </c>
      <c r="D231" s="1" t="s">
        <v>97</v>
      </c>
      <c r="E231" t="s">
        <v>93</v>
      </c>
      <c r="F231" t="s">
        <v>27</v>
      </c>
      <c r="G231">
        <v>16</v>
      </c>
      <c r="H231">
        <v>0.79</v>
      </c>
      <c r="I231" s="5">
        <f>IFERROR(VLOOKUP(TrendSheetStgData[Population]&amp;TrendSheetStgData[Cost Basis]&amp;TrendSheetStgData[Period]&amp;TrendSheetStgData[Trend],TrendSheetPrdData[#All],9,FALSE),0)</f>
        <v>0.79</v>
      </c>
      <c r="J2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1" s="5">
        <f>VLOOKUP(TrendSheetStgData[Population]&amp;TrendSheetStgData[Trend],Threshold[#All],4,FALSE)</f>
        <v>10</v>
      </c>
      <c r="L231" s="5">
        <f>VLOOKUP(TrendSheetStgData[Population]&amp;TrendSheetStgData[Trend],Threshold[#All],5,FALSE)</f>
        <v>5</v>
      </c>
      <c r="M2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 spans="1:13" x14ac:dyDescent="0.25">
      <c r="A232" t="s">
        <v>90</v>
      </c>
      <c r="B232" t="s">
        <v>90</v>
      </c>
      <c r="C232" t="s">
        <v>91</v>
      </c>
      <c r="D232" s="1" t="s">
        <v>98</v>
      </c>
      <c r="E232" t="s">
        <v>93</v>
      </c>
      <c r="F232" t="s">
        <v>27</v>
      </c>
      <c r="G232">
        <v>16</v>
      </c>
      <c r="H232">
        <v>0.81</v>
      </c>
      <c r="I232" s="5">
        <f>IFERROR(VLOOKUP(TrendSheetStgData[Population]&amp;TrendSheetStgData[Cost Basis]&amp;TrendSheetStgData[Period]&amp;TrendSheetStgData[Trend],TrendSheetPrdData[#All],9,FALSE),0)</f>
        <v>0.81</v>
      </c>
      <c r="J2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 s="5">
        <f>VLOOKUP(TrendSheetStgData[Population]&amp;TrendSheetStgData[Trend],Threshold[#All],4,FALSE)</f>
        <v>10</v>
      </c>
      <c r="L232" s="5">
        <f>VLOOKUP(TrendSheetStgData[Population]&amp;TrendSheetStgData[Trend],Threshold[#All],5,FALSE)</f>
        <v>5</v>
      </c>
      <c r="M2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3" spans="1:13" x14ac:dyDescent="0.25">
      <c r="A233" t="s">
        <v>90</v>
      </c>
      <c r="B233" t="s">
        <v>90</v>
      </c>
      <c r="C233" t="s">
        <v>91</v>
      </c>
      <c r="D233" s="1" t="s">
        <v>99</v>
      </c>
      <c r="E233" t="s">
        <v>93</v>
      </c>
      <c r="F233" t="s">
        <v>27</v>
      </c>
      <c r="G233">
        <v>16</v>
      </c>
      <c r="H233">
        <v>0.8</v>
      </c>
      <c r="I233" s="5">
        <f>IFERROR(VLOOKUP(TrendSheetStgData[Population]&amp;TrendSheetStgData[Cost Basis]&amp;TrendSheetStgData[Period]&amp;TrendSheetStgData[Trend],TrendSheetPrdData[#All],9,FALSE),0)</f>
        <v>0.8</v>
      </c>
      <c r="J2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 s="5">
        <f>VLOOKUP(TrendSheetStgData[Population]&amp;TrendSheetStgData[Trend],Threshold[#All],4,FALSE)</f>
        <v>10</v>
      </c>
      <c r="L233" s="5">
        <f>VLOOKUP(TrendSheetStgData[Population]&amp;TrendSheetStgData[Trend],Threshold[#All],5,FALSE)</f>
        <v>5</v>
      </c>
      <c r="M2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4" spans="1:13" x14ac:dyDescent="0.25">
      <c r="A234" t="s">
        <v>90</v>
      </c>
      <c r="B234" t="s">
        <v>90</v>
      </c>
      <c r="C234" t="s">
        <v>91</v>
      </c>
      <c r="D234" s="1" t="s">
        <v>100</v>
      </c>
      <c r="E234" t="s">
        <v>93</v>
      </c>
      <c r="F234" t="s">
        <v>27</v>
      </c>
      <c r="G234">
        <v>16</v>
      </c>
      <c r="H234">
        <v>0.79</v>
      </c>
      <c r="I234" s="5">
        <f>IFERROR(VLOOKUP(TrendSheetStgData[Population]&amp;TrendSheetStgData[Cost Basis]&amp;TrendSheetStgData[Period]&amp;TrendSheetStgData[Trend],TrendSheetPrdData[#All],9,FALSE),0)</f>
        <v>0.79</v>
      </c>
      <c r="J2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4" s="5">
        <f>VLOOKUP(TrendSheetStgData[Population]&amp;TrendSheetStgData[Trend],Threshold[#All],4,FALSE)</f>
        <v>10</v>
      </c>
      <c r="L234" s="5">
        <f>VLOOKUP(TrendSheetStgData[Population]&amp;TrendSheetStgData[Trend],Threshold[#All],5,FALSE)</f>
        <v>5</v>
      </c>
      <c r="M2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5" spans="1:13" x14ac:dyDescent="0.25">
      <c r="A235" t="s">
        <v>90</v>
      </c>
      <c r="B235" t="s">
        <v>90</v>
      </c>
      <c r="C235" t="s">
        <v>91</v>
      </c>
      <c r="D235" s="1" t="s">
        <v>101</v>
      </c>
      <c r="E235" t="s">
        <v>93</v>
      </c>
      <c r="F235" t="s">
        <v>27</v>
      </c>
      <c r="G235">
        <v>16</v>
      </c>
      <c r="H235">
        <v>0.79</v>
      </c>
      <c r="I235" s="5">
        <f>IFERROR(VLOOKUP(TrendSheetStgData[Population]&amp;TrendSheetStgData[Cost Basis]&amp;TrendSheetStgData[Period]&amp;TrendSheetStgData[Trend],TrendSheetPrdData[#All],9,FALSE),0)</f>
        <v>0.79</v>
      </c>
      <c r="J2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5" s="5">
        <f>VLOOKUP(TrendSheetStgData[Population]&amp;TrendSheetStgData[Trend],Threshold[#All],4,FALSE)</f>
        <v>10</v>
      </c>
      <c r="L235" s="5">
        <f>VLOOKUP(TrendSheetStgData[Population]&amp;TrendSheetStgData[Trend],Threshold[#All],5,FALSE)</f>
        <v>5</v>
      </c>
      <c r="M2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6" spans="1:13" x14ac:dyDescent="0.25">
      <c r="A236" t="s">
        <v>90</v>
      </c>
      <c r="B236" t="s">
        <v>90</v>
      </c>
      <c r="C236" t="s">
        <v>91</v>
      </c>
      <c r="D236" s="1" t="s">
        <v>102</v>
      </c>
      <c r="E236" t="s">
        <v>93</v>
      </c>
      <c r="F236" t="s">
        <v>27</v>
      </c>
      <c r="G236">
        <v>16</v>
      </c>
      <c r="H236">
        <v>0.82</v>
      </c>
      <c r="I236" s="5">
        <f>IFERROR(VLOOKUP(TrendSheetStgData[Population]&amp;TrendSheetStgData[Cost Basis]&amp;TrendSheetStgData[Period]&amp;TrendSheetStgData[Trend],TrendSheetPrdData[#All],9,FALSE),0)</f>
        <v>0.82</v>
      </c>
      <c r="J2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6" s="5">
        <f>VLOOKUP(TrendSheetStgData[Population]&amp;TrendSheetStgData[Trend],Threshold[#All],4,FALSE)</f>
        <v>10</v>
      </c>
      <c r="L236" s="5">
        <f>VLOOKUP(TrendSheetStgData[Population]&amp;TrendSheetStgData[Trend],Threshold[#All],5,FALSE)</f>
        <v>5</v>
      </c>
      <c r="M2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7" spans="1:13" x14ac:dyDescent="0.25">
      <c r="A237" t="s">
        <v>90</v>
      </c>
      <c r="B237" t="s">
        <v>90</v>
      </c>
      <c r="C237" t="s">
        <v>91</v>
      </c>
      <c r="D237" s="1" t="s">
        <v>103</v>
      </c>
      <c r="E237" t="s">
        <v>93</v>
      </c>
      <c r="F237" t="s">
        <v>27</v>
      </c>
      <c r="G237">
        <v>16</v>
      </c>
      <c r="H237">
        <v>0.79</v>
      </c>
      <c r="I237" s="5">
        <f>IFERROR(VLOOKUP(TrendSheetStgData[Population]&amp;TrendSheetStgData[Cost Basis]&amp;TrendSheetStgData[Period]&amp;TrendSheetStgData[Trend],TrendSheetPrdData[#All],9,FALSE),0)</f>
        <v>0.79</v>
      </c>
      <c r="J2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7" s="5">
        <f>VLOOKUP(TrendSheetStgData[Population]&amp;TrendSheetStgData[Trend],Threshold[#All],4,FALSE)</f>
        <v>10</v>
      </c>
      <c r="L237" s="5">
        <f>VLOOKUP(TrendSheetStgData[Population]&amp;TrendSheetStgData[Trend],Threshold[#All],5,FALSE)</f>
        <v>5</v>
      </c>
      <c r="M2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8" spans="1:13" x14ac:dyDescent="0.25">
      <c r="A238" t="s">
        <v>90</v>
      </c>
      <c r="B238" t="s">
        <v>90</v>
      </c>
      <c r="C238" t="s">
        <v>91</v>
      </c>
      <c r="D238" s="1" t="s">
        <v>104</v>
      </c>
      <c r="E238" t="s">
        <v>93</v>
      </c>
      <c r="F238" t="s">
        <v>27</v>
      </c>
      <c r="G238">
        <v>16</v>
      </c>
      <c r="H238">
        <v>0.79</v>
      </c>
      <c r="I238" s="5">
        <f>IFERROR(VLOOKUP(TrendSheetStgData[Population]&amp;TrendSheetStgData[Cost Basis]&amp;TrendSheetStgData[Period]&amp;TrendSheetStgData[Trend],TrendSheetPrdData[#All],9,FALSE),0)</f>
        <v>0.79</v>
      </c>
      <c r="J2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8" s="5">
        <f>VLOOKUP(TrendSheetStgData[Population]&amp;TrendSheetStgData[Trend],Threshold[#All],4,FALSE)</f>
        <v>10</v>
      </c>
      <c r="L238" s="5">
        <f>VLOOKUP(TrendSheetStgData[Population]&amp;TrendSheetStgData[Trend],Threshold[#All],5,FALSE)</f>
        <v>5</v>
      </c>
      <c r="M2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9" spans="1:13" x14ac:dyDescent="0.25">
      <c r="A239" t="s">
        <v>90</v>
      </c>
      <c r="B239" t="s">
        <v>90</v>
      </c>
      <c r="C239" t="s">
        <v>91</v>
      </c>
      <c r="D239" s="1" t="s">
        <v>105</v>
      </c>
      <c r="E239" t="s">
        <v>106</v>
      </c>
      <c r="F239" t="s">
        <v>27</v>
      </c>
      <c r="G239">
        <v>16</v>
      </c>
      <c r="H239">
        <v>0.81</v>
      </c>
      <c r="I239" s="5">
        <f>IFERROR(VLOOKUP(TrendSheetStgData[Population]&amp;TrendSheetStgData[Cost Basis]&amp;TrendSheetStgData[Period]&amp;TrendSheetStgData[Trend],TrendSheetPrdData[#All],9,FALSE),0)</f>
        <v>0.82</v>
      </c>
      <c r="J2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1.2195121951219388</v>
      </c>
      <c r="K239" s="5">
        <f>VLOOKUP(TrendSheetStgData[Population]&amp;TrendSheetStgData[Trend],Threshold[#All],4,FALSE)</f>
        <v>10</v>
      </c>
      <c r="L239" s="5">
        <f>VLOOKUP(TrendSheetStgData[Population]&amp;TrendSheetStgData[Trend],Threshold[#All],5,FALSE)</f>
        <v>5</v>
      </c>
      <c r="M2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0" spans="1:13" x14ac:dyDescent="0.25">
      <c r="A240" t="s">
        <v>90</v>
      </c>
      <c r="B240" t="s">
        <v>90</v>
      </c>
      <c r="C240" t="s">
        <v>91</v>
      </c>
      <c r="D240" s="1" t="s">
        <v>107</v>
      </c>
      <c r="E240" t="s">
        <v>106</v>
      </c>
      <c r="F240" t="s">
        <v>27</v>
      </c>
      <c r="G240">
        <v>16</v>
      </c>
      <c r="H240">
        <v>0.81</v>
      </c>
      <c r="I240" s="5">
        <f>IFERROR(VLOOKUP(TrendSheetStgData[Population]&amp;TrendSheetStgData[Cost Basis]&amp;TrendSheetStgData[Period]&amp;TrendSheetStgData[Trend],TrendSheetPrdData[#All],9,FALSE),0)</f>
        <v>0.82</v>
      </c>
      <c r="J2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1.2195121951219388</v>
      </c>
      <c r="K240" s="5">
        <f>VLOOKUP(TrendSheetStgData[Population]&amp;TrendSheetStgData[Trend],Threshold[#All],4,FALSE)</f>
        <v>10</v>
      </c>
      <c r="L240" s="5">
        <f>VLOOKUP(TrendSheetStgData[Population]&amp;TrendSheetStgData[Trend],Threshold[#All],5,FALSE)</f>
        <v>5</v>
      </c>
      <c r="M2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1" spans="1:13" x14ac:dyDescent="0.25">
      <c r="A241" t="s">
        <v>90</v>
      </c>
      <c r="B241" t="s">
        <v>90</v>
      </c>
      <c r="C241" t="s">
        <v>91</v>
      </c>
      <c r="D241" s="1" t="s">
        <v>108</v>
      </c>
      <c r="E241" t="s">
        <v>106</v>
      </c>
      <c r="F241" t="s">
        <v>27</v>
      </c>
      <c r="G241">
        <v>16</v>
      </c>
      <c r="H241">
        <v>0.78</v>
      </c>
      <c r="I241" s="5">
        <f>IFERROR(VLOOKUP(TrendSheetStgData[Population]&amp;TrendSheetStgData[Cost Basis]&amp;TrendSheetStgData[Period]&amp;TrendSheetStgData[Trend],TrendSheetPrdData[#All],9,FALSE),0)</f>
        <v>0</v>
      </c>
      <c r="J2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41" s="5">
        <f>VLOOKUP(TrendSheetStgData[Population]&amp;TrendSheetStgData[Trend],Threshold[#All],4,FALSE)</f>
        <v>10</v>
      </c>
      <c r="L241" s="5">
        <f>VLOOKUP(TrendSheetStgData[Population]&amp;TrendSheetStgData[Trend],Threshold[#All],5,FALSE)</f>
        <v>5</v>
      </c>
      <c r="M2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2" spans="1:13" x14ac:dyDescent="0.25">
      <c r="A242" t="s">
        <v>90</v>
      </c>
      <c r="B242" t="s">
        <v>90</v>
      </c>
      <c r="C242" t="s">
        <v>91</v>
      </c>
      <c r="D242" s="1" t="s">
        <v>92</v>
      </c>
      <c r="E242" t="s">
        <v>93</v>
      </c>
      <c r="F242" t="s">
        <v>28</v>
      </c>
      <c r="G242">
        <v>17</v>
      </c>
      <c r="H242">
        <v>1019976</v>
      </c>
      <c r="I242" s="5">
        <f>IFERROR(VLOOKUP(TrendSheetStgData[Population]&amp;TrendSheetStgData[Cost Basis]&amp;TrendSheetStgData[Period]&amp;TrendSheetStgData[Trend],TrendSheetPrdData[#All],9,FALSE),0)</f>
        <v>1006506</v>
      </c>
      <c r="J2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1.3382930653170473</v>
      </c>
      <c r="K242" s="5">
        <f>VLOOKUP(TrendSheetStgData[Population]&amp;TrendSheetStgData[Trend],Threshold[#All],4,FALSE)</f>
        <v>10</v>
      </c>
      <c r="L242" s="5">
        <f>VLOOKUP(TrendSheetStgData[Population]&amp;TrendSheetStgData[Trend],Threshold[#All],5,FALSE)</f>
        <v>5</v>
      </c>
      <c r="M2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3" spans="1:13" x14ac:dyDescent="0.25">
      <c r="A243" t="s">
        <v>90</v>
      </c>
      <c r="B243" t="s">
        <v>90</v>
      </c>
      <c r="C243" t="s">
        <v>91</v>
      </c>
      <c r="D243" s="1" t="s">
        <v>94</v>
      </c>
      <c r="E243" t="s">
        <v>93</v>
      </c>
      <c r="F243" t="s">
        <v>28</v>
      </c>
      <c r="G243">
        <v>17</v>
      </c>
      <c r="H243">
        <v>913915</v>
      </c>
      <c r="I243" s="5">
        <f>IFERROR(VLOOKUP(TrendSheetStgData[Population]&amp;TrendSheetStgData[Cost Basis]&amp;TrendSheetStgData[Period]&amp;TrendSheetStgData[Trend],TrendSheetPrdData[#All],9,FALSE),0)</f>
        <v>909257</v>
      </c>
      <c r="J2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0.51228640527375646</v>
      </c>
      <c r="K243" s="5">
        <f>VLOOKUP(TrendSheetStgData[Population]&amp;TrendSheetStgData[Trend],Threshold[#All],4,FALSE)</f>
        <v>10</v>
      </c>
      <c r="L243" s="5">
        <f>VLOOKUP(TrendSheetStgData[Population]&amp;TrendSheetStgData[Trend],Threshold[#All],5,FALSE)</f>
        <v>5</v>
      </c>
      <c r="M2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4" spans="1:13" x14ac:dyDescent="0.25">
      <c r="A244" t="s">
        <v>90</v>
      </c>
      <c r="B244" t="s">
        <v>90</v>
      </c>
      <c r="C244" t="s">
        <v>91</v>
      </c>
      <c r="D244" s="1" t="s">
        <v>95</v>
      </c>
      <c r="E244" t="s">
        <v>93</v>
      </c>
      <c r="F244" t="s">
        <v>28</v>
      </c>
      <c r="G244">
        <v>17</v>
      </c>
      <c r="H244">
        <v>1173314</v>
      </c>
      <c r="I244" s="5">
        <f>IFERROR(VLOOKUP(TrendSheetStgData[Population]&amp;TrendSheetStgData[Cost Basis]&amp;TrendSheetStgData[Period]&amp;TrendSheetStgData[Trend],TrendSheetPrdData[#All],9,FALSE),0)</f>
        <v>1147899</v>
      </c>
      <c r="J2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2.2140449638861956</v>
      </c>
      <c r="K244" s="5">
        <f>VLOOKUP(TrendSheetStgData[Population]&amp;TrendSheetStgData[Trend],Threshold[#All],4,FALSE)</f>
        <v>10</v>
      </c>
      <c r="L244" s="5">
        <f>VLOOKUP(TrendSheetStgData[Population]&amp;TrendSheetStgData[Trend],Threshold[#All],5,FALSE)</f>
        <v>5</v>
      </c>
      <c r="M2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5" spans="1:13" x14ac:dyDescent="0.25">
      <c r="A245" t="s">
        <v>90</v>
      </c>
      <c r="B245" t="s">
        <v>90</v>
      </c>
      <c r="C245" t="s">
        <v>91</v>
      </c>
      <c r="D245" s="1" t="s">
        <v>96</v>
      </c>
      <c r="E245" t="s">
        <v>93</v>
      </c>
      <c r="F245" t="s">
        <v>28</v>
      </c>
      <c r="G245">
        <v>17</v>
      </c>
      <c r="H245">
        <v>1134016</v>
      </c>
      <c r="I245" s="5">
        <f>IFERROR(VLOOKUP(TrendSheetStgData[Population]&amp;TrendSheetStgData[Cost Basis]&amp;TrendSheetStgData[Period]&amp;TrendSheetStgData[Trend],TrendSheetPrdData[#All],9,FALSE),0)</f>
        <v>1122078</v>
      </c>
      <c r="J2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1.0639189075982241</v>
      </c>
      <c r="K245" s="5">
        <f>VLOOKUP(TrendSheetStgData[Population]&amp;TrendSheetStgData[Trend],Threshold[#All],4,FALSE)</f>
        <v>10</v>
      </c>
      <c r="L245" s="5">
        <f>VLOOKUP(TrendSheetStgData[Population]&amp;TrendSheetStgData[Trend],Threshold[#All],5,FALSE)</f>
        <v>5</v>
      </c>
      <c r="M2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6" spans="1:13" x14ac:dyDescent="0.25">
      <c r="A246" t="s">
        <v>90</v>
      </c>
      <c r="B246" t="s">
        <v>90</v>
      </c>
      <c r="C246" t="s">
        <v>91</v>
      </c>
      <c r="D246" s="1" t="s">
        <v>97</v>
      </c>
      <c r="E246" t="s">
        <v>93</v>
      </c>
      <c r="F246" t="s">
        <v>28</v>
      </c>
      <c r="G246">
        <v>17</v>
      </c>
      <c r="H246">
        <v>1218080</v>
      </c>
      <c r="I246" s="5">
        <f>IFERROR(VLOOKUP(TrendSheetStgData[Population]&amp;TrendSheetStgData[Cost Basis]&amp;TrendSheetStgData[Period]&amp;TrendSheetStgData[Trend],TrendSheetPrdData[#All],9,FALSE),0)</f>
        <v>1146177</v>
      </c>
      <c r="J2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6.2732893785165817</v>
      </c>
      <c r="K246" s="5">
        <f>VLOOKUP(TrendSheetStgData[Population]&amp;TrendSheetStgData[Trend],Threshold[#All],4,FALSE)</f>
        <v>10</v>
      </c>
      <c r="L246" s="5">
        <f>VLOOKUP(TrendSheetStgData[Population]&amp;TrendSheetStgData[Trend],Threshold[#All],5,FALSE)</f>
        <v>5</v>
      </c>
      <c r="M2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47" spans="1:13" x14ac:dyDescent="0.25">
      <c r="A247" t="s">
        <v>90</v>
      </c>
      <c r="B247" t="s">
        <v>90</v>
      </c>
      <c r="C247" t="s">
        <v>91</v>
      </c>
      <c r="D247" s="1" t="s">
        <v>98</v>
      </c>
      <c r="E247" t="s">
        <v>93</v>
      </c>
      <c r="F247" t="s">
        <v>28</v>
      </c>
      <c r="G247">
        <v>17</v>
      </c>
      <c r="H247">
        <v>858580</v>
      </c>
      <c r="I247" s="5">
        <f>IFERROR(VLOOKUP(TrendSheetStgData[Population]&amp;TrendSheetStgData[Cost Basis]&amp;TrendSheetStgData[Period]&amp;TrendSheetStgData[Trend],TrendSheetPrdData[#All],9,FALSE),0)</f>
        <v>844618</v>
      </c>
      <c r="J2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1.653054990540102</v>
      </c>
      <c r="K247" s="5">
        <f>VLOOKUP(TrendSheetStgData[Population]&amp;TrendSheetStgData[Trend],Threshold[#All],4,FALSE)</f>
        <v>10</v>
      </c>
      <c r="L247" s="5">
        <f>VLOOKUP(TrendSheetStgData[Population]&amp;TrendSheetStgData[Trend],Threshold[#All],5,FALSE)</f>
        <v>5</v>
      </c>
      <c r="M2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8" spans="1:13" x14ac:dyDescent="0.25">
      <c r="A248" t="s">
        <v>90</v>
      </c>
      <c r="B248" t="s">
        <v>90</v>
      </c>
      <c r="C248" t="s">
        <v>91</v>
      </c>
      <c r="D248" s="1" t="s">
        <v>99</v>
      </c>
      <c r="E248" t="s">
        <v>93</v>
      </c>
      <c r="F248" t="s">
        <v>28</v>
      </c>
      <c r="G248">
        <v>17</v>
      </c>
      <c r="H248">
        <v>919607</v>
      </c>
      <c r="I248" s="5">
        <f>IFERROR(VLOOKUP(TrendSheetStgData[Population]&amp;TrendSheetStgData[Cost Basis]&amp;TrendSheetStgData[Period]&amp;TrendSheetStgData[Trend],TrendSheetPrdData[#All],9,FALSE),0)</f>
        <v>909371</v>
      </c>
      <c r="J2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1.1256131985735196</v>
      </c>
      <c r="K248" s="5">
        <f>VLOOKUP(TrendSheetStgData[Population]&amp;TrendSheetStgData[Trend],Threshold[#All],4,FALSE)</f>
        <v>10</v>
      </c>
      <c r="L248" s="5">
        <f>VLOOKUP(TrendSheetStgData[Population]&amp;TrendSheetStgData[Trend],Threshold[#All],5,FALSE)</f>
        <v>5</v>
      </c>
      <c r="M2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9" spans="1:13" x14ac:dyDescent="0.25">
      <c r="A249" t="s">
        <v>90</v>
      </c>
      <c r="B249" t="s">
        <v>90</v>
      </c>
      <c r="C249" t="s">
        <v>91</v>
      </c>
      <c r="D249" s="1" t="s">
        <v>100</v>
      </c>
      <c r="E249" t="s">
        <v>93</v>
      </c>
      <c r="F249" t="s">
        <v>28</v>
      </c>
      <c r="G249">
        <v>17</v>
      </c>
      <c r="H249">
        <v>1080257</v>
      </c>
      <c r="I249" s="5">
        <f>IFERROR(VLOOKUP(TrendSheetStgData[Population]&amp;TrendSheetStgData[Cost Basis]&amp;TrendSheetStgData[Period]&amp;TrendSheetStgData[Trend],TrendSheetPrdData[#All],9,FALSE),0)</f>
        <v>1088423</v>
      </c>
      <c r="J2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0.75025977951586831</v>
      </c>
      <c r="K249" s="5">
        <f>VLOOKUP(TrendSheetStgData[Population]&amp;TrendSheetStgData[Trend],Threshold[#All],4,FALSE)</f>
        <v>10</v>
      </c>
      <c r="L249" s="5">
        <f>VLOOKUP(TrendSheetStgData[Population]&amp;TrendSheetStgData[Trend],Threshold[#All],5,FALSE)</f>
        <v>5</v>
      </c>
      <c r="M2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0" spans="1:13" x14ac:dyDescent="0.25">
      <c r="A250" t="s">
        <v>90</v>
      </c>
      <c r="B250" t="s">
        <v>90</v>
      </c>
      <c r="C250" t="s">
        <v>91</v>
      </c>
      <c r="D250" s="1" t="s">
        <v>101</v>
      </c>
      <c r="E250" t="s">
        <v>93</v>
      </c>
      <c r="F250" t="s">
        <v>28</v>
      </c>
      <c r="G250">
        <v>17</v>
      </c>
      <c r="H250">
        <v>1003766</v>
      </c>
      <c r="I250" s="5">
        <f>IFERROR(VLOOKUP(TrendSheetStgData[Population]&amp;TrendSheetStgData[Cost Basis]&amp;TrendSheetStgData[Period]&amp;TrendSheetStgData[Trend],TrendSheetPrdData[#All],9,FALSE),0)</f>
        <v>1002540</v>
      </c>
      <c r="J2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0.12228938496219603</v>
      </c>
      <c r="K250" s="5">
        <f>VLOOKUP(TrendSheetStgData[Population]&amp;TrendSheetStgData[Trend],Threshold[#All],4,FALSE)</f>
        <v>10</v>
      </c>
      <c r="L250" s="5">
        <f>VLOOKUP(TrendSheetStgData[Population]&amp;TrendSheetStgData[Trend],Threshold[#All],5,FALSE)</f>
        <v>5</v>
      </c>
      <c r="M2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1" spans="1:13" x14ac:dyDescent="0.25">
      <c r="A251" t="s">
        <v>90</v>
      </c>
      <c r="B251" t="s">
        <v>90</v>
      </c>
      <c r="C251" t="s">
        <v>91</v>
      </c>
      <c r="D251" s="1" t="s">
        <v>102</v>
      </c>
      <c r="E251" t="s">
        <v>93</v>
      </c>
      <c r="F251" t="s">
        <v>28</v>
      </c>
      <c r="G251">
        <v>17</v>
      </c>
      <c r="H251">
        <v>1002390</v>
      </c>
      <c r="I251" s="5">
        <f>IFERROR(VLOOKUP(TrendSheetStgData[Population]&amp;TrendSheetStgData[Cost Basis]&amp;TrendSheetStgData[Period]&amp;TrendSheetStgData[Trend],TrendSheetPrdData[#All],9,FALSE),0)</f>
        <v>997863</v>
      </c>
      <c r="J2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0.45366949170377097</v>
      </c>
      <c r="K251" s="5">
        <f>VLOOKUP(TrendSheetStgData[Population]&amp;TrendSheetStgData[Trend],Threshold[#All],4,FALSE)</f>
        <v>10</v>
      </c>
      <c r="L251" s="5">
        <f>VLOOKUP(TrendSheetStgData[Population]&amp;TrendSheetStgData[Trend],Threshold[#All],5,FALSE)</f>
        <v>5</v>
      </c>
      <c r="M2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2" spans="1:13" x14ac:dyDescent="0.25">
      <c r="A252" t="s">
        <v>90</v>
      </c>
      <c r="B252" t="s">
        <v>90</v>
      </c>
      <c r="C252" t="s">
        <v>91</v>
      </c>
      <c r="D252" s="1" t="s">
        <v>103</v>
      </c>
      <c r="E252" t="s">
        <v>93</v>
      </c>
      <c r="F252" t="s">
        <v>28</v>
      </c>
      <c r="G252">
        <v>17</v>
      </c>
      <c r="H252">
        <v>869708</v>
      </c>
      <c r="I252" s="5">
        <f>IFERROR(VLOOKUP(TrendSheetStgData[Population]&amp;TrendSheetStgData[Cost Basis]&amp;TrendSheetStgData[Period]&amp;TrendSheetStgData[Trend],TrendSheetPrdData[#All],9,FALSE),0)</f>
        <v>829293</v>
      </c>
      <c r="J2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4.8734283299147583</v>
      </c>
      <c r="K252" s="5">
        <f>VLOOKUP(TrendSheetStgData[Population]&amp;TrendSheetStgData[Trend],Threshold[#All],4,FALSE)</f>
        <v>10</v>
      </c>
      <c r="L252" s="5">
        <f>VLOOKUP(TrendSheetStgData[Population]&amp;TrendSheetStgData[Trend],Threshold[#All],5,FALSE)</f>
        <v>5</v>
      </c>
      <c r="M2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3" spans="1:13" x14ac:dyDescent="0.25">
      <c r="A253" t="s">
        <v>90</v>
      </c>
      <c r="B253" t="s">
        <v>90</v>
      </c>
      <c r="C253" t="s">
        <v>91</v>
      </c>
      <c r="D253" s="1" t="s">
        <v>104</v>
      </c>
      <c r="E253" t="s">
        <v>93</v>
      </c>
      <c r="F253" t="s">
        <v>28</v>
      </c>
      <c r="G253">
        <v>17</v>
      </c>
      <c r="H253">
        <v>898440</v>
      </c>
      <c r="I253" s="5">
        <f>IFERROR(VLOOKUP(TrendSheetStgData[Population]&amp;TrendSheetStgData[Cost Basis]&amp;TrendSheetStgData[Period]&amp;TrendSheetStgData[Trend],TrendSheetPrdData[#All],9,FALSE),0)</f>
        <v>887084</v>
      </c>
      <c r="J2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1.2801493432414519</v>
      </c>
      <c r="K253" s="5">
        <f>VLOOKUP(TrendSheetStgData[Population]&amp;TrendSheetStgData[Trend],Threshold[#All],4,FALSE)</f>
        <v>10</v>
      </c>
      <c r="L253" s="5">
        <f>VLOOKUP(TrendSheetStgData[Population]&amp;TrendSheetStgData[Trend],Threshold[#All],5,FALSE)</f>
        <v>5</v>
      </c>
      <c r="M2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4" spans="1:13" x14ac:dyDescent="0.25">
      <c r="A254" t="s">
        <v>90</v>
      </c>
      <c r="B254" t="s">
        <v>90</v>
      </c>
      <c r="C254" t="s">
        <v>91</v>
      </c>
      <c r="D254" s="1" t="s">
        <v>105</v>
      </c>
      <c r="E254" t="s">
        <v>106</v>
      </c>
      <c r="F254" t="s">
        <v>28</v>
      </c>
      <c r="G254">
        <v>17</v>
      </c>
      <c r="H254">
        <v>1055882</v>
      </c>
      <c r="I254" s="5">
        <f>IFERROR(VLOOKUP(TrendSheetStgData[Population]&amp;TrendSheetStgData[Cost Basis]&amp;TrendSheetStgData[Period]&amp;TrendSheetStgData[Trend],TrendSheetPrdData[#All],9,FALSE),0)</f>
        <v>981975</v>
      </c>
      <c r="J2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7.5263626874411269</v>
      </c>
      <c r="K254" s="5">
        <f>VLOOKUP(TrendSheetStgData[Population]&amp;TrendSheetStgData[Trend],Threshold[#All],4,FALSE)</f>
        <v>10</v>
      </c>
      <c r="L254" s="5">
        <f>VLOOKUP(TrendSheetStgData[Population]&amp;TrendSheetStgData[Trend],Threshold[#All],5,FALSE)</f>
        <v>5</v>
      </c>
      <c r="M2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55" spans="1:13" x14ac:dyDescent="0.25">
      <c r="A255" t="s">
        <v>90</v>
      </c>
      <c r="B255" t="s">
        <v>90</v>
      </c>
      <c r="C255" t="s">
        <v>91</v>
      </c>
      <c r="D255" s="1" t="s">
        <v>107</v>
      </c>
      <c r="E255" t="s">
        <v>106</v>
      </c>
      <c r="F255" t="s">
        <v>28</v>
      </c>
      <c r="G255">
        <v>17</v>
      </c>
      <c r="H255">
        <v>907495</v>
      </c>
      <c r="I255" s="5">
        <f>IFERROR(VLOOKUP(TrendSheetStgData[Population]&amp;TrendSheetStgData[Cost Basis]&amp;TrendSheetStgData[Period]&amp;TrendSheetStgData[Trend],TrendSheetPrdData[#All],9,FALSE),0)</f>
        <v>453523</v>
      </c>
      <c r="J2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100.09900269666588</v>
      </c>
      <c r="K255" s="5">
        <f>VLOOKUP(TrendSheetStgData[Population]&amp;TrendSheetStgData[Trend],Threshold[#All],4,FALSE)</f>
        <v>10</v>
      </c>
      <c r="L255" s="5">
        <f>VLOOKUP(TrendSheetStgData[Population]&amp;TrendSheetStgData[Trend],Threshold[#All],5,FALSE)</f>
        <v>5</v>
      </c>
      <c r="M2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56" spans="1:13" x14ac:dyDescent="0.25">
      <c r="A256" t="s">
        <v>90</v>
      </c>
      <c r="B256" t="s">
        <v>90</v>
      </c>
      <c r="C256" t="s">
        <v>91</v>
      </c>
      <c r="D256" s="1" t="s">
        <v>108</v>
      </c>
      <c r="E256" t="s">
        <v>106</v>
      </c>
      <c r="F256" t="s">
        <v>28</v>
      </c>
      <c r="G256">
        <v>17</v>
      </c>
      <c r="H256">
        <v>513387</v>
      </c>
      <c r="I256" s="5">
        <f>IFERROR(VLOOKUP(TrendSheetStgData[Population]&amp;TrendSheetStgData[Cost Basis]&amp;TrendSheetStgData[Period]&amp;TrendSheetStgData[Trend],TrendSheetPrdData[#All],9,FALSE),0)</f>
        <v>0</v>
      </c>
      <c r="J2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56" s="5">
        <f>VLOOKUP(TrendSheetStgData[Population]&amp;TrendSheetStgData[Trend],Threshold[#All],4,FALSE)</f>
        <v>10</v>
      </c>
      <c r="L256" s="5">
        <f>VLOOKUP(TrendSheetStgData[Population]&amp;TrendSheetStgData[Trend],Threshold[#All],5,FALSE)</f>
        <v>5</v>
      </c>
      <c r="M2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57" spans="1:13" x14ac:dyDescent="0.25">
      <c r="A257" t="s">
        <v>90</v>
      </c>
      <c r="B257" t="s">
        <v>90</v>
      </c>
      <c r="C257" t="s">
        <v>91</v>
      </c>
      <c r="D257" s="1" t="s">
        <v>92</v>
      </c>
      <c r="E257" t="s">
        <v>93</v>
      </c>
      <c r="F257" t="s">
        <v>29</v>
      </c>
      <c r="G257">
        <v>18</v>
      </c>
      <c r="H257">
        <v>372.14</v>
      </c>
      <c r="I257" s="5">
        <f>IFERROR(VLOOKUP(TrendSheetStgData[Population]&amp;TrendSheetStgData[Cost Basis]&amp;TrendSheetStgData[Period]&amp;TrendSheetStgData[Trend],TrendSheetPrdData[#All],9,FALSE),0)</f>
        <v>372.14</v>
      </c>
      <c r="J2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 s="5">
        <f>VLOOKUP(TrendSheetStgData[Population]&amp;TrendSheetStgData[Trend],Threshold[#All],4,FALSE)</f>
        <v>10</v>
      </c>
      <c r="L257" s="5">
        <f>VLOOKUP(TrendSheetStgData[Population]&amp;TrendSheetStgData[Trend],Threshold[#All],5,FALSE)</f>
        <v>5</v>
      </c>
      <c r="M2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 spans="1:13" x14ac:dyDescent="0.25">
      <c r="A258" t="s">
        <v>90</v>
      </c>
      <c r="B258" t="s">
        <v>90</v>
      </c>
      <c r="C258" t="s">
        <v>91</v>
      </c>
      <c r="D258" s="1" t="s">
        <v>94</v>
      </c>
      <c r="E258" t="s">
        <v>93</v>
      </c>
      <c r="F258" t="s">
        <v>29</v>
      </c>
      <c r="G258">
        <v>18</v>
      </c>
      <c r="H258">
        <v>380.74</v>
      </c>
      <c r="I258" s="5">
        <f>IFERROR(VLOOKUP(TrendSheetStgData[Population]&amp;TrendSheetStgData[Cost Basis]&amp;TrendSheetStgData[Period]&amp;TrendSheetStgData[Trend],TrendSheetPrdData[#All],9,FALSE),0)</f>
        <v>380.74</v>
      </c>
      <c r="J2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 s="5">
        <f>VLOOKUP(TrendSheetStgData[Population]&amp;TrendSheetStgData[Trend],Threshold[#All],4,FALSE)</f>
        <v>10</v>
      </c>
      <c r="L258" s="5">
        <f>VLOOKUP(TrendSheetStgData[Population]&amp;TrendSheetStgData[Trend],Threshold[#All],5,FALSE)</f>
        <v>5</v>
      </c>
      <c r="M2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 spans="1:13" x14ac:dyDescent="0.25">
      <c r="A259" t="s">
        <v>90</v>
      </c>
      <c r="B259" t="s">
        <v>90</v>
      </c>
      <c r="C259" t="s">
        <v>91</v>
      </c>
      <c r="D259" s="1" t="s">
        <v>95</v>
      </c>
      <c r="E259" t="s">
        <v>93</v>
      </c>
      <c r="F259" t="s">
        <v>29</v>
      </c>
      <c r="G259">
        <v>18</v>
      </c>
      <c r="H259">
        <v>379.05</v>
      </c>
      <c r="I259" s="5">
        <f>IFERROR(VLOOKUP(TrendSheetStgData[Population]&amp;TrendSheetStgData[Cost Basis]&amp;TrendSheetStgData[Period]&amp;TrendSheetStgData[Trend],TrendSheetPrdData[#All],9,FALSE),0)</f>
        <v>379.05</v>
      </c>
      <c r="J2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 s="5">
        <f>VLOOKUP(TrendSheetStgData[Population]&amp;TrendSheetStgData[Trend],Threshold[#All],4,FALSE)</f>
        <v>10</v>
      </c>
      <c r="L259" s="5">
        <f>VLOOKUP(TrendSheetStgData[Population]&amp;TrendSheetStgData[Trend],Threshold[#All],5,FALSE)</f>
        <v>5</v>
      </c>
      <c r="M2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 spans="1:13" x14ac:dyDescent="0.25">
      <c r="A260" t="s">
        <v>90</v>
      </c>
      <c r="B260" t="s">
        <v>90</v>
      </c>
      <c r="C260" t="s">
        <v>91</v>
      </c>
      <c r="D260" s="1" t="s">
        <v>96</v>
      </c>
      <c r="E260" t="s">
        <v>93</v>
      </c>
      <c r="F260" t="s">
        <v>29</v>
      </c>
      <c r="G260">
        <v>18</v>
      </c>
      <c r="H260">
        <v>384.76</v>
      </c>
      <c r="I260" s="5">
        <f>IFERROR(VLOOKUP(TrendSheetStgData[Population]&amp;TrendSheetStgData[Cost Basis]&amp;TrendSheetStgData[Period]&amp;TrendSheetStgData[Trend],TrendSheetPrdData[#All],9,FALSE),0)</f>
        <v>384.76</v>
      </c>
      <c r="J2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 s="5">
        <f>VLOOKUP(TrendSheetStgData[Population]&amp;TrendSheetStgData[Trend],Threshold[#All],4,FALSE)</f>
        <v>10</v>
      </c>
      <c r="L260" s="5">
        <f>VLOOKUP(TrendSheetStgData[Population]&amp;TrendSheetStgData[Trend],Threshold[#All],5,FALSE)</f>
        <v>5</v>
      </c>
      <c r="M2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 spans="1:13" x14ac:dyDescent="0.25">
      <c r="A261" t="s">
        <v>90</v>
      </c>
      <c r="B261" t="s">
        <v>90</v>
      </c>
      <c r="C261" t="s">
        <v>91</v>
      </c>
      <c r="D261" s="1" t="s">
        <v>97</v>
      </c>
      <c r="E261" t="s">
        <v>93</v>
      </c>
      <c r="F261" t="s">
        <v>29</v>
      </c>
      <c r="G261">
        <v>18</v>
      </c>
      <c r="H261">
        <v>386.07</v>
      </c>
      <c r="I261" s="5">
        <f>IFERROR(VLOOKUP(TrendSheetStgData[Population]&amp;TrendSheetStgData[Cost Basis]&amp;TrendSheetStgData[Period]&amp;TrendSheetStgData[Trend],TrendSheetPrdData[#All],9,FALSE),0)</f>
        <v>385.49</v>
      </c>
      <c r="J2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0.15045785882901866</v>
      </c>
      <c r="K261" s="5">
        <f>VLOOKUP(TrendSheetStgData[Population]&amp;TrendSheetStgData[Trend],Threshold[#All],4,FALSE)</f>
        <v>10</v>
      </c>
      <c r="L261" s="5">
        <f>VLOOKUP(TrendSheetStgData[Population]&amp;TrendSheetStgData[Trend],Threshold[#All],5,FALSE)</f>
        <v>5</v>
      </c>
      <c r="M2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2" spans="1:13" x14ac:dyDescent="0.25">
      <c r="A262" t="s">
        <v>90</v>
      </c>
      <c r="B262" t="s">
        <v>90</v>
      </c>
      <c r="C262" t="s">
        <v>91</v>
      </c>
      <c r="D262" s="1" t="s">
        <v>98</v>
      </c>
      <c r="E262" t="s">
        <v>93</v>
      </c>
      <c r="F262" t="s">
        <v>29</v>
      </c>
      <c r="G262">
        <v>18</v>
      </c>
      <c r="H262">
        <v>387.47</v>
      </c>
      <c r="I262" s="5">
        <f>IFERROR(VLOOKUP(TrendSheetStgData[Population]&amp;TrendSheetStgData[Cost Basis]&amp;TrendSheetStgData[Period]&amp;TrendSheetStgData[Trend],TrendSheetPrdData[#All],9,FALSE),0)</f>
        <v>386.53</v>
      </c>
      <c r="J2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0.24318940315112789</v>
      </c>
      <c r="K262" s="5">
        <f>VLOOKUP(TrendSheetStgData[Population]&amp;TrendSheetStgData[Trend],Threshold[#All],4,FALSE)</f>
        <v>10</v>
      </c>
      <c r="L262" s="5">
        <f>VLOOKUP(TrendSheetStgData[Population]&amp;TrendSheetStgData[Trend],Threshold[#All],5,FALSE)</f>
        <v>5</v>
      </c>
      <c r="M2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3" spans="1:13" x14ac:dyDescent="0.25">
      <c r="A263" t="s">
        <v>90</v>
      </c>
      <c r="B263" t="s">
        <v>90</v>
      </c>
      <c r="C263" t="s">
        <v>91</v>
      </c>
      <c r="D263" s="1" t="s">
        <v>99</v>
      </c>
      <c r="E263" t="s">
        <v>93</v>
      </c>
      <c r="F263" t="s">
        <v>29</v>
      </c>
      <c r="G263">
        <v>18</v>
      </c>
      <c r="H263">
        <v>382.3</v>
      </c>
      <c r="I263" s="5">
        <f>IFERROR(VLOOKUP(TrendSheetStgData[Population]&amp;TrendSheetStgData[Cost Basis]&amp;TrendSheetStgData[Period]&amp;TrendSheetStgData[Trend],TrendSheetPrdData[#All],9,FALSE),0)</f>
        <v>381.74</v>
      </c>
      <c r="J2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0.14669670456331593</v>
      </c>
      <c r="K263" s="5">
        <f>VLOOKUP(TrendSheetStgData[Population]&amp;TrendSheetStgData[Trend],Threshold[#All],4,FALSE)</f>
        <v>10</v>
      </c>
      <c r="L263" s="5">
        <f>VLOOKUP(TrendSheetStgData[Population]&amp;TrendSheetStgData[Trend],Threshold[#All],5,FALSE)</f>
        <v>5</v>
      </c>
      <c r="M2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4" spans="1:13" x14ac:dyDescent="0.25">
      <c r="A264" t="s">
        <v>90</v>
      </c>
      <c r="B264" t="s">
        <v>90</v>
      </c>
      <c r="C264" t="s">
        <v>91</v>
      </c>
      <c r="D264" s="1" t="s">
        <v>100</v>
      </c>
      <c r="E264" t="s">
        <v>93</v>
      </c>
      <c r="F264" t="s">
        <v>29</v>
      </c>
      <c r="G264">
        <v>18</v>
      </c>
      <c r="H264">
        <v>379.35</v>
      </c>
      <c r="I264" s="5">
        <f>IFERROR(VLOOKUP(TrendSheetStgData[Population]&amp;TrendSheetStgData[Cost Basis]&amp;TrendSheetStgData[Period]&amp;TrendSheetStgData[Trend],TrendSheetPrdData[#All],9,FALSE),0)</f>
        <v>378.1</v>
      </c>
      <c r="J2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0.33060037027241468</v>
      </c>
      <c r="K264" s="5">
        <f>VLOOKUP(TrendSheetStgData[Population]&amp;TrendSheetStgData[Trend],Threshold[#All],4,FALSE)</f>
        <v>10</v>
      </c>
      <c r="L264" s="5">
        <f>VLOOKUP(TrendSheetStgData[Population]&amp;TrendSheetStgData[Trend],Threshold[#All],5,FALSE)</f>
        <v>5</v>
      </c>
      <c r="M2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5" spans="1:13" x14ac:dyDescent="0.25">
      <c r="A265" t="s">
        <v>90</v>
      </c>
      <c r="B265" t="s">
        <v>90</v>
      </c>
      <c r="C265" t="s">
        <v>91</v>
      </c>
      <c r="D265" s="1" t="s">
        <v>101</v>
      </c>
      <c r="E265" t="s">
        <v>93</v>
      </c>
      <c r="F265" t="s">
        <v>29</v>
      </c>
      <c r="G265">
        <v>18</v>
      </c>
      <c r="H265">
        <v>381.73</v>
      </c>
      <c r="I265" s="5">
        <f>IFERROR(VLOOKUP(TrendSheetStgData[Population]&amp;TrendSheetStgData[Cost Basis]&amp;TrendSheetStgData[Period]&amp;TrendSheetStgData[Trend],TrendSheetPrdData[#All],9,FALSE),0)</f>
        <v>380.63</v>
      </c>
      <c r="J2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0.28899456164780041</v>
      </c>
      <c r="K265" s="5">
        <f>VLOOKUP(TrendSheetStgData[Population]&amp;TrendSheetStgData[Trend],Threshold[#All],4,FALSE)</f>
        <v>10</v>
      </c>
      <c r="L265" s="5">
        <f>VLOOKUP(TrendSheetStgData[Population]&amp;TrendSheetStgData[Trend],Threshold[#All],5,FALSE)</f>
        <v>5</v>
      </c>
      <c r="M2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6" spans="1:13" x14ac:dyDescent="0.25">
      <c r="A266" t="s">
        <v>90</v>
      </c>
      <c r="B266" t="s">
        <v>90</v>
      </c>
      <c r="C266" t="s">
        <v>91</v>
      </c>
      <c r="D266" s="1" t="s">
        <v>102</v>
      </c>
      <c r="E266" t="s">
        <v>93</v>
      </c>
      <c r="F266" t="s">
        <v>29</v>
      </c>
      <c r="G266">
        <v>18</v>
      </c>
      <c r="H266">
        <v>382.23</v>
      </c>
      <c r="I266" s="5">
        <f>IFERROR(VLOOKUP(TrendSheetStgData[Population]&amp;TrendSheetStgData[Cost Basis]&amp;TrendSheetStgData[Period]&amp;TrendSheetStgData[Trend],TrendSheetPrdData[#All],9,FALSE),0)</f>
        <v>379.8</v>
      </c>
      <c r="J2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0.63981042654028608</v>
      </c>
      <c r="K266" s="5">
        <f>VLOOKUP(TrendSheetStgData[Population]&amp;TrendSheetStgData[Trend],Threshold[#All],4,FALSE)</f>
        <v>10</v>
      </c>
      <c r="L266" s="5">
        <f>VLOOKUP(TrendSheetStgData[Population]&amp;TrendSheetStgData[Trend],Threshold[#All],5,FALSE)</f>
        <v>5</v>
      </c>
      <c r="M2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7" spans="1:13" x14ac:dyDescent="0.25">
      <c r="A267" t="s">
        <v>90</v>
      </c>
      <c r="B267" t="s">
        <v>90</v>
      </c>
      <c r="C267" t="s">
        <v>91</v>
      </c>
      <c r="D267" s="1" t="s">
        <v>103</v>
      </c>
      <c r="E267" t="s">
        <v>93</v>
      </c>
      <c r="F267" t="s">
        <v>29</v>
      </c>
      <c r="G267">
        <v>18</v>
      </c>
      <c r="H267">
        <v>370.36</v>
      </c>
      <c r="I267" s="5">
        <f>IFERROR(VLOOKUP(TrendSheetStgData[Population]&amp;TrendSheetStgData[Cost Basis]&amp;TrendSheetStgData[Period]&amp;TrendSheetStgData[Trend],TrendSheetPrdData[#All],9,FALSE),0)</f>
        <v>367.95</v>
      </c>
      <c r="J2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0.65498029623590848</v>
      </c>
      <c r="K267" s="5">
        <f>VLOOKUP(TrendSheetStgData[Population]&amp;TrendSheetStgData[Trend],Threshold[#All],4,FALSE)</f>
        <v>10</v>
      </c>
      <c r="L267" s="5">
        <f>VLOOKUP(TrendSheetStgData[Population]&amp;TrendSheetStgData[Trend],Threshold[#All],5,FALSE)</f>
        <v>5</v>
      </c>
      <c r="M2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8" spans="1:13" x14ac:dyDescent="0.25">
      <c r="A268" t="s">
        <v>90</v>
      </c>
      <c r="B268" t="s">
        <v>90</v>
      </c>
      <c r="C268" t="s">
        <v>91</v>
      </c>
      <c r="D268" s="1" t="s">
        <v>104</v>
      </c>
      <c r="E268" t="s">
        <v>93</v>
      </c>
      <c r="F268" t="s">
        <v>29</v>
      </c>
      <c r="G268">
        <v>18</v>
      </c>
      <c r="H268">
        <v>374.09</v>
      </c>
      <c r="I268" s="5">
        <f>IFERROR(VLOOKUP(TrendSheetStgData[Population]&amp;TrendSheetStgData[Cost Basis]&amp;TrendSheetStgData[Period]&amp;TrendSheetStgData[Trend],TrendSheetPrdData[#All],9,FALSE),0)</f>
        <v>371.07</v>
      </c>
      <c r="J2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0.81386261352305</v>
      </c>
      <c r="K268" s="5">
        <f>VLOOKUP(TrendSheetStgData[Population]&amp;TrendSheetStgData[Trend],Threshold[#All],4,FALSE)</f>
        <v>10</v>
      </c>
      <c r="L268" s="5">
        <f>VLOOKUP(TrendSheetStgData[Population]&amp;TrendSheetStgData[Trend],Threshold[#All],5,FALSE)</f>
        <v>5</v>
      </c>
      <c r="M2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9" spans="1:13" x14ac:dyDescent="0.25">
      <c r="A269" t="s">
        <v>90</v>
      </c>
      <c r="B269" t="s">
        <v>90</v>
      </c>
      <c r="C269" t="s">
        <v>91</v>
      </c>
      <c r="D269" s="1" t="s">
        <v>105</v>
      </c>
      <c r="E269" t="s">
        <v>106</v>
      </c>
      <c r="F269" t="s">
        <v>29</v>
      </c>
      <c r="G269">
        <v>18</v>
      </c>
      <c r="H269">
        <v>377.28</v>
      </c>
      <c r="I269" s="5">
        <f>IFERROR(VLOOKUP(TrendSheetStgData[Population]&amp;TrendSheetStgData[Cost Basis]&amp;TrendSheetStgData[Period]&amp;TrendSheetStgData[Trend],TrendSheetPrdData[#All],9,FALSE),0)</f>
        <v>372.72</v>
      </c>
      <c r="J2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1.2234385061171777</v>
      </c>
      <c r="K269" s="5">
        <f>VLOOKUP(TrendSheetStgData[Population]&amp;TrendSheetStgData[Trend],Threshold[#All],4,FALSE)</f>
        <v>10</v>
      </c>
      <c r="L269" s="5">
        <f>VLOOKUP(TrendSheetStgData[Population]&amp;TrendSheetStgData[Trend],Threshold[#All],5,FALSE)</f>
        <v>5</v>
      </c>
      <c r="M2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0" spans="1:13" x14ac:dyDescent="0.25">
      <c r="A270" t="s">
        <v>90</v>
      </c>
      <c r="B270" t="s">
        <v>90</v>
      </c>
      <c r="C270" t="s">
        <v>91</v>
      </c>
      <c r="D270" s="1" t="s">
        <v>107</v>
      </c>
      <c r="E270" t="s">
        <v>106</v>
      </c>
      <c r="F270" t="s">
        <v>29</v>
      </c>
      <c r="G270">
        <v>18</v>
      </c>
      <c r="H270">
        <v>371.59</v>
      </c>
      <c r="I270" s="5">
        <f>IFERROR(VLOOKUP(TrendSheetStgData[Population]&amp;TrendSheetStgData[Cost Basis]&amp;TrendSheetStgData[Period]&amp;TrendSheetStgData[Trend],TrendSheetPrdData[#All],9,FALSE),0)</f>
        <v>360.87</v>
      </c>
      <c r="J2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2.9705988306038105</v>
      </c>
      <c r="K270" s="5">
        <f>VLOOKUP(TrendSheetStgData[Population]&amp;TrendSheetStgData[Trend],Threshold[#All],4,FALSE)</f>
        <v>10</v>
      </c>
      <c r="L270" s="5">
        <f>VLOOKUP(TrendSheetStgData[Population]&amp;TrendSheetStgData[Trend],Threshold[#All],5,FALSE)</f>
        <v>5</v>
      </c>
      <c r="M2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1" spans="1:13" x14ac:dyDescent="0.25">
      <c r="A271" t="s">
        <v>90</v>
      </c>
      <c r="B271" t="s">
        <v>90</v>
      </c>
      <c r="C271" t="s">
        <v>91</v>
      </c>
      <c r="D271" s="1" t="s">
        <v>108</v>
      </c>
      <c r="E271" t="s">
        <v>106</v>
      </c>
      <c r="F271" t="s">
        <v>29</v>
      </c>
      <c r="G271">
        <v>18</v>
      </c>
      <c r="H271">
        <v>366.49</v>
      </c>
      <c r="I271" s="5">
        <f>IFERROR(VLOOKUP(TrendSheetStgData[Population]&amp;TrendSheetStgData[Cost Basis]&amp;TrendSheetStgData[Period]&amp;TrendSheetStgData[Trend],TrendSheetPrdData[#All],9,FALSE),0)</f>
        <v>0</v>
      </c>
      <c r="J2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71" s="5">
        <f>VLOOKUP(TrendSheetStgData[Population]&amp;TrendSheetStgData[Trend],Threshold[#All],4,FALSE)</f>
        <v>10</v>
      </c>
      <c r="L271" s="5">
        <f>VLOOKUP(TrendSheetStgData[Population]&amp;TrendSheetStgData[Trend],Threshold[#All],5,FALSE)</f>
        <v>5</v>
      </c>
      <c r="M2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2" spans="1:13" x14ac:dyDescent="0.25">
      <c r="A272" t="s">
        <v>90</v>
      </c>
      <c r="B272" t="s">
        <v>90</v>
      </c>
      <c r="C272" t="s">
        <v>91</v>
      </c>
      <c r="D272" s="1" t="s">
        <v>92</v>
      </c>
      <c r="E272" t="s">
        <v>93</v>
      </c>
      <c r="F272" t="s">
        <v>30</v>
      </c>
      <c r="G272">
        <v>19</v>
      </c>
      <c r="H272">
        <v>363</v>
      </c>
      <c r="I272" s="5">
        <f>IFERROR(VLOOKUP(TrendSheetStgData[Population]&amp;TrendSheetStgData[Cost Basis]&amp;TrendSheetStgData[Period]&amp;TrendSheetStgData[Trend],TrendSheetPrdData[#All],9,FALSE),0)</f>
        <v>360</v>
      </c>
      <c r="J2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0.83333333333333337</v>
      </c>
      <c r="K272" s="5">
        <f>VLOOKUP(TrendSheetStgData[Population]&amp;TrendSheetStgData[Trend],Threshold[#All],4,FALSE)</f>
        <v>10</v>
      </c>
      <c r="L272" s="5">
        <f>VLOOKUP(TrendSheetStgData[Population]&amp;TrendSheetStgData[Trend],Threshold[#All],5,FALSE)</f>
        <v>5</v>
      </c>
      <c r="M2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3" spans="1:13" x14ac:dyDescent="0.25">
      <c r="A273" t="s">
        <v>90</v>
      </c>
      <c r="B273" t="s">
        <v>90</v>
      </c>
      <c r="C273" t="s">
        <v>91</v>
      </c>
      <c r="D273" s="1" t="s">
        <v>94</v>
      </c>
      <c r="E273" t="s">
        <v>93</v>
      </c>
      <c r="F273" t="s">
        <v>30</v>
      </c>
      <c r="G273">
        <v>19</v>
      </c>
      <c r="H273">
        <v>335</v>
      </c>
      <c r="I273" s="5">
        <f>IFERROR(VLOOKUP(TrendSheetStgData[Population]&amp;TrendSheetStgData[Cost Basis]&amp;TrendSheetStgData[Period]&amp;TrendSheetStgData[Trend],TrendSheetPrdData[#All],9,FALSE),0)</f>
        <v>335</v>
      </c>
      <c r="J2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3" s="5">
        <f>VLOOKUP(TrendSheetStgData[Population]&amp;TrendSheetStgData[Trend],Threshold[#All],4,FALSE)</f>
        <v>10</v>
      </c>
      <c r="L273" s="5">
        <f>VLOOKUP(TrendSheetStgData[Population]&amp;TrendSheetStgData[Trend],Threshold[#All],5,FALSE)</f>
        <v>5</v>
      </c>
      <c r="M2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4" spans="1:13" x14ac:dyDescent="0.25">
      <c r="A274" t="s">
        <v>90</v>
      </c>
      <c r="B274" t="s">
        <v>90</v>
      </c>
      <c r="C274" t="s">
        <v>91</v>
      </c>
      <c r="D274" s="1" t="s">
        <v>95</v>
      </c>
      <c r="E274" t="s">
        <v>93</v>
      </c>
      <c r="F274" t="s">
        <v>30</v>
      </c>
      <c r="G274">
        <v>19</v>
      </c>
      <c r="H274">
        <v>286</v>
      </c>
      <c r="I274" s="5">
        <f>IFERROR(VLOOKUP(TrendSheetStgData[Population]&amp;TrendSheetStgData[Cost Basis]&amp;TrendSheetStgData[Period]&amp;TrendSheetStgData[Trend],TrendSheetPrdData[#All],9,FALSE),0)</f>
        <v>223</v>
      </c>
      <c r="J2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28.251121076233183</v>
      </c>
      <c r="K274" s="5">
        <f>VLOOKUP(TrendSheetStgData[Population]&amp;TrendSheetStgData[Trend],Threshold[#All],4,FALSE)</f>
        <v>10</v>
      </c>
      <c r="L274" s="5">
        <f>VLOOKUP(TrendSheetStgData[Population]&amp;TrendSheetStgData[Trend],Threshold[#All],5,FALSE)</f>
        <v>5</v>
      </c>
      <c r="M2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5" spans="1:13" x14ac:dyDescent="0.25">
      <c r="A275" t="s">
        <v>90</v>
      </c>
      <c r="B275" t="s">
        <v>90</v>
      </c>
      <c r="C275" t="s">
        <v>91</v>
      </c>
      <c r="D275" s="1" t="s">
        <v>96</v>
      </c>
      <c r="E275" t="s">
        <v>93</v>
      </c>
      <c r="F275" t="s">
        <v>30</v>
      </c>
      <c r="G275">
        <v>19</v>
      </c>
      <c r="H275">
        <v>372</v>
      </c>
      <c r="I275" s="5">
        <f>IFERROR(VLOOKUP(TrendSheetStgData[Population]&amp;TrendSheetStgData[Cost Basis]&amp;TrendSheetStgData[Period]&amp;TrendSheetStgData[Trend],TrendSheetPrdData[#All],9,FALSE),0)</f>
        <v>372</v>
      </c>
      <c r="J2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5" s="5">
        <f>VLOOKUP(TrendSheetStgData[Population]&amp;TrendSheetStgData[Trend],Threshold[#All],4,FALSE)</f>
        <v>10</v>
      </c>
      <c r="L275" s="5">
        <f>VLOOKUP(TrendSheetStgData[Population]&amp;TrendSheetStgData[Trend],Threshold[#All],5,FALSE)</f>
        <v>5</v>
      </c>
      <c r="M2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6" spans="1:13" x14ac:dyDescent="0.25">
      <c r="A276" t="s">
        <v>90</v>
      </c>
      <c r="B276" t="s">
        <v>90</v>
      </c>
      <c r="C276" t="s">
        <v>91</v>
      </c>
      <c r="D276" s="1" t="s">
        <v>97</v>
      </c>
      <c r="E276" t="s">
        <v>93</v>
      </c>
      <c r="F276" t="s">
        <v>30</v>
      </c>
      <c r="G276">
        <v>19</v>
      </c>
      <c r="H276">
        <v>271</v>
      </c>
      <c r="I276" s="5">
        <f>IFERROR(VLOOKUP(TrendSheetStgData[Population]&amp;TrendSheetStgData[Cost Basis]&amp;TrendSheetStgData[Period]&amp;TrendSheetStgData[Trend],TrendSheetPrdData[#All],9,FALSE),0)</f>
        <v>271</v>
      </c>
      <c r="J2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6" s="5">
        <f>VLOOKUP(TrendSheetStgData[Population]&amp;TrendSheetStgData[Trend],Threshold[#All],4,FALSE)</f>
        <v>10</v>
      </c>
      <c r="L276" s="5">
        <f>VLOOKUP(TrendSheetStgData[Population]&amp;TrendSheetStgData[Trend],Threshold[#All],5,FALSE)</f>
        <v>5</v>
      </c>
      <c r="M2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7" spans="1:13" x14ac:dyDescent="0.25">
      <c r="A277" t="s">
        <v>90</v>
      </c>
      <c r="B277" t="s">
        <v>90</v>
      </c>
      <c r="C277" t="s">
        <v>91</v>
      </c>
      <c r="D277" s="1" t="s">
        <v>98</v>
      </c>
      <c r="E277" t="s">
        <v>93</v>
      </c>
      <c r="F277" t="s">
        <v>30</v>
      </c>
      <c r="G277">
        <v>19</v>
      </c>
      <c r="H277">
        <v>279</v>
      </c>
      <c r="I277" s="5">
        <f>IFERROR(VLOOKUP(TrendSheetStgData[Population]&amp;TrendSheetStgData[Cost Basis]&amp;TrendSheetStgData[Period]&amp;TrendSheetStgData[Trend],TrendSheetPrdData[#All],9,FALSE),0)</f>
        <v>277</v>
      </c>
      <c r="J2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0.72202166064981954</v>
      </c>
      <c r="K277" s="5">
        <f>VLOOKUP(TrendSheetStgData[Population]&amp;TrendSheetStgData[Trend],Threshold[#All],4,FALSE)</f>
        <v>10</v>
      </c>
      <c r="L277" s="5">
        <f>VLOOKUP(TrendSheetStgData[Population]&amp;TrendSheetStgData[Trend],Threshold[#All],5,FALSE)</f>
        <v>5</v>
      </c>
      <c r="M2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8" spans="1:13" x14ac:dyDescent="0.25">
      <c r="A278" t="s">
        <v>90</v>
      </c>
      <c r="B278" t="s">
        <v>90</v>
      </c>
      <c r="C278" t="s">
        <v>91</v>
      </c>
      <c r="D278" s="1" t="s">
        <v>99</v>
      </c>
      <c r="E278" t="s">
        <v>93</v>
      </c>
      <c r="F278" t="s">
        <v>30</v>
      </c>
      <c r="G278">
        <v>19</v>
      </c>
      <c r="H278">
        <v>302</v>
      </c>
      <c r="I278" s="5">
        <f>IFERROR(VLOOKUP(TrendSheetStgData[Population]&amp;TrendSheetStgData[Cost Basis]&amp;TrendSheetStgData[Period]&amp;TrendSheetStgData[Trend],TrendSheetPrdData[#All],9,FALSE),0)</f>
        <v>302</v>
      </c>
      <c r="J2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 s="5">
        <f>VLOOKUP(TrendSheetStgData[Population]&amp;TrendSheetStgData[Trend],Threshold[#All],4,FALSE)</f>
        <v>10</v>
      </c>
      <c r="L278" s="5">
        <f>VLOOKUP(TrendSheetStgData[Population]&amp;TrendSheetStgData[Trend],Threshold[#All],5,FALSE)</f>
        <v>5</v>
      </c>
      <c r="M2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9" spans="1:13" x14ac:dyDescent="0.25">
      <c r="A279" t="s">
        <v>90</v>
      </c>
      <c r="B279" t="s">
        <v>90</v>
      </c>
      <c r="C279" t="s">
        <v>91</v>
      </c>
      <c r="D279" s="1" t="s">
        <v>100</v>
      </c>
      <c r="E279" t="s">
        <v>93</v>
      </c>
      <c r="F279" t="s">
        <v>30</v>
      </c>
      <c r="G279">
        <v>19</v>
      </c>
      <c r="H279">
        <v>787</v>
      </c>
      <c r="I279" s="5">
        <f>IFERROR(VLOOKUP(TrendSheetStgData[Population]&amp;TrendSheetStgData[Cost Basis]&amp;TrendSheetStgData[Period]&amp;TrendSheetStgData[Trend],TrendSheetPrdData[#All],9,FALSE),0)</f>
        <v>787</v>
      </c>
      <c r="J2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9" s="5">
        <f>VLOOKUP(TrendSheetStgData[Population]&amp;TrendSheetStgData[Trend],Threshold[#All],4,FALSE)</f>
        <v>10</v>
      </c>
      <c r="L279" s="5">
        <f>VLOOKUP(TrendSheetStgData[Population]&amp;TrendSheetStgData[Trend],Threshold[#All],5,FALSE)</f>
        <v>5</v>
      </c>
      <c r="M2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 spans="1:13" x14ac:dyDescent="0.25">
      <c r="A280" t="s">
        <v>90</v>
      </c>
      <c r="B280" t="s">
        <v>90</v>
      </c>
      <c r="C280" t="s">
        <v>91</v>
      </c>
      <c r="D280" s="1" t="s">
        <v>101</v>
      </c>
      <c r="E280" t="s">
        <v>93</v>
      </c>
      <c r="F280" t="s">
        <v>30</v>
      </c>
      <c r="G280">
        <v>19</v>
      </c>
      <c r="H280">
        <v>466</v>
      </c>
      <c r="I280" s="5">
        <f>IFERROR(VLOOKUP(TrendSheetStgData[Population]&amp;TrendSheetStgData[Cost Basis]&amp;TrendSheetStgData[Period]&amp;TrendSheetStgData[Trend],TrendSheetPrdData[#All],9,FALSE),0)</f>
        <v>469</v>
      </c>
      <c r="J2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0.63965884861407252</v>
      </c>
      <c r="K280" s="5">
        <f>VLOOKUP(TrendSheetStgData[Population]&amp;TrendSheetStgData[Trend],Threshold[#All],4,FALSE)</f>
        <v>10</v>
      </c>
      <c r="L280" s="5">
        <f>VLOOKUP(TrendSheetStgData[Population]&amp;TrendSheetStgData[Trend],Threshold[#All],5,FALSE)</f>
        <v>5</v>
      </c>
      <c r="M2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1" spans="1:13" x14ac:dyDescent="0.25">
      <c r="A281" t="s">
        <v>90</v>
      </c>
      <c r="B281" t="s">
        <v>90</v>
      </c>
      <c r="C281" t="s">
        <v>91</v>
      </c>
      <c r="D281" s="1" t="s">
        <v>102</v>
      </c>
      <c r="E281" t="s">
        <v>93</v>
      </c>
      <c r="F281" t="s">
        <v>30</v>
      </c>
      <c r="G281">
        <v>19</v>
      </c>
      <c r="H281">
        <v>133</v>
      </c>
      <c r="I281" s="5">
        <f>IFERROR(VLOOKUP(TrendSheetStgData[Population]&amp;TrendSheetStgData[Cost Basis]&amp;TrendSheetStgData[Period]&amp;TrendSheetStgData[Trend],TrendSheetPrdData[#All],9,FALSE),0)</f>
        <v>138</v>
      </c>
      <c r="J2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3.6231884057971016</v>
      </c>
      <c r="K281" s="5">
        <f>VLOOKUP(TrendSheetStgData[Population]&amp;TrendSheetStgData[Trend],Threshold[#All],4,FALSE)</f>
        <v>10</v>
      </c>
      <c r="L281" s="5">
        <f>VLOOKUP(TrendSheetStgData[Population]&amp;TrendSheetStgData[Trend],Threshold[#All],5,FALSE)</f>
        <v>5</v>
      </c>
      <c r="M2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2" spans="1:13" x14ac:dyDescent="0.25">
      <c r="A282" t="s">
        <v>90</v>
      </c>
      <c r="B282" t="s">
        <v>90</v>
      </c>
      <c r="C282" t="s">
        <v>91</v>
      </c>
      <c r="D282" s="1" t="s">
        <v>103</v>
      </c>
      <c r="E282" t="s">
        <v>93</v>
      </c>
      <c r="F282" t="s">
        <v>30</v>
      </c>
      <c r="G282">
        <v>19</v>
      </c>
      <c r="H282">
        <v>141</v>
      </c>
      <c r="I282" s="5">
        <f>IFERROR(VLOOKUP(TrendSheetStgData[Population]&amp;TrendSheetStgData[Cost Basis]&amp;TrendSheetStgData[Period]&amp;TrendSheetStgData[Trend],TrendSheetPrdData[#All],9,FALSE),0)</f>
        <v>86</v>
      </c>
      <c r="J2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63.953488372093027</v>
      </c>
      <c r="K282" s="5">
        <f>VLOOKUP(TrendSheetStgData[Population]&amp;TrendSheetStgData[Trend],Threshold[#All],4,FALSE)</f>
        <v>10</v>
      </c>
      <c r="L282" s="5">
        <f>VLOOKUP(TrendSheetStgData[Population]&amp;TrendSheetStgData[Trend],Threshold[#All],5,FALSE)</f>
        <v>5</v>
      </c>
      <c r="M2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3" spans="1:13" x14ac:dyDescent="0.25">
      <c r="A283" t="s">
        <v>90</v>
      </c>
      <c r="B283" t="s">
        <v>90</v>
      </c>
      <c r="C283" t="s">
        <v>91</v>
      </c>
      <c r="D283" s="1" t="s">
        <v>104</v>
      </c>
      <c r="E283" t="s">
        <v>93</v>
      </c>
      <c r="F283" t="s">
        <v>30</v>
      </c>
      <c r="G283">
        <v>19</v>
      </c>
      <c r="H283">
        <v>175</v>
      </c>
      <c r="I283" s="5">
        <f>IFERROR(VLOOKUP(TrendSheetStgData[Population]&amp;TrendSheetStgData[Cost Basis]&amp;TrendSheetStgData[Period]&amp;TrendSheetStgData[Trend],TrendSheetPrdData[#All],9,FALSE),0)</f>
        <v>175</v>
      </c>
      <c r="J2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3" s="5">
        <f>VLOOKUP(TrendSheetStgData[Population]&amp;TrendSheetStgData[Trend],Threshold[#All],4,FALSE)</f>
        <v>10</v>
      </c>
      <c r="L283" s="5">
        <f>VLOOKUP(TrendSheetStgData[Population]&amp;TrendSheetStgData[Trend],Threshold[#All],5,FALSE)</f>
        <v>5</v>
      </c>
      <c r="M2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4" spans="1:13" x14ac:dyDescent="0.25">
      <c r="A284" t="s">
        <v>90</v>
      </c>
      <c r="B284" t="s">
        <v>90</v>
      </c>
      <c r="C284" t="s">
        <v>91</v>
      </c>
      <c r="D284" s="1" t="s">
        <v>105</v>
      </c>
      <c r="E284" t="s">
        <v>106</v>
      </c>
      <c r="F284" t="s">
        <v>30</v>
      </c>
      <c r="G284">
        <v>19</v>
      </c>
      <c r="H284">
        <v>125</v>
      </c>
      <c r="I284" s="5">
        <f>IFERROR(VLOOKUP(TrendSheetStgData[Population]&amp;TrendSheetStgData[Cost Basis]&amp;TrendSheetStgData[Period]&amp;TrendSheetStgData[Trend],TrendSheetPrdData[#All],9,FALSE),0)</f>
        <v>115</v>
      </c>
      <c r="J2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8.695652173913043</v>
      </c>
      <c r="K284" s="5">
        <f>VLOOKUP(TrendSheetStgData[Population]&amp;TrendSheetStgData[Trend],Threshold[#All],4,FALSE)</f>
        <v>10</v>
      </c>
      <c r="L284" s="5">
        <f>VLOOKUP(TrendSheetStgData[Population]&amp;TrendSheetStgData[Trend],Threshold[#All],5,FALSE)</f>
        <v>5</v>
      </c>
      <c r="M2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85" spans="1:13" x14ac:dyDescent="0.25">
      <c r="A285" t="s">
        <v>90</v>
      </c>
      <c r="B285" t="s">
        <v>90</v>
      </c>
      <c r="C285" t="s">
        <v>91</v>
      </c>
      <c r="D285" s="1" t="s">
        <v>107</v>
      </c>
      <c r="E285" t="s">
        <v>106</v>
      </c>
      <c r="F285" t="s">
        <v>30</v>
      </c>
      <c r="G285">
        <v>19</v>
      </c>
      <c r="H285">
        <v>115</v>
      </c>
      <c r="I285" s="5">
        <f>IFERROR(VLOOKUP(TrendSheetStgData[Population]&amp;TrendSheetStgData[Cost Basis]&amp;TrendSheetStgData[Period]&amp;TrendSheetStgData[Trend],TrendSheetPrdData[#All],9,FALSE),0)</f>
        <v>43</v>
      </c>
      <c r="J2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167.44186046511629</v>
      </c>
      <c r="K285" s="5">
        <f>VLOOKUP(TrendSheetStgData[Population]&amp;TrendSheetStgData[Trend],Threshold[#All],4,FALSE)</f>
        <v>10</v>
      </c>
      <c r="L285" s="5">
        <f>VLOOKUP(TrendSheetStgData[Population]&amp;TrendSheetStgData[Trend],Threshold[#All],5,FALSE)</f>
        <v>5</v>
      </c>
      <c r="M2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6" spans="1:13" x14ac:dyDescent="0.25">
      <c r="A286" t="s">
        <v>90</v>
      </c>
      <c r="B286" t="s">
        <v>90</v>
      </c>
      <c r="C286" t="s">
        <v>91</v>
      </c>
      <c r="D286" s="1" t="s">
        <v>108</v>
      </c>
      <c r="E286" t="s">
        <v>106</v>
      </c>
      <c r="F286" t="s">
        <v>30</v>
      </c>
      <c r="G286">
        <v>19</v>
      </c>
      <c r="H286">
        <v>43</v>
      </c>
      <c r="I286" s="5">
        <f>IFERROR(VLOOKUP(TrendSheetStgData[Population]&amp;TrendSheetStgData[Cost Basis]&amp;TrendSheetStgData[Period]&amp;TrendSheetStgData[Trend],TrendSheetPrdData[#All],9,FALSE),0)</f>
        <v>0</v>
      </c>
      <c r="J2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86" s="5">
        <f>VLOOKUP(TrendSheetStgData[Population]&amp;TrendSheetStgData[Trend],Threshold[#All],4,FALSE)</f>
        <v>10</v>
      </c>
      <c r="L286" s="5">
        <f>VLOOKUP(TrendSheetStgData[Population]&amp;TrendSheetStgData[Trend],Threshold[#All],5,FALSE)</f>
        <v>5</v>
      </c>
      <c r="M2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7" spans="1:13" x14ac:dyDescent="0.25">
      <c r="A287" t="s">
        <v>90</v>
      </c>
      <c r="B287" t="s">
        <v>90</v>
      </c>
      <c r="C287" t="s">
        <v>91</v>
      </c>
      <c r="D287" s="1" t="s">
        <v>92</v>
      </c>
      <c r="E287" t="s">
        <v>93</v>
      </c>
      <c r="F287" t="s">
        <v>31</v>
      </c>
      <c r="G287">
        <v>20</v>
      </c>
      <c r="H287">
        <v>3001</v>
      </c>
      <c r="I287" s="5">
        <f>IFERROR(VLOOKUP(TrendSheetStgData[Population]&amp;TrendSheetStgData[Cost Basis]&amp;TrendSheetStgData[Period]&amp;TrendSheetStgData[Trend],TrendSheetPrdData[#All],9,FALSE),0)</f>
        <v>2992</v>
      </c>
      <c r="J2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0.30080213903743314</v>
      </c>
      <c r="K287" s="5">
        <f>VLOOKUP(TrendSheetStgData[Population]&amp;TrendSheetStgData[Trend],Threshold[#All],4,FALSE)</f>
        <v>10</v>
      </c>
      <c r="L287" s="5">
        <f>VLOOKUP(TrendSheetStgData[Population]&amp;TrendSheetStgData[Trend],Threshold[#All],5,FALSE)</f>
        <v>5</v>
      </c>
      <c r="M2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8" spans="1:13" x14ac:dyDescent="0.25">
      <c r="A288" t="s">
        <v>90</v>
      </c>
      <c r="B288" t="s">
        <v>90</v>
      </c>
      <c r="C288" t="s">
        <v>91</v>
      </c>
      <c r="D288" s="1" t="s">
        <v>94</v>
      </c>
      <c r="E288" t="s">
        <v>93</v>
      </c>
      <c r="F288" t="s">
        <v>31</v>
      </c>
      <c r="G288">
        <v>20</v>
      </c>
      <c r="H288">
        <v>2908</v>
      </c>
      <c r="I288" s="5">
        <f>IFERROR(VLOOKUP(TrendSheetStgData[Population]&amp;TrendSheetStgData[Cost Basis]&amp;TrendSheetStgData[Period]&amp;TrendSheetStgData[Trend],TrendSheetPrdData[#All],9,FALSE),0)</f>
        <v>2889</v>
      </c>
      <c r="J2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0.65766701280719975</v>
      </c>
      <c r="K288" s="5">
        <f>VLOOKUP(TrendSheetStgData[Population]&amp;TrendSheetStgData[Trend],Threshold[#All],4,FALSE)</f>
        <v>10</v>
      </c>
      <c r="L288" s="5">
        <f>VLOOKUP(TrendSheetStgData[Population]&amp;TrendSheetStgData[Trend],Threshold[#All],5,FALSE)</f>
        <v>5</v>
      </c>
      <c r="M2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9" spans="1:13" x14ac:dyDescent="0.25">
      <c r="A289" t="s">
        <v>90</v>
      </c>
      <c r="B289" t="s">
        <v>90</v>
      </c>
      <c r="C289" t="s">
        <v>91</v>
      </c>
      <c r="D289" s="1" t="s">
        <v>95</v>
      </c>
      <c r="E289" t="s">
        <v>93</v>
      </c>
      <c r="F289" t="s">
        <v>31</v>
      </c>
      <c r="G289">
        <v>20</v>
      </c>
      <c r="H289">
        <v>2729</v>
      </c>
      <c r="I289" s="5">
        <f>IFERROR(VLOOKUP(TrendSheetStgData[Population]&amp;TrendSheetStgData[Cost Basis]&amp;TrendSheetStgData[Period]&amp;TrendSheetStgData[Trend],TrendSheetPrdData[#All],9,FALSE),0)</f>
        <v>2728</v>
      </c>
      <c r="J2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3.6656891495601175E-2</v>
      </c>
      <c r="K289" s="5">
        <f>VLOOKUP(TrendSheetStgData[Population]&amp;TrendSheetStgData[Trend],Threshold[#All],4,FALSE)</f>
        <v>10</v>
      </c>
      <c r="L289" s="5">
        <f>VLOOKUP(TrendSheetStgData[Population]&amp;TrendSheetStgData[Trend],Threshold[#All],5,FALSE)</f>
        <v>5</v>
      </c>
      <c r="M2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0" spans="1:13" x14ac:dyDescent="0.25">
      <c r="A290" t="s">
        <v>90</v>
      </c>
      <c r="B290" t="s">
        <v>90</v>
      </c>
      <c r="C290" t="s">
        <v>91</v>
      </c>
      <c r="D290" s="1" t="s">
        <v>96</v>
      </c>
      <c r="E290" t="s">
        <v>93</v>
      </c>
      <c r="F290" t="s">
        <v>31</v>
      </c>
      <c r="G290">
        <v>20</v>
      </c>
      <c r="H290">
        <v>2656</v>
      </c>
      <c r="I290" s="5">
        <f>IFERROR(VLOOKUP(TrendSheetStgData[Population]&amp;TrendSheetStgData[Cost Basis]&amp;TrendSheetStgData[Period]&amp;TrendSheetStgData[Trend],TrendSheetPrdData[#All],9,FALSE),0)</f>
        <v>2636</v>
      </c>
      <c r="J2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0.75872534142640369</v>
      </c>
      <c r="K290" s="5">
        <f>VLOOKUP(TrendSheetStgData[Population]&amp;TrendSheetStgData[Trend],Threshold[#All],4,FALSE)</f>
        <v>10</v>
      </c>
      <c r="L290" s="5">
        <f>VLOOKUP(TrendSheetStgData[Population]&amp;TrendSheetStgData[Trend],Threshold[#All],5,FALSE)</f>
        <v>5</v>
      </c>
      <c r="M2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 spans="1:13" x14ac:dyDescent="0.25">
      <c r="A291" t="s">
        <v>90</v>
      </c>
      <c r="B291" t="s">
        <v>90</v>
      </c>
      <c r="C291" t="s">
        <v>91</v>
      </c>
      <c r="D291" s="1" t="s">
        <v>97</v>
      </c>
      <c r="E291" t="s">
        <v>93</v>
      </c>
      <c r="F291" t="s">
        <v>31</v>
      </c>
      <c r="G291">
        <v>20</v>
      </c>
      <c r="H291">
        <v>2304</v>
      </c>
      <c r="I291" s="5">
        <f>IFERROR(VLOOKUP(TrendSheetStgData[Population]&amp;TrendSheetStgData[Cost Basis]&amp;TrendSheetStgData[Period]&amp;TrendSheetStgData[Trend],TrendSheetPrdData[#All],9,FALSE),0)</f>
        <v>2250</v>
      </c>
      <c r="J2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v>
      </c>
      <c r="K291" s="5">
        <f>VLOOKUP(TrendSheetStgData[Population]&amp;TrendSheetStgData[Trend],Threshold[#All],4,FALSE)</f>
        <v>10</v>
      </c>
      <c r="L291" s="5">
        <f>VLOOKUP(TrendSheetStgData[Population]&amp;TrendSheetStgData[Trend],Threshold[#All],5,FALSE)</f>
        <v>5</v>
      </c>
      <c r="M2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2" spans="1:13" x14ac:dyDescent="0.25">
      <c r="A292" t="s">
        <v>90</v>
      </c>
      <c r="B292" t="s">
        <v>90</v>
      </c>
      <c r="C292" t="s">
        <v>91</v>
      </c>
      <c r="D292" s="1" t="s">
        <v>98</v>
      </c>
      <c r="E292" t="s">
        <v>93</v>
      </c>
      <c r="F292" t="s">
        <v>31</v>
      </c>
      <c r="G292">
        <v>20</v>
      </c>
      <c r="H292">
        <v>2237</v>
      </c>
      <c r="I292" s="5">
        <f>IFERROR(VLOOKUP(TrendSheetStgData[Population]&amp;TrendSheetStgData[Cost Basis]&amp;TrendSheetStgData[Period]&amp;TrendSheetStgData[Trend],TrendSheetPrdData[#All],9,FALSE),0)</f>
        <v>2124</v>
      </c>
      <c r="J2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5.3201506591337102</v>
      </c>
      <c r="K292" s="5">
        <f>VLOOKUP(TrendSheetStgData[Population]&amp;TrendSheetStgData[Trend],Threshold[#All],4,FALSE)</f>
        <v>10</v>
      </c>
      <c r="L292" s="5">
        <f>VLOOKUP(TrendSheetStgData[Population]&amp;TrendSheetStgData[Trend],Threshold[#All],5,FALSE)</f>
        <v>5</v>
      </c>
      <c r="M2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93" spans="1:13" x14ac:dyDescent="0.25">
      <c r="A293" t="s">
        <v>90</v>
      </c>
      <c r="B293" t="s">
        <v>90</v>
      </c>
      <c r="C293" t="s">
        <v>91</v>
      </c>
      <c r="D293" s="1" t="s">
        <v>99</v>
      </c>
      <c r="E293" t="s">
        <v>93</v>
      </c>
      <c r="F293" t="s">
        <v>31</v>
      </c>
      <c r="G293">
        <v>20</v>
      </c>
      <c r="H293">
        <v>2097</v>
      </c>
      <c r="I293" s="5">
        <f>IFERROR(VLOOKUP(TrendSheetStgData[Population]&amp;TrendSheetStgData[Cost Basis]&amp;TrendSheetStgData[Period]&amp;TrendSheetStgData[Trend],TrendSheetPrdData[#All],9,FALSE),0)</f>
        <v>2028</v>
      </c>
      <c r="J2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3.4023668639053253</v>
      </c>
      <c r="K293" s="5">
        <f>VLOOKUP(TrendSheetStgData[Population]&amp;TrendSheetStgData[Trend],Threshold[#All],4,FALSE)</f>
        <v>10</v>
      </c>
      <c r="L293" s="5">
        <f>VLOOKUP(TrendSheetStgData[Population]&amp;TrendSheetStgData[Trend],Threshold[#All],5,FALSE)</f>
        <v>5</v>
      </c>
      <c r="M2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4" spans="1:13" x14ac:dyDescent="0.25">
      <c r="A294" t="s">
        <v>90</v>
      </c>
      <c r="B294" t="s">
        <v>90</v>
      </c>
      <c r="C294" t="s">
        <v>91</v>
      </c>
      <c r="D294" s="1" t="s">
        <v>100</v>
      </c>
      <c r="E294" t="s">
        <v>93</v>
      </c>
      <c r="F294" t="s">
        <v>31</v>
      </c>
      <c r="G294">
        <v>20</v>
      </c>
      <c r="H294">
        <v>2273</v>
      </c>
      <c r="I294" s="5">
        <f>IFERROR(VLOOKUP(TrendSheetStgData[Population]&amp;TrendSheetStgData[Cost Basis]&amp;TrendSheetStgData[Period]&amp;TrendSheetStgData[Trend],TrendSheetPrdData[#All],9,FALSE),0)</f>
        <v>2262</v>
      </c>
      <c r="J2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0.48629531388152081</v>
      </c>
      <c r="K294" s="5">
        <f>VLOOKUP(TrendSheetStgData[Population]&amp;TrendSheetStgData[Trend],Threshold[#All],4,FALSE)</f>
        <v>10</v>
      </c>
      <c r="L294" s="5">
        <f>VLOOKUP(TrendSheetStgData[Population]&amp;TrendSheetStgData[Trend],Threshold[#All],5,FALSE)</f>
        <v>5</v>
      </c>
      <c r="M2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5" spans="1:13" x14ac:dyDescent="0.25">
      <c r="A295" t="s">
        <v>90</v>
      </c>
      <c r="B295" t="s">
        <v>90</v>
      </c>
      <c r="C295" t="s">
        <v>91</v>
      </c>
      <c r="D295" s="1" t="s">
        <v>101</v>
      </c>
      <c r="E295" t="s">
        <v>93</v>
      </c>
      <c r="F295" t="s">
        <v>31</v>
      </c>
      <c r="G295">
        <v>20</v>
      </c>
      <c r="H295">
        <v>2761</v>
      </c>
      <c r="I295" s="5">
        <f>IFERROR(VLOOKUP(TrendSheetStgData[Population]&amp;TrendSheetStgData[Cost Basis]&amp;TrendSheetStgData[Period]&amp;TrendSheetStgData[Trend],TrendSheetPrdData[#All],9,FALSE),0)</f>
        <v>2700</v>
      </c>
      <c r="J2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2.2592592592592591</v>
      </c>
      <c r="K295" s="5">
        <f>VLOOKUP(TrendSheetStgData[Population]&amp;TrendSheetStgData[Trend],Threshold[#All],4,FALSE)</f>
        <v>10</v>
      </c>
      <c r="L295" s="5">
        <f>VLOOKUP(TrendSheetStgData[Population]&amp;TrendSheetStgData[Trend],Threshold[#All],5,FALSE)</f>
        <v>5</v>
      </c>
      <c r="M2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6" spans="1:13" x14ac:dyDescent="0.25">
      <c r="A296" t="s">
        <v>90</v>
      </c>
      <c r="B296" t="s">
        <v>90</v>
      </c>
      <c r="C296" t="s">
        <v>91</v>
      </c>
      <c r="D296" s="1" t="s">
        <v>102</v>
      </c>
      <c r="E296" t="s">
        <v>93</v>
      </c>
      <c r="F296" t="s">
        <v>31</v>
      </c>
      <c r="G296">
        <v>20</v>
      </c>
      <c r="H296">
        <v>2657</v>
      </c>
      <c r="I296" s="5">
        <f>IFERROR(VLOOKUP(TrendSheetStgData[Population]&amp;TrendSheetStgData[Cost Basis]&amp;TrendSheetStgData[Period]&amp;TrendSheetStgData[Trend],TrendSheetPrdData[#All],9,FALSE),0)</f>
        <v>2601</v>
      </c>
      <c r="J2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2.1530180699730872</v>
      </c>
      <c r="K296" s="5">
        <f>VLOOKUP(TrendSheetStgData[Population]&amp;TrendSheetStgData[Trend],Threshold[#All],4,FALSE)</f>
        <v>10</v>
      </c>
      <c r="L296" s="5">
        <f>VLOOKUP(TrendSheetStgData[Population]&amp;TrendSheetStgData[Trend],Threshold[#All],5,FALSE)</f>
        <v>5</v>
      </c>
      <c r="M2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7" spans="1:13" x14ac:dyDescent="0.25">
      <c r="A297" t="s">
        <v>90</v>
      </c>
      <c r="B297" t="s">
        <v>90</v>
      </c>
      <c r="C297" t="s">
        <v>91</v>
      </c>
      <c r="D297" s="1" t="s">
        <v>103</v>
      </c>
      <c r="E297" t="s">
        <v>93</v>
      </c>
      <c r="F297" t="s">
        <v>31</v>
      </c>
      <c r="G297">
        <v>20</v>
      </c>
      <c r="H297">
        <v>2419</v>
      </c>
      <c r="I297" s="5">
        <f>IFERROR(VLOOKUP(TrendSheetStgData[Population]&amp;TrendSheetStgData[Cost Basis]&amp;TrendSheetStgData[Period]&amp;TrendSheetStgData[Trend],TrendSheetPrdData[#All],9,FALSE),0)</f>
        <v>2258</v>
      </c>
      <c r="J2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7.1302037201062891</v>
      </c>
      <c r="K297" s="5">
        <f>VLOOKUP(TrendSheetStgData[Population]&amp;TrendSheetStgData[Trend],Threshold[#All],4,FALSE)</f>
        <v>10</v>
      </c>
      <c r="L297" s="5">
        <f>VLOOKUP(TrendSheetStgData[Population]&amp;TrendSheetStgData[Trend],Threshold[#All],5,FALSE)</f>
        <v>5</v>
      </c>
      <c r="M2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98" spans="1:13" x14ac:dyDescent="0.25">
      <c r="A298" t="s">
        <v>90</v>
      </c>
      <c r="B298" t="s">
        <v>90</v>
      </c>
      <c r="C298" t="s">
        <v>91</v>
      </c>
      <c r="D298" s="1" t="s">
        <v>104</v>
      </c>
      <c r="E298" t="s">
        <v>93</v>
      </c>
      <c r="F298" t="s">
        <v>31</v>
      </c>
      <c r="G298">
        <v>20</v>
      </c>
      <c r="H298">
        <v>1874</v>
      </c>
      <c r="I298" s="5">
        <f>IFERROR(VLOOKUP(TrendSheetStgData[Population]&amp;TrendSheetStgData[Cost Basis]&amp;TrendSheetStgData[Period]&amp;TrendSheetStgData[Trend],TrendSheetPrdData[#All],9,FALSE),0)</f>
        <v>1805</v>
      </c>
      <c r="J2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3.8227146814404431</v>
      </c>
      <c r="K298" s="5">
        <f>VLOOKUP(TrendSheetStgData[Population]&amp;TrendSheetStgData[Trend],Threshold[#All],4,FALSE)</f>
        <v>10</v>
      </c>
      <c r="L298" s="5">
        <f>VLOOKUP(TrendSheetStgData[Population]&amp;TrendSheetStgData[Trend],Threshold[#All],5,FALSE)</f>
        <v>5</v>
      </c>
      <c r="M2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9" spans="1:13" x14ac:dyDescent="0.25">
      <c r="A299" t="s">
        <v>90</v>
      </c>
      <c r="B299" t="s">
        <v>90</v>
      </c>
      <c r="C299" t="s">
        <v>91</v>
      </c>
      <c r="D299" s="1" t="s">
        <v>105</v>
      </c>
      <c r="E299" t="s">
        <v>106</v>
      </c>
      <c r="F299" t="s">
        <v>31</v>
      </c>
      <c r="G299">
        <v>20</v>
      </c>
      <c r="H299">
        <v>2551</v>
      </c>
      <c r="I299" s="5">
        <f>IFERROR(VLOOKUP(TrendSheetStgData[Population]&amp;TrendSheetStgData[Cost Basis]&amp;TrendSheetStgData[Period]&amp;TrendSheetStgData[Trend],TrendSheetPrdData[#All],9,FALSE),0)</f>
        <v>2133</v>
      </c>
      <c r="J2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19.596812001875293</v>
      </c>
      <c r="K299" s="5">
        <f>VLOOKUP(TrendSheetStgData[Population]&amp;TrendSheetStgData[Trend],Threshold[#All],4,FALSE)</f>
        <v>10</v>
      </c>
      <c r="L299" s="5">
        <f>VLOOKUP(TrendSheetStgData[Population]&amp;TrendSheetStgData[Trend],Threshold[#All],5,FALSE)</f>
        <v>5</v>
      </c>
      <c r="M2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0" spans="1:13" x14ac:dyDescent="0.25">
      <c r="A300" t="s">
        <v>90</v>
      </c>
      <c r="B300" t="s">
        <v>90</v>
      </c>
      <c r="C300" t="s">
        <v>91</v>
      </c>
      <c r="D300" s="1" t="s">
        <v>107</v>
      </c>
      <c r="E300" t="s">
        <v>106</v>
      </c>
      <c r="F300" t="s">
        <v>31</v>
      </c>
      <c r="G300">
        <v>20</v>
      </c>
      <c r="H300">
        <v>1490</v>
      </c>
      <c r="I300" s="5">
        <f>IFERROR(VLOOKUP(TrendSheetStgData[Population]&amp;TrendSheetStgData[Cost Basis]&amp;TrendSheetStgData[Period]&amp;TrendSheetStgData[Trend],TrendSheetPrdData[#All],9,FALSE),0)</f>
        <v>446</v>
      </c>
      <c r="J3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234.08071748878925</v>
      </c>
      <c r="K300" s="5">
        <f>VLOOKUP(TrendSheetStgData[Population]&amp;TrendSheetStgData[Trend],Threshold[#All],4,FALSE)</f>
        <v>10</v>
      </c>
      <c r="L300" s="5">
        <f>VLOOKUP(TrendSheetStgData[Population]&amp;TrendSheetStgData[Trend],Threshold[#All],5,FALSE)</f>
        <v>5</v>
      </c>
      <c r="M3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1" spans="1:13" x14ac:dyDescent="0.25">
      <c r="A301" t="s">
        <v>90</v>
      </c>
      <c r="B301" t="s">
        <v>90</v>
      </c>
      <c r="C301" t="s">
        <v>91</v>
      </c>
      <c r="D301" s="1" t="s">
        <v>108</v>
      </c>
      <c r="E301" t="s">
        <v>106</v>
      </c>
      <c r="F301" t="s">
        <v>31</v>
      </c>
      <c r="G301">
        <v>20</v>
      </c>
      <c r="H301">
        <v>879</v>
      </c>
      <c r="I301" s="5">
        <f>IFERROR(VLOOKUP(TrendSheetStgData[Population]&amp;TrendSheetStgData[Cost Basis]&amp;TrendSheetStgData[Period]&amp;TrendSheetStgData[Trend],TrendSheetPrdData[#All],9,FALSE),0)</f>
        <v>0</v>
      </c>
      <c r="J3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01" s="5">
        <f>VLOOKUP(TrendSheetStgData[Population]&amp;TrendSheetStgData[Trend],Threshold[#All],4,FALSE)</f>
        <v>10</v>
      </c>
      <c r="L301" s="5">
        <f>VLOOKUP(TrendSheetStgData[Population]&amp;TrendSheetStgData[Trend],Threshold[#All],5,FALSE)</f>
        <v>5</v>
      </c>
      <c r="M3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2" spans="1:13" x14ac:dyDescent="0.25">
      <c r="A302" t="s">
        <v>90</v>
      </c>
      <c r="B302" t="s">
        <v>90</v>
      </c>
      <c r="C302" t="s">
        <v>91</v>
      </c>
      <c r="D302" s="1" t="s">
        <v>92</v>
      </c>
      <c r="E302" t="s">
        <v>93</v>
      </c>
      <c r="F302" t="s">
        <v>32</v>
      </c>
      <c r="G302">
        <v>21</v>
      </c>
      <c r="H302">
        <v>4263</v>
      </c>
      <c r="I302" s="5">
        <f>IFERROR(VLOOKUP(TrendSheetStgData[Population]&amp;TrendSheetStgData[Cost Basis]&amp;TrendSheetStgData[Period]&amp;TrendSheetStgData[Trend],TrendSheetPrdData[#All],9,FALSE),0)</f>
        <v>4255</v>
      </c>
      <c r="J3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0.18801410105757932</v>
      </c>
      <c r="K302" s="5">
        <f>VLOOKUP(TrendSheetStgData[Population]&amp;TrendSheetStgData[Trend],Threshold[#All],4,FALSE)</f>
        <v>10</v>
      </c>
      <c r="L302" s="5">
        <f>VLOOKUP(TrendSheetStgData[Population]&amp;TrendSheetStgData[Trend],Threshold[#All],5,FALSE)</f>
        <v>5</v>
      </c>
      <c r="M3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3" spans="1:13" x14ac:dyDescent="0.25">
      <c r="A303" t="s">
        <v>90</v>
      </c>
      <c r="B303" t="s">
        <v>90</v>
      </c>
      <c r="C303" t="s">
        <v>91</v>
      </c>
      <c r="D303" s="1" t="s">
        <v>94</v>
      </c>
      <c r="E303" t="s">
        <v>93</v>
      </c>
      <c r="F303" t="s">
        <v>32</v>
      </c>
      <c r="G303">
        <v>21</v>
      </c>
      <c r="H303">
        <v>3986</v>
      </c>
      <c r="I303" s="5">
        <f>IFERROR(VLOOKUP(TrendSheetStgData[Population]&amp;TrendSheetStgData[Cost Basis]&amp;TrendSheetStgData[Period]&amp;TrendSheetStgData[Trend],TrendSheetPrdData[#All],9,FALSE),0)</f>
        <v>3966</v>
      </c>
      <c r="J3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0.50428643469490664</v>
      </c>
      <c r="K303" s="5">
        <f>VLOOKUP(TrendSheetStgData[Population]&amp;TrendSheetStgData[Trend],Threshold[#All],4,FALSE)</f>
        <v>10</v>
      </c>
      <c r="L303" s="5">
        <f>VLOOKUP(TrendSheetStgData[Population]&amp;TrendSheetStgData[Trend],Threshold[#All],5,FALSE)</f>
        <v>5</v>
      </c>
      <c r="M3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4" spans="1:13" x14ac:dyDescent="0.25">
      <c r="A304" t="s">
        <v>90</v>
      </c>
      <c r="B304" t="s">
        <v>90</v>
      </c>
      <c r="C304" t="s">
        <v>91</v>
      </c>
      <c r="D304" s="1" t="s">
        <v>95</v>
      </c>
      <c r="E304" t="s">
        <v>93</v>
      </c>
      <c r="F304" t="s">
        <v>32</v>
      </c>
      <c r="G304">
        <v>21</v>
      </c>
      <c r="H304">
        <v>3838</v>
      </c>
      <c r="I304" s="5">
        <f>IFERROR(VLOOKUP(TrendSheetStgData[Population]&amp;TrendSheetStgData[Cost Basis]&amp;TrendSheetStgData[Period]&amp;TrendSheetStgData[Trend],TrendSheetPrdData[#All],9,FALSE),0)</f>
        <v>3819</v>
      </c>
      <c r="J3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0.49751243781094528</v>
      </c>
      <c r="K304" s="5">
        <f>VLOOKUP(TrendSheetStgData[Population]&amp;TrendSheetStgData[Trend],Threshold[#All],4,FALSE)</f>
        <v>10</v>
      </c>
      <c r="L304" s="5">
        <f>VLOOKUP(TrendSheetStgData[Population]&amp;TrendSheetStgData[Trend],Threshold[#All],5,FALSE)</f>
        <v>5</v>
      </c>
      <c r="M3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5" spans="1:13" x14ac:dyDescent="0.25">
      <c r="A305" t="s">
        <v>90</v>
      </c>
      <c r="B305" t="s">
        <v>90</v>
      </c>
      <c r="C305" t="s">
        <v>91</v>
      </c>
      <c r="D305" s="1" t="s">
        <v>96</v>
      </c>
      <c r="E305" t="s">
        <v>93</v>
      </c>
      <c r="F305" t="s">
        <v>32</v>
      </c>
      <c r="G305">
        <v>21</v>
      </c>
      <c r="H305">
        <v>4256</v>
      </c>
      <c r="I305" s="5">
        <f>IFERROR(VLOOKUP(TrendSheetStgData[Population]&amp;TrendSheetStgData[Cost Basis]&amp;TrendSheetStgData[Period]&amp;TrendSheetStgData[Trend],TrendSheetPrdData[#All],9,FALSE),0)</f>
        <v>4244</v>
      </c>
      <c r="J3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0.28275212064090482</v>
      </c>
      <c r="K305" s="5">
        <f>VLOOKUP(TrendSheetStgData[Population]&amp;TrendSheetStgData[Trend],Threshold[#All],4,FALSE)</f>
        <v>10</v>
      </c>
      <c r="L305" s="5">
        <f>VLOOKUP(TrendSheetStgData[Population]&amp;TrendSheetStgData[Trend],Threshold[#All],5,FALSE)</f>
        <v>5</v>
      </c>
      <c r="M3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6" spans="1:13" x14ac:dyDescent="0.25">
      <c r="A306" t="s">
        <v>90</v>
      </c>
      <c r="B306" t="s">
        <v>90</v>
      </c>
      <c r="C306" t="s">
        <v>91</v>
      </c>
      <c r="D306" s="1" t="s">
        <v>97</v>
      </c>
      <c r="E306" t="s">
        <v>93</v>
      </c>
      <c r="F306" t="s">
        <v>32</v>
      </c>
      <c r="G306">
        <v>21</v>
      </c>
      <c r="H306">
        <v>3421</v>
      </c>
      <c r="I306" s="5">
        <f>IFERROR(VLOOKUP(TrendSheetStgData[Population]&amp;TrendSheetStgData[Cost Basis]&amp;TrendSheetStgData[Period]&amp;TrendSheetStgData[Trend],TrendSheetPrdData[#All],9,FALSE),0)</f>
        <v>3409</v>
      </c>
      <c r="J3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0.35200938691698441</v>
      </c>
      <c r="K306" s="5">
        <f>VLOOKUP(TrendSheetStgData[Population]&amp;TrendSheetStgData[Trend],Threshold[#All],4,FALSE)</f>
        <v>10</v>
      </c>
      <c r="L306" s="5">
        <f>VLOOKUP(TrendSheetStgData[Population]&amp;TrendSheetStgData[Trend],Threshold[#All],5,FALSE)</f>
        <v>5</v>
      </c>
      <c r="M3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7" spans="1:13" x14ac:dyDescent="0.25">
      <c r="A307" t="s">
        <v>90</v>
      </c>
      <c r="B307" t="s">
        <v>90</v>
      </c>
      <c r="C307" t="s">
        <v>91</v>
      </c>
      <c r="D307" s="1" t="s">
        <v>98</v>
      </c>
      <c r="E307" t="s">
        <v>93</v>
      </c>
      <c r="F307" t="s">
        <v>32</v>
      </c>
      <c r="G307">
        <v>21</v>
      </c>
      <c r="H307">
        <v>3617</v>
      </c>
      <c r="I307" s="5">
        <f>IFERROR(VLOOKUP(TrendSheetStgData[Population]&amp;TrendSheetStgData[Cost Basis]&amp;TrendSheetStgData[Period]&amp;TrendSheetStgData[Trend],TrendSheetPrdData[#All],9,FALSE),0)</f>
        <v>3603</v>
      </c>
      <c r="J3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0.38856508465167916</v>
      </c>
      <c r="K307" s="5">
        <f>VLOOKUP(TrendSheetStgData[Population]&amp;TrendSheetStgData[Trend],Threshold[#All],4,FALSE)</f>
        <v>10</v>
      </c>
      <c r="L307" s="5">
        <f>VLOOKUP(TrendSheetStgData[Population]&amp;TrendSheetStgData[Trend],Threshold[#All],5,FALSE)</f>
        <v>5</v>
      </c>
      <c r="M3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8" spans="1:13" x14ac:dyDescent="0.25">
      <c r="A308" t="s">
        <v>90</v>
      </c>
      <c r="B308" t="s">
        <v>90</v>
      </c>
      <c r="C308" t="s">
        <v>91</v>
      </c>
      <c r="D308" s="1" t="s">
        <v>99</v>
      </c>
      <c r="E308" t="s">
        <v>93</v>
      </c>
      <c r="F308" t="s">
        <v>32</v>
      </c>
      <c r="G308">
        <v>21</v>
      </c>
      <c r="H308">
        <v>3684</v>
      </c>
      <c r="I308" s="5">
        <f>IFERROR(VLOOKUP(TrendSheetStgData[Population]&amp;TrendSheetStgData[Cost Basis]&amp;TrendSheetStgData[Period]&amp;TrendSheetStgData[Trend],TrendSheetPrdData[#All],9,FALSE),0)</f>
        <v>3673</v>
      </c>
      <c r="J3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0.29948271167982576</v>
      </c>
      <c r="K308" s="5">
        <f>VLOOKUP(TrendSheetStgData[Population]&amp;TrendSheetStgData[Trend],Threshold[#All],4,FALSE)</f>
        <v>10</v>
      </c>
      <c r="L308" s="5">
        <f>VLOOKUP(TrendSheetStgData[Population]&amp;TrendSheetStgData[Trend],Threshold[#All],5,FALSE)</f>
        <v>5</v>
      </c>
      <c r="M3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9" spans="1:13" x14ac:dyDescent="0.25">
      <c r="A309" t="s">
        <v>90</v>
      </c>
      <c r="B309" t="s">
        <v>90</v>
      </c>
      <c r="C309" t="s">
        <v>91</v>
      </c>
      <c r="D309" s="1" t="s">
        <v>100</v>
      </c>
      <c r="E309" t="s">
        <v>93</v>
      </c>
      <c r="F309" t="s">
        <v>32</v>
      </c>
      <c r="G309">
        <v>21</v>
      </c>
      <c r="H309">
        <v>4251</v>
      </c>
      <c r="I309" s="5">
        <f>IFERROR(VLOOKUP(TrendSheetStgData[Population]&amp;TrendSheetStgData[Cost Basis]&amp;TrendSheetStgData[Period]&amp;TrendSheetStgData[Trend],TrendSheetPrdData[#All],9,FALSE),0)</f>
        <v>4163</v>
      </c>
      <c r="J3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2.1138601969733366</v>
      </c>
      <c r="K309" s="5">
        <f>VLOOKUP(TrendSheetStgData[Population]&amp;TrendSheetStgData[Trend],Threshold[#All],4,FALSE)</f>
        <v>10</v>
      </c>
      <c r="L309" s="5">
        <f>VLOOKUP(TrendSheetStgData[Population]&amp;TrendSheetStgData[Trend],Threshold[#All],5,FALSE)</f>
        <v>5</v>
      </c>
      <c r="M3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0" spans="1:13" x14ac:dyDescent="0.25">
      <c r="A310" t="s">
        <v>90</v>
      </c>
      <c r="B310" t="s">
        <v>90</v>
      </c>
      <c r="C310" t="s">
        <v>91</v>
      </c>
      <c r="D310" s="1" t="s">
        <v>101</v>
      </c>
      <c r="E310" t="s">
        <v>93</v>
      </c>
      <c r="F310" t="s">
        <v>32</v>
      </c>
      <c r="G310">
        <v>21</v>
      </c>
      <c r="H310">
        <v>3882</v>
      </c>
      <c r="I310" s="5">
        <f>IFERROR(VLOOKUP(TrendSheetStgData[Population]&amp;TrendSheetStgData[Cost Basis]&amp;TrendSheetStgData[Period]&amp;TrendSheetStgData[Trend],TrendSheetPrdData[#All],9,FALSE),0)</f>
        <v>3832</v>
      </c>
      <c r="J3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1.3048016701461378</v>
      </c>
      <c r="K310" s="5">
        <f>VLOOKUP(TrendSheetStgData[Population]&amp;TrendSheetStgData[Trend],Threshold[#All],4,FALSE)</f>
        <v>10</v>
      </c>
      <c r="L310" s="5">
        <f>VLOOKUP(TrendSheetStgData[Population]&amp;TrendSheetStgData[Trend],Threshold[#All],5,FALSE)</f>
        <v>5</v>
      </c>
      <c r="M3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1" spans="1:13" x14ac:dyDescent="0.25">
      <c r="A311" t="s">
        <v>90</v>
      </c>
      <c r="B311" t="s">
        <v>90</v>
      </c>
      <c r="C311" t="s">
        <v>91</v>
      </c>
      <c r="D311" s="1" t="s">
        <v>102</v>
      </c>
      <c r="E311" t="s">
        <v>93</v>
      </c>
      <c r="F311" t="s">
        <v>32</v>
      </c>
      <c r="G311">
        <v>21</v>
      </c>
      <c r="H311">
        <v>3844</v>
      </c>
      <c r="I311" s="5">
        <f>IFERROR(VLOOKUP(TrendSheetStgData[Population]&amp;TrendSheetStgData[Cost Basis]&amp;TrendSheetStgData[Period]&amp;TrendSheetStgData[Trend],TrendSheetPrdData[#All],9,FALSE),0)</f>
        <v>3802</v>
      </c>
      <c r="J3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1.1046817464492371</v>
      </c>
      <c r="K311" s="5">
        <f>VLOOKUP(TrendSheetStgData[Population]&amp;TrendSheetStgData[Trend],Threshold[#All],4,FALSE)</f>
        <v>10</v>
      </c>
      <c r="L311" s="5">
        <f>VLOOKUP(TrendSheetStgData[Population]&amp;TrendSheetStgData[Trend],Threshold[#All],5,FALSE)</f>
        <v>5</v>
      </c>
      <c r="M3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2" spans="1:13" x14ac:dyDescent="0.25">
      <c r="A312" t="s">
        <v>90</v>
      </c>
      <c r="B312" t="s">
        <v>90</v>
      </c>
      <c r="C312" t="s">
        <v>91</v>
      </c>
      <c r="D312" s="1" t="s">
        <v>103</v>
      </c>
      <c r="E312" t="s">
        <v>93</v>
      </c>
      <c r="F312" t="s">
        <v>32</v>
      </c>
      <c r="G312">
        <v>21</v>
      </c>
      <c r="H312">
        <v>3622</v>
      </c>
      <c r="I312" s="5">
        <f>IFERROR(VLOOKUP(TrendSheetStgData[Population]&amp;TrendSheetStgData[Cost Basis]&amp;TrendSheetStgData[Period]&amp;TrendSheetStgData[Trend],TrendSheetPrdData[#All],9,FALSE),0)</f>
        <v>3540</v>
      </c>
      <c r="J3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2.3163841807909606</v>
      </c>
      <c r="K312" s="5">
        <f>VLOOKUP(TrendSheetStgData[Population]&amp;TrendSheetStgData[Trend],Threshold[#All],4,FALSE)</f>
        <v>10</v>
      </c>
      <c r="L312" s="5">
        <f>VLOOKUP(TrendSheetStgData[Population]&amp;TrendSheetStgData[Trend],Threshold[#All],5,FALSE)</f>
        <v>5</v>
      </c>
      <c r="M3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3" spans="1:13" x14ac:dyDescent="0.25">
      <c r="A313" t="s">
        <v>90</v>
      </c>
      <c r="B313" t="s">
        <v>90</v>
      </c>
      <c r="C313" t="s">
        <v>91</v>
      </c>
      <c r="D313" s="1" t="s">
        <v>104</v>
      </c>
      <c r="E313" t="s">
        <v>93</v>
      </c>
      <c r="F313" t="s">
        <v>32</v>
      </c>
      <c r="G313">
        <v>21</v>
      </c>
      <c r="H313">
        <v>3788</v>
      </c>
      <c r="I313" s="5">
        <f>IFERROR(VLOOKUP(TrendSheetStgData[Population]&amp;TrendSheetStgData[Cost Basis]&amp;TrendSheetStgData[Period]&amp;TrendSheetStgData[Trend],TrendSheetPrdData[#All],9,FALSE),0)</f>
        <v>3674</v>
      </c>
      <c r="J3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3.1028851388132823</v>
      </c>
      <c r="K313" s="5">
        <f>VLOOKUP(TrendSheetStgData[Population]&amp;TrendSheetStgData[Trend],Threshold[#All],4,FALSE)</f>
        <v>10</v>
      </c>
      <c r="L313" s="5">
        <f>VLOOKUP(TrendSheetStgData[Population]&amp;TrendSheetStgData[Trend],Threshold[#All],5,FALSE)</f>
        <v>5</v>
      </c>
      <c r="M3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4" spans="1:13" x14ac:dyDescent="0.25">
      <c r="A314" t="s">
        <v>90</v>
      </c>
      <c r="B314" t="s">
        <v>90</v>
      </c>
      <c r="C314" t="s">
        <v>91</v>
      </c>
      <c r="D314" s="1" t="s">
        <v>105</v>
      </c>
      <c r="E314" t="s">
        <v>106</v>
      </c>
      <c r="F314" t="s">
        <v>32</v>
      </c>
      <c r="G314">
        <v>21</v>
      </c>
      <c r="H314">
        <v>4578</v>
      </c>
      <c r="I314" s="5">
        <f>IFERROR(VLOOKUP(TrendSheetStgData[Population]&amp;TrendSheetStgData[Cost Basis]&amp;TrendSheetStgData[Period]&amp;TrendSheetStgData[Trend],TrendSheetPrdData[#All],9,FALSE),0)</f>
        <v>4232</v>
      </c>
      <c r="J3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8.175803402646503</v>
      </c>
      <c r="K314" s="5">
        <f>VLOOKUP(TrendSheetStgData[Population]&amp;TrendSheetStgData[Trend],Threshold[#All],4,FALSE)</f>
        <v>10</v>
      </c>
      <c r="L314" s="5">
        <f>VLOOKUP(TrendSheetStgData[Population]&amp;TrendSheetStgData[Trend],Threshold[#All],5,FALSE)</f>
        <v>5</v>
      </c>
      <c r="M3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15" spans="1:13" x14ac:dyDescent="0.25">
      <c r="A315" t="s">
        <v>90</v>
      </c>
      <c r="B315" t="s">
        <v>90</v>
      </c>
      <c r="C315" t="s">
        <v>91</v>
      </c>
      <c r="D315" s="1" t="s">
        <v>107</v>
      </c>
      <c r="E315" t="s">
        <v>106</v>
      </c>
      <c r="F315" t="s">
        <v>32</v>
      </c>
      <c r="G315">
        <v>21</v>
      </c>
      <c r="H315">
        <v>3293</v>
      </c>
      <c r="I315" s="5">
        <f>IFERROR(VLOOKUP(TrendSheetStgData[Population]&amp;TrendSheetStgData[Cost Basis]&amp;TrendSheetStgData[Period]&amp;TrendSheetStgData[Trend],TrendSheetPrdData[#All],9,FALSE),0)</f>
        <v>1298</v>
      </c>
      <c r="J3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153.69799691833589</v>
      </c>
      <c r="K315" s="5">
        <f>VLOOKUP(TrendSheetStgData[Population]&amp;TrendSheetStgData[Trend],Threshold[#All],4,FALSE)</f>
        <v>10</v>
      </c>
      <c r="L315" s="5">
        <f>VLOOKUP(TrendSheetStgData[Population]&amp;TrendSheetStgData[Trend],Threshold[#All],5,FALSE)</f>
        <v>5</v>
      </c>
      <c r="M3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6" spans="1:13" x14ac:dyDescent="0.25">
      <c r="A316" t="s">
        <v>90</v>
      </c>
      <c r="B316" t="s">
        <v>90</v>
      </c>
      <c r="C316" t="s">
        <v>91</v>
      </c>
      <c r="D316" s="1" t="s">
        <v>108</v>
      </c>
      <c r="E316" t="s">
        <v>106</v>
      </c>
      <c r="F316" t="s">
        <v>32</v>
      </c>
      <c r="G316">
        <v>21</v>
      </c>
      <c r="H316">
        <v>2046</v>
      </c>
      <c r="I316" s="5">
        <f>IFERROR(VLOOKUP(TrendSheetStgData[Population]&amp;TrendSheetStgData[Cost Basis]&amp;TrendSheetStgData[Period]&amp;TrendSheetStgData[Trend],TrendSheetPrdData[#All],9,FALSE),0)</f>
        <v>0</v>
      </c>
      <c r="J3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16" s="5">
        <f>VLOOKUP(TrendSheetStgData[Population]&amp;TrendSheetStgData[Trend],Threshold[#All],4,FALSE)</f>
        <v>10</v>
      </c>
      <c r="L316" s="5">
        <f>VLOOKUP(TrendSheetStgData[Population]&amp;TrendSheetStgData[Trend],Threshold[#All],5,FALSE)</f>
        <v>5</v>
      </c>
      <c r="M3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7" spans="1:13" x14ac:dyDescent="0.25">
      <c r="A317" t="s">
        <v>90</v>
      </c>
      <c r="B317" t="s">
        <v>90</v>
      </c>
      <c r="C317" t="s">
        <v>91</v>
      </c>
      <c r="D317" s="1" t="s">
        <v>92</v>
      </c>
      <c r="E317" t="s">
        <v>93</v>
      </c>
      <c r="F317" t="s">
        <v>33</v>
      </c>
      <c r="G317">
        <v>22</v>
      </c>
      <c r="H317">
        <v>208</v>
      </c>
      <c r="I317" s="5">
        <f>IFERROR(VLOOKUP(TrendSheetStgData[Population]&amp;TrendSheetStgData[Cost Basis]&amp;TrendSheetStgData[Period]&amp;TrendSheetStgData[Trend],TrendSheetPrdData[#All],9,FALSE),0)</f>
        <v>212</v>
      </c>
      <c r="J3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1.8867924528301887</v>
      </c>
      <c r="K317" s="5">
        <f>VLOOKUP(TrendSheetStgData[Population]&amp;TrendSheetStgData[Trend],Threshold[#All],4,FALSE)</f>
        <v>10</v>
      </c>
      <c r="L317" s="5">
        <f>VLOOKUP(TrendSheetStgData[Population]&amp;TrendSheetStgData[Trend],Threshold[#All],5,FALSE)</f>
        <v>5</v>
      </c>
      <c r="M3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8" spans="1:13" x14ac:dyDescent="0.25">
      <c r="A318" t="s">
        <v>90</v>
      </c>
      <c r="B318" t="s">
        <v>90</v>
      </c>
      <c r="C318" t="s">
        <v>91</v>
      </c>
      <c r="D318" s="1" t="s">
        <v>94</v>
      </c>
      <c r="E318" t="s">
        <v>93</v>
      </c>
      <c r="F318" t="s">
        <v>33</v>
      </c>
      <c r="G318">
        <v>22</v>
      </c>
      <c r="H318">
        <v>171</v>
      </c>
      <c r="I318" s="5">
        <f>IFERROR(VLOOKUP(TrendSheetStgData[Population]&amp;TrendSheetStgData[Cost Basis]&amp;TrendSheetStgData[Period]&amp;TrendSheetStgData[Trend],TrendSheetPrdData[#All],9,FALSE),0)</f>
        <v>183</v>
      </c>
      <c r="J3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6.557377049180328</v>
      </c>
      <c r="K318" s="5">
        <f>VLOOKUP(TrendSheetStgData[Population]&amp;TrendSheetStgData[Trend],Threshold[#All],4,FALSE)</f>
        <v>10</v>
      </c>
      <c r="L318" s="5">
        <f>VLOOKUP(TrendSheetStgData[Population]&amp;TrendSheetStgData[Trend],Threshold[#All],5,FALSE)</f>
        <v>5</v>
      </c>
      <c r="M3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19" spans="1:13" x14ac:dyDescent="0.25">
      <c r="A319" t="s">
        <v>90</v>
      </c>
      <c r="B319" t="s">
        <v>90</v>
      </c>
      <c r="C319" t="s">
        <v>91</v>
      </c>
      <c r="D319" s="1" t="s">
        <v>95</v>
      </c>
      <c r="E319" t="s">
        <v>93</v>
      </c>
      <c r="F319" t="s">
        <v>33</v>
      </c>
      <c r="G319">
        <v>22</v>
      </c>
      <c r="H319">
        <v>196</v>
      </c>
      <c r="I319" s="5">
        <f>IFERROR(VLOOKUP(TrendSheetStgData[Population]&amp;TrendSheetStgData[Cost Basis]&amp;TrendSheetStgData[Period]&amp;TrendSheetStgData[Trend],TrendSheetPrdData[#All],9,FALSE),0)</f>
        <v>204</v>
      </c>
      <c r="J3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3.9215686274509802</v>
      </c>
      <c r="K319" s="5">
        <f>VLOOKUP(TrendSheetStgData[Population]&amp;TrendSheetStgData[Trend],Threshold[#All],4,FALSE)</f>
        <v>10</v>
      </c>
      <c r="L319" s="5">
        <f>VLOOKUP(TrendSheetStgData[Population]&amp;TrendSheetStgData[Trend],Threshold[#All],5,FALSE)</f>
        <v>5</v>
      </c>
      <c r="M3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0" spans="1:13" x14ac:dyDescent="0.25">
      <c r="A320" t="s">
        <v>90</v>
      </c>
      <c r="B320" t="s">
        <v>90</v>
      </c>
      <c r="C320" t="s">
        <v>91</v>
      </c>
      <c r="D320" s="1" t="s">
        <v>96</v>
      </c>
      <c r="E320" t="s">
        <v>93</v>
      </c>
      <c r="F320" t="s">
        <v>33</v>
      </c>
      <c r="G320">
        <v>22</v>
      </c>
      <c r="H320">
        <v>230</v>
      </c>
      <c r="I320" s="5">
        <f>IFERROR(VLOOKUP(TrendSheetStgData[Population]&amp;TrendSheetStgData[Cost Basis]&amp;TrendSheetStgData[Period]&amp;TrendSheetStgData[Trend],TrendSheetPrdData[#All],9,FALSE),0)</f>
        <v>233</v>
      </c>
      <c r="J3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1.2875536480686696</v>
      </c>
      <c r="K320" s="5">
        <f>VLOOKUP(TrendSheetStgData[Population]&amp;TrendSheetStgData[Trend],Threshold[#All],4,FALSE)</f>
        <v>10</v>
      </c>
      <c r="L320" s="5">
        <f>VLOOKUP(TrendSheetStgData[Population]&amp;TrendSheetStgData[Trend],Threshold[#All],5,FALSE)</f>
        <v>5</v>
      </c>
      <c r="M3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1" spans="1:13" x14ac:dyDescent="0.25">
      <c r="A321" t="s">
        <v>90</v>
      </c>
      <c r="B321" t="s">
        <v>90</v>
      </c>
      <c r="C321" t="s">
        <v>91</v>
      </c>
      <c r="D321" s="1" t="s">
        <v>97</v>
      </c>
      <c r="E321" t="s">
        <v>93</v>
      </c>
      <c r="F321" t="s">
        <v>33</v>
      </c>
      <c r="G321">
        <v>22</v>
      </c>
      <c r="H321">
        <v>215</v>
      </c>
      <c r="I321" s="5">
        <f>IFERROR(VLOOKUP(TrendSheetStgData[Population]&amp;TrendSheetStgData[Cost Basis]&amp;TrendSheetStgData[Period]&amp;TrendSheetStgData[Trend],TrendSheetPrdData[#All],9,FALSE),0)</f>
        <v>218</v>
      </c>
      <c r="J3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1.3761467889908259</v>
      </c>
      <c r="K321" s="5">
        <f>VLOOKUP(TrendSheetStgData[Population]&amp;TrendSheetStgData[Trend],Threshold[#All],4,FALSE)</f>
        <v>10</v>
      </c>
      <c r="L321" s="5">
        <f>VLOOKUP(TrendSheetStgData[Population]&amp;TrendSheetStgData[Trend],Threshold[#All],5,FALSE)</f>
        <v>5</v>
      </c>
      <c r="M3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2" spans="1:13" x14ac:dyDescent="0.25">
      <c r="A322" t="s">
        <v>90</v>
      </c>
      <c r="B322" t="s">
        <v>90</v>
      </c>
      <c r="C322" t="s">
        <v>91</v>
      </c>
      <c r="D322" s="1" t="s">
        <v>98</v>
      </c>
      <c r="E322" t="s">
        <v>93</v>
      </c>
      <c r="F322" t="s">
        <v>33</v>
      </c>
      <c r="G322">
        <v>22</v>
      </c>
      <c r="H322">
        <v>318</v>
      </c>
      <c r="I322" s="5">
        <f>IFERROR(VLOOKUP(TrendSheetStgData[Population]&amp;TrendSheetStgData[Cost Basis]&amp;TrendSheetStgData[Period]&amp;TrendSheetStgData[Trend],TrendSheetPrdData[#All],9,FALSE),0)</f>
        <v>321</v>
      </c>
      <c r="J3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0.93457943925233633</v>
      </c>
      <c r="K322" s="5">
        <f>VLOOKUP(TrendSheetStgData[Population]&amp;TrendSheetStgData[Trend],Threshold[#All],4,FALSE)</f>
        <v>10</v>
      </c>
      <c r="L322" s="5">
        <f>VLOOKUP(TrendSheetStgData[Population]&amp;TrendSheetStgData[Trend],Threshold[#All],5,FALSE)</f>
        <v>5</v>
      </c>
      <c r="M3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3" spans="1:13" x14ac:dyDescent="0.25">
      <c r="A323" t="s">
        <v>90</v>
      </c>
      <c r="B323" t="s">
        <v>90</v>
      </c>
      <c r="C323" t="s">
        <v>91</v>
      </c>
      <c r="D323" s="1" t="s">
        <v>99</v>
      </c>
      <c r="E323" t="s">
        <v>93</v>
      </c>
      <c r="F323" t="s">
        <v>33</v>
      </c>
      <c r="G323">
        <v>22</v>
      </c>
      <c r="H323">
        <v>299</v>
      </c>
      <c r="I323" s="5">
        <f>IFERROR(VLOOKUP(TrendSheetStgData[Population]&amp;TrendSheetStgData[Cost Basis]&amp;TrendSheetStgData[Period]&amp;TrendSheetStgData[Trend],TrendSheetPrdData[#All],9,FALSE),0)</f>
        <v>287</v>
      </c>
      <c r="J3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4.1811846689895473</v>
      </c>
      <c r="K323" s="5">
        <f>VLOOKUP(TrendSheetStgData[Population]&amp;TrendSheetStgData[Trend],Threshold[#All],4,FALSE)</f>
        <v>10</v>
      </c>
      <c r="L323" s="5">
        <f>VLOOKUP(TrendSheetStgData[Population]&amp;TrendSheetStgData[Trend],Threshold[#All],5,FALSE)</f>
        <v>5</v>
      </c>
      <c r="M3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4" spans="1:13" x14ac:dyDescent="0.25">
      <c r="A324" t="s">
        <v>90</v>
      </c>
      <c r="B324" t="s">
        <v>90</v>
      </c>
      <c r="C324" t="s">
        <v>91</v>
      </c>
      <c r="D324" s="1" t="s">
        <v>100</v>
      </c>
      <c r="E324" t="s">
        <v>93</v>
      </c>
      <c r="F324" t="s">
        <v>33</v>
      </c>
      <c r="G324">
        <v>22</v>
      </c>
      <c r="H324">
        <v>352</v>
      </c>
      <c r="I324" s="5">
        <f>IFERROR(VLOOKUP(TrendSheetStgData[Population]&amp;TrendSheetStgData[Cost Basis]&amp;TrendSheetStgData[Period]&amp;TrendSheetStgData[Trend],TrendSheetPrdData[#All],9,FALSE),0)</f>
        <v>368</v>
      </c>
      <c r="J3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4.3478260869565215</v>
      </c>
      <c r="K324" s="5">
        <f>VLOOKUP(TrendSheetStgData[Population]&amp;TrendSheetStgData[Trend],Threshold[#All],4,FALSE)</f>
        <v>10</v>
      </c>
      <c r="L324" s="5">
        <f>VLOOKUP(TrendSheetStgData[Population]&amp;TrendSheetStgData[Trend],Threshold[#All],5,FALSE)</f>
        <v>5</v>
      </c>
      <c r="M3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5" spans="1:13" x14ac:dyDescent="0.25">
      <c r="A325" t="s">
        <v>90</v>
      </c>
      <c r="B325" t="s">
        <v>90</v>
      </c>
      <c r="C325" t="s">
        <v>91</v>
      </c>
      <c r="D325" s="1" t="s">
        <v>101</v>
      </c>
      <c r="E325" t="s">
        <v>93</v>
      </c>
      <c r="F325" t="s">
        <v>33</v>
      </c>
      <c r="G325">
        <v>22</v>
      </c>
      <c r="H325">
        <v>365</v>
      </c>
      <c r="I325" s="5">
        <f>IFERROR(VLOOKUP(TrendSheetStgData[Population]&amp;TrendSheetStgData[Cost Basis]&amp;TrendSheetStgData[Period]&amp;TrendSheetStgData[Trend],TrendSheetPrdData[#All],9,FALSE),0)</f>
        <v>386</v>
      </c>
      <c r="J3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5.4404145077720205</v>
      </c>
      <c r="K325" s="5">
        <f>VLOOKUP(TrendSheetStgData[Population]&amp;TrendSheetStgData[Trend],Threshold[#All],4,FALSE)</f>
        <v>10</v>
      </c>
      <c r="L325" s="5">
        <f>VLOOKUP(TrendSheetStgData[Population]&amp;TrendSheetStgData[Trend],Threshold[#All],5,FALSE)</f>
        <v>5</v>
      </c>
      <c r="M3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26" spans="1:13" x14ac:dyDescent="0.25">
      <c r="A326" t="s">
        <v>90</v>
      </c>
      <c r="B326" t="s">
        <v>90</v>
      </c>
      <c r="C326" t="s">
        <v>91</v>
      </c>
      <c r="D326" s="1" t="s">
        <v>102</v>
      </c>
      <c r="E326" t="s">
        <v>93</v>
      </c>
      <c r="F326" t="s">
        <v>33</v>
      </c>
      <c r="G326">
        <v>22</v>
      </c>
      <c r="H326">
        <v>300</v>
      </c>
      <c r="I326" s="5">
        <f>IFERROR(VLOOKUP(TrendSheetStgData[Population]&amp;TrendSheetStgData[Cost Basis]&amp;TrendSheetStgData[Period]&amp;TrendSheetStgData[Trend],TrendSheetPrdData[#All],9,FALSE),0)</f>
        <v>304</v>
      </c>
      <c r="J3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1.3157894736842104</v>
      </c>
      <c r="K326" s="5">
        <f>VLOOKUP(TrendSheetStgData[Population]&amp;TrendSheetStgData[Trend],Threshold[#All],4,FALSE)</f>
        <v>10</v>
      </c>
      <c r="L326" s="5">
        <f>VLOOKUP(TrendSheetStgData[Population]&amp;TrendSheetStgData[Trend],Threshold[#All],5,FALSE)</f>
        <v>5</v>
      </c>
      <c r="M3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7" spans="1:13" x14ac:dyDescent="0.25">
      <c r="A327" t="s">
        <v>90</v>
      </c>
      <c r="B327" t="s">
        <v>90</v>
      </c>
      <c r="C327" t="s">
        <v>91</v>
      </c>
      <c r="D327" s="1" t="s">
        <v>103</v>
      </c>
      <c r="E327" t="s">
        <v>93</v>
      </c>
      <c r="F327" t="s">
        <v>33</v>
      </c>
      <c r="G327">
        <v>22</v>
      </c>
      <c r="H327">
        <v>306</v>
      </c>
      <c r="I327" s="5">
        <f>IFERROR(VLOOKUP(TrendSheetStgData[Population]&amp;TrendSheetStgData[Cost Basis]&amp;TrendSheetStgData[Period]&amp;TrendSheetStgData[Trend],TrendSheetPrdData[#All],9,FALSE),0)</f>
        <v>309</v>
      </c>
      <c r="J3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0.97087378640776689</v>
      </c>
      <c r="K327" s="5">
        <f>VLOOKUP(TrendSheetStgData[Population]&amp;TrendSheetStgData[Trend],Threshold[#All],4,FALSE)</f>
        <v>10</v>
      </c>
      <c r="L327" s="5">
        <f>VLOOKUP(TrendSheetStgData[Population]&amp;TrendSheetStgData[Trend],Threshold[#All],5,FALSE)</f>
        <v>5</v>
      </c>
      <c r="M3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8" spans="1:13" x14ac:dyDescent="0.25">
      <c r="A328" t="s">
        <v>90</v>
      </c>
      <c r="B328" t="s">
        <v>90</v>
      </c>
      <c r="C328" t="s">
        <v>91</v>
      </c>
      <c r="D328" s="1" t="s">
        <v>104</v>
      </c>
      <c r="E328" t="s">
        <v>93</v>
      </c>
      <c r="F328" t="s">
        <v>33</v>
      </c>
      <c r="G328">
        <v>22</v>
      </c>
      <c r="H328">
        <v>377</v>
      </c>
      <c r="I328" s="5">
        <f>IFERROR(VLOOKUP(TrendSheetStgData[Population]&amp;TrendSheetStgData[Cost Basis]&amp;TrendSheetStgData[Period]&amp;TrendSheetStgData[Trend],TrendSheetPrdData[#All],9,FALSE),0)</f>
        <v>323</v>
      </c>
      <c r="J3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16.718266253869967</v>
      </c>
      <c r="K328" s="5">
        <f>VLOOKUP(TrendSheetStgData[Population]&amp;TrendSheetStgData[Trend],Threshold[#All],4,FALSE)</f>
        <v>10</v>
      </c>
      <c r="L328" s="5">
        <f>VLOOKUP(TrendSheetStgData[Population]&amp;TrendSheetStgData[Trend],Threshold[#All],5,FALSE)</f>
        <v>5</v>
      </c>
      <c r="M3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9" spans="1:13" x14ac:dyDescent="0.25">
      <c r="A329" t="s">
        <v>90</v>
      </c>
      <c r="B329" t="s">
        <v>90</v>
      </c>
      <c r="C329" t="s">
        <v>91</v>
      </c>
      <c r="D329" s="1" t="s">
        <v>105</v>
      </c>
      <c r="E329" t="s">
        <v>106</v>
      </c>
      <c r="F329" t="s">
        <v>33</v>
      </c>
      <c r="G329">
        <v>22</v>
      </c>
      <c r="H329">
        <v>268</v>
      </c>
      <c r="I329" s="5">
        <f>IFERROR(VLOOKUP(TrendSheetStgData[Population]&amp;TrendSheetStgData[Cost Basis]&amp;TrendSheetStgData[Period]&amp;TrendSheetStgData[Trend],TrendSheetPrdData[#All],9,FALSE),0)</f>
        <v>241</v>
      </c>
      <c r="J3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11.20331950207469</v>
      </c>
      <c r="K329" s="5">
        <f>VLOOKUP(TrendSheetStgData[Population]&amp;TrendSheetStgData[Trend],Threshold[#All],4,FALSE)</f>
        <v>10</v>
      </c>
      <c r="L329" s="5">
        <f>VLOOKUP(TrendSheetStgData[Population]&amp;TrendSheetStgData[Trend],Threshold[#All],5,FALSE)</f>
        <v>5</v>
      </c>
      <c r="M3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0" spans="1:13" x14ac:dyDescent="0.25">
      <c r="A330" t="s">
        <v>90</v>
      </c>
      <c r="B330" t="s">
        <v>90</v>
      </c>
      <c r="C330" t="s">
        <v>91</v>
      </c>
      <c r="D330" s="1" t="s">
        <v>107</v>
      </c>
      <c r="E330" t="s">
        <v>106</v>
      </c>
      <c r="F330" t="s">
        <v>33</v>
      </c>
      <c r="G330">
        <v>22</v>
      </c>
      <c r="H330">
        <v>191</v>
      </c>
      <c r="I330" s="5">
        <f>IFERROR(VLOOKUP(TrendSheetStgData[Population]&amp;TrendSheetStgData[Cost Basis]&amp;TrendSheetStgData[Period]&amp;TrendSheetStgData[Trend],TrendSheetPrdData[#All],9,FALSE),0)</f>
        <v>85</v>
      </c>
      <c r="J3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124.70588235294117</v>
      </c>
      <c r="K330" s="5">
        <f>VLOOKUP(TrendSheetStgData[Population]&amp;TrendSheetStgData[Trend],Threshold[#All],4,FALSE)</f>
        <v>10</v>
      </c>
      <c r="L330" s="5">
        <f>VLOOKUP(TrendSheetStgData[Population]&amp;TrendSheetStgData[Trend],Threshold[#All],5,FALSE)</f>
        <v>5</v>
      </c>
      <c r="M3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1" spans="1:13" x14ac:dyDescent="0.25">
      <c r="A331" t="s">
        <v>90</v>
      </c>
      <c r="B331" t="s">
        <v>90</v>
      </c>
      <c r="C331" t="s">
        <v>91</v>
      </c>
      <c r="D331" s="1" t="s">
        <v>108</v>
      </c>
      <c r="E331" t="s">
        <v>106</v>
      </c>
      <c r="F331" t="s">
        <v>33</v>
      </c>
      <c r="G331">
        <v>22</v>
      </c>
      <c r="H331">
        <v>143</v>
      </c>
      <c r="I331" s="5">
        <f>IFERROR(VLOOKUP(TrendSheetStgData[Population]&amp;TrendSheetStgData[Cost Basis]&amp;TrendSheetStgData[Period]&amp;TrendSheetStgData[Trend],TrendSheetPrdData[#All],9,FALSE),0)</f>
        <v>0</v>
      </c>
      <c r="J3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31" s="5">
        <f>VLOOKUP(TrendSheetStgData[Population]&amp;TrendSheetStgData[Trend],Threshold[#All],4,FALSE)</f>
        <v>10</v>
      </c>
      <c r="L331" s="5">
        <f>VLOOKUP(TrendSheetStgData[Population]&amp;TrendSheetStgData[Trend],Threshold[#All],5,FALSE)</f>
        <v>5</v>
      </c>
      <c r="M3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2" spans="1:13" x14ac:dyDescent="0.25">
      <c r="A332" t="s">
        <v>90</v>
      </c>
      <c r="B332" t="s">
        <v>90</v>
      </c>
      <c r="C332" t="s">
        <v>91</v>
      </c>
      <c r="D332" s="1" t="s">
        <v>92</v>
      </c>
      <c r="E332" t="s">
        <v>93</v>
      </c>
      <c r="F332" t="s">
        <v>34</v>
      </c>
      <c r="G332">
        <v>23</v>
      </c>
      <c r="H332">
        <v>4529</v>
      </c>
      <c r="I332" s="5">
        <f>IFERROR(VLOOKUP(TrendSheetStgData[Population]&amp;TrendSheetStgData[Cost Basis]&amp;TrendSheetStgData[Period]&amp;TrendSheetStgData[Trend],TrendSheetPrdData[#All],9,FALSE),0)</f>
        <v>4529</v>
      </c>
      <c r="J3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2" s="5">
        <f>VLOOKUP(TrendSheetStgData[Population]&amp;TrendSheetStgData[Trend],Threshold[#All],4,FALSE)</f>
        <v>10</v>
      </c>
      <c r="L332" s="5">
        <f>VLOOKUP(TrendSheetStgData[Population]&amp;TrendSheetStgData[Trend],Threshold[#All],5,FALSE)</f>
        <v>5</v>
      </c>
      <c r="M3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3" spans="1:13" x14ac:dyDescent="0.25">
      <c r="A333" t="s">
        <v>90</v>
      </c>
      <c r="B333" t="s">
        <v>90</v>
      </c>
      <c r="C333" t="s">
        <v>91</v>
      </c>
      <c r="D333" s="1" t="s">
        <v>94</v>
      </c>
      <c r="E333" t="s">
        <v>93</v>
      </c>
      <c r="F333" t="s">
        <v>34</v>
      </c>
      <c r="G333">
        <v>23</v>
      </c>
      <c r="H333">
        <v>4099</v>
      </c>
      <c r="I333" s="5">
        <f>IFERROR(VLOOKUP(TrendSheetStgData[Population]&amp;TrendSheetStgData[Cost Basis]&amp;TrendSheetStgData[Period]&amp;TrendSheetStgData[Trend],TrendSheetPrdData[#All],9,FALSE),0)</f>
        <v>4099</v>
      </c>
      <c r="J3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3" s="5">
        <f>VLOOKUP(TrendSheetStgData[Population]&amp;TrendSheetStgData[Trend],Threshold[#All],4,FALSE)</f>
        <v>10</v>
      </c>
      <c r="L333" s="5">
        <f>VLOOKUP(TrendSheetStgData[Population]&amp;TrendSheetStgData[Trend],Threshold[#All],5,FALSE)</f>
        <v>5</v>
      </c>
      <c r="M3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4" spans="1:13" x14ac:dyDescent="0.25">
      <c r="A334" t="s">
        <v>90</v>
      </c>
      <c r="B334" t="s">
        <v>90</v>
      </c>
      <c r="C334" t="s">
        <v>91</v>
      </c>
      <c r="D334" s="1" t="s">
        <v>95</v>
      </c>
      <c r="E334" t="s">
        <v>93</v>
      </c>
      <c r="F334" t="s">
        <v>34</v>
      </c>
      <c r="G334">
        <v>23</v>
      </c>
      <c r="H334">
        <v>4095</v>
      </c>
      <c r="I334" s="5">
        <f>IFERROR(VLOOKUP(TrendSheetStgData[Population]&amp;TrendSheetStgData[Cost Basis]&amp;TrendSheetStgData[Period]&amp;TrendSheetStgData[Trend],TrendSheetPrdData[#All],9,FALSE),0)</f>
        <v>4095</v>
      </c>
      <c r="J3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4" s="5">
        <f>VLOOKUP(TrendSheetStgData[Population]&amp;TrendSheetStgData[Trend],Threshold[#All],4,FALSE)</f>
        <v>10</v>
      </c>
      <c r="L334" s="5">
        <f>VLOOKUP(TrendSheetStgData[Population]&amp;TrendSheetStgData[Trend],Threshold[#All],5,FALSE)</f>
        <v>5</v>
      </c>
      <c r="M3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5" spans="1:13" x14ac:dyDescent="0.25">
      <c r="A335" t="s">
        <v>90</v>
      </c>
      <c r="B335" t="s">
        <v>90</v>
      </c>
      <c r="C335" t="s">
        <v>91</v>
      </c>
      <c r="D335" s="1" t="s">
        <v>96</v>
      </c>
      <c r="E335" t="s">
        <v>93</v>
      </c>
      <c r="F335" t="s">
        <v>34</v>
      </c>
      <c r="G335">
        <v>23</v>
      </c>
      <c r="H335">
        <v>4097</v>
      </c>
      <c r="I335" s="5">
        <f>IFERROR(VLOOKUP(TrendSheetStgData[Population]&amp;TrendSheetStgData[Cost Basis]&amp;TrendSheetStgData[Period]&amp;TrendSheetStgData[Trend],TrendSheetPrdData[#All],9,FALSE),0)</f>
        <v>4096</v>
      </c>
      <c r="J3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2.44140625E-2</v>
      </c>
      <c r="K335" s="5">
        <f>VLOOKUP(TrendSheetStgData[Population]&amp;TrendSheetStgData[Trend],Threshold[#All],4,FALSE)</f>
        <v>10</v>
      </c>
      <c r="L335" s="5">
        <f>VLOOKUP(TrendSheetStgData[Population]&amp;TrendSheetStgData[Trend],Threshold[#All],5,FALSE)</f>
        <v>5</v>
      </c>
      <c r="M3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6" spans="1:13" x14ac:dyDescent="0.25">
      <c r="A336" t="s">
        <v>90</v>
      </c>
      <c r="B336" t="s">
        <v>90</v>
      </c>
      <c r="C336" t="s">
        <v>91</v>
      </c>
      <c r="D336" s="1" t="s">
        <v>97</v>
      </c>
      <c r="E336" t="s">
        <v>93</v>
      </c>
      <c r="F336" t="s">
        <v>34</v>
      </c>
      <c r="G336">
        <v>23</v>
      </c>
      <c r="H336">
        <v>3653</v>
      </c>
      <c r="I336" s="5">
        <f>IFERROR(VLOOKUP(TrendSheetStgData[Population]&amp;TrendSheetStgData[Cost Basis]&amp;TrendSheetStgData[Period]&amp;TrendSheetStgData[Trend],TrendSheetPrdData[#All],9,FALSE),0)</f>
        <v>3653</v>
      </c>
      <c r="J3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6" s="5">
        <f>VLOOKUP(TrendSheetStgData[Population]&amp;TrendSheetStgData[Trend],Threshold[#All],4,FALSE)</f>
        <v>10</v>
      </c>
      <c r="L336" s="5">
        <f>VLOOKUP(TrendSheetStgData[Population]&amp;TrendSheetStgData[Trend],Threshold[#All],5,FALSE)</f>
        <v>5</v>
      </c>
      <c r="M3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 spans="1:13" x14ac:dyDescent="0.25">
      <c r="A337" t="s">
        <v>90</v>
      </c>
      <c r="B337" t="s">
        <v>90</v>
      </c>
      <c r="C337" t="s">
        <v>91</v>
      </c>
      <c r="D337" s="1" t="s">
        <v>98</v>
      </c>
      <c r="E337" t="s">
        <v>93</v>
      </c>
      <c r="F337" t="s">
        <v>34</v>
      </c>
      <c r="G337">
        <v>23</v>
      </c>
      <c r="H337">
        <v>3958</v>
      </c>
      <c r="I337" s="5">
        <f>IFERROR(VLOOKUP(TrendSheetStgData[Population]&amp;TrendSheetStgData[Cost Basis]&amp;TrendSheetStgData[Period]&amp;TrendSheetStgData[Trend],TrendSheetPrdData[#All],9,FALSE),0)</f>
        <v>3957</v>
      </c>
      <c r="J3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2.5271670457417232E-2</v>
      </c>
      <c r="K337" s="5">
        <f>VLOOKUP(TrendSheetStgData[Population]&amp;TrendSheetStgData[Trend],Threshold[#All],4,FALSE)</f>
        <v>10</v>
      </c>
      <c r="L337" s="5">
        <f>VLOOKUP(TrendSheetStgData[Population]&amp;TrendSheetStgData[Trend],Threshold[#All],5,FALSE)</f>
        <v>5</v>
      </c>
      <c r="M3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8" spans="1:13" x14ac:dyDescent="0.25">
      <c r="A338" t="s">
        <v>90</v>
      </c>
      <c r="B338" t="s">
        <v>90</v>
      </c>
      <c r="C338" t="s">
        <v>91</v>
      </c>
      <c r="D338" s="1" t="s">
        <v>99</v>
      </c>
      <c r="E338" t="s">
        <v>93</v>
      </c>
      <c r="F338" t="s">
        <v>34</v>
      </c>
      <c r="G338">
        <v>23</v>
      </c>
      <c r="H338">
        <v>3845</v>
      </c>
      <c r="I338" s="5">
        <f>IFERROR(VLOOKUP(TrendSheetStgData[Population]&amp;TrendSheetStgData[Cost Basis]&amp;TrendSheetStgData[Period]&amp;TrendSheetStgData[Trend],TrendSheetPrdData[#All],9,FALSE),0)</f>
        <v>3845</v>
      </c>
      <c r="J3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8" s="5">
        <f>VLOOKUP(TrendSheetStgData[Population]&amp;TrendSheetStgData[Trend],Threshold[#All],4,FALSE)</f>
        <v>10</v>
      </c>
      <c r="L338" s="5">
        <f>VLOOKUP(TrendSheetStgData[Population]&amp;TrendSheetStgData[Trend],Threshold[#All],5,FALSE)</f>
        <v>5</v>
      </c>
      <c r="M3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9" spans="1:13" x14ac:dyDescent="0.25">
      <c r="A339" t="s">
        <v>90</v>
      </c>
      <c r="B339" t="s">
        <v>90</v>
      </c>
      <c r="C339" t="s">
        <v>91</v>
      </c>
      <c r="D339" s="1" t="s">
        <v>100</v>
      </c>
      <c r="E339" t="s">
        <v>93</v>
      </c>
      <c r="F339" t="s">
        <v>34</v>
      </c>
      <c r="G339">
        <v>23</v>
      </c>
      <c r="H339">
        <v>3944</v>
      </c>
      <c r="I339" s="5">
        <f>IFERROR(VLOOKUP(TrendSheetStgData[Population]&amp;TrendSheetStgData[Cost Basis]&amp;TrendSheetStgData[Period]&amp;TrendSheetStgData[Trend],TrendSheetPrdData[#All],9,FALSE),0)</f>
        <v>3944</v>
      </c>
      <c r="J3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9" s="5">
        <f>VLOOKUP(TrendSheetStgData[Population]&amp;TrendSheetStgData[Trend],Threshold[#All],4,FALSE)</f>
        <v>10</v>
      </c>
      <c r="L339" s="5">
        <f>VLOOKUP(TrendSheetStgData[Population]&amp;TrendSheetStgData[Trend],Threshold[#All],5,FALSE)</f>
        <v>5</v>
      </c>
      <c r="M3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0" spans="1:13" x14ac:dyDescent="0.25">
      <c r="A340" t="s">
        <v>90</v>
      </c>
      <c r="B340" t="s">
        <v>90</v>
      </c>
      <c r="C340" t="s">
        <v>91</v>
      </c>
      <c r="D340" s="1" t="s">
        <v>101</v>
      </c>
      <c r="E340" t="s">
        <v>93</v>
      </c>
      <c r="F340" t="s">
        <v>34</v>
      </c>
      <c r="G340">
        <v>23</v>
      </c>
      <c r="H340">
        <v>4135</v>
      </c>
      <c r="I340" s="5">
        <f>IFERROR(VLOOKUP(TrendSheetStgData[Population]&amp;TrendSheetStgData[Cost Basis]&amp;TrendSheetStgData[Period]&amp;TrendSheetStgData[Trend],TrendSheetPrdData[#All],9,FALSE),0)</f>
        <v>4135</v>
      </c>
      <c r="J3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0" s="5">
        <f>VLOOKUP(TrendSheetStgData[Population]&amp;TrendSheetStgData[Trend],Threshold[#All],4,FALSE)</f>
        <v>10</v>
      </c>
      <c r="L340" s="5">
        <f>VLOOKUP(TrendSheetStgData[Population]&amp;TrendSheetStgData[Trend],Threshold[#All],5,FALSE)</f>
        <v>5</v>
      </c>
      <c r="M3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 spans="1:13" x14ac:dyDescent="0.25">
      <c r="A341" t="s">
        <v>90</v>
      </c>
      <c r="B341" t="s">
        <v>90</v>
      </c>
      <c r="C341" t="s">
        <v>91</v>
      </c>
      <c r="D341" s="1" t="s">
        <v>102</v>
      </c>
      <c r="E341" t="s">
        <v>93</v>
      </c>
      <c r="F341" t="s">
        <v>34</v>
      </c>
      <c r="G341">
        <v>23</v>
      </c>
      <c r="H341">
        <v>4402</v>
      </c>
      <c r="I341" s="5">
        <f>IFERROR(VLOOKUP(TrendSheetStgData[Population]&amp;TrendSheetStgData[Cost Basis]&amp;TrendSheetStgData[Period]&amp;TrendSheetStgData[Trend],TrendSheetPrdData[#All],9,FALSE),0)</f>
        <v>4400</v>
      </c>
      <c r="J3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4.5454545454545456E-2</v>
      </c>
      <c r="K341" s="5">
        <f>VLOOKUP(TrendSheetStgData[Population]&amp;TrendSheetStgData[Trend],Threshold[#All],4,FALSE)</f>
        <v>10</v>
      </c>
      <c r="L341" s="5">
        <f>VLOOKUP(TrendSheetStgData[Population]&amp;TrendSheetStgData[Trend],Threshold[#All],5,FALSE)</f>
        <v>5</v>
      </c>
      <c r="M3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 spans="1:13" x14ac:dyDescent="0.25">
      <c r="A342" t="s">
        <v>90</v>
      </c>
      <c r="B342" t="s">
        <v>90</v>
      </c>
      <c r="C342" t="s">
        <v>91</v>
      </c>
      <c r="D342" s="1" t="s">
        <v>103</v>
      </c>
      <c r="E342" t="s">
        <v>93</v>
      </c>
      <c r="F342" t="s">
        <v>34</v>
      </c>
      <c r="G342">
        <v>23</v>
      </c>
      <c r="H342">
        <v>4347</v>
      </c>
      <c r="I342" s="5">
        <f>IFERROR(VLOOKUP(TrendSheetStgData[Population]&amp;TrendSheetStgData[Cost Basis]&amp;TrendSheetStgData[Period]&amp;TrendSheetStgData[Trend],TrendSheetPrdData[#All],9,FALSE),0)</f>
        <v>4346</v>
      </c>
      <c r="J3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2.3009664058904741E-2</v>
      </c>
      <c r="K342" s="5">
        <f>VLOOKUP(TrendSheetStgData[Population]&amp;TrendSheetStgData[Trend],Threshold[#All],4,FALSE)</f>
        <v>10</v>
      </c>
      <c r="L342" s="5">
        <f>VLOOKUP(TrendSheetStgData[Population]&amp;TrendSheetStgData[Trend],Threshold[#All],5,FALSE)</f>
        <v>5</v>
      </c>
      <c r="M3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3" spans="1:13" x14ac:dyDescent="0.25">
      <c r="A343" t="s">
        <v>90</v>
      </c>
      <c r="B343" t="s">
        <v>90</v>
      </c>
      <c r="C343" t="s">
        <v>91</v>
      </c>
      <c r="D343" s="1" t="s">
        <v>104</v>
      </c>
      <c r="E343" t="s">
        <v>93</v>
      </c>
      <c r="F343" t="s">
        <v>34</v>
      </c>
      <c r="G343">
        <v>23</v>
      </c>
      <c r="H343">
        <v>3951</v>
      </c>
      <c r="I343" s="5">
        <f>IFERROR(VLOOKUP(TrendSheetStgData[Population]&amp;TrendSheetStgData[Cost Basis]&amp;TrendSheetStgData[Period]&amp;TrendSheetStgData[Trend],TrendSheetPrdData[#All],9,FALSE),0)</f>
        <v>3952</v>
      </c>
      <c r="J3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2.5303643724696356E-2</v>
      </c>
      <c r="K343" s="5">
        <f>VLOOKUP(TrendSheetStgData[Population]&amp;TrendSheetStgData[Trend],Threshold[#All],4,FALSE)</f>
        <v>10</v>
      </c>
      <c r="L343" s="5">
        <f>VLOOKUP(TrendSheetStgData[Population]&amp;TrendSheetStgData[Trend],Threshold[#All],5,FALSE)</f>
        <v>5</v>
      </c>
      <c r="M3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4" spans="1:13" x14ac:dyDescent="0.25">
      <c r="A344" t="s">
        <v>90</v>
      </c>
      <c r="B344" t="s">
        <v>90</v>
      </c>
      <c r="C344" t="s">
        <v>91</v>
      </c>
      <c r="D344" s="1" t="s">
        <v>105</v>
      </c>
      <c r="E344" t="s">
        <v>106</v>
      </c>
      <c r="F344" t="s">
        <v>34</v>
      </c>
      <c r="G344">
        <v>23</v>
      </c>
      <c r="H344">
        <v>4433</v>
      </c>
      <c r="I344" s="5">
        <f>IFERROR(VLOOKUP(TrendSheetStgData[Population]&amp;TrendSheetStgData[Cost Basis]&amp;TrendSheetStgData[Period]&amp;TrendSheetStgData[Trend],TrendSheetPrdData[#All],9,FALSE),0)</f>
        <v>4498</v>
      </c>
      <c r="J3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1.4450867052023122</v>
      </c>
      <c r="K344" s="5">
        <f>VLOOKUP(TrendSheetStgData[Population]&amp;TrendSheetStgData[Trend],Threshold[#All],4,FALSE)</f>
        <v>10</v>
      </c>
      <c r="L344" s="5">
        <f>VLOOKUP(TrendSheetStgData[Population]&amp;TrendSheetStgData[Trend],Threshold[#All],5,FALSE)</f>
        <v>5</v>
      </c>
      <c r="M3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5" spans="1:13" x14ac:dyDescent="0.25">
      <c r="A345" t="s">
        <v>90</v>
      </c>
      <c r="B345" t="s">
        <v>90</v>
      </c>
      <c r="C345" t="s">
        <v>91</v>
      </c>
      <c r="D345" s="1" t="s">
        <v>107</v>
      </c>
      <c r="E345" t="s">
        <v>106</v>
      </c>
      <c r="F345" t="s">
        <v>34</v>
      </c>
      <c r="G345">
        <v>23</v>
      </c>
      <c r="H345">
        <v>3978</v>
      </c>
      <c r="I345" s="5">
        <f>IFERROR(VLOOKUP(TrendSheetStgData[Population]&amp;TrendSheetStgData[Cost Basis]&amp;TrendSheetStgData[Period]&amp;TrendSheetStgData[Trend],TrendSheetPrdData[#All],9,FALSE),0)</f>
        <v>3147</v>
      </c>
      <c r="J3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26.406101048617732</v>
      </c>
      <c r="K345" s="5">
        <f>VLOOKUP(TrendSheetStgData[Population]&amp;TrendSheetStgData[Trend],Threshold[#All],4,FALSE)</f>
        <v>10</v>
      </c>
      <c r="L345" s="5">
        <f>VLOOKUP(TrendSheetStgData[Population]&amp;TrendSheetStgData[Trend],Threshold[#All],5,FALSE)</f>
        <v>5</v>
      </c>
      <c r="M3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6" spans="1:13" x14ac:dyDescent="0.25">
      <c r="A346" t="s">
        <v>90</v>
      </c>
      <c r="B346" t="s">
        <v>90</v>
      </c>
      <c r="C346" t="s">
        <v>91</v>
      </c>
      <c r="D346" s="1" t="s">
        <v>108</v>
      </c>
      <c r="E346" t="s">
        <v>106</v>
      </c>
      <c r="F346" t="s">
        <v>34</v>
      </c>
      <c r="G346">
        <v>23</v>
      </c>
      <c r="H346">
        <v>2812</v>
      </c>
      <c r="I346" s="5">
        <f>IFERROR(VLOOKUP(TrendSheetStgData[Population]&amp;TrendSheetStgData[Cost Basis]&amp;TrendSheetStgData[Period]&amp;TrendSheetStgData[Trend],TrendSheetPrdData[#All],9,FALSE),0)</f>
        <v>0</v>
      </c>
      <c r="J3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46" s="5">
        <f>VLOOKUP(TrendSheetStgData[Population]&amp;TrendSheetStgData[Trend],Threshold[#All],4,FALSE)</f>
        <v>10</v>
      </c>
      <c r="L346" s="5">
        <f>VLOOKUP(TrendSheetStgData[Population]&amp;TrendSheetStgData[Trend],Threshold[#All],5,FALSE)</f>
        <v>5</v>
      </c>
      <c r="M3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7" spans="1:13" x14ac:dyDescent="0.25">
      <c r="A347" t="s">
        <v>90</v>
      </c>
      <c r="B347" t="s">
        <v>90</v>
      </c>
      <c r="C347" t="s">
        <v>78</v>
      </c>
      <c r="D347" s="1" t="s">
        <v>92</v>
      </c>
      <c r="E347" t="s">
        <v>93</v>
      </c>
      <c r="F347" t="s">
        <v>12</v>
      </c>
      <c r="G347">
        <v>1</v>
      </c>
      <c r="H347">
        <v>311.83</v>
      </c>
      <c r="I347" s="5">
        <f>IFERROR(VLOOKUP(TrendSheetStgData[Population]&amp;TrendSheetStgData[Cost Basis]&amp;TrendSheetStgData[Period]&amp;TrendSheetStgData[Trend],TrendSheetPrdData[#All],9,FALSE),0)</f>
        <v>307.04000000000002</v>
      </c>
      <c r="J3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1.560057321521614</v>
      </c>
      <c r="K347" s="5">
        <f>VLOOKUP(TrendSheetStgData[Population]&amp;TrendSheetStgData[Trend],Threshold[#All],4,FALSE)</f>
        <v>10</v>
      </c>
      <c r="L347" s="5">
        <f>VLOOKUP(TrendSheetStgData[Population]&amp;TrendSheetStgData[Trend],Threshold[#All],5,FALSE)</f>
        <v>5</v>
      </c>
      <c r="M3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8" spans="1:13" x14ac:dyDescent="0.25">
      <c r="A348" t="s">
        <v>90</v>
      </c>
      <c r="B348" t="s">
        <v>90</v>
      </c>
      <c r="C348" t="s">
        <v>78</v>
      </c>
      <c r="D348" s="1" t="s">
        <v>94</v>
      </c>
      <c r="E348" t="s">
        <v>93</v>
      </c>
      <c r="F348" t="s">
        <v>12</v>
      </c>
      <c r="G348">
        <v>1</v>
      </c>
      <c r="H348">
        <v>710.64</v>
      </c>
      <c r="I348" s="5">
        <f>IFERROR(VLOOKUP(TrendSheetStgData[Population]&amp;TrendSheetStgData[Cost Basis]&amp;TrendSheetStgData[Period]&amp;TrendSheetStgData[Trend],TrendSheetPrdData[#All],9,FALSE),0)</f>
        <v>345.98</v>
      </c>
      <c r="J3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105.39915602057921</v>
      </c>
      <c r="K348" s="5">
        <f>VLOOKUP(TrendSheetStgData[Population]&amp;TrendSheetStgData[Trend],Threshold[#All],4,FALSE)</f>
        <v>10</v>
      </c>
      <c r="L348" s="5">
        <f>VLOOKUP(TrendSheetStgData[Population]&amp;TrendSheetStgData[Trend],Threshold[#All],5,FALSE)</f>
        <v>5</v>
      </c>
      <c r="M3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9" spans="1:13" x14ac:dyDescent="0.25">
      <c r="A349" t="s">
        <v>90</v>
      </c>
      <c r="B349" t="s">
        <v>90</v>
      </c>
      <c r="C349" t="s">
        <v>78</v>
      </c>
      <c r="D349" s="1" t="s">
        <v>95</v>
      </c>
      <c r="E349" t="s">
        <v>93</v>
      </c>
      <c r="F349" t="s">
        <v>12</v>
      </c>
      <c r="G349">
        <v>1</v>
      </c>
      <c r="H349">
        <v>345.89</v>
      </c>
      <c r="I349" s="5">
        <f>IFERROR(VLOOKUP(TrendSheetStgData[Population]&amp;TrendSheetStgData[Cost Basis]&amp;TrendSheetStgData[Period]&amp;TrendSheetStgData[Trend],TrendSheetPrdData[#All],9,FALSE),0)</f>
        <v>336.21</v>
      </c>
      <c r="J3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2.8791529103833935</v>
      </c>
      <c r="K349" s="5">
        <f>VLOOKUP(TrendSheetStgData[Population]&amp;TrendSheetStgData[Trend],Threshold[#All],4,FALSE)</f>
        <v>10</v>
      </c>
      <c r="L349" s="5">
        <f>VLOOKUP(TrendSheetStgData[Population]&amp;TrendSheetStgData[Trend],Threshold[#All],5,FALSE)</f>
        <v>5</v>
      </c>
      <c r="M3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0" spans="1:13" x14ac:dyDescent="0.25">
      <c r="A350" t="s">
        <v>90</v>
      </c>
      <c r="B350" t="s">
        <v>90</v>
      </c>
      <c r="C350" t="s">
        <v>78</v>
      </c>
      <c r="D350" s="1" t="s">
        <v>96</v>
      </c>
      <c r="E350" t="s">
        <v>93</v>
      </c>
      <c r="F350" t="s">
        <v>12</v>
      </c>
      <c r="G350">
        <v>1</v>
      </c>
      <c r="H350">
        <v>353.67</v>
      </c>
      <c r="I350" s="5">
        <f>IFERROR(VLOOKUP(TrendSheetStgData[Population]&amp;TrendSheetStgData[Cost Basis]&amp;TrendSheetStgData[Period]&amp;TrendSheetStgData[Trend],TrendSheetPrdData[#All],9,FALSE),0)</f>
        <v>348.38</v>
      </c>
      <c r="J3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1.5184568574545096</v>
      </c>
      <c r="K350" s="5">
        <f>VLOOKUP(TrendSheetStgData[Population]&amp;TrendSheetStgData[Trend],Threshold[#All],4,FALSE)</f>
        <v>10</v>
      </c>
      <c r="L350" s="5">
        <f>VLOOKUP(TrendSheetStgData[Population]&amp;TrendSheetStgData[Trend],Threshold[#All],5,FALSE)</f>
        <v>5</v>
      </c>
      <c r="M3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1" spans="1:13" x14ac:dyDescent="0.25">
      <c r="A351" t="s">
        <v>90</v>
      </c>
      <c r="B351" t="s">
        <v>90</v>
      </c>
      <c r="C351" t="s">
        <v>78</v>
      </c>
      <c r="D351" s="1" t="s">
        <v>97</v>
      </c>
      <c r="E351" t="s">
        <v>93</v>
      </c>
      <c r="F351" t="s">
        <v>12</v>
      </c>
      <c r="G351">
        <v>1</v>
      </c>
      <c r="H351">
        <v>351.57</v>
      </c>
      <c r="I351" s="5">
        <f>IFERROR(VLOOKUP(TrendSheetStgData[Population]&amp;TrendSheetStgData[Cost Basis]&amp;TrendSheetStgData[Period]&amp;TrendSheetStgData[Trend],TrendSheetPrdData[#All],9,FALSE),0)</f>
        <v>336.1</v>
      </c>
      <c r="J3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4.6027967866706243</v>
      </c>
      <c r="K351" s="5">
        <f>VLOOKUP(TrendSheetStgData[Population]&amp;TrendSheetStgData[Trend],Threshold[#All],4,FALSE)</f>
        <v>10</v>
      </c>
      <c r="L351" s="5">
        <f>VLOOKUP(TrendSheetStgData[Population]&amp;TrendSheetStgData[Trend],Threshold[#All],5,FALSE)</f>
        <v>5</v>
      </c>
      <c r="M3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2" spans="1:13" x14ac:dyDescent="0.25">
      <c r="A352" t="s">
        <v>90</v>
      </c>
      <c r="B352" t="s">
        <v>90</v>
      </c>
      <c r="C352" t="s">
        <v>78</v>
      </c>
      <c r="D352" s="1" t="s">
        <v>98</v>
      </c>
      <c r="E352" t="s">
        <v>93</v>
      </c>
      <c r="F352" t="s">
        <v>12</v>
      </c>
      <c r="G352">
        <v>1</v>
      </c>
      <c r="H352">
        <v>225.82</v>
      </c>
      <c r="I352" s="5">
        <f>IFERROR(VLOOKUP(TrendSheetStgData[Population]&amp;TrendSheetStgData[Cost Basis]&amp;TrendSheetStgData[Period]&amp;TrendSheetStgData[Trend],TrendSheetPrdData[#All],9,FALSE),0)</f>
        <v>220.47</v>
      </c>
      <c r="J3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2.426634009162242</v>
      </c>
      <c r="K352" s="5">
        <f>VLOOKUP(TrendSheetStgData[Population]&amp;TrendSheetStgData[Trend],Threshold[#All],4,FALSE)</f>
        <v>10</v>
      </c>
      <c r="L352" s="5">
        <f>VLOOKUP(TrendSheetStgData[Population]&amp;TrendSheetStgData[Trend],Threshold[#All],5,FALSE)</f>
        <v>5</v>
      </c>
      <c r="M3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3" spans="1:13" x14ac:dyDescent="0.25">
      <c r="A353" t="s">
        <v>90</v>
      </c>
      <c r="B353" t="s">
        <v>90</v>
      </c>
      <c r="C353" t="s">
        <v>78</v>
      </c>
      <c r="D353" s="1" t="s">
        <v>99</v>
      </c>
      <c r="E353" t="s">
        <v>93</v>
      </c>
      <c r="F353" t="s">
        <v>12</v>
      </c>
      <c r="G353">
        <v>1</v>
      </c>
      <c r="H353">
        <v>236.87</v>
      </c>
      <c r="I353" s="5">
        <f>IFERROR(VLOOKUP(TrendSheetStgData[Population]&amp;TrendSheetStgData[Cost Basis]&amp;TrendSheetStgData[Period]&amp;TrendSheetStgData[Trend],TrendSheetPrdData[#All],9,FALSE),0)</f>
        <v>232.97</v>
      </c>
      <c r="J3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1.6740352835129011</v>
      </c>
      <c r="K353" s="5">
        <f>VLOOKUP(TrendSheetStgData[Population]&amp;TrendSheetStgData[Trend],Threshold[#All],4,FALSE)</f>
        <v>10</v>
      </c>
      <c r="L353" s="5">
        <f>VLOOKUP(TrendSheetStgData[Population]&amp;TrendSheetStgData[Trend],Threshold[#All],5,FALSE)</f>
        <v>5</v>
      </c>
      <c r="M3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4" spans="1:13" x14ac:dyDescent="0.25">
      <c r="A354" t="s">
        <v>90</v>
      </c>
      <c r="B354" t="s">
        <v>90</v>
      </c>
      <c r="C354" t="s">
        <v>78</v>
      </c>
      <c r="D354" s="1" t="s">
        <v>100</v>
      </c>
      <c r="E354" t="s">
        <v>93</v>
      </c>
      <c r="F354" t="s">
        <v>12</v>
      </c>
      <c r="G354">
        <v>1</v>
      </c>
      <c r="H354">
        <v>317.87</v>
      </c>
      <c r="I354" s="5">
        <f>IFERROR(VLOOKUP(TrendSheetStgData[Population]&amp;TrendSheetStgData[Cost Basis]&amp;TrendSheetStgData[Period]&amp;TrendSheetStgData[Trend],TrendSheetPrdData[#All],9,FALSE),0)</f>
        <v>320.48</v>
      </c>
      <c r="J3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0.81440339490764269</v>
      </c>
      <c r="K354" s="5">
        <f>VLOOKUP(TrendSheetStgData[Population]&amp;TrendSheetStgData[Trend],Threshold[#All],4,FALSE)</f>
        <v>10</v>
      </c>
      <c r="L354" s="5">
        <f>VLOOKUP(TrendSheetStgData[Population]&amp;TrendSheetStgData[Trend],Threshold[#All],5,FALSE)</f>
        <v>5</v>
      </c>
      <c r="M3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5" spans="1:13" x14ac:dyDescent="0.25">
      <c r="A355" t="s">
        <v>90</v>
      </c>
      <c r="B355" t="s">
        <v>90</v>
      </c>
      <c r="C355" t="s">
        <v>78</v>
      </c>
      <c r="D355" s="1" t="s">
        <v>101</v>
      </c>
      <c r="E355" t="s">
        <v>93</v>
      </c>
      <c r="F355" t="s">
        <v>12</v>
      </c>
      <c r="G355">
        <v>1</v>
      </c>
      <c r="H355">
        <v>266.66000000000003</v>
      </c>
      <c r="I355" s="5">
        <f>IFERROR(VLOOKUP(TrendSheetStgData[Population]&amp;TrendSheetStgData[Cost Basis]&amp;TrendSheetStgData[Period]&amp;TrendSheetStgData[Trend],TrendSheetPrdData[#All],9,FALSE),0)</f>
        <v>263.97000000000003</v>
      </c>
      <c r="J3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1.0190551956661731</v>
      </c>
      <c r="K355" s="5">
        <f>VLOOKUP(TrendSheetStgData[Population]&amp;TrendSheetStgData[Trend],Threshold[#All],4,FALSE)</f>
        <v>10</v>
      </c>
      <c r="L355" s="5">
        <f>VLOOKUP(TrendSheetStgData[Population]&amp;TrendSheetStgData[Trend],Threshold[#All],5,FALSE)</f>
        <v>5</v>
      </c>
      <c r="M3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6" spans="1:13" x14ac:dyDescent="0.25">
      <c r="A356" t="s">
        <v>90</v>
      </c>
      <c r="B356" t="s">
        <v>90</v>
      </c>
      <c r="C356" t="s">
        <v>78</v>
      </c>
      <c r="D356" s="1" t="s">
        <v>102</v>
      </c>
      <c r="E356" t="s">
        <v>93</v>
      </c>
      <c r="F356" t="s">
        <v>12</v>
      </c>
      <c r="G356">
        <v>1</v>
      </c>
      <c r="H356">
        <v>275.04000000000002</v>
      </c>
      <c r="I356" s="5">
        <f>IFERROR(VLOOKUP(TrendSheetStgData[Population]&amp;TrendSheetStgData[Cost Basis]&amp;TrendSheetStgData[Period]&amp;TrendSheetStgData[Trend],TrendSheetPrdData[#All],9,FALSE),0)</f>
        <v>258.60000000000002</v>
      </c>
      <c r="J3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6.3573085846867734</v>
      </c>
      <c r="K356" s="5">
        <f>VLOOKUP(TrendSheetStgData[Population]&amp;TrendSheetStgData[Trend],Threshold[#All],4,FALSE)</f>
        <v>10</v>
      </c>
      <c r="L356" s="5">
        <f>VLOOKUP(TrendSheetStgData[Population]&amp;TrendSheetStgData[Trend],Threshold[#All],5,FALSE)</f>
        <v>5</v>
      </c>
      <c r="M3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57" spans="1:13" x14ac:dyDescent="0.25">
      <c r="A357" t="s">
        <v>90</v>
      </c>
      <c r="B357" t="s">
        <v>90</v>
      </c>
      <c r="C357" t="s">
        <v>78</v>
      </c>
      <c r="D357" s="1" t="s">
        <v>103</v>
      </c>
      <c r="E357" t="s">
        <v>93</v>
      </c>
      <c r="F357" t="s">
        <v>12</v>
      </c>
      <c r="G357">
        <v>1</v>
      </c>
      <c r="H357">
        <v>192.48</v>
      </c>
      <c r="I357" s="5">
        <f>IFERROR(VLOOKUP(TrendSheetStgData[Population]&amp;TrendSheetStgData[Cost Basis]&amp;TrendSheetStgData[Period]&amp;TrendSheetStgData[Trend],TrendSheetPrdData[#All],9,FALSE),0)</f>
        <v>174.63</v>
      </c>
      <c r="J3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10.221611406974745</v>
      </c>
      <c r="K357" s="5">
        <f>VLOOKUP(TrendSheetStgData[Population]&amp;TrendSheetStgData[Trend],Threshold[#All],4,FALSE)</f>
        <v>10</v>
      </c>
      <c r="L357" s="5">
        <f>VLOOKUP(TrendSheetStgData[Population]&amp;TrendSheetStgData[Trend],Threshold[#All],5,FALSE)</f>
        <v>5</v>
      </c>
      <c r="M3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8" spans="1:13" x14ac:dyDescent="0.25">
      <c r="A358" t="s">
        <v>90</v>
      </c>
      <c r="B358" t="s">
        <v>90</v>
      </c>
      <c r="C358" t="s">
        <v>78</v>
      </c>
      <c r="D358" s="1" t="s">
        <v>104</v>
      </c>
      <c r="E358" t="s">
        <v>93</v>
      </c>
      <c r="F358" t="s">
        <v>12</v>
      </c>
      <c r="G358">
        <v>1</v>
      </c>
      <c r="H358">
        <v>195.11</v>
      </c>
      <c r="I358" s="5">
        <f>IFERROR(VLOOKUP(TrendSheetStgData[Population]&amp;TrendSheetStgData[Cost Basis]&amp;TrendSheetStgData[Period]&amp;TrendSheetStgData[Trend],TrendSheetPrdData[#All],9,FALSE),0)</f>
        <v>186.45</v>
      </c>
      <c r="J3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4.6446768570662513</v>
      </c>
      <c r="K358" s="5">
        <f>VLOOKUP(TrendSheetStgData[Population]&amp;TrendSheetStgData[Trend],Threshold[#All],4,FALSE)</f>
        <v>10</v>
      </c>
      <c r="L358" s="5">
        <f>VLOOKUP(TrendSheetStgData[Population]&amp;TrendSheetStgData[Trend],Threshold[#All],5,FALSE)</f>
        <v>5</v>
      </c>
      <c r="M3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9" spans="1:13" x14ac:dyDescent="0.25">
      <c r="A359" t="s">
        <v>90</v>
      </c>
      <c r="B359" t="s">
        <v>90</v>
      </c>
      <c r="C359" t="s">
        <v>78</v>
      </c>
      <c r="D359" s="1" t="s">
        <v>105</v>
      </c>
      <c r="E359" t="s">
        <v>106</v>
      </c>
      <c r="F359" t="s">
        <v>12</v>
      </c>
      <c r="G359">
        <v>1</v>
      </c>
      <c r="H359">
        <v>235.47</v>
      </c>
      <c r="I359" s="5">
        <f>IFERROR(VLOOKUP(TrendSheetStgData[Population]&amp;TrendSheetStgData[Cost Basis]&amp;TrendSheetStgData[Period]&amp;TrendSheetStgData[Trend],TrendSheetPrdData[#All],9,FALSE),0)</f>
        <v>206.1</v>
      </c>
      <c r="J3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14.250363901018925</v>
      </c>
      <c r="K359" s="5">
        <f>VLOOKUP(TrendSheetStgData[Population]&amp;TrendSheetStgData[Trend],Threshold[#All],4,FALSE)</f>
        <v>10</v>
      </c>
      <c r="L359" s="5">
        <f>VLOOKUP(TrendSheetStgData[Population]&amp;TrendSheetStgData[Trend],Threshold[#All],5,FALSE)</f>
        <v>5</v>
      </c>
      <c r="M3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0" spans="1:13" x14ac:dyDescent="0.25">
      <c r="A360" t="s">
        <v>90</v>
      </c>
      <c r="B360" t="s">
        <v>90</v>
      </c>
      <c r="C360" t="s">
        <v>78</v>
      </c>
      <c r="D360" s="1" t="s">
        <v>107</v>
      </c>
      <c r="E360" t="s">
        <v>106</v>
      </c>
      <c r="F360" t="s">
        <v>12</v>
      </c>
      <c r="G360">
        <v>1</v>
      </c>
      <c r="H360">
        <v>443.95</v>
      </c>
      <c r="I360" s="5">
        <f>IFERROR(VLOOKUP(TrendSheetStgData[Population]&amp;TrendSheetStgData[Cost Basis]&amp;TrendSheetStgData[Period]&amp;TrendSheetStgData[Trend],TrendSheetPrdData[#All],9,FALSE),0)</f>
        <v>58.63</v>
      </c>
      <c r="J3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657.20620842572055</v>
      </c>
      <c r="K360" s="5">
        <f>VLOOKUP(TrendSheetStgData[Population]&amp;TrendSheetStgData[Trend],Threshold[#All],4,FALSE)</f>
        <v>10</v>
      </c>
      <c r="L360" s="5">
        <f>VLOOKUP(TrendSheetStgData[Population]&amp;TrendSheetStgData[Trend],Threshold[#All],5,FALSE)</f>
        <v>5</v>
      </c>
      <c r="M3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1" spans="1:13" x14ac:dyDescent="0.25">
      <c r="A361" t="s">
        <v>90</v>
      </c>
      <c r="B361" t="s">
        <v>90</v>
      </c>
      <c r="C361" t="s">
        <v>78</v>
      </c>
      <c r="D361" s="1" t="s">
        <v>108</v>
      </c>
      <c r="E361" t="s">
        <v>106</v>
      </c>
      <c r="F361" t="s">
        <v>12</v>
      </c>
      <c r="G361">
        <v>1</v>
      </c>
      <c r="H361">
        <v>103.78</v>
      </c>
      <c r="I361" s="5">
        <f>IFERROR(VLOOKUP(TrendSheetStgData[Population]&amp;TrendSheetStgData[Cost Basis]&amp;TrendSheetStgData[Period]&amp;TrendSheetStgData[Trend],TrendSheetPrdData[#All],9,FALSE),0)</f>
        <v>0</v>
      </c>
      <c r="J3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61" s="5">
        <f>VLOOKUP(TrendSheetStgData[Population]&amp;TrendSheetStgData[Trend],Threshold[#All],4,FALSE)</f>
        <v>10</v>
      </c>
      <c r="L361" s="5">
        <f>VLOOKUP(TrendSheetStgData[Population]&amp;TrendSheetStgData[Trend],Threshold[#All],5,FALSE)</f>
        <v>5</v>
      </c>
      <c r="M3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2" spans="1:13" x14ac:dyDescent="0.25">
      <c r="A362" t="s">
        <v>90</v>
      </c>
      <c r="B362" t="s">
        <v>90</v>
      </c>
      <c r="C362" t="s">
        <v>78</v>
      </c>
      <c r="D362" s="1" t="s">
        <v>92</v>
      </c>
      <c r="E362" t="s">
        <v>93</v>
      </c>
      <c r="F362" t="s">
        <v>13</v>
      </c>
      <c r="G362">
        <v>2</v>
      </c>
      <c r="H362">
        <v>94.6</v>
      </c>
      <c r="I362" s="5">
        <f>IFERROR(VLOOKUP(TrendSheetStgData[Population]&amp;TrendSheetStgData[Cost Basis]&amp;TrendSheetStgData[Period]&amp;TrendSheetStgData[Trend],TrendSheetPrdData[#All],9,FALSE),0)</f>
        <v>94.6</v>
      </c>
      <c r="J3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 s="5">
        <f>VLOOKUP(TrendSheetStgData[Population]&amp;TrendSheetStgData[Trend],Threshold[#All],4,FALSE)</f>
        <v>10</v>
      </c>
      <c r="L362" s="5">
        <f>VLOOKUP(TrendSheetStgData[Population]&amp;TrendSheetStgData[Trend],Threshold[#All],5,FALSE)</f>
        <v>5</v>
      </c>
      <c r="M3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3" spans="1:13" x14ac:dyDescent="0.25">
      <c r="A363" t="s">
        <v>90</v>
      </c>
      <c r="B363" t="s">
        <v>90</v>
      </c>
      <c r="C363" t="s">
        <v>78</v>
      </c>
      <c r="D363" s="1" t="s">
        <v>94</v>
      </c>
      <c r="E363" t="s">
        <v>93</v>
      </c>
      <c r="F363" t="s">
        <v>13</v>
      </c>
      <c r="G363">
        <v>2</v>
      </c>
      <c r="H363">
        <v>130.82</v>
      </c>
      <c r="I363" s="5">
        <f>IFERROR(VLOOKUP(TrendSheetStgData[Population]&amp;TrendSheetStgData[Cost Basis]&amp;TrendSheetStgData[Period]&amp;TrendSheetStgData[Trend],TrendSheetPrdData[#All],9,FALSE),0)</f>
        <v>130.82</v>
      </c>
      <c r="J3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3" s="5">
        <f>VLOOKUP(TrendSheetStgData[Population]&amp;TrendSheetStgData[Trend],Threshold[#All],4,FALSE)</f>
        <v>10</v>
      </c>
      <c r="L363" s="5">
        <f>VLOOKUP(TrendSheetStgData[Population]&amp;TrendSheetStgData[Trend],Threshold[#All],5,FALSE)</f>
        <v>5</v>
      </c>
      <c r="M3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4" spans="1:13" x14ac:dyDescent="0.25">
      <c r="A364" t="s">
        <v>90</v>
      </c>
      <c r="B364" t="s">
        <v>90</v>
      </c>
      <c r="C364" t="s">
        <v>78</v>
      </c>
      <c r="D364" s="1" t="s">
        <v>95</v>
      </c>
      <c r="E364" t="s">
        <v>93</v>
      </c>
      <c r="F364" t="s">
        <v>13</v>
      </c>
      <c r="G364">
        <v>2</v>
      </c>
      <c r="H364">
        <v>148.74</v>
      </c>
      <c r="I364" s="5">
        <f>IFERROR(VLOOKUP(TrendSheetStgData[Population]&amp;TrendSheetStgData[Cost Basis]&amp;TrendSheetStgData[Period]&amp;TrendSheetStgData[Trend],TrendSheetPrdData[#All],9,FALSE),0)</f>
        <v>148.74</v>
      </c>
      <c r="J3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4" s="5">
        <f>VLOOKUP(TrendSheetStgData[Population]&amp;TrendSheetStgData[Trend],Threshold[#All],4,FALSE)</f>
        <v>10</v>
      </c>
      <c r="L364" s="5">
        <f>VLOOKUP(TrendSheetStgData[Population]&amp;TrendSheetStgData[Trend],Threshold[#All],5,FALSE)</f>
        <v>5</v>
      </c>
      <c r="M3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5" spans="1:13" x14ac:dyDescent="0.25">
      <c r="A365" t="s">
        <v>90</v>
      </c>
      <c r="B365" t="s">
        <v>90</v>
      </c>
      <c r="C365" t="s">
        <v>78</v>
      </c>
      <c r="D365" s="1" t="s">
        <v>96</v>
      </c>
      <c r="E365" t="s">
        <v>93</v>
      </c>
      <c r="F365" t="s">
        <v>13</v>
      </c>
      <c r="G365">
        <v>2</v>
      </c>
      <c r="H365">
        <v>114.78</v>
      </c>
      <c r="I365" s="5">
        <f>IFERROR(VLOOKUP(TrendSheetStgData[Population]&amp;TrendSheetStgData[Cost Basis]&amp;TrendSheetStgData[Period]&amp;TrendSheetStgData[Trend],TrendSheetPrdData[#All],9,FALSE),0)</f>
        <v>114.78</v>
      </c>
      <c r="J3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5" s="5">
        <f>VLOOKUP(TrendSheetStgData[Population]&amp;TrendSheetStgData[Trend],Threshold[#All],4,FALSE)</f>
        <v>10</v>
      </c>
      <c r="L365" s="5">
        <f>VLOOKUP(TrendSheetStgData[Population]&amp;TrendSheetStgData[Trend],Threshold[#All],5,FALSE)</f>
        <v>5</v>
      </c>
      <c r="M3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6" spans="1:13" x14ac:dyDescent="0.25">
      <c r="A366" t="s">
        <v>90</v>
      </c>
      <c r="B366" t="s">
        <v>90</v>
      </c>
      <c r="C366" t="s">
        <v>78</v>
      </c>
      <c r="D366" s="1" t="s">
        <v>97</v>
      </c>
      <c r="E366" t="s">
        <v>93</v>
      </c>
      <c r="F366" t="s">
        <v>13</v>
      </c>
      <c r="G366">
        <v>2</v>
      </c>
      <c r="H366">
        <v>114.46</v>
      </c>
      <c r="I366" s="5">
        <f>IFERROR(VLOOKUP(TrendSheetStgData[Population]&amp;TrendSheetStgData[Cost Basis]&amp;TrendSheetStgData[Period]&amp;TrendSheetStgData[Trend],TrendSheetPrdData[#All],9,FALSE),0)</f>
        <v>114.5</v>
      </c>
      <c r="J3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3.4934497816599346E-2</v>
      </c>
      <c r="K366" s="5">
        <f>VLOOKUP(TrendSheetStgData[Population]&amp;TrendSheetStgData[Trend],Threshold[#All],4,FALSE)</f>
        <v>10</v>
      </c>
      <c r="L366" s="5">
        <f>VLOOKUP(TrendSheetStgData[Population]&amp;TrendSheetStgData[Trend],Threshold[#All],5,FALSE)</f>
        <v>5</v>
      </c>
      <c r="M3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7" spans="1:13" x14ac:dyDescent="0.25">
      <c r="A367" t="s">
        <v>90</v>
      </c>
      <c r="B367" t="s">
        <v>90</v>
      </c>
      <c r="C367" t="s">
        <v>78</v>
      </c>
      <c r="D367" s="1" t="s">
        <v>98</v>
      </c>
      <c r="E367" t="s">
        <v>93</v>
      </c>
      <c r="F367" t="s">
        <v>13</v>
      </c>
      <c r="G367">
        <v>2</v>
      </c>
      <c r="H367">
        <v>117.52</v>
      </c>
      <c r="I367" s="5">
        <f>IFERROR(VLOOKUP(TrendSheetStgData[Population]&amp;TrendSheetStgData[Cost Basis]&amp;TrendSheetStgData[Period]&amp;TrendSheetStgData[Trend],TrendSheetPrdData[#All],9,FALSE),0)</f>
        <v>117.56</v>
      </c>
      <c r="J3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3.4025178632193134E-2</v>
      </c>
      <c r="K367" s="5">
        <f>VLOOKUP(TrendSheetStgData[Population]&amp;TrendSheetStgData[Trend],Threshold[#All],4,FALSE)</f>
        <v>10</v>
      </c>
      <c r="L367" s="5">
        <f>VLOOKUP(TrendSheetStgData[Population]&amp;TrendSheetStgData[Trend],Threshold[#All],5,FALSE)</f>
        <v>5</v>
      </c>
      <c r="M3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8" spans="1:13" x14ac:dyDescent="0.25">
      <c r="A368" t="s">
        <v>90</v>
      </c>
      <c r="B368" t="s">
        <v>90</v>
      </c>
      <c r="C368" t="s">
        <v>78</v>
      </c>
      <c r="D368" s="1" t="s">
        <v>99</v>
      </c>
      <c r="E368" t="s">
        <v>93</v>
      </c>
      <c r="F368" t="s">
        <v>13</v>
      </c>
      <c r="G368">
        <v>2</v>
      </c>
      <c r="H368">
        <v>109.16</v>
      </c>
      <c r="I368" s="5">
        <f>IFERROR(VLOOKUP(TrendSheetStgData[Population]&amp;TrendSheetStgData[Cost Basis]&amp;TrendSheetStgData[Period]&amp;TrendSheetStgData[Trend],TrendSheetPrdData[#All],9,FALSE),0)</f>
        <v>109.2</v>
      </c>
      <c r="J3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3.6630036630042356E-2</v>
      </c>
      <c r="K368" s="5">
        <f>VLOOKUP(TrendSheetStgData[Population]&amp;TrendSheetStgData[Trend],Threshold[#All],4,FALSE)</f>
        <v>10</v>
      </c>
      <c r="L368" s="5">
        <f>VLOOKUP(TrendSheetStgData[Population]&amp;TrendSheetStgData[Trend],Threshold[#All],5,FALSE)</f>
        <v>5</v>
      </c>
      <c r="M3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9" spans="1:13" x14ac:dyDescent="0.25">
      <c r="A369" t="s">
        <v>90</v>
      </c>
      <c r="B369" t="s">
        <v>90</v>
      </c>
      <c r="C369" t="s">
        <v>78</v>
      </c>
      <c r="D369" s="1" t="s">
        <v>100</v>
      </c>
      <c r="E369" t="s">
        <v>93</v>
      </c>
      <c r="F369" t="s">
        <v>13</v>
      </c>
      <c r="G369">
        <v>2</v>
      </c>
      <c r="H369">
        <v>111.15</v>
      </c>
      <c r="I369" s="5">
        <f>IFERROR(VLOOKUP(TrendSheetStgData[Population]&amp;TrendSheetStgData[Cost Basis]&amp;TrendSheetStgData[Period]&amp;TrendSheetStgData[Trend],TrendSheetPrdData[#All],9,FALSE),0)</f>
        <v>111.19</v>
      </c>
      <c r="J3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3.597445813471719E-2</v>
      </c>
      <c r="K369" s="5">
        <f>VLOOKUP(TrendSheetStgData[Population]&amp;TrendSheetStgData[Trend],Threshold[#All],4,FALSE)</f>
        <v>10</v>
      </c>
      <c r="L369" s="5">
        <f>VLOOKUP(TrendSheetStgData[Population]&amp;TrendSheetStgData[Trend],Threshold[#All],5,FALSE)</f>
        <v>5</v>
      </c>
      <c r="M3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0" spans="1:13" x14ac:dyDescent="0.25">
      <c r="A370" t="s">
        <v>90</v>
      </c>
      <c r="B370" t="s">
        <v>90</v>
      </c>
      <c r="C370" t="s">
        <v>78</v>
      </c>
      <c r="D370" s="1" t="s">
        <v>101</v>
      </c>
      <c r="E370" t="s">
        <v>93</v>
      </c>
      <c r="F370" t="s">
        <v>13</v>
      </c>
      <c r="G370">
        <v>2</v>
      </c>
      <c r="H370">
        <v>116.98</v>
      </c>
      <c r="I370" s="5">
        <f>IFERROR(VLOOKUP(TrendSheetStgData[Population]&amp;TrendSheetStgData[Cost Basis]&amp;TrendSheetStgData[Period]&amp;TrendSheetStgData[Trend],TrendSheetPrdData[#All],9,FALSE),0)</f>
        <v>117.06</v>
      </c>
      <c r="J3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6.8341021698272927E-2</v>
      </c>
      <c r="K370" s="5">
        <f>VLOOKUP(TrendSheetStgData[Population]&amp;TrendSheetStgData[Trend],Threshold[#All],4,FALSE)</f>
        <v>10</v>
      </c>
      <c r="L370" s="5">
        <f>VLOOKUP(TrendSheetStgData[Population]&amp;TrendSheetStgData[Trend],Threshold[#All],5,FALSE)</f>
        <v>5</v>
      </c>
      <c r="M3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1" spans="1:13" x14ac:dyDescent="0.25">
      <c r="A371" t="s">
        <v>90</v>
      </c>
      <c r="B371" t="s">
        <v>90</v>
      </c>
      <c r="C371" t="s">
        <v>78</v>
      </c>
      <c r="D371" s="1" t="s">
        <v>102</v>
      </c>
      <c r="E371" t="s">
        <v>93</v>
      </c>
      <c r="F371" t="s">
        <v>13</v>
      </c>
      <c r="G371">
        <v>2</v>
      </c>
      <c r="H371">
        <v>125.19</v>
      </c>
      <c r="I371" s="5">
        <f>IFERROR(VLOOKUP(TrendSheetStgData[Population]&amp;TrendSheetStgData[Cost Basis]&amp;TrendSheetStgData[Period]&amp;TrendSheetStgData[Trend],TrendSheetPrdData[#All],9,FALSE),0)</f>
        <v>125.27</v>
      </c>
      <c r="J3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6.386205795481624E-2</v>
      </c>
      <c r="K371" s="5">
        <f>VLOOKUP(TrendSheetStgData[Population]&amp;TrendSheetStgData[Trend],Threshold[#All],4,FALSE)</f>
        <v>10</v>
      </c>
      <c r="L371" s="5">
        <f>VLOOKUP(TrendSheetStgData[Population]&amp;TrendSheetStgData[Trend],Threshold[#All],5,FALSE)</f>
        <v>5</v>
      </c>
      <c r="M3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2" spans="1:13" x14ac:dyDescent="0.25">
      <c r="A372" t="s">
        <v>90</v>
      </c>
      <c r="B372" t="s">
        <v>90</v>
      </c>
      <c r="C372" t="s">
        <v>78</v>
      </c>
      <c r="D372" s="1" t="s">
        <v>103</v>
      </c>
      <c r="E372" t="s">
        <v>93</v>
      </c>
      <c r="F372" t="s">
        <v>13</v>
      </c>
      <c r="G372">
        <v>2</v>
      </c>
      <c r="H372">
        <v>87.57</v>
      </c>
      <c r="I372" s="5">
        <f>IFERROR(VLOOKUP(TrendSheetStgData[Population]&amp;TrendSheetStgData[Cost Basis]&amp;TrendSheetStgData[Period]&amp;TrendSheetStgData[Trend],TrendSheetPrdData[#All],9,FALSE),0)</f>
        <v>87.69</v>
      </c>
      <c r="J3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0.13684570646596483</v>
      </c>
      <c r="K372" s="5">
        <f>VLOOKUP(TrendSheetStgData[Population]&amp;TrendSheetStgData[Trend],Threshold[#All],4,FALSE)</f>
        <v>10</v>
      </c>
      <c r="L372" s="5">
        <f>VLOOKUP(TrendSheetStgData[Population]&amp;TrendSheetStgData[Trend],Threshold[#All],5,FALSE)</f>
        <v>5</v>
      </c>
      <c r="M3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3" spans="1:13" x14ac:dyDescent="0.25">
      <c r="A373" t="s">
        <v>90</v>
      </c>
      <c r="B373" t="s">
        <v>90</v>
      </c>
      <c r="C373" t="s">
        <v>78</v>
      </c>
      <c r="D373" s="1" t="s">
        <v>104</v>
      </c>
      <c r="E373" t="s">
        <v>93</v>
      </c>
      <c r="F373" t="s">
        <v>13</v>
      </c>
      <c r="G373">
        <v>2</v>
      </c>
      <c r="H373">
        <v>106.07</v>
      </c>
      <c r="I373" s="5">
        <f>IFERROR(VLOOKUP(TrendSheetStgData[Population]&amp;TrendSheetStgData[Cost Basis]&amp;TrendSheetStgData[Period]&amp;TrendSheetStgData[Trend],TrendSheetPrdData[#All],9,FALSE),0)</f>
        <v>108.92</v>
      </c>
      <c r="J3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2.6165993389643853</v>
      </c>
      <c r="K373" s="5">
        <f>VLOOKUP(TrendSheetStgData[Population]&amp;TrendSheetStgData[Trend],Threshold[#All],4,FALSE)</f>
        <v>10</v>
      </c>
      <c r="L373" s="5">
        <f>VLOOKUP(TrendSheetStgData[Population]&amp;TrendSheetStgData[Trend],Threshold[#All],5,FALSE)</f>
        <v>5</v>
      </c>
      <c r="M3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4" spans="1:13" x14ac:dyDescent="0.25">
      <c r="A374" t="s">
        <v>90</v>
      </c>
      <c r="B374" t="s">
        <v>90</v>
      </c>
      <c r="C374" t="s">
        <v>78</v>
      </c>
      <c r="D374" s="1" t="s">
        <v>105</v>
      </c>
      <c r="E374" t="s">
        <v>106</v>
      </c>
      <c r="F374" t="s">
        <v>13</v>
      </c>
      <c r="G374">
        <v>2</v>
      </c>
      <c r="H374">
        <v>114.54</v>
      </c>
      <c r="I374" s="5">
        <f>IFERROR(VLOOKUP(TrendSheetStgData[Population]&amp;TrendSheetStgData[Cost Basis]&amp;TrendSheetStgData[Period]&amp;TrendSheetStgData[Trend],TrendSheetPrdData[#All],9,FALSE),0)</f>
        <v>116.79</v>
      </c>
      <c r="J3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1.9265348060621628</v>
      </c>
      <c r="K374" s="5">
        <f>VLOOKUP(TrendSheetStgData[Population]&amp;TrendSheetStgData[Trend],Threshold[#All],4,FALSE)</f>
        <v>10</v>
      </c>
      <c r="L374" s="5">
        <f>VLOOKUP(TrendSheetStgData[Population]&amp;TrendSheetStgData[Trend],Threshold[#All],5,FALSE)</f>
        <v>5</v>
      </c>
      <c r="M3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5" spans="1:13" x14ac:dyDescent="0.25">
      <c r="A375" t="s">
        <v>90</v>
      </c>
      <c r="B375" t="s">
        <v>90</v>
      </c>
      <c r="C375" t="s">
        <v>78</v>
      </c>
      <c r="D375" s="1" t="s">
        <v>107</v>
      </c>
      <c r="E375" t="s">
        <v>106</v>
      </c>
      <c r="F375" t="s">
        <v>13</v>
      </c>
      <c r="G375">
        <v>2</v>
      </c>
      <c r="H375">
        <v>110.93</v>
      </c>
      <c r="I375" s="5">
        <f>IFERROR(VLOOKUP(TrendSheetStgData[Population]&amp;TrendSheetStgData[Cost Basis]&amp;TrendSheetStgData[Period]&amp;TrendSheetStgData[Trend],TrendSheetPrdData[#All],9,FALSE),0)</f>
        <v>87.21</v>
      </c>
      <c r="J3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27.198715743607398</v>
      </c>
      <c r="K375" s="5">
        <f>VLOOKUP(TrendSheetStgData[Population]&amp;TrendSheetStgData[Trend],Threshold[#All],4,FALSE)</f>
        <v>10</v>
      </c>
      <c r="L375" s="5">
        <f>VLOOKUP(TrendSheetStgData[Population]&amp;TrendSheetStgData[Trend],Threshold[#All],5,FALSE)</f>
        <v>5</v>
      </c>
      <c r="M3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6" spans="1:13" x14ac:dyDescent="0.25">
      <c r="A376" t="s">
        <v>90</v>
      </c>
      <c r="B376" t="s">
        <v>90</v>
      </c>
      <c r="C376" t="s">
        <v>78</v>
      </c>
      <c r="D376" s="1" t="s">
        <v>108</v>
      </c>
      <c r="E376" t="s">
        <v>106</v>
      </c>
      <c r="F376" t="s">
        <v>13</v>
      </c>
      <c r="G376">
        <v>2</v>
      </c>
      <c r="H376">
        <v>64.45</v>
      </c>
      <c r="I376" s="5">
        <f>IFERROR(VLOOKUP(TrendSheetStgData[Population]&amp;TrendSheetStgData[Cost Basis]&amp;TrendSheetStgData[Period]&amp;TrendSheetStgData[Trend],TrendSheetPrdData[#All],9,FALSE),0)</f>
        <v>0</v>
      </c>
      <c r="J3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76" s="5">
        <f>VLOOKUP(TrendSheetStgData[Population]&amp;TrendSheetStgData[Trend],Threshold[#All],4,FALSE)</f>
        <v>10</v>
      </c>
      <c r="L376" s="5">
        <f>VLOOKUP(TrendSheetStgData[Population]&amp;TrendSheetStgData[Trend],Threshold[#All],5,FALSE)</f>
        <v>5</v>
      </c>
      <c r="M3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7" spans="1:13" x14ac:dyDescent="0.25">
      <c r="A377" t="s">
        <v>90</v>
      </c>
      <c r="B377" t="s">
        <v>90</v>
      </c>
      <c r="C377" t="s">
        <v>78</v>
      </c>
      <c r="D377" s="1" t="s">
        <v>92</v>
      </c>
      <c r="E377" t="s">
        <v>93</v>
      </c>
      <c r="F377" t="s">
        <v>14</v>
      </c>
      <c r="G377">
        <v>3</v>
      </c>
      <c r="H377">
        <v>406.43</v>
      </c>
      <c r="I377" s="5">
        <f>IFERROR(VLOOKUP(TrendSheetStgData[Population]&amp;TrendSheetStgData[Cost Basis]&amp;TrendSheetStgData[Period]&amp;TrendSheetStgData[Trend],TrendSheetPrdData[#All],9,FALSE),0)</f>
        <v>401.64</v>
      </c>
      <c r="J3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1.1926102977791109</v>
      </c>
      <c r="K377" s="5">
        <f>VLOOKUP(TrendSheetStgData[Population]&amp;TrendSheetStgData[Trend],Threshold[#All],4,FALSE)</f>
        <v>10</v>
      </c>
      <c r="L377" s="5">
        <f>VLOOKUP(TrendSheetStgData[Population]&amp;TrendSheetStgData[Trend],Threshold[#All],5,FALSE)</f>
        <v>5</v>
      </c>
      <c r="M3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8" spans="1:13" x14ac:dyDescent="0.25">
      <c r="A378" t="s">
        <v>90</v>
      </c>
      <c r="B378" t="s">
        <v>90</v>
      </c>
      <c r="C378" t="s">
        <v>78</v>
      </c>
      <c r="D378" s="1" t="s">
        <v>94</v>
      </c>
      <c r="E378" t="s">
        <v>93</v>
      </c>
      <c r="F378" t="s">
        <v>14</v>
      </c>
      <c r="G378">
        <v>3</v>
      </c>
      <c r="H378">
        <v>841.46</v>
      </c>
      <c r="I378" s="5">
        <f>IFERROR(VLOOKUP(TrendSheetStgData[Population]&amp;TrendSheetStgData[Cost Basis]&amp;TrendSheetStgData[Period]&amp;TrendSheetStgData[Trend],TrendSheetPrdData[#All],9,FALSE),0)</f>
        <v>476.8</v>
      </c>
      <c r="J3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76.480704697986582</v>
      </c>
      <c r="K378" s="5">
        <f>VLOOKUP(TrendSheetStgData[Population]&amp;TrendSheetStgData[Trend],Threshold[#All],4,FALSE)</f>
        <v>10</v>
      </c>
      <c r="L378" s="5">
        <f>VLOOKUP(TrendSheetStgData[Population]&amp;TrendSheetStgData[Trend],Threshold[#All],5,FALSE)</f>
        <v>5</v>
      </c>
      <c r="M3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9" spans="1:13" x14ac:dyDescent="0.25">
      <c r="A379" t="s">
        <v>90</v>
      </c>
      <c r="B379" t="s">
        <v>90</v>
      </c>
      <c r="C379" t="s">
        <v>78</v>
      </c>
      <c r="D379" s="1" t="s">
        <v>95</v>
      </c>
      <c r="E379" t="s">
        <v>93</v>
      </c>
      <c r="F379" t="s">
        <v>14</v>
      </c>
      <c r="G379">
        <v>3</v>
      </c>
      <c r="H379">
        <v>494.63</v>
      </c>
      <c r="I379" s="5">
        <f>IFERROR(VLOOKUP(TrendSheetStgData[Population]&amp;TrendSheetStgData[Cost Basis]&amp;TrendSheetStgData[Period]&amp;TrendSheetStgData[Trend],TrendSheetPrdData[#All],9,FALSE),0)</f>
        <v>484.95</v>
      </c>
      <c r="J3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1.996082070316529</v>
      </c>
      <c r="K379" s="5">
        <f>VLOOKUP(TrendSheetStgData[Population]&amp;TrendSheetStgData[Trend],Threshold[#All],4,FALSE)</f>
        <v>10</v>
      </c>
      <c r="L379" s="5">
        <f>VLOOKUP(TrendSheetStgData[Population]&amp;TrendSheetStgData[Trend],Threshold[#All],5,FALSE)</f>
        <v>5</v>
      </c>
      <c r="M3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0" spans="1:13" x14ac:dyDescent="0.25">
      <c r="A380" t="s">
        <v>90</v>
      </c>
      <c r="B380" t="s">
        <v>90</v>
      </c>
      <c r="C380" t="s">
        <v>78</v>
      </c>
      <c r="D380" s="1" t="s">
        <v>96</v>
      </c>
      <c r="E380" t="s">
        <v>93</v>
      </c>
      <c r="F380" t="s">
        <v>14</v>
      </c>
      <c r="G380">
        <v>3</v>
      </c>
      <c r="H380">
        <v>468.45</v>
      </c>
      <c r="I380" s="5">
        <f>IFERROR(VLOOKUP(TrendSheetStgData[Population]&amp;TrendSheetStgData[Cost Basis]&amp;TrendSheetStgData[Period]&amp;TrendSheetStgData[Trend],TrendSheetPrdData[#All],9,FALSE),0)</f>
        <v>463.16</v>
      </c>
      <c r="J3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1.1421538993004499</v>
      </c>
      <c r="K380" s="5">
        <f>VLOOKUP(TrendSheetStgData[Population]&amp;TrendSheetStgData[Trend],Threshold[#All],4,FALSE)</f>
        <v>10</v>
      </c>
      <c r="L380" s="5">
        <f>VLOOKUP(TrendSheetStgData[Population]&amp;TrendSheetStgData[Trend],Threshold[#All],5,FALSE)</f>
        <v>5</v>
      </c>
      <c r="M3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1" spans="1:13" x14ac:dyDescent="0.25">
      <c r="A381" t="s">
        <v>90</v>
      </c>
      <c r="B381" t="s">
        <v>90</v>
      </c>
      <c r="C381" t="s">
        <v>78</v>
      </c>
      <c r="D381" s="1" t="s">
        <v>97</v>
      </c>
      <c r="E381" t="s">
        <v>93</v>
      </c>
      <c r="F381" t="s">
        <v>14</v>
      </c>
      <c r="G381">
        <v>3</v>
      </c>
      <c r="H381">
        <v>466.03</v>
      </c>
      <c r="I381" s="5">
        <f>IFERROR(VLOOKUP(TrendSheetStgData[Population]&amp;TrendSheetStgData[Cost Basis]&amp;TrendSheetStgData[Period]&amp;TrendSheetStgData[Trend],TrendSheetPrdData[#All],9,FALSE),0)</f>
        <v>450.6</v>
      </c>
      <c r="J3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3.4243231247225809</v>
      </c>
      <c r="K381" s="5">
        <f>VLOOKUP(TrendSheetStgData[Population]&amp;TrendSheetStgData[Trend],Threshold[#All],4,FALSE)</f>
        <v>10</v>
      </c>
      <c r="L381" s="5">
        <f>VLOOKUP(TrendSheetStgData[Population]&amp;TrendSheetStgData[Trend],Threshold[#All],5,FALSE)</f>
        <v>5</v>
      </c>
      <c r="M3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2" spans="1:13" x14ac:dyDescent="0.25">
      <c r="A382" t="s">
        <v>90</v>
      </c>
      <c r="B382" t="s">
        <v>90</v>
      </c>
      <c r="C382" t="s">
        <v>78</v>
      </c>
      <c r="D382" s="1" t="s">
        <v>98</v>
      </c>
      <c r="E382" t="s">
        <v>93</v>
      </c>
      <c r="F382" t="s">
        <v>14</v>
      </c>
      <c r="G382">
        <v>3</v>
      </c>
      <c r="H382">
        <v>343.34</v>
      </c>
      <c r="I382" s="5">
        <f>IFERROR(VLOOKUP(TrendSheetStgData[Population]&amp;TrendSheetStgData[Cost Basis]&amp;TrendSheetStgData[Period]&amp;TrendSheetStgData[Trend],TrendSheetPrdData[#All],9,FALSE),0)</f>
        <v>338.03</v>
      </c>
      <c r="J3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1.5708664911398404</v>
      </c>
      <c r="K382" s="5">
        <f>VLOOKUP(TrendSheetStgData[Population]&amp;TrendSheetStgData[Trend],Threshold[#All],4,FALSE)</f>
        <v>10</v>
      </c>
      <c r="L382" s="5">
        <f>VLOOKUP(TrendSheetStgData[Population]&amp;TrendSheetStgData[Trend],Threshold[#All],5,FALSE)</f>
        <v>5</v>
      </c>
      <c r="M3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3" spans="1:13" x14ac:dyDescent="0.25">
      <c r="A383" t="s">
        <v>90</v>
      </c>
      <c r="B383" t="s">
        <v>90</v>
      </c>
      <c r="C383" t="s">
        <v>78</v>
      </c>
      <c r="D383" s="1" t="s">
        <v>99</v>
      </c>
      <c r="E383" t="s">
        <v>93</v>
      </c>
      <c r="F383" t="s">
        <v>14</v>
      </c>
      <c r="G383">
        <v>3</v>
      </c>
      <c r="H383">
        <v>346.03</v>
      </c>
      <c r="I383" s="5">
        <f>IFERROR(VLOOKUP(TrendSheetStgData[Population]&amp;TrendSheetStgData[Cost Basis]&amp;TrendSheetStgData[Period]&amp;TrendSheetStgData[Trend],TrendSheetPrdData[#All],9,FALSE),0)</f>
        <v>342.17</v>
      </c>
      <c r="J3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1.1280942221702535</v>
      </c>
      <c r="K383" s="5">
        <f>VLOOKUP(TrendSheetStgData[Population]&amp;TrendSheetStgData[Trend],Threshold[#All],4,FALSE)</f>
        <v>10</v>
      </c>
      <c r="L383" s="5">
        <f>VLOOKUP(TrendSheetStgData[Population]&amp;TrendSheetStgData[Trend],Threshold[#All],5,FALSE)</f>
        <v>5</v>
      </c>
      <c r="M3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4" spans="1:13" x14ac:dyDescent="0.25">
      <c r="A384" t="s">
        <v>90</v>
      </c>
      <c r="B384" t="s">
        <v>90</v>
      </c>
      <c r="C384" t="s">
        <v>78</v>
      </c>
      <c r="D384" s="1" t="s">
        <v>100</v>
      </c>
      <c r="E384" t="s">
        <v>93</v>
      </c>
      <c r="F384" t="s">
        <v>14</v>
      </c>
      <c r="G384">
        <v>3</v>
      </c>
      <c r="H384">
        <v>429.02</v>
      </c>
      <c r="I384" s="5">
        <f>IFERROR(VLOOKUP(TrendSheetStgData[Population]&amp;TrendSheetStgData[Cost Basis]&amp;TrendSheetStgData[Period]&amp;TrendSheetStgData[Trend],TrendSheetPrdData[#All],9,FALSE),0)</f>
        <v>431.67</v>
      </c>
      <c r="J3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0.61389487339866888</v>
      </c>
      <c r="K384" s="5">
        <f>VLOOKUP(TrendSheetStgData[Population]&amp;TrendSheetStgData[Trend],Threshold[#All],4,FALSE)</f>
        <v>10</v>
      </c>
      <c r="L384" s="5">
        <f>VLOOKUP(TrendSheetStgData[Population]&amp;TrendSheetStgData[Trend],Threshold[#All],5,FALSE)</f>
        <v>5</v>
      </c>
      <c r="M3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5" spans="1:13" x14ac:dyDescent="0.25">
      <c r="A385" t="s">
        <v>90</v>
      </c>
      <c r="B385" t="s">
        <v>90</v>
      </c>
      <c r="C385" t="s">
        <v>78</v>
      </c>
      <c r="D385" s="1" t="s">
        <v>101</v>
      </c>
      <c r="E385" t="s">
        <v>93</v>
      </c>
      <c r="F385" t="s">
        <v>14</v>
      </c>
      <c r="G385">
        <v>3</v>
      </c>
      <c r="H385">
        <v>383.64</v>
      </c>
      <c r="I385" s="5">
        <f>IFERROR(VLOOKUP(TrendSheetStgData[Population]&amp;TrendSheetStgData[Cost Basis]&amp;TrendSheetStgData[Period]&amp;TrendSheetStgData[Trend],TrendSheetPrdData[#All],9,FALSE),0)</f>
        <v>381.03</v>
      </c>
      <c r="J3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0.68498543421778169</v>
      </c>
      <c r="K385" s="5">
        <f>VLOOKUP(TrendSheetStgData[Population]&amp;TrendSheetStgData[Trend],Threshold[#All],4,FALSE)</f>
        <v>10</v>
      </c>
      <c r="L385" s="5">
        <f>VLOOKUP(TrendSheetStgData[Population]&amp;TrendSheetStgData[Trend],Threshold[#All],5,FALSE)</f>
        <v>5</v>
      </c>
      <c r="M3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6" spans="1:13" x14ac:dyDescent="0.25">
      <c r="A386" t="s">
        <v>90</v>
      </c>
      <c r="B386" t="s">
        <v>90</v>
      </c>
      <c r="C386" t="s">
        <v>78</v>
      </c>
      <c r="D386" s="1" t="s">
        <v>102</v>
      </c>
      <c r="E386" t="s">
        <v>93</v>
      </c>
      <c r="F386" t="s">
        <v>14</v>
      </c>
      <c r="G386">
        <v>3</v>
      </c>
      <c r="H386">
        <v>400.23</v>
      </c>
      <c r="I386" s="5">
        <f>IFERROR(VLOOKUP(TrendSheetStgData[Population]&amp;TrendSheetStgData[Cost Basis]&amp;TrendSheetStgData[Period]&amp;TrendSheetStgData[Trend],TrendSheetPrdData[#All],9,FALSE),0)</f>
        <v>383.87</v>
      </c>
      <c r="J3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4.2618594836793742</v>
      </c>
      <c r="K386" s="5">
        <f>VLOOKUP(TrendSheetStgData[Population]&amp;TrendSheetStgData[Trend],Threshold[#All],4,FALSE)</f>
        <v>10</v>
      </c>
      <c r="L386" s="5">
        <f>VLOOKUP(TrendSheetStgData[Population]&amp;TrendSheetStgData[Trend],Threshold[#All],5,FALSE)</f>
        <v>5</v>
      </c>
      <c r="M3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7" spans="1:13" x14ac:dyDescent="0.25">
      <c r="A387" t="s">
        <v>90</v>
      </c>
      <c r="B387" t="s">
        <v>90</v>
      </c>
      <c r="C387" t="s">
        <v>78</v>
      </c>
      <c r="D387" s="1" t="s">
        <v>103</v>
      </c>
      <c r="E387" t="s">
        <v>93</v>
      </c>
      <c r="F387" t="s">
        <v>14</v>
      </c>
      <c r="G387">
        <v>3</v>
      </c>
      <c r="H387">
        <v>280.05</v>
      </c>
      <c r="I387" s="5">
        <f>IFERROR(VLOOKUP(TrendSheetStgData[Population]&amp;TrendSheetStgData[Cost Basis]&amp;TrendSheetStgData[Period]&amp;TrendSheetStgData[Trend],TrendSheetPrdData[#All],9,FALSE),0)</f>
        <v>262.32</v>
      </c>
      <c r="J3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6.7589204025617633</v>
      </c>
      <c r="K387" s="5">
        <f>VLOOKUP(TrendSheetStgData[Population]&amp;TrendSheetStgData[Trend],Threshold[#All],4,FALSE)</f>
        <v>10</v>
      </c>
      <c r="L387" s="5">
        <f>VLOOKUP(TrendSheetStgData[Population]&amp;TrendSheetStgData[Trend],Threshold[#All],5,FALSE)</f>
        <v>5</v>
      </c>
      <c r="M3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8" spans="1:13" x14ac:dyDescent="0.25">
      <c r="A388" t="s">
        <v>90</v>
      </c>
      <c r="B388" t="s">
        <v>90</v>
      </c>
      <c r="C388" t="s">
        <v>78</v>
      </c>
      <c r="D388" s="1" t="s">
        <v>104</v>
      </c>
      <c r="E388" t="s">
        <v>93</v>
      </c>
      <c r="F388" t="s">
        <v>14</v>
      </c>
      <c r="G388">
        <v>3</v>
      </c>
      <c r="H388">
        <v>301.18</v>
      </c>
      <c r="I388" s="5">
        <f>IFERROR(VLOOKUP(TrendSheetStgData[Population]&amp;TrendSheetStgData[Cost Basis]&amp;TrendSheetStgData[Period]&amp;TrendSheetStgData[Trend],TrendSheetPrdData[#All],9,FALSE),0)</f>
        <v>295.37</v>
      </c>
      <c r="J3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1.9670244100619567</v>
      </c>
      <c r="K388" s="5">
        <f>VLOOKUP(TrendSheetStgData[Population]&amp;TrendSheetStgData[Trend],Threshold[#All],4,FALSE)</f>
        <v>10</v>
      </c>
      <c r="L388" s="5">
        <f>VLOOKUP(TrendSheetStgData[Population]&amp;TrendSheetStgData[Trend],Threshold[#All],5,FALSE)</f>
        <v>5</v>
      </c>
      <c r="M3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9" spans="1:13" x14ac:dyDescent="0.25">
      <c r="A389" t="s">
        <v>90</v>
      </c>
      <c r="B389" t="s">
        <v>90</v>
      </c>
      <c r="C389" t="s">
        <v>78</v>
      </c>
      <c r="D389" s="1" t="s">
        <v>105</v>
      </c>
      <c r="E389" t="s">
        <v>106</v>
      </c>
      <c r="F389" t="s">
        <v>14</v>
      </c>
      <c r="G389">
        <v>3</v>
      </c>
      <c r="H389">
        <v>350.01</v>
      </c>
      <c r="I389" s="5">
        <f>IFERROR(VLOOKUP(TrendSheetStgData[Population]&amp;TrendSheetStgData[Cost Basis]&amp;TrendSheetStgData[Period]&amp;TrendSheetStgData[Trend],TrendSheetPrdData[#All],9,FALSE),0)</f>
        <v>322.89</v>
      </c>
      <c r="J3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8.399145219734276</v>
      </c>
      <c r="K389" s="5">
        <f>VLOOKUP(TrendSheetStgData[Population]&amp;TrendSheetStgData[Trend],Threshold[#All],4,FALSE)</f>
        <v>10</v>
      </c>
      <c r="L389" s="5">
        <f>VLOOKUP(TrendSheetStgData[Population]&amp;TrendSheetStgData[Trend],Threshold[#All],5,FALSE)</f>
        <v>5</v>
      </c>
      <c r="M3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90" spans="1:13" x14ac:dyDescent="0.25">
      <c r="A390" t="s">
        <v>90</v>
      </c>
      <c r="B390" t="s">
        <v>90</v>
      </c>
      <c r="C390" t="s">
        <v>78</v>
      </c>
      <c r="D390" s="1" t="s">
        <v>107</v>
      </c>
      <c r="E390" t="s">
        <v>106</v>
      </c>
      <c r="F390" t="s">
        <v>14</v>
      </c>
      <c r="G390">
        <v>3</v>
      </c>
      <c r="H390">
        <v>554.88</v>
      </c>
      <c r="I390" s="5">
        <f>IFERROR(VLOOKUP(TrendSheetStgData[Population]&amp;TrendSheetStgData[Cost Basis]&amp;TrendSheetStgData[Period]&amp;TrendSheetStgData[Trend],TrendSheetPrdData[#All],9,FALSE),0)</f>
        <v>145.84</v>
      </c>
      <c r="J3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280.47174986286336</v>
      </c>
      <c r="K390" s="5">
        <f>VLOOKUP(TrendSheetStgData[Population]&amp;TrendSheetStgData[Trend],Threshold[#All],4,FALSE)</f>
        <v>10</v>
      </c>
      <c r="L390" s="5">
        <f>VLOOKUP(TrendSheetStgData[Population]&amp;TrendSheetStgData[Trend],Threshold[#All],5,FALSE)</f>
        <v>5</v>
      </c>
      <c r="M3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1" spans="1:13" x14ac:dyDescent="0.25">
      <c r="A391" t="s">
        <v>90</v>
      </c>
      <c r="B391" t="s">
        <v>90</v>
      </c>
      <c r="C391" t="s">
        <v>78</v>
      </c>
      <c r="D391" s="1" t="s">
        <v>108</v>
      </c>
      <c r="E391" t="s">
        <v>106</v>
      </c>
      <c r="F391" t="s">
        <v>14</v>
      </c>
      <c r="G391">
        <v>3</v>
      </c>
      <c r="H391">
        <v>168.23</v>
      </c>
      <c r="I391" s="5">
        <f>IFERROR(VLOOKUP(TrendSheetStgData[Population]&amp;TrendSheetStgData[Cost Basis]&amp;TrendSheetStgData[Period]&amp;TrendSheetStgData[Trend],TrendSheetPrdData[#All],9,FALSE),0)</f>
        <v>0</v>
      </c>
      <c r="J3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91" s="5">
        <f>VLOOKUP(TrendSheetStgData[Population]&amp;TrendSheetStgData[Trend],Threshold[#All],4,FALSE)</f>
        <v>10</v>
      </c>
      <c r="L391" s="5">
        <f>VLOOKUP(TrendSheetStgData[Population]&amp;TrendSheetStgData[Trend],Threshold[#All],5,FALSE)</f>
        <v>5</v>
      </c>
      <c r="M3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2" spans="1:13" x14ac:dyDescent="0.25">
      <c r="A392" t="s">
        <v>90</v>
      </c>
      <c r="B392" t="s">
        <v>90</v>
      </c>
      <c r="C392" t="s">
        <v>78</v>
      </c>
      <c r="D392" s="1" t="s">
        <v>92</v>
      </c>
      <c r="E392" t="s">
        <v>93</v>
      </c>
      <c r="F392" t="s">
        <v>15</v>
      </c>
      <c r="G392">
        <v>4</v>
      </c>
      <c r="H392">
        <v>0</v>
      </c>
      <c r="I392" s="5">
        <f>IFERROR(VLOOKUP(TrendSheetStgData[Population]&amp;TrendSheetStgData[Cost Basis]&amp;TrendSheetStgData[Period]&amp;TrendSheetStgData[Trend],TrendSheetPrdData[#All],9,FALSE),0)</f>
        <v>0</v>
      </c>
      <c r="J3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2" s="5">
        <f>VLOOKUP(TrendSheetStgData[Population]&amp;TrendSheetStgData[Trend],Threshold[#All],4,FALSE)</f>
        <v>10</v>
      </c>
      <c r="L392" s="5">
        <f>VLOOKUP(TrendSheetStgData[Population]&amp;TrendSheetStgData[Trend],Threshold[#All],5,FALSE)</f>
        <v>5</v>
      </c>
      <c r="M3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 spans="1:13" x14ac:dyDescent="0.25">
      <c r="A393" t="s">
        <v>90</v>
      </c>
      <c r="B393" t="s">
        <v>90</v>
      </c>
      <c r="C393" t="s">
        <v>78</v>
      </c>
      <c r="D393" s="1" t="s">
        <v>94</v>
      </c>
      <c r="E393" t="s">
        <v>93</v>
      </c>
      <c r="F393" t="s">
        <v>15</v>
      </c>
      <c r="G393">
        <v>4</v>
      </c>
      <c r="H393">
        <v>0</v>
      </c>
      <c r="I393" s="5">
        <f>IFERROR(VLOOKUP(TrendSheetStgData[Population]&amp;TrendSheetStgData[Cost Basis]&amp;TrendSheetStgData[Period]&amp;TrendSheetStgData[Trend],TrendSheetPrdData[#All],9,FALSE),0)</f>
        <v>0</v>
      </c>
      <c r="J3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 s="5">
        <f>VLOOKUP(TrendSheetStgData[Population]&amp;TrendSheetStgData[Trend],Threshold[#All],4,FALSE)</f>
        <v>10</v>
      </c>
      <c r="L393" s="5">
        <f>VLOOKUP(TrendSheetStgData[Population]&amp;TrendSheetStgData[Trend],Threshold[#All],5,FALSE)</f>
        <v>5</v>
      </c>
      <c r="M3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 spans="1:13" x14ac:dyDescent="0.25">
      <c r="A394" t="s">
        <v>90</v>
      </c>
      <c r="B394" t="s">
        <v>90</v>
      </c>
      <c r="C394" t="s">
        <v>78</v>
      </c>
      <c r="D394" s="1" t="s">
        <v>95</v>
      </c>
      <c r="E394" t="s">
        <v>93</v>
      </c>
      <c r="F394" t="s">
        <v>15</v>
      </c>
      <c r="G394">
        <v>4</v>
      </c>
      <c r="H394">
        <v>97429.01</v>
      </c>
      <c r="I394" s="5">
        <f>IFERROR(VLOOKUP(TrendSheetStgData[Population]&amp;TrendSheetStgData[Cost Basis]&amp;TrendSheetStgData[Period]&amp;TrendSheetStgData[Trend],TrendSheetPrdData[#All],9,FALSE),0)</f>
        <v>97429.01</v>
      </c>
      <c r="J3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 s="5">
        <f>VLOOKUP(TrendSheetStgData[Population]&amp;TrendSheetStgData[Trend],Threshold[#All],4,FALSE)</f>
        <v>10</v>
      </c>
      <c r="L394" s="5">
        <f>VLOOKUP(TrendSheetStgData[Population]&amp;TrendSheetStgData[Trend],Threshold[#All],5,FALSE)</f>
        <v>5</v>
      </c>
      <c r="M3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 spans="1:13" x14ac:dyDescent="0.25">
      <c r="A395" t="s">
        <v>90</v>
      </c>
      <c r="B395" t="s">
        <v>90</v>
      </c>
      <c r="C395" t="s">
        <v>78</v>
      </c>
      <c r="D395" s="1" t="s">
        <v>96</v>
      </c>
      <c r="E395" t="s">
        <v>93</v>
      </c>
      <c r="F395" t="s">
        <v>15</v>
      </c>
      <c r="G395">
        <v>4</v>
      </c>
      <c r="H395">
        <v>97596.95</v>
      </c>
      <c r="I395" s="5">
        <f>IFERROR(VLOOKUP(TrendSheetStgData[Population]&amp;TrendSheetStgData[Cost Basis]&amp;TrendSheetStgData[Period]&amp;TrendSheetStgData[Trend],TrendSheetPrdData[#All],9,FALSE),0)</f>
        <v>97596.95</v>
      </c>
      <c r="J3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 s="5">
        <f>VLOOKUP(TrendSheetStgData[Population]&amp;TrendSheetStgData[Trend],Threshold[#All],4,FALSE)</f>
        <v>10</v>
      </c>
      <c r="L395" s="5">
        <f>VLOOKUP(TrendSheetStgData[Population]&amp;TrendSheetStgData[Trend],Threshold[#All],5,FALSE)</f>
        <v>5</v>
      </c>
      <c r="M3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 spans="1:13" x14ac:dyDescent="0.25">
      <c r="A396" t="s">
        <v>90</v>
      </c>
      <c r="B396" t="s">
        <v>90</v>
      </c>
      <c r="C396" t="s">
        <v>78</v>
      </c>
      <c r="D396" s="1" t="s">
        <v>97</v>
      </c>
      <c r="E396" t="s">
        <v>93</v>
      </c>
      <c r="F396" t="s">
        <v>15</v>
      </c>
      <c r="G396">
        <v>4</v>
      </c>
      <c r="H396">
        <v>0</v>
      </c>
      <c r="I396" s="5">
        <f>IFERROR(VLOOKUP(TrendSheetStgData[Population]&amp;TrendSheetStgData[Cost Basis]&amp;TrendSheetStgData[Period]&amp;TrendSheetStgData[Trend],TrendSheetPrdData[#All],9,FALSE),0)</f>
        <v>0</v>
      </c>
      <c r="J3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 s="5">
        <f>VLOOKUP(TrendSheetStgData[Population]&amp;TrendSheetStgData[Trend],Threshold[#All],4,FALSE)</f>
        <v>10</v>
      </c>
      <c r="L396" s="5">
        <f>VLOOKUP(TrendSheetStgData[Population]&amp;TrendSheetStgData[Trend],Threshold[#All],5,FALSE)</f>
        <v>5</v>
      </c>
      <c r="M3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 spans="1:13" x14ac:dyDescent="0.25">
      <c r="A397" t="s">
        <v>90</v>
      </c>
      <c r="B397" t="s">
        <v>90</v>
      </c>
      <c r="C397" t="s">
        <v>78</v>
      </c>
      <c r="D397" s="1" t="s">
        <v>98</v>
      </c>
      <c r="E397" t="s">
        <v>93</v>
      </c>
      <c r="F397" t="s">
        <v>15</v>
      </c>
      <c r="G397">
        <v>4</v>
      </c>
      <c r="H397">
        <v>0</v>
      </c>
      <c r="I397" s="5">
        <f>IFERROR(VLOOKUP(TrendSheetStgData[Population]&amp;TrendSheetStgData[Cost Basis]&amp;TrendSheetStgData[Period]&amp;TrendSheetStgData[Trend],TrendSheetPrdData[#All],9,FALSE),0)</f>
        <v>0</v>
      </c>
      <c r="J3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 s="5">
        <f>VLOOKUP(TrendSheetStgData[Population]&amp;TrendSheetStgData[Trend],Threshold[#All],4,FALSE)</f>
        <v>10</v>
      </c>
      <c r="L397" s="5">
        <f>VLOOKUP(TrendSheetStgData[Population]&amp;TrendSheetStgData[Trend],Threshold[#All],5,FALSE)</f>
        <v>5</v>
      </c>
      <c r="M3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 spans="1:13" x14ac:dyDescent="0.25">
      <c r="A398" t="s">
        <v>90</v>
      </c>
      <c r="B398" t="s">
        <v>90</v>
      </c>
      <c r="C398" t="s">
        <v>78</v>
      </c>
      <c r="D398" s="1" t="s">
        <v>99</v>
      </c>
      <c r="E398" t="s">
        <v>93</v>
      </c>
      <c r="F398" t="s">
        <v>15</v>
      </c>
      <c r="G398">
        <v>4</v>
      </c>
      <c r="H398">
        <v>0</v>
      </c>
      <c r="I398" s="5">
        <f>IFERROR(VLOOKUP(TrendSheetStgData[Population]&amp;TrendSheetStgData[Cost Basis]&amp;TrendSheetStgData[Period]&amp;TrendSheetStgData[Trend],TrendSheetPrdData[#All],9,FALSE),0)</f>
        <v>0</v>
      </c>
      <c r="J3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 s="5">
        <f>VLOOKUP(TrendSheetStgData[Population]&amp;TrendSheetStgData[Trend],Threshold[#All],4,FALSE)</f>
        <v>10</v>
      </c>
      <c r="L398" s="5">
        <f>VLOOKUP(TrendSheetStgData[Population]&amp;TrendSheetStgData[Trend],Threshold[#All],5,FALSE)</f>
        <v>5</v>
      </c>
      <c r="M3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 spans="1:13" x14ac:dyDescent="0.25">
      <c r="A399" t="s">
        <v>90</v>
      </c>
      <c r="B399" t="s">
        <v>90</v>
      </c>
      <c r="C399" t="s">
        <v>78</v>
      </c>
      <c r="D399" s="1" t="s">
        <v>100</v>
      </c>
      <c r="E399" t="s">
        <v>93</v>
      </c>
      <c r="F399" t="s">
        <v>15</v>
      </c>
      <c r="G399">
        <v>4</v>
      </c>
      <c r="H399">
        <v>499.76</v>
      </c>
      <c r="I399" s="5">
        <f>IFERROR(VLOOKUP(TrendSheetStgData[Population]&amp;TrendSheetStgData[Cost Basis]&amp;TrendSheetStgData[Period]&amp;TrendSheetStgData[Trend],TrendSheetPrdData[#All],9,FALSE),0)</f>
        <v>0</v>
      </c>
      <c r="J3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99" s="5">
        <f>VLOOKUP(TrendSheetStgData[Population]&amp;TrendSheetStgData[Trend],Threshold[#All],4,FALSE)</f>
        <v>10</v>
      </c>
      <c r="L399" s="5">
        <f>VLOOKUP(TrendSheetStgData[Population]&amp;TrendSheetStgData[Trend],Threshold[#All],5,FALSE)</f>
        <v>5</v>
      </c>
      <c r="M3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0" spans="1:13" x14ac:dyDescent="0.25">
      <c r="A400" t="s">
        <v>90</v>
      </c>
      <c r="B400" t="s">
        <v>90</v>
      </c>
      <c r="C400" t="s">
        <v>78</v>
      </c>
      <c r="D400" s="1" t="s">
        <v>101</v>
      </c>
      <c r="E400" t="s">
        <v>93</v>
      </c>
      <c r="F400" t="s">
        <v>15</v>
      </c>
      <c r="G400">
        <v>4</v>
      </c>
      <c r="H400">
        <v>8289.39</v>
      </c>
      <c r="I400" s="5">
        <f>IFERROR(VLOOKUP(TrendSheetStgData[Population]&amp;TrendSheetStgData[Cost Basis]&amp;TrendSheetStgData[Period]&amp;TrendSheetStgData[Trend],TrendSheetPrdData[#All],9,FALSE),0)</f>
        <v>8289.39</v>
      </c>
      <c r="J4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 s="5">
        <f>VLOOKUP(TrendSheetStgData[Population]&amp;TrendSheetStgData[Trend],Threshold[#All],4,FALSE)</f>
        <v>10</v>
      </c>
      <c r="L400" s="5">
        <f>VLOOKUP(TrendSheetStgData[Population]&amp;TrendSheetStgData[Trend],Threshold[#All],5,FALSE)</f>
        <v>5</v>
      </c>
      <c r="M4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 spans="1:13" x14ac:dyDescent="0.25">
      <c r="A401" t="s">
        <v>90</v>
      </c>
      <c r="B401" t="s">
        <v>90</v>
      </c>
      <c r="C401" t="s">
        <v>78</v>
      </c>
      <c r="D401" s="1" t="s">
        <v>102</v>
      </c>
      <c r="E401" t="s">
        <v>93</v>
      </c>
      <c r="F401" t="s">
        <v>15</v>
      </c>
      <c r="G401">
        <v>4</v>
      </c>
      <c r="H401">
        <v>35188.57</v>
      </c>
      <c r="I401" s="5">
        <f>IFERROR(VLOOKUP(TrendSheetStgData[Population]&amp;TrendSheetStgData[Cost Basis]&amp;TrendSheetStgData[Period]&amp;TrendSheetStgData[Trend],TrendSheetPrdData[#All],9,FALSE),0)</f>
        <v>35188.57</v>
      </c>
      <c r="J4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 s="5">
        <f>VLOOKUP(TrendSheetStgData[Population]&amp;TrendSheetStgData[Trend],Threshold[#All],4,FALSE)</f>
        <v>10</v>
      </c>
      <c r="L401" s="5">
        <f>VLOOKUP(TrendSheetStgData[Population]&amp;TrendSheetStgData[Trend],Threshold[#All],5,FALSE)</f>
        <v>5</v>
      </c>
      <c r="M4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 spans="1:13" x14ac:dyDescent="0.25">
      <c r="A402" t="s">
        <v>90</v>
      </c>
      <c r="B402" t="s">
        <v>90</v>
      </c>
      <c r="C402" t="s">
        <v>78</v>
      </c>
      <c r="D402" s="1" t="s">
        <v>103</v>
      </c>
      <c r="E402" t="s">
        <v>93</v>
      </c>
      <c r="F402" t="s">
        <v>15</v>
      </c>
      <c r="G402">
        <v>4</v>
      </c>
      <c r="H402">
        <v>0</v>
      </c>
      <c r="I402" s="5">
        <f>IFERROR(VLOOKUP(TrendSheetStgData[Population]&amp;TrendSheetStgData[Cost Basis]&amp;TrendSheetStgData[Period]&amp;TrendSheetStgData[Trend],TrendSheetPrdData[#All],9,FALSE),0)</f>
        <v>0</v>
      </c>
      <c r="J4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 s="5">
        <f>VLOOKUP(TrendSheetStgData[Population]&amp;TrendSheetStgData[Trend],Threshold[#All],4,FALSE)</f>
        <v>10</v>
      </c>
      <c r="L402" s="5">
        <f>VLOOKUP(TrendSheetStgData[Population]&amp;TrendSheetStgData[Trend],Threshold[#All],5,FALSE)</f>
        <v>5</v>
      </c>
      <c r="M4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3" spans="1:13" x14ac:dyDescent="0.25">
      <c r="A403" t="s">
        <v>90</v>
      </c>
      <c r="B403" t="s">
        <v>90</v>
      </c>
      <c r="C403" t="s">
        <v>78</v>
      </c>
      <c r="D403" s="1" t="s">
        <v>104</v>
      </c>
      <c r="E403" t="s">
        <v>93</v>
      </c>
      <c r="F403" t="s">
        <v>15</v>
      </c>
      <c r="G403">
        <v>4</v>
      </c>
      <c r="H403">
        <v>709</v>
      </c>
      <c r="I403" s="5">
        <f>IFERROR(VLOOKUP(TrendSheetStgData[Population]&amp;TrendSheetStgData[Cost Basis]&amp;TrendSheetStgData[Period]&amp;TrendSheetStgData[Trend],TrendSheetPrdData[#All],9,FALSE),0)</f>
        <v>384.7</v>
      </c>
      <c r="J4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84.299454120093586</v>
      </c>
      <c r="K403" s="5">
        <f>VLOOKUP(TrendSheetStgData[Population]&amp;TrendSheetStgData[Trend],Threshold[#All],4,FALSE)</f>
        <v>10</v>
      </c>
      <c r="L403" s="5">
        <f>VLOOKUP(TrendSheetStgData[Population]&amp;TrendSheetStgData[Trend],Threshold[#All],5,FALSE)</f>
        <v>5</v>
      </c>
      <c r="M4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4" spans="1:13" x14ac:dyDescent="0.25">
      <c r="A404" t="s">
        <v>90</v>
      </c>
      <c r="B404" t="s">
        <v>90</v>
      </c>
      <c r="C404" t="s">
        <v>78</v>
      </c>
      <c r="D404" s="1" t="s">
        <v>105</v>
      </c>
      <c r="E404" t="s">
        <v>106</v>
      </c>
      <c r="F404" t="s">
        <v>15</v>
      </c>
      <c r="G404">
        <v>4</v>
      </c>
      <c r="H404">
        <v>891.74</v>
      </c>
      <c r="I404" s="5">
        <f>IFERROR(VLOOKUP(TrendSheetStgData[Population]&amp;TrendSheetStgData[Cost Basis]&amp;TrendSheetStgData[Period]&amp;TrendSheetStgData[Trend],TrendSheetPrdData[#All],9,FALSE),0)</f>
        <v>891.74</v>
      </c>
      <c r="J4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 s="5">
        <f>VLOOKUP(TrendSheetStgData[Population]&amp;TrendSheetStgData[Trend],Threshold[#All],4,FALSE)</f>
        <v>10</v>
      </c>
      <c r="L404" s="5">
        <f>VLOOKUP(TrendSheetStgData[Population]&amp;TrendSheetStgData[Trend],Threshold[#All],5,FALSE)</f>
        <v>5</v>
      </c>
      <c r="M4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 spans="1:13" x14ac:dyDescent="0.25">
      <c r="A405" t="s">
        <v>90</v>
      </c>
      <c r="B405" t="s">
        <v>90</v>
      </c>
      <c r="C405" t="s">
        <v>78</v>
      </c>
      <c r="D405" s="1" t="s">
        <v>107</v>
      </c>
      <c r="E405" t="s">
        <v>106</v>
      </c>
      <c r="F405" t="s">
        <v>15</v>
      </c>
      <c r="G405">
        <v>4</v>
      </c>
      <c r="H405">
        <v>846</v>
      </c>
      <c r="I405" s="5">
        <f>IFERROR(VLOOKUP(TrendSheetStgData[Population]&amp;TrendSheetStgData[Cost Basis]&amp;TrendSheetStgData[Period]&amp;TrendSheetStgData[Trend],TrendSheetPrdData[#All],9,FALSE),0)</f>
        <v>0</v>
      </c>
      <c r="J4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05" s="5">
        <f>VLOOKUP(TrendSheetStgData[Population]&amp;TrendSheetStgData[Trend],Threshold[#All],4,FALSE)</f>
        <v>10</v>
      </c>
      <c r="L405" s="5">
        <f>VLOOKUP(TrendSheetStgData[Population]&amp;TrendSheetStgData[Trend],Threshold[#All],5,FALSE)</f>
        <v>5</v>
      </c>
      <c r="M4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6" spans="1:13" x14ac:dyDescent="0.25">
      <c r="A406" t="s">
        <v>90</v>
      </c>
      <c r="B406" t="s">
        <v>90</v>
      </c>
      <c r="C406" t="s">
        <v>78</v>
      </c>
      <c r="D406" s="1" t="s">
        <v>108</v>
      </c>
      <c r="E406" t="s">
        <v>106</v>
      </c>
      <c r="F406" t="s">
        <v>15</v>
      </c>
      <c r="G406">
        <v>4</v>
      </c>
      <c r="H406">
        <v>0</v>
      </c>
      <c r="I406" s="5">
        <f>IFERROR(VLOOKUP(TrendSheetStgData[Population]&amp;TrendSheetStgData[Cost Basis]&amp;TrendSheetStgData[Period]&amp;TrendSheetStgData[Trend],TrendSheetPrdData[#All],9,FALSE),0)</f>
        <v>0</v>
      </c>
      <c r="J4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 s="5">
        <f>VLOOKUP(TrendSheetStgData[Population]&amp;TrendSheetStgData[Trend],Threshold[#All],4,FALSE)</f>
        <v>10</v>
      </c>
      <c r="L406" s="5">
        <f>VLOOKUP(TrendSheetStgData[Population]&amp;TrendSheetStgData[Trend],Threshold[#All],5,FALSE)</f>
        <v>5</v>
      </c>
      <c r="M4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7" spans="1:13" x14ac:dyDescent="0.25">
      <c r="A407" t="s">
        <v>90</v>
      </c>
      <c r="B407" t="s">
        <v>90</v>
      </c>
      <c r="C407" t="s">
        <v>78</v>
      </c>
      <c r="D407" s="1" t="s">
        <v>92</v>
      </c>
      <c r="E407" t="s">
        <v>93</v>
      </c>
      <c r="F407" t="s">
        <v>16</v>
      </c>
      <c r="G407">
        <v>5</v>
      </c>
      <c r="H407">
        <v>0</v>
      </c>
      <c r="I407" s="5">
        <f>IFERROR(VLOOKUP(TrendSheetStgData[Population]&amp;TrendSheetStgData[Cost Basis]&amp;TrendSheetStgData[Period]&amp;TrendSheetStgData[Trend],TrendSheetPrdData[#All],9,FALSE),0)</f>
        <v>0</v>
      </c>
      <c r="J4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7" s="5">
        <f>VLOOKUP(TrendSheetStgData[Population]&amp;TrendSheetStgData[Trend],Threshold[#All],4,FALSE)</f>
        <v>10</v>
      </c>
      <c r="L407" s="5">
        <f>VLOOKUP(TrendSheetStgData[Population]&amp;TrendSheetStgData[Trend],Threshold[#All],5,FALSE)</f>
        <v>5</v>
      </c>
      <c r="M4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 spans="1:13" x14ac:dyDescent="0.25">
      <c r="A408" t="s">
        <v>90</v>
      </c>
      <c r="B408" t="s">
        <v>90</v>
      </c>
      <c r="C408" t="s">
        <v>78</v>
      </c>
      <c r="D408" s="1" t="s">
        <v>94</v>
      </c>
      <c r="E408" t="s">
        <v>93</v>
      </c>
      <c r="F408" t="s">
        <v>16</v>
      </c>
      <c r="G408">
        <v>5</v>
      </c>
      <c r="H408">
        <v>0</v>
      </c>
      <c r="I408" s="5">
        <f>IFERROR(VLOOKUP(TrendSheetStgData[Population]&amp;TrendSheetStgData[Cost Basis]&amp;TrendSheetStgData[Period]&amp;TrendSheetStgData[Trend],TrendSheetPrdData[#All],9,FALSE),0)</f>
        <v>0</v>
      </c>
      <c r="J4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 s="5">
        <f>VLOOKUP(TrendSheetStgData[Population]&amp;TrendSheetStgData[Trend],Threshold[#All],4,FALSE)</f>
        <v>10</v>
      </c>
      <c r="L408" s="5">
        <f>VLOOKUP(TrendSheetStgData[Population]&amp;TrendSheetStgData[Trend],Threshold[#All],5,FALSE)</f>
        <v>5</v>
      </c>
      <c r="M4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 spans="1:13" x14ac:dyDescent="0.25">
      <c r="A409" t="s">
        <v>90</v>
      </c>
      <c r="B409" t="s">
        <v>90</v>
      </c>
      <c r="C409" t="s">
        <v>78</v>
      </c>
      <c r="D409" s="1" t="s">
        <v>95</v>
      </c>
      <c r="E409" t="s">
        <v>93</v>
      </c>
      <c r="F409" t="s">
        <v>16</v>
      </c>
      <c r="G409">
        <v>5</v>
      </c>
      <c r="H409">
        <v>3</v>
      </c>
      <c r="I409" s="5">
        <f>IFERROR(VLOOKUP(TrendSheetStgData[Population]&amp;TrendSheetStgData[Cost Basis]&amp;TrendSheetStgData[Period]&amp;TrendSheetStgData[Trend],TrendSheetPrdData[#All],9,FALSE),0)</f>
        <v>3</v>
      </c>
      <c r="J4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 s="5">
        <f>VLOOKUP(TrendSheetStgData[Population]&amp;TrendSheetStgData[Trend],Threshold[#All],4,FALSE)</f>
        <v>10</v>
      </c>
      <c r="L409" s="5">
        <f>VLOOKUP(TrendSheetStgData[Population]&amp;TrendSheetStgData[Trend],Threshold[#All],5,FALSE)</f>
        <v>5</v>
      </c>
      <c r="M4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 spans="1:13" x14ac:dyDescent="0.25">
      <c r="A410" t="s">
        <v>90</v>
      </c>
      <c r="B410" t="s">
        <v>90</v>
      </c>
      <c r="C410" t="s">
        <v>78</v>
      </c>
      <c r="D410" s="1" t="s">
        <v>96</v>
      </c>
      <c r="E410" t="s">
        <v>93</v>
      </c>
      <c r="F410" t="s">
        <v>16</v>
      </c>
      <c r="G410">
        <v>5</v>
      </c>
      <c r="H410">
        <v>2</v>
      </c>
      <c r="I410" s="5">
        <f>IFERROR(VLOOKUP(TrendSheetStgData[Population]&amp;TrendSheetStgData[Cost Basis]&amp;TrendSheetStgData[Period]&amp;TrendSheetStgData[Trend],TrendSheetPrdData[#All],9,FALSE),0)</f>
        <v>2</v>
      </c>
      <c r="J4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 s="5">
        <f>VLOOKUP(TrendSheetStgData[Population]&amp;TrendSheetStgData[Trend],Threshold[#All],4,FALSE)</f>
        <v>10</v>
      </c>
      <c r="L410" s="5">
        <f>VLOOKUP(TrendSheetStgData[Population]&amp;TrendSheetStgData[Trend],Threshold[#All],5,FALSE)</f>
        <v>5</v>
      </c>
      <c r="M4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 spans="1:13" x14ac:dyDescent="0.25">
      <c r="A411" t="s">
        <v>90</v>
      </c>
      <c r="B411" t="s">
        <v>90</v>
      </c>
      <c r="C411" t="s">
        <v>78</v>
      </c>
      <c r="D411" s="1" t="s">
        <v>97</v>
      </c>
      <c r="E411" t="s">
        <v>93</v>
      </c>
      <c r="F411" t="s">
        <v>16</v>
      </c>
      <c r="G411">
        <v>5</v>
      </c>
      <c r="H411">
        <v>0</v>
      </c>
      <c r="I411" s="5">
        <f>IFERROR(VLOOKUP(TrendSheetStgData[Population]&amp;TrendSheetStgData[Cost Basis]&amp;TrendSheetStgData[Period]&amp;TrendSheetStgData[Trend],TrendSheetPrdData[#All],9,FALSE),0)</f>
        <v>0</v>
      </c>
      <c r="J4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 s="5">
        <f>VLOOKUP(TrendSheetStgData[Population]&amp;TrendSheetStgData[Trend],Threshold[#All],4,FALSE)</f>
        <v>10</v>
      </c>
      <c r="L411" s="5">
        <f>VLOOKUP(TrendSheetStgData[Population]&amp;TrendSheetStgData[Trend],Threshold[#All],5,FALSE)</f>
        <v>5</v>
      </c>
      <c r="M4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 spans="1:13" x14ac:dyDescent="0.25">
      <c r="A412" t="s">
        <v>90</v>
      </c>
      <c r="B412" t="s">
        <v>90</v>
      </c>
      <c r="C412" t="s">
        <v>78</v>
      </c>
      <c r="D412" s="1" t="s">
        <v>98</v>
      </c>
      <c r="E412" t="s">
        <v>93</v>
      </c>
      <c r="F412" t="s">
        <v>16</v>
      </c>
      <c r="G412">
        <v>5</v>
      </c>
      <c r="H412">
        <v>0</v>
      </c>
      <c r="I412" s="5">
        <f>IFERROR(VLOOKUP(TrendSheetStgData[Population]&amp;TrendSheetStgData[Cost Basis]&amp;TrendSheetStgData[Period]&amp;TrendSheetStgData[Trend],TrendSheetPrdData[#All],9,FALSE),0)</f>
        <v>0</v>
      </c>
      <c r="J4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 s="5">
        <f>VLOOKUP(TrendSheetStgData[Population]&amp;TrendSheetStgData[Trend],Threshold[#All],4,FALSE)</f>
        <v>10</v>
      </c>
      <c r="L412" s="5">
        <f>VLOOKUP(TrendSheetStgData[Population]&amp;TrendSheetStgData[Trend],Threshold[#All],5,FALSE)</f>
        <v>5</v>
      </c>
      <c r="M4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3" spans="1:13" x14ac:dyDescent="0.25">
      <c r="A413" t="s">
        <v>90</v>
      </c>
      <c r="B413" t="s">
        <v>90</v>
      </c>
      <c r="C413" t="s">
        <v>78</v>
      </c>
      <c r="D413" s="1" t="s">
        <v>99</v>
      </c>
      <c r="E413" t="s">
        <v>93</v>
      </c>
      <c r="F413" t="s">
        <v>16</v>
      </c>
      <c r="G413">
        <v>5</v>
      </c>
      <c r="H413">
        <v>0</v>
      </c>
      <c r="I413" s="5">
        <f>IFERROR(VLOOKUP(TrendSheetStgData[Population]&amp;TrendSheetStgData[Cost Basis]&amp;TrendSheetStgData[Period]&amp;TrendSheetStgData[Trend],TrendSheetPrdData[#All],9,FALSE),0)</f>
        <v>0</v>
      </c>
      <c r="J4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3" s="5">
        <f>VLOOKUP(TrendSheetStgData[Population]&amp;TrendSheetStgData[Trend],Threshold[#All],4,FALSE)</f>
        <v>10</v>
      </c>
      <c r="L413" s="5">
        <f>VLOOKUP(TrendSheetStgData[Population]&amp;TrendSheetStgData[Trend],Threshold[#All],5,FALSE)</f>
        <v>5</v>
      </c>
      <c r="M4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 spans="1:13" x14ac:dyDescent="0.25">
      <c r="A414" t="s">
        <v>90</v>
      </c>
      <c r="B414" t="s">
        <v>90</v>
      </c>
      <c r="C414" t="s">
        <v>78</v>
      </c>
      <c r="D414" s="1" t="s">
        <v>100</v>
      </c>
      <c r="E414" t="s">
        <v>93</v>
      </c>
      <c r="F414" t="s">
        <v>16</v>
      </c>
      <c r="G414">
        <v>5</v>
      </c>
      <c r="H414">
        <v>1</v>
      </c>
      <c r="I414" s="5">
        <f>IFERROR(VLOOKUP(TrendSheetStgData[Population]&amp;TrendSheetStgData[Cost Basis]&amp;TrendSheetStgData[Period]&amp;TrendSheetStgData[Trend],TrendSheetPrdData[#All],9,FALSE),0)</f>
        <v>1</v>
      </c>
      <c r="J4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 s="5">
        <f>VLOOKUP(TrendSheetStgData[Population]&amp;TrendSheetStgData[Trend],Threshold[#All],4,FALSE)</f>
        <v>10</v>
      </c>
      <c r="L414" s="5">
        <f>VLOOKUP(TrendSheetStgData[Population]&amp;TrendSheetStgData[Trend],Threshold[#All],5,FALSE)</f>
        <v>5</v>
      </c>
      <c r="M4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5" spans="1:13" x14ac:dyDescent="0.25">
      <c r="A415" t="s">
        <v>90</v>
      </c>
      <c r="B415" t="s">
        <v>90</v>
      </c>
      <c r="C415" t="s">
        <v>78</v>
      </c>
      <c r="D415" s="1" t="s">
        <v>101</v>
      </c>
      <c r="E415" t="s">
        <v>93</v>
      </c>
      <c r="F415" t="s">
        <v>16</v>
      </c>
      <c r="G415">
        <v>5</v>
      </c>
      <c r="H415">
        <v>1</v>
      </c>
      <c r="I415" s="5">
        <f>IFERROR(VLOOKUP(TrendSheetStgData[Population]&amp;TrendSheetStgData[Cost Basis]&amp;TrendSheetStgData[Period]&amp;TrendSheetStgData[Trend],TrendSheetPrdData[#All],9,FALSE),0)</f>
        <v>1</v>
      </c>
      <c r="J4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5" s="5">
        <f>VLOOKUP(TrendSheetStgData[Population]&amp;TrendSheetStgData[Trend],Threshold[#All],4,FALSE)</f>
        <v>10</v>
      </c>
      <c r="L415" s="5">
        <f>VLOOKUP(TrendSheetStgData[Population]&amp;TrendSheetStgData[Trend],Threshold[#All],5,FALSE)</f>
        <v>5</v>
      </c>
      <c r="M4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 spans="1:13" x14ac:dyDescent="0.25">
      <c r="A416" t="s">
        <v>90</v>
      </c>
      <c r="B416" t="s">
        <v>90</v>
      </c>
      <c r="C416" t="s">
        <v>78</v>
      </c>
      <c r="D416" s="1" t="s">
        <v>102</v>
      </c>
      <c r="E416" t="s">
        <v>93</v>
      </c>
      <c r="F416" t="s">
        <v>16</v>
      </c>
      <c r="G416">
        <v>5</v>
      </c>
      <c r="H416">
        <v>1</v>
      </c>
      <c r="I416" s="5">
        <f>IFERROR(VLOOKUP(TrendSheetStgData[Population]&amp;TrendSheetStgData[Cost Basis]&amp;TrendSheetStgData[Period]&amp;TrendSheetStgData[Trend],TrendSheetPrdData[#All],9,FALSE),0)</f>
        <v>1</v>
      </c>
      <c r="J4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 s="5">
        <f>VLOOKUP(TrendSheetStgData[Population]&amp;TrendSheetStgData[Trend],Threshold[#All],4,FALSE)</f>
        <v>10</v>
      </c>
      <c r="L416" s="5">
        <f>VLOOKUP(TrendSheetStgData[Population]&amp;TrendSheetStgData[Trend],Threshold[#All],5,FALSE)</f>
        <v>5</v>
      </c>
      <c r="M4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7" spans="1:13" x14ac:dyDescent="0.25">
      <c r="A417" t="s">
        <v>90</v>
      </c>
      <c r="B417" t="s">
        <v>90</v>
      </c>
      <c r="C417" t="s">
        <v>78</v>
      </c>
      <c r="D417" s="1" t="s">
        <v>103</v>
      </c>
      <c r="E417" t="s">
        <v>93</v>
      </c>
      <c r="F417" t="s">
        <v>16</v>
      </c>
      <c r="G417">
        <v>5</v>
      </c>
      <c r="H417">
        <v>0</v>
      </c>
      <c r="I417" s="5">
        <f>IFERROR(VLOOKUP(TrendSheetStgData[Population]&amp;TrendSheetStgData[Cost Basis]&amp;TrendSheetStgData[Period]&amp;TrendSheetStgData[Trend],TrendSheetPrdData[#All],9,FALSE),0)</f>
        <v>0</v>
      </c>
      <c r="J4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7" s="5">
        <f>VLOOKUP(TrendSheetStgData[Population]&amp;TrendSheetStgData[Trend],Threshold[#All],4,FALSE)</f>
        <v>10</v>
      </c>
      <c r="L417" s="5">
        <f>VLOOKUP(TrendSheetStgData[Population]&amp;TrendSheetStgData[Trend],Threshold[#All],5,FALSE)</f>
        <v>5</v>
      </c>
      <c r="M4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 spans="1:13" x14ac:dyDescent="0.25">
      <c r="A418" t="s">
        <v>90</v>
      </c>
      <c r="B418" t="s">
        <v>90</v>
      </c>
      <c r="C418" t="s">
        <v>78</v>
      </c>
      <c r="D418" s="1" t="s">
        <v>104</v>
      </c>
      <c r="E418" t="s">
        <v>93</v>
      </c>
      <c r="F418" t="s">
        <v>16</v>
      </c>
      <c r="G418">
        <v>5</v>
      </c>
      <c r="H418">
        <v>1</v>
      </c>
      <c r="I418" s="5">
        <f>IFERROR(VLOOKUP(TrendSheetStgData[Population]&amp;TrendSheetStgData[Cost Basis]&amp;TrendSheetStgData[Period]&amp;TrendSheetStgData[Trend],TrendSheetPrdData[#All],9,FALSE),0)</f>
        <v>1</v>
      </c>
      <c r="J4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 s="5">
        <f>VLOOKUP(TrendSheetStgData[Population]&amp;TrendSheetStgData[Trend],Threshold[#All],4,FALSE)</f>
        <v>10</v>
      </c>
      <c r="L418" s="5">
        <f>VLOOKUP(TrendSheetStgData[Population]&amp;TrendSheetStgData[Trend],Threshold[#All],5,FALSE)</f>
        <v>5</v>
      </c>
      <c r="M4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 spans="1:13" x14ac:dyDescent="0.25">
      <c r="A419" t="s">
        <v>90</v>
      </c>
      <c r="B419" t="s">
        <v>90</v>
      </c>
      <c r="C419" t="s">
        <v>78</v>
      </c>
      <c r="D419" s="1" t="s">
        <v>105</v>
      </c>
      <c r="E419" t="s">
        <v>106</v>
      </c>
      <c r="F419" t="s">
        <v>16</v>
      </c>
      <c r="G419">
        <v>5</v>
      </c>
      <c r="H419">
        <v>2</v>
      </c>
      <c r="I419" s="5">
        <f>IFERROR(VLOOKUP(TrendSheetStgData[Population]&amp;TrendSheetStgData[Cost Basis]&amp;TrendSheetStgData[Period]&amp;TrendSheetStgData[Trend],TrendSheetPrdData[#All],9,FALSE),0)</f>
        <v>2</v>
      </c>
      <c r="J4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 s="5">
        <f>VLOOKUP(TrendSheetStgData[Population]&amp;TrendSheetStgData[Trend],Threshold[#All],4,FALSE)</f>
        <v>10</v>
      </c>
      <c r="L419" s="5">
        <f>VLOOKUP(TrendSheetStgData[Population]&amp;TrendSheetStgData[Trend],Threshold[#All],5,FALSE)</f>
        <v>5</v>
      </c>
      <c r="M4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0" spans="1:13" x14ac:dyDescent="0.25">
      <c r="A420" t="s">
        <v>90</v>
      </c>
      <c r="B420" t="s">
        <v>90</v>
      </c>
      <c r="C420" t="s">
        <v>78</v>
      </c>
      <c r="D420" s="1" t="s">
        <v>107</v>
      </c>
      <c r="E420" t="s">
        <v>106</v>
      </c>
      <c r="F420" t="s">
        <v>16</v>
      </c>
      <c r="G420">
        <v>5</v>
      </c>
      <c r="H420">
        <v>2</v>
      </c>
      <c r="I420" s="5">
        <f>IFERROR(VLOOKUP(TrendSheetStgData[Population]&amp;TrendSheetStgData[Cost Basis]&amp;TrendSheetStgData[Period]&amp;TrendSheetStgData[Trend],TrendSheetPrdData[#All],9,FALSE),0)</f>
        <v>0</v>
      </c>
      <c r="J4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20" s="5">
        <f>VLOOKUP(TrendSheetStgData[Population]&amp;TrendSheetStgData[Trend],Threshold[#All],4,FALSE)</f>
        <v>10</v>
      </c>
      <c r="L420" s="5">
        <f>VLOOKUP(TrendSheetStgData[Population]&amp;TrendSheetStgData[Trend],Threshold[#All],5,FALSE)</f>
        <v>5</v>
      </c>
      <c r="M4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1" spans="1:13" x14ac:dyDescent="0.25">
      <c r="A421" t="s">
        <v>90</v>
      </c>
      <c r="B421" t="s">
        <v>90</v>
      </c>
      <c r="C421" t="s">
        <v>78</v>
      </c>
      <c r="D421" s="1" t="s">
        <v>108</v>
      </c>
      <c r="E421" t="s">
        <v>106</v>
      </c>
      <c r="F421" t="s">
        <v>16</v>
      </c>
      <c r="G421">
        <v>5</v>
      </c>
      <c r="H421">
        <v>0</v>
      </c>
      <c r="I421" s="5">
        <f>IFERROR(VLOOKUP(TrendSheetStgData[Population]&amp;TrendSheetStgData[Cost Basis]&amp;TrendSheetStgData[Period]&amp;TrendSheetStgData[Trend],TrendSheetPrdData[#All],9,FALSE),0)</f>
        <v>0</v>
      </c>
      <c r="J4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1" s="5">
        <f>VLOOKUP(TrendSheetStgData[Population]&amp;TrendSheetStgData[Trend],Threshold[#All],4,FALSE)</f>
        <v>10</v>
      </c>
      <c r="L421" s="5">
        <f>VLOOKUP(TrendSheetStgData[Population]&amp;TrendSheetStgData[Trend],Threshold[#All],5,FALSE)</f>
        <v>5</v>
      </c>
      <c r="M4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2" spans="1:13" x14ac:dyDescent="0.25">
      <c r="A422" t="s">
        <v>90</v>
      </c>
      <c r="B422" t="s">
        <v>90</v>
      </c>
      <c r="C422" t="s">
        <v>78</v>
      </c>
      <c r="D422" s="1" t="s">
        <v>92</v>
      </c>
      <c r="E422" t="s">
        <v>93</v>
      </c>
      <c r="F422" t="s">
        <v>17</v>
      </c>
      <c r="G422">
        <v>6</v>
      </c>
      <c r="H422">
        <v>11993.27</v>
      </c>
      <c r="I422" s="5">
        <f>IFERROR(VLOOKUP(TrendSheetStgData[Population]&amp;TrendSheetStgData[Cost Basis]&amp;TrendSheetStgData[Period]&amp;TrendSheetStgData[Trend],TrendSheetPrdData[#All],9,FALSE),0)</f>
        <v>11993.27</v>
      </c>
      <c r="J4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2" s="5">
        <f>VLOOKUP(TrendSheetStgData[Population]&amp;TrendSheetStgData[Trend],Threshold[#All],4,FALSE)</f>
        <v>10</v>
      </c>
      <c r="L422" s="5">
        <f>VLOOKUP(TrendSheetStgData[Population]&amp;TrendSheetStgData[Trend],Threshold[#All],5,FALSE)</f>
        <v>5</v>
      </c>
      <c r="M4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 spans="1:13" x14ac:dyDescent="0.25">
      <c r="A423" t="s">
        <v>90</v>
      </c>
      <c r="B423" t="s">
        <v>90</v>
      </c>
      <c r="C423" t="s">
        <v>78</v>
      </c>
      <c r="D423" s="1" t="s">
        <v>94</v>
      </c>
      <c r="E423" t="s">
        <v>93</v>
      </c>
      <c r="F423" t="s">
        <v>17</v>
      </c>
      <c r="G423">
        <v>6</v>
      </c>
      <c r="H423">
        <v>23478.6</v>
      </c>
      <c r="I423" s="5">
        <f>IFERROR(VLOOKUP(TrendSheetStgData[Population]&amp;TrendSheetStgData[Cost Basis]&amp;TrendSheetStgData[Period]&amp;TrendSheetStgData[Trend],TrendSheetPrdData[#All],9,FALSE),0)</f>
        <v>23478.6</v>
      </c>
      <c r="J4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 s="5">
        <f>VLOOKUP(TrendSheetStgData[Population]&amp;TrendSheetStgData[Trend],Threshold[#All],4,FALSE)</f>
        <v>10</v>
      </c>
      <c r="L423" s="5">
        <f>VLOOKUP(TrendSheetStgData[Population]&amp;TrendSheetStgData[Trend],Threshold[#All],5,FALSE)</f>
        <v>5</v>
      </c>
      <c r="M4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4" spans="1:13" x14ac:dyDescent="0.25">
      <c r="A424" t="s">
        <v>90</v>
      </c>
      <c r="B424" t="s">
        <v>90</v>
      </c>
      <c r="C424" t="s">
        <v>78</v>
      </c>
      <c r="D424" s="1" t="s">
        <v>95</v>
      </c>
      <c r="E424" t="s">
        <v>93</v>
      </c>
      <c r="F424" t="s">
        <v>17</v>
      </c>
      <c r="G424">
        <v>6</v>
      </c>
      <c r="H424">
        <v>0</v>
      </c>
      <c r="I424" s="5">
        <f>IFERROR(VLOOKUP(TrendSheetStgData[Population]&amp;TrendSheetStgData[Cost Basis]&amp;TrendSheetStgData[Period]&amp;TrendSheetStgData[Trend],TrendSheetPrdData[#All],9,FALSE),0)</f>
        <v>0</v>
      </c>
      <c r="J4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4" s="5">
        <f>VLOOKUP(TrendSheetStgData[Population]&amp;TrendSheetStgData[Trend],Threshold[#All],4,FALSE)</f>
        <v>10</v>
      </c>
      <c r="L424" s="5">
        <f>VLOOKUP(TrendSheetStgData[Population]&amp;TrendSheetStgData[Trend],Threshold[#All],5,FALSE)</f>
        <v>5</v>
      </c>
      <c r="M4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 spans="1:13" x14ac:dyDescent="0.25">
      <c r="A425" t="s">
        <v>90</v>
      </c>
      <c r="B425" t="s">
        <v>90</v>
      </c>
      <c r="C425" t="s">
        <v>78</v>
      </c>
      <c r="D425" s="1" t="s">
        <v>96</v>
      </c>
      <c r="E425" t="s">
        <v>93</v>
      </c>
      <c r="F425" t="s">
        <v>17</v>
      </c>
      <c r="G425">
        <v>6</v>
      </c>
      <c r="H425">
        <v>0</v>
      </c>
      <c r="I425" s="5">
        <f>IFERROR(VLOOKUP(TrendSheetStgData[Population]&amp;TrendSheetStgData[Cost Basis]&amp;TrendSheetStgData[Period]&amp;TrendSheetStgData[Trend],TrendSheetPrdData[#All],9,FALSE),0)</f>
        <v>0</v>
      </c>
      <c r="J4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 s="5">
        <f>VLOOKUP(TrendSheetStgData[Population]&amp;TrendSheetStgData[Trend],Threshold[#All],4,FALSE)</f>
        <v>10</v>
      </c>
      <c r="L425" s="5">
        <f>VLOOKUP(TrendSheetStgData[Population]&amp;TrendSheetStgData[Trend],Threshold[#All],5,FALSE)</f>
        <v>5</v>
      </c>
      <c r="M4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6" spans="1:13" x14ac:dyDescent="0.25">
      <c r="A426" t="s">
        <v>90</v>
      </c>
      <c r="B426" t="s">
        <v>90</v>
      </c>
      <c r="C426" t="s">
        <v>78</v>
      </c>
      <c r="D426" s="1" t="s">
        <v>97</v>
      </c>
      <c r="E426" t="s">
        <v>93</v>
      </c>
      <c r="F426" t="s">
        <v>17</v>
      </c>
      <c r="G426">
        <v>6</v>
      </c>
      <c r="H426">
        <v>0</v>
      </c>
      <c r="I426" s="5">
        <f>IFERROR(VLOOKUP(TrendSheetStgData[Population]&amp;TrendSheetStgData[Cost Basis]&amp;TrendSheetStgData[Period]&amp;TrendSheetStgData[Trend],TrendSheetPrdData[#All],9,FALSE),0)</f>
        <v>0</v>
      </c>
      <c r="J4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6" s="5">
        <f>VLOOKUP(TrendSheetStgData[Population]&amp;TrendSheetStgData[Trend],Threshold[#All],4,FALSE)</f>
        <v>10</v>
      </c>
      <c r="L426" s="5">
        <f>VLOOKUP(TrendSheetStgData[Population]&amp;TrendSheetStgData[Trend],Threshold[#All],5,FALSE)</f>
        <v>5</v>
      </c>
      <c r="M4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 spans="1:13" x14ac:dyDescent="0.25">
      <c r="A427" t="s">
        <v>90</v>
      </c>
      <c r="B427" t="s">
        <v>90</v>
      </c>
      <c r="C427" t="s">
        <v>78</v>
      </c>
      <c r="D427" s="1" t="s">
        <v>98</v>
      </c>
      <c r="E427" t="s">
        <v>93</v>
      </c>
      <c r="F427" t="s">
        <v>17</v>
      </c>
      <c r="G427">
        <v>6</v>
      </c>
      <c r="H427">
        <v>0</v>
      </c>
      <c r="I427" s="5">
        <f>IFERROR(VLOOKUP(TrendSheetStgData[Population]&amp;TrendSheetStgData[Cost Basis]&amp;TrendSheetStgData[Period]&amp;TrendSheetStgData[Trend],TrendSheetPrdData[#All],9,FALSE),0)</f>
        <v>0</v>
      </c>
      <c r="J4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7" s="5">
        <f>VLOOKUP(TrendSheetStgData[Population]&amp;TrendSheetStgData[Trend],Threshold[#All],4,FALSE)</f>
        <v>10</v>
      </c>
      <c r="L427" s="5">
        <f>VLOOKUP(TrendSheetStgData[Population]&amp;TrendSheetStgData[Trend],Threshold[#All],5,FALSE)</f>
        <v>5</v>
      </c>
      <c r="M4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8" spans="1:13" x14ac:dyDescent="0.25">
      <c r="A428" t="s">
        <v>90</v>
      </c>
      <c r="B428" t="s">
        <v>90</v>
      </c>
      <c r="C428" t="s">
        <v>78</v>
      </c>
      <c r="D428" s="1" t="s">
        <v>99</v>
      </c>
      <c r="E428" t="s">
        <v>93</v>
      </c>
      <c r="F428" t="s">
        <v>17</v>
      </c>
      <c r="G428">
        <v>6</v>
      </c>
      <c r="H428">
        <v>0</v>
      </c>
      <c r="I428" s="5">
        <f>IFERROR(VLOOKUP(TrendSheetStgData[Population]&amp;TrendSheetStgData[Cost Basis]&amp;TrendSheetStgData[Period]&amp;TrendSheetStgData[Trend],TrendSheetPrdData[#All],9,FALSE),0)</f>
        <v>0</v>
      </c>
      <c r="J4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8" s="5">
        <f>VLOOKUP(TrendSheetStgData[Population]&amp;TrendSheetStgData[Trend],Threshold[#All],4,FALSE)</f>
        <v>10</v>
      </c>
      <c r="L428" s="5">
        <f>VLOOKUP(TrendSheetStgData[Population]&amp;TrendSheetStgData[Trend],Threshold[#All],5,FALSE)</f>
        <v>5</v>
      </c>
      <c r="M4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9" spans="1:13" x14ac:dyDescent="0.25">
      <c r="A429" t="s">
        <v>90</v>
      </c>
      <c r="B429" t="s">
        <v>90</v>
      </c>
      <c r="C429" t="s">
        <v>78</v>
      </c>
      <c r="D429" s="1" t="s">
        <v>100</v>
      </c>
      <c r="E429" t="s">
        <v>93</v>
      </c>
      <c r="F429" t="s">
        <v>17</v>
      </c>
      <c r="G429">
        <v>6</v>
      </c>
      <c r="H429">
        <v>0</v>
      </c>
      <c r="I429" s="5">
        <f>IFERROR(VLOOKUP(TrendSheetStgData[Population]&amp;TrendSheetStgData[Cost Basis]&amp;TrendSheetStgData[Period]&amp;TrendSheetStgData[Trend],TrendSheetPrdData[#All],9,FALSE),0)</f>
        <v>0</v>
      </c>
      <c r="J4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9" s="5">
        <f>VLOOKUP(TrendSheetStgData[Population]&amp;TrendSheetStgData[Trend],Threshold[#All],4,FALSE)</f>
        <v>10</v>
      </c>
      <c r="L429" s="5">
        <f>VLOOKUP(TrendSheetStgData[Population]&amp;TrendSheetStgData[Trend],Threshold[#All],5,FALSE)</f>
        <v>5</v>
      </c>
      <c r="M4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0" spans="1:13" x14ac:dyDescent="0.25">
      <c r="A430" t="s">
        <v>90</v>
      </c>
      <c r="B430" t="s">
        <v>90</v>
      </c>
      <c r="C430" t="s">
        <v>78</v>
      </c>
      <c r="D430" s="1" t="s">
        <v>101</v>
      </c>
      <c r="E430" t="s">
        <v>93</v>
      </c>
      <c r="F430" t="s">
        <v>17</v>
      </c>
      <c r="G430">
        <v>6</v>
      </c>
      <c r="H430">
        <v>7961.74</v>
      </c>
      <c r="I430" s="5">
        <f>IFERROR(VLOOKUP(TrendSheetStgData[Population]&amp;TrendSheetStgData[Cost Basis]&amp;TrendSheetStgData[Period]&amp;TrendSheetStgData[Trend],TrendSheetPrdData[#All],9,FALSE),0)</f>
        <v>7961.74</v>
      </c>
      <c r="J4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0" s="5">
        <f>VLOOKUP(TrendSheetStgData[Population]&amp;TrendSheetStgData[Trend],Threshold[#All],4,FALSE)</f>
        <v>10</v>
      </c>
      <c r="L430" s="5">
        <f>VLOOKUP(TrendSheetStgData[Population]&amp;TrendSheetStgData[Trend],Threshold[#All],5,FALSE)</f>
        <v>5</v>
      </c>
      <c r="M4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1" spans="1:13" x14ac:dyDescent="0.25">
      <c r="A431" t="s">
        <v>90</v>
      </c>
      <c r="B431" t="s">
        <v>90</v>
      </c>
      <c r="C431" t="s">
        <v>78</v>
      </c>
      <c r="D431" s="1" t="s">
        <v>102</v>
      </c>
      <c r="E431" t="s">
        <v>93</v>
      </c>
      <c r="F431" t="s">
        <v>17</v>
      </c>
      <c r="G431">
        <v>6</v>
      </c>
      <c r="H431">
        <v>0</v>
      </c>
      <c r="I431" s="5">
        <f>IFERROR(VLOOKUP(TrendSheetStgData[Population]&amp;TrendSheetStgData[Cost Basis]&amp;TrendSheetStgData[Period]&amp;TrendSheetStgData[Trend],TrendSheetPrdData[#All],9,FALSE),0)</f>
        <v>0</v>
      </c>
      <c r="J4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1" s="5">
        <f>VLOOKUP(TrendSheetStgData[Population]&amp;TrendSheetStgData[Trend],Threshold[#All],4,FALSE)</f>
        <v>10</v>
      </c>
      <c r="L431" s="5">
        <f>VLOOKUP(TrendSheetStgData[Population]&amp;TrendSheetStgData[Trend],Threshold[#All],5,FALSE)</f>
        <v>5</v>
      </c>
      <c r="M4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2" spans="1:13" x14ac:dyDescent="0.25">
      <c r="A432" t="s">
        <v>90</v>
      </c>
      <c r="B432" t="s">
        <v>90</v>
      </c>
      <c r="C432" t="s">
        <v>78</v>
      </c>
      <c r="D432" s="1" t="s">
        <v>103</v>
      </c>
      <c r="E432" t="s">
        <v>93</v>
      </c>
      <c r="F432" t="s">
        <v>17</v>
      </c>
      <c r="G432">
        <v>6</v>
      </c>
      <c r="H432">
        <v>0</v>
      </c>
      <c r="I432" s="5">
        <f>IFERROR(VLOOKUP(TrendSheetStgData[Population]&amp;TrendSheetStgData[Cost Basis]&amp;TrendSheetStgData[Period]&amp;TrendSheetStgData[Trend],TrendSheetPrdData[#All],9,FALSE),0)</f>
        <v>0</v>
      </c>
      <c r="J4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2" s="5">
        <f>VLOOKUP(TrendSheetStgData[Population]&amp;TrendSheetStgData[Trend],Threshold[#All],4,FALSE)</f>
        <v>10</v>
      </c>
      <c r="L432" s="5">
        <f>VLOOKUP(TrendSheetStgData[Population]&amp;TrendSheetStgData[Trend],Threshold[#All],5,FALSE)</f>
        <v>5</v>
      </c>
      <c r="M4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 spans="1:13" x14ac:dyDescent="0.25">
      <c r="A433" t="s">
        <v>90</v>
      </c>
      <c r="B433" t="s">
        <v>90</v>
      </c>
      <c r="C433" t="s">
        <v>78</v>
      </c>
      <c r="D433" s="1" t="s">
        <v>104</v>
      </c>
      <c r="E433" t="s">
        <v>93</v>
      </c>
      <c r="F433" t="s">
        <v>17</v>
      </c>
      <c r="G433">
        <v>6</v>
      </c>
      <c r="H433">
        <v>0</v>
      </c>
      <c r="I433" s="5">
        <f>IFERROR(VLOOKUP(TrendSheetStgData[Population]&amp;TrendSheetStgData[Cost Basis]&amp;TrendSheetStgData[Period]&amp;TrendSheetStgData[Trend],TrendSheetPrdData[#All],9,FALSE),0)</f>
        <v>0</v>
      </c>
      <c r="J4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 s="5">
        <f>VLOOKUP(TrendSheetStgData[Population]&amp;TrendSheetStgData[Trend],Threshold[#All],4,FALSE)</f>
        <v>10</v>
      </c>
      <c r="L433" s="5">
        <f>VLOOKUP(TrendSheetStgData[Population]&amp;TrendSheetStgData[Trend],Threshold[#All],5,FALSE)</f>
        <v>5</v>
      </c>
      <c r="M4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 spans="1:13" x14ac:dyDescent="0.25">
      <c r="A434" t="s">
        <v>90</v>
      </c>
      <c r="B434" t="s">
        <v>90</v>
      </c>
      <c r="C434" t="s">
        <v>78</v>
      </c>
      <c r="D434" s="1" t="s">
        <v>105</v>
      </c>
      <c r="E434" t="s">
        <v>106</v>
      </c>
      <c r="F434" t="s">
        <v>17</v>
      </c>
      <c r="G434">
        <v>6</v>
      </c>
      <c r="H434">
        <v>0</v>
      </c>
      <c r="I434" s="5">
        <f>IFERROR(VLOOKUP(TrendSheetStgData[Population]&amp;TrendSheetStgData[Cost Basis]&amp;TrendSheetStgData[Period]&amp;TrendSheetStgData[Trend],TrendSheetPrdData[#All],9,FALSE),0)</f>
        <v>0</v>
      </c>
      <c r="J4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 s="5">
        <f>VLOOKUP(TrendSheetStgData[Population]&amp;TrendSheetStgData[Trend],Threshold[#All],4,FALSE)</f>
        <v>10</v>
      </c>
      <c r="L434" s="5">
        <f>VLOOKUP(TrendSheetStgData[Population]&amp;TrendSheetStgData[Trend],Threshold[#All],5,FALSE)</f>
        <v>5</v>
      </c>
      <c r="M4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5" spans="1:13" x14ac:dyDescent="0.25">
      <c r="A435" t="s">
        <v>90</v>
      </c>
      <c r="B435" t="s">
        <v>90</v>
      </c>
      <c r="C435" t="s">
        <v>78</v>
      </c>
      <c r="D435" s="1" t="s">
        <v>107</v>
      </c>
      <c r="E435" t="s">
        <v>106</v>
      </c>
      <c r="F435" t="s">
        <v>17</v>
      </c>
      <c r="G435">
        <v>6</v>
      </c>
      <c r="H435">
        <v>0</v>
      </c>
      <c r="I435" s="5">
        <f>IFERROR(VLOOKUP(TrendSheetStgData[Population]&amp;TrendSheetStgData[Cost Basis]&amp;TrendSheetStgData[Period]&amp;TrendSheetStgData[Trend],TrendSheetPrdData[#All],9,FALSE),0)</f>
        <v>0</v>
      </c>
      <c r="J4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5" s="5">
        <f>VLOOKUP(TrendSheetStgData[Population]&amp;TrendSheetStgData[Trend],Threshold[#All],4,FALSE)</f>
        <v>10</v>
      </c>
      <c r="L435" s="5">
        <f>VLOOKUP(TrendSheetStgData[Population]&amp;TrendSheetStgData[Trend],Threshold[#All],5,FALSE)</f>
        <v>5</v>
      </c>
      <c r="M4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6" spans="1:13" x14ac:dyDescent="0.25">
      <c r="A436" t="s">
        <v>90</v>
      </c>
      <c r="B436" t="s">
        <v>90</v>
      </c>
      <c r="C436" t="s">
        <v>78</v>
      </c>
      <c r="D436" s="1" t="s">
        <v>108</v>
      </c>
      <c r="E436" t="s">
        <v>106</v>
      </c>
      <c r="F436" t="s">
        <v>17</v>
      </c>
      <c r="G436">
        <v>6</v>
      </c>
      <c r="H436">
        <v>0</v>
      </c>
      <c r="I436" s="5">
        <f>IFERROR(VLOOKUP(TrendSheetStgData[Population]&amp;TrendSheetStgData[Cost Basis]&amp;TrendSheetStgData[Period]&amp;TrendSheetStgData[Trend],TrendSheetPrdData[#All],9,FALSE),0)</f>
        <v>0</v>
      </c>
      <c r="J4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6" s="5">
        <f>VLOOKUP(TrendSheetStgData[Population]&amp;TrendSheetStgData[Trend],Threshold[#All],4,FALSE)</f>
        <v>10</v>
      </c>
      <c r="L436" s="5">
        <f>VLOOKUP(TrendSheetStgData[Population]&amp;TrendSheetStgData[Trend],Threshold[#All],5,FALSE)</f>
        <v>5</v>
      </c>
      <c r="M4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 spans="1:13" x14ac:dyDescent="0.25">
      <c r="A437" t="s">
        <v>90</v>
      </c>
      <c r="B437" t="s">
        <v>90</v>
      </c>
      <c r="C437" t="s">
        <v>78</v>
      </c>
      <c r="D437" s="1" t="s">
        <v>92</v>
      </c>
      <c r="E437" t="s">
        <v>93</v>
      </c>
      <c r="F437" t="s">
        <v>18</v>
      </c>
      <c r="G437">
        <v>7</v>
      </c>
      <c r="H437">
        <v>2</v>
      </c>
      <c r="I437" s="5">
        <f>IFERROR(VLOOKUP(TrendSheetStgData[Population]&amp;TrendSheetStgData[Cost Basis]&amp;TrendSheetStgData[Period]&amp;TrendSheetStgData[Trend],TrendSheetPrdData[#All],9,FALSE),0)</f>
        <v>2</v>
      </c>
      <c r="J4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 s="5">
        <f>VLOOKUP(TrendSheetStgData[Population]&amp;TrendSheetStgData[Trend],Threshold[#All],4,FALSE)</f>
        <v>10</v>
      </c>
      <c r="L437" s="5">
        <f>VLOOKUP(TrendSheetStgData[Population]&amp;TrendSheetStgData[Trend],Threshold[#All],5,FALSE)</f>
        <v>5</v>
      </c>
      <c r="M4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8" spans="1:13" x14ac:dyDescent="0.25">
      <c r="A438" t="s">
        <v>90</v>
      </c>
      <c r="B438" t="s">
        <v>90</v>
      </c>
      <c r="C438" t="s">
        <v>78</v>
      </c>
      <c r="D438" s="1" t="s">
        <v>94</v>
      </c>
      <c r="E438" t="s">
        <v>93</v>
      </c>
      <c r="F438" t="s">
        <v>18</v>
      </c>
      <c r="G438">
        <v>7</v>
      </c>
      <c r="H438">
        <v>1</v>
      </c>
      <c r="I438" s="5">
        <f>IFERROR(VLOOKUP(TrendSheetStgData[Population]&amp;TrendSheetStgData[Cost Basis]&amp;TrendSheetStgData[Period]&amp;TrendSheetStgData[Trend],TrendSheetPrdData[#All],9,FALSE),0)</f>
        <v>1</v>
      </c>
      <c r="J4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8" s="5">
        <f>VLOOKUP(TrendSheetStgData[Population]&amp;TrendSheetStgData[Trend],Threshold[#All],4,FALSE)</f>
        <v>10</v>
      </c>
      <c r="L438" s="5">
        <f>VLOOKUP(TrendSheetStgData[Population]&amp;TrendSheetStgData[Trend],Threshold[#All],5,FALSE)</f>
        <v>5</v>
      </c>
      <c r="M4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9" spans="1:13" x14ac:dyDescent="0.25">
      <c r="A439" t="s">
        <v>90</v>
      </c>
      <c r="B439" t="s">
        <v>90</v>
      </c>
      <c r="C439" t="s">
        <v>78</v>
      </c>
      <c r="D439" s="1" t="s">
        <v>95</v>
      </c>
      <c r="E439" t="s">
        <v>93</v>
      </c>
      <c r="F439" t="s">
        <v>18</v>
      </c>
      <c r="G439">
        <v>7</v>
      </c>
      <c r="H439">
        <v>0</v>
      </c>
      <c r="I439" s="5">
        <f>IFERROR(VLOOKUP(TrendSheetStgData[Population]&amp;TrendSheetStgData[Cost Basis]&amp;TrendSheetStgData[Period]&amp;TrendSheetStgData[Trend],TrendSheetPrdData[#All],9,FALSE),0)</f>
        <v>0</v>
      </c>
      <c r="J4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9" s="5">
        <f>VLOOKUP(TrendSheetStgData[Population]&amp;TrendSheetStgData[Trend],Threshold[#All],4,FALSE)</f>
        <v>10</v>
      </c>
      <c r="L439" s="5">
        <f>VLOOKUP(TrendSheetStgData[Population]&amp;TrendSheetStgData[Trend],Threshold[#All],5,FALSE)</f>
        <v>5</v>
      </c>
      <c r="M4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0" spans="1:13" x14ac:dyDescent="0.25">
      <c r="A440" t="s">
        <v>90</v>
      </c>
      <c r="B440" t="s">
        <v>90</v>
      </c>
      <c r="C440" t="s">
        <v>78</v>
      </c>
      <c r="D440" s="1" t="s">
        <v>96</v>
      </c>
      <c r="E440" t="s">
        <v>93</v>
      </c>
      <c r="F440" t="s">
        <v>18</v>
      </c>
      <c r="G440">
        <v>7</v>
      </c>
      <c r="H440">
        <v>0</v>
      </c>
      <c r="I440" s="5">
        <f>IFERROR(VLOOKUP(TrendSheetStgData[Population]&amp;TrendSheetStgData[Cost Basis]&amp;TrendSheetStgData[Period]&amp;TrendSheetStgData[Trend],TrendSheetPrdData[#All],9,FALSE),0)</f>
        <v>0</v>
      </c>
      <c r="J4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0" s="5">
        <f>VLOOKUP(TrendSheetStgData[Population]&amp;TrendSheetStgData[Trend],Threshold[#All],4,FALSE)</f>
        <v>10</v>
      </c>
      <c r="L440" s="5">
        <f>VLOOKUP(TrendSheetStgData[Population]&amp;TrendSheetStgData[Trend],Threshold[#All],5,FALSE)</f>
        <v>5</v>
      </c>
      <c r="M4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1" spans="1:13" x14ac:dyDescent="0.25">
      <c r="A441" t="s">
        <v>90</v>
      </c>
      <c r="B441" t="s">
        <v>90</v>
      </c>
      <c r="C441" t="s">
        <v>78</v>
      </c>
      <c r="D441" s="1" t="s">
        <v>97</v>
      </c>
      <c r="E441" t="s">
        <v>93</v>
      </c>
      <c r="F441" t="s">
        <v>18</v>
      </c>
      <c r="G441">
        <v>7</v>
      </c>
      <c r="H441">
        <v>0</v>
      </c>
      <c r="I441" s="5">
        <f>IFERROR(VLOOKUP(TrendSheetStgData[Population]&amp;TrendSheetStgData[Cost Basis]&amp;TrendSheetStgData[Period]&amp;TrendSheetStgData[Trend],TrendSheetPrdData[#All],9,FALSE),0)</f>
        <v>0</v>
      </c>
      <c r="J4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1" s="5">
        <f>VLOOKUP(TrendSheetStgData[Population]&amp;TrendSheetStgData[Trend],Threshold[#All],4,FALSE)</f>
        <v>10</v>
      </c>
      <c r="L441" s="5">
        <f>VLOOKUP(TrendSheetStgData[Population]&amp;TrendSheetStgData[Trend],Threshold[#All],5,FALSE)</f>
        <v>5</v>
      </c>
      <c r="M4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 spans="1:13" x14ac:dyDescent="0.25">
      <c r="A442" t="s">
        <v>90</v>
      </c>
      <c r="B442" t="s">
        <v>90</v>
      </c>
      <c r="C442" t="s">
        <v>78</v>
      </c>
      <c r="D442" s="1" t="s">
        <v>98</v>
      </c>
      <c r="E442" t="s">
        <v>93</v>
      </c>
      <c r="F442" t="s">
        <v>18</v>
      </c>
      <c r="G442">
        <v>7</v>
      </c>
      <c r="H442">
        <v>0</v>
      </c>
      <c r="I442" s="5">
        <f>IFERROR(VLOOKUP(TrendSheetStgData[Population]&amp;TrendSheetStgData[Cost Basis]&amp;TrendSheetStgData[Period]&amp;TrendSheetStgData[Trend],TrendSheetPrdData[#All],9,FALSE),0)</f>
        <v>0</v>
      </c>
      <c r="J4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 s="5">
        <f>VLOOKUP(TrendSheetStgData[Population]&amp;TrendSheetStgData[Trend],Threshold[#All],4,FALSE)</f>
        <v>10</v>
      </c>
      <c r="L442" s="5">
        <f>VLOOKUP(TrendSheetStgData[Population]&amp;TrendSheetStgData[Trend],Threshold[#All],5,FALSE)</f>
        <v>5</v>
      </c>
      <c r="M4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 spans="1:13" x14ac:dyDescent="0.25">
      <c r="A443" t="s">
        <v>90</v>
      </c>
      <c r="B443" t="s">
        <v>90</v>
      </c>
      <c r="C443" t="s">
        <v>78</v>
      </c>
      <c r="D443" s="1" t="s">
        <v>99</v>
      </c>
      <c r="E443" t="s">
        <v>93</v>
      </c>
      <c r="F443" t="s">
        <v>18</v>
      </c>
      <c r="G443">
        <v>7</v>
      </c>
      <c r="H443">
        <v>0</v>
      </c>
      <c r="I443" s="5">
        <f>IFERROR(VLOOKUP(TrendSheetStgData[Population]&amp;TrendSheetStgData[Cost Basis]&amp;TrendSheetStgData[Period]&amp;TrendSheetStgData[Trend],TrendSheetPrdData[#All],9,FALSE),0)</f>
        <v>0</v>
      </c>
      <c r="J4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 s="5">
        <f>VLOOKUP(TrendSheetStgData[Population]&amp;TrendSheetStgData[Trend],Threshold[#All],4,FALSE)</f>
        <v>10</v>
      </c>
      <c r="L443" s="5">
        <f>VLOOKUP(TrendSheetStgData[Population]&amp;TrendSheetStgData[Trend],Threshold[#All],5,FALSE)</f>
        <v>5</v>
      </c>
      <c r="M4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 spans="1:13" x14ac:dyDescent="0.25">
      <c r="A444" t="s">
        <v>90</v>
      </c>
      <c r="B444" t="s">
        <v>90</v>
      </c>
      <c r="C444" t="s">
        <v>78</v>
      </c>
      <c r="D444" s="1" t="s">
        <v>100</v>
      </c>
      <c r="E444" t="s">
        <v>93</v>
      </c>
      <c r="F444" t="s">
        <v>18</v>
      </c>
      <c r="G444">
        <v>7</v>
      </c>
      <c r="H444">
        <v>0</v>
      </c>
      <c r="I444" s="5">
        <f>IFERROR(VLOOKUP(TrendSheetStgData[Population]&amp;TrendSheetStgData[Cost Basis]&amp;TrendSheetStgData[Period]&amp;TrendSheetStgData[Trend],TrendSheetPrdData[#All],9,FALSE),0)</f>
        <v>0</v>
      </c>
      <c r="J4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 s="5">
        <f>VLOOKUP(TrendSheetStgData[Population]&amp;TrendSheetStgData[Trend],Threshold[#All],4,FALSE)</f>
        <v>10</v>
      </c>
      <c r="L444" s="5">
        <f>VLOOKUP(TrendSheetStgData[Population]&amp;TrendSheetStgData[Trend],Threshold[#All],5,FALSE)</f>
        <v>5</v>
      </c>
      <c r="M4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 spans="1:13" x14ac:dyDescent="0.25">
      <c r="A445" t="s">
        <v>90</v>
      </c>
      <c r="B445" t="s">
        <v>90</v>
      </c>
      <c r="C445" t="s">
        <v>78</v>
      </c>
      <c r="D445" s="1" t="s">
        <v>101</v>
      </c>
      <c r="E445" t="s">
        <v>93</v>
      </c>
      <c r="F445" t="s">
        <v>18</v>
      </c>
      <c r="G445">
        <v>7</v>
      </c>
      <c r="H445">
        <v>1</v>
      </c>
      <c r="I445" s="5">
        <f>IFERROR(VLOOKUP(TrendSheetStgData[Population]&amp;TrendSheetStgData[Cost Basis]&amp;TrendSheetStgData[Period]&amp;TrendSheetStgData[Trend],TrendSheetPrdData[#All],9,FALSE),0)</f>
        <v>1</v>
      </c>
      <c r="J4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 s="5">
        <f>VLOOKUP(TrendSheetStgData[Population]&amp;TrendSheetStgData[Trend],Threshold[#All],4,FALSE)</f>
        <v>10</v>
      </c>
      <c r="L445" s="5">
        <f>VLOOKUP(TrendSheetStgData[Population]&amp;TrendSheetStgData[Trend],Threshold[#All],5,FALSE)</f>
        <v>5</v>
      </c>
      <c r="M4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 spans="1:13" x14ac:dyDescent="0.25">
      <c r="A446" t="s">
        <v>90</v>
      </c>
      <c r="B446" t="s">
        <v>90</v>
      </c>
      <c r="C446" t="s">
        <v>78</v>
      </c>
      <c r="D446" s="1" t="s">
        <v>102</v>
      </c>
      <c r="E446" t="s">
        <v>93</v>
      </c>
      <c r="F446" t="s">
        <v>18</v>
      </c>
      <c r="G446">
        <v>7</v>
      </c>
      <c r="H446">
        <v>0</v>
      </c>
      <c r="I446" s="5">
        <f>IFERROR(VLOOKUP(TrendSheetStgData[Population]&amp;TrendSheetStgData[Cost Basis]&amp;TrendSheetStgData[Period]&amp;TrendSheetStgData[Trend],TrendSheetPrdData[#All],9,FALSE),0)</f>
        <v>0</v>
      </c>
      <c r="J4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 s="5">
        <f>VLOOKUP(TrendSheetStgData[Population]&amp;TrendSheetStgData[Trend],Threshold[#All],4,FALSE)</f>
        <v>10</v>
      </c>
      <c r="L446" s="5">
        <f>VLOOKUP(TrendSheetStgData[Population]&amp;TrendSheetStgData[Trend],Threshold[#All],5,FALSE)</f>
        <v>5</v>
      </c>
      <c r="M4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 spans="1:13" x14ac:dyDescent="0.25">
      <c r="A447" t="s">
        <v>90</v>
      </c>
      <c r="B447" t="s">
        <v>90</v>
      </c>
      <c r="C447" t="s">
        <v>78</v>
      </c>
      <c r="D447" s="1" t="s">
        <v>103</v>
      </c>
      <c r="E447" t="s">
        <v>93</v>
      </c>
      <c r="F447" t="s">
        <v>18</v>
      </c>
      <c r="G447">
        <v>7</v>
      </c>
      <c r="H447">
        <v>0</v>
      </c>
      <c r="I447" s="5">
        <f>IFERROR(VLOOKUP(TrendSheetStgData[Population]&amp;TrendSheetStgData[Cost Basis]&amp;TrendSheetStgData[Period]&amp;TrendSheetStgData[Trend],TrendSheetPrdData[#All],9,FALSE),0)</f>
        <v>0</v>
      </c>
      <c r="J4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 s="5">
        <f>VLOOKUP(TrendSheetStgData[Population]&amp;TrendSheetStgData[Trend],Threshold[#All],4,FALSE)</f>
        <v>10</v>
      </c>
      <c r="L447" s="5">
        <f>VLOOKUP(TrendSheetStgData[Population]&amp;TrendSheetStgData[Trend],Threshold[#All],5,FALSE)</f>
        <v>5</v>
      </c>
      <c r="M4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 spans="1:13" x14ac:dyDescent="0.25">
      <c r="A448" t="s">
        <v>90</v>
      </c>
      <c r="B448" t="s">
        <v>90</v>
      </c>
      <c r="C448" t="s">
        <v>78</v>
      </c>
      <c r="D448" s="1" t="s">
        <v>104</v>
      </c>
      <c r="E448" t="s">
        <v>93</v>
      </c>
      <c r="F448" t="s">
        <v>18</v>
      </c>
      <c r="G448">
        <v>7</v>
      </c>
      <c r="H448">
        <v>0</v>
      </c>
      <c r="I448" s="5">
        <f>IFERROR(VLOOKUP(TrendSheetStgData[Population]&amp;TrendSheetStgData[Cost Basis]&amp;TrendSheetStgData[Period]&amp;TrendSheetStgData[Trend],TrendSheetPrdData[#All],9,FALSE),0)</f>
        <v>0</v>
      </c>
      <c r="J4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 s="5">
        <f>VLOOKUP(TrendSheetStgData[Population]&amp;TrendSheetStgData[Trend],Threshold[#All],4,FALSE)</f>
        <v>10</v>
      </c>
      <c r="L448" s="5">
        <f>VLOOKUP(TrendSheetStgData[Population]&amp;TrendSheetStgData[Trend],Threshold[#All],5,FALSE)</f>
        <v>5</v>
      </c>
      <c r="M4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 spans="1:13" x14ac:dyDescent="0.25">
      <c r="A449" t="s">
        <v>90</v>
      </c>
      <c r="B449" t="s">
        <v>90</v>
      </c>
      <c r="C449" t="s">
        <v>78</v>
      </c>
      <c r="D449" s="1" t="s">
        <v>105</v>
      </c>
      <c r="E449" t="s">
        <v>106</v>
      </c>
      <c r="F449" t="s">
        <v>18</v>
      </c>
      <c r="G449">
        <v>7</v>
      </c>
      <c r="H449">
        <v>0</v>
      </c>
      <c r="I449" s="5">
        <f>IFERROR(VLOOKUP(TrendSheetStgData[Population]&amp;TrendSheetStgData[Cost Basis]&amp;TrendSheetStgData[Period]&amp;TrendSheetStgData[Trend],TrendSheetPrdData[#All],9,FALSE),0)</f>
        <v>0</v>
      </c>
      <c r="J4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 s="5">
        <f>VLOOKUP(TrendSheetStgData[Population]&amp;TrendSheetStgData[Trend],Threshold[#All],4,FALSE)</f>
        <v>10</v>
      </c>
      <c r="L449" s="5">
        <f>VLOOKUP(TrendSheetStgData[Population]&amp;TrendSheetStgData[Trend],Threshold[#All],5,FALSE)</f>
        <v>5</v>
      </c>
      <c r="M4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 spans="1:13" x14ac:dyDescent="0.25">
      <c r="A450" t="s">
        <v>90</v>
      </c>
      <c r="B450" t="s">
        <v>90</v>
      </c>
      <c r="C450" t="s">
        <v>78</v>
      </c>
      <c r="D450" s="1" t="s">
        <v>107</v>
      </c>
      <c r="E450" t="s">
        <v>106</v>
      </c>
      <c r="F450" t="s">
        <v>18</v>
      </c>
      <c r="G450">
        <v>7</v>
      </c>
      <c r="H450">
        <v>0</v>
      </c>
      <c r="I450" s="5">
        <f>IFERROR(VLOOKUP(TrendSheetStgData[Population]&amp;TrendSheetStgData[Cost Basis]&amp;TrendSheetStgData[Period]&amp;TrendSheetStgData[Trend],TrendSheetPrdData[#All],9,FALSE),0)</f>
        <v>0</v>
      </c>
      <c r="J4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 s="5">
        <f>VLOOKUP(TrendSheetStgData[Population]&amp;TrendSheetStgData[Trend],Threshold[#All],4,FALSE)</f>
        <v>10</v>
      </c>
      <c r="L450" s="5">
        <f>VLOOKUP(TrendSheetStgData[Population]&amp;TrendSheetStgData[Trend],Threshold[#All],5,FALSE)</f>
        <v>5</v>
      </c>
      <c r="M4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 spans="1:13" x14ac:dyDescent="0.25">
      <c r="A451" t="s">
        <v>90</v>
      </c>
      <c r="B451" t="s">
        <v>90</v>
      </c>
      <c r="C451" t="s">
        <v>78</v>
      </c>
      <c r="D451" s="1" t="s">
        <v>108</v>
      </c>
      <c r="E451" t="s">
        <v>106</v>
      </c>
      <c r="F451" t="s">
        <v>18</v>
      </c>
      <c r="G451">
        <v>7</v>
      </c>
      <c r="H451">
        <v>0</v>
      </c>
      <c r="I451" s="5">
        <f>IFERROR(VLOOKUP(TrendSheetStgData[Population]&amp;TrendSheetStgData[Cost Basis]&amp;TrendSheetStgData[Period]&amp;TrendSheetStgData[Trend],TrendSheetPrdData[#All],9,FALSE),0)</f>
        <v>0</v>
      </c>
      <c r="J4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 s="5">
        <f>VLOOKUP(TrendSheetStgData[Population]&amp;TrendSheetStgData[Trend],Threshold[#All],4,FALSE)</f>
        <v>10</v>
      </c>
      <c r="L451" s="5">
        <f>VLOOKUP(TrendSheetStgData[Population]&amp;TrendSheetStgData[Trend],Threshold[#All],5,FALSE)</f>
        <v>5</v>
      </c>
      <c r="M4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 spans="1:13" x14ac:dyDescent="0.25">
      <c r="A452" t="s">
        <v>90</v>
      </c>
      <c r="B452" t="s">
        <v>90</v>
      </c>
      <c r="C452" t="s">
        <v>78</v>
      </c>
      <c r="D452" s="1" t="s">
        <v>92</v>
      </c>
      <c r="E452" t="s">
        <v>93</v>
      </c>
      <c r="F452" t="s">
        <v>19</v>
      </c>
      <c r="G452">
        <v>8</v>
      </c>
      <c r="H452">
        <v>30500.07</v>
      </c>
      <c r="I452" s="5">
        <f>IFERROR(VLOOKUP(TrendSheetStgData[Population]&amp;TrendSheetStgData[Cost Basis]&amp;TrendSheetStgData[Period]&amp;TrendSheetStgData[Trend],TrendSheetPrdData[#All],9,FALSE),0)</f>
        <v>30500.07</v>
      </c>
      <c r="J4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 s="5">
        <f>VLOOKUP(TrendSheetStgData[Population]&amp;TrendSheetStgData[Trend],Threshold[#All],4,FALSE)</f>
        <v>10</v>
      </c>
      <c r="L452" s="5">
        <f>VLOOKUP(TrendSheetStgData[Population]&amp;TrendSheetStgData[Trend],Threshold[#All],5,FALSE)</f>
        <v>5</v>
      </c>
      <c r="M4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 spans="1:13" x14ac:dyDescent="0.25">
      <c r="A453" t="s">
        <v>90</v>
      </c>
      <c r="B453" t="s">
        <v>90</v>
      </c>
      <c r="C453" t="s">
        <v>78</v>
      </c>
      <c r="D453" s="1" t="s">
        <v>94</v>
      </c>
      <c r="E453" t="s">
        <v>93</v>
      </c>
      <c r="F453" t="s">
        <v>19</v>
      </c>
      <c r="G453">
        <v>8</v>
      </c>
      <c r="H453">
        <v>26055.87</v>
      </c>
      <c r="I453" s="5">
        <f>IFERROR(VLOOKUP(TrendSheetStgData[Population]&amp;TrendSheetStgData[Cost Basis]&amp;TrendSheetStgData[Period]&amp;TrendSheetStgData[Trend],TrendSheetPrdData[#All],9,FALSE),0)</f>
        <v>25435.360000000001</v>
      </c>
      <c r="J4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2.4395565857923707</v>
      </c>
      <c r="K453" s="5">
        <f>VLOOKUP(TrendSheetStgData[Population]&amp;TrendSheetStgData[Trend],Threshold[#All],4,FALSE)</f>
        <v>10</v>
      </c>
      <c r="L453" s="5">
        <f>VLOOKUP(TrendSheetStgData[Population]&amp;TrendSheetStgData[Trend],Threshold[#All],5,FALSE)</f>
        <v>5</v>
      </c>
      <c r="M4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4" spans="1:13" x14ac:dyDescent="0.25">
      <c r="A454" t="s">
        <v>90</v>
      </c>
      <c r="B454" t="s">
        <v>90</v>
      </c>
      <c r="C454" t="s">
        <v>78</v>
      </c>
      <c r="D454" s="1" t="s">
        <v>95</v>
      </c>
      <c r="E454" t="s">
        <v>93</v>
      </c>
      <c r="F454" t="s">
        <v>19</v>
      </c>
      <c r="G454">
        <v>8</v>
      </c>
      <c r="H454">
        <v>36567.1</v>
      </c>
      <c r="I454" s="5">
        <f>IFERROR(VLOOKUP(TrendSheetStgData[Population]&amp;TrendSheetStgData[Cost Basis]&amp;TrendSheetStgData[Period]&amp;TrendSheetStgData[Trend],TrendSheetPrdData[#All],9,FALSE),0)</f>
        <v>34390.53</v>
      </c>
      <c r="J4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6.3289806816004281</v>
      </c>
      <c r="K454" s="5">
        <f>VLOOKUP(TrendSheetStgData[Population]&amp;TrendSheetStgData[Trend],Threshold[#All],4,FALSE)</f>
        <v>10</v>
      </c>
      <c r="L454" s="5">
        <f>VLOOKUP(TrendSheetStgData[Population]&amp;TrendSheetStgData[Trend],Threshold[#All],5,FALSE)</f>
        <v>5</v>
      </c>
      <c r="M4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55" spans="1:13" x14ac:dyDescent="0.25">
      <c r="A455" t="s">
        <v>90</v>
      </c>
      <c r="B455" t="s">
        <v>90</v>
      </c>
      <c r="C455" t="s">
        <v>78</v>
      </c>
      <c r="D455" s="1" t="s">
        <v>96</v>
      </c>
      <c r="E455" t="s">
        <v>93</v>
      </c>
      <c r="F455" t="s">
        <v>19</v>
      </c>
      <c r="G455">
        <v>8</v>
      </c>
      <c r="H455">
        <v>36334.29</v>
      </c>
      <c r="I455" s="5">
        <f>IFERROR(VLOOKUP(TrendSheetStgData[Population]&amp;TrendSheetStgData[Cost Basis]&amp;TrendSheetStgData[Period]&amp;TrendSheetStgData[Trend],TrendSheetPrdData[#All],9,FALSE),0)</f>
        <v>36334.29</v>
      </c>
      <c r="J4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5" s="5">
        <f>VLOOKUP(TrendSheetStgData[Population]&amp;TrendSheetStgData[Trend],Threshold[#All],4,FALSE)</f>
        <v>10</v>
      </c>
      <c r="L455" s="5">
        <f>VLOOKUP(TrendSheetStgData[Population]&amp;TrendSheetStgData[Trend],Threshold[#All],5,FALSE)</f>
        <v>5</v>
      </c>
      <c r="M4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 spans="1:13" x14ac:dyDescent="0.25">
      <c r="A456" t="s">
        <v>90</v>
      </c>
      <c r="B456" t="s">
        <v>90</v>
      </c>
      <c r="C456" t="s">
        <v>78</v>
      </c>
      <c r="D456" s="1" t="s">
        <v>97</v>
      </c>
      <c r="E456" t="s">
        <v>93</v>
      </c>
      <c r="F456" t="s">
        <v>19</v>
      </c>
      <c r="G456">
        <v>8</v>
      </c>
      <c r="H456">
        <v>31363.84</v>
      </c>
      <c r="I456" s="5">
        <f>IFERROR(VLOOKUP(TrendSheetStgData[Population]&amp;TrendSheetStgData[Cost Basis]&amp;TrendSheetStgData[Period]&amp;TrendSheetStgData[Trend],TrendSheetPrdData[#All],9,FALSE),0)</f>
        <v>31363.84</v>
      </c>
      <c r="J4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 s="5">
        <f>VLOOKUP(TrendSheetStgData[Population]&amp;TrendSheetStgData[Trend],Threshold[#All],4,FALSE)</f>
        <v>10</v>
      </c>
      <c r="L456" s="5">
        <f>VLOOKUP(TrendSheetStgData[Population]&amp;TrendSheetStgData[Trend],Threshold[#All],5,FALSE)</f>
        <v>5</v>
      </c>
      <c r="M4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 spans="1:13" x14ac:dyDescent="0.25">
      <c r="A457" t="s">
        <v>90</v>
      </c>
      <c r="B457" t="s">
        <v>90</v>
      </c>
      <c r="C457" t="s">
        <v>78</v>
      </c>
      <c r="D457" s="1" t="s">
        <v>98</v>
      </c>
      <c r="E457" t="s">
        <v>93</v>
      </c>
      <c r="F457" t="s">
        <v>19</v>
      </c>
      <c r="G457">
        <v>8</v>
      </c>
      <c r="H457">
        <v>39548.89</v>
      </c>
      <c r="I457" s="5">
        <f>IFERROR(VLOOKUP(TrendSheetStgData[Population]&amp;TrendSheetStgData[Cost Basis]&amp;TrendSheetStgData[Period]&amp;TrendSheetStgData[Trend],TrendSheetPrdData[#All],9,FALSE),0)</f>
        <v>39548.89</v>
      </c>
      <c r="J4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 s="5">
        <f>VLOOKUP(TrendSheetStgData[Population]&amp;TrendSheetStgData[Trend],Threshold[#All],4,FALSE)</f>
        <v>10</v>
      </c>
      <c r="L457" s="5">
        <f>VLOOKUP(TrendSheetStgData[Population]&amp;TrendSheetStgData[Trend],Threshold[#All],5,FALSE)</f>
        <v>5</v>
      </c>
      <c r="M4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 spans="1:13" x14ac:dyDescent="0.25">
      <c r="A458" t="s">
        <v>90</v>
      </c>
      <c r="B458" t="s">
        <v>90</v>
      </c>
      <c r="C458" t="s">
        <v>78</v>
      </c>
      <c r="D458" s="1" t="s">
        <v>99</v>
      </c>
      <c r="E458" t="s">
        <v>93</v>
      </c>
      <c r="F458" t="s">
        <v>19</v>
      </c>
      <c r="G458">
        <v>8</v>
      </c>
      <c r="H458">
        <v>16510.82</v>
      </c>
      <c r="I458" s="5">
        <f>IFERROR(VLOOKUP(TrendSheetStgData[Population]&amp;TrendSheetStgData[Cost Basis]&amp;TrendSheetStgData[Period]&amp;TrendSheetStgData[Trend],TrendSheetPrdData[#All],9,FALSE),0)</f>
        <v>14197.46</v>
      </c>
      <c r="J4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16.294182198787677</v>
      </c>
      <c r="K458" s="5">
        <f>VLOOKUP(TrendSheetStgData[Population]&amp;TrendSheetStgData[Trend],Threshold[#All],4,FALSE)</f>
        <v>10</v>
      </c>
      <c r="L458" s="5">
        <f>VLOOKUP(TrendSheetStgData[Population]&amp;TrendSheetStgData[Trend],Threshold[#All],5,FALSE)</f>
        <v>5</v>
      </c>
      <c r="M4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59" spans="1:13" x14ac:dyDescent="0.25">
      <c r="A459" t="s">
        <v>90</v>
      </c>
      <c r="B459" t="s">
        <v>90</v>
      </c>
      <c r="C459" t="s">
        <v>78</v>
      </c>
      <c r="D459" s="1" t="s">
        <v>100</v>
      </c>
      <c r="E459" t="s">
        <v>93</v>
      </c>
      <c r="F459" t="s">
        <v>19</v>
      </c>
      <c r="G459">
        <v>8</v>
      </c>
      <c r="H459">
        <v>46288.88</v>
      </c>
      <c r="I459" s="5">
        <f>IFERROR(VLOOKUP(TrendSheetStgData[Population]&amp;TrendSheetStgData[Cost Basis]&amp;TrendSheetStgData[Period]&amp;TrendSheetStgData[Trend],TrendSheetPrdData[#All],9,FALSE),0)</f>
        <v>42128.15</v>
      </c>
      <c r="J4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9.8763653281712962</v>
      </c>
      <c r="K459" s="5">
        <f>VLOOKUP(TrendSheetStgData[Population]&amp;TrendSheetStgData[Trend],Threshold[#All],4,FALSE)</f>
        <v>10</v>
      </c>
      <c r="L459" s="5">
        <f>VLOOKUP(TrendSheetStgData[Population]&amp;TrendSheetStgData[Trend],Threshold[#All],5,FALSE)</f>
        <v>5</v>
      </c>
      <c r="M4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60" spans="1:13" x14ac:dyDescent="0.25">
      <c r="A460" t="s">
        <v>90</v>
      </c>
      <c r="B460" t="s">
        <v>90</v>
      </c>
      <c r="C460" t="s">
        <v>78</v>
      </c>
      <c r="D460" s="1" t="s">
        <v>101</v>
      </c>
      <c r="E460" t="s">
        <v>93</v>
      </c>
      <c r="F460" t="s">
        <v>19</v>
      </c>
      <c r="G460">
        <v>8</v>
      </c>
      <c r="H460">
        <v>55872.08</v>
      </c>
      <c r="I460" s="5">
        <f>IFERROR(VLOOKUP(TrendSheetStgData[Population]&amp;TrendSheetStgData[Cost Basis]&amp;TrendSheetStgData[Period]&amp;TrendSheetStgData[Trend],TrendSheetPrdData[#All],9,FALSE),0)</f>
        <v>52186.35</v>
      </c>
      <c r="J4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7.062632278363985</v>
      </c>
      <c r="K460" s="5">
        <f>VLOOKUP(TrendSheetStgData[Population]&amp;TrendSheetStgData[Trend],Threshold[#All],4,FALSE)</f>
        <v>10</v>
      </c>
      <c r="L460" s="5">
        <f>VLOOKUP(TrendSheetStgData[Population]&amp;TrendSheetStgData[Trend],Threshold[#All],5,FALSE)</f>
        <v>5</v>
      </c>
      <c r="M4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61" spans="1:13" x14ac:dyDescent="0.25">
      <c r="A461" t="s">
        <v>90</v>
      </c>
      <c r="B461" t="s">
        <v>90</v>
      </c>
      <c r="C461" t="s">
        <v>78</v>
      </c>
      <c r="D461" s="1" t="s">
        <v>102</v>
      </c>
      <c r="E461" t="s">
        <v>93</v>
      </c>
      <c r="F461" t="s">
        <v>19</v>
      </c>
      <c r="G461">
        <v>8</v>
      </c>
      <c r="H461">
        <v>46199.17</v>
      </c>
      <c r="I461" s="5">
        <f>IFERROR(VLOOKUP(TrendSheetStgData[Population]&amp;TrendSheetStgData[Cost Basis]&amp;TrendSheetStgData[Period]&amp;TrendSheetStgData[Trend],TrendSheetPrdData[#All],9,FALSE),0)</f>
        <v>42853.87</v>
      </c>
      <c r="J4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7.8062961408152765</v>
      </c>
      <c r="K461" s="5">
        <f>VLOOKUP(TrendSheetStgData[Population]&amp;TrendSheetStgData[Trend],Threshold[#All],4,FALSE)</f>
        <v>10</v>
      </c>
      <c r="L461" s="5">
        <f>VLOOKUP(TrendSheetStgData[Population]&amp;TrendSheetStgData[Trend],Threshold[#All],5,FALSE)</f>
        <v>5</v>
      </c>
      <c r="M4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62" spans="1:13" x14ac:dyDescent="0.25">
      <c r="A462" t="s">
        <v>90</v>
      </c>
      <c r="B462" t="s">
        <v>90</v>
      </c>
      <c r="C462" t="s">
        <v>78</v>
      </c>
      <c r="D462" s="1" t="s">
        <v>103</v>
      </c>
      <c r="E462" t="s">
        <v>93</v>
      </c>
      <c r="F462" t="s">
        <v>19</v>
      </c>
      <c r="G462">
        <v>8</v>
      </c>
      <c r="H462">
        <v>22548.1</v>
      </c>
      <c r="I462" s="5">
        <f>IFERROR(VLOOKUP(TrendSheetStgData[Population]&amp;TrendSheetStgData[Cost Basis]&amp;TrendSheetStgData[Period]&amp;TrendSheetStgData[Trend],TrendSheetPrdData[#All],9,FALSE),0)</f>
        <v>22548.1</v>
      </c>
      <c r="J4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2" s="5">
        <f>VLOOKUP(TrendSheetStgData[Population]&amp;TrendSheetStgData[Trend],Threshold[#All],4,FALSE)</f>
        <v>10</v>
      </c>
      <c r="L462" s="5">
        <f>VLOOKUP(TrendSheetStgData[Population]&amp;TrendSheetStgData[Trend],Threshold[#All],5,FALSE)</f>
        <v>5</v>
      </c>
      <c r="M4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 spans="1:13" x14ac:dyDescent="0.25">
      <c r="A463" t="s">
        <v>90</v>
      </c>
      <c r="B463" t="s">
        <v>90</v>
      </c>
      <c r="C463" t="s">
        <v>78</v>
      </c>
      <c r="D463" s="1" t="s">
        <v>104</v>
      </c>
      <c r="E463" t="s">
        <v>93</v>
      </c>
      <c r="F463" t="s">
        <v>19</v>
      </c>
      <c r="G463">
        <v>8</v>
      </c>
      <c r="H463">
        <v>29753.53</v>
      </c>
      <c r="I463" s="5">
        <f>IFERROR(VLOOKUP(TrendSheetStgData[Population]&amp;TrendSheetStgData[Cost Basis]&amp;TrendSheetStgData[Period]&amp;TrendSheetStgData[Trend],TrendSheetPrdData[#All],9,FALSE),0)</f>
        <v>23617.53</v>
      </c>
      <c r="J4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25.980701622904682</v>
      </c>
      <c r="K463" s="5">
        <f>VLOOKUP(TrendSheetStgData[Population]&amp;TrendSheetStgData[Trend],Threshold[#All],4,FALSE)</f>
        <v>10</v>
      </c>
      <c r="L463" s="5">
        <f>VLOOKUP(TrendSheetStgData[Population]&amp;TrendSheetStgData[Trend],Threshold[#All],5,FALSE)</f>
        <v>5</v>
      </c>
      <c r="M4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4" spans="1:13" x14ac:dyDescent="0.25">
      <c r="A464" t="s">
        <v>90</v>
      </c>
      <c r="B464" t="s">
        <v>90</v>
      </c>
      <c r="C464" t="s">
        <v>78</v>
      </c>
      <c r="D464" s="1" t="s">
        <v>105</v>
      </c>
      <c r="E464" t="s">
        <v>106</v>
      </c>
      <c r="F464" t="s">
        <v>19</v>
      </c>
      <c r="G464">
        <v>8</v>
      </c>
      <c r="H464">
        <v>32996.71</v>
      </c>
      <c r="I464" s="5">
        <f>IFERROR(VLOOKUP(TrendSheetStgData[Population]&amp;TrendSheetStgData[Cost Basis]&amp;TrendSheetStgData[Period]&amp;TrendSheetStgData[Trend],TrendSheetPrdData[#All],9,FALSE),0)</f>
        <v>27730.33</v>
      </c>
      <c r="J4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18.991407603155093</v>
      </c>
      <c r="K464" s="5">
        <f>VLOOKUP(TrendSheetStgData[Population]&amp;TrendSheetStgData[Trend],Threshold[#All],4,FALSE)</f>
        <v>10</v>
      </c>
      <c r="L464" s="5">
        <f>VLOOKUP(TrendSheetStgData[Population]&amp;TrendSheetStgData[Trend],Threshold[#All],5,FALSE)</f>
        <v>5</v>
      </c>
      <c r="M4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5" spans="1:13" x14ac:dyDescent="0.25">
      <c r="A465" t="s">
        <v>90</v>
      </c>
      <c r="B465" t="s">
        <v>90</v>
      </c>
      <c r="C465" t="s">
        <v>78</v>
      </c>
      <c r="D465" s="1" t="s">
        <v>107</v>
      </c>
      <c r="E465" t="s">
        <v>106</v>
      </c>
      <c r="F465" t="s">
        <v>19</v>
      </c>
      <c r="G465">
        <v>8</v>
      </c>
      <c r="H465">
        <v>48707.92</v>
      </c>
      <c r="I465" s="5">
        <f>IFERROR(VLOOKUP(TrendSheetStgData[Population]&amp;TrendSheetStgData[Cost Basis]&amp;TrendSheetStgData[Period]&amp;TrendSheetStgData[Trend],TrendSheetPrdData[#All],9,FALSE),0)</f>
        <v>25424.59</v>
      </c>
      <c r="J4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91.577995948017247</v>
      </c>
      <c r="K465" s="5">
        <f>VLOOKUP(TrendSheetStgData[Population]&amp;TrendSheetStgData[Trend],Threshold[#All],4,FALSE)</f>
        <v>10</v>
      </c>
      <c r="L465" s="5">
        <f>VLOOKUP(TrendSheetStgData[Population]&amp;TrendSheetStgData[Trend],Threshold[#All],5,FALSE)</f>
        <v>5</v>
      </c>
      <c r="M4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6" spans="1:13" x14ac:dyDescent="0.25">
      <c r="A466" t="s">
        <v>90</v>
      </c>
      <c r="B466" t="s">
        <v>90</v>
      </c>
      <c r="C466" t="s">
        <v>78</v>
      </c>
      <c r="D466" s="1" t="s">
        <v>108</v>
      </c>
      <c r="E466" t="s">
        <v>106</v>
      </c>
      <c r="F466" t="s">
        <v>19</v>
      </c>
      <c r="G466">
        <v>8</v>
      </c>
      <c r="H466">
        <v>15741.02</v>
      </c>
      <c r="I466" s="5">
        <f>IFERROR(VLOOKUP(TrendSheetStgData[Population]&amp;TrendSheetStgData[Cost Basis]&amp;TrendSheetStgData[Period]&amp;TrendSheetStgData[Trend],TrendSheetPrdData[#All],9,FALSE),0)</f>
        <v>0</v>
      </c>
      <c r="J4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66" s="5">
        <f>VLOOKUP(TrendSheetStgData[Population]&amp;TrendSheetStgData[Trend],Threshold[#All],4,FALSE)</f>
        <v>10</v>
      </c>
      <c r="L466" s="5">
        <f>VLOOKUP(TrendSheetStgData[Population]&amp;TrendSheetStgData[Trend],Threshold[#All],5,FALSE)</f>
        <v>5</v>
      </c>
      <c r="M4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7" spans="1:13" x14ac:dyDescent="0.25">
      <c r="A467" t="s">
        <v>90</v>
      </c>
      <c r="B467" t="s">
        <v>90</v>
      </c>
      <c r="C467" t="s">
        <v>78</v>
      </c>
      <c r="D467" s="1" t="s">
        <v>92</v>
      </c>
      <c r="E467" t="s">
        <v>93</v>
      </c>
      <c r="F467" t="s">
        <v>20</v>
      </c>
      <c r="G467">
        <v>9</v>
      </c>
      <c r="H467">
        <v>50</v>
      </c>
      <c r="I467" s="5">
        <f>IFERROR(VLOOKUP(TrendSheetStgData[Population]&amp;TrendSheetStgData[Cost Basis]&amp;TrendSheetStgData[Period]&amp;TrendSheetStgData[Trend],TrendSheetPrdData[#All],9,FALSE),0)</f>
        <v>50</v>
      </c>
      <c r="J4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 s="5">
        <f>VLOOKUP(TrendSheetStgData[Population]&amp;TrendSheetStgData[Trend],Threshold[#All],4,FALSE)</f>
        <v>10</v>
      </c>
      <c r="L467" s="5">
        <f>VLOOKUP(TrendSheetStgData[Population]&amp;TrendSheetStgData[Trend],Threshold[#All],5,FALSE)</f>
        <v>5</v>
      </c>
      <c r="M4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 spans="1:13" x14ac:dyDescent="0.25">
      <c r="A468" t="s">
        <v>90</v>
      </c>
      <c r="B468" t="s">
        <v>90</v>
      </c>
      <c r="C468" t="s">
        <v>78</v>
      </c>
      <c r="D468" s="1" t="s">
        <v>94</v>
      </c>
      <c r="E468" t="s">
        <v>93</v>
      </c>
      <c r="F468" t="s">
        <v>20</v>
      </c>
      <c r="G468">
        <v>9</v>
      </c>
      <c r="H468">
        <v>36</v>
      </c>
      <c r="I468" s="5">
        <f>IFERROR(VLOOKUP(TrendSheetStgData[Population]&amp;TrendSheetStgData[Cost Basis]&amp;TrendSheetStgData[Period]&amp;TrendSheetStgData[Trend],TrendSheetPrdData[#All],9,FALSE),0)</f>
        <v>36</v>
      </c>
      <c r="J4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 s="5">
        <f>VLOOKUP(TrendSheetStgData[Population]&amp;TrendSheetStgData[Trend],Threshold[#All],4,FALSE)</f>
        <v>10</v>
      </c>
      <c r="L468" s="5">
        <f>VLOOKUP(TrendSheetStgData[Population]&amp;TrendSheetStgData[Trend],Threshold[#All],5,FALSE)</f>
        <v>5</v>
      </c>
      <c r="M4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 spans="1:13" x14ac:dyDescent="0.25">
      <c r="A469" t="s">
        <v>90</v>
      </c>
      <c r="B469" t="s">
        <v>90</v>
      </c>
      <c r="C469" t="s">
        <v>78</v>
      </c>
      <c r="D469" s="1" t="s">
        <v>95</v>
      </c>
      <c r="E469" t="s">
        <v>93</v>
      </c>
      <c r="F469" t="s">
        <v>20</v>
      </c>
      <c r="G469">
        <v>9</v>
      </c>
      <c r="H469">
        <v>63</v>
      </c>
      <c r="I469" s="5">
        <f>IFERROR(VLOOKUP(TrendSheetStgData[Population]&amp;TrendSheetStgData[Cost Basis]&amp;TrendSheetStgData[Period]&amp;TrendSheetStgData[Trend],TrendSheetPrdData[#All],9,FALSE),0)</f>
        <v>58</v>
      </c>
      <c r="J4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8.6206896551724146</v>
      </c>
      <c r="K469" s="5">
        <f>VLOOKUP(TrendSheetStgData[Population]&amp;TrendSheetStgData[Trend],Threshold[#All],4,FALSE)</f>
        <v>10</v>
      </c>
      <c r="L469" s="5">
        <f>VLOOKUP(TrendSheetStgData[Population]&amp;TrendSheetStgData[Trend],Threshold[#All],5,FALSE)</f>
        <v>5</v>
      </c>
      <c r="M4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70" spans="1:13" x14ac:dyDescent="0.25">
      <c r="A470" t="s">
        <v>90</v>
      </c>
      <c r="B470" t="s">
        <v>90</v>
      </c>
      <c r="C470" t="s">
        <v>78</v>
      </c>
      <c r="D470" s="1" t="s">
        <v>96</v>
      </c>
      <c r="E470" t="s">
        <v>93</v>
      </c>
      <c r="F470" t="s">
        <v>20</v>
      </c>
      <c r="G470">
        <v>9</v>
      </c>
      <c r="H470">
        <v>36</v>
      </c>
      <c r="I470" s="5">
        <f>IFERROR(VLOOKUP(TrendSheetStgData[Population]&amp;TrendSheetStgData[Cost Basis]&amp;TrendSheetStgData[Period]&amp;TrendSheetStgData[Trend],TrendSheetPrdData[#All],9,FALSE),0)</f>
        <v>36</v>
      </c>
      <c r="J4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0" s="5">
        <f>VLOOKUP(TrendSheetStgData[Population]&amp;TrendSheetStgData[Trend],Threshold[#All],4,FALSE)</f>
        <v>10</v>
      </c>
      <c r="L470" s="5">
        <f>VLOOKUP(TrendSheetStgData[Population]&amp;TrendSheetStgData[Trend],Threshold[#All],5,FALSE)</f>
        <v>5</v>
      </c>
      <c r="M4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 spans="1:13" x14ac:dyDescent="0.25">
      <c r="A471" t="s">
        <v>90</v>
      </c>
      <c r="B471" t="s">
        <v>90</v>
      </c>
      <c r="C471" t="s">
        <v>78</v>
      </c>
      <c r="D471" s="1" t="s">
        <v>97</v>
      </c>
      <c r="E471" t="s">
        <v>93</v>
      </c>
      <c r="F471" t="s">
        <v>20</v>
      </c>
      <c r="G471">
        <v>9</v>
      </c>
      <c r="H471">
        <v>44</v>
      </c>
      <c r="I471" s="5">
        <f>IFERROR(VLOOKUP(TrendSheetStgData[Population]&amp;TrendSheetStgData[Cost Basis]&amp;TrendSheetStgData[Period]&amp;TrendSheetStgData[Trend],TrendSheetPrdData[#All],9,FALSE),0)</f>
        <v>44</v>
      </c>
      <c r="J4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 s="5">
        <f>VLOOKUP(TrendSheetStgData[Population]&amp;TrendSheetStgData[Trend],Threshold[#All],4,FALSE)</f>
        <v>10</v>
      </c>
      <c r="L471" s="5">
        <f>VLOOKUP(TrendSheetStgData[Population]&amp;TrendSheetStgData[Trend],Threshold[#All],5,FALSE)</f>
        <v>5</v>
      </c>
      <c r="M4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2" spans="1:13" x14ac:dyDescent="0.25">
      <c r="A472" t="s">
        <v>90</v>
      </c>
      <c r="B472" t="s">
        <v>90</v>
      </c>
      <c r="C472" t="s">
        <v>78</v>
      </c>
      <c r="D472" s="1" t="s">
        <v>98</v>
      </c>
      <c r="E472" t="s">
        <v>93</v>
      </c>
      <c r="F472" t="s">
        <v>20</v>
      </c>
      <c r="G472">
        <v>9</v>
      </c>
      <c r="H472">
        <v>52</v>
      </c>
      <c r="I472" s="5">
        <f>IFERROR(VLOOKUP(TrendSheetStgData[Population]&amp;TrendSheetStgData[Cost Basis]&amp;TrendSheetStgData[Period]&amp;TrendSheetStgData[Trend],TrendSheetPrdData[#All],9,FALSE),0)</f>
        <v>52</v>
      </c>
      <c r="J4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2" s="5">
        <f>VLOOKUP(TrendSheetStgData[Population]&amp;TrendSheetStgData[Trend],Threshold[#All],4,FALSE)</f>
        <v>10</v>
      </c>
      <c r="L472" s="5">
        <f>VLOOKUP(TrendSheetStgData[Population]&amp;TrendSheetStgData[Trend],Threshold[#All],5,FALSE)</f>
        <v>5</v>
      </c>
      <c r="M4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 spans="1:13" x14ac:dyDescent="0.25">
      <c r="A473" t="s">
        <v>90</v>
      </c>
      <c r="B473" t="s">
        <v>90</v>
      </c>
      <c r="C473" t="s">
        <v>78</v>
      </c>
      <c r="D473" s="1" t="s">
        <v>99</v>
      </c>
      <c r="E473" t="s">
        <v>93</v>
      </c>
      <c r="F473" t="s">
        <v>20</v>
      </c>
      <c r="G473">
        <v>9</v>
      </c>
      <c r="H473">
        <v>21</v>
      </c>
      <c r="I473" s="5">
        <f>IFERROR(VLOOKUP(TrendSheetStgData[Population]&amp;TrendSheetStgData[Cost Basis]&amp;TrendSheetStgData[Period]&amp;TrendSheetStgData[Trend],TrendSheetPrdData[#All],9,FALSE),0)</f>
        <v>17</v>
      </c>
      <c r="J4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23.52941176470588</v>
      </c>
      <c r="K473" s="5">
        <f>VLOOKUP(TrendSheetStgData[Population]&amp;TrendSheetStgData[Trend],Threshold[#All],4,FALSE)</f>
        <v>10</v>
      </c>
      <c r="L473" s="5">
        <f>VLOOKUP(TrendSheetStgData[Population]&amp;TrendSheetStgData[Trend],Threshold[#All],5,FALSE)</f>
        <v>5</v>
      </c>
      <c r="M4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4" spans="1:13" x14ac:dyDescent="0.25">
      <c r="A474" t="s">
        <v>90</v>
      </c>
      <c r="B474" t="s">
        <v>90</v>
      </c>
      <c r="C474" t="s">
        <v>78</v>
      </c>
      <c r="D474" s="1" t="s">
        <v>100</v>
      </c>
      <c r="E474" t="s">
        <v>93</v>
      </c>
      <c r="F474" t="s">
        <v>20</v>
      </c>
      <c r="G474">
        <v>9</v>
      </c>
      <c r="H474">
        <v>78</v>
      </c>
      <c r="I474" s="5">
        <f>IFERROR(VLOOKUP(TrendSheetStgData[Population]&amp;TrendSheetStgData[Cost Basis]&amp;TrendSheetStgData[Period]&amp;TrendSheetStgData[Trend],TrendSheetPrdData[#All],9,FALSE),0)</f>
        <v>74</v>
      </c>
      <c r="J4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5.4054054054054053</v>
      </c>
      <c r="K474" s="5">
        <f>VLOOKUP(TrendSheetStgData[Population]&amp;TrendSheetStgData[Trend],Threshold[#All],4,FALSE)</f>
        <v>10</v>
      </c>
      <c r="L474" s="5">
        <f>VLOOKUP(TrendSheetStgData[Population]&amp;TrendSheetStgData[Trend],Threshold[#All],5,FALSE)</f>
        <v>5</v>
      </c>
      <c r="M4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75" spans="1:13" x14ac:dyDescent="0.25">
      <c r="A475" t="s">
        <v>90</v>
      </c>
      <c r="B475" t="s">
        <v>90</v>
      </c>
      <c r="C475" t="s">
        <v>78</v>
      </c>
      <c r="D475" s="1" t="s">
        <v>101</v>
      </c>
      <c r="E475" t="s">
        <v>93</v>
      </c>
      <c r="F475" t="s">
        <v>20</v>
      </c>
      <c r="G475">
        <v>9</v>
      </c>
      <c r="H475">
        <v>70</v>
      </c>
      <c r="I475" s="5">
        <f>IFERROR(VLOOKUP(TrendSheetStgData[Population]&amp;TrendSheetStgData[Cost Basis]&amp;TrendSheetStgData[Period]&amp;TrendSheetStgData[Trend],TrendSheetPrdData[#All],9,FALSE),0)</f>
        <v>65</v>
      </c>
      <c r="J4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7.6923076923076925</v>
      </c>
      <c r="K475" s="5">
        <f>VLOOKUP(TrendSheetStgData[Population]&amp;TrendSheetStgData[Trend],Threshold[#All],4,FALSE)</f>
        <v>10</v>
      </c>
      <c r="L475" s="5">
        <f>VLOOKUP(TrendSheetStgData[Population]&amp;TrendSheetStgData[Trend],Threshold[#All],5,FALSE)</f>
        <v>5</v>
      </c>
      <c r="M4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76" spans="1:13" x14ac:dyDescent="0.25">
      <c r="A476" t="s">
        <v>90</v>
      </c>
      <c r="B476" t="s">
        <v>90</v>
      </c>
      <c r="C476" t="s">
        <v>78</v>
      </c>
      <c r="D476" s="1" t="s">
        <v>102</v>
      </c>
      <c r="E476" t="s">
        <v>93</v>
      </c>
      <c r="F476" t="s">
        <v>20</v>
      </c>
      <c r="G476">
        <v>9</v>
      </c>
      <c r="H476">
        <v>73</v>
      </c>
      <c r="I476" s="5">
        <f>IFERROR(VLOOKUP(TrendSheetStgData[Population]&amp;TrendSheetStgData[Cost Basis]&amp;TrendSheetStgData[Period]&amp;TrendSheetStgData[Trend],TrendSheetPrdData[#All],9,FALSE),0)</f>
        <v>69</v>
      </c>
      <c r="J4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5.7971014492753623</v>
      </c>
      <c r="K476" s="5">
        <f>VLOOKUP(TrendSheetStgData[Population]&amp;TrendSheetStgData[Trend],Threshold[#All],4,FALSE)</f>
        <v>10</v>
      </c>
      <c r="L476" s="5">
        <f>VLOOKUP(TrendSheetStgData[Population]&amp;TrendSheetStgData[Trend],Threshold[#All],5,FALSE)</f>
        <v>5</v>
      </c>
      <c r="M4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77" spans="1:13" x14ac:dyDescent="0.25">
      <c r="A477" t="s">
        <v>90</v>
      </c>
      <c r="B477" t="s">
        <v>90</v>
      </c>
      <c r="C477" t="s">
        <v>78</v>
      </c>
      <c r="D477" s="1" t="s">
        <v>103</v>
      </c>
      <c r="E477" t="s">
        <v>93</v>
      </c>
      <c r="F477" t="s">
        <v>20</v>
      </c>
      <c r="G477">
        <v>9</v>
      </c>
      <c r="H477">
        <v>27</v>
      </c>
      <c r="I477" s="5">
        <f>IFERROR(VLOOKUP(TrendSheetStgData[Population]&amp;TrendSheetStgData[Cost Basis]&amp;TrendSheetStgData[Period]&amp;TrendSheetStgData[Trend],TrendSheetPrdData[#All],9,FALSE),0)</f>
        <v>27</v>
      </c>
      <c r="J4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7" s="5">
        <f>VLOOKUP(TrendSheetStgData[Population]&amp;TrendSheetStgData[Trend],Threshold[#All],4,FALSE)</f>
        <v>10</v>
      </c>
      <c r="L477" s="5">
        <f>VLOOKUP(TrendSheetStgData[Population]&amp;TrendSheetStgData[Trend],Threshold[#All],5,FALSE)</f>
        <v>5</v>
      </c>
      <c r="M4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8" spans="1:13" x14ac:dyDescent="0.25">
      <c r="A478" t="s">
        <v>90</v>
      </c>
      <c r="B478" t="s">
        <v>90</v>
      </c>
      <c r="C478" t="s">
        <v>78</v>
      </c>
      <c r="D478" s="1" t="s">
        <v>104</v>
      </c>
      <c r="E478" t="s">
        <v>93</v>
      </c>
      <c r="F478" t="s">
        <v>20</v>
      </c>
      <c r="G478">
        <v>9</v>
      </c>
      <c r="H478">
        <v>38</v>
      </c>
      <c r="I478" s="5">
        <f>IFERROR(VLOOKUP(TrendSheetStgData[Population]&amp;TrendSheetStgData[Cost Basis]&amp;TrendSheetStgData[Period]&amp;TrendSheetStgData[Trend],TrendSheetPrdData[#All],9,FALSE),0)</f>
        <v>34</v>
      </c>
      <c r="J4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11.76470588235294</v>
      </c>
      <c r="K478" s="5">
        <f>VLOOKUP(TrendSheetStgData[Population]&amp;TrendSheetStgData[Trend],Threshold[#All],4,FALSE)</f>
        <v>10</v>
      </c>
      <c r="L478" s="5">
        <f>VLOOKUP(TrendSheetStgData[Population]&amp;TrendSheetStgData[Trend],Threshold[#All],5,FALSE)</f>
        <v>5</v>
      </c>
      <c r="M4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9" spans="1:13" x14ac:dyDescent="0.25">
      <c r="A479" t="s">
        <v>90</v>
      </c>
      <c r="B479" t="s">
        <v>90</v>
      </c>
      <c r="C479" t="s">
        <v>78</v>
      </c>
      <c r="D479" s="1" t="s">
        <v>105</v>
      </c>
      <c r="E479" t="s">
        <v>106</v>
      </c>
      <c r="F479" t="s">
        <v>20</v>
      </c>
      <c r="G479">
        <v>9</v>
      </c>
      <c r="H479">
        <v>30</v>
      </c>
      <c r="I479" s="5">
        <f>IFERROR(VLOOKUP(TrendSheetStgData[Population]&amp;TrendSheetStgData[Cost Basis]&amp;TrendSheetStgData[Period]&amp;TrendSheetStgData[Trend],TrendSheetPrdData[#All],9,FALSE),0)</f>
        <v>26</v>
      </c>
      <c r="J4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15.384615384615385</v>
      </c>
      <c r="K479" s="5">
        <f>VLOOKUP(TrendSheetStgData[Population]&amp;TrendSheetStgData[Trend],Threshold[#All],4,FALSE)</f>
        <v>10</v>
      </c>
      <c r="L479" s="5">
        <f>VLOOKUP(TrendSheetStgData[Population]&amp;TrendSheetStgData[Trend],Threshold[#All],5,FALSE)</f>
        <v>5</v>
      </c>
      <c r="M4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0" spans="1:13" x14ac:dyDescent="0.25">
      <c r="A480" t="s">
        <v>90</v>
      </c>
      <c r="B480" t="s">
        <v>90</v>
      </c>
      <c r="C480" t="s">
        <v>78</v>
      </c>
      <c r="D480" s="1" t="s">
        <v>107</v>
      </c>
      <c r="E480" t="s">
        <v>106</v>
      </c>
      <c r="F480" t="s">
        <v>20</v>
      </c>
      <c r="G480">
        <v>9</v>
      </c>
      <c r="H480">
        <v>41</v>
      </c>
      <c r="I480" s="5">
        <f>IFERROR(VLOOKUP(TrendSheetStgData[Population]&amp;TrendSheetStgData[Cost Basis]&amp;TrendSheetStgData[Period]&amp;TrendSheetStgData[Trend],TrendSheetPrdData[#All],9,FALSE),0)</f>
        <v>19</v>
      </c>
      <c r="J4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115.78947368421053</v>
      </c>
      <c r="K480" s="5">
        <f>VLOOKUP(TrendSheetStgData[Population]&amp;TrendSheetStgData[Trend],Threshold[#All],4,FALSE)</f>
        <v>10</v>
      </c>
      <c r="L480" s="5">
        <f>VLOOKUP(TrendSheetStgData[Population]&amp;TrendSheetStgData[Trend],Threshold[#All],5,FALSE)</f>
        <v>5</v>
      </c>
      <c r="M4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1" spans="1:13" x14ac:dyDescent="0.25">
      <c r="A481" t="s">
        <v>90</v>
      </c>
      <c r="B481" t="s">
        <v>90</v>
      </c>
      <c r="C481" t="s">
        <v>78</v>
      </c>
      <c r="D481" s="1" t="s">
        <v>108</v>
      </c>
      <c r="E481" t="s">
        <v>106</v>
      </c>
      <c r="F481" t="s">
        <v>20</v>
      </c>
      <c r="G481">
        <v>9</v>
      </c>
      <c r="H481">
        <v>18</v>
      </c>
      <c r="I481" s="5">
        <f>IFERROR(VLOOKUP(TrendSheetStgData[Population]&amp;TrendSheetStgData[Cost Basis]&amp;TrendSheetStgData[Period]&amp;TrendSheetStgData[Trend],TrendSheetPrdData[#All],9,FALSE),0)</f>
        <v>0</v>
      </c>
      <c r="J4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81" s="5">
        <f>VLOOKUP(TrendSheetStgData[Population]&amp;TrendSheetStgData[Trend],Threshold[#All],4,FALSE)</f>
        <v>10</v>
      </c>
      <c r="L481" s="5">
        <f>VLOOKUP(TrendSheetStgData[Population]&amp;TrendSheetStgData[Trend],Threshold[#All],5,FALSE)</f>
        <v>5</v>
      </c>
      <c r="M4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2" spans="1:13" x14ac:dyDescent="0.25">
      <c r="A482" t="s">
        <v>90</v>
      </c>
      <c r="B482" t="s">
        <v>90</v>
      </c>
      <c r="C482" t="s">
        <v>78</v>
      </c>
      <c r="D482" s="1" t="s">
        <v>92</v>
      </c>
      <c r="E482" t="s">
        <v>93</v>
      </c>
      <c r="F482" t="s">
        <v>21</v>
      </c>
      <c r="G482">
        <v>10</v>
      </c>
      <c r="H482">
        <v>41</v>
      </c>
      <c r="I482" s="5">
        <f>IFERROR(VLOOKUP(TrendSheetStgData[Population]&amp;TrendSheetStgData[Cost Basis]&amp;TrendSheetStgData[Period]&amp;TrendSheetStgData[Trend],TrendSheetPrdData[#All],9,FALSE),0)</f>
        <v>41</v>
      </c>
      <c r="J4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 s="5">
        <f>VLOOKUP(TrendSheetStgData[Population]&amp;TrendSheetStgData[Trend],Threshold[#All],4,FALSE)</f>
        <v>10</v>
      </c>
      <c r="L482" s="5">
        <f>VLOOKUP(TrendSheetStgData[Population]&amp;TrendSheetStgData[Trend],Threshold[#All],5,FALSE)</f>
        <v>5</v>
      </c>
      <c r="M4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3" spans="1:13" x14ac:dyDescent="0.25">
      <c r="A483" t="s">
        <v>90</v>
      </c>
      <c r="B483" t="s">
        <v>90</v>
      </c>
      <c r="C483" t="s">
        <v>78</v>
      </c>
      <c r="D483" s="1" t="s">
        <v>94</v>
      </c>
      <c r="E483" t="s">
        <v>93</v>
      </c>
      <c r="F483" t="s">
        <v>21</v>
      </c>
      <c r="G483">
        <v>10</v>
      </c>
      <c r="H483">
        <v>50</v>
      </c>
      <c r="I483" s="5">
        <f>IFERROR(VLOOKUP(TrendSheetStgData[Population]&amp;TrendSheetStgData[Cost Basis]&amp;TrendSheetStgData[Period]&amp;TrendSheetStgData[Trend],TrendSheetPrdData[#All],9,FALSE),0)</f>
        <v>50</v>
      </c>
      <c r="J4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3" s="5">
        <f>VLOOKUP(TrendSheetStgData[Population]&amp;TrendSheetStgData[Trend],Threshold[#All],4,FALSE)</f>
        <v>10</v>
      </c>
      <c r="L483" s="5">
        <f>VLOOKUP(TrendSheetStgData[Population]&amp;TrendSheetStgData[Trend],Threshold[#All],5,FALSE)</f>
        <v>5</v>
      </c>
      <c r="M4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4" spans="1:13" x14ac:dyDescent="0.25">
      <c r="A484" t="s">
        <v>90</v>
      </c>
      <c r="B484" t="s">
        <v>90</v>
      </c>
      <c r="C484" t="s">
        <v>78</v>
      </c>
      <c r="D484" s="1" t="s">
        <v>95</v>
      </c>
      <c r="E484" t="s">
        <v>93</v>
      </c>
      <c r="F484" t="s">
        <v>21</v>
      </c>
      <c r="G484">
        <v>10</v>
      </c>
      <c r="H484">
        <v>27</v>
      </c>
      <c r="I484" s="5">
        <f>IFERROR(VLOOKUP(TrendSheetStgData[Population]&amp;TrendSheetStgData[Cost Basis]&amp;TrendSheetStgData[Period]&amp;TrendSheetStgData[Trend],TrendSheetPrdData[#All],9,FALSE),0)</f>
        <v>27</v>
      </c>
      <c r="J4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4" s="5">
        <f>VLOOKUP(TrendSheetStgData[Population]&amp;TrendSheetStgData[Trend],Threshold[#All],4,FALSE)</f>
        <v>10</v>
      </c>
      <c r="L484" s="5">
        <f>VLOOKUP(TrendSheetStgData[Population]&amp;TrendSheetStgData[Trend],Threshold[#All],5,FALSE)</f>
        <v>5</v>
      </c>
      <c r="M4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5" spans="1:13" x14ac:dyDescent="0.25">
      <c r="A485" t="s">
        <v>90</v>
      </c>
      <c r="B485" t="s">
        <v>90</v>
      </c>
      <c r="C485" t="s">
        <v>78</v>
      </c>
      <c r="D485" s="1" t="s">
        <v>96</v>
      </c>
      <c r="E485" t="s">
        <v>93</v>
      </c>
      <c r="F485" t="s">
        <v>21</v>
      </c>
      <c r="G485">
        <v>10</v>
      </c>
      <c r="H485">
        <v>58</v>
      </c>
      <c r="I485" s="5">
        <f>IFERROR(VLOOKUP(TrendSheetStgData[Population]&amp;TrendSheetStgData[Cost Basis]&amp;TrendSheetStgData[Period]&amp;TrendSheetStgData[Trend],TrendSheetPrdData[#All],9,FALSE),0)</f>
        <v>58</v>
      </c>
      <c r="J4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5" s="5">
        <f>VLOOKUP(TrendSheetStgData[Population]&amp;TrendSheetStgData[Trend],Threshold[#All],4,FALSE)</f>
        <v>10</v>
      </c>
      <c r="L485" s="5">
        <f>VLOOKUP(TrendSheetStgData[Population]&amp;TrendSheetStgData[Trend],Threshold[#All],5,FALSE)</f>
        <v>5</v>
      </c>
      <c r="M4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6" spans="1:13" x14ac:dyDescent="0.25">
      <c r="A486" t="s">
        <v>90</v>
      </c>
      <c r="B486" t="s">
        <v>90</v>
      </c>
      <c r="C486" t="s">
        <v>78</v>
      </c>
      <c r="D486" s="1" t="s">
        <v>97</v>
      </c>
      <c r="E486" t="s">
        <v>93</v>
      </c>
      <c r="F486" t="s">
        <v>21</v>
      </c>
      <c r="G486">
        <v>10</v>
      </c>
      <c r="H486">
        <v>39</v>
      </c>
      <c r="I486" s="5">
        <f>IFERROR(VLOOKUP(TrendSheetStgData[Population]&amp;TrendSheetStgData[Cost Basis]&amp;TrendSheetStgData[Period]&amp;TrendSheetStgData[Trend],TrendSheetPrdData[#All],9,FALSE),0)</f>
        <v>39</v>
      </c>
      <c r="J4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6" s="5">
        <f>VLOOKUP(TrendSheetStgData[Population]&amp;TrendSheetStgData[Trend],Threshold[#All],4,FALSE)</f>
        <v>10</v>
      </c>
      <c r="L486" s="5">
        <f>VLOOKUP(TrendSheetStgData[Population]&amp;TrendSheetStgData[Trend],Threshold[#All],5,FALSE)</f>
        <v>5</v>
      </c>
      <c r="M4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7" spans="1:13" x14ac:dyDescent="0.25">
      <c r="A487" t="s">
        <v>90</v>
      </c>
      <c r="B487" t="s">
        <v>90</v>
      </c>
      <c r="C487" t="s">
        <v>78</v>
      </c>
      <c r="D487" s="1" t="s">
        <v>98</v>
      </c>
      <c r="E487" t="s">
        <v>93</v>
      </c>
      <c r="F487" t="s">
        <v>21</v>
      </c>
      <c r="G487">
        <v>10</v>
      </c>
      <c r="H487">
        <v>56</v>
      </c>
      <c r="I487" s="5">
        <f>IFERROR(VLOOKUP(TrendSheetStgData[Population]&amp;TrendSheetStgData[Cost Basis]&amp;TrendSheetStgData[Period]&amp;TrendSheetStgData[Trend],TrendSheetPrdData[#All],9,FALSE),0)</f>
        <v>56</v>
      </c>
      <c r="J4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7" s="5">
        <f>VLOOKUP(TrendSheetStgData[Population]&amp;TrendSheetStgData[Trend],Threshold[#All],4,FALSE)</f>
        <v>10</v>
      </c>
      <c r="L487" s="5">
        <f>VLOOKUP(TrendSheetStgData[Population]&amp;TrendSheetStgData[Trend],Threshold[#All],5,FALSE)</f>
        <v>5</v>
      </c>
      <c r="M4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8" spans="1:13" x14ac:dyDescent="0.25">
      <c r="A488" t="s">
        <v>90</v>
      </c>
      <c r="B488" t="s">
        <v>90</v>
      </c>
      <c r="C488" t="s">
        <v>78</v>
      </c>
      <c r="D488" s="1" t="s">
        <v>99</v>
      </c>
      <c r="E488" t="s">
        <v>93</v>
      </c>
      <c r="F488" t="s">
        <v>21</v>
      </c>
      <c r="G488">
        <v>10</v>
      </c>
      <c r="H488">
        <v>29</v>
      </c>
      <c r="I488" s="5">
        <f>IFERROR(VLOOKUP(TrendSheetStgData[Population]&amp;TrendSheetStgData[Cost Basis]&amp;TrendSheetStgData[Period]&amp;TrendSheetStgData[Trend],TrendSheetPrdData[#All],9,FALSE),0)</f>
        <v>29</v>
      </c>
      <c r="J4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8" s="5">
        <f>VLOOKUP(TrendSheetStgData[Population]&amp;TrendSheetStgData[Trend],Threshold[#All],4,FALSE)</f>
        <v>10</v>
      </c>
      <c r="L488" s="5">
        <f>VLOOKUP(TrendSheetStgData[Population]&amp;TrendSheetStgData[Trend],Threshold[#All],5,FALSE)</f>
        <v>5</v>
      </c>
      <c r="M4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9" spans="1:13" x14ac:dyDescent="0.25">
      <c r="A489" t="s">
        <v>90</v>
      </c>
      <c r="B489" t="s">
        <v>90</v>
      </c>
      <c r="C489" t="s">
        <v>78</v>
      </c>
      <c r="D489" s="1" t="s">
        <v>100</v>
      </c>
      <c r="E489" t="s">
        <v>93</v>
      </c>
      <c r="F489" t="s">
        <v>21</v>
      </c>
      <c r="G489">
        <v>10</v>
      </c>
      <c r="H489">
        <v>29</v>
      </c>
      <c r="I489" s="5">
        <f>IFERROR(VLOOKUP(TrendSheetStgData[Population]&amp;TrendSheetStgData[Cost Basis]&amp;TrendSheetStgData[Period]&amp;TrendSheetStgData[Trend],TrendSheetPrdData[#All],9,FALSE),0)</f>
        <v>21</v>
      </c>
      <c r="J4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38.095238095238095</v>
      </c>
      <c r="K489" s="5">
        <f>VLOOKUP(TrendSheetStgData[Population]&amp;TrendSheetStgData[Trend],Threshold[#All],4,FALSE)</f>
        <v>10</v>
      </c>
      <c r="L489" s="5">
        <f>VLOOKUP(TrendSheetStgData[Population]&amp;TrendSheetStgData[Trend],Threshold[#All],5,FALSE)</f>
        <v>5</v>
      </c>
      <c r="M4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0" spans="1:13" x14ac:dyDescent="0.25">
      <c r="A490" t="s">
        <v>90</v>
      </c>
      <c r="B490" t="s">
        <v>90</v>
      </c>
      <c r="C490" t="s">
        <v>78</v>
      </c>
      <c r="D490" s="1" t="s">
        <v>101</v>
      </c>
      <c r="E490" t="s">
        <v>93</v>
      </c>
      <c r="F490" t="s">
        <v>21</v>
      </c>
      <c r="G490">
        <v>10</v>
      </c>
      <c r="H490">
        <v>49</v>
      </c>
      <c r="I490" s="5">
        <f>IFERROR(VLOOKUP(TrendSheetStgData[Population]&amp;TrendSheetStgData[Cost Basis]&amp;TrendSheetStgData[Period]&amp;TrendSheetStgData[Trend],TrendSheetPrdData[#All],9,FALSE),0)</f>
        <v>45</v>
      </c>
      <c r="J4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8.8888888888888893</v>
      </c>
      <c r="K490" s="5">
        <f>VLOOKUP(TrendSheetStgData[Population]&amp;TrendSheetStgData[Trend],Threshold[#All],4,FALSE)</f>
        <v>10</v>
      </c>
      <c r="L490" s="5">
        <f>VLOOKUP(TrendSheetStgData[Population]&amp;TrendSheetStgData[Trend],Threshold[#All],5,FALSE)</f>
        <v>5</v>
      </c>
      <c r="M4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91" spans="1:13" x14ac:dyDescent="0.25">
      <c r="A491" t="s">
        <v>90</v>
      </c>
      <c r="B491" t="s">
        <v>90</v>
      </c>
      <c r="C491" t="s">
        <v>78</v>
      </c>
      <c r="D491" s="1" t="s">
        <v>102</v>
      </c>
      <c r="E491" t="s">
        <v>93</v>
      </c>
      <c r="F491" t="s">
        <v>21</v>
      </c>
      <c r="G491">
        <v>10</v>
      </c>
      <c r="H491">
        <v>24</v>
      </c>
      <c r="I491" s="5">
        <f>IFERROR(VLOOKUP(TrendSheetStgData[Population]&amp;TrendSheetStgData[Cost Basis]&amp;TrendSheetStgData[Period]&amp;TrendSheetStgData[Trend],TrendSheetPrdData[#All],9,FALSE),0)</f>
        <v>24</v>
      </c>
      <c r="J4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 s="5">
        <f>VLOOKUP(TrendSheetStgData[Population]&amp;TrendSheetStgData[Trend],Threshold[#All],4,FALSE)</f>
        <v>10</v>
      </c>
      <c r="L491" s="5">
        <f>VLOOKUP(TrendSheetStgData[Population]&amp;TrendSheetStgData[Trend],Threshold[#All],5,FALSE)</f>
        <v>5</v>
      </c>
      <c r="M4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 spans="1:13" x14ac:dyDescent="0.25">
      <c r="A492" t="s">
        <v>90</v>
      </c>
      <c r="B492" t="s">
        <v>90</v>
      </c>
      <c r="C492" t="s">
        <v>78</v>
      </c>
      <c r="D492" s="1" t="s">
        <v>103</v>
      </c>
      <c r="E492" t="s">
        <v>93</v>
      </c>
      <c r="F492" t="s">
        <v>21</v>
      </c>
      <c r="G492">
        <v>10</v>
      </c>
      <c r="H492">
        <v>27</v>
      </c>
      <c r="I492" s="5">
        <f>IFERROR(VLOOKUP(TrendSheetStgData[Population]&amp;TrendSheetStgData[Cost Basis]&amp;TrendSheetStgData[Period]&amp;TrendSheetStgData[Trend],TrendSheetPrdData[#All],9,FALSE),0)</f>
        <v>27</v>
      </c>
      <c r="J4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 s="5">
        <f>VLOOKUP(TrendSheetStgData[Population]&amp;TrendSheetStgData[Trend],Threshold[#All],4,FALSE)</f>
        <v>10</v>
      </c>
      <c r="L492" s="5">
        <f>VLOOKUP(TrendSheetStgData[Population]&amp;TrendSheetStgData[Trend],Threshold[#All],5,FALSE)</f>
        <v>5</v>
      </c>
      <c r="M4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 spans="1:13" x14ac:dyDescent="0.25">
      <c r="A493" t="s">
        <v>90</v>
      </c>
      <c r="B493" t="s">
        <v>90</v>
      </c>
      <c r="C493" t="s">
        <v>78</v>
      </c>
      <c r="D493" s="1" t="s">
        <v>104</v>
      </c>
      <c r="E493" t="s">
        <v>93</v>
      </c>
      <c r="F493" t="s">
        <v>21</v>
      </c>
      <c r="G493">
        <v>10</v>
      </c>
      <c r="H493">
        <v>23</v>
      </c>
      <c r="I493" s="5">
        <f>IFERROR(VLOOKUP(TrendSheetStgData[Population]&amp;TrendSheetStgData[Cost Basis]&amp;TrendSheetStgData[Period]&amp;TrendSheetStgData[Trend],TrendSheetPrdData[#All],9,FALSE),0)</f>
        <v>23</v>
      </c>
      <c r="J4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 s="5">
        <f>VLOOKUP(TrendSheetStgData[Population]&amp;TrendSheetStgData[Trend],Threshold[#All],4,FALSE)</f>
        <v>10</v>
      </c>
      <c r="L493" s="5">
        <f>VLOOKUP(TrendSheetStgData[Population]&amp;TrendSheetStgData[Trend],Threshold[#All],5,FALSE)</f>
        <v>5</v>
      </c>
      <c r="M4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 spans="1:13" x14ac:dyDescent="0.25">
      <c r="A494" t="s">
        <v>90</v>
      </c>
      <c r="B494" t="s">
        <v>90</v>
      </c>
      <c r="C494" t="s">
        <v>78</v>
      </c>
      <c r="D494" s="1" t="s">
        <v>105</v>
      </c>
      <c r="E494" t="s">
        <v>106</v>
      </c>
      <c r="F494" t="s">
        <v>21</v>
      </c>
      <c r="G494">
        <v>10</v>
      </c>
      <c r="H494">
        <v>42</v>
      </c>
      <c r="I494" s="5">
        <f>IFERROR(VLOOKUP(TrendSheetStgData[Population]&amp;TrendSheetStgData[Cost Basis]&amp;TrendSheetStgData[Period]&amp;TrendSheetStgData[Trend],TrendSheetPrdData[#All],9,FALSE),0)</f>
        <v>38</v>
      </c>
      <c r="J4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10.526315789473683</v>
      </c>
      <c r="K494" s="5">
        <f>VLOOKUP(TrendSheetStgData[Population]&amp;TrendSheetStgData[Trend],Threshold[#All],4,FALSE)</f>
        <v>10</v>
      </c>
      <c r="L494" s="5">
        <f>VLOOKUP(TrendSheetStgData[Population]&amp;TrendSheetStgData[Trend],Threshold[#All],5,FALSE)</f>
        <v>5</v>
      </c>
      <c r="M4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5" spans="1:13" x14ac:dyDescent="0.25">
      <c r="A495" t="s">
        <v>90</v>
      </c>
      <c r="B495" t="s">
        <v>90</v>
      </c>
      <c r="C495" t="s">
        <v>78</v>
      </c>
      <c r="D495" s="1" t="s">
        <v>107</v>
      </c>
      <c r="E495" t="s">
        <v>106</v>
      </c>
      <c r="F495" t="s">
        <v>21</v>
      </c>
      <c r="G495">
        <v>10</v>
      </c>
      <c r="H495">
        <v>41</v>
      </c>
      <c r="I495" s="5">
        <f>IFERROR(VLOOKUP(TrendSheetStgData[Population]&amp;TrendSheetStgData[Cost Basis]&amp;TrendSheetStgData[Period]&amp;TrendSheetStgData[Trend],TrendSheetPrdData[#All],9,FALSE),0)</f>
        <v>19</v>
      </c>
      <c r="J4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115.78947368421053</v>
      </c>
      <c r="K495" s="5">
        <f>VLOOKUP(TrendSheetStgData[Population]&amp;TrendSheetStgData[Trend],Threshold[#All],4,FALSE)</f>
        <v>10</v>
      </c>
      <c r="L495" s="5">
        <f>VLOOKUP(TrendSheetStgData[Population]&amp;TrendSheetStgData[Trend],Threshold[#All],5,FALSE)</f>
        <v>5</v>
      </c>
      <c r="M4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6" spans="1:13" x14ac:dyDescent="0.25">
      <c r="A496" t="s">
        <v>90</v>
      </c>
      <c r="B496" t="s">
        <v>90</v>
      </c>
      <c r="C496" t="s">
        <v>78</v>
      </c>
      <c r="D496" s="1" t="s">
        <v>108</v>
      </c>
      <c r="E496" t="s">
        <v>106</v>
      </c>
      <c r="F496" t="s">
        <v>21</v>
      </c>
      <c r="G496">
        <v>10</v>
      </c>
      <c r="H496">
        <v>22</v>
      </c>
      <c r="I496" s="5">
        <f>IFERROR(VLOOKUP(TrendSheetStgData[Population]&amp;TrendSheetStgData[Cost Basis]&amp;TrendSheetStgData[Period]&amp;TrendSheetStgData[Trend],TrendSheetPrdData[#All],9,FALSE),0)</f>
        <v>0</v>
      </c>
      <c r="J4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96" s="5">
        <f>VLOOKUP(TrendSheetStgData[Population]&amp;TrendSheetStgData[Trend],Threshold[#All],4,FALSE)</f>
        <v>10</v>
      </c>
      <c r="L496" s="5">
        <f>VLOOKUP(TrendSheetStgData[Population]&amp;TrendSheetStgData[Trend],Threshold[#All],5,FALSE)</f>
        <v>5</v>
      </c>
      <c r="M4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7" spans="1:13" x14ac:dyDescent="0.25">
      <c r="A497" t="s">
        <v>90</v>
      </c>
      <c r="B497" t="s">
        <v>90</v>
      </c>
      <c r="C497" t="s">
        <v>78</v>
      </c>
      <c r="D497" s="1" t="s">
        <v>92</v>
      </c>
      <c r="E497" t="s">
        <v>93</v>
      </c>
      <c r="F497" t="s">
        <v>22</v>
      </c>
      <c r="G497">
        <v>11</v>
      </c>
      <c r="H497">
        <v>5</v>
      </c>
      <c r="I497" s="5">
        <f>IFERROR(VLOOKUP(TrendSheetStgData[Population]&amp;TrendSheetStgData[Cost Basis]&amp;TrendSheetStgData[Period]&amp;TrendSheetStgData[Trend],TrendSheetPrdData[#All],9,FALSE),0)</f>
        <v>5</v>
      </c>
      <c r="J4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 s="5">
        <f>VLOOKUP(TrendSheetStgData[Population]&amp;TrendSheetStgData[Trend],Threshold[#All],4,FALSE)</f>
        <v>10</v>
      </c>
      <c r="L497" s="5">
        <f>VLOOKUP(TrendSheetStgData[Population]&amp;TrendSheetStgData[Trend],Threshold[#All],5,FALSE)</f>
        <v>5</v>
      </c>
      <c r="M4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8" spans="1:13" x14ac:dyDescent="0.25">
      <c r="A498" t="s">
        <v>90</v>
      </c>
      <c r="B498" t="s">
        <v>90</v>
      </c>
      <c r="C498" t="s">
        <v>78</v>
      </c>
      <c r="D498" s="1" t="s">
        <v>94</v>
      </c>
      <c r="E498" t="s">
        <v>93</v>
      </c>
      <c r="F498" t="s">
        <v>22</v>
      </c>
      <c r="G498">
        <v>11</v>
      </c>
      <c r="H498">
        <v>9</v>
      </c>
      <c r="I498" s="5">
        <f>IFERROR(VLOOKUP(TrendSheetStgData[Population]&amp;TrendSheetStgData[Cost Basis]&amp;TrendSheetStgData[Period]&amp;TrendSheetStgData[Trend],TrendSheetPrdData[#All],9,FALSE),0)</f>
        <v>9</v>
      </c>
      <c r="J4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 s="5">
        <f>VLOOKUP(TrendSheetStgData[Population]&amp;TrendSheetStgData[Trend],Threshold[#All],4,FALSE)</f>
        <v>10</v>
      </c>
      <c r="L498" s="5">
        <f>VLOOKUP(TrendSheetStgData[Population]&amp;TrendSheetStgData[Trend],Threshold[#All],5,FALSE)</f>
        <v>5</v>
      </c>
      <c r="M4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9" spans="1:13" x14ac:dyDescent="0.25">
      <c r="A499" t="s">
        <v>90</v>
      </c>
      <c r="B499" t="s">
        <v>90</v>
      </c>
      <c r="C499" t="s">
        <v>78</v>
      </c>
      <c r="D499" s="1" t="s">
        <v>95</v>
      </c>
      <c r="E499" t="s">
        <v>93</v>
      </c>
      <c r="F499" t="s">
        <v>22</v>
      </c>
      <c r="G499">
        <v>11</v>
      </c>
      <c r="H499">
        <v>0</v>
      </c>
      <c r="I499" s="5">
        <f>IFERROR(VLOOKUP(TrendSheetStgData[Population]&amp;TrendSheetStgData[Cost Basis]&amp;TrendSheetStgData[Period]&amp;TrendSheetStgData[Trend],TrendSheetPrdData[#All],9,FALSE),0)</f>
        <v>0</v>
      </c>
      <c r="J4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9" s="5">
        <f>VLOOKUP(TrendSheetStgData[Population]&amp;TrendSheetStgData[Trend],Threshold[#All],4,FALSE)</f>
        <v>10</v>
      </c>
      <c r="L499" s="5">
        <f>VLOOKUP(TrendSheetStgData[Population]&amp;TrendSheetStgData[Trend],Threshold[#All],5,FALSE)</f>
        <v>5</v>
      </c>
      <c r="M4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0" spans="1:13" x14ac:dyDescent="0.25">
      <c r="A500" t="s">
        <v>90</v>
      </c>
      <c r="B500" t="s">
        <v>90</v>
      </c>
      <c r="C500" t="s">
        <v>78</v>
      </c>
      <c r="D500" s="1" t="s">
        <v>96</v>
      </c>
      <c r="E500" t="s">
        <v>93</v>
      </c>
      <c r="F500" t="s">
        <v>22</v>
      </c>
      <c r="G500">
        <v>11</v>
      </c>
      <c r="H500">
        <v>0</v>
      </c>
      <c r="I500" s="5">
        <f>IFERROR(VLOOKUP(TrendSheetStgData[Population]&amp;TrendSheetStgData[Cost Basis]&amp;TrendSheetStgData[Period]&amp;TrendSheetStgData[Trend],TrendSheetPrdData[#All],9,FALSE),0)</f>
        <v>0</v>
      </c>
      <c r="J5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 s="5">
        <f>VLOOKUP(TrendSheetStgData[Population]&amp;TrendSheetStgData[Trend],Threshold[#All],4,FALSE)</f>
        <v>10</v>
      </c>
      <c r="L500" s="5">
        <f>VLOOKUP(TrendSheetStgData[Population]&amp;TrendSheetStgData[Trend],Threshold[#All],5,FALSE)</f>
        <v>5</v>
      </c>
      <c r="M5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 spans="1:13" x14ac:dyDescent="0.25">
      <c r="A501" t="s">
        <v>90</v>
      </c>
      <c r="B501" t="s">
        <v>90</v>
      </c>
      <c r="C501" t="s">
        <v>78</v>
      </c>
      <c r="D501" s="1" t="s">
        <v>97</v>
      </c>
      <c r="E501" t="s">
        <v>93</v>
      </c>
      <c r="F501" t="s">
        <v>22</v>
      </c>
      <c r="G501">
        <v>11</v>
      </c>
      <c r="H501">
        <v>9</v>
      </c>
      <c r="I501" s="5">
        <f>IFERROR(VLOOKUP(TrendSheetStgData[Population]&amp;TrendSheetStgData[Cost Basis]&amp;TrendSheetStgData[Period]&amp;TrendSheetStgData[Trend],TrendSheetPrdData[#All],9,FALSE),0)</f>
        <v>9</v>
      </c>
      <c r="J5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1" s="5">
        <f>VLOOKUP(TrendSheetStgData[Population]&amp;TrendSheetStgData[Trend],Threshold[#All],4,FALSE)</f>
        <v>10</v>
      </c>
      <c r="L501" s="5">
        <f>VLOOKUP(TrendSheetStgData[Population]&amp;TrendSheetStgData[Trend],Threshold[#All],5,FALSE)</f>
        <v>5</v>
      </c>
      <c r="M5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2" spans="1:13" x14ac:dyDescent="0.25">
      <c r="A502" t="s">
        <v>90</v>
      </c>
      <c r="B502" t="s">
        <v>90</v>
      </c>
      <c r="C502" t="s">
        <v>78</v>
      </c>
      <c r="D502" s="1" t="s">
        <v>98</v>
      </c>
      <c r="E502" t="s">
        <v>93</v>
      </c>
      <c r="F502" t="s">
        <v>22</v>
      </c>
      <c r="G502">
        <v>11</v>
      </c>
      <c r="H502">
        <v>0</v>
      </c>
      <c r="I502" s="5">
        <f>IFERROR(VLOOKUP(TrendSheetStgData[Population]&amp;TrendSheetStgData[Cost Basis]&amp;TrendSheetStgData[Period]&amp;TrendSheetStgData[Trend],TrendSheetPrdData[#All],9,FALSE),0)</f>
        <v>0</v>
      </c>
      <c r="J5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2" s="5">
        <f>VLOOKUP(TrendSheetStgData[Population]&amp;TrendSheetStgData[Trend],Threshold[#All],4,FALSE)</f>
        <v>10</v>
      </c>
      <c r="L502" s="5">
        <f>VLOOKUP(TrendSheetStgData[Population]&amp;TrendSheetStgData[Trend],Threshold[#All],5,FALSE)</f>
        <v>5</v>
      </c>
      <c r="M5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3" spans="1:13" x14ac:dyDescent="0.25">
      <c r="A503" t="s">
        <v>90</v>
      </c>
      <c r="B503" t="s">
        <v>90</v>
      </c>
      <c r="C503" t="s">
        <v>78</v>
      </c>
      <c r="D503" s="1" t="s">
        <v>99</v>
      </c>
      <c r="E503" t="s">
        <v>93</v>
      </c>
      <c r="F503" t="s">
        <v>22</v>
      </c>
      <c r="G503">
        <v>11</v>
      </c>
      <c r="H503">
        <v>0</v>
      </c>
      <c r="I503" s="5">
        <f>IFERROR(VLOOKUP(TrendSheetStgData[Population]&amp;TrendSheetStgData[Cost Basis]&amp;TrendSheetStgData[Period]&amp;TrendSheetStgData[Trend],TrendSheetPrdData[#All],9,FALSE),0)</f>
        <v>0</v>
      </c>
      <c r="J5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3" s="5">
        <f>VLOOKUP(TrendSheetStgData[Population]&amp;TrendSheetStgData[Trend],Threshold[#All],4,FALSE)</f>
        <v>10</v>
      </c>
      <c r="L503" s="5">
        <f>VLOOKUP(TrendSheetStgData[Population]&amp;TrendSheetStgData[Trend],Threshold[#All],5,FALSE)</f>
        <v>5</v>
      </c>
      <c r="M5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4" spans="1:13" x14ac:dyDescent="0.25">
      <c r="A504" t="s">
        <v>90</v>
      </c>
      <c r="B504" t="s">
        <v>90</v>
      </c>
      <c r="C504" t="s">
        <v>78</v>
      </c>
      <c r="D504" s="1" t="s">
        <v>100</v>
      </c>
      <c r="E504" t="s">
        <v>93</v>
      </c>
      <c r="F504" t="s">
        <v>22</v>
      </c>
      <c r="G504">
        <v>11</v>
      </c>
      <c r="H504">
        <v>4</v>
      </c>
      <c r="I504" s="5">
        <f>IFERROR(VLOOKUP(TrendSheetStgData[Population]&amp;TrendSheetStgData[Cost Basis]&amp;TrendSheetStgData[Period]&amp;TrendSheetStgData[Trend],TrendSheetPrdData[#All],9,FALSE),0)</f>
        <v>4</v>
      </c>
      <c r="J5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4" s="5">
        <f>VLOOKUP(TrendSheetStgData[Population]&amp;TrendSheetStgData[Trend],Threshold[#All],4,FALSE)</f>
        <v>10</v>
      </c>
      <c r="L504" s="5">
        <f>VLOOKUP(TrendSheetStgData[Population]&amp;TrendSheetStgData[Trend],Threshold[#All],5,FALSE)</f>
        <v>5</v>
      </c>
      <c r="M5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 spans="1:13" x14ac:dyDescent="0.25">
      <c r="A505" t="s">
        <v>90</v>
      </c>
      <c r="B505" t="s">
        <v>90</v>
      </c>
      <c r="C505" t="s">
        <v>78</v>
      </c>
      <c r="D505" s="1" t="s">
        <v>101</v>
      </c>
      <c r="E505" t="s">
        <v>93</v>
      </c>
      <c r="F505" t="s">
        <v>22</v>
      </c>
      <c r="G505">
        <v>11</v>
      </c>
      <c r="H505">
        <v>4</v>
      </c>
      <c r="I505" s="5">
        <f>IFERROR(VLOOKUP(TrendSheetStgData[Population]&amp;TrendSheetStgData[Cost Basis]&amp;TrendSheetStgData[Period]&amp;TrendSheetStgData[Trend],TrendSheetPrdData[#All],9,FALSE),0)</f>
        <v>4</v>
      </c>
      <c r="J5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 s="5">
        <f>VLOOKUP(TrendSheetStgData[Population]&amp;TrendSheetStgData[Trend],Threshold[#All],4,FALSE)</f>
        <v>10</v>
      </c>
      <c r="L505" s="5">
        <f>VLOOKUP(TrendSheetStgData[Population]&amp;TrendSheetStgData[Trend],Threshold[#All],5,FALSE)</f>
        <v>5</v>
      </c>
      <c r="M5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6" spans="1:13" x14ac:dyDescent="0.25">
      <c r="A506" t="s">
        <v>90</v>
      </c>
      <c r="B506" t="s">
        <v>90</v>
      </c>
      <c r="C506" t="s">
        <v>78</v>
      </c>
      <c r="D506" s="1" t="s">
        <v>102</v>
      </c>
      <c r="E506" t="s">
        <v>93</v>
      </c>
      <c r="F506" t="s">
        <v>22</v>
      </c>
      <c r="G506">
        <v>11</v>
      </c>
      <c r="H506">
        <v>0</v>
      </c>
      <c r="I506" s="5">
        <f>IFERROR(VLOOKUP(TrendSheetStgData[Population]&amp;TrendSheetStgData[Cost Basis]&amp;TrendSheetStgData[Period]&amp;TrendSheetStgData[Trend],TrendSheetPrdData[#All],9,FALSE),0)</f>
        <v>0</v>
      </c>
      <c r="J5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6" s="5">
        <f>VLOOKUP(TrendSheetStgData[Population]&amp;TrendSheetStgData[Trend],Threshold[#All],4,FALSE)</f>
        <v>10</v>
      </c>
      <c r="L506" s="5">
        <f>VLOOKUP(TrendSheetStgData[Population]&amp;TrendSheetStgData[Trend],Threshold[#All],5,FALSE)</f>
        <v>5</v>
      </c>
      <c r="M5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 spans="1:13" x14ac:dyDescent="0.25">
      <c r="A507" t="s">
        <v>90</v>
      </c>
      <c r="B507" t="s">
        <v>90</v>
      </c>
      <c r="C507" t="s">
        <v>78</v>
      </c>
      <c r="D507" s="1" t="s">
        <v>103</v>
      </c>
      <c r="E507" t="s">
        <v>93</v>
      </c>
      <c r="F507" t="s">
        <v>22</v>
      </c>
      <c r="G507">
        <v>11</v>
      </c>
      <c r="H507">
        <v>0</v>
      </c>
      <c r="I507" s="5">
        <f>IFERROR(VLOOKUP(TrendSheetStgData[Population]&amp;TrendSheetStgData[Cost Basis]&amp;TrendSheetStgData[Period]&amp;TrendSheetStgData[Trend],TrendSheetPrdData[#All],9,FALSE),0)</f>
        <v>0</v>
      </c>
      <c r="J5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 s="5">
        <f>VLOOKUP(TrendSheetStgData[Population]&amp;TrendSheetStgData[Trend],Threshold[#All],4,FALSE)</f>
        <v>10</v>
      </c>
      <c r="L507" s="5">
        <f>VLOOKUP(TrendSheetStgData[Population]&amp;TrendSheetStgData[Trend],Threshold[#All],5,FALSE)</f>
        <v>5</v>
      </c>
      <c r="M5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8" spans="1:13" x14ac:dyDescent="0.25">
      <c r="A508" t="s">
        <v>90</v>
      </c>
      <c r="B508" t="s">
        <v>90</v>
      </c>
      <c r="C508" t="s">
        <v>78</v>
      </c>
      <c r="D508" s="1" t="s">
        <v>104</v>
      </c>
      <c r="E508" t="s">
        <v>93</v>
      </c>
      <c r="F508" t="s">
        <v>22</v>
      </c>
      <c r="G508">
        <v>11</v>
      </c>
      <c r="H508">
        <v>4</v>
      </c>
      <c r="I508" s="5">
        <f>IFERROR(VLOOKUP(TrendSheetStgData[Population]&amp;TrendSheetStgData[Cost Basis]&amp;TrendSheetStgData[Period]&amp;TrendSheetStgData[Trend],TrendSheetPrdData[#All],9,FALSE),0)</f>
        <v>4</v>
      </c>
      <c r="J5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8" s="5">
        <f>VLOOKUP(TrendSheetStgData[Population]&amp;TrendSheetStgData[Trend],Threshold[#All],4,FALSE)</f>
        <v>10</v>
      </c>
      <c r="L508" s="5">
        <f>VLOOKUP(TrendSheetStgData[Population]&amp;TrendSheetStgData[Trend],Threshold[#All],5,FALSE)</f>
        <v>5</v>
      </c>
      <c r="M5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9" spans="1:13" x14ac:dyDescent="0.25">
      <c r="A509" t="s">
        <v>90</v>
      </c>
      <c r="B509" t="s">
        <v>90</v>
      </c>
      <c r="C509" t="s">
        <v>78</v>
      </c>
      <c r="D509" s="1" t="s">
        <v>105</v>
      </c>
      <c r="E509" t="s">
        <v>106</v>
      </c>
      <c r="F509" t="s">
        <v>22</v>
      </c>
      <c r="G509">
        <v>11</v>
      </c>
      <c r="H509">
        <v>0</v>
      </c>
      <c r="I509" s="5">
        <f>IFERROR(VLOOKUP(TrendSheetStgData[Population]&amp;TrendSheetStgData[Cost Basis]&amp;TrendSheetStgData[Period]&amp;TrendSheetStgData[Trend],TrendSheetPrdData[#All],9,FALSE),0)</f>
        <v>0</v>
      </c>
      <c r="J5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 s="5">
        <f>VLOOKUP(TrendSheetStgData[Population]&amp;TrendSheetStgData[Trend],Threshold[#All],4,FALSE)</f>
        <v>10</v>
      </c>
      <c r="L509" s="5">
        <f>VLOOKUP(TrendSheetStgData[Population]&amp;TrendSheetStgData[Trend],Threshold[#All],5,FALSE)</f>
        <v>5</v>
      </c>
      <c r="M5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0" spans="1:13" x14ac:dyDescent="0.25">
      <c r="A510" t="s">
        <v>90</v>
      </c>
      <c r="B510" t="s">
        <v>90</v>
      </c>
      <c r="C510" t="s">
        <v>78</v>
      </c>
      <c r="D510" s="1" t="s">
        <v>107</v>
      </c>
      <c r="E510" t="s">
        <v>106</v>
      </c>
      <c r="F510" t="s">
        <v>22</v>
      </c>
      <c r="G510">
        <v>11</v>
      </c>
      <c r="H510">
        <v>7</v>
      </c>
      <c r="I510" s="5">
        <f>IFERROR(VLOOKUP(TrendSheetStgData[Population]&amp;TrendSheetStgData[Cost Basis]&amp;TrendSheetStgData[Period]&amp;TrendSheetStgData[Trend],TrendSheetPrdData[#All],9,FALSE),0)</f>
        <v>7</v>
      </c>
      <c r="J5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0" s="5">
        <f>VLOOKUP(TrendSheetStgData[Population]&amp;TrendSheetStgData[Trend],Threshold[#All],4,FALSE)</f>
        <v>10</v>
      </c>
      <c r="L510" s="5">
        <f>VLOOKUP(TrendSheetStgData[Population]&amp;TrendSheetStgData[Trend],Threshold[#All],5,FALSE)</f>
        <v>5</v>
      </c>
      <c r="M5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 spans="1:13" x14ac:dyDescent="0.25">
      <c r="A511" t="s">
        <v>90</v>
      </c>
      <c r="B511" t="s">
        <v>90</v>
      </c>
      <c r="C511" t="s">
        <v>78</v>
      </c>
      <c r="D511" s="1" t="s">
        <v>108</v>
      </c>
      <c r="E511" t="s">
        <v>106</v>
      </c>
      <c r="F511" t="s">
        <v>22</v>
      </c>
      <c r="G511">
        <v>11</v>
      </c>
      <c r="H511">
        <v>4</v>
      </c>
      <c r="I511" s="5">
        <f>IFERROR(VLOOKUP(TrendSheetStgData[Population]&amp;TrendSheetStgData[Cost Basis]&amp;TrendSheetStgData[Period]&amp;TrendSheetStgData[Trend],TrendSheetPrdData[#All],9,FALSE),0)</f>
        <v>0</v>
      </c>
      <c r="J5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11" s="5">
        <f>VLOOKUP(TrendSheetStgData[Population]&amp;TrendSheetStgData[Trend],Threshold[#All],4,FALSE)</f>
        <v>10</v>
      </c>
      <c r="L511" s="5">
        <f>VLOOKUP(TrendSheetStgData[Population]&amp;TrendSheetStgData[Trend],Threshold[#All],5,FALSE)</f>
        <v>5</v>
      </c>
      <c r="M5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2" spans="1:13" x14ac:dyDescent="0.25">
      <c r="A512" t="s">
        <v>90</v>
      </c>
      <c r="B512" t="s">
        <v>90</v>
      </c>
      <c r="C512" t="s">
        <v>78</v>
      </c>
      <c r="D512" s="1" t="s">
        <v>92</v>
      </c>
      <c r="E512" t="s">
        <v>93</v>
      </c>
      <c r="F512" t="s">
        <v>23</v>
      </c>
      <c r="G512">
        <v>12</v>
      </c>
      <c r="H512">
        <v>0</v>
      </c>
      <c r="I512" s="5">
        <f>IFERROR(VLOOKUP(TrendSheetStgData[Population]&amp;TrendSheetStgData[Cost Basis]&amp;TrendSheetStgData[Period]&amp;TrendSheetStgData[Trend],TrendSheetPrdData[#All],9,FALSE),0)</f>
        <v>0</v>
      </c>
      <c r="J5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2" s="5">
        <f>VLOOKUP(TrendSheetStgData[Population]&amp;TrendSheetStgData[Trend],Threshold[#All],4,FALSE)</f>
        <v>10</v>
      </c>
      <c r="L512" s="5">
        <f>VLOOKUP(TrendSheetStgData[Population]&amp;TrendSheetStgData[Trend],Threshold[#All],5,FALSE)</f>
        <v>5</v>
      </c>
      <c r="M5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3" spans="1:13" x14ac:dyDescent="0.25">
      <c r="A513" t="s">
        <v>90</v>
      </c>
      <c r="B513" t="s">
        <v>90</v>
      </c>
      <c r="C513" t="s">
        <v>78</v>
      </c>
      <c r="D513" s="1" t="s">
        <v>94</v>
      </c>
      <c r="E513" t="s">
        <v>93</v>
      </c>
      <c r="F513" t="s">
        <v>23</v>
      </c>
      <c r="G513">
        <v>12</v>
      </c>
      <c r="H513">
        <v>0</v>
      </c>
      <c r="I513" s="5">
        <f>IFERROR(VLOOKUP(TrendSheetStgData[Population]&amp;TrendSheetStgData[Cost Basis]&amp;TrendSheetStgData[Period]&amp;TrendSheetStgData[Trend],TrendSheetPrdData[#All],9,FALSE),0)</f>
        <v>0</v>
      </c>
      <c r="J5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3" s="5">
        <f>VLOOKUP(TrendSheetStgData[Population]&amp;TrendSheetStgData[Trend],Threshold[#All],4,FALSE)</f>
        <v>10</v>
      </c>
      <c r="L513" s="5">
        <f>VLOOKUP(TrendSheetStgData[Population]&amp;TrendSheetStgData[Trend],Threshold[#All],5,FALSE)</f>
        <v>5</v>
      </c>
      <c r="M5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4" spans="1:13" x14ac:dyDescent="0.25">
      <c r="A514" t="s">
        <v>90</v>
      </c>
      <c r="B514" t="s">
        <v>90</v>
      </c>
      <c r="C514" t="s">
        <v>78</v>
      </c>
      <c r="D514" s="1" t="s">
        <v>95</v>
      </c>
      <c r="E514" t="s">
        <v>93</v>
      </c>
      <c r="F514" t="s">
        <v>23</v>
      </c>
      <c r="G514">
        <v>12</v>
      </c>
      <c r="H514">
        <v>0</v>
      </c>
      <c r="I514" s="5">
        <f>IFERROR(VLOOKUP(TrendSheetStgData[Population]&amp;TrendSheetStgData[Cost Basis]&amp;TrendSheetStgData[Period]&amp;TrendSheetStgData[Trend],TrendSheetPrdData[#All],9,FALSE),0)</f>
        <v>0</v>
      </c>
      <c r="J5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4" s="5">
        <f>VLOOKUP(TrendSheetStgData[Population]&amp;TrendSheetStgData[Trend],Threshold[#All],4,FALSE)</f>
        <v>10</v>
      </c>
      <c r="L514" s="5">
        <f>VLOOKUP(TrendSheetStgData[Population]&amp;TrendSheetStgData[Trend],Threshold[#All],5,FALSE)</f>
        <v>5</v>
      </c>
      <c r="M5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5" spans="1:13" x14ac:dyDescent="0.25">
      <c r="A515" t="s">
        <v>90</v>
      </c>
      <c r="B515" t="s">
        <v>90</v>
      </c>
      <c r="C515" t="s">
        <v>78</v>
      </c>
      <c r="D515" s="1" t="s">
        <v>96</v>
      </c>
      <c r="E515" t="s">
        <v>93</v>
      </c>
      <c r="F515" t="s">
        <v>23</v>
      </c>
      <c r="G515">
        <v>12</v>
      </c>
      <c r="H515">
        <v>13</v>
      </c>
      <c r="I515" s="5">
        <f>IFERROR(VLOOKUP(TrendSheetStgData[Population]&amp;TrendSheetStgData[Cost Basis]&amp;TrendSheetStgData[Period]&amp;TrendSheetStgData[Trend],TrendSheetPrdData[#All],9,FALSE),0)</f>
        <v>13</v>
      </c>
      <c r="J5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5" s="5">
        <f>VLOOKUP(TrendSheetStgData[Population]&amp;TrendSheetStgData[Trend],Threshold[#All],4,FALSE)</f>
        <v>10</v>
      </c>
      <c r="L515" s="5">
        <f>VLOOKUP(TrendSheetStgData[Population]&amp;TrendSheetStgData[Trend],Threshold[#All],5,FALSE)</f>
        <v>5</v>
      </c>
      <c r="M5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6" spans="1:13" x14ac:dyDescent="0.25">
      <c r="A516" t="s">
        <v>90</v>
      </c>
      <c r="B516" t="s">
        <v>90</v>
      </c>
      <c r="C516" t="s">
        <v>78</v>
      </c>
      <c r="D516" s="1" t="s">
        <v>97</v>
      </c>
      <c r="E516" t="s">
        <v>93</v>
      </c>
      <c r="F516" t="s">
        <v>23</v>
      </c>
      <c r="G516">
        <v>12</v>
      </c>
      <c r="H516">
        <v>4</v>
      </c>
      <c r="I516" s="5">
        <f>IFERROR(VLOOKUP(TrendSheetStgData[Population]&amp;TrendSheetStgData[Cost Basis]&amp;TrendSheetStgData[Period]&amp;TrendSheetStgData[Trend],TrendSheetPrdData[#All],9,FALSE),0)</f>
        <v>4</v>
      </c>
      <c r="J5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6" s="5">
        <f>VLOOKUP(TrendSheetStgData[Population]&amp;TrendSheetStgData[Trend],Threshold[#All],4,FALSE)</f>
        <v>10</v>
      </c>
      <c r="L516" s="5">
        <f>VLOOKUP(TrendSheetStgData[Population]&amp;TrendSheetStgData[Trend],Threshold[#All],5,FALSE)</f>
        <v>5</v>
      </c>
      <c r="M5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7" spans="1:13" x14ac:dyDescent="0.25">
      <c r="A517" t="s">
        <v>90</v>
      </c>
      <c r="B517" t="s">
        <v>90</v>
      </c>
      <c r="C517" t="s">
        <v>78</v>
      </c>
      <c r="D517" s="1" t="s">
        <v>98</v>
      </c>
      <c r="E517" t="s">
        <v>93</v>
      </c>
      <c r="F517" t="s">
        <v>23</v>
      </c>
      <c r="G517">
        <v>12</v>
      </c>
      <c r="H517">
        <v>4</v>
      </c>
      <c r="I517" s="5">
        <f>IFERROR(VLOOKUP(TrendSheetStgData[Population]&amp;TrendSheetStgData[Cost Basis]&amp;TrendSheetStgData[Period]&amp;TrendSheetStgData[Trend],TrendSheetPrdData[#All],9,FALSE),0)</f>
        <v>4</v>
      </c>
      <c r="J5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7" s="5">
        <f>VLOOKUP(TrendSheetStgData[Population]&amp;TrendSheetStgData[Trend],Threshold[#All],4,FALSE)</f>
        <v>10</v>
      </c>
      <c r="L517" s="5">
        <f>VLOOKUP(TrendSheetStgData[Population]&amp;TrendSheetStgData[Trend],Threshold[#All],5,FALSE)</f>
        <v>5</v>
      </c>
      <c r="M5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8" spans="1:13" x14ac:dyDescent="0.25">
      <c r="A518" t="s">
        <v>90</v>
      </c>
      <c r="B518" t="s">
        <v>90</v>
      </c>
      <c r="C518" t="s">
        <v>78</v>
      </c>
      <c r="D518" s="1" t="s">
        <v>99</v>
      </c>
      <c r="E518" t="s">
        <v>93</v>
      </c>
      <c r="F518" t="s">
        <v>23</v>
      </c>
      <c r="G518">
        <v>12</v>
      </c>
      <c r="H518">
        <v>4</v>
      </c>
      <c r="I518" s="5">
        <f>IFERROR(VLOOKUP(TrendSheetStgData[Population]&amp;TrendSheetStgData[Cost Basis]&amp;TrendSheetStgData[Period]&amp;TrendSheetStgData[Trend],TrendSheetPrdData[#All],9,FALSE),0)</f>
        <v>4</v>
      </c>
      <c r="J5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8" s="5">
        <f>VLOOKUP(TrendSheetStgData[Population]&amp;TrendSheetStgData[Trend],Threshold[#All],4,FALSE)</f>
        <v>10</v>
      </c>
      <c r="L518" s="5">
        <f>VLOOKUP(TrendSheetStgData[Population]&amp;TrendSheetStgData[Trend],Threshold[#All],5,FALSE)</f>
        <v>5</v>
      </c>
      <c r="M5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9" spans="1:13" x14ac:dyDescent="0.25">
      <c r="A519" t="s">
        <v>90</v>
      </c>
      <c r="B519" t="s">
        <v>90</v>
      </c>
      <c r="C519" t="s">
        <v>78</v>
      </c>
      <c r="D519" s="1" t="s">
        <v>100</v>
      </c>
      <c r="E519" t="s">
        <v>93</v>
      </c>
      <c r="F519" t="s">
        <v>23</v>
      </c>
      <c r="G519">
        <v>12</v>
      </c>
      <c r="H519">
        <v>0</v>
      </c>
      <c r="I519" s="5">
        <f>IFERROR(VLOOKUP(TrendSheetStgData[Population]&amp;TrendSheetStgData[Cost Basis]&amp;TrendSheetStgData[Period]&amp;TrendSheetStgData[Trend],TrendSheetPrdData[#All],9,FALSE),0)</f>
        <v>0</v>
      </c>
      <c r="J5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9" s="5">
        <f>VLOOKUP(TrendSheetStgData[Population]&amp;TrendSheetStgData[Trend],Threshold[#All],4,FALSE)</f>
        <v>10</v>
      </c>
      <c r="L519" s="5">
        <f>VLOOKUP(TrendSheetStgData[Population]&amp;TrendSheetStgData[Trend],Threshold[#All],5,FALSE)</f>
        <v>5</v>
      </c>
      <c r="M5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0" spans="1:13" x14ac:dyDescent="0.25">
      <c r="A520" t="s">
        <v>90</v>
      </c>
      <c r="B520" t="s">
        <v>90</v>
      </c>
      <c r="C520" t="s">
        <v>78</v>
      </c>
      <c r="D520" s="1" t="s">
        <v>101</v>
      </c>
      <c r="E520" t="s">
        <v>93</v>
      </c>
      <c r="F520" t="s">
        <v>23</v>
      </c>
      <c r="G520">
        <v>12</v>
      </c>
      <c r="H520">
        <v>8</v>
      </c>
      <c r="I520" s="5">
        <f>IFERROR(VLOOKUP(TrendSheetStgData[Population]&amp;TrendSheetStgData[Cost Basis]&amp;TrendSheetStgData[Period]&amp;TrendSheetStgData[Trend],TrendSheetPrdData[#All],9,FALSE),0)</f>
        <v>8</v>
      </c>
      <c r="J5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0" s="5">
        <f>VLOOKUP(TrendSheetStgData[Population]&amp;TrendSheetStgData[Trend],Threshold[#All],4,FALSE)</f>
        <v>10</v>
      </c>
      <c r="L520" s="5">
        <f>VLOOKUP(TrendSheetStgData[Population]&amp;TrendSheetStgData[Trend],Threshold[#All],5,FALSE)</f>
        <v>5</v>
      </c>
      <c r="M5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 spans="1:13" x14ac:dyDescent="0.25">
      <c r="A521" t="s">
        <v>90</v>
      </c>
      <c r="B521" t="s">
        <v>90</v>
      </c>
      <c r="C521" t="s">
        <v>78</v>
      </c>
      <c r="D521" s="1" t="s">
        <v>102</v>
      </c>
      <c r="E521" t="s">
        <v>93</v>
      </c>
      <c r="F521" t="s">
        <v>23</v>
      </c>
      <c r="G521">
        <v>12</v>
      </c>
      <c r="H521">
        <v>0</v>
      </c>
      <c r="I521" s="5">
        <f>IFERROR(VLOOKUP(TrendSheetStgData[Population]&amp;TrendSheetStgData[Cost Basis]&amp;TrendSheetStgData[Period]&amp;TrendSheetStgData[Trend],TrendSheetPrdData[#All],9,FALSE),0)</f>
        <v>0</v>
      </c>
      <c r="J5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 s="5">
        <f>VLOOKUP(TrendSheetStgData[Population]&amp;TrendSheetStgData[Trend],Threshold[#All],4,FALSE)</f>
        <v>10</v>
      </c>
      <c r="L521" s="5">
        <f>VLOOKUP(TrendSheetStgData[Population]&amp;TrendSheetStgData[Trend],Threshold[#All],5,FALSE)</f>
        <v>5</v>
      </c>
      <c r="M5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2" spans="1:13" x14ac:dyDescent="0.25">
      <c r="A522" t="s">
        <v>90</v>
      </c>
      <c r="B522" t="s">
        <v>90</v>
      </c>
      <c r="C522" t="s">
        <v>78</v>
      </c>
      <c r="D522" s="1" t="s">
        <v>103</v>
      </c>
      <c r="E522" t="s">
        <v>93</v>
      </c>
      <c r="F522" t="s">
        <v>23</v>
      </c>
      <c r="G522">
        <v>12</v>
      </c>
      <c r="H522">
        <v>0</v>
      </c>
      <c r="I522" s="5">
        <f>IFERROR(VLOOKUP(TrendSheetStgData[Population]&amp;TrendSheetStgData[Cost Basis]&amp;TrendSheetStgData[Period]&amp;TrendSheetStgData[Trend],TrendSheetPrdData[#All],9,FALSE),0)</f>
        <v>0</v>
      </c>
      <c r="J5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2" s="5">
        <f>VLOOKUP(TrendSheetStgData[Population]&amp;TrendSheetStgData[Trend],Threshold[#All],4,FALSE)</f>
        <v>10</v>
      </c>
      <c r="L522" s="5">
        <f>VLOOKUP(TrendSheetStgData[Population]&amp;TrendSheetStgData[Trend],Threshold[#All],5,FALSE)</f>
        <v>5</v>
      </c>
      <c r="M5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3" spans="1:13" x14ac:dyDescent="0.25">
      <c r="A523" t="s">
        <v>90</v>
      </c>
      <c r="B523" t="s">
        <v>90</v>
      </c>
      <c r="C523" t="s">
        <v>78</v>
      </c>
      <c r="D523" s="1" t="s">
        <v>104</v>
      </c>
      <c r="E523" t="s">
        <v>93</v>
      </c>
      <c r="F523" t="s">
        <v>23</v>
      </c>
      <c r="G523">
        <v>12</v>
      </c>
      <c r="H523">
        <v>4</v>
      </c>
      <c r="I523" s="5">
        <f>IFERROR(VLOOKUP(TrendSheetStgData[Population]&amp;TrendSheetStgData[Cost Basis]&amp;TrendSheetStgData[Period]&amp;TrendSheetStgData[Trend],TrendSheetPrdData[#All],9,FALSE),0)</f>
        <v>4</v>
      </c>
      <c r="J5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3" s="5">
        <f>VLOOKUP(TrendSheetStgData[Population]&amp;TrendSheetStgData[Trend],Threshold[#All],4,FALSE)</f>
        <v>10</v>
      </c>
      <c r="L523" s="5">
        <f>VLOOKUP(TrendSheetStgData[Population]&amp;TrendSheetStgData[Trend],Threshold[#All],5,FALSE)</f>
        <v>5</v>
      </c>
      <c r="M5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4" spans="1:13" x14ac:dyDescent="0.25">
      <c r="A524" t="s">
        <v>90</v>
      </c>
      <c r="B524" t="s">
        <v>90</v>
      </c>
      <c r="C524" t="s">
        <v>78</v>
      </c>
      <c r="D524" s="1" t="s">
        <v>105</v>
      </c>
      <c r="E524" t="s">
        <v>106</v>
      </c>
      <c r="F524" t="s">
        <v>23</v>
      </c>
      <c r="G524">
        <v>12</v>
      </c>
      <c r="H524">
        <v>4</v>
      </c>
      <c r="I524" s="5">
        <f>IFERROR(VLOOKUP(TrendSheetStgData[Population]&amp;TrendSheetStgData[Cost Basis]&amp;TrendSheetStgData[Period]&amp;TrendSheetStgData[Trend],TrendSheetPrdData[#All],9,FALSE),0)</f>
        <v>4</v>
      </c>
      <c r="J5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4" s="5">
        <f>VLOOKUP(TrendSheetStgData[Population]&amp;TrendSheetStgData[Trend],Threshold[#All],4,FALSE)</f>
        <v>10</v>
      </c>
      <c r="L524" s="5">
        <f>VLOOKUP(TrendSheetStgData[Population]&amp;TrendSheetStgData[Trend],Threshold[#All],5,FALSE)</f>
        <v>5</v>
      </c>
      <c r="M5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5" spans="1:13" x14ac:dyDescent="0.25">
      <c r="A525" t="s">
        <v>90</v>
      </c>
      <c r="B525" t="s">
        <v>90</v>
      </c>
      <c r="C525" t="s">
        <v>78</v>
      </c>
      <c r="D525" s="1" t="s">
        <v>107</v>
      </c>
      <c r="E525" t="s">
        <v>106</v>
      </c>
      <c r="F525" t="s">
        <v>23</v>
      </c>
      <c r="G525">
        <v>12</v>
      </c>
      <c r="H525">
        <v>0</v>
      </c>
      <c r="I525" s="5">
        <f>IFERROR(VLOOKUP(TrendSheetStgData[Population]&amp;TrendSheetStgData[Cost Basis]&amp;TrendSheetStgData[Period]&amp;TrendSheetStgData[Trend],TrendSheetPrdData[#All],9,FALSE),0)</f>
        <v>0</v>
      </c>
      <c r="J5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5" s="5">
        <f>VLOOKUP(TrendSheetStgData[Population]&amp;TrendSheetStgData[Trend],Threshold[#All],4,FALSE)</f>
        <v>10</v>
      </c>
      <c r="L525" s="5">
        <f>VLOOKUP(TrendSheetStgData[Population]&amp;TrendSheetStgData[Trend],Threshold[#All],5,FALSE)</f>
        <v>5</v>
      </c>
      <c r="M5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6" spans="1:13" x14ac:dyDescent="0.25">
      <c r="A526" t="s">
        <v>90</v>
      </c>
      <c r="B526" t="s">
        <v>90</v>
      </c>
      <c r="C526" t="s">
        <v>78</v>
      </c>
      <c r="D526" s="1" t="s">
        <v>108</v>
      </c>
      <c r="E526" t="s">
        <v>106</v>
      </c>
      <c r="F526" t="s">
        <v>23</v>
      </c>
      <c r="G526">
        <v>12</v>
      </c>
      <c r="H526">
        <v>0</v>
      </c>
      <c r="I526" s="5">
        <f>IFERROR(VLOOKUP(TrendSheetStgData[Population]&amp;TrendSheetStgData[Cost Basis]&amp;TrendSheetStgData[Period]&amp;TrendSheetStgData[Trend],TrendSheetPrdData[#All],9,FALSE),0)</f>
        <v>0</v>
      </c>
      <c r="J5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6" s="5">
        <f>VLOOKUP(TrendSheetStgData[Population]&amp;TrendSheetStgData[Trend],Threshold[#All],4,FALSE)</f>
        <v>10</v>
      </c>
      <c r="L526" s="5">
        <f>VLOOKUP(TrendSheetStgData[Population]&amp;TrendSheetStgData[Trend],Threshold[#All],5,FALSE)</f>
        <v>5</v>
      </c>
      <c r="M5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7" spans="1:13" x14ac:dyDescent="0.25">
      <c r="A527" t="s">
        <v>90</v>
      </c>
      <c r="B527" t="s">
        <v>90</v>
      </c>
      <c r="C527" t="s">
        <v>78</v>
      </c>
      <c r="D527" s="1" t="s">
        <v>92</v>
      </c>
      <c r="E527" t="s">
        <v>93</v>
      </c>
      <c r="F527" t="s">
        <v>24</v>
      </c>
      <c r="G527">
        <v>13</v>
      </c>
      <c r="H527">
        <v>103437</v>
      </c>
      <c r="I527" s="5">
        <f>IFERROR(VLOOKUP(TrendSheetStgData[Population]&amp;TrendSheetStgData[Cost Basis]&amp;TrendSheetStgData[Period]&amp;TrendSheetStgData[Trend],TrendSheetPrdData[#All],9,FALSE),0)</f>
        <v>97489</v>
      </c>
      <c r="J5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6.1012011611566432</v>
      </c>
      <c r="K527" s="5">
        <f>VLOOKUP(TrendSheetStgData[Population]&amp;TrendSheetStgData[Trend],Threshold[#All],4,FALSE)</f>
        <v>10</v>
      </c>
      <c r="L527" s="5">
        <f>VLOOKUP(TrendSheetStgData[Population]&amp;TrendSheetStgData[Trend],Threshold[#All],5,FALSE)</f>
        <v>5</v>
      </c>
      <c r="M5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28" spans="1:13" x14ac:dyDescent="0.25">
      <c r="A528" t="s">
        <v>90</v>
      </c>
      <c r="B528" t="s">
        <v>90</v>
      </c>
      <c r="C528" t="s">
        <v>78</v>
      </c>
      <c r="D528" s="1" t="s">
        <v>94</v>
      </c>
      <c r="E528" t="s">
        <v>93</v>
      </c>
      <c r="F528" t="s">
        <v>24</v>
      </c>
      <c r="G528">
        <v>13</v>
      </c>
      <c r="H528">
        <v>62335</v>
      </c>
      <c r="I528" s="5">
        <f>IFERROR(VLOOKUP(TrendSheetStgData[Population]&amp;TrendSheetStgData[Cost Basis]&amp;TrendSheetStgData[Period]&amp;TrendSheetStgData[Trend],TrendSheetPrdData[#All],9,FALSE),0)</f>
        <v>61184</v>
      </c>
      <c r="J5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1.8812107740585775</v>
      </c>
      <c r="K528" s="5">
        <f>VLOOKUP(TrendSheetStgData[Population]&amp;TrendSheetStgData[Trend],Threshold[#All],4,FALSE)</f>
        <v>10</v>
      </c>
      <c r="L528" s="5">
        <f>VLOOKUP(TrendSheetStgData[Population]&amp;TrendSheetStgData[Trend],Threshold[#All],5,FALSE)</f>
        <v>5</v>
      </c>
      <c r="M5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9" spans="1:13" x14ac:dyDescent="0.25">
      <c r="A529" t="s">
        <v>90</v>
      </c>
      <c r="B529" t="s">
        <v>90</v>
      </c>
      <c r="C529" t="s">
        <v>78</v>
      </c>
      <c r="D529" s="1" t="s">
        <v>95</v>
      </c>
      <c r="E529" t="s">
        <v>93</v>
      </c>
      <c r="F529" t="s">
        <v>24</v>
      </c>
      <c r="G529">
        <v>13</v>
      </c>
      <c r="H529">
        <v>31952</v>
      </c>
      <c r="I529" s="5">
        <f>IFERROR(VLOOKUP(TrendSheetStgData[Population]&amp;TrendSheetStgData[Cost Basis]&amp;TrendSheetStgData[Period]&amp;TrendSheetStgData[Trend],TrendSheetPrdData[#All],9,FALSE),0)</f>
        <v>32770</v>
      </c>
      <c r="J5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2.4961855355508087</v>
      </c>
      <c r="K529" s="5">
        <f>VLOOKUP(TrendSheetStgData[Population]&amp;TrendSheetStgData[Trend],Threshold[#All],4,FALSE)</f>
        <v>10</v>
      </c>
      <c r="L529" s="5">
        <f>VLOOKUP(TrendSheetStgData[Population]&amp;TrendSheetStgData[Trend],Threshold[#All],5,FALSE)</f>
        <v>5</v>
      </c>
      <c r="M5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0" spans="1:13" x14ac:dyDescent="0.25">
      <c r="A530" t="s">
        <v>90</v>
      </c>
      <c r="B530" t="s">
        <v>90</v>
      </c>
      <c r="C530" t="s">
        <v>78</v>
      </c>
      <c r="D530" s="1" t="s">
        <v>96</v>
      </c>
      <c r="E530" t="s">
        <v>93</v>
      </c>
      <c r="F530" t="s">
        <v>24</v>
      </c>
      <c r="G530">
        <v>13</v>
      </c>
      <c r="H530">
        <v>64099</v>
      </c>
      <c r="I530" s="5">
        <f>IFERROR(VLOOKUP(TrendSheetStgData[Population]&amp;TrendSheetStgData[Cost Basis]&amp;TrendSheetStgData[Period]&amp;TrendSheetStgData[Trend],TrendSheetPrdData[#All],9,FALSE),0)</f>
        <v>63949</v>
      </c>
      <c r="J5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0.23456191652723263</v>
      </c>
      <c r="K530" s="5">
        <f>VLOOKUP(TrendSheetStgData[Population]&amp;TrendSheetStgData[Trend],Threshold[#All],4,FALSE)</f>
        <v>10</v>
      </c>
      <c r="L530" s="5">
        <f>VLOOKUP(TrendSheetStgData[Population]&amp;TrendSheetStgData[Trend],Threshold[#All],5,FALSE)</f>
        <v>5</v>
      </c>
      <c r="M5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1" spans="1:13" x14ac:dyDescent="0.25">
      <c r="A531" t="s">
        <v>90</v>
      </c>
      <c r="B531" t="s">
        <v>90</v>
      </c>
      <c r="C531" t="s">
        <v>78</v>
      </c>
      <c r="D531" s="1" t="s">
        <v>97</v>
      </c>
      <c r="E531" t="s">
        <v>93</v>
      </c>
      <c r="F531" t="s">
        <v>24</v>
      </c>
      <c r="G531">
        <v>13</v>
      </c>
      <c r="H531">
        <v>52656</v>
      </c>
      <c r="I531" s="5">
        <f>IFERROR(VLOOKUP(TrendSheetStgData[Population]&amp;TrendSheetStgData[Cost Basis]&amp;TrendSheetStgData[Period]&amp;TrendSheetStgData[Trend],TrendSheetPrdData[#All],9,FALSE),0)</f>
        <v>52063</v>
      </c>
      <c r="J5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1.1390046674221617</v>
      </c>
      <c r="K531" s="5">
        <f>VLOOKUP(TrendSheetStgData[Population]&amp;TrendSheetStgData[Trend],Threshold[#All],4,FALSE)</f>
        <v>10</v>
      </c>
      <c r="L531" s="5">
        <f>VLOOKUP(TrendSheetStgData[Population]&amp;TrendSheetStgData[Trend],Threshold[#All],5,FALSE)</f>
        <v>5</v>
      </c>
      <c r="M5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 spans="1:13" x14ac:dyDescent="0.25">
      <c r="A532" t="s">
        <v>90</v>
      </c>
      <c r="B532" t="s">
        <v>90</v>
      </c>
      <c r="C532" t="s">
        <v>78</v>
      </c>
      <c r="D532" s="1" t="s">
        <v>98</v>
      </c>
      <c r="E532" t="s">
        <v>93</v>
      </c>
      <c r="F532" t="s">
        <v>24</v>
      </c>
      <c r="G532">
        <v>13</v>
      </c>
      <c r="H532">
        <v>32675</v>
      </c>
      <c r="I532" s="5">
        <f>IFERROR(VLOOKUP(TrendSheetStgData[Population]&amp;TrendSheetStgData[Cost Basis]&amp;TrendSheetStgData[Period]&amp;TrendSheetStgData[Trend],TrendSheetPrdData[#All],9,FALSE),0)</f>
        <v>31105</v>
      </c>
      <c r="J5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5.0474200289342548</v>
      </c>
      <c r="K532" s="5">
        <f>VLOOKUP(TrendSheetStgData[Population]&amp;TrendSheetStgData[Trend],Threshold[#All],4,FALSE)</f>
        <v>10</v>
      </c>
      <c r="L532" s="5">
        <f>VLOOKUP(TrendSheetStgData[Population]&amp;TrendSheetStgData[Trend],Threshold[#All],5,FALSE)</f>
        <v>5</v>
      </c>
      <c r="M5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33" spans="1:13" x14ac:dyDescent="0.25">
      <c r="A533" t="s">
        <v>90</v>
      </c>
      <c r="B533" t="s">
        <v>90</v>
      </c>
      <c r="C533" t="s">
        <v>78</v>
      </c>
      <c r="D533" s="1" t="s">
        <v>99</v>
      </c>
      <c r="E533" t="s">
        <v>93</v>
      </c>
      <c r="F533" t="s">
        <v>24</v>
      </c>
      <c r="G533">
        <v>13</v>
      </c>
      <c r="H533">
        <v>52354</v>
      </c>
      <c r="I533" s="5">
        <f>IFERROR(VLOOKUP(TrendSheetStgData[Population]&amp;TrendSheetStgData[Cost Basis]&amp;TrendSheetStgData[Period]&amp;TrendSheetStgData[Trend],TrendSheetPrdData[#All],9,FALSE),0)</f>
        <v>49726</v>
      </c>
      <c r="J5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5.2849615895105178</v>
      </c>
      <c r="K533" s="5">
        <f>VLOOKUP(TrendSheetStgData[Population]&amp;TrendSheetStgData[Trend],Threshold[#All],4,FALSE)</f>
        <v>10</v>
      </c>
      <c r="L533" s="5">
        <f>VLOOKUP(TrendSheetStgData[Population]&amp;TrendSheetStgData[Trend],Threshold[#All],5,FALSE)</f>
        <v>5</v>
      </c>
      <c r="M5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34" spans="1:13" x14ac:dyDescent="0.25">
      <c r="A534" t="s">
        <v>90</v>
      </c>
      <c r="B534" t="s">
        <v>90</v>
      </c>
      <c r="C534" t="s">
        <v>78</v>
      </c>
      <c r="D534" s="1" t="s">
        <v>100</v>
      </c>
      <c r="E534" t="s">
        <v>93</v>
      </c>
      <c r="F534" t="s">
        <v>24</v>
      </c>
      <c r="G534">
        <v>13</v>
      </c>
      <c r="H534">
        <v>69112</v>
      </c>
      <c r="I534" s="5">
        <f>IFERROR(VLOOKUP(TrendSheetStgData[Population]&amp;TrendSheetStgData[Cost Basis]&amp;TrendSheetStgData[Period]&amp;TrendSheetStgData[Trend],TrendSheetPrdData[#All],9,FALSE),0)</f>
        <v>67087</v>
      </c>
      <c r="J5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3.018468555755959</v>
      </c>
      <c r="K534" s="5">
        <f>VLOOKUP(TrendSheetStgData[Population]&amp;TrendSheetStgData[Trend],Threshold[#All],4,FALSE)</f>
        <v>10</v>
      </c>
      <c r="L534" s="5">
        <f>VLOOKUP(TrendSheetStgData[Population]&amp;TrendSheetStgData[Trend],Threshold[#All],5,FALSE)</f>
        <v>5</v>
      </c>
      <c r="M5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5" spans="1:13" x14ac:dyDescent="0.25">
      <c r="A535" t="s">
        <v>90</v>
      </c>
      <c r="B535" t="s">
        <v>90</v>
      </c>
      <c r="C535" t="s">
        <v>78</v>
      </c>
      <c r="D535" s="1" t="s">
        <v>101</v>
      </c>
      <c r="E535" t="s">
        <v>93</v>
      </c>
      <c r="F535" t="s">
        <v>24</v>
      </c>
      <c r="G535">
        <v>13</v>
      </c>
      <c r="H535">
        <v>49284</v>
      </c>
      <c r="I535" s="5">
        <f>IFERROR(VLOOKUP(TrendSheetStgData[Population]&amp;TrendSheetStgData[Cost Basis]&amp;TrendSheetStgData[Period]&amp;TrendSheetStgData[Trend],TrendSheetPrdData[#All],9,FALSE),0)</f>
        <v>48889</v>
      </c>
      <c r="J5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0.80795270919838824</v>
      </c>
      <c r="K535" s="5">
        <f>VLOOKUP(TrendSheetStgData[Population]&amp;TrendSheetStgData[Trend],Threshold[#All],4,FALSE)</f>
        <v>10</v>
      </c>
      <c r="L535" s="5">
        <f>VLOOKUP(TrendSheetStgData[Population]&amp;TrendSheetStgData[Trend],Threshold[#All],5,FALSE)</f>
        <v>5</v>
      </c>
      <c r="M5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 spans="1:13" x14ac:dyDescent="0.25">
      <c r="A536" t="s">
        <v>90</v>
      </c>
      <c r="B536" t="s">
        <v>90</v>
      </c>
      <c r="C536" t="s">
        <v>78</v>
      </c>
      <c r="D536" s="1" t="s">
        <v>102</v>
      </c>
      <c r="E536" t="s">
        <v>93</v>
      </c>
      <c r="F536" t="s">
        <v>24</v>
      </c>
      <c r="G536">
        <v>13</v>
      </c>
      <c r="H536">
        <v>107360</v>
      </c>
      <c r="I536" s="5">
        <f>IFERROR(VLOOKUP(TrendSheetStgData[Population]&amp;TrendSheetStgData[Cost Basis]&amp;TrendSheetStgData[Period]&amp;TrendSheetStgData[Trend],TrendSheetPrdData[#All],9,FALSE),0)</f>
        <v>61018</v>
      </c>
      <c r="J5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75.948080894162374</v>
      </c>
      <c r="K536" s="5">
        <f>VLOOKUP(TrendSheetStgData[Population]&amp;TrendSheetStgData[Trend],Threshold[#All],4,FALSE)</f>
        <v>10</v>
      </c>
      <c r="L536" s="5">
        <f>VLOOKUP(TrendSheetStgData[Population]&amp;TrendSheetStgData[Trend],Threshold[#All],5,FALSE)</f>
        <v>5</v>
      </c>
      <c r="M5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7" spans="1:13" x14ac:dyDescent="0.25">
      <c r="A537" t="s">
        <v>90</v>
      </c>
      <c r="B537" t="s">
        <v>90</v>
      </c>
      <c r="C537" t="s">
        <v>78</v>
      </c>
      <c r="D537" s="1" t="s">
        <v>103</v>
      </c>
      <c r="E537" t="s">
        <v>93</v>
      </c>
      <c r="F537" t="s">
        <v>24</v>
      </c>
      <c r="G537">
        <v>13</v>
      </c>
      <c r="H537">
        <v>61202</v>
      </c>
      <c r="I537" s="5">
        <f>IFERROR(VLOOKUP(TrendSheetStgData[Population]&amp;TrendSheetStgData[Cost Basis]&amp;TrendSheetStgData[Period]&amp;TrendSheetStgData[Trend],TrendSheetPrdData[#All],9,FALSE),0)</f>
        <v>61309</v>
      </c>
      <c r="J5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0.17452576293855715</v>
      </c>
      <c r="K537" s="5">
        <f>VLOOKUP(TrendSheetStgData[Population]&amp;TrendSheetStgData[Trend],Threshold[#All],4,FALSE)</f>
        <v>10</v>
      </c>
      <c r="L537" s="5">
        <f>VLOOKUP(TrendSheetStgData[Population]&amp;TrendSheetStgData[Trend],Threshold[#All],5,FALSE)</f>
        <v>5</v>
      </c>
      <c r="M5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8" spans="1:13" x14ac:dyDescent="0.25">
      <c r="A538" t="s">
        <v>90</v>
      </c>
      <c r="B538" t="s">
        <v>90</v>
      </c>
      <c r="C538" t="s">
        <v>78</v>
      </c>
      <c r="D538" s="1" t="s">
        <v>104</v>
      </c>
      <c r="E538" t="s">
        <v>93</v>
      </c>
      <c r="F538" t="s">
        <v>24</v>
      </c>
      <c r="G538">
        <v>13</v>
      </c>
      <c r="H538">
        <v>60395</v>
      </c>
      <c r="I538" s="5">
        <f>IFERROR(VLOOKUP(TrendSheetStgData[Population]&amp;TrendSheetStgData[Cost Basis]&amp;TrendSheetStgData[Period]&amp;TrendSheetStgData[Trend],TrendSheetPrdData[#All],9,FALSE),0)</f>
        <v>57796</v>
      </c>
      <c r="J5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4.496850993148314</v>
      </c>
      <c r="K538" s="5">
        <f>VLOOKUP(TrendSheetStgData[Population]&amp;TrendSheetStgData[Trend],Threshold[#All],4,FALSE)</f>
        <v>10</v>
      </c>
      <c r="L538" s="5">
        <f>VLOOKUP(TrendSheetStgData[Population]&amp;TrendSheetStgData[Trend],Threshold[#All],5,FALSE)</f>
        <v>5</v>
      </c>
      <c r="M5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9" spans="1:13" x14ac:dyDescent="0.25">
      <c r="A539" t="s">
        <v>90</v>
      </c>
      <c r="B539" t="s">
        <v>90</v>
      </c>
      <c r="C539" t="s">
        <v>78</v>
      </c>
      <c r="D539" s="1" t="s">
        <v>105</v>
      </c>
      <c r="E539" t="s">
        <v>106</v>
      </c>
      <c r="F539" t="s">
        <v>24</v>
      </c>
      <c r="G539">
        <v>13</v>
      </c>
      <c r="H539">
        <v>70081</v>
      </c>
      <c r="I539" s="5">
        <f>IFERROR(VLOOKUP(TrendSheetStgData[Population]&amp;TrendSheetStgData[Cost Basis]&amp;TrendSheetStgData[Period]&amp;TrendSheetStgData[Trend],TrendSheetPrdData[#All],9,FALSE),0)</f>
        <v>58974</v>
      </c>
      <c r="J5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18.833723335707262</v>
      </c>
      <c r="K539" s="5">
        <f>VLOOKUP(TrendSheetStgData[Population]&amp;TrendSheetStgData[Trend],Threshold[#All],4,FALSE)</f>
        <v>10</v>
      </c>
      <c r="L539" s="5">
        <f>VLOOKUP(TrendSheetStgData[Population]&amp;TrendSheetStgData[Trend],Threshold[#All],5,FALSE)</f>
        <v>5</v>
      </c>
      <c r="M5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40" spans="1:13" x14ac:dyDescent="0.25">
      <c r="A540" t="s">
        <v>90</v>
      </c>
      <c r="B540" t="s">
        <v>90</v>
      </c>
      <c r="C540" t="s">
        <v>78</v>
      </c>
      <c r="D540" s="1" t="s">
        <v>107</v>
      </c>
      <c r="E540" t="s">
        <v>106</v>
      </c>
      <c r="F540" t="s">
        <v>24</v>
      </c>
      <c r="G540">
        <v>13</v>
      </c>
      <c r="H540">
        <v>66528</v>
      </c>
      <c r="I540" s="5">
        <f>IFERROR(VLOOKUP(TrendSheetStgData[Population]&amp;TrendSheetStgData[Cost Basis]&amp;TrendSheetStgData[Period]&amp;TrendSheetStgData[Trend],TrendSheetPrdData[#All],9,FALSE),0)</f>
        <v>18929</v>
      </c>
      <c r="J5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251.46072164403824</v>
      </c>
      <c r="K540" s="5">
        <f>VLOOKUP(TrendSheetStgData[Population]&amp;TrendSheetStgData[Trend],Threshold[#All],4,FALSE)</f>
        <v>10</v>
      </c>
      <c r="L540" s="5">
        <f>VLOOKUP(TrendSheetStgData[Population]&amp;TrendSheetStgData[Trend],Threshold[#All],5,FALSE)</f>
        <v>5</v>
      </c>
      <c r="M5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41" spans="1:13" x14ac:dyDescent="0.25">
      <c r="A541" t="s">
        <v>90</v>
      </c>
      <c r="B541" t="s">
        <v>90</v>
      </c>
      <c r="C541" t="s">
        <v>78</v>
      </c>
      <c r="D541" s="1" t="s">
        <v>108</v>
      </c>
      <c r="E541" t="s">
        <v>106</v>
      </c>
      <c r="F541" t="s">
        <v>24</v>
      </c>
      <c r="G541">
        <v>13</v>
      </c>
      <c r="H541">
        <v>30838</v>
      </c>
      <c r="I541" s="5">
        <f>IFERROR(VLOOKUP(TrendSheetStgData[Population]&amp;TrendSheetStgData[Cost Basis]&amp;TrendSheetStgData[Period]&amp;TrendSheetStgData[Trend],TrendSheetPrdData[#All],9,FALSE),0)</f>
        <v>0</v>
      </c>
      <c r="J5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41" s="5">
        <f>VLOOKUP(TrendSheetStgData[Population]&amp;TrendSheetStgData[Trend],Threshold[#All],4,FALSE)</f>
        <v>10</v>
      </c>
      <c r="L541" s="5">
        <f>VLOOKUP(TrendSheetStgData[Population]&amp;TrendSheetStgData[Trend],Threshold[#All],5,FALSE)</f>
        <v>5</v>
      </c>
      <c r="M5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42" spans="1:13" x14ac:dyDescent="0.25">
      <c r="A542" t="s">
        <v>90</v>
      </c>
      <c r="B542" t="s">
        <v>90</v>
      </c>
      <c r="C542" t="s">
        <v>78</v>
      </c>
      <c r="D542" s="1" t="s">
        <v>92</v>
      </c>
      <c r="E542" t="s">
        <v>93</v>
      </c>
      <c r="F542" t="s">
        <v>25</v>
      </c>
      <c r="G542">
        <v>14</v>
      </c>
      <c r="H542">
        <v>266</v>
      </c>
      <c r="I542" s="5">
        <f>IFERROR(VLOOKUP(TrendSheetStgData[Population]&amp;TrendSheetStgData[Cost Basis]&amp;TrendSheetStgData[Period]&amp;TrendSheetStgData[Trend],TrendSheetPrdData[#All],9,FALSE),0)</f>
        <v>266</v>
      </c>
      <c r="J5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 s="5">
        <f>VLOOKUP(TrendSheetStgData[Population]&amp;TrendSheetStgData[Trend],Threshold[#All],4,FALSE)</f>
        <v>10</v>
      </c>
      <c r="L542" s="5">
        <f>VLOOKUP(TrendSheetStgData[Population]&amp;TrendSheetStgData[Trend],Threshold[#All],5,FALSE)</f>
        <v>5</v>
      </c>
      <c r="M5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 spans="1:13" x14ac:dyDescent="0.25">
      <c r="A543" t="s">
        <v>90</v>
      </c>
      <c r="B543" t="s">
        <v>90</v>
      </c>
      <c r="C543" t="s">
        <v>78</v>
      </c>
      <c r="D543" s="1" t="s">
        <v>94</v>
      </c>
      <c r="E543" t="s">
        <v>93</v>
      </c>
      <c r="F543" t="s">
        <v>25</v>
      </c>
      <c r="G543">
        <v>14</v>
      </c>
      <c r="H543">
        <v>244</v>
      </c>
      <c r="I543" s="5">
        <f>IFERROR(VLOOKUP(TrendSheetStgData[Population]&amp;TrendSheetStgData[Cost Basis]&amp;TrendSheetStgData[Period]&amp;TrendSheetStgData[Trend],TrendSheetPrdData[#All],9,FALSE),0)</f>
        <v>244</v>
      </c>
      <c r="J5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 s="5">
        <f>VLOOKUP(TrendSheetStgData[Population]&amp;TrendSheetStgData[Trend],Threshold[#All],4,FALSE)</f>
        <v>10</v>
      </c>
      <c r="L543" s="5">
        <f>VLOOKUP(TrendSheetStgData[Population]&amp;TrendSheetStgData[Trend],Threshold[#All],5,FALSE)</f>
        <v>5</v>
      </c>
      <c r="M5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 spans="1:13" x14ac:dyDescent="0.25">
      <c r="A544" t="s">
        <v>90</v>
      </c>
      <c r="B544" t="s">
        <v>90</v>
      </c>
      <c r="C544" t="s">
        <v>78</v>
      </c>
      <c r="D544" s="1" t="s">
        <v>95</v>
      </c>
      <c r="E544" t="s">
        <v>93</v>
      </c>
      <c r="F544" t="s">
        <v>25</v>
      </c>
      <c r="G544">
        <v>14</v>
      </c>
      <c r="H544">
        <v>183</v>
      </c>
      <c r="I544" s="5">
        <f>IFERROR(VLOOKUP(TrendSheetStgData[Population]&amp;TrendSheetStgData[Cost Basis]&amp;TrendSheetStgData[Period]&amp;TrendSheetStgData[Trend],TrendSheetPrdData[#All],9,FALSE),0)</f>
        <v>183</v>
      </c>
      <c r="J5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 s="5">
        <f>VLOOKUP(TrendSheetStgData[Population]&amp;TrendSheetStgData[Trend],Threshold[#All],4,FALSE)</f>
        <v>10</v>
      </c>
      <c r="L544" s="5">
        <f>VLOOKUP(TrendSheetStgData[Population]&amp;TrendSheetStgData[Trend],Threshold[#All],5,FALSE)</f>
        <v>5</v>
      </c>
      <c r="M5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 spans="1:13" x14ac:dyDescent="0.25">
      <c r="A545" t="s">
        <v>90</v>
      </c>
      <c r="B545" t="s">
        <v>90</v>
      </c>
      <c r="C545" t="s">
        <v>78</v>
      </c>
      <c r="D545" s="1" t="s">
        <v>96</v>
      </c>
      <c r="E545" t="s">
        <v>93</v>
      </c>
      <c r="F545" t="s">
        <v>25</v>
      </c>
      <c r="G545">
        <v>14</v>
      </c>
      <c r="H545">
        <v>222</v>
      </c>
      <c r="I545" s="5">
        <f>IFERROR(VLOOKUP(TrendSheetStgData[Population]&amp;TrendSheetStgData[Cost Basis]&amp;TrendSheetStgData[Period]&amp;TrendSheetStgData[Trend],TrendSheetPrdData[#All],9,FALSE),0)</f>
        <v>222</v>
      </c>
      <c r="J5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 s="5">
        <f>VLOOKUP(TrendSheetStgData[Population]&amp;TrendSheetStgData[Trend],Threshold[#All],4,FALSE)</f>
        <v>10</v>
      </c>
      <c r="L545" s="5">
        <f>VLOOKUP(TrendSheetStgData[Population]&amp;TrendSheetStgData[Trend],Threshold[#All],5,FALSE)</f>
        <v>5</v>
      </c>
      <c r="M5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 spans="1:13" x14ac:dyDescent="0.25">
      <c r="A546" t="s">
        <v>90</v>
      </c>
      <c r="B546" t="s">
        <v>90</v>
      </c>
      <c r="C546" t="s">
        <v>78</v>
      </c>
      <c r="D546" s="1" t="s">
        <v>97</v>
      </c>
      <c r="E546" t="s">
        <v>93</v>
      </c>
      <c r="F546" t="s">
        <v>25</v>
      </c>
      <c r="G546">
        <v>14</v>
      </c>
      <c r="H546">
        <v>227</v>
      </c>
      <c r="I546" s="5">
        <f>IFERROR(VLOOKUP(TrendSheetStgData[Population]&amp;TrendSheetStgData[Cost Basis]&amp;TrendSheetStgData[Period]&amp;TrendSheetStgData[Trend],TrendSheetPrdData[#All],9,FALSE),0)</f>
        <v>228</v>
      </c>
      <c r="J5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0.43859649122807015</v>
      </c>
      <c r="K546" s="5">
        <f>VLOOKUP(TrendSheetStgData[Population]&amp;TrendSheetStgData[Trend],Threshold[#All],4,FALSE)</f>
        <v>10</v>
      </c>
      <c r="L546" s="5">
        <f>VLOOKUP(TrendSheetStgData[Population]&amp;TrendSheetStgData[Trend],Threshold[#All],5,FALSE)</f>
        <v>5</v>
      </c>
      <c r="M5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7" spans="1:13" x14ac:dyDescent="0.25">
      <c r="A547" t="s">
        <v>90</v>
      </c>
      <c r="B547" t="s">
        <v>90</v>
      </c>
      <c r="C547" t="s">
        <v>78</v>
      </c>
      <c r="D547" s="1" t="s">
        <v>98</v>
      </c>
      <c r="E547" t="s">
        <v>93</v>
      </c>
      <c r="F547" t="s">
        <v>25</v>
      </c>
      <c r="G547">
        <v>14</v>
      </c>
      <c r="H547">
        <v>177</v>
      </c>
      <c r="I547" s="5">
        <f>IFERROR(VLOOKUP(TrendSheetStgData[Population]&amp;TrendSheetStgData[Cost Basis]&amp;TrendSheetStgData[Period]&amp;TrendSheetStgData[Trend],TrendSheetPrdData[#All],9,FALSE),0)</f>
        <v>169</v>
      </c>
      <c r="J5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4.7337278106508878</v>
      </c>
      <c r="K547" s="5">
        <f>VLOOKUP(TrendSheetStgData[Population]&amp;TrendSheetStgData[Trend],Threshold[#All],4,FALSE)</f>
        <v>10</v>
      </c>
      <c r="L547" s="5">
        <f>VLOOKUP(TrendSheetStgData[Population]&amp;TrendSheetStgData[Trend],Threshold[#All],5,FALSE)</f>
        <v>5</v>
      </c>
      <c r="M5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8" spans="1:13" x14ac:dyDescent="0.25">
      <c r="A548" t="s">
        <v>90</v>
      </c>
      <c r="B548" t="s">
        <v>90</v>
      </c>
      <c r="C548" t="s">
        <v>78</v>
      </c>
      <c r="D548" s="1" t="s">
        <v>99</v>
      </c>
      <c r="E548" t="s">
        <v>93</v>
      </c>
      <c r="F548" t="s">
        <v>25</v>
      </c>
      <c r="G548">
        <v>14</v>
      </c>
      <c r="H548">
        <v>147</v>
      </c>
      <c r="I548" s="5">
        <f>IFERROR(VLOOKUP(TrendSheetStgData[Population]&amp;TrendSheetStgData[Cost Basis]&amp;TrendSheetStgData[Period]&amp;TrendSheetStgData[Trend],TrendSheetPrdData[#All],9,FALSE),0)</f>
        <v>147</v>
      </c>
      <c r="J5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8" s="5">
        <f>VLOOKUP(TrendSheetStgData[Population]&amp;TrendSheetStgData[Trend],Threshold[#All],4,FALSE)</f>
        <v>10</v>
      </c>
      <c r="L548" s="5">
        <f>VLOOKUP(TrendSheetStgData[Population]&amp;TrendSheetStgData[Trend],Threshold[#All],5,FALSE)</f>
        <v>5</v>
      </c>
      <c r="M5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 spans="1:13" x14ac:dyDescent="0.25">
      <c r="A549" t="s">
        <v>90</v>
      </c>
      <c r="B549" t="s">
        <v>90</v>
      </c>
      <c r="C549" t="s">
        <v>78</v>
      </c>
      <c r="D549" s="1" t="s">
        <v>100</v>
      </c>
      <c r="E549" t="s">
        <v>93</v>
      </c>
      <c r="F549" t="s">
        <v>25</v>
      </c>
      <c r="G549">
        <v>14</v>
      </c>
      <c r="H549">
        <v>202</v>
      </c>
      <c r="I549" s="5">
        <f>IFERROR(VLOOKUP(TrendSheetStgData[Population]&amp;TrendSheetStgData[Cost Basis]&amp;TrendSheetStgData[Period]&amp;TrendSheetStgData[Trend],TrendSheetPrdData[#All],9,FALSE),0)</f>
        <v>202</v>
      </c>
      <c r="J5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 s="5">
        <f>VLOOKUP(TrendSheetStgData[Population]&amp;TrendSheetStgData[Trend],Threshold[#All],4,FALSE)</f>
        <v>10</v>
      </c>
      <c r="L549" s="5">
        <f>VLOOKUP(TrendSheetStgData[Population]&amp;TrendSheetStgData[Trend],Threshold[#All],5,FALSE)</f>
        <v>5</v>
      </c>
      <c r="M5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0" spans="1:13" x14ac:dyDescent="0.25">
      <c r="A550" t="s">
        <v>90</v>
      </c>
      <c r="B550" t="s">
        <v>90</v>
      </c>
      <c r="C550" t="s">
        <v>78</v>
      </c>
      <c r="D550" s="1" t="s">
        <v>101</v>
      </c>
      <c r="E550" t="s">
        <v>93</v>
      </c>
      <c r="F550" t="s">
        <v>25</v>
      </c>
      <c r="G550">
        <v>14</v>
      </c>
      <c r="H550">
        <v>200</v>
      </c>
      <c r="I550" s="5">
        <f>IFERROR(VLOOKUP(TrendSheetStgData[Population]&amp;TrendSheetStgData[Cost Basis]&amp;TrendSheetStgData[Period]&amp;TrendSheetStgData[Trend],TrendSheetPrdData[#All],9,FALSE),0)</f>
        <v>201</v>
      </c>
      <c r="J5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0.49751243781094528</v>
      </c>
      <c r="K550" s="5">
        <f>VLOOKUP(TrendSheetStgData[Population]&amp;TrendSheetStgData[Trend],Threshold[#All],4,FALSE)</f>
        <v>10</v>
      </c>
      <c r="L550" s="5">
        <f>VLOOKUP(TrendSheetStgData[Population]&amp;TrendSheetStgData[Trend],Threshold[#All],5,FALSE)</f>
        <v>5</v>
      </c>
      <c r="M5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1" spans="1:13" x14ac:dyDescent="0.25">
      <c r="A551" t="s">
        <v>90</v>
      </c>
      <c r="B551" t="s">
        <v>90</v>
      </c>
      <c r="C551" t="s">
        <v>78</v>
      </c>
      <c r="D551" s="1" t="s">
        <v>102</v>
      </c>
      <c r="E551" t="s">
        <v>93</v>
      </c>
      <c r="F551" t="s">
        <v>25</v>
      </c>
      <c r="G551">
        <v>14</v>
      </c>
      <c r="H551">
        <v>190</v>
      </c>
      <c r="I551" s="5">
        <f>IFERROR(VLOOKUP(TrendSheetStgData[Population]&amp;TrendSheetStgData[Cost Basis]&amp;TrendSheetStgData[Period]&amp;TrendSheetStgData[Trend],TrendSheetPrdData[#All],9,FALSE),0)</f>
        <v>186</v>
      </c>
      <c r="J5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2.1505376344086025</v>
      </c>
      <c r="K551" s="5">
        <f>VLOOKUP(TrendSheetStgData[Population]&amp;TrendSheetStgData[Trend],Threshold[#All],4,FALSE)</f>
        <v>10</v>
      </c>
      <c r="L551" s="5">
        <f>VLOOKUP(TrendSheetStgData[Population]&amp;TrendSheetStgData[Trend],Threshold[#All],5,FALSE)</f>
        <v>5</v>
      </c>
      <c r="M5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2" spans="1:13" x14ac:dyDescent="0.25">
      <c r="A552" t="s">
        <v>90</v>
      </c>
      <c r="B552" t="s">
        <v>90</v>
      </c>
      <c r="C552" t="s">
        <v>78</v>
      </c>
      <c r="D552" s="1" t="s">
        <v>103</v>
      </c>
      <c r="E552" t="s">
        <v>93</v>
      </c>
      <c r="F552" t="s">
        <v>25</v>
      </c>
      <c r="G552">
        <v>14</v>
      </c>
      <c r="H552">
        <v>169</v>
      </c>
      <c r="I552" s="5">
        <f>IFERROR(VLOOKUP(TrendSheetStgData[Population]&amp;TrendSheetStgData[Cost Basis]&amp;TrendSheetStgData[Period]&amp;TrendSheetStgData[Trend],TrendSheetPrdData[#All],9,FALSE),0)</f>
        <v>169</v>
      </c>
      <c r="J5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 s="5">
        <f>VLOOKUP(TrendSheetStgData[Population]&amp;TrendSheetStgData[Trend],Threshold[#All],4,FALSE)</f>
        <v>10</v>
      </c>
      <c r="L552" s="5">
        <f>VLOOKUP(TrendSheetStgData[Population]&amp;TrendSheetStgData[Trend],Threshold[#All],5,FALSE)</f>
        <v>5</v>
      </c>
      <c r="M5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 spans="1:13" x14ac:dyDescent="0.25">
      <c r="A553" t="s">
        <v>90</v>
      </c>
      <c r="B553" t="s">
        <v>90</v>
      </c>
      <c r="C553" t="s">
        <v>78</v>
      </c>
      <c r="D553" s="1" t="s">
        <v>104</v>
      </c>
      <c r="E553" t="s">
        <v>93</v>
      </c>
      <c r="F553" t="s">
        <v>25</v>
      </c>
      <c r="G553">
        <v>14</v>
      </c>
      <c r="H553">
        <v>137</v>
      </c>
      <c r="I553" s="5">
        <f>IFERROR(VLOOKUP(TrendSheetStgData[Population]&amp;TrendSheetStgData[Cost Basis]&amp;TrendSheetStgData[Period]&amp;TrendSheetStgData[Trend],TrendSheetPrdData[#All],9,FALSE),0)</f>
        <v>137</v>
      </c>
      <c r="J5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 s="5">
        <f>VLOOKUP(TrendSheetStgData[Population]&amp;TrendSheetStgData[Trend],Threshold[#All],4,FALSE)</f>
        <v>10</v>
      </c>
      <c r="L553" s="5">
        <f>VLOOKUP(TrendSheetStgData[Population]&amp;TrendSheetStgData[Trend],Threshold[#All],5,FALSE)</f>
        <v>5</v>
      </c>
      <c r="M5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 spans="1:13" x14ac:dyDescent="0.25">
      <c r="A554" t="s">
        <v>90</v>
      </c>
      <c r="B554" t="s">
        <v>90</v>
      </c>
      <c r="C554" t="s">
        <v>78</v>
      </c>
      <c r="D554" s="1" t="s">
        <v>105</v>
      </c>
      <c r="E554" t="s">
        <v>106</v>
      </c>
      <c r="F554" t="s">
        <v>25</v>
      </c>
      <c r="G554">
        <v>14</v>
      </c>
      <c r="H554">
        <v>253</v>
      </c>
      <c r="I554" s="5">
        <f>IFERROR(VLOOKUP(TrendSheetStgData[Population]&amp;TrendSheetStgData[Cost Basis]&amp;TrendSheetStgData[Period]&amp;TrendSheetStgData[Trend],TrendSheetPrdData[#All],9,FALSE),0)</f>
        <v>246</v>
      </c>
      <c r="J5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2.8455284552845526</v>
      </c>
      <c r="K554" s="5">
        <f>VLOOKUP(TrendSheetStgData[Population]&amp;TrendSheetStgData[Trend],Threshold[#All],4,FALSE)</f>
        <v>10</v>
      </c>
      <c r="L554" s="5">
        <f>VLOOKUP(TrendSheetStgData[Population]&amp;TrendSheetStgData[Trend],Threshold[#All],5,FALSE)</f>
        <v>5</v>
      </c>
      <c r="M5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5" spans="1:13" x14ac:dyDescent="0.25">
      <c r="A555" t="s">
        <v>90</v>
      </c>
      <c r="B555" t="s">
        <v>90</v>
      </c>
      <c r="C555" t="s">
        <v>78</v>
      </c>
      <c r="D555" s="1" t="s">
        <v>107</v>
      </c>
      <c r="E555" t="s">
        <v>106</v>
      </c>
      <c r="F555" t="s">
        <v>25</v>
      </c>
      <c r="G555">
        <v>14</v>
      </c>
      <c r="H555">
        <v>175</v>
      </c>
      <c r="I555" s="5">
        <f>IFERROR(VLOOKUP(TrendSheetStgData[Population]&amp;TrendSheetStgData[Cost Basis]&amp;TrendSheetStgData[Period]&amp;TrendSheetStgData[Trend],TrendSheetPrdData[#All],9,FALSE),0)</f>
        <v>63</v>
      </c>
      <c r="J5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177.77777777777777</v>
      </c>
      <c r="K555" s="5">
        <f>VLOOKUP(TrendSheetStgData[Population]&amp;TrendSheetStgData[Trend],Threshold[#All],4,FALSE)</f>
        <v>10</v>
      </c>
      <c r="L555" s="5">
        <f>VLOOKUP(TrendSheetStgData[Population]&amp;TrendSheetStgData[Trend],Threshold[#All],5,FALSE)</f>
        <v>5</v>
      </c>
      <c r="M5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6" spans="1:13" x14ac:dyDescent="0.25">
      <c r="A556" t="s">
        <v>90</v>
      </c>
      <c r="B556" t="s">
        <v>90</v>
      </c>
      <c r="C556" t="s">
        <v>78</v>
      </c>
      <c r="D556" s="1" t="s">
        <v>108</v>
      </c>
      <c r="E556" t="s">
        <v>106</v>
      </c>
      <c r="F556" t="s">
        <v>25</v>
      </c>
      <c r="G556">
        <v>14</v>
      </c>
      <c r="H556">
        <v>122</v>
      </c>
      <c r="I556" s="5">
        <f>IFERROR(VLOOKUP(TrendSheetStgData[Population]&amp;TrendSheetStgData[Cost Basis]&amp;TrendSheetStgData[Period]&amp;TrendSheetStgData[Trend],TrendSheetPrdData[#All],9,FALSE),0)</f>
        <v>0</v>
      </c>
      <c r="J5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56" s="5">
        <f>VLOOKUP(TrendSheetStgData[Population]&amp;TrendSheetStgData[Trend],Threshold[#All],4,FALSE)</f>
        <v>10</v>
      </c>
      <c r="L556" s="5">
        <f>VLOOKUP(TrendSheetStgData[Population]&amp;TrendSheetStgData[Trend],Threshold[#All],5,FALSE)</f>
        <v>5</v>
      </c>
      <c r="M5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7" spans="1:13" x14ac:dyDescent="0.25">
      <c r="A557" t="s">
        <v>90</v>
      </c>
      <c r="B557" t="s">
        <v>90</v>
      </c>
      <c r="C557" t="s">
        <v>78</v>
      </c>
      <c r="D557" s="1" t="s">
        <v>92</v>
      </c>
      <c r="E557" t="s">
        <v>93</v>
      </c>
      <c r="F557" t="s">
        <v>26</v>
      </c>
      <c r="G557">
        <v>15</v>
      </c>
      <c r="H557">
        <v>251915</v>
      </c>
      <c r="I557" s="5">
        <f>IFERROR(VLOOKUP(TrendSheetStgData[Population]&amp;TrendSheetStgData[Cost Basis]&amp;TrendSheetStgData[Period]&amp;TrendSheetStgData[Trend],TrendSheetPrdData[#All],9,FALSE),0)</f>
        <v>251915</v>
      </c>
      <c r="J5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 s="5">
        <f>VLOOKUP(TrendSheetStgData[Population]&amp;TrendSheetStgData[Trend],Threshold[#All],4,FALSE)</f>
        <v>10</v>
      </c>
      <c r="L557" s="5">
        <f>VLOOKUP(TrendSheetStgData[Population]&amp;TrendSheetStgData[Trend],Threshold[#All],5,FALSE)</f>
        <v>5</v>
      </c>
      <c r="M5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8" spans="1:13" x14ac:dyDescent="0.25">
      <c r="A558" t="s">
        <v>90</v>
      </c>
      <c r="B558" t="s">
        <v>90</v>
      </c>
      <c r="C558" t="s">
        <v>78</v>
      </c>
      <c r="D558" s="1" t="s">
        <v>94</v>
      </c>
      <c r="E558" t="s">
        <v>93</v>
      </c>
      <c r="F558" t="s">
        <v>26</v>
      </c>
      <c r="G558">
        <v>15</v>
      </c>
      <c r="H558">
        <v>347725</v>
      </c>
      <c r="I558" s="5">
        <f>IFERROR(VLOOKUP(TrendSheetStgData[Population]&amp;TrendSheetStgData[Cost Basis]&amp;TrendSheetStgData[Period]&amp;TrendSheetStgData[Trend],TrendSheetPrdData[#All],9,FALSE),0)</f>
        <v>347725</v>
      </c>
      <c r="J5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8" s="5">
        <f>VLOOKUP(TrendSheetStgData[Population]&amp;TrendSheetStgData[Trend],Threshold[#All],4,FALSE)</f>
        <v>10</v>
      </c>
      <c r="L558" s="5">
        <f>VLOOKUP(TrendSheetStgData[Population]&amp;TrendSheetStgData[Trend],Threshold[#All],5,FALSE)</f>
        <v>5</v>
      </c>
      <c r="M5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 spans="1:13" x14ac:dyDescent="0.25">
      <c r="A559" t="s">
        <v>90</v>
      </c>
      <c r="B559" t="s">
        <v>90</v>
      </c>
      <c r="C559" t="s">
        <v>78</v>
      </c>
      <c r="D559" s="1" t="s">
        <v>95</v>
      </c>
      <c r="E559" t="s">
        <v>93</v>
      </c>
      <c r="F559" t="s">
        <v>26</v>
      </c>
      <c r="G559">
        <v>15</v>
      </c>
      <c r="H559">
        <v>399080</v>
      </c>
      <c r="I559" s="5">
        <f>IFERROR(VLOOKUP(TrendSheetStgData[Population]&amp;TrendSheetStgData[Cost Basis]&amp;TrendSheetStgData[Period]&amp;TrendSheetStgData[Trend],TrendSheetPrdData[#All],9,FALSE),0)</f>
        <v>399080</v>
      </c>
      <c r="J5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 s="5">
        <f>VLOOKUP(TrendSheetStgData[Population]&amp;TrendSheetStgData[Trend],Threshold[#All],4,FALSE)</f>
        <v>10</v>
      </c>
      <c r="L559" s="5">
        <f>VLOOKUP(TrendSheetStgData[Population]&amp;TrendSheetStgData[Trend],Threshold[#All],5,FALSE)</f>
        <v>5</v>
      </c>
      <c r="M5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0" spans="1:13" x14ac:dyDescent="0.25">
      <c r="A560" t="s">
        <v>90</v>
      </c>
      <c r="B560" t="s">
        <v>90</v>
      </c>
      <c r="C560" t="s">
        <v>78</v>
      </c>
      <c r="D560" s="1" t="s">
        <v>96</v>
      </c>
      <c r="E560" t="s">
        <v>93</v>
      </c>
      <c r="F560" t="s">
        <v>26</v>
      </c>
      <c r="G560">
        <v>15</v>
      </c>
      <c r="H560">
        <v>310259</v>
      </c>
      <c r="I560" s="5">
        <f>IFERROR(VLOOKUP(TrendSheetStgData[Population]&amp;TrendSheetStgData[Cost Basis]&amp;TrendSheetStgData[Period]&amp;TrendSheetStgData[Trend],TrendSheetPrdData[#All],9,FALSE),0)</f>
        <v>310259</v>
      </c>
      <c r="J5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0" s="5">
        <f>VLOOKUP(TrendSheetStgData[Population]&amp;TrendSheetStgData[Trend],Threshold[#All],4,FALSE)</f>
        <v>10</v>
      </c>
      <c r="L560" s="5">
        <f>VLOOKUP(TrendSheetStgData[Population]&amp;TrendSheetStgData[Trend],Threshold[#All],5,FALSE)</f>
        <v>5</v>
      </c>
      <c r="M5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 spans="1:13" x14ac:dyDescent="0.25">
      <c r="A561" t="s">
        <v>90</v>
      </c>
      <c r="B561" t="s">
        <v>90</v>
      </c>
      <c r="C561" t="s">
        <v>78</v>
      </c>
      <c r="D561" s="1" t="s">
        <v>97</v>
      </c>
      <c r="E561" t="s">
        <v>93</v>
      </c>
      <c r="F561" t="s">
        <v>26</v>
      </c>
      <c r="G561">
        <v>15</v>
      </c>
      <c r="H561">
        <v>313970</v>
      </c>
      <c r="I561" s="5">
        <f>IFERROR(VLOOKUP(TrendSheetStgData[Population]&amp;TrendSheetStgData[Cost Basis]&amp;TrendSheetStgData[Period]&amp;TrendSheetStgData[Trend],TrendSheetPrdData[#All],9,FALSE),0)</f>
        <v>313970</v>
      </c>
      <c r="J5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 s="5">
        <f>VLOOKUP(TrendSheetStgData[Population]&amp;TrendSheetStgData[Trend],Threshold[#All],4,FALSE)</f>
        <v>10</v>
      </c>
      <c r="L561" s="5">
        <f>VLOOKUP(TrendSheetStgData[Population]&amp;TrendSheetStgData[Trend],Threshold[#All],5,FALSE)</f>
        <v>5</v>
      </c>
      <c r="M5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2" spans="1:13" x14ac:dyDescent="0.25">
      <c r="A562" t="s">
        <v>90</v>
      </c>
      <c r="B562" t="s">
        <v>90</v>
      </c>
      <c r="C562" t="s">
        <v>78</v>
      </c>
      <c r="D562" s="1" t="s">
        <v>98</v>
      </c>
      <c r="E562" t="s">
        <v>93</v>
      </c>
      <c r="F562" t="s">
        <v>26</v>
      </c>
      <c r="G562">
        <v>15</v>
      </c>
      <c r="H562">
        <v>326344</v>
      </c>
      <c r="I562" s="5">
        <f>IFERROR(VLOOKUP(TrendSheetStgData[Population]&amp;TrendSheetStgData[Cost Basis]&amp;TrendSheetStgData[Period]&amp;TrendSheetStgData[Trend],TrendSheetPrdData[#All],9,FALSE),0)</f>
        <v>326336</v>
      </c>
      <c r="J5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2.4514610707981957E-3</v>
      </c>
      <c r="K562" s="5">
        <f>VLOOKUP(TrendSheetStgData[Population]&amp;TrendSheetStgData[Trend],Threshold[#All],4,FALSE)</f>
        <v>10</v>
      </c>
      <c r="L562" s="5">
        <f>VLOOKUP(TrendSheetStgData[Population]&amp;TrendSheetStgData[Trend],Threshold[#All],5,FALSE)</f>
        <v>5</v>
      </c>
      <c r="M5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3" spans="1:13" x14ac:dyDescent="0.25">
      <c r="A563" t="s">
        <v>90</v>
      </c>
      <c r="B563" t="s">
        <v>90</v>
      </c>
      <c r="C563" t="s">
        <v>78</v>
      </c>
      <c r="D563" s="1" t="s">
        <v>99</v>
      </c>
      <c r="E563" t="s">
        <v>93</v>
      </c>
      <c r="F563" t="s">
        <v>26</v>
      </c>
      <c r="G563">
        <v>15</v>
      </c>
      <c r="H563">
        <v>312102</v>
      </c>
      <c r="I563" s="5">
        <f>IFERROR(VLOOKUP(TrendSheetStgData[Population]&amp;TrendSheetStgData[Cost Basis]&amp;TrendSheetStgData[Period]&amp;TrendSheetStgData[Trend],TrendSheetPrdData[#All],9,FALSE),0)</f>
        <v>312102</v>
      </c>
      <c r="J5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 s="5">
        <f>VLOOKUP(TrendSheetStgData[Population]&amp;TrendSheetStgData[Trend],Threshold[#All],4,FALSE)</f>
        <v>10</v>
      </c>
      <c r="L563" s="5">
        <f>VLOOKUP(TrendSheetStgData[Population]&amp;TrendSheetStgData[Trend],Threshold[#All],5,FALSE)</f>
        <v>5</v>
      </c>
      <c r="M5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 spans="1:13" x14ac:dyDescent="0.25">
      <c r="A564" t="s">
        <v>90</v>
      </c>
      <c r="B564" t="s">
        <v>90</v>
      </c>
      <c r="C564" t="s">
        <v>78</v>
      </c>
      <c r="D564" s="1" t="s">
        <v>100</v>
      </c>
      <c r="E564" t="s">
        <v>93</v>
      </c>
      <c r="F564" t="s">
        <v>26</v>
      </c>
      <c r="G564">
        <v>15</v>
      </c>
      <c r="H564">
        <v>322884</v>
      </c>
      <c r="I564" s="5">
        <f>IFERROR(VLOOKUP(TrendSheetStgData[Population]&amp;TrendSheetStgData[Cost Basis]&amp;TrendSheetStgData[Period]&amp;TrendSheetStgData[Trend],TrendSheetPrdData[#All],9,FALSE),0)</f>
        <v>322884</v>
      </c>
      <c r="J5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 s="5">
        <f>VLOOKUP(TrendSheetStgData[Population]&amp;TrendSheetStgData[Trend],Threshold[#All],4,FALSE)</f>
        <v>10</v>
      </c>
      <c r="L564" s="5">
        <f>VLOOKUP(TrendSheetStgData[Population]&amp;TrendSheetStgData[Trend],Threshold[#All],5,FALSE)</f>
        <v>5</v>
      </c>
      <c r="M5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5" spans="1:13" x14ac:dyDescent="0.25">
      <c r="A565" t="s">
        <v>90</v>
      </c>
      <c r="B565" t="s">
        <v>90</v>
      </c>
      <c r="C565" t="s">
        <v>78</v>
      </c>
      <c r="D565" s="1" t="s">
        <v>101</v>
      </c>
      <c r="E565" t="s">
        <v>93</v>
      </c>
      <c r="F565" t="s">
        <v>26</v>
      </c>
      <c r="G565">
        <v>15</v>
      </c>
      <c r="H565">
        <v>343213</v>
      </c>
      <c r="I565" s="5">
        <f>IFERROR(VLOOKUP(TrendSheetStgData[Population]&amp;TrendSheetStgData[Cost Basis]&amp;TrendSheetStgData[Period]&amp;TrendSheetStgData[Trend],TrendSheetPrdData[#All],9,FALSE),0)</f>
        <v>343213</v>
      </c>
      <c r="J5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5" s="5">
        <f>VLOOKUP(TrendSheetStgData[Population]&amp;TrendSheetStgData[Trend],Threshold[#All],4,FALSE)</f>
        <v>10</v>
      </c>
      <c r="L565" s="5">
        <f>VLOOKUP(TrendSheetStgData[Population]&amp;TrendSheetStgData[Trend],Threshold[#All],5,FALSE)</f>
        <v>5</v>
      </c>
      <c r="M5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6" spans="1:13" x14ac:dyDescent="0.25">
      <c r="A566" t="s">
        <v>90</v>
      </c>
      <c r="B566" t="s">
        <v>90</v>
      </c>
      <c r="C566" t="s">
        <v>78</v>
      </c>
      <c r="D566" s="1" t="s">
        <v>102</v>
      </c>
      <c r="E566" t="s">
        <v>93</v>
      </c>
      <c r="F566" t="s">
        <v>26</v>
      </c>
      <c r="G566">
        <v>15</v>
      </c>
      <c r="H566">
        <v>372060</v>
      </c>
      <c r="I566" s="5">
        <f>IFERROR(VLOOKUP(TrendSheetStgData[Population]&amp;TrendSheetStgData[Cost Basis]&amp;TrendSheetStgData[Period]&amp;TrendSheetStgData[Trend],TrendSheetPrdData[#All],9,FALSE),0)</f>
        <v>372060</v>
      </c>
      <c r="J5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6" s="5">
        <f>VLOOKUP(TrendSheetStgData[Population]&amp;TrendSheetStgData[Trend],Threshold[#All],4,FALSE)</f>
        <v>10</v>
      </c>
      <c r="L566" s="5">
        <f>VLOOKUP(TrendSheetStgData[Population]&amp;TrendSheetStgData[Trend],Threshold[#All],5,FALSE)</f>
        <v>5</v>
      </c>
      <c r="M5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7" spans="1:13" x14ac:dyDescent="0.25">
      <c r="A567" t="s">
        <v>90</v>
      </c>
      <c r="B567" t="s">
        <v>90</v>
      </c>
      <c r="C567" t="s">
        <v>78</v>
      </c>
      <c r="D567" s="1" t="s">
        <v>103</v>
      </c>
      <c r="E567" t="s">
        <v>93</v>
      </c>
      <c r="F567" t="s">
        <v>26</v>
      </c>
      <c r="G567">
        <v>15</v>
      </c>
      <c r="H567">
        <v>273580</v>
      </c>
      <c r="I567" s="5">
        <f>IFERROR(VLOOKUP(TrendSheetStgData[Population]&amp;TrendSheetStgData[Cost Basis]&amp;TrendSheetStgData[Period]&amp;TrendSheetStgData[Trend],TrendSheetPrdData[#All],9,FALSE),0)</f>
        <v>273580</v>
      </c>
      <c r="J5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7" s="5">
        <f>VLOOKUP(TrendSheetStgData[Population]&amp;TrendSheetStgData[Trend],Threshold[#All],4,FALSE)</f>
        <v>10</v>
      </c>
      <c r="L567" s="5">
        <f>VLOOKUP(TrendSheetStgData[Population]&amp;TrendSheetStgData[Trend],Threshold[#All],5,FALSE)</f>
        <v>5</v>
      </c>
      <c r="M5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8" spans="1:13" x14ac:dyDescent="0.25">
      <c r="A568" t="s">
        <v>90</v>
      </c>
      <c r="B568" t="s">
        <v>90</v>
      </c>
      <c r="C568" t="s">
        <v>78</v>
      </c>
      <c r="D568" s="1" t="s">
        <v>104</v>
      </c>
      <c r="E568" t="s">
        <v>93</v>
      </c>
      <c r="F568" t="s">
        <v>26</v>
      </c>
      <c r="G568">
        <v>15</v>
      </c>
      <c r="H568">
        <v>334013</v>
      </c>
      <c r="I568" s="5">
        <f>IFERROR(VLOOKUP(TrendSheetStgData[Population]&amp;TrendSheetStgData[Cost Basis]&amp;TrendSheetStgData[Period]&amp;TrendSheetStgData[Trend],TrendSheetPrdData[#All],9,FALSE),0)</f>
        <v>342561</v>
      </c>
      <c r="J5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2.4953220010450696</v>
      </c>
      <c r="K568" s="5">
        <f>VLOOKUP(TrendSheetStgData[Population]&amp;TrendSheetStgData[Trend],Threshold[#All],4,FALSE)</f>
        <v>10</v>
      </c>
      <c r="L568" s="5">
        <f>VLOOKUP(TrendSheetStgData[Population]&amp;TrendSheetStgData[Trend],Threshold[#All],5,FALSE)</f>
        <v>5</v>
      </c>
      <c r="M5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9" spans="1:13" x14ac:dyDescent="0.25">
      <c r="A569" t="s">
        <v>90</v>
      </c>
      <c r="B569" t="s">
        <v>90</v>
      </c>
      <c r="C569" t="s">
        <v>78</v>
      </c>
      <c r="D569" s="1" t="s">
        <v>105</v>
      </c>
      <c r="E569" t="s">
        <v>106</v>
      </c>
      <c r="F569" t="s">
        <v>26</v>
      </c>
      <c r="G569">
        <v>15</v>
      </c>
      <c r="H569">
        <v>364018</v>
      </c>
      <c r="I569" s="5">
        <f>IFERROR(VLOOKUP(TrendSheetStgData[Population]&amp;TrendSheetStgData[Cost Basis]&amp;TrendSheetStgData[Period]&amp;TrendSheetStgData[Trend],TrendSheetPrdData[#All],9,FALSE),0)</f>
        <v>370696</v>
      </c>
      <c r="J5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1.801476142175799</v>
      </c>
      <c r="K569" s="5">
        <f>VLOOKUP(TrendSheetStgData[Population]&amp;TrendSheetStgData[Trend],Threshold[#All],4,FALSE)</f>
        <v>10</v>
      </c>
      <c r="L569" s="5">
        <f>VLOOKUP(TrendSheetStgData[Population]&amp;TrendSheetStgData[Trend],Threshold[#All],5,FALSE)</f>
        <v>5</v>
      </c>
      <c r="M5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0" spans="1:13" x14ac:dyDescent="0.25">
      <c r="A570" t="s">
        <v>90</v>
      </c>
      <c r="B570" t="s">
        <v>90</v>
      </c>
      <c r="C570" t="s">
        <v>78</v>
      </c>
      <c r="D570" s="1" t="s">
        <v>107</v>
      </c>
      <c r="E570" t="s">
        <v>106</v>
      </c>
      <c r="F570" t="s">
        <v>26</v>
      </c>
      <c r="G570">
        <v>15</v>
      </c>
      <c r="H570">
        <v>357649</v>
      </c>
      <c r="I570" s="5">
        <f>IFERROR(VLOOKUP(TrendSheetStgData[Population]&amp;TrendSheetStgData[Cost Basis]&amp;TrendSheetStgData[Period]&amp;TrendSheetStgData[Trend],TrendSheetPrdData[#All],9,FALSE),0)</f>
        <v>280811</v>
      </c>
      <c r="J5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27.362888205946351</v>
      </c>
      <c r="K570" s="5">
        <f>VLOOKUP(TrendSheetStgData[Population]&amp;TrendSheetStgData[Trend],Threshold[#All],4,FALSE)</f>
        <v>10</v>
      </c>
      <c r="L570" s="5">
        <f>VLOOKUP(TrendSheetStgData[Population]&amp;TrendSheetStgData[Trend],Threshold[#All],5,FALSE)</f>
        <v>5</v>
      </c>
      <c r="M5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1" spans="1:13" x14ac:dyDescent="0.25">
      <c r="A571" t="s">
        <v>90</v>
      </c>
      <c r="B571" t="s">
        <v>90</v>
      </c>
      <c r="C571" t="s">
        <v>78</v>
      </c>
      <c r="D571" s="1" t="s">
        <v>108</v>
      </c>
      <c r="E571" t="s">
        <v>106</v>
      </c>
      <c r="F571" t="s">
        <v>26</v>
      </c>
      <c r="G571">
        <v>15</v>
      </c>
      <c r="H571">
        <v>209266</v>
      </c>
      <c r="I571" s="5">
        <f>IFERROR(VLOOKUP(TrendSheetStgData[Population]&amp;TrendSheetStgData[Cost Basis]&amp;TrendSheetStgData[Period]&amp;TrendSheetStgData[Trend],TrendSheetPrdData[#All],9,FALSE),0)</f>
        <v>0</v>
      </c>
      <c r="J5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71" s="5">
        <f>VLOOKUP(TrendSheetStgData[Population]&amp;TrendSheetStgData[Trend],Threshold[#All],4,FALSE)</f>
        <v>10</v>
      </c>
      <c r="L571" s="5">
        <f>VLOOKUP(TrendSheetStgData[Population]&amp;TrendSheetStgData[Trend],Threshold[#All],5,FALSE)</f>
        <v>5</v>
      </c>
      <c r="M5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2" spans="1:13" x14ac:dyDescent="0.25">
      <c r="A572" t="s">
        <v>90</v>
      </c>
      <c r="B572" t="s">
        <v>90</v>
      </c>
      <c r="C572" t="s">
        <v>78</v>
      </c>
      <c r="D572" s="1" t="s">
        <v>92</v>
      </c>
      <c r="E572" t="s">
        <v>93</v>
      </c>
      <c r="F572" t="s">
        <v>27</v>
      </c>
      <c r="G572">
        <v>16</v>
      </c>
      <c r="H572">
        <v>0.76</v>
      </c>
      <c r="I572" s="5">
        <f>IFERROR(VLOOKUP(TrendSheetStgData[Population]&amp;TrendSheetStgData[Cost Basis]&amp;TrendSheetStgData[Period]&amp;TrendSheetStgData[Trend],TrendSheetPrdData[#All],9,FALSE),0)</f>
        <v>0.76</v>
      </c>
      <c r="J5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2" s="5">
        <f>VLOOKUP(TrendSheetStgData[Population]&amp;TrendSheetStgData[Trend],Threshold[#All],4,FALSE)</f>
        <v>10</v>
      </c>
      <c r="L572" s="5">
        <f>VLOOKUP(TrendSheetStgData[Population]&amp;TrendSheetStgData[Trend],Threshold[#All],5,FALSE)</f>
        <v>5</v>
      </c>
      <c r="M5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3" spans="1:13" x14ac:dyDescent="0.25">
      <c r="A573" t="s">
        <v>90</v>
      </c>
      <c r="B573" t="s">
        <v>90</v>
      </c>
      <c r="C573" t="s">
        <v>78</v>
      </c>
      <c r="D573" s="1" t="s">
        <v>94</v>
      </c>
      <c r="E573" t="s">
        <v>93</v>
      </c>
      <c r="F573" t="s">
        <v>27</v>
      </c>
      <c r="G573">
        <v>16</v>
      </c>
      <c r="H573">
        <v>0.78</v>
      </c>
      <c r="I573" s="5">
        <f>IFERROR(VLOOKUP(TrendSheetStgData[Population]&amp;TrendSheetStgData[Cost Basis]&amp;TrendSheetStgData[Period]&amp;TrendSheetStgData[Trend],TrendSheetPrdData[#All],9,FALSE),0)</f>
        <v>0.78</v>
      </c>
      <c r="J5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3" s="5">
        <f>VLOOKUP(TrendSheetStgData[Population]&amp;TrendSheetStgData[Trend],Threshold[#All],4,FALSE)</f>
        <v>10</v>
      </c>
      <c r="L573" s="5">
        <f>VLOOKUP(TrendSheetStgData[Population]&amp;TrendSheetStgData[Trend],Threshold[#All],5,FALSE)</f>
        <v>5</v>
      </c>
      <c r="M5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4" spans="1:13" x14ac:dyDescent="0.25">
      <c r="A574" t="s">
        <v>90</v>
      </c>
      <c r="B574" t="s">
        <v>90</v>
      </c>
      <c r="C574" t="s">
        <v>78</v>
      </c>
      <c r="D574" s="1" t="s">
        <v>95</v>
      </c>
      <c r="E574" t="s">
        <v>93</v>
      </c>
      <c r="F574" t="s">
        <v>27</v>
      </c>
      <c r="G574">
        <v>16</v>
      </c>
      <c r="H574">
        <v>0.8</v>
      </c>
      <c r="I574" s="5">
        <f>IFERROR(VLOOKUP(TrendSheetStgData[Population]&amp;TrendSheetStgData[Cost Basis]&amp;TrendSheetStgData[Period]&amp;TrendSheetStgData[Trend],TrendSheetPrdData[#All],9,FALSE),0)</f>
        <v>0.8</v>
      </c>
      <c r="J5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4" s="5">
        <f>VLOOKUP(TrendSheetStgData[Population]&amp;TrendSheetStgData[Trend],Threshold[#All],4,FALSE)</f>
        <v>10</v>
      </c>
      <c r="L574" s="5">
        <f>VLOOKUP(TrendSheetStgData[Population]&amp;TrendSheetStgData[Trend],Threshold[#All],5,FALSE)</f>
        <v>5</v>
      </c>
      <c r="M5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5" spans="1:13" x14ac:dyDescent="0.25">
      <c r="A575" t="s">
        <v>90</v>
      </c>
      <c r="B575" t="s">
        <v>90</v>
      </c>
      <c r="C575" t="s">
        <v>78</v>
      </c>
      <c r="D575" s="1" t="s">
        <v>96</v>
      </c>
      <c r="E575" t="s">
        <v>93</v>
      </c>
      <c r="F575" t="s">
        <v>27</v>
      </c>
      <c r="G575">
        <v>16</v>
      </c>
      <c r="H575">
        <v>0.8</v>
      </c>
      <c r="I575" s="5">
        <f>IFERROR(VLOOKUP(TrendSheetStgData[Population]&amp;TrendSheetStgData[Cost Basis]&amp;TrendSheetStgData[Period]&amp;TrendSheetStgData[Trend],TrendSheetPrdData[#All],9,FALSE),0)</f>
        <v>0.8</v>
      </c>
      <c r="J5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5" s="5">
        <f>VLOOKUP(TrendSheetStgData[Population]&amp;TrendSheetStgData[Trend],Threshold[#All],4,FALSE)</f>
        <v>10</v>
      </c>
      <c r="L575" s="5">
        <f>VLOOKUP(TrendSheetStgData[Population]&amp;TrendSheetStgData[Trend],Threshold[#All],5,FALSE)</f>
        <v>5</v>
      </c>
      <c r="M5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6" spans="1:13" x14ac:dyDescent="0.25">
      <c r="A576" t="s">
        <v>90</v>
      </c>
      <c r="B576" t="s">
        <v>90</v>
      </c>
      <c r="C576" t="s">
        <v>78</v>
      </c>
      <c r="D576" s="1" t="s">
        <v>97</v>
      </c>
      <c r="E576" t="s">
        <v>93</v>
      </c>
      <c r="F576" t="s">
        <v>27</v>
      </c>
      <c r="G576">
        <v>16</v>
      </c>
      <c r="H576">
        <v>0.79</v>
      </c>
      <c r="I576" s="5">
        <f>IFERROR(VLOOKUP(TrendSheetStgData[Population]&amp;TrendSheetStgData[Cost Basis]&amp;TrendSheetStgData[Period]&amp;TrendSheetStgData[Trend],TrendSheetPrdData[#All],9,FALSE),0)</f>
        <v>0.79</v>
      </c>
      <c r="J5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6" s="5">
        <f>VLOOKUP(TrendSheetStgData[Population]&amp;TrendSheetStgData[Trend],Threshold[#All],4,FALSE)</f>
        <v>10</v>
      </c>
      <c r="L576" s="5">
        <f>VLOOKUP(TrendSheetStgData[Population]&amp;TrendSheetStgData[Trend],Threshold[#All],5,FALSE)</f>
        <v>5</v>
      </c>
      <c r="M5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7" spans="1:13" x14ac:dyDescent="0.25">
      <c r="A577" t="s">
        <v>90</v>
      </c>
      <c r="B577" t="s">
        <v>90</v>
      </c>
      <c r="C577" t="s">
        <v>78</v>
      </c>
      <c r="D577" s="1" t="s">
        <v>98</v>
      </c>
      <c r="E577" t="s">
        <v>93</v>
      </c>
      <c r="F577" t="s">
        <v>27</v>
      </c>
      <c r="G577">
        <v>16</v>
      </c>
      <c r="H577">
        <v>0.81</v>
      </c>
      <c r="I577" s="5">
        <f>IFERROR(VLOOKUP(TrendSheetStgData[Population]&amp;TrendSheetStgData[Cost Basis]&amp;TrendSheetStgData[Period]&amp;TrendSheetStgData[Trend],TrendSheetPrdData[#All],9,FALSE),0)</f>
        <v>0.81</v>
      </c>
      <c r="J5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7" s="5">
        <f>VLOOKUP(TrendSheetStgData[Population]&amp;TrendSheetStgData[Trend],Threshold[#All],4,FALSE)</f>
        <v>10</v>
      </c>
      <c r="L577" s="5">
        <f>VLOOKUP(TrendSheetStgData[Population]&amp;TrendSheetStgData[Trend],Threshold[#All],5,FALSE)</f>
        <v>5</v>
      </c>
      <c r="M5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 spans="1:13" x14ac:dyDescent="0.25">
      <c r="A578" t="s">
        <v>90</v>
      </c>
      <c r="B578" t="s">
        <v>90</v>
      </c>
      <c r="C578" t="s">
        <v>78</v>
      </c>
      <c r="D578" s="1" t="s">
        <v>99</v>
      </c>
      <c r="E578" t="s">
        <v>93</v>
      </c>
      <c r="F578" t="s">
        <v>27</v>
      </c>
      <c r="G578">
        <v>16</v>
      </c>
      <c r="H578">
        <v>0.8</v>
      </c>
      <c r="I578" s="5">
        <f>IFERROR(VLOOKUP(TrendSheetStgData[Population]&amp;TrendSheetStgData[Cost Basis]&amp;TrendSheetStgData[Period]&amp;TrendSheetStgData[Trend],TrendSheetPrdData[#All],9,FALSE),0)</f>
        <v>0.8</v>
      </c>
      <c r="J5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 s="5">
        <f>VLOOKUP(TrendSheetStgData[Population]&amp;TrendSheetStgData[Trend],Threshold[#All],4,FALSE)</f>
        <v>10</v>
      </c>
      <c r="L578" s="5">
        <f>VLOOKUP(TrendSheetStgData[Population]&amp;TrendSheetStgData[Trend],Threshold[#All],5,FALSE)</f>
        <v>5</v>
      </c>
      <c r="M5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9" spans="1:13" x14ac:dyDescent="0.25">
      <c r="A579" t="s">
        <v>90</v>
      </c>
      <c r="B579" t="s">
        <v>90</v>
      </c>
      <c r="C579" t="s">
        <v>78</v>
      </c>
      <c r="D579" s="1" t="s">
        <v>100</v>
      </c>
      <c r="E579" t="s">
        <v>93</v>
      </c>
      <c r="F579" t="s">
        <v>27</v>
      </c>
      <c r="G579">
        <v>16</v>
      </c>
      <c r="H579">
        <v>0.79</v>
      </c>
      <c r="I579" s="5">
        <f>IFERROR(VLOOKUP(TrendSheetStgData[Population]&amp;TrendSheetStgData[Cost Basis]&amp;TrendSheetStgData[Period]&amp;TrendSheetStgData[Trend],TrendSheetPrdData[#All],9,FALSE),0)</f>
        <v>0.79</v>
      </c>
      <c r="J5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9" s="5">
        <f>VLOOKUP(TrendSheetStgData[Population]&amp;TrendSheetStgData[Trend],Threshold[#All],4,FALSE)</f>
        <v>10</v>
      </c>
      <c r="L579" s="5">
        <f>VLOOKUP(TrendSheetStgData[Population]&amp;TrendSheetStgData[Trend],Threshold[#All],5,FALSE)</f>
        <v>5</v>
      </c>
      <c r="M5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0" spans="1:13" x14ac:dyDescent="0.25">
      <c r="A580" t="s">
        <v>90</v>
      </c>
      <c r="B580" t="s">
        <v>90</v>
      </c>
      <c r="C580" t="s">
        <v>78</v>
      </c>
      <c r="D580" s="1" t="s">
        <v>101</v>
      </c>
      <c r="E580" t="s">
        <v>93</v>
      </c>
      <c r="F580" t="s">
        <v>27</v>
      </c>
      <c r="G580">
        <v>16</v>
      </c>
      <c r="H580">
        <v>0.79</v>
      </c>
      <c r="I580" s="5">
        <f>IFERROR(VLOOKUP(TrendSheetStgData[Population]&amp;TrendSheetStgData[Cost Basis]&amp;TrendSheetStgData[Period]&amp;TrendSheetStgData[Trend],TrendSheetPrdData[#All],9,FALSE),0)</f>
        <v>0.79</v>
      </c>
      <c r="J5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0" s="5">
        <f>VLOOKUP(TrendSheetStgData[Population]&amp;TrendSheetStgData[Trend],Threshold[#All],4,FALSE)</f>
        <v>10</v>
      </c>
      <c r="L580" s="5">
        <f>VLOOKUP(TrendSheetStgData[Population]&amp;TrendSheetStgData[Trend],Threshold[#All],5,FALSE)</f>
        <v>5</v>
      </c>
      <c r="M5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1" spans="1:13" x14ac:dyDescent="0.25">
      <c r="A581" t="s">
        <v>90</v>
      </c>
      <c r="B581" t="s">
        <v>90</v>
      </c>
      <c r="C581" t="s">
        <v>78</v>
      </c>
      <c r="D581" s="1" t="s">
        <v>102</v>
      </c>
      <c r="E581" t="s">
        <v>93</v>
      </c>
      <c r="F581" t="s">
        <v>27</v>
      </c>
      <c r="G581">
        <v>16</v>
      </c>
      <c r="H581">
        <v>0.82</v>
      </c>
      <c r="I581" s="5">
        <f>IFERROR(VLOOKUP(TrendSheetStgData[Population]&amp;TrendSheetStgData[Cost Basis]&amp;TrendSheetStgData[Period]&amp;TrendSheetStgData[Trend],TrendSheetPrdData[#All],9,FALSE),0)</f>
        <v>0.82</v>
      </c>
      <c r="J5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1" s="5">
        <f>VLOOKUP(TrendSheetStgData[Population]&amp;TrendSheetStgData[Trend],Threshold[#All],4,FALSE)</f>
        <v>10</v>
      </c>
      <c r="L581" s="5">
        <f>VLOOKUP(TrendSheetStgData[Population]&amp;TrendSheetStgData[Trend],Threshold[#All],5,FALSE)</f>
        <v>5</v>
      </c>
      <c r="M5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2" spans="1:13" x14ac:dyDescent="0.25">
      <c r="A582" t="s">
        <v>90</v>
      </c>
      <c r="B582" t="s">
        <v>90</v>
      </c>
      <c r="C582" t="s">
        <v>78</v>
      </c>
      <c r="D582" s="1" t="s">
        <v>103</v>
      </c>
      <c r="E582" t="s">
        <v>93</v>
      </c>
      <c r="F582" t="s">
        <v>27</v>
      </c>
      <c r="G582">
        <v>16</v>
      </c>
      <c r="H582">
        <v>0.79</v>
      </c>
      <c r="I582" s="5">
        <f>IFERROR(VLOOKUP(TrendSheetStgData[Population]&amp;TrendSheetStgData[Cost Basis]&amp;TrendSheetStgData[Period]&amp;TrendSheetStgData[Trend],TrendSheetPrdData[#All],9,FALSE),0)</f>
        <v>0.79</v>
      </c>
      <c r="J5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2" s="5">
        <f>VLOOKUP(TrendSheetStgData[Population]&amp;TrendSheetStgData[Trend],Threshold[#All],4,FALSE)</f>
        <v>10</v>
      </c>
      <c r="L582" s="5">
        <f>VLOOKUP(TrendSheetStgData[Population]&amp;TrendSheetStgData[Trend],Threshold[#All],5,FALSE)</f>
        <v>5</v>
      </c>
      <c r="M5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3" spans="1:13" x14ac:dyDescent="0.25">
      <c r="A583" t="s">
        <v>90</v>
      </c>
      <c r="B583" t="s">
        <v>90</v>
      </c>
      <c r="C583" t="s">
        <v>78</v>
      </c>
      <c r="D583" s="1" t="s">
        <v>104</v>
      </c>
      <c r="E583" t="s">
        <v>93</v>
      </c>
      <c r="F583" t="s">
        <v>27</v>
      </c>
      <c r="G583">
        <v>16</v>
      </c>
      <c r="H583">
        <v>0.79</v>
      </c>
      <c r="I583" s="5">
        <f>IFERROR(VLOOKUP(TrendSheetStgData[Population]&amp;TrendSheetStgData[Cost Basis]&amp;TrendSheetStgData[Period]&amp;TrendSheetStgData[Trend],TrendSheetPrdData[#All],9,FALSE),0)</f>
        <v>0.79</v>
      </c>
      <c r="J5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3" s="5">
        <f>VLOOKUP(TrendSheetStgData[Population]&amp;TrendSheetStgData[Trend],Threshold[#All],4,FALSE)</f>
        <v>10</v>
      </c>
      <c r="L583" s="5">
        <f>VLOOKUP(TrendSheetStgData[Population]&amp;TrendSheetStgData[Trend],Threshold[#All],5,FALSE)</f>
        <v>5</v>
      </c>
      <c r="M5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4" spans="1:13" x14ac:dyDescent="0.25">
      <c r="A584" t="s">
        <v>90</v>
      </c>
      <c r="B584" t="s">
        <v>90</v>
      </c>
      <c r="C584" t="s">
        <v>78</v>
      </c>
      <c r="D584" s="1" t="s">
        <v>105</v>
      </c>
      <c r="E584" t="s">
        <v>106</v>
      </c>
      <c r="F584" t="s">
        <v>27</v>
      </c>
      <c r="G584">
        <v>16</v>
      </c>
      <c r="H584">
        <v>0.81</v>
      </c>
      <c r="I584" s="5">
        <f>IFERROR(VLOOKUP(TrendSheetStgData[Population]&amp;TrendSheetStgData[Cost Basis]&amp;TrendSheetStgData[Period]&amp;TrendSheetStgData[Trend],TrendSheetPrdData[#All],9,FALSE),0)</f>
        <v>0.82</v>
      </c>
      <c r="J5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1.2195121951219388</v>
      </c>
      <c r="K584" s="5">
        <f>VLOOKUP(TrendSheetStgData[Population]&amp;TrendSheetStgData[Trend],Threshold[#All],4,FALSE)</f>
        <v>10</v>
      </c>
      <c r="L584" s="5">
        <f>VLOOKUP(TrendSheetStgData[Population]&amp;TrendSheetStgData[Trend],Threshold[#All],5,FALSE)</f>
        <v>5</v>
      </c>
      <c r="M5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85" spans="1:13" x14ac:dyDescent="0.25">
      <c r="A585" t="s">
        <v>90</v>
      </c>
      <c r="B585" t="s">
        <v>90</v>
      </c>
      <c r="C585" t="s">
        <v>78</v>
      </c>
      <c r="D585" s="1" t="s">
        <v>107</v>
      </c>
      <c r="E585" t="s">
        <v>106</v>
      </c>
      <c r="F585" t="s">
        <v>27</v>
      </c>
      <c r="G585">
        <v>16</v>
      </c>
      <c r="H585">
        <v>0.81</v>
      </c>
      <c r="I585" s="5">
        <f>IFERROR(VLOOKUP(TrendSheetStgData[Population]&amp;TrendSheetStgData[Cost Basis]&amp;TrendSheetStgData[Period]&amp;TrendSheetStgData[Trend],TrendSheetPrdData[#All],9,FALSE),0)</f>
        <v>0.82</v>
      </c>
      <c r="J5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1.2195121951219388</v>
      </c>
      <c r="K585" s="5">
        <f>VLOOKUP(TrendSheetStgData[Population]&amp;TrendSheetStgData[Trend],Threshold[#All],4,FALSE)</f>
        <v>10</v>
      </c>
      <c r="L585" s="5">
        <f>VLOOKUP(TrendSheetStgData[Population]&amp;TrendSheetStgData[Trend],Threshold[#All],5,FALSE)</f>
        <v>5</v>
      </c>
      <c r="M5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86" spans="1:13" x14ac:dyDescent="0.25">
      <c r="A586" t="s">
        <v>90</v>
      </c>
      <c r="B586" t="s">
        <v>90</v>
      </c>
      <c r="C586" t="s">
        <v>78</v>
      </c>
      <c r="D586" s="1" t="s">
        <v>108</v>
      </c>
      <c r="E586" t="s">
        <v>106</v>
      </c>
      <c r="F586" t="s">
        <v>27</v>
      </c>
      <c r="G586">
        <v>16</v>
      </c>
      <c r="H586">
        <v>0.78</v>
      </c>
      <c r="I586" s="5">
        <f>IFERROR(VLOOKUP(TrendSheetStgData[Population]&amp;TrendSheetStgData[Cost Basis]&amp;TrendSheetStgData[Period]&amp;TrendSheetStgData[Trend],TrendSheetPrdData[#All],9,FALSE),0)</f>
        <v>0</v>
      </c>
      <c r="J5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86" s="5">
        <f>VLOOKUP(TrendSheetStgData[Population]&amp;TrendSheetStgData[Trend],Threshold[#All],4,FALSE)</f>
        <v>10</v>
      </c>
      <c r="L586" s="5">
        <f>VLOOKUP(TrendSheetStgData[Population]&amp;TrendSheetStgData[Trend],Threshold[#All],5,FALSE)</f>
        <v>5</v>
      </c>
      <c r="M5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7" spans="1:13" x14ac:dyDescent="0.25">
      <c r="A587" t="s">
        <v>90</v>
      </c>
      <c r="B587" t="s">
        <v>90</v>
      </c>
      <c r="C587" t="s">
        <v>78</v>
      </c>
      <c r="D587" s="1" t="s">
        <v>92</v>
      </c>
      <c r="E587" t="s">
        <v>93</v>
      </c>
      <c r="F587" t="s">
        <v>28</v>
      </c>
      <c r="G587">
        <v>17</v>
      </c>
      <c r="H587">
        <v>841963</v>
      </c>
      <c r="I587" s="5">
        <f>IFERROR(VLOOKUP(TrendSheetStgData[Population]&amp;TrendSheetStgData[Cost Basis]&amp;TrendSheetStgData[Period]&amp;TrendSheetStgData[Trend],TrendSheetPrdData[#All],9,FALSE),0)</f>
        <v>828829</v>
      </c>
      <c r="J5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1.5846453249102048</v>
      </c>
      <c r="K587" s="5">
        <f>VLOOKUP(TrendSheetStgData[Population]&amp;TrendSheetStgData[Trend],Threshold[#All],4,FALSE)</f>
        <v>10</v>
      </c>
      <c r="L587" s="5">
        <f>VLOOKUP(TrendSheetStgData[Population]&amp;TrendSheetStgData[Trend],Threshold[#All],5,FALSE)</f>
        <v>5</v>
      </c>
      <c r="M5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88" spans="1:13" x14ac:dyDescent="0.25">
      <c r="A588" t="s">
        <v>90</v>
      </c>
      <c r="B588" t="s">
        <v>90</v>
      </c>
      <c r="C588" t="s">
        <v>78</v>
      </c>
      <c r="D588" s="1" t="s">
        <v>94</v>
      </c>
      <c r="E588" t="s">
        <v>93</v>
      </c>
      <c r="F588" t="s">
        <v>28</v>
      </c>
      <c r="G588">
        <v>17</v>
      </c>
      <c r="H588">
        <v>768579</v>
      </c>
      <c r="I588" s="5">
        <f>IFERROR(VLOOKUP(TrendSheetStgData[Population]&amp;TrendSheetStgData[Cost Basis]&amp;TrendSheetStgData[Period]&amp;TrendSheetStgData[Trend],TrendSheetPrdData[#All],9,FALSE),0)</f>
        <v>764824</v>
      </c>
      <c r="J5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0.49096262669581492</v>
      </c>
      <c r="K588" s="5">
        <f>VLOOKUP(TrendSheetStgData[Population]&amp;TrendSheetStgData[Trend],Threshold[#All],4,FALSE)</f>
        <v>10</v>
      </c>
      <c r="L588" s="5">
        <f>VLOOKUP(TrendSheetStgData[Population]&amp;TrendSheetStgData[Trend],Threshold[#All],5,FALSE)</f>
        <v>5</v>
      </c>
      <c r="M5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89" spans="1:13" x14ac:dyDescent="0.25">
      <c r="A589" t="s">
        <v>90</v>
      </c>
      <c r="B589" t="s">
        <v>90</v>
      </c>
      <c r="C589" t="s">
        <v>78</v>
      </c>
      <c r="D589" s="1" t="s">
        <v>95</v>
      </c>
      <c r="E589" t="s">
        <v>93</v>
      </c>
      <c r="F589" t="s">
        <v>28</v>
      </c>
      <c r="G589">
        <v>17</v>
      </c>
      <c r="H589">
        <v>1020959</v>
      </c>
      <c r="I589" s="5">
        <f>IFERROR(VLOOKUP(TrendSheetStgData[Population]&amp;TrendSheetStgData[Cost Basis]&amp;TrendSheetStgData[Period]&amp;TrendSheetStgData[Trend],TrendSheetPrdData[#All],9,FALSE),0)</f>
        <v>996146</v>
      </c>
      <c r="J5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2.4908999283237598</v>
      </c>
      <c r="K589" s="5">
        <f>VLOOKUP(TrendSheetStgData[Population]&amp;TrendSheetStgData[Trend],Threshold[#All],4,FALSE)</f>
        <v>10</v>
      </c>
      <c r="L589" s="5">
        <f>VLOOKUP(TrendSheetStgData[Population]&amp;TrendSheetStgData[Trend],Threshold[#All],5,FALSE)</f>
        <v>5</v>
      </c>
      <c r="M5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0" spans="1:13" x14ac:dyDescent="0.25">
      <c r="A590" t="s">
        <v>90</v>
      </c>
      <c r="B590" t="s">
        <v>90</v>
      </c>
      <c r="C590" t="s">
        <v>78</v>
      </c>
      <c r="D590" s="1" t="s">
        <v>96</v>
      </c>
      <c r="E590" t="s">
        <v>93</v>
      </c>
      <c r="F590" t="s">
        <v>28</v>
      </c>
      <c r="G590">
        <v>17</v>
      </c>
      <c r="H590">
        <v>990875</v>
      </c>
      <c r="I590" s="5">
        <f>IFERROR(VLOOKUP(TrendSheetStgData[Population]&amp;TrendSheetStgData[Cost Basis]&amp;TrendSheetStgData[Period]&amp;TrendSheetStgData[Trend],TrendSheetPrdData[#All],9,FALSE),0)</f>
        <v>979028</v>
      </c>
      <c r="J5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1.2100777505852744</v>
      </c>
      <c r="K590" s="5">
        <f>VLOOKUP(TrendSheetStgData[Population]&amp;TrendSheetStgData[Trend],Threshold[#All],4,FALSE)</f>
        <v>10</v>
      </c>
      <c r="L590" s="5">
        <f>VLOOKUP(TrendSheetStgData[Population]&amp;TrendSheetStgData[Trend],Threshold[#All],5,FALSE)</f>
        <v>5</v>
      </c>
      <c r="M5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1" spans="1:13" x14ac:dyDescent="0.25">
      <c r="A591" t="s">
        <v>90</v>
      </c>
      <c r="B591" t="s">
        <v>90</v>
      </c>
      <c r="C591" t="s">
        <v>78</v>
      </c>
      <c r="D591" s="1" t="s">
        <v>97</v>
      </c>
      <c r="E591" t="s">
        <v>93</v>
      </c>
      <c r="F591" t="s">
        <v>28</v>
      </c>
      <c r="G591">
        <v>17</v>
      </c>
      <c r="H591">
        <v>1109134</v>
      </c>
      <c r="I591" s="5">
        <f>IFERROR(VLOOKUP(TrendSheetStgData[Population]&amp;TrendSheetStgData[Cost Basis]&amp;TrendSheetStgData[Period]&amp;TrendSheetStgData[Trend],TrendSheetPrdData[#All],9,FALSE),0)</f>
        <v>1037740</v>
      </c>
      <c r="J5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6.8797579355137124</v>
      </c>
      <c r="K591" s="5">
        <f>VLOOKUP(TrendSheetStgData[Population]&amp;TrendSheetStgData[Trend],Threshold[#All],4,FALSE)</f>
        <v>10</v>
      </c>
      <c r="L591" s="5">
        <f>VLOOKUP(TrendSheetStgData[Population]&amp;TrendSheetStgData[Trend],Threshold[#All],5,FALSE)</f>
        <v>5</v>
      </c>
      <c r="M5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92" spans="1:13" x14ac:dyDescent="0.25">
      <c r="A592" t="s">
        <v>90</v>
      </c>
      <c r="B592" t="s">
        <v>90</v>
      </c>
      <c r="C592" t="s">
        <v>78</v>
      </c>
      <c r="D592" s="1" t="s">
        <v>98</v>
      </c>
      <c r="E592" t="s">
        <v>93</v>
      </c>
      <c r="F592" t="s">
        <v>28</v>
      </c>
      <c r="G592">
        <v>17</v>
      </c>
      <c r="H592">
        <v>753337</v>
      </c>
      <c r="I592" s="5">
        <f>IFERROR(VLOOKUP(TrendSheetStgData[Population]&amp;TrendSheetStgData[Cost Basis]&amp;TrendSheetStgData[Period]&amp;TrendSheetStgData[Trend],TrendSheetPrdData[#All],9,FALSE),0)</f>
        <v>739936</v>
      </c>
      <c r="J5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1.8111025818449162</v>
      </c>
      <c r="K592" s="5">
        <f>VLOOKUP(TrendSheetStgData[Population]&amp;TrendSheetStgData[Trend],Threshold[#All],4,FALSE)</f>
        <v>10</v>
      </c>
      <c r="L592" s="5">
        <f>VLOOKUP(TrendSheetStgData[Population]&amp;TrendSheetStgData[Trend],Threshold[#All],5,FALSE)</f>
        <v>5</v>
      </c>
      <c r="M5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3" spans="1:13" x14ac:dyDescent="0.25">
      <c r="A593" t="s">
        <v>90</v>
      </c>
      <c r="B593" t="s">
        <v>90</v>
      </c>
      <c r="C593" t="s">
        <v>78</v>
      </c>
      <c r="D593" s="1" t="s">
        <v>99</v>
      </c>
      <c r="E593" t="s">
        <v>93</v>
      </c>
      <c r="F593" t="s">
        <v>28</v>
      </c>
      <c r="G593">
        <v>17</v>
      </c>
      <c r="H593">
        <v>814883</v>
      </c>
      <c r="I593" s="5">
        <f>IFERROR(VLOOKUP(TrendSheetStgData[Population]&amp;TrendSheetStgData[Cost Basis]&amp;TrendSheetStgData[Period]&amp;TrendSheetStgData[Trend],TrendSheetPrdData[#All],9,FALSE),0)</f>
        <v>804650</v>
      </c>
      <c r="J5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1.2717330516373577</v>
      </c>
      <c r="K593" s="5">
        <f>VLOOKUP(TrendSheetStgData[Population]&amp;TrendSheetStgData[Trend],Threshold[#All],4,FALSE)</f>
        <v>10</v>
      </c>
      <c r="L593" s="5">
        <f>VLOOKUP(TrendSheetStgData[Population]&amp;TrendSheetStgData[Trend],Threshold[#All],5,FALSE)</f>
        <v>5</v>
      </c>
      <c r="M5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4" spans="1:13" x14ac:dyDescent="0.25">
      <c r="A594" t="s">
        <v>90</v>
      </c>
      <c r="B594" t="s">
        <v>90</v>
      </c>
      <c r="C594" t="s">
        <v>78</v>
      </c>
      <c r="D594" s="1" t="s">
        <v>100</v>
      </c>
      <c r="E594" t="s">
        <v>93</v>
      </c>
      <c r="F594" t="s">
        <v>28</v>
      </c>
      <c r="G594">
        <v>17</v>
      </c>
      <c r="H594">
        <v>951900</v>
      </c>
      <c r="I594" s="5">
        <f>IFERROR(VLOOKUP(TrendSheetStgData[Population]&amp;TrendSheetStgData[Cost Basis]&amp;TrendSheetStgData[Period]&amp;TrendSheetStgData[Trend],TrendSheetPrdData[#All],9,FALSE),0)</f>
        <v>960451</v>
      </c>
      <c r="J5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0.89031090602227492</v>
      </c>
      <c r="K594" s="5">
        <f>VLOOKUP(TrendSheetStgData[Population]&amp;TrendSheetStgData[Trend],Threshold[#All],4,FALSE)</f>
        <v>10</v>
      </c>
      <c r="L594" s="5">
        <f>VLOOKUP(TrendSheetStgData[Population]&amp;TrendSheetStgData[Trend],Threshold[#All],5,FALSE)</f>
        <v>5</v>
      </c>
      <c r="M5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5" spans="1:13" x14ac:dyDescent="0.25">
      <c r="A595" t="s">
        <v>90</v>
      </c>
      <c r="B595" t="s">
        <v>90</v>
      </c>
      <c r="C595" t="s">
        <v>78</v>
      </c>
      <c r="D595" s="1" t="s">
        <v>101</v>
      </c>
      <c r="E595" t="s">
        <v>93</v>
      </c>
      <c r="F595" t="s">
        <v>28</v>
      </c>
      <c r="G595">
        <v>17</v>
      </c>
      <c r="H595">
        <v>889846</v>
      </c>
      <c r="I595" s="5">
        <f>IFERROR(VLOOKUP(TrendSheetStgData[Population]&amp;TrendSheetStgData[Cost Basis]&amp;TrendSheetStgData[Period]&amp;TrendSheetStgData[Trend],TrendSheetPrdData[#All],9,FALSE),0)</f>
        <v>888575</v>
      </c>
      <c r="J5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0.14303801029738628</v>
      </c>
      <c r="K595" s="5">
        <f>VLOOKUP(TrendSheetStgData[Population]&amp;TrendSheetStgData[Trend],Threshold[#All],4,FALSE)</f>
        <v>10</v>
      </c>
      <c r="L595" s="5">
        <f>VLOOKUP(TrendSheetStgData[Population]&amp;TrendSheetStgData[Trend],Threshold[#All],5,FALSE)</f>
        <v>5</v>
      </c>
      <c r="M5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6" spans="1:13" x14ac:dyDescent="0.25">
      <c r="A596" t="s">
        <v>90</v>
      </c>
      <c r="B596" t="s">
        <v>90</v>
      </c>
      <c r="C596" t="s">
        <v>78</v>
      </c>
      <c r="D596" s="1" t="s">
        <v>102</v>
      </c>
      <c r="E596" t="s">
        <v>93</v>
      </c>
      <c r="F596" t="s">
        <v>28</v>
      </c>
      <c r="G596">
        <v>17</v>
      </c>
      <c r="H596">
        <v>891546</v>
      </c>
      <c r="I596" s="5">
        <f>IFERROR(VLOOKUP(TrendSheetStgData[Population]&amp;TrendSheetStgData[Cost Basis]&amp;TrendSheetStgData[Period]&amp;TrendSheetStgData[Trend],TrendSheetPrdData[#All],9,FALSE),0)</f>
        <v>886853</v>
      </c>
      <c r="J5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0.52917450806390687</v>
      </c>
      <c r="K596" s="5">
        <f>VLOOKUP(TrendSheetStgData[Population]&amp;TrendSheetStgData[Trend],Threshold[#All],4,FALSE)</f>
        <v>10</v>
      </c>
      <c r="L596" s="5">
        <f>VLOOKUP(TrendSheetStgData[Population]&amp;TrendSheetStgData[Trend],Threshold[#All],5,FALSE)</f>
        <v>5</v>
      </c>
      <c r="M5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7" spans="1:13" x14ac:dyDescent="0.25">
      <c r="A597" t="s">
        <v>90</v>
      </c>
      <c r="B597" t="s">
        <v>90</v>
      </c>
      <c r="C597" t="s">
        <v>78</v>
      </c>
      <c r="D597" s="1" t="s">
        <v>103</v>
      </c>
      <c r="E597" t="s">
        <v>93</v>
      </c>
      <c r="F597" t="s">
        <v>28</v>
      </c>
      <c r="G597">
        <v>17</v>
      </c>
      <c r="H597">
        <v>680806</v>
      </c>
      <c r="I597" s="5">
        <f>IFERROR(VLOOKUP(TrendSheetStgData[Population]&amp;TrendSheetStgData[Cost Basis]&amp;TrendSheetStgData[Period]&amp;TrendSheetStgData[Trend],TrendSheetPrdData[#All],9,FALSE),0)</f>
        <v>640216</v>
      </c>
      <c r="J5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6.3400477338898131</v>
      </c>
      <c r="K597" s="5">
        <f>VLOOKUP(TrendSheetStgData[Population]&amp;TrendSheetStgData[Trend],Threshold[#All],4,FALSE)</f>
        <v>10</v>
      </c>
      <c r="L597" s="5">
        <f>VLOOKUP(TrendSheetStgData[Population]&amp;TrendSheetStgData[Trend],Threshold[#All],5,FALSE)</f>
        <v>5</v>
      </c>
      <c r="M5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98" spans="1:13" x14ac:dyDescent="0.25">
      <c r="A598" t="s">
        <v>90</v>
      </c>
      <c r="B598" t="s">
        <v>90</v>
      </c>
      <c r="C598" t="s">
        <v>78</v>
      </c>
      <c r="D598" s="1" t="s">
        <v>104</v>
      </c>
      <c r="E598" t="s">
        <v>93</v>
      </c>
      <c r="F598" t="s">
        <v>28</v>
      </c>
      <c r="G598">
        <v>17</v>
      </c>
      <c r="H598">
        <v>745655</v>
      </c>
      <c r="I598" s="5">
        <f>IFERROR(VLOOKUP(TrendSheetStgData[Population]&amp;TrendSheetStgData[Cost Basis]&amp;TrendSheetStgData[Period]&amp;TrendSheetStgData[Trend],TrendSheetPrdData[#All],9,FALSE),0)</f>
        <v>736835</v>
      </c>
      <c r="J5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1.1970115426113037</v>
      </c>
      <c r="K598" s="5">
        <f>VLOOKUP(TrendSheetStgData[Population]&amp;TrendSheetStgData[Trend],Threshold[#All],4,FALSE)</f>
        <v>10</v>
      </c>
      <c r="L598" s="5">
        <f>VLOOKUP(TrendSheetStgData[Population]&amp;TrendSheetStgData[Trend],Threshold[#All],5,FALSE)</f>
        <v>5</v>
      </c>
      <c r="M5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9" spans="1:13" x14ac:dyDescent="0.25">
      <c r="A599" t="s">
        <v>90</v>
      </c>
      <c r="B599" t="s">
        <v>90</v>
      </c>
      <c r="C599" t="s">
        <v>78</v>
      </c>
      <c r="D599" s="1" t="s">
        <v>105</v>
      </c>
      <c r="E599" t="s">
        <v>106</v>
      </c>
      <c r="F599" t="s">
        <v>28</v>
      </c>
      <c r="G599">
        <v>17</v>
      </c>
      <c r="H599">
        <v>880626</v>
      </c>
      <c r="I599" s="5">
        <f>IFERROR(VLOOKUP(TrendSheetStgData[Population]&amp;TrendSheetStgData[Cost Basis]&amp;TrendSheetStgData[Period]&amp;TrendSheetStgData[Trend],TrendSheetPrdData[#All],9,FALSE),0)</f>
        <v>812736</v>
      </c>
      <c r="J5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8.3532660051972609</v>
      </c>
      <c r="K599" s="5">
        <f>VLOOKUP(TrendSheetStgData[Population]&amp;TrendSheetStgData[Trend],Threshold[#All],4,FALSE)</f>
        <v>10</v>
      </c>
      <c r="L599" s="5">
        <f>VLOOKUP(TrendSheetStgData[Population]&amp;TrendSheetStgData[Trend],Threshold[#All],5,FALSE)</f>
        <v>5</v>
      </c>
      <c r="M5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00" spans="1:13" x14ac:dyDescent="0.25">
      <c r="A600" t="s">
        <v>90</v>
      </c>
      <c r="B600" t="s">
        <v>90</v>
      </c>
      <c r="C600" t="s">
        <v>78</v>
      </c>
      <c r="D600" s="1" t="s">
        <v>107</v>
      </c>
      <c r="E600" t="s">
        <v>106</v>
      </c>
      <c r="F600" t="s">
        <v>28</v>
      </c>
      <c r="G600">
        <v>17</v>
      </c>
      <c r="H600">
        <v>774047</v>
      </c>
      <c r="I600" s="5">
        <f>IFERROR(VLOOKUP(TrendSheetStgData[Population]&amp;TrendSheetStgData[Cost Basis]&amp;TrendSheetStgData[Period]&amp;TrendSheetStgData[Trend],TrendSheetPrdData[#All],9,FALSE),0)</f>
        <v>390577</v>
      </c>
      <c r="J6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98.180384405635763</v>
      </c>
      <c r="K600" s="5">
        <f>VLOOKUP(TrendSheetStgData[Population]&amp;TrendSheetStgData[Trend],Threshold[#All],4,FALSE)</f>
        <v>10</v>
      </c>
      <c r="L600" s="5">
        <f>VLOOKUP(TrendSheetStgData[Population]&amp;TrendSheetStgData[Trend],Threshold[#All],5,FALSE)</f>
        <v>5</v>
      </c>
      <c r="M6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01" spans="1:13" x14ac:dyDescent="0.25">
      <c r="A601" t="s">
        <v>90</v>
      </c>
      <c r="B601" t="s">
        <v>90</v>
      </c>
      <c r="C601" t="s">
        <v>78</v>
      </c>
      <c r="D601" s="1" t="s">
        <v>108</v>
      </c>
      <c r="E601" t="s">
        <v>106</v>
      </c>
      <c r="F601" t="s">
        <v>28</v>
      </c>
      <c r="G601">
        <v>17</v>
      </c>
      <c r="H601">
        <v>439609</v>
      </c>
      <c r="I601" s="5">
        <f>IFERROR(VLOOKUP(TrendSheetStgData[Population]&amp;TrendSheetStgData[Cost Basis]&amp;TrendSheetStgData[Period]&amp;TrendSheetStgData[Trend],TrendSheetPrdData[#All],9,FALSE),0)</f>
        <v>0</v>
      </c>
      <c r="J6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01" s="5">
        <f>VLOOKUP(TrendSheetStgData[Population]&amp;TrendSheetStgData[Trend],Threshold[#All],4,FALSE)</f>
        <v>10</v>
      </c>
      <c r="L601" s="5">
        <f>VLOOKUP(TrendSheetStgData[Population]&amp;TrendSheetStgData[Trend],Threshold[#All],5,FALSE)</f>
        <v>5</v>
      </c>
      <c r="M6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02" spans="1:13" x14ac:dyDescent="0.25">
      <c r="A602" t="s">
        <v>90</v>
      </c>
      <c r="B602" t="s">
        <v>90</v>
      </c>
      <c r="C602" t="s">
        <v>78</v>
      </c>
      <c r="D602" s="1" t="s">
        <v>92</v>
      </c>
      <c r="E602" t="s">
        <v>93</v>
      </c>
      <c r="F602" t="s">
        <v>29</v>
      </c>
      <c r="G602">
        <v>18</v>
      </c>
      <c r="H602">
        <v>372.14</v>
      </c>
      <c r="I602" s="5">
        <f>IFERROR(VLOOKUP(TrendSheetStgData[Population]&amp;TrendSheetStgData[Cost Basis]&amp;TrendSheetStgData[Period]&amp;TrendSheetStgData[Trend],TrendSheetPrdData[#All],9,FALSE),0)</f>
        <v>372.14</v>
      </c>
      <c r="J6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2" s="5">
        <f>VLOOKUP(TrendSheetStgData[Population]&amp;TrendSheetStgData[Trend],Threshold[#All],4,FALSE)</f>
        <v>10</v>
      </c>
      <c r="L602" s="5">
        <f>VLOOKUP(TrendSheetStgData[Population]&amp;TrendSheetStgData[Trend],Threshold[#All],5,FALSE)</f>
        <v>5</v>
      </c>
      <c r="M6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3" spans="1:13" x14ac:dyDescent="0.25">
      <c r="A603" t="s">
        <v>90</v>
      </c>
      <c r="B603" t="s">
        <v>90</v>
      </c>
      <c r="C603" t="s">
        <v>78</v>
      </c>
      <c r="D603" s="1" t="s">
        <v>94</v>
      </c>
      <c r="E603" t="s">
        <v>93</v>
      </c>
      <c r="F603" t="s">
        <v>29</v>
      </c>
      <c r="G603">
        <v>18</v>
      </c>
      <c r="H603">
        <v>380.74</v>
      </c>
      <c r="I603" s="5">
        <f>IFERROR(VLOOKUP(TrendSheetStgData[Population]&amp;TrendSheetStgData[Cost Basis]&amp;TrendSheetStgData[Period]&amp;TrendSheetStgData[Trend],TrendSheetPrdData[#All],9,FALSE),0)</f>
        <v>380.74</v>
      </c>
      <c r="J6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3" s="5">
        <f>VLOOKUP(TrendSheetStgData[Population]&amp;TrendSheetStgData[Trend],Threshold[#All],4,FALSE)</f>
        <v>10</v>
      </c>
      <c r="L603" s="5">
        <f>VLOOKUP(TrendSheetStgData[Population]&amp;TrendSheetStgData[Trend],Threshold[#All],5,FALSE)</f>
        <v>5</v>
      </c>
      <c r="M6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4" spans="1:13" x14ac:dyDescent="0.25">
      <c r="A604" t="s">
        <v>90</v>
      </c>
      <c r="B604" t="s">
        <v>90</v>
      </c>
      <c r="C604" t="s">
        <v>78</v>
      </c>
      <c r="D604" s="1" t="s">
        <v>95</v>
      </c>
      <c r="E604" t="s">
        <v>93</v>
      </c>
      <c r="F604" t="s">
        <v>29</v>
      </c>
      <c r="G604">
        <v>18</v>
      </c>
      <c r="H604">
        <v>379.05</v>
      </c>
      <c r="I604" s="5">
        <f>IFERROR(VLOOKUP(TrendSheetStgData[Population]&amp;TrendSheetStgData[Cost Basis]&amp;TrendSheetStgData[Period]&amp;TrendSheetStgData[Trend],TrendSheetPrdData[#All],9,FALSE),0)</f>
        <v>379.05</v>
      </c>
      <c r="J6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4" s="5">
        <f>VLOOKUP(TrendSheetStgData[Population]&amp;TrendSheetStgData[Trend],Threshold[#All],4,FALSE)</f>
        <v>10</v>
      </c>
      <c r="L604" s="5">
        <f>VLOOKUP(TrendSheetStgData[Population]&amp;TrendSheetStgData[Trend],Threshold[#All],5,FALSE)</f>
        <v>5</v>
      </c>
      <c r="M6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5" spans="1:13" x14ac:dyDescent="0.25">
      <c r="A605" t="s">
        <v>90</v>
      </c>
      <c r="B605" t="s">
        <v>90</v>
      </c>
      <c r="C605" t="s">
        <v>78</v>
      </c>
      <c r="D605" s="1" t="s">
        <v>96</v>
      </c>
      <c r="E605" t="s">
        <v>93</v>
      </c>
      <c r="F605" t="s">
        <v>29</v>
      </c>
      <c r="G605">
        <v>18</v>
      </c>
      <c r="H605">
        <v>384.76</v>
      </c>
      <c r="I605" s="5">
        <f>IFERROR(VLOOKUP(TrendSheetStgData[Population]&amp;TrendSheetStgData[Cost Basis]&amp;TrendSheetStgData[Period]&amp;TrendSheetStgData[Trend],TrendSheetPrdData[#All],9,FALSE),0)</f>
        <v>384.76</v>
      </c>
      <c r="J6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5" s="5">
        <f>VLOOKUP(TrendSheetStgData[Population]&amp;TrendSheetStgData[Trend],Threshold[#All],4,FALSE)</f>
        <v>10</v>
      </c>
      <c r="L605" s="5">
        <f>VLOOKUP(TrendSheetStgData[Population]&amp;TrendSheetStgData[Trend],Threshold[#All],5,FALSE)</f>
        <v>5</v>
      </c>
      <c r="M6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6" spans="1:13" x14ac:dyDescent="0.25">
      <c r="A606" t="s">
        <v>90</v>
      </c>
      <c r="B606" t="s">
        <v>90</v>
      </c>
      <c r="C606" t="s">
        <v>78</v>
      </c>
      <c r="D606" s="1" t="s">
        <v>97</v>
      </c>
      <c r="E606" t="s">
        <v>93</v>
      </c>
      <c r="F606" t="s">
        <v>29</v>
      </c>
      <c r="G606">
        <v>18</v>
      </c>
      <c r="H606">
        <v>386.07</v>
      </c>
      <c r="I606" s="5">
        <f>IFERROR(VLOOKUP(TrendSheetStgData[Population]&amp;TrendSheetStgData[Cost Basis]&amp;TrendSheetStgData[Period]&amp;TrendSheetStgData[Trend],TrendSheetPrdData[#All],9,FALSE),0)</f>
        <v>385.49</v>
      </c>
      <c r="J6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0.15045785882901866</v>
      </c>
      <c r="K606" s="5">
        <f>VLOOKUP(TrendSheetStgData[Population]&amp;TrendSheetStgData[Trend],Threshold[#All],4,FALSE)</f>
        <v>10</v>
      </c>
      <c r="L606" s="5">
        <f>VLOOKUP(TrendSheetStgData[Population]&amp;TrendSheetStgData[Trend],Threshold[#All],5,FALSE)</f>
        <v>5</v>
      </c>
      <c r="M6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7" spans="1:13" x14ac:dyDescent="0.25">
      <c r="A607" t="s">
        <v>90</v>
      </c>
      <c r="B607" t="s">
        <v>90</v>
      </c>
      <c r="C607" t="s">
        <v>78</v>
      </c>
      <c r="D607" s="1" t="s">
        <v>98</v>
      </c>
      <c r="E607" t="s">
        <v>93</v>
      </c>
      <c r="F607" t="s">
        <v>29</v>
      </c>
      <c r="G607">
        <v>18</v>
      </c>
      <c r="H607">
        <v>387.47</v>
      </c>
      <c r="I607" s="5">
        <f>IFERROR(VLOOKUP(TrendSheetStgData[Population]&amp;TrendSheetStgData[Cost Basis]&amp;TrendSheetStgData[Period]&amp;TrendSheetStgData[Trend],TrendSheetPrdData[#All],9,FALSE),0)</f>
        <v>386.53</v>
      </c>
      <c r="J6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0.24318940315112789</v>
      </c>
      <c r="K607" s="5">
        <f>VLOOKUP(TrendSheetStgData[Population]&amp;TrendSheetStgData[Trend],Threshold[#All],4,FALSE)</f>
        <v>10</v>
      </c>
      <c r="L607" s="5">
        <f>VLOOKUP(TrendSheetStgData[Population]&amp;TrendSheetStgData[Trend],Threshold[#All],5,FALSE)</f>
        <v>5</v>
      </c>
      <c r="M6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8" spans="1:13" x14ac:dyDescent="0.25">
      <c r="A608" t="s">
        <v>90</v>
      </c>
      <c r="B608" t="s">
        <v>90</v>
      </c>
      <c r="C608" t="s">
        <v>78</v>
      </c>
      <c r="D608" s="1" t="s">
        <v>99</v>
      </c>
      <c r="E608" t="s">
        <v>93</v>
      </c>
      <c r="F608" t="s">
        <v>29</v>
      </c>
      <c r="G608">
        <v>18</v>
      </c>
      <c r="H608">
        <v>382.3</v>
      </c>
      <c r="I608" s="5">
        <f>IFERROR(VLOOKUP(TrendSheetStgData[Population]&amp;TrendSheetStgData[Cost Basis]&amp;TrendSheetStgData[Period]&amp;TrendSheetStgData[Trend],TrendSheetPrdData[#All],9,FALSE),0)</f>
        <v>381.74</v>
      </c>
      <c r="J6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0.14669670456331593</v>
      </c>
      <c r="K608" s="5">
        <f>VLOOKUP(TrendSheetStgData[Population]&amp;TrendSheetStgData[Trend],Threshold[#All],4,FALSE)</f>
        <v>10</v>
      </c>
      <c r="L608" s="5">
        <f>VLOOKUP(TrendSheetStgData[Population]&amp;TrendSheetStgData[Trend],Threshold[#All],5,FALSE)</f>
        <v>5</v>
      </c>
      <c r="M6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9" spans="1:13" x14ac:dyDescent="0.25">
      <c r="A609" t="s">
        <v>90</v>
      </c>
      <c r="B609" t="s">
        <v>90</v>
      </c>
      <c r="C609" t="s">
        <v>78</v>
      </c>
      <c r="D609" s="1" t="s">
        <v>100</v>
      </c>
      <c r="E609" t="s">
        <v>93</v>
      </c>
      <c r="F609" t="s">
        <v>29</v>
      </c>
      <c r="G609">
        <v>18</v>
      </c>
      <c r="H609">
        <v>379.35</v>
      </c>
      <c r="I609" s="5">
        <f>IFERROR(VLOOKUP(TrendSheetStgData[Population]&amp;TrendSheetStgData[Cost Basis]&amp;TrendSheetStgData[Period]&amp;TrendSheetStgData[Trend],TrendSheetPrdData[#All],9,FALSE),0)</f>
        <v>378.1</v>
      </c>
      <c r="J6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0.33060037027241468</v>
      </c>
      <c r="K609" s="5">
        <f>VLOOKUP(TrendSheetStgData[Population]&amp;TrendSheetStgData[Trend],Threshold[#All],4,FALSE)</f>
        <v>10</v>
      </c>
      <c r="L609" s="5">
        <f>VLOOKUP(TrendSheetStgData[Population]&amp;TrendSheetStgData[Trend],Threshold[#All],5,FALSE)</f>
        <v>5</v>
      </c>
      <c r="M6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0" spans="1:13" x14ac:dyDescent="0.25">
      <c r="A610" t="s">
        <v>90</v>
      </c>
      <c r="B610" t="s">
        <v>90</v>
      </c>
      <c r="C610" t="s">
        <v>78</v>
      </c>
      <c r="D610" s="1" t="s">
        <v>101</v>
      </c>
      <c r="E610" t="s">
        <v>93</v>
      </c>
      <c r="F610" t="s">
        <v>29</v>
      </c>
      <c r="G610">
        <v>18</v>
      </c>
      <c r="H610">
        <v>381.73</v>
      </c>
      <c r="I610" s="5">
        <f>IFERROR(VLOOKUP(TrendSheetStgData[Population]&amp;TrendSheetStgData[Cost Basis]&amp;TrendSheetStgData[Period]&amp;TrendSheetStgData[Trend],TrendSheetPrdData[#All],9,FALSE),0)</f>
        <v>380.63</v>
      </c>
      <c r="J6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0.28899456164780041</v>
      </c>
      <c r="K610" s="5">
        <f>VLOOKUP(TrendSheetStgData[Population]&amp;TrendSheetStgData[Trend],Threshold[#All],4,FALSE)</f>
        <v>10</v>
      </c>
      <c r="L610" s="5">
        <f>VLOOKUP(TrendSheetStgData[Population]&amp;TrendSheetStgData[Trend],Threshold[#All],5,FALSE)</f>
        <v>5</v>
      </c>
      <c r="M6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1" spans="1:13" x14ac:dyDescent="0.25">
      <c r="A611" t="s">
        <v>90</v>
      </c>
      <c r="B611" t="s">
        <v>90</v>
      </c>
      <c r="C611" t="s">
        <v>78</v>
      </c>
      <c r="D611" s="1" t="s">
        <v>102</v>
      </c>
      <c r="E611" t="s">
        <v>93</v>
      </c>
      <c r="F611" t="s">
        <v>29</v>
      </c>
      <c r="G611">
        <v>18</v>
      </c>
      <c r="H611">
        <v>382.23</v>
      </c>
      <c r="I611" s="5">
        <f>IFERROR(VLOOKUP(TrendSheetStgData[Population]&amp;TrendSheetStgData[Cost Basis]&amp;TrendSheetStgData[Period]&amp;TrendSheetStgData[Trend],TrendSheetPrdData[#All],9,FALSE),0)</f>
        <v>379.8</v>
      </c>
      <c r="J6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0.63981042654028608</v>
      </c>
      <c r="K611" s="5">
        <f>VLOOKUP(TrendSheetStgData[Population]&amp;TrendSheetStgData[Trend],Threshold[#All],4,FALSE)</f>
        <v>10</v>
      </c>
      <c r="L611" s="5">
        <f>VLOOKUP(TrendSheetStgData[Population]&amp;TrendSheetStgData[Trend],Threshold[#All],5,FALSE)</f>
        <v>5</v>
      </c>
      <c r="M6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2" spans="1:13" x14ac:dyDescent="0.25">
      <c r="A612" t="s">
        <v>90</v>
      </c>
      <c r="B612" t="s">
        <v>90</v>
      </c>
      <c r="C612" t="s">
        <v>78</v>
      </c>
      <c r="D612" s="1" t="s">
        <v>103</v>
      </c>
      <c r="E612" t="s">
        <v>93</v>
      </c>
      <c r="F612" t="s">
        <v>29</v>
      </c>
      <c r="G612">
        <v>18</v>
      </c>
      <c r="H612">
        <v>370.36</v>
      </c>
      <c r="I612" s="5">
        <f>IFERROR(VLOOKUP(TrendSheetStgData[Population]&amp;TrendSheetStgData[Cost Basis]&amp;TrendSheetStgData[Period]&amp;TrendSheetStgData[Trend],TrendSheetPrdData[#All],9,FALSE),0)</f>
        <v>367.95</v>
      </c>
      <c r="J6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0.65498029623590848</v>
      </c>
      <c r="K612" s="5">
        <f>VLOOKUP(TrendSheetStgData[Population]&amp;TrendSheetStgData[Trend],Threshold[#All],4,FALSE)</f>
        <v>10</v>
      </c>
      <c r="L612" s="5">
        <f>VLOOKUP(TrendSheetStgData[Population]&amp;TrendSheetStgData[Trend],Threshold[#All],5,FALSE)</f>
        <v>5</v>
      </c>
      <c r="M6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3" spans="1:13" x14ac:dyDescent="0.25">
      <c r="A613" t="s">
        <v>90</v>
      </c>
      <c r="B613" t="s">
        <v>90</v>
      </c>
      <c r="C613" t="s">
        <v>78</v>
      </c>
      <c r="D613" s="1" t="s">
        <v>104</v>
      </c>
      <c r="E613" t="s">
        <v>93</v>
      </c>
      <c r="F613" t="s">
        <v>29</v>
      </c>
      <c r="G613">
        <v>18</v>
      </c>
      <c r="H613">
        <v>374.09</v>
      </c>
      <c r="I613" s="5">
        <f>IFERROR(VLOOKUP(TrendSheetStgData[Population]&amp;TrendSheetStgData[Cost Basis]&amp;TrendSheetStgData[Period]&amp;TrendSheetStgData[Trend],TrendSheetPrdData[#All],9,FALSE),0)</f>
        <v>371.07</v>
      </c>
      <c r="J6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0.81386261352305</v>
      </c>
      <c r="K613" s="5">
        <f>VLOOKUP(TrendSheetStgData[Population]&amp;TrendSheetStgData[Trend],Threshold[#All],4,FALSE)</f>
        <v>10</v>
      </c>
      <c r="L613" s="5">
        <f>VLOOKUP(TrendSheetStgData[Population]&amp;TrendSheetStgData[Trend],Threshold[#All],5,FALSE)</f>
        <v>5</v>
      </c>
      <c r="M6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4" spans="1:13" x14ac:dyDescent="0.25">
      <c r="A614" t="s">
        <v>90</v>
      </c>
      <c r="B614" t="s">
        <v>90</v>
      </c>
      <c r="C614" t="s">
        <v>78</v>
      </c>
      <c r="D614" s="1" t="s">
        <v>105</v>
      </c>
      <c r="E614" t="s">
        <v>106</v>
      </c>
      <c r="F614" t="s">
        <v>29</v>
      </c>
      <c r="G614">
        <v>18</v>
      </c>
      <c r="H614">
        <v>377.28</v>
      </c>
      <c r="I614" s="5">
        <f>IFERROR(VLOOKUP(TrendSheetStgData[Population]&amp;TrendSheetStgData[Cost Basis]&amp;TrendSheetStgData[Period]&amp;TrendSheetStgData[Trend],TrendSheetPrdData[#All],9,FALSE),0)</f>
        <v>372.72</v>
      </c>
      <c r="J6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1.2234385061171777</v>
      </c>
      <c r="K614" s="5">
        <f>VLOOKUP(TrendSheetStgData[Population]&amp;TrendSheetStgData[Trend],Threshold[#All],4,FALSE)</f>
        <v>10</v>
      </c>
      <c r="L614" s="5">
        <f>VLOOKUP(TrendSheetStgData[Population]&amp;TrendSheetStgData[Trend],Threshold[#All],5,FALSE)</f>
        <v>5</v>
      </c>
      <c r="M6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5" spans="1:13" x14ac:dyDescent="0.25">
      <c r="A615" t="s">
        <v>90</v>
      </c>
      <c r="B615" t="s">
        <v>90</v>
      </c>
      <c r="C615" t="s">
        <v>78</v>
      </c>
      <c r="D615" s="1" t="s">
        <v>107</v>
      </c>
      <c r="E615" t="s">
        <v>106</v>
      </c>
      <c r="F615" t="s">
        <v>29</v>
      </c>
      <c r="G615">
        <v>18</v>
      </c>
      <c r="H615">
        <v>371.59</v>
      </c>
      <c r="I615" s="5">
        <f>IFERROR(VLOOKUP(TrendSheetStgData[Population]&amp;TrendSheetStgData[Cost Basis]&amp;TrendSheetStgData[Period]&amp;TrendSheetStgData[Trend],TrendSheetPrdData[#All],9,FALSE),0)</f>
        <v>360.87</v>
      </c>
      <c r="J6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2.9705988306038105</v>
      </c>
      <c r="K615" s="5">
        <f>VLOOKUP(TrendSheetStgData[Population]&amp;TrendSheetStgData[Trend],Threshold[#All],4,FALSE)</f>
        <v>10</v>
      </c>
      <c r="L615" s="5">
        <f>VLOOKUP(TrendSheetStgData[Population]&amp;TrendSheetStgData[Trend],Threshold[#All],5,FALSE)</f>
        <v>5</v>
      </c>
      <c r="M6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6" spans="1:13" x14ac:dyDescent="0.25">
      <c r="A616" t="s">
        <v>90</v>
      </c>
      <c r="B616" t="s">
        <v>90</v>
      </c>
      <c r="C616" t="s">
        <v>78</v>
      </c>
      <c r="D616" s="1" t="s">
        <v>108</v>
      </c>
      <c r="E616" t="s">
        <v>106</v>
      </c>
      <c r="F616" t="s">
        <v>29</v>
      </c>
      <c r="G616">
        <v>18</v>
      </c>
      <c r="H616">
        <v>366.49</v>
      </c>
      <c r="I616" s="5">
        <f>IFERROR(VLOOKUP(TrendSheetStgData[Population]&amp;TrendSheetStgData[Cost Basis]&amp;TrendSheetStgData[Period]&amp;TrendSheetStgData[Trend],TrendSheetPrdData[#All],9,FALSE),0)</f>
        <v>0</v>
      </c>
      <c r="J6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16" s="5">
        <f>VLOOKUP(TrendSheetStgData[Population]&amp;TrendSheetStgData[Trend],Threshold[#All],4,FALSE)</f>
        <v>10</v>
      </c>
      <c r="L616" s="5">
        <f>VLOOKUP(TrendSheetStgData[Population]&amp;TrendSheetStgData[Trend],Threshold[#All],5,FALSE)</f>
        <v>5</v>
      </c>
      <c r="M6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17" spans="1:13" x14ac:dyDescent="0.25">
      <c r="A617" t="s">
        <v>90</v>
      </c>
      <c r="B617" t="s">
        <v>90</v>
      </c>
      <c r="C617" t="s">
        <v>78</v>
      </c>
      <c r="D617" s="1" t="s">
        <v>92</v>
      </c>
      <c r="E617" t="s">
        <v>93</v>
      </c>
      <c r="F617" t="s">
        <v>30</v>
      </c>
      <c r="G617">
        <v>19</v>
      </c>
      <c r="H617">
        <v>363</v>
      </c>
      <c r="I617" s="5">
        <f>IFERROR(VLOOKUP(TrendSheetStgData[Population]&amp;TrendSheetStgData[Cost Basis]&amp;TrendSheetStgData[Period]&amp;TrendSheetStgData[Trend],TrendSheetPrdData[#All],9,FALSE),0)</f>
        <v>360</v>
      </c>
      <c r="J6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0.83333333333333337</v>
      </c>
      <c r="K617" s="5">
        <f>VLOOKUP(TrendSheetStgData[Population]&amp;TrendSheetStgData[Trend],Threshold[#All],4,FALSE)</f>
        <v>10</v>
      </c>
      <c r="L617" s="5">
        <f>VLOOKUP(TrendSheetStgData[Population]&amp;TrendSheetStgData[Trend],Threshold[#All],5,FALSE)</f>
        <v>5</v>
      </c>
      <c r="M6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8" spans="1:13" x14ac:dyDescent="0.25">
      <c r="A618" t="s">
        <v>90</v>
      </c>
      <c r="B618" t="s">
        <v>90</v>
      </c>
      <c r="C618" t="s">
        <v>78</v>
      </c>
      <c r="D618" s="1" t="s">
        <v>94</v>
      </c>
      <c r="E618" t="s">
        <v>93</v>
      </c>
      <c r="F618" t="s">
        <v>30</v>
      </c>
      <c r="G618">
        <v>19</v>
      </c>
      <c r="H618">
        <v>335</v>
      </c>
      <c r="I618" s="5">
        <f>IFERROR(VLOOKUP(TrendSheetStgData[Population]&amp;TrendSheetStgData[Cost Basis]&amp;TrendSheetStgData[Period]&amp;TrendSheetStgData[Trend],TrendSheetPrdData[#All],9,FALSE),0)</f>
        <v>335</v>
      </c>
      <c r="J6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8" s="5">
        <f>VLOOKUP(TrendSheetStgData[Population]&amp;TrendSheetStgData[Trend],Threshold[#All],4,FALSE)</f>
        <v>10</v>
      </c>
      <c r="L618" s="5">
        <f>VLOOKUP(TrendSheetStgData[Population]&amp;TrendSheetStgData[Trend],Threshold[#All],5,FALSE)</f>
        <v>5</v>
      </c>
      <c r="M6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9" spans="1:13" x14ac:dyDescent="0.25">
      <c r="A619" t="s">
        <v>90</v>
      </c>
      <c r="B619" t="s">
        <v>90</v>
      </c>
      <c r="C619" t="s">
        <v>78</v>
      </c>
      <c r="D619" s="1" t="s">
        <v>95</v>
      </c>
      <c r="E619" t="s">
        <v>93</v>
      </c>
      <c r="F619" t="s">
        <v>30</v>
      </c>
      <c r="G619">
        <v>19</v>
      </c>
      <c r="H619">
        <v>286</v>
      </c>
      <c r="I619" s="5">
        <f>IFERROR(VLOOKUP(TrendSheetStgData[Population]&amp;TrendSheetStgData[Cost Basis]&amp;TrendSheetStgData[Period]&amp;TrendSheetStgData[Trend],TrendSheetPrdData[#All],9,FALSE),0)</f>
        <v>223</v>
      </c>
      <c r="J6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28.251121076233183</v>
      </c>
      <c r="K619" s="5">
        <f>VLOOKUP(TrendSheetStgData[Population]&amp;TrendSheetStgData[Trend],Threshold[#All],4,FALSE)</f>
        <v>10</v>
      </c>
      <c r="L619" s="5">
        <f>VLOOKUP(TrendSheetStgData[Population]&amp;TrendSheetStgData[Trend],Threshold[#All],5,FALSE)</f>
        <v>5</v>
      </c>
      <c r="M6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20" spans="1:13" x14ac:dyDescent="0.25">
      <c r="A620" t="s">
        <v>90</v>
      </c>
      <c r="B620" t="s">
        <v>90</v>
      </c>
      <c r="C620" t="s">
        <v>78</v>
      </c>
      <c r="D620" s="1" t="s">
        <v>96</v>
      </c>
      <c r="E620" t="s">
        <v>93</v>
      </c>
      <c r="F620" t="s">
        <v>30</v>
      </c>
      <c r="G620">
        <v>19</v>
      </c>
      <c r="H620">
        <v>372</v>
      </c>
      <c r="I620" s="5">
        <f>IFERROR(VLOOKUP(TrendSheetStgData[Population]&amp;TrendSheetStgData[Cost Basis]&amp;TrendSheetStgData[Period]&amp;TrendSheetStgData[Trend],TrendSheetPrdData[#All],9,FALSE),0)</f>
        <v>372</v>
      </c>
      <c r="J6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0" s="5">
        <f>VLOOKUP(TrendSheetStgData[Population]&amp;TrendSheetStgData[Trend],Threshold[#All],4,FALSE)</f>
        <v>10</v>
      </c>
      <c r="L620" s="5">
        <f>VLOOKUP(TrendSheetStgData[Population]&amp;TrendSheetStgData[Trend],Threshold[#All],5,FALSE)</f>
        <v>5</v>
      </c>
      <c r="M6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1" spans="1:13" x14ac:dyDescent="0.25">
      <c r="A621" t="s">
        <v>90</v>
      </c>
      <c r="B621" t="s">
        <v>90</v>
      </c>
      <c r="C621" t="s">
        <v>78</v>
      </c>
      <c r="D621" s="1" t="s">
        <v>97</v>
      </c>
      <c r="E621" t="s">
        <v>93</v>
      </c>
      <c r="F621" t="s">
        <v>30</v>
      </c>
      <c r="G621">
        <v>19</v>
      </c>
      <c r="H621">
        <v>271</v>
      </c>
      <c r="I621" s="5">
        <f>IFERROR(VLOOKUP(TrendSheetStgData[Population]&amp;TrendSheetStgData[Cost Basis]&amp;TrendSheetStgData[Period]&amp;TrendSheetStgData[Trend],TrendSheetPrdData[#All],9,FALSE),0)</f>
        <v>271</v>
      </c>
      <c r="J6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1" s="5">
        <f>VLOOKUP(TrendSheetStgData[Population]&amp;TrendSheetStgData[Trend],Threshold[#All],4,FALSE)</f>
        <v>10</v>
      </c>
      <c r="L621" s="5">
        <f>VLOOKUP(TrendSheetStgData[Population]&amp;TrendSheetStgData[Trend],Threshold[#All],5,FALSE)</f>
        <v>5</v>
      </c>
      <c r="M6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2" spans="1:13" x14ac:dyDescent="0.25">
      <c r="A622" t="s">
        <v>90</v>
      </c>
      <c r="B622" t="s">
        <v>90</v>
      </c>
      <c r="C622" t="s">
        <v>78</v>
      </c>
      <c r="D622" s="1" t="s">
        <v>98</v>
      </c>
      <c r="E622" t="s">
        <v>93</v>
      </c>
      <c r="F622" t="s">
        <v>30</v>
      </c>
      <c r="G622">
        <v>19</v>
      </c>
      <c r="H622">
        <v>279</v>
      </c>
      <c r="I622" s="5">
        <f>IFERROR(VLOOKUP(TrendSheetStgData[Population]&amp;TrendSheetStgData[Cost Basis]&amp;TrendSheetStgData[Period]&amp;TrendSheetStgData[Trend],TrendSheetPrdData[#All],9,FALSE),0)</f>
        <v>277</v>
      </c>
      <c r="J6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0.72202166064981954</v>
      </c>
      <c r="K622" s="5">
        <f>VLOOKUP(TrendSheetStgData[Population]&amp;TrendSheetStgData[Trend],Threshold[#All],4,FALSE)</f>
        <v>10</v>
      </c>
      <c r="L622" s="5">
        <f>VLOOKUP(TrendSheetStgData[Population]&amp;TrendSheetStgData[Trend],Threshold[#All],5,FALSE)</f>
        <v>5</v>
      </c>
      <c r="M6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3" spans="1:13" x14ac:dyDescent="0.25">
      <c r="A623" t="s">
        <v>90</v>
      </c>
      <c r="B623" t="s">
        <v>90</v>
      </c>
      <c r="C623" t="s">
        <v>78</v>
      </c>
      <c r="D623" s="1" t="s">
        <v>99</v>
      </c>
      <c r="E623" t="s">
        <v>93</v>
      </c>
      <c r="F623" t="s">
        <v>30</v>
      </c>
      <c r="G623">
        <v>19</v>
      </c>
      <c r="H623">
        <v>302</v>
      </c>
      <c r="I623" s="5">
        <f>IFERROR(VLOOKUP(TrendSheetStgData[Population]&amp;TrendSheetStgData[Cost Basis]&amp;TrendSheetStgData[Period]&amp;TrendSheetStgData[Trend],TrendSheetPrdData[#All],9,FALSE),0)</f>
        <v>302</v>
      </c>
      <c r="J6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3" s="5">
        <f>VLOOKUP(TrendSheetStgData[Population]&amp;TrendSheetStgData[Trend],Threshold[#All],4,FALSE)</f>
        <v>10</v>
      </c>
      <c r="L623" s="5">
        <f>VLOOKUP(TrendSheetStgData[Population]&amp;TrendSheetStgData[Trend],Threshold[#All],5,FALSE)</f>
        <v>5</v>
      </c>
      <c r="M6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4" spans="1:13" x14ac:dyDescent="0.25">
      <c r="A624" t="s">
        <v>90</v>
      </c>
      <c r="B624" t="s">
        <v>90</v>
      </c>
      <c r="C624" t="s">
        <v>78</v>
      </c>
      <c r="D624" s="1" t="s">
        <v>100</v>
      </c>
      <c r="E624" t="s">
        <v>93</v>
      </c>
      <c r="F624" t="s">
        <v>30</v>
      </c>
      <c r="G624">
        <v>19</v>
      </c>
      <c r="H624">
        <v>787</v>
      </c>
      <c r="I624" s="5">
        <f>IFERROR(VLOOKUP(TrendSheetStgData[Population]&amp;TrendSheetStgData[Cost Basis]&amp;TrendSheetStgData[Period]&amp;TrendSheetStgData[Trend],TrendSheetPrdData[#All],9,FALSE),0)</f>
        <v>787</v>
      </c>
      <c r="J6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4" s="5">
        <f>VLOOKUP(TrendSheetStgData[Population]&amp;TrendSheetStgData[Trend],Threshold[#All],4,FALSE)</f>
        <v>10</v>
      </c>
      <c r="L624" s="5">
        <f>VLOOKUP(TrendSheetStgData[Population]&amp;TrendSheetStgData[Trend],Threshold[#All],5,FALSE)</f>
        <v>5</v>
      </c>
      <c r="M6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5" spans="1:13" x14ac:dyDescent="0.25">
      <c r="A625" t="s">
        <v>90</v>
      </c>
      <c r="B625" t="s">
        <v>90</v>
      </c>
      <c r="C625" t="s">
        <v>78</v>
      </c>
      <c r="D625" s="1" t="s">
        <v>101</v>
      </c>
      <c r="E625" t="s">
        <v>93</v>
      </c>
      <c r="F625" t="s">
        <v>30</v>
      </c>
      <c r="G625">
        <v>19</v>
      </c>
      <c r="H625">
        <v>466</v>
      </c>
      <c r="I625" s="5">
        <f>IFERROR(VLOOKUP(TrendSheetStgData[Population]&amp;TrendSheetStgData[Cost Basis]&amp;TrendSheetStgData[Period]&amp;TrendSheetStgData[Trend],TrendSheetPrdData[#All],9,FALSE),0)</f>
        <v>469</v>
      </c>
      <c r="J6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0.63965884861407252</v>
      </c>
      <c r="K625" s="5">
        <f>VLOOKUP(TrendSheetStgData[Population]&amp;TrendSheetStgData[Trend],Threshold[#All],4,FALSE)</f>
        <v>10</v>
      </c>
      <c r="L625" s="5">
        <f>VLOOKUP(TrendSheetStgData[Population]&amp;TrendSheetStgData[Trend],Threshold[#All],5,FALSE)</f>
        <v>5</v>
      </c>
      <c r="M6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6" spans="1:13" x14ac:dyDescent="0.25">
      <c r="A626" t="s">
        <v>90</v>
      </c>
      <c r="B626" t="s">
        <v>90</v>
      </c>
      <c r="C626" t="s">
        <v>78</v>
      </c>
      <c r="D626" s="1" t="s">
        <v>102</v>
      </c>
      <c r="E626" t="s">
        <v>93</v>
      </c>
      <c r="F626" t="s">
        <v>30</v>
      </c>
      <c r="G626">
        <v>19</v>
      </c>
      <c r="H626">
        <v>133</v>
      </c>
      <c r="I626" s="5">
        <f>IFERROR(VLOOKUP(TrendSheetStgData[Population]&amp;TrendSheetStgData[Cost Basis]&amp;TrendSheetStgData[Period]&amp;TrendSheetStgData[Trend],TrendSheetPrdData[#All],9,FALSE),0)</f>
        <v>138</v>
      </c>
      <c r="J6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3.6231884057971016</v>
      </c>
      <c r="K626" s="5">
        <f>VLOOKUP(TrendSheetStgData[Population]&amp;TrendSheetStgData[Trend],Threshold[#All],4,FALSE)</f>
        <v>10</v>
      </c>
      <c r="L626" s="5">
        <f>VLOOKUP(TrendSheetStgData[Population]&amp;TrendSheetStgData[Trend],Threshold[#All],5,FALSE)</f>
        <v>5</v>
      </c>
      <c r="M6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7" spans="1:13" x14ac:dyDescent="0.25">
      <c r="A627" t="s">
        <v>90</v>
      </c>
      <c r="B627" t="s">
        <v>90</v>
      </c>
      <c r="C627" t="s">
        <v>78</v>
      </c>
      <c r="D627" s="1" t="s">
        <v>103</v>
      </c>
      <c r="E627" t="s">
        <v>93</v>
      </c>
      <c r="F627" t="s">
        <v>30</v>
      </c>
      <c r="G627">
        <v>19</v>
      </c>
      <c r="H627">
        <v>141</v>
      </c>
      <c r="I627" s="5">
        <f>IFERROR(VLOOKUP(TrendSheetStgData[Population]&amp;TrendSheetStgData[Cost Basis]&amp;TrendSheetStgData[Period]&amp;TrendSheetStgData[Trend],TrendSheetPrdData[#All],9,FALSE),0)</f>
        <v>86</v>
      </c>
      <c r="J6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63.953488372093027</v>
      </c>
      <c r="K627" s="5">
        <f>VLOOKUP(TrendSheetStgData[Population]&amp;TrendSheetStgData[Trend],Threshold[#All],4,FALSE)</f>
        <v>10</v>
      </c>
      <c r="L627" s="5">
        <f>VLOOKUP(TrendSheetStgData[Population]&amp;TrendSheetStgData[Trend],Threshold[#All],5,FALSE)</f>
        <v>5</v>
      </c>
      <c r="M6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28" spans="1:13" x14ac:dyDescent="0.25">
      <c r="A628" t="s">
        <v>90</v>
      </c>
      <c r="B628" t="s">
        <v>90</v>
      </c>
      <c r="C628" t="s">
        <v>78</v>
      </c>
      <c r="D628" s="1" t="s">
        <v>104</v>
      </c>
      <c r="E628" t="s">
        <v>93</v>
      </c>
      <c r="F628" t="s">
        <v>30</v>
      </c>
      <c r="G628">
        <v>19</v>
      </c>
      <c r="H628">
        <v>175</v>
      </c>
      <c r="I628" s="5">
        <f>IFERROR(VLOOKUP(TrendSheetStgData[Population]&amp;TrendSheetStgData[Cost Basis]&amp;TrendSheetStgData[Period]&amp;TrendSheetStgData[Trend],TrendSheetPrdData[#All],9,FALSE),0)</f>
        <v>175</v>
      </c>
      <c r="J6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8" s="5">
        <f>VLOOKUP(TrendSheetStgData[Population]&amp;TrendSheetStgData[Trend],Threshold[#All],4,FALSE)</f>
        <v>10</v>
      </c>
      <c r="L628" s="5">
        <f>VLOOKUP(TrendSheetStgData[Population]&amp;TrendSheetStgData[Trend],Threshold[#All],5,FALSE)</f>
        <v>5</v>
      </c>
      <c r="M6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9" spans="1:13" x14ac:dyDescent="0.25">
      <c r="A629" t="s">
        <v>90</v>
      </c>
      <c r="B629" t="s">
        <v>90</v>
      </c>
      <c r="C629" t="s">
        <v>78</v>
      </c>
      <c r="D629" s="1" t="s">
        <v>105</v>
      </c>
      <c r="E629" t="s">
        <v>106</v>
      </c>
      <c r="F629" t="s">
        <v>30</v>
      </c>
      <c r="G629">
        <v>19</v>
      </c>
      <c r="H629">
        <v>125</v>
      </c>
      <c r="I629" s="5">
        <f>IFERROR(VLOOKUP(TrendSheetStgData[Population]&amp;TrendSheetStgData[Cost Basis]&amp;TrendSheetStgData[Period]&amp;TrendSheetStgData[Trend],TrendSheetPrdData[#All],9,FALSE),0)</f>
        <v>115</v>
      </c>
      <c r="J6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8.695652173913043</v>
      </c>
      <c r="K629" s="5">
        <f>VLOOKUP(TrendSheetStgData[Population]&amp;TrendSheetStgData[Trend],Threshold[#All],4,FALSE)</f>
        <v>10</v>
      </c>
      <c r="L629" s="5">
        <f>VLOOKUP(TrendSheetStgData[Population]&amp;TrendSheetStgData[Trend],Threshold[#All],5,FALSE)</f>
        <v>5</v>
      </c>
      <c r="M6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30" spans="1:13" x14ac:dyDescent="0.25">
      <c r="A630" t="s">
        <v>90</v>
      </c>
      <c r="B630" t="s">
        <v>90</v>
      </c>
      <c r="C630" t="s">
        <v>78</v>
      </c>
      <c r="D630" s="1" t="s">
        <v>107</v>
      </c>
      <c r="E630" t="s">
        <v>106</v>
      </c>
      <c r="F630" t="s">
        <v>30</v>
      </c>
      <c r="G630">
        <v>19</v>
      </c>
      <c r="H630">
        <v>115</v>
      </c>
      <c r="I630" s="5">
        <f>IFERROR(VLOOKUP(TrendSheetStgData[Population]&amp;TrendSheetStgData[Cost Basis]&amp;TrendSheetStgData[Period]&amp;TrendSheetStgData[Trend],TrendSheetPrdData[#All],9,FALSE),0)</f>
        <v>43</v>
      </c>
      <c r="J6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167.44186046511629</v>
      </c>
      <c r="K630" s="5">
        <f>VLOOKUP(TrendSheetStgData[Population]&amp;TrendSheetStgData[Trend],Threshold[#All],4,FALSE)</f>
        <v>10</v>
      </c>
      <c r="L630" s="5">
        <f>VLOOKUP(TrendSheetStgData[Population]&amp;TrendSheetStgData[Trend],Threshold[#All],5,FALSE)</f>
        <v>5</v>
      </c>
      <c r="M6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31" spans="1:13" x14ac:dyDescent="0.25">
      <c r="A631" t="s">
        <v>90</v>
      </c>
      <c r="B631" t="s">
        <v>90</v>
      </c>
      <c r="C631" t="s">
        <v>78</v>
      </c>
      <c r="D631" s="1" t="s">
        <v>108</v>
      </c>
      <c r="E631" t="s">
        <v>106</v>
      </c>
      <c r="F631" t="s">
        <v>30</v>
      </c>
      <c r="G631">
        <v>19</v>
      </c>
      <c r="H631">
        <v>43</v>
      </c>
      <c r="I631" s="5">
        <f>IFERROR(VLOOKUP(TrendSheetStgData[Population]&amp;TrendSheetStgData[Cost Basis]&amp;TrendSheetStgData[Period]&amp;TrendSheetStgData[Trend],TrendSheetPrdData[#All],9,FALSE),0)</f>
        <v>0</v>
      </c>
      <c r="J6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31" s="5">
        <f>VLOOKUP(TrendSheetStgData[Population]&amp;TrendSheetStgData[Trend],Threshold[#All],4,FALSE)</f>
        <v>10</v>
      </c>
      <c r="L631" s="5">
        <f>VLOOKUP(TrendSheetStgData[Population]&amp;TrendSheetStgData[Trend],Threshold[#All],5,FALSE)</f>
        <v>5</v>
      </c>
      <c r="M6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32" spans="1:13" x14ac:dyDescent="0.25">
      <c r="A632" t="s">
        <v>90</v>
      </c>
      <c r="B632" t="s">
        <v>90</v>
      </c>
      <c r="C632" t="s">
        <v>78</v>
      </c>
      <c r="D632" s="1" t="s">
        <v>92</v>
      </c>
      <c r="E632" t="s">
        <v>93</v>
      </c>
      <c r="F632" t="s">
        <v>31</v>
      </c>
      <c r="G632">
        <v>20</v>
      </c>
      <c r="H632">
        <v>3001</v>
      </c>
      <c r="I632" s="5">
        <f>IFERROR(VLOOKUP(TrendSheetStgData[Population]&amp;TrendSheetStgData[Cost Basis]&amp;TrendSheetStgData[Period]&amp;TrendSheetStgData[Trend],TrendSheetPrdData[#All],9,FALSE),0)</f>
        <v>2992</v>
      </c>
      <c r="J6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0.30080213903743314</v>
      </c>
      <c r="K632" s="5">
        <f>VLOOKUP(TrendSheetStgData[Population]&amp;TrendSheetStgData[Trend],Threshold[#All],4,FALSE)</f>
        <v>10</v>
      </c>
      <c r="L632" s="5">
        <f>VLOOKUP(TrendSheetStgData[Population]&amp;TrendSheetStgData[Trend],Threshold[#All],5,FALSE)</f>
        <v>5</v>
      </c>
      <c r="M6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3" spans="1:13" x14ac:dyDescent="0.25">
      <c r="A633" t="s">
        <v>90</v>
      </c>
      <c r="B633" t="s">
        <v>90</v>
      </c>
      <c r="C633" t="s">
        <v>78</v>
      </c>
      <c r="D633" s="1" t="s">
        <v>94</v>
      </c>
      <c r="E633" t="s">
        <v>93</v>
      </c>
      <c r="F633" t="s">
        <v>31</v>
      </c>
      <c r="G633">
        <v>20</v>
      </c>
      <c r="H633">
        <v>2908</v>
      </c>
      <c r="I633" s="5">
        <f>IFERROR(VLOOKUP(TrendSheetStgData[Population]&amp;TrendSheetStgData[Cost Basis]&amp;TrendSheetStgData[Period]&amp;TrendSheetStgData[Trend],TrendSheetPrdData[#All],9,FALSE),0)</f>
        <v>2889</v>
      </c>
      <c r="J6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0.65766701280719975</v>
      </c>
      <c r="K633" s="5">
        <f>VLOOKUP(TrendSheetStgData[Population]&amp;TrendSheetStgData[Trend],Threshold[#All],4,FALSE)</f>
        <v>10</v>
      </c>
      <c r="L633" s="5">
        <f>VLOOKUP(TrendSheetStgData[Population]&amp;TrendSheetStgData[Trend],Threshold[#All],5,FALSE)</f>
        <v>5</v>
      </c>
      <c r="M6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4" spans="1:13" x14ac:dyDescent="0.25">
      <c r="A634" t="s">
        <v>90</v>
      </c>
      <c r="B634" t="s">
        <v>90</v>
      </c>
      <c r="C634" t="s">
        <v>78</v>
      </c>
      <c r="D634" s="1" t="s">
        <v>95</v>
      </c>
      <c r="E634" t="s">
        <v>93</v>
      </c>
      <c r="F634" t="s">
        <v>31</v>
      </c>
      <c r="G634">
        <v>20</v>
      </c>
      <c r="H634">
        <v>2729</v>
      </c>
      <c r="I634" s="5">
        <f>IFERROR(VLOOKUP(TrendSheetStgData[Population]&amp;TrendSheetStgData[Cost Basis]&amp;TrendSheetStgData[Period]&amp;TrendSheetStgData[Trend],TrendSheetPrdData[#All],9,FALSE),0)</f>
        <v>2728</v>
      </c>
      <c r="J6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3.6656891495601175E-2</v>
      </c>
      <c r="K634" s="5">
        <f>VLOOKUP(TrendSheetStgData[Population]&amp;TrendSheetStgData[Trend],Threshold[#All],4,FALSE)</f>
        <v>10</v>
      </c>
      <c r="L634" s="5">
        <f>VLOOKUP(TrendSheetStgData[Population]&amp;TrendSheetStgData[Trend],Threshold[#All],5,FALSE)</f>
        <v>5</v>
      </c>
      <c r="M6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5" spans="1:13" x14ac:dyDescent="0.25">
      <c r="A635" t="s">
        <v>90</v>
      </c>
      <c r="B635" t="s">
        <v>90</v>
      </c>
      <c r="C635" t="s">
        <v>78</v>
      </c>
      <c r="D635" s="1" t="s">
        <v>96</v>
      </c>
      <c r="E635" t="s">
        <v>93</v>
      </c>
      <c r="F635" t="s">
        <v>31</v>
      </c>
      <c r="G635">
        <v>20</v>
      </c>
      <c r="H635">
        <v>2656</v>
      </c>
      <c r="I635" s="5">
        <f>IFERROR(VLOOKUP(TrendSheetStgData[Population]&amp;TrendSheetStgData[Cost Basis]&amp;TrendSheetStgData[Period]&amp;TrendSheetStgData[Trend],TrendSheetPrdData[#All],9,FALSE),0)</f>
        <v>2636</v>
      </c>
      <c r="J6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0.75872534142640369</v>
      </c>
      <c r="K635" s="5">
        <f>VLOOKUP(TrendSheetStgData[Population]&amp;TrendSheetStgData[Trend],Threshold[#All],4,FALSE)</f>
        <v>10</v>
      </c>
      <c r="L635" s="5">
        <f>VLOOKUP(TrendSheetStgData[Population]&amp;TrendSheetStgData[Trend],Threshold[#All],5,FALSE)</f>
        <v>5</v>
      </c>
      <c r="M6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6" spans="1:13" x14ac:dyDescent="0.25">
      <c r="A636" t="s">
        <v>90</v>
      </c>
      <c r="B636" t="s">
        <v>90</v>
      </c>
      <c r="C636" t="s">
        <v>78</v>
      </c>
      <c r="D636" s="1" t="s">
        <v>97</v>
      </c>
      <c r="E636" t="s">
        <v>93</v>
      </c>
      <c r="F636" t="s">
        <v>31</v>
      </c>
      <c r="G636">
        <v>20</v>
      </c>
      <c r="H636">
        <v>2304</v>
      </c>
      <c r="I636" s="5">
        <f>IFERROR(VLOOKUP(TrendSheetStgData[Population]&amp;TrendSheetStgData[Cost Basis]&amp;TrendSheetStgData[Period]&amp;TrendSheetStgData[Trend],TrendSheetPrdData[#All],9,FALSE),0)</f>
        <v>2250</v>
      </c>
      <c r="J6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v>
      </c>
      <c r="K636" s="5">
        <f>VLOOKUP(TrendSheetStgData[Population]&amp;TrendSheetStgData[Trend],Threshold[#All],4,FALSE)</f>
        <v>10</v>
      </c>
      <c r="L636" s="5">
        <f>VLOOKUP(TrendSheetStgData[Population]&amp;TrendSheetStgData[Trend],Threshold[#All],5,FALSE)</f>
        <v>5</v>
      </c>
      <c r="M6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7" spans="1:13" x14ac:dyDescent="0.25">
      <c r="A637" t="s">
        <v>90</v>
      </c>
      <c r="B637" t="s">
        <v>90</v>
      </c>
      <c r="C637" t="s">
        <v>78</v>
      </c>
      <c r="D637" s="1" t="s">
        <v>98</v>
      </c>
      <c r="E637" t="s">
        <v>93</v>
      </c>
      <c r="F637" t="s">
        <v>31</v>
      </c>
      <c r="G637">
        <v>20</v>
      </c>
      <c r="H637">
        <v>2237</v>
      </c>
      <c r="I637" s="5">
        <f>IFERROR(VLOOKUP(TrendSheetStgData[Population]&amp;TrendSheetStgData[Cost Basis]&amp;TrendSheetStgData[Period]&amp;TrendSheetStgData[Trend],TrendSheetPrdData[#All],9,FALSE),0)</f>
        <v>2124</v>
      </c>
      <c r="J6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5.3201506591337102</v>
      </c>
      <c r="K637" s="5">
        <f>VLOOKUP(TrendSheetStgData[Population]&amp;TrendSheetStgData[Trend],Threshold[#All],4,FALSE)</f>
        <v>10</v>
      </c>
      <c r="L637" s="5">
        <f>VLOOKUP(TrendSheetStgData[Population]&amp;TrendSheetStgData[Trend],Threshold[#All],5,FALSE)</f>
        <v>5</v>
      </c>
      <c r="M6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38" spans="1:13" x14ac:dyDescent="0.25">
      <c r="A638" t="s">
        <v>90</v>
      </c>
      <c r="B638" t="s">
        <v>90</v>
      </c>
      <c r="C638" t="s">
        <v>78</v>
      </c>
      <c r="D638" s="1" t="s">
        <v>99</v>
      </c>
      <c r="E638" t="s">
        <v>93</v>
      </c>
      <c r="F638" t="s">
        <v>31</v>
      </c>
      <c r="G638">
        <v>20</v>
      </c>
      <c r="H638">
        <v>2097</v>
      </c>
      <c r="I638" s="5">
        <f>IFERROR(VLOOKUP(TrendSheetStgData[Population]&amp;TrendSheetStgData[Cost Basis]&amp;TrendSheetStgData[Period]&amp;TrendSheetStgData[Trend],TrendSheetPrdData[#All],9,FALSE),0)</f>
        <v>2028</v>
      </c>
      <c r="J6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3.4023668639053253</v>
      </c>
      <c r="K638" s="5">
        <f>VLOOKUP(TrendSheetStgData[Population]&amp;TrendSheetStgData[Trend],Threshold[#All],4,FALSE)</f>
        <v>10</v>
      </c>
      <c r="L638" s="5">
        <f>VLOOKUP(TrendSheetStgData[Population]&amp;TrendSheetStgData[Trend],Threshold[#All],5,FALSE)</f>
        <v>5</v>
      </c>
      <c r="M6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9" spans="1:13" x14ac:dyDescent="0.25">
      <c r="A639" t="s">
        <v>90</v>
      </c>
      <c r="B639" t="s">
        <v>90</v>
      </c>
      <c r="C639" t="s">
        <v>78</v>
      </c>
      <c r="D639" s="1" t="s">
        <v>100</v>
      </c>
      <c r="E639" t="s">
        <v>93</v>
      </c>
      <c r="F639" t="s">
        <v>31</v>
      </c>
      <c r="G639">
        <v>20</v>
      </c>
      <c r="H639">
        <v>2273</v>
      </c>
      <c r="I639" s="5">
        <f>IFERROR(VLOOKUP(TrendSheetStgData[Population]&amp;TrendSheetStgData[Cost Basis]&amp;TrendSheetStgData[Period]&amp;TrendSheetStgData[Trend],TrendSheetPrdData[#All],9,FALSE),0)</f>
        <v>2262</v>
      </c>
      <c r="J6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0.48629531388152081</v>
      </c>
      <c r="K639" s="5">
        <f>VLOOKUP(TrendSheetStgData[Population]&amp;TrendSheetStgData[Trend],Threshold[#All],4,FALSE)</f>
        <v>10</v>
      </c>
      <c r="L639" s="5">
        <f>VLOOKUP(TrendSheetStgData[Population]&amp;TrendSheetStgData[Trend],Threshold[#All],5,FALSE)</f>
        <v>5</v>
      </c>
      <c r="M6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0" spans="1:13" x14ac:dyDescent="0.25">
      <c r="A640" t="s">
        <v>90</v>
      </c>
      <c r="B640" t="s">
        <v>90</v>
      </c>
      <c r="C640" t="s">
        <v>78</v>
      </c>
      <c r="D640" s="1" t="s">
        <v>101</v>
      </c>
      <c r="E640" t="s">
        <v>93</v>
      </c>
      <c r="F640" t="s">
        <v>31</v>
      </c>
      <c r="G640">
        <v>20</v>
      </c>
      <c r="H640">
        <v>2761</v>
      </c>
      <c r="I640" s="5">
        <f>IFERROR(VLOOKUP(TrendSheetStgData[Population]&amp;TrendSheetStgData[Cost Basis]&amp;TrendSheetStgData[Period]&amp;TrendSheetStgData[Trend],TrendSheetPrdData[#All],9,FALSE),0)</f>
        <v>2700</v>
      </c>
      <c r="J6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2.2592592592592591</v>
      </c>
      <c r="K640" s="5">
        <f>VLOOKUP(TrendSheetStgData[Population]&amp;TrendSheetStgData[Trend],Threshold[#All],4,FALSE)</f>
        <v>10</v>
      </c>
      <c r="L640" s="5">
        <f>VLOOKUP(TrendSheetStgData[Population]&amp;TrendSheetStgData[Trend],Threshold[#All],5,FALSE)</f>
        <v>5</v>
      </c>
      <c r="M6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1" spans="1:13" x14ac:dyDescent="0.25">
      <c r="A641" t="s">
        <v>90</v>
      </c>
      <c r="B641" t="s">
        <v>90</v>
      </c>
      <c r="C641" t="s">
        <v>78</v>
      </c>
      <c r="D641" s="1" t="s">
        <v>102</v>
      </c>
      <c r="E641" t="s">
        <v>93</v>
      </c>
      <c r="F641" t="s">
        <v>31</v>
      </c>
      <c r="G641">
        <v>20</v>
      </c>
      <c r="H641">
        <v>2657</v>
      </c>
      <c r="I641" s="5">
        <f>IFERROR(VLOOKUP(TrendSheetStgData[Population]&amp;TrendSheetStgData[Cost Basis]&amp;TrendSheetStgData[Period]&amp;TrendSheetStgData[Trend],TrendSheetPrdData[#All],9,FALSE),0)</f>
        <v>2601</v>
      </c>
      <c r="J6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2.1530180699730872</v>
      </c>
      <c r="K641" s="5">
        <f>VLOOKUP(TrendSheetStgData[Population]&amp;TrendSheetStgData[Trend],Threshold[#All],4,FALSE)</f>
        <v>10</v>
      </c>
      <c r="L641" s="5">
        <f>VLOOKUP(TrendSheetStgData[Population]&amp;TrendSheetStgData[Trend],Threshold[#All],5,FALSE)</f>
        <v>5</v>
      </c>
      <c r="M6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2" spans="1:13" x14ac:dyDescent="0.25">
      <c r="A642" t="s">
        <v>90</v>
      </c>
      <c r="B642" t="s">
        <v>90</v>
      </c>
      <c r="C642" t="s">
        <v>78</v>
      </c>
      <c r="D642" s="1" t="s">
        <v>103</v>
      </c>
      <c r="E642" t="s">
        <v>93</v>
      </c>
      <c r="F642" t="s">
        <v>31</v>
      </c>
      <c r="G642">
        <v>20</v>
      </c>
      <c r="H642">
        <v>2419</v>
      </c>
      <c r="I642" s="5">
        <f>IFERROR(VLOOKUP(TrendSheetStgData[Population]&amp;TrendSheetStgData[Cost Basis]&amp;TrendSheetStgData[Period]&amp;TrendSheetStgData[Trend],TrendSheetPrdData[#All],9,FALSE),0)</f>
        <v>2258</v>
      </c>
      <c r="J6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7.1302037201062891</v>
      </c>
      <c r="K642" s="5">
        <f>VLOOKUP(TrendSheetStgData[Population]&amp;TrendSheetStgData[Trend],Threshold[#All],4,FALSE)</f>
        <v>10</v>
      </c>
      <c r="L642" s="5">
        <f>VLOOKUP(TrendSheetStgData[Population]&amp;TrendSheetStgData[Trend],Threshold[#All],5,FALSE)</f>
        <v>5</v>
      </c>
      <c r="M6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43" spans="1:13" x14ac:dyDescent="0.25">
      <c r="A643" t="s">
        <v>90</v>
      </c>
      <c r="B643" t="s">
        <v>90</v>
      </c>
      <c r="C643" t="s">
        <v>78</v>
      </c>
      <c r="D643" s="1" t="s">
        <v>104</v>
      </c>
      <c r="E643" t="s">
        <v>93</v>
      </c>
      <c r="F643" t="s">
        <v>31</v>
      </c>
      <c r="G643">
        <v>20</v>
      </c>
      <c r="H643">
        <v>1874</v>
      </c>
      <c r="I643" s="5">
        <f>IFERROR(VLOOKUP(TrendSheetStgData[Population]&amp;TrendSheetStgData[Cost Basis]&amp;TrendSheetStgData[Period]&amp;TrendSheetStgData[Trend],TrendSheetPrdData[#All],9,FALSE),0)</f>
        <v>1805</v>
      </c>
      <c r="J6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3.8227146814404431</v>
      </c>
      <c r="K643" s="5">
        <f>VLOOKUP(TrendSheetStgData[Population]&amp;TrendSheetStgData[Trend],Threshold[#All],4,FALSE)</f>
        <v>10</v>
      </c>
      <c r="L643" s="5">
        <f>VLOOKUP(TrendSheetStgData[Population]&amp;TrendSheetStgData[Trend],Threshold[#All],5,FALSE)</f>
        <v>5</v>
      </c>
      <c r="M6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4" spans="1:13" x14ac:dyDescent="0.25">
      <c r="A644" t="s">
        <v>90</v>
      </c>
      <c r="B644" t="s">
        <v>90</v>
      </c>
      <c r="C644" t="s">
        <v>78</v>
      </c>
      <c r="D644" s="1" t="s">
        <v>105</v>
      </c>
      <c r="E644" t="s">
        <v>106</v>
      </c>
      <c r="F644" t="s">
        <v>31</v>
      </c>
      <c r="G644">
        <v>20</v>
      </c>
      <c r="H644">
        <v>2551</v>
      </c>
      <c r="I644" s="5">
        <f>IFERROR(VLOOKUP(TrendSheetStgData[Population]&amp;TrendSheetStgData[Cost Basis]&amp;TrendSheetStgData[Period]&amp;TrendSheetStgData[Trend],TrendSheetPrdData[#All],9,FALSE),0)</f>
        <v>2133</v>
      </c>
      <c r="J6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19.596812001875293</v>
      </c>
      <c r="K644" s="5">
        <f>VLOOKUP(TrendSheetStgData[Population]&amp;TrendSheetStgData[Trend],Threshold[#All],4,FALSE)</f>
        <v>10</v>
      </c>
      <c r="L644" s="5">
        <f>VLOOKUP(TrendSheetStgData[Population]&amp;TrendSheetStgData[Trend],Threshold[#All],5,FALSE)</f>
        <v>5</v>
      </c>
      <c r="M6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45" spans="1:13" x14ac:dyDescent="0.25">
      <c r="A645" t="s">
        <v>90</v>
      </c>
      <c r="B645" t="s">
        <v>90</v>
      </c>
      <c r="C645" t="s">
        <v>78</v>
      </c>
      <c r="D645" s="1" t="s">
        <v>107</v>
      </c>
      <c r="E645" t="s">
        <v>106</v>
      </c>
      <c r="F645" t="s">
        <v>31</v>
      </c>
      <c r="G645">
        <v>20</v>
      </c>
      <c r="H645">
        <v>1490</v>
      </c>
      <c r="I645" s="5">
        <f>IFERROR(VLOOKUP(TrendSheetStgData[Population]&amp;TrendSheetStgData[Cost Basis]&amp;TrendSheetStgData[Period]&amp;TrendSheetStgData[Trend],TrendSheetPrdData[#All],9,FALSE),0)</f>
        <v>446</v>
      </c>
      <c r="J6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234.08071748878925</v>
      </c>
      <c r="K645" s="5">
        <f>VLOOKUP(TrendSheetStgData[Population]&amp;TrendSheetStgData[Trend],Threshold[#All],4,FALSE)</f>
        <v>10</v>
      </c>
      <c r="L645" s="5">
        <f>VLOOKUP(TrendSheetStgData[Population]&amp;TrendSheetStgData[Trend],Threshold[#All],5,FALSE)</f>
        <v>5</v>
      </c>
      <c r="M6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46" spans="1:13" x14ac:dyDescent="0.25">
      <c r="A646" t="s">
        <v>90</v>
      </c>
      <c r="B646" t="s">
        <v>90</v>
      </c>
      <c r="C646" t="s">
        <v>78</v>
      </c>
      <c r="D646" s="1" t="s">
        <v>108</v>
      </c>
      <c r="E646" t="s">
        <v>106</v>
      </c>
      <c r="F646" t="s">
        <v>31</v>
      </c>
      <c r="G646">
        <v>20</v>
      </c>
      <c r="H646">
        <v>879</v>
      </c>
      <c r="I646" s="5">
        <f>IFERROR(VLOOKUP(TrendSheetStgData[Population]&amp;TrendSheetStgData[Cost Basis]&amp;TrendSheetStgData[Period]&amp;TrendSheetStgData[Trend],TrendSheetPrdData[#All],9,FALSE),0)</f>
        <v>0</v>
      </c>
      <c r="J6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46" s="5">
        <f>VLOOKUP(TrendSheetStgData[Population]&amp;TrendSheetStgData[Trend],Threshold[#All],4,FALSE)</f>
        <v>10</v>
      </c>
      <c r="L646" s="5">
        <f>VLOOKUP(TrendSheetStgData[Population]&amp;TrendSheetStgData[Trend],Threshold[#All],5,FALSE)</f>
        <v>5</v>
      </c>
      <c r="M6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47" spans="1:13" x14ac:dyDescent="0.25">
      <c r="A647" t="s">
        <v>90</v>
      </c>
      <c r="B647" t="s">
        <v>90</v>
      </c>
      <c r="C647" t="s">
        <v>78</v>
      </c>
      <c r="D647" s="1" t="s">
        <v>92</v>
      </c>
      <c r="E647" t="s">
        <v>93</v>
      </c>
      <c r="F647" t="s">
        <v>32</v>
      </c>
      <c r="G647">
        <v>21</v>
      </c>
      <c r="H647">
        <v>4263</v>
      </c>
      <c r="I647" s="5">
        <f>IFERROR(VLOOKUP(TrendSheetStgData[Population]&amp;TrendSheetStgData[Cost Basis]&amp;TrendSheetStgData[Period]&amp;TrendSheetStgData[Trend],TrendSheetPrdData[#All],9,FALSE),0)</f>
        <v>4255</v>
      </c>
      <c r="J6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0.18801410105757932</v>
      </c>
      <c r="K647" s="5">
        <f>VLOOKUP(TrendSheetStgData[Population]&amp;TrendSheetStgData[Trend],Threshold[#All],4,FALSE)</f>
        <v>10</v>
      </c>
      <c r="L647" s="5">
        <f>VLOOKUP(TrendSheetStgData[Population]&amp;TrendSheetStgData[Trend],Threshold[#All],5,FALSE)</f>
        <v>5</v>
      </c>
      <c r="M6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8" spans="1:13" x14ac:dyDescent="0.25">
      <c r="A648" t="s">
        <v>90</v>
      </c>
      <c r="B648" t="s">
        <v>90</v>
      </c>
      <c r="C648" t="s">
        <v>78</v>
      </c>
      <c r="D648" s="1" t="s">
        <v>94</v>
      </c>
      <c r="E648" t="s">
        <v>93</v>
      </c>
      <c r="F648" t="s">
        <v>32</v>
      </c>
      <c r="G648">
        <v>21</v>
      </c>
      <c r="H648">
        <v>3986</v>
      </c>
      <c r="I648" s="5">
        <f>IFERROR(VLOOKUP(TrendSheetStgData[Population]&amp;TrendSheetStgData[Cost Basis]&amp;TrendSheetStgData[Period]&amp;TrendSheetStgData[Trend],TrendSheetPrdData[#All],9,FALSE),0)</f>
        <v>3966</v>
      </c>
      <c r="J6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0.50428643469490664</v>
      </c>
      <c r="K648" s="5">
        <f>VLOOKUP(TrendSheetStgData[Population]&amp;TrendSheetStgData[Trend],Threshold[#All],4,FALSE)</f>
        <v>10</v>
      </c>
      <c r="L648" s="5">
        <f>VLOOKUP(TrendSheetStgData[Population]&amp;TrendSheetStgData[Trend],Threshold[#All],5,FALSE)</f>
        <v>5</v>
      </c>
      <c r="M6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9" spans="1:13" x14ac:dyDescent="0.25">
      <c r="A649" t="s">
        <v>90</v>
      </c>
      <c r="B649" t="s">
        <v>90</v>
      </c>
      <c r="C649" t="s">
        <v>78</v>
      </c>
      <c r="D649" s="1" t="s">
        <v>95</v>
      </c>
      <c r="E649" t="s">
        <v>93</v>
      </c>
      <c r="F649" t="s">
        <v>32</v>
      </c>
      <c r="G649">
        <v>21</v>
      </c>
      <c r="H649">
        <v>3838</v>
      </c>
      <c r="I649" s="5">
        <f>IFERROR(VLOOKUP(TrendSheetStgData[Population]&amp;TrendSheetStgData[Cost Basis]&amp;TrendSheetStgData[Period]&amp;TrendSheetStgData[Trend],TrendSheetPrdData[#All],9,FALSE),0)</f>
        <v>3819</v>
      </c>
      <c r="J6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0.49751243781094528</v>
      </c>
      <c r="K649" s="5">
        <f>VLOOKUP(TrendSheetStgData[Population]&amp;TrendSheetStgData[Trend],Threshold[#All],4,FALSE)</f>
        <v>10</v>
      </c>
      <c r="L649" s="5">
        <f>VLOOKUP(TrendSheetStgData[Population]&amp;TrendSheetStgData[Trend],Threshold[#All],5,FALSE)</f>
        <v>5</v>
      </c>
      <c r="M6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50" spans="1:13" x14ac:dyDescent="0.25">
      <c r="A650" t="s">
        <v>90</v>
      </c>
      <c r="B650" t="s">
        <v>90</v>
      </c>
      <c r="C650" t="s">
        <v>78</v>
      </c>
      <c r="D650" s="1" t="s">
        <v>96</v>
      </c>
      <c r="E650" t="s">
        <v>93</v>
      </c>
      <c r="F650" t="s">
        <v>32</v>
      </c>
      <c r="G650">
        <v>21</v>
      </c>
      <c r="H650">
        <v>4256</v>
      </c>
      <c r="I650" s="5">
        <f>IFERROR(VLOOKUP(TrendSheetStgData[Population]&amp;TrendSheetStgData[Cost Basis]&amp;TrendSheetStgData[Period]&amp;TrendSheetStgData[Trend],TrendSheetPrdData[#All],9,FALSE),0)</f>
        <v>4244</v>
      </c>
      <c r="J6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0.28275212064090482</v>
      </c>
      <c r="K650" s="5">
        <f>VLOOKUP(TrendSheetStgData[Population]&amp;TrendSheetStgData[Trend],Threshold[#All],4,FALSE)</f>
        <v>10</v>
      </c>
      <c r="L650" s="5">
        <f>VLOOKUP(TrendSheetStgData[Population]&amp;TrendSheetStgData[Trend],Threshold[#All],5,FALSE)</f>
        <v>5</v>
      </c>
      <c r="M6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51" spans="1:13" x14ac:dyDescent="0.25">
      <c r="A651" t="s">
        <v>90</v>
      </c>
      <c r="B651" t="s">
        <v>90</v>
      </c>
      <c r="C651" t="s">
        <v>78</v>
      </c>
      <c r="D651" s="1" t="s">
        <v>97</v>
      </c>
      <c r="E651" t="s">
        <v>93</v>
      </c>
      <c r="F651" t="s">
        <v>32</v>
      </c>
      <c r="G651">
        <v>21</v>
      </c>
      <c r="H651">
        <v>3421</v>
      </c>
      <c r="I651" s="5">
        <f>IFERROR(VLOOKUP(TrendSheetStgData[Population]&amp;TrendSheetStgData[Cost Basis]&amp;TrendSheetStgData[Period]&amp;TrendSheetStgData[Trend],TrendSheetPrdData[#All],9,FALSE),0)</f>
        <v>3409</v>
      </c>
      <c r="J6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0.35200938691698441</v>
      </c>
      <c r="K651" s="5">
        <f>VLOOKUP(TrendSheetStgData[Population]&amp;TrendSheetStgData[Trend],Threshold[#All],4,FALSE)</f>
        <v>10</v>
      </c>
      <c r="L651" s="5">
        <f>VLOOKUP(TrendSheetStgData[Population]&amp;TrendSheetStgData[Trend],Threshold[#All],5,FALSE)</f>
        <v>5</v>
      </c>
      <c r="M6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52" spans="1:13" x14ac:dyDescent="0.25">
      <c r="A652" t="s">
        <v>90</v>
      </c>
      <c r="B652" t="s">
        <v>90</v>
      </c>
      <c r="C652" t="s">
        <v>78</v>
      </c>
      <c r="D652" s="1" t="s">
        <v>98</v>
      </c>
      <c r="E652" t="s">
        <v>93</v>
      </c>
      <c r="F652" t="s">
        <v>32</v>
      </c>
      <c r="G652">
        <v>21</v>
      </c>
      <c r="H652">
        <v>3617</v>
      </c>
      <c r="I652" s="5">
        <f>IFERROR(VLOOKUP(TrendSheetStgData[Population]&amp;TrendSheetStgData[Cost Basis]&amp;TrendSheetStgData[Period]&amp;TrendSheetStgData[Trend],TrendSheetPrdData[#All],9,FALSE),0)</f>
        <v>3603</v>
      </c>
      <c r="J6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0.38856508465167916</v>
      </c>
      <c r="K652" s="5">
        <f>VLOOKUP(TrendSheetStgData[Population]&amp;TrendSheetStgData[Trend],Threshold[#All],4,FALSE)</f>
        <v>10</v>
      </c>
      <c r="L652" s="5">
        <f>VLOOKUP(TrendSheetStgData[Population]&amp;TrendSheetStgData[Trend],Threshold[#All],5,FALSE)</f>
        <v>5</v>
      </c>
      <c r="M6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53" spans="1:13" x14ac:dyDescent="0.25">
      <c r="A653" t="s">
        <v>90</v>
      </c>
      <c r="B653" t="s">
        <v>90</v>
      </c>
      <c r="C653" t="s">
        <v>78</v>
      </c>
      <c r="D653" s="1" t="s">
        <v>99</v>
      </c>
      <c r="E653" t="s">
        <v>93</v>
      </c>
      <c r="F653" t="s">
        <v>32</v>
      </c>
      <c r="G653">
        <v>21</v>
      </c>
      <c r="H653">
        <v>3684</v>
      </c>
      <c r="I653" s="5">
        <f>IFERROR(VLOOKUP(TrendSheetStgData[Population]&amp;TrendSheetStgData[Cost Basis]&amp;TrendSheetStgData[Period]&amp;TrendSheetStgData[Trend],TrendSheetPrdData[#All],9,FALSE),0)</f>
        <v>3673</v>
      </c>
      <c r="J6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0.29948271167982576</v>
      </c>
      <c r="K653" s="5">
        <f>VLOOKUP(TrendSheetStgData[Population]&amp;TrendSheetStgData[Trend],Threshold[#All],4,FALSE)</f>
        <v>10</v>
      </c>
      <c r="L653" s="5">
        <f>VLOOKUP(TrendSheetStgData[Population]&amp;TrendSheetStgData[Trend],Threshold[#All],5,FALSE)</f>
        <v>5</v>
      </c>
      <c r="M6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54" spans="1:13" x14ac:dyDescent="0.25">
      <c r="A654" t="s">
        <v>90</v>
      </c>
      <c r="B654" t="s">
        <v>90</v>
      </c>
      <c r="C654" t="s">
        <v>78</v>
      </c>
      <c r="D654" s="1" t="s">
        <v>100</v>
      </c>
      <c r="E654" t="s">
        <v>93</v>
      </c>
      <c r="F654" t="s">
        <v>32</v>
      </c>
      <c r="G654">
        <v>21</v>
      </c>
      <c r="H654">
        <v>4251</v>
      </c>
      <c r="I654" s="5">
        <f>IFERROR(VLOOKUP(TrendSheetStgData[Population]&amp;TrendSheetStgData[Cost Basis]&amp;TrendSheetStgData[Period]&amp;TrendSheetStgData[Trend],TrendSheetPrdData[#All],9,FALSE),0)</f>
        <v>4163</v>
      </c>
      <c r="J6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2.1138601969733366</v>
      </c>
      <c r="K654" s="5">
        <f>VLOOKUP(TrendSheetStgData[Population]&amp;TrendSheetStgData[Trend],Threshold[#All],4,FALSE)</f>
        <v>10</v>
      </c>
      <c r="L654" s="5">
        <f>VLOOKUP(TrendSheetStgData[Population]&amp;TrendSheetStgData[Trend],Threshold[#All],5,FALSE)</f>
        <v>5</v>
      </c>
      <c r="M6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55" spans="1:13" x14ac:dyDescent="0.25">
      <c r="A655" t="s">
        <v>90</v>
      </c>
      <c r="B655" t="s">
        <v>90</v>
      </c>
      <c r="C655" t="s">
        <v>78</v>
      </c>
      <c r="D655" s="1" t="s">
        <v>101</v>
      </c>
      <c r="E655" t="s">
        <v>93</v>
      </c>
      <c r="F655" t="s">
        <v>32</v>
      </c>
      <c r="G655">
        <v>21</v>
      </c>
      <c r="H655">
        <v>3882</v>
      </c>
      <c r="I655" s="5">
        <f>IFERROR(VLOOKUP(TrendSheetStgData[Population]&amp;TrendSheetStgData[Cost Basis]&amp;TrendSheetStgData[Period]&amp;TrendSheetStgData[Trend],TrendSheetPrdData[#All],9,FALSE),0)</f>
        <v>3832</v>
      </c>
      <c r="J6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1.3048016701461378</v>
      </c>
      <c r="K655" s="5">
        <f>VLOOKUP(TrendSheetStgData[Population]&amp;TrendSheetStgData[Trend],Threshold[#All],4,FALSE)</f>
        <v>10</v>
      </c>
      <c r="L655" s="5">
        <f>VLOOKUP(TrendSheetStgData[Population]&amp;TrendSheetStgData[Trend],Threshold[#All],5,FALSE)</f>
        <v>5</v>
      </c>
      <c r="M6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56" spans="1:13" x14ac:dyDescent="0.25">
      <c r="A656" t="s">
        <v>90</v>
      </c>
      <c r="B656" t="s">
        <v>90</v>
      </c>
      <c r="C656" t="s">
        <v>78</v>
      </c>
      <c r="D656" s="1" t="s">
        <v>102</v>
      </c>
      <c r="E656" t="s">
        <v>93</v>
      </c>
      <c r="F656" t="s">
        <v>32</v>
      </c>
      <c r="G656">
        <v>21</v>
      </c>
      <c r="H656">
        <v>3844</v>
      </c>
      <c r="I656" s="5">
        <f>IFERROR(VLOOKUP(TrendSheetStgData[Population]&amp;TrendSheetStgData[Cost Basis]&amp;TrendSheetStgData[Period]&amp;TrendSheetStgData[Trend],TrendSheetPrdData[#All],9,FALSE),0)</f>
        <v>3802</v>
      </c>
      <c r="J6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1.1046817464492371</v>
      </c>
      <c r="K656" s="5">
        <f>VLOOKUP(TrendSheetStgData[Population]&amp;TrendSheetStgData[Trend],Threshold[#All],4,FALSE)</f>
        <v>10</v>
      </c>
      <c r="L656" s="5">
        <f>VLOOKUP(TrendSheetStgData[Population]&amp;TrendSheetStgData[Trend],Threshold[#All],5,FALSE)</f>
        <v>5</v>
      </c>
      <c r="M6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57" spans="1:13" x14ac:dyDescent="0.25">
      <c r="A657" t="s">
        <v>90</v>
      </c>
      <c r="B657" t="s">
        <v>90</v>
      </c>
      <c r="C657" t="s">
        <v>78</v>
      </c>
      <c r="D657" s="1" t="s">
        <v>103</v>
      </c>
      <c r="E657" t="s">
        <v>93</v>
      </c>
      <c r="F657" t="s">
        <v>32</v>
      </c>
      <c r="G657">
        <v>21</v>
      </c>
      <c r="H657">
        <v>3622</v>
      </c>
      <c r="I657" s="5">
        <f>IFERROR(VLOOKUP(TrendSheetStgData[Population]&amp;TrendSheetStgData[Cost Basis]&amp;TrendSheetStgData[Period]&amp;TrendSheetStgData[Trend],TrendSheetPrdData[#All],9,FALSE),0)</f>
        <v>3540</v>
      </c>
      <c r="J6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2.3163841807909606</v>
      </c>
      <c r="K657" s="5">
        <f>VLOOKUP(TrendSheetStgData[Population]&amp;TrendSheetStgData[Trend],Threshold[#All],4,FALSE)</f>
        <v>10</v>
      </c>
      <c r="L657" s="5">
        <f>VLOOKUP(TrendSheetStgData[Population]&amp;TrendSheetStgData[Trend],Threshold[#All],5,FALSE)</f>
        <v>5</v>
      </c>
      <c r="M6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58" spans="1:13" x14ac:dyDescent="0.25">
      <c r="A658" t="s">
        <v>90</v>
      </c>
      <c r="B658" t="s">
        <v>90</v>
      </c>
      <c r="C658" t="s">
        <v>78</v>
      </c>
      <c r="D658" s="1" t="s">
        <v>104</v>
      </c>
      <c r="E658" t="s">
        <v>93</v>
      </c>
      <c r="F658" t="s">
        <v>32</v>
      </c>
      <c r="G658">
        <v>21</v>
      </c>
      <c r="H658">
        <v>3788</v>
      </c>
      <c r="I658" s="5">
        <f>IFERROR(VLOOKUP(TrendSheetStgData[Population]&amp;TrendSheetStgData[Cost Basis]&amp;TrendSheetStgData[Period]&amp;TrendSheetStgData[Trend],TrendSheetPrdData[#All],9,FALSE),0)</f>
        <v>3674</v>
      </c>
      <c r="J6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3.1028851388132823</v>
      </c>
      <c r="K658" s="5">
        <f>VLOOKUP(TrendSheetStgData[Population]&amp;TrendSheetStgData[Trend],Threshold[#All],4,FALSE)</f>
        <v>10</v>
      </c>
      <c r="L658" s="5">
        <f>VLOOKUP(TrendSheetStgData[Population]&amp;TrendSheetStgData[Trend],Threshold[#All],5,FALSE)</f>
        <v>5</v>
      </c>
      <c r="M6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59" spans="1:13" x14ac:dyDescent="0.25">
      <c r="A659" t="s">
        <v>90</v>
      </c>
      <c r="B659" t="s">
        <v>90</v>
      </c>
      <c r="C659" t="s">
        <v>78</v>
      </c>
      <c r="D659" s="1" t="s">
        <v>105</v>
      </c>
      <c r="E659" t="s">
        <v>106</v>
      </c>
      <c r="F659" t="s">
        <v>32</v>
      </c>
      <c r="G659">
        <v>21</v>
      </c>
      <c r="H659">
        <v>4578</v>
      </c>
      <c r="I659" s="5">
        <f>IFERROR(VLOOKUP(TrendSheetStgData[Population]&amp;TrendSheetStgData[Cost Basis]&amp;TrendSheetStgData[Period]&amp;TrendSheetStgData[Trend],TrendSheetPrdData[#All],9,FALSE),0)</f>
        <v>4232</v>
      </c>
      <c r="J6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8.175803402646503</v>
      </c>
      <c r="K659" s="5">
        <f>VLOOKUP(TrendSheetStgData[Population]&amp;TrendSheetStgData[Trend],Threshold[#All],4,FALSE)</f>
        <v>10</v>
      </c>
      <c r="L659" s="5">
        <f>VLOOKUP(TrendSheetStgData[Population]&amp;TrendSheetStgData[Trend],Threshold[#All],5,FALSE)</f>
        <v>5</v>
      </c>
      <c r="M6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60" spans="1:13" x14ac:dyDescent="0.25">
      <c r="A660" t="s">
        <v>90</v>
      </c>
      <c r="B660" t="s">
        <v>90</v>
      </c>
      <c r="C660" t="s">
        <v>78</v>
      </c>
      <c r="D660" s="1" t="s">
        <v>107</v>
      </c>
      <c r="E660" t="s">
        <v>106</v>
      </c>
      <c r="F660" t="s">
        <v>32</v>
      </c>
      <c r="G660">
        <v>21</v>
      </c>
      <c r="H660">
        <v>3293</v>
      </c>
      <c r="I660" s="5">
        <f>IFERROR(VLOOKUP(TrendSheetStgData[Population]&amp;TrendSheetStgData[Cost Basis]&amp;TrendSheetStgData[Period]&amp;TrendSheetStgData[Trend],TrendSheetPrdData[#All],9,FALSE),0)</f>
        <v>1298</v>
      </c>
      <c r="J6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153.69799691833589</v>
      </c>
      <c r="K660" s="5">
        <f>VLOOKUP(TrendSheetStgData[Population]&amp;TrendSheetStgData[Trend],Threshold[#All],4,FALSE)</f>
        <v>10</v>
      </c>
      <c r="L660" s="5">
        <f>VLOOKUP(TrendSheetStgData[Population]&amp;TrendSheetStgData[Trend],Threshold[#All],5,FALSE)</f>
        <v>5</v>
      </c>
      <c r="M6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61" spans="1:13" x14ac:dyDescent="0.25">
      <c r="A661" t="s">
        <v>90</v>
      </c>
      <c r="B661" t="s">
        <v>90</v>
      </c>
      <c r="C661" t="s">
        <v>78</v>
      </c>
      <c r="D661" s="1" t="s">
        <v>108</v>
      </c>
      <c r="E661" t="s">
        <v>106</v>
      </c>
      <c r="F661" t="s">
        <v>32</v>
      </c>
      <c r="G661">
        <v>21</v>
      </c>
      <c r="H661">
        <v>2046</v>
      </c>
      <c r="I661" s="5">
        <f>IFERROR(VLOOKUP(TrendSheetStgData[Population]&amp;TrendSheetStgData[Cost Basis]&amp;TrendSheetStgData[Period]&amp;TrendSheetStgData[Trend],TrendSheetPrdData[#All],9,FALSE),0)</f>
        <v>0</v>
      </c>
      <c r="J6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61" s="5">
        <f>VLOOKUP(TrendSheetStgData[Population]&amp;TrendSheetStgData[Trend],Threshold[#All],4,FALSE)</f>
        <v>10</v>
      </c>
      <c r="L661" s="5">
        <f>VLOOKUP(TrendSheetStgData[Population]&amp;TrendSheetStgData[Trend],Threshold[#All],5,FALSE)</f>
        <v>5</v>
      </c>
      <c r="M6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62" spans="1:13" x14ac:dyDescent="0.25">
      <c r="A662" t="s">
        <v>90</v>
      </c>
      <c r="B662" t="s">
        <v>90</v>
      </c>
      <c r="C662" t="s">
        <v>78</v>
      </c>
      <c r="D662" s="1" t="s">
        <v>92</v>
      </c>
      <c r="E662" t="s">
        <v>93</v>
      </c>
      <c r="F662" t="s">
        <v>33</v>
      </c>
      <c r="G662">
        <v>22</v>
      </c>
      <c r="H662">
        <v>208</v>
      </c>
      <c r="I662" s="5">
        <f>IFERROR(VLOOKUP(TrendSheetStgData[Population]&amp;TrendSheetStgData[Cost Basis]&amp;TrendSheetStgData[Period]&amp;TrendSheetStgData[Trend],TrendSheetPrdData[#All],9,FALSE),0)</f>
        <v>212</v>
      </c>
      <c r="J6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1.8867924528301887</v>
      </c>
      <c r="K662" s="5">
        <f>VLOOKUP(TrendSheetStgData[Population]&amp;TrendSheetStgData[Trend],Threshold[#All],4,FALSE)</f>
        <v>10</v>
      </c>
      <c r="L662" s="5">
        <f>VLOOKUP(TrendSheetStgData[Population]&amp;TrendSheetStgData[Trend],Threshold[#All],5,FALSE)</f>
        <v>5</v>
      </c>
      <c r="M6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63" spans="1:13" x14ac:dyDescent="0.25">
      <c r="A663" t="s">
        <v>90</v>
      </c>
      <c r="B663" t="s">
        <v>90</v>
      </c>
      <c r="C663" t="s">
        <v>78</v>
      </c>
      <c r="D663" s="1" t="s">
        <v>94</v>
      </c>
      <c r="E663" t="s">
        <v>93</v>
      </c>
      <c r="F663" t="s">
        <v>33</v>
      </c>
      <c r="G663">
        <v>22</v>
      </c>
      <c r="H663">
        <v>171</v>
      </c>
      <c r="I663" s="5">
        <f>IFERROR(VLOOKUP(TrendSheetStgData[Population]&amp;TrendSheetStgData[Cost Basis]&amp;TrendSheetStgData[Period]&amp;TrendSheetStgData[Trend],TrendSheetPrdData[#All],9,FALSE),0)</f>
        <v>183</v>
      </c>
      <c r="J6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6.557377049180328</v>
      </c>
      <c r="K663" s="5">
        <f>VLOOKUP(TrendSheetStgData[Population]&amp;TrendSheetStgData[Trend],Threshold[#All],4,FALSE)</f>
        <v>10</v>
      </c>
      <c r="L663" s="5">
        <f>VLOOKUP(TrendSheetStgData[Population]&amp;TrendSheetStgData[Trend],Threshold[#All],5,FALSE)</f>
        <v>5</v>
      </c>
      <c r="M6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64" spans="1:13" x14ac:dyDescent="0.25">
      <c r="A664" t="s">
        <v>90</v>
      </c>
      <c r="B664" t="s">
        <v>90</v>
      </c>
      <c r="C664" t="s">
        <v>78</v>
      </c>
      <c r="D664" s="1" t="s">
        <v>95</v>
      </c>
      <c r="E664" t="s">
        <v>93</v>
      </c>
      <c r="F664" t="s">
        <v>33</v>
      </c>
      <c r="G664">
        <v>22</v>
      </c>
      <c r="H664">
        <v>196</v>
      </c>
      <c r="I664" s="5">
        <f>IFERROR(VLOOKUP(TrendSheetStgData[Population]&amp;TrendSheetStgData[Cost Basis]&amp;TrendSheetStgData[Period]&amp;TrendSheetStgData[Trend],TrendSheetPrdData[#All],9,FALSE),0)</f>
        <v>204</v>
      </c>
      <c r="J6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3.9215686274509802</v>
      </c>
      <c r="K664" s="5">
        <f>VLOOKUP(TrendSheetStgData[Population]&amp;TrendSheetStgData[Trend],Threshold[#All],4,FALSE)</f>
        <v>10</v>
      </c>
      <c r="L664" s="5">
        <f>VLOOKUP(TrendSheetStgData[Population]&amp;TrendSheetStgData[Trend],Threshold[#All],5,FALSE)</f>
        <v>5</v>
      </c>
      <c r="M6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65" spans="1:13" x14ac:dyDescent="0.25">
      <c r="A665" t="s">
        <v>90</v>
      </c>
      <c r="B665" t="s">
        <v>90</v>
      </c>
      <c r="C665" t="s">
        <v>78</v>
      </c>
      <c r="D665" s="1" t="s">
        <v>96</v>
      </c>
      <c r="E665" t="s">
        <v>93</v>
      </c>
      <c r="F665" t="s">
        <v>33</v>
      </c>
      <c r="G665">
        <v>22</v>
      </c>
      <c r="H665">
        <v>230</v>
      </c>
      <c r="I665" s="5">
        <f>IFERROR(VLOOKUP(TrendSheetStgData[Population]&amp;TrendSheetStgData[Cost Basis]&amp;TrendSheetStgData[Period]&amp;TrendSheetStgData[Trend],TrendSheetPrdData[#All],9,FALSE),0)</f>
        <v>233</v>
      </c>
      <c r="J6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1.2875536480686696</v>
      </c>
      <c r="K665" s="5">
        <f>VLOOKUP(TrendSheetStgData[Population]&amp;TrendSheetStgData[Trend],Threshold[#All],4,FALSE)</f>
        <v>10</v>
      </c>
      <c r="L665" s="5">
        <f>VLOOKUP(TrendSheetStgData[Population]&amp;TrendSheetStgData[Trend],Threshold[#All],5,FALSE)</f>
        <v>5</v>
      </c>
      <c r="M6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66" spans="1:13" x14ac:dyDescent="0.25">
      <c r="A666" t="s">
        <v>90</v>
      </c>
      <c r="B666" t="s">
        <v>90</v>
      </c>
      <c r="C666" t="s">
        <v>78</v>
      </c>
      <c r="D666" s="1" t="s">
        <v>97</v>
      </c>
      <c r="E666" t="s">
        <v>93</v>
      </c>
      <c r="F666" t="s">
        <v>33</v>
      </c>
      <c r="G666">
        <v>22</v>
      </c>
      <c r="H666">
        <v>215</v>
      </c>
      <c r="I666" s="5">
        <f>IFERROR(VLOOKUP(TrendSheetStgData[Population]&amp;TrendSheetStgData[Cost Basis]&amp;TrendSheetStgData[Period]&amp;TrendSheetStgData[Trend],TrendSheetPrdData[#All],9,FALSE),0)</f>
        <v>218</v>
      </c>
      <c r="J6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1.3761467889908259</v>
      </c>
      <c r="K666" s="5">
        <f>VLOOKUP(TrendSheetStgData[Population]&amp;TrendSheetStgData[Trend],Threshold[#All],4,FALSE)</f>
        <v>10</v>
      </c>
      <c r="L666" s="5">
        <f>VLOOKUP(TrendSheetStgData[Population]&amp;TrendSheetStgData[Trend],Threshold[#All],5,FALSE)</f>
        <v>5</v>
      </c>
      <c r="M6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67" spans="1:13" x14ac:dyDescent="0.25">
      <c r="A667" t="s">
        <v>90</v>
      </c>
      <c r="B667" t="s">
        <v>90</v>
      </c>
      <c r="C667" t="s">
        <v>78</v>
      </c>
      <c r="D667" s="1" t="s">
        <v>98</v>
      </c>
      <c r="E667" t="s">
        <v>93</v>
      </c>
      <c r="F667" t="s">
        <v>33</v>
      </c>
      <c r="G667">
        <v>22</v>
      </c>
      <c r="H667">
        <v>318</v>
      </c>
      <c r="I667" s="5">
        <f>IFERROR(VLOOKUP(TrendSheetStgData[Population]&amp;TrendSheetStgData[Cost Basis]&amp;TrendSheetStgData[Period]&amp;TrendSheetStgData[Trend],TrendSheetPrdData[#All],9,FALSE),0)</f>
        <v>321</v>
      </c>
      <c r="J6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0.93457943925233633</v>
      </c>
      <c r="K667" s="5">
        <f>VLOOKUP(TrendSheetStgData[Population]&amp;TrendSheetStgData[Trend],Threshold[#All],4,FALSE)</f>
        <v>10</v>
      </c>
      <c r="L667" s="5">
        <f>VLOOKUP(TrendSheetStgData[Population]&amp;TrendSheetStgData[Trend],Threshold[#All],5,FALSE)</f>
        <v>5</v>
      </c>
      <c r="M6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68" spans="1:13" x14ac:dyDescent="0.25">
      <c r="A668" t="s">
        <v>90</v>
      </c>
      <c r="B668" t="s">
        <v>90</v>
      </c>
      <c r="C668" t="s">
        <v>78</v>
      </c>
      <c r="D668" s="1" t="s">
        <v>99</v>
      </c>
      <c r="E668" t="s">
        <v>93</v>
      </c>
      <c r="F668" t="s">
        <v>33</v>
      </c>
      <c r="G668">
        <v>22</v>
      </c>
      <c r="H668">
        <v>299</v>
      </c>
      <c r="I668" s="5">
        <f>IFERROR(VLOOKUP(TrendSheetStgData[Population]&amp;TrendSheetStgData[Cost Basis]&amp;TrendSheetStgData[Period]&amp;TrendSheetStgData[Trend],TrendSheetPrdData[#All],9,FALSE),0)</f>
        <v>287</v>
      </c>
      <c r="J6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4.1811846689895473</v>
      </c>
      <c r="K668" s="5">
        <f>VLOOKUP(TrendSheetStgData[Population]&amp;TrendSheetStgData[Trend],Threshold[#All],4,FALSE)</f>
        <v>10</v>
      </c>
      <c r="L668" s="5">
        <f>VLOOKUP(TrendSheetStgData[Population]&amp;TrendSheetStgData[Trend],Threshold[#All],5,FALSE)</f>
        <v>5</v>
      </c>
      <c r="M6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69" spans="1:13" x14ac:dyDescent="0.25">
      <c r="A669" t="s">
        <v>90</v>
      </c>
      <c r="B669" t="s">
        <v>90</v>
      </c>
      <c r="C669" t="s">
        <v>78</v>
      </c>
      <c r="D669" s="1" t="s">
        <v>100</v>
      </c>
      <c r="E669" t="s">
        <v>93</v>
      </c>
      <c r="F669" t="s">
        <v>33</v>
      </c>
      <c r="G669">
        <v>22</v>
      </c>
      <c r="H669">
        <v>352</v>
      </c>
      <c r="I669" s="5">
        <f>IFERROR(VLOOKUP(TrendSheetStgData[Population]&amp;TrendSheetStgData[Cost Basis]&amp;TrendSheetStgData[Period]&amp;TrendSheetStgData[Trend],TrendSheetPrdData[#All],9,FALSE),0)</f>
        <v>368</v>
      </c>
      <c r="J6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4.3478260869565215</v>
      </c>
      <c r="K669" s="5">
        <f>VLOOKUP(TrendSheetStgData[Population]&amp;TrendSheetStgData[Trend],Threshold[#All],4,FALSE)</f>
        <v>10</v>
      </c>
      <c r="L669" s="5">
        <f>VLOOKUP(TrendSheetStgData[Population]&amp;TrendSheetStgData[Trend],Threshold[#All],5,FALSE)</f>
        <v>5</v>
      </c>
      <c r="M6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70" spans="1:13" x14ac:dyDescent="0.25">
      <c r="A670" t="s">
        <v>90</v>
      </c>
      <c r="B670" t="s">
        <v>90</v>
      </c>
      <c r="C670" t="s">
        <v>78</v>
      </c>
      <c r="D670" s="1" t="s">
        <v>101</v>
      </c>
      <c r="E670" t="s">
        <v>93</v>
      </c>
      <c r="F670" t="s">
        <v>33</v>
      </c>
      <c r="G670">
        <v>22</v>
      </c>
      <c r="H670">
        <v>365</v>
      </c>
      <c r="I670" s="5">
        <f>IFERROR(VLOOKUP(TrendSheetStgData[Population]&amp;TrendSheetStgData[Cost Basis]&amp;TrendSheetStgData[Period]&amp;TrendSheetStgData[Trend],TrendSheetPrdData[#All],9,FALSE),0)</f>
        <v>386</v>
      </c>
      <c r="J6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5.4404145077720205</v>
      </c>
      <c r="K670" s="5">
        <f>VLOOKUP(TrendSheetStgData[Population]&amp;TrendSheetStgData[Trend],Threshold[#All],4,FALSE)</f>
        <v>10</v>
      </c>
      <c r="L670" s="5">
        <f>VLOOKUP(TrendSheetStgData[Population]&amp;TrendSheetStgData[Trend],Threshold[#All],5,FALSE)</f>
        <v>5</v>
      </c>
      <c r="M6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71" spans="1:13" x14ac:dyDescent="0.25">
      <c r="A671" t="s">
        <v>90</v>
      </c>
      <c r="B671" t="s">
        <v>90</v>
      </c>
      <c r="C671" t="s">
        <v>78</v>
      </c>
      <c r="D671" s="1" t="s">
        <v>102</v>
      </c>
      <c r="E671" t="s">
        <v>93</v>
      </c>
      <c r="F671" t="s">
        <v>33</v>
      </c>
      <c r="G671">
        <v>22</v>
      </c>
      <c r="H671">
        <v>300</v>
      </c>
      <c r="I671" s="5">
        <f>IFERROR(VLOOKUP(TrendSheetStgData[Population]&amp;TrendSheetStgData[Cost Basis]&amp;TrendSheetStgData[Period]&amp;TrendSheetStgData[Trend],TrendSheetPrdData[#All],9,FALSE),0)</f>
        <v>304</v>
      </c>
      <c r="J6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1.3157894736842104</v>
      </c>
      <c r="K671" s="5">
        <f>VLOOKUP(TrendSheetStgData[Population]&amp;TrendSheetStgData[Trend],Threshold[#All],4,FALSE)</f>
        <v>10</v>
      </c>
      <c r="L671" s="5">
        <f>VLOOKUP(TrendSheetStgData[Population]&amp;TrendSheetStgData[Trend],Threshold[#All],5,FALSE)</f>
        <v>5</v>
      </c>
      <c r="M6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72" spans="1:13" x14ac:dyDescent="0.25">
      <c r="A672" t="s">
        <v>90</v>
      </c>
      <c r="B672" t="s">
        <v>90</v>
      </c>
      <c r="C672" t="s">
        <v>78</v>
      </c>
      <c r="D672" s="1" t="s">
        <v>103</v>
      </c>
      <c r="E672" t="s">
        <v>93</v>
      </c>
      <c r="F672" t="s">
        <v>33</v>
      </c>
      <c r="G672">
        <v>22</v>
      </c>
      <c r="H672">
        <v>306</v>
      </c>
      <c r="I672" s="5">
        <f>IFERROR(VLOOKUP(TrendSheetStgData[Population]&amp;TrendSheetStgData[Cost Basis]&amp;TrendSheetStgData[Period]&amp;TrendSheetStgData[Trend],TrendSheetPrdData[#All],9,FALSE),0)</f>
        <v>309</v>
      </c>
      <c r="J6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0.97087378640776689</v>
      </c>
      <c r="K672" s="5">
        <f>VLOOKUP(TrendSheetStgData[Population]&amp;TrendSheetStgData[Trend],Threshold[#All],4,FALSE)</f>
        <v>10</v>
      </c>
      <c r="L672" s="5">
        <f>VLOOKUP(TrendSheetStgData[Population]&amp;TrendSheetStgData[Trend],Threshold[#All],5,FALSE)</f>
        <v>5</v>
      </c>
      <c r="M6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73" spans="1:13" x14ac:dyDescent="0.25">
      <c r="A673" t="s">
        <v>90</v>
      </c>
      <c r="B673" t="s">
        <v>90</v>
      </c>
      <c r="C673" t="s">
        <v>78</v>
      </c>
      <c r="D673" s="1" t="s">
        <v>104</v>
      </c>
      <c r="E673" t="s">
        <v>93</v>
      </c>
      <c r="F673" t="s">
        <v>33</v>
      </c>
      <c r="G673">
        <v>22</v>
      </c>
      <c r="H673">
        <v>377</v>
      </c>
      <c r="I673" s="5">
        <f>IFERROR(VLOOKUP(TrendSheetStgData[Population]&amp;TrendSheetStgData[Cost Basis]&amp;TrendSheetStgData[Period]&amp;TrendSheetStgData[Trend],TrendSheetPrdData[#All],9,FALSE),0)</f>
        <v>323</v>
      </c>
      <c r="J6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16.718266253869967</v>
      </c>
      <c r="K673" s="5">
        <f>VLOOKUP(TrendSheetStgData[Population]&amp;TrendSheetStgData[Trend],Threshold[#All],4,FALSE)</f>
        <v>10</v>
      </c>
      <c r="L673" s="5">
        <f>VLOOKUP(TrendSheetStgData[Population]&amp;TrendSheetStgData[Trend],Threshold[#All],5,FALSE)</f>
        <v>5</v>
      </c>
      <c r="M6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74" spans="1:13" x14ac:dyDescent="0.25">
      <c r="A674" t="s">
        <v>90</v>
      </c>
      <c r="B674" t="s">
        <v>90</v>
      </c>
      <c r="C674" t="s">
        <v>78</v>
      </c>
      <c r="D674" s="1" t="s">
        <v>105</v>
      </c>
      <c r="E674" t="s">
        <v>106</v>
      </c>
      <c r="F674" t="s">
        <v>33</v>
      </c>
      <c r="G674">
        <v>22</v>
      </c>
      <c r="H674">
        <v>268</v>
      </c>
      <c r="I674" s="5">
        <f>IFERROR(VLOOKUP(TrendSheetStgData[Population]&amp;TrendSheetStgData[Cost Basis]&amp;TrendSheetStgData[Period]&amp;TrendSheetStgData[Trend],TrendSheetPrdData[#All],9,FALSE),0)</f>
        <v>241</v>
      </c>
      <c r="J6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11.20331950207469</v>
      </c>
      <c r="K674" s="5">
        <f>VLOOKUP(TrendSheetStgData[Population]&amp;TrendSheetStgData[Trend],Threshold[#All],4,FALSE)</f>
        <v>10</v>
      </c>
      <c r="L674" s="5">
        <f>VLOOKUP(TrendSheetStgData[Population]&amp;TrendSheetStgData[Trend],Threshold[#All],5,FALSE)</f>
        <v>5</v>
      </c>
      <c r="M6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75" spans="1:13" x14ac:dyDescent="0.25">
      <c r="A675" t="s">
        <v>90</v>
      </c>
      <c r="B675" t="s">
        <v>90</v>
      </c>
      <c r="C675" t="s">
        <v>78</v>
      </c>
      <c r="D675" s="1" t="s">
        <v>107</v>
      </c>
      <c r="E675" t="s">
        <v>106</v>
      </c>
      <c r="F675" t="s">
        <v>33</v>
      </c>
      <c r="G675">
        <v>22</v>
      </c>
      <c r="H675">
        <v>191</v>
      </c>
      <c r="I675" s="5">
        <f>IFERROR(VLOOKUP(TrendSheetStgData[Population]&amp;TrendSheetStgData[Cost Basis]&amp;TrendSheetStgData[Period]&amp;TrendSheetStgData[Trend],TrendSheetPrdData[#All],9,FALSE),0)</f>
        <v>85</v>
      </c>
      <c r="J6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124.70588235294117</v>
      </c>
      <c r="K675" s="5">
        <f>VLOOKUP(TrendSheetStgData[Population]&amp;TrendSheetStgData[Trend],Threshold[#All],4,FALSE)</f>
        <v>10</v>
      </c>
      <c r="L675" s="5">
        <f>VLOOKUP(TrendSheetStgData[Population]&amp;TrendSheetStgData[Trend],Threshold[#All],5,FALSE)</f>
        <v>5</v>
      </c>
      <c r="M6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76" spans="1:13" x14ac:dyDescent="0.25">
      <c r="A676" t="s">
        <v>90</v>
      </c>
      <c r="B676" t="s">
        <v>90</v>
      </c>
      <c r="C676" t="s">
        <v>78</v>
      </c>
      <c r="D676" s="1" t="s">
        <v>108</v>
      </c>
      <c r="E676" t="s">
        <v>106</v>
      </c>
      <c r="F676" t="s">
        <v>33</v>
      </c>
      <c r="G676">
        <v>22</v>
      </c>
      <c r="H676">
        <v>143</v>
      </c>
      <c r="I676" s="5">
        <f>IFERROR(VLOOKUP(TrendSheetStgData[Population]&amp;TrendSheetStgData[Cost Basis]&amp;TrendSheetStgData[Period]&amp;TrendSheetStgData[Trend],TrendSheetPrdData[#All],9,FALSE),0)</f>
        <v>0</v>
      </c>
      <c r="J6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76" s="5">
        <f>VLOOKUP(TrendSheetStgData[Population]&amp;TrendSheetStgData[Trend],Threshold[#All],4,FALSE)</f>
        <v>10</v>
      </c>
      <c r="L676" s="5">
        <f>VLOOKUP(TrendSheetStgData[Population]&amp;TrendSheetStgData[Trend],Threshold[#All],5,FALSE)</f>
        <v>5</v>
      </c>
      <c r="M6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77" spans="1:13" x14ac:dyDescent="0.25">
      <c r="A677" t="s">
        <v>90</v>
      </c>
      <c r="B677" t="s">
        <v>90</v>
      </c>
      <c r="C677" t="s">
        <v>78</v>
      </c>
      <c r="D677" s="1" t="s">
        <v>92</v>
      </c>
      <c r="E677" t="s">
        <v>93</v>
      </c>
      <c r="F677" t="s">
        <v>34</v>
      </c>
      <c r="G677">
        <v>23</v>
      </c>
      <c r="H677">
        <v>4529</v>
      </c>
      <c r="I677" s="5">
        <f>IFERROR(VLOOKUP(TrendSheetStgData[Population]&amp;TrendSheetStgData[Cost Basis]&amp;TrendSheetStgData[Period]&amp;TrendSheetStgData[Trend],TrendSheetPrdData[#All],9,FALSE),0)</f>
        <v>4529</v>
      </c>
      <c r="J6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7" s="5">
        <f>VLOOKUP(TrendSheetStgData[Population]&amp;TrendSheetStgData[Trend],Threshold[#All],4,FALSE)</f>
        <v>10</v>
      </c>
      <c r="L677" s="5">
        <f>VLOOKUP(TrendSheetStgData[Population]&amp;TrendSheetStgData[Trend],Threshold[#All],5,FALSE)</f>
        <v>5</v>
      </c>
      <c r="M6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8" spans="1:13" x14ac:dyDescent="0.25">
      <c r="A678" t="s">
        <v>90</v>
      </c>
      <c r="B678" t="s">
        <v>90</v>
      </c>
      <c r="C678" t="s">
        <v>78</v>
      </c>
      <c r="D678" s="1" t="s">
        <v>94</v>
      </c>
      <c r="E678" t="s">
        <v>93</v>
      </c>
      <c r="F678" t="s">
        <v>34</v>
      </c>
      <c r="G678">
        <v>23</v>
      </c>
      <c r="H678">
        <v>4099</v>
      </c>
      <c r="I678" s="5">
        <f>IFERROR(VLOOKUP(TrendSheetStgData[Population]&amp;TrendSheetStgData[Cost Basis]&amp;TrendSheetStgData[Period]&amp;TrendSheetStgData[Trend],TrendSheetPrdData[#All],9,FALSE),0)</f>
        <v>4099</v>
      </c>
      <c r="J6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8" s="5">
        <f>VLOOKUP(TrendSheetStgData[Population]&amp;TrendSheetStgData[Trend],Threshold[#All],4,FALSE)</f>
        <v>10</v>
      </c>
      <c r="L678" s="5">
        <f>VLOOKUP(TrendSheetStgData[Population]&amp;TrendSheetStgData[Trend],Threshold[#All],5,FALSE)</f>
        <v>5</v>
      </c>
      <c r="M6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9" spans="1:13" x14ac:dyDescent="0.25">
      <c r="A679" t="s">
        <v>90</v>
      </c>
      <c r="B679" t="s">
        <v>90</v>
      </c>
      <c r="C679" t="s">
        <v>78</v>
      </c>
      <c r="D679" s="1" t="s">
        <v>95</v>
      </c>
      <c r="E679" t="s">
        <v>93</v>
      </c>
      <c r="F679" t="s">
        <v>34</v>
      </c>
      <c r="G679">
        <v>23</v>
      </c>
      <c r="H679">
        <v>4095</v>
      </c>
      <c r="I679" s="5">
        <f>IFERROR(VLOOKUP(TrendSheetStgData[Population]&amp;TrendSheetStgData[Cost Basis]&amp;TrendSheetStgData[Period]&amp;TrendSheetStgData[Trend],TrendSheetPrdData[#All],9,FALSE),0)</f>
        <v>4095</v>
      </c>
      <c r="J6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9" s="5">
        <f>VLOOKUP(TrendSheetStgData[Population]&amp;TrendSheetStgData[Trend],Threshold[#All],4,FALSE)</f>
        <v>10</v>
      </c>
      <c r="L679" s="5">
        <f>VLOOKUP(TrendSheetStgData[Population]&amp;TrendSheetStgData[Trend],Threshold[#All],5,FALSE)</f>
        <v>5</v>
      </c>
      <c r="M6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0" spans="1:13" x14ac:dyDescent="0.25">
      <c r="A680" t="s">
        <v>90</v>
      </c>
      <c r="B680" t="s">
        <v>90</v>
      </c>
      <c r="C680" t="s">
        <v>78</v>
      </c>
      <c r="D680" s="1" t="s">
        <v>96</v>
      </c>
      <c r="E680" t="s">
        <v>93</v>
      </c>
      <c r="F680" t="s">
        <v>34</v>
      </c>
      <c r="G680">
        <v>23</v>
      </c>
      <c r="H680">
        <v>4097</v>
      </c>
      <c r="I680" s="5">
        <f>IFERROR(VLOOKUP(TrendSheetStgData[Population]&amp;TrendSheetStgData[Cost Basis]&amp;TrendSheetStgData[Period]&amp;TrendSheetStgData[Trend],TrendSheetPrdData[#All],9,FALSE),0)</f>
        <v>4096</v>
      </c>
      <c r="J6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2.44140625E-2</v>
      </c>
      <c r="K680" s="5">
        <f>VLOOKUP(TrendSheetStgData[Population]&amp;TrendSheetStgData[Trend],Threshold[#All],4,FALSE)</f>
        <v>10</v>
      </c>
      <c r="L680" s="5">
        <f>VLOOKUP(TrendSheetStgData[Population]&amp;TrendSheetStgData[Trend],Threshold[#All],5,FALSE)</f>
        <v>5</v>
      </c>
      <c r="M6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1" spans="1:13" x14ac:dyDescent="0.25">
      <c r="A681" t="s">
        <v>90</v>
      </c>
      <c r="B681" t="s">
        <v>90</v>
      </c>
      <c r="C681" t="s">
        <v>78</v>
      </c>
      <c r="D681" s="1" t="s">
        <v>97</v>
      </c>
      <c r="E681" t="s">
        <v>93</v>
      </c>
      <c r="F681" t="s">
        <v>34</v>
      </c>
      <c r="G681">
        <v>23</v>
      </c>
      <c r="H681">
        <v>3653</v>
      </c>
      <c r="I681" s="5">
        <f>IFERROR(VLOOKUP(TrendSheetStgData[Population]&amp;TrendSheetStgData[Cost Basis]&amp;TrendSheetStgData[Period]&amp;TrendSheetStgData[Trend],TrendSheetPrdData[#All],9,FALSE),0)</f>
        <v>3653</v>
      </c>
      <c r="J6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1" s="5">
        <f>VLOOKUP(TrendSheetStgData[Population]&amp;TrendSheetStgData[Trend],Threshold[#All],4,FALSE)</f>
        <v>10</v>
      </c>
      <c r="L681" s="5">
        <f>VLOOKUP(TrendSheetStgData[Population]&amp;TrendSheetStgData[Trend],Threshold[#All],5,FALSE)</f>
        <v>5</v>
      </c>
      <c r="M6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2" spans="1:13" x14ac:dyDescent="0.25">
      <c r="A682" t="s">
        <v>90</v>
      </c>
      <c r="B682" t="s">
        <v>90</v>
      </c>
      <c r="C682" t="s">
        <v>78</v>
      </c>
      <c r="D682" s="1" t="s">
        <v>98</v>
      </c>
      <c r="E682" t="s">
        <v>93</v>
      </c>
      <c r="F682" t="s">
        <v>34</v>
      </c>
      <c r="G682">
        <v>23</v>
      </c>
      <c r="H682">
        <v>3958</v>
      </c>
      <c r="I682" s="5">
        <f>IFERROR(VLOOKUP(TrendSheetStgData[Population]&amp;TrendSheetStgData[Cost Basis]&amp;TrendSheetStgData[Period]&amp;TrendSheetStgData[Trend],TrendSheetPrdData[#All],9,FALSE),0)</f>
        <v>3957</v>
      </c>
      <c r="J6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2.5271670457417232E-2</v>
      </c>
      <c r="K682" s="5">
        <f>VLOOKUP(TrendSheetStgData[Population]&amp;TrendSheetStgData[Trend],Threshold[#All],4,FALSE)</f>
        <v>10</v>
      </c>
      <c r="L682" s="5">
        <f>VLOOKUP(TrendSheetStgData[Population]&amp;TrendSheetStgData[Trend],Threshold[#All],5,FALSE)</f>
        <v>5</v>
      </c>
      <c r="M6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3" spans="1:13" x14ac:dyDescent="0.25">
      <c r="A683" t="s">
        <v>90</v>
      </c>
      <c r="B683" t="s">
        <v>90</v>
      </c>
      <c r="C683" t="s">
        <v>78</v>
      </c>
      <c r="D683" s="1" t="s">
        <v>99</v>
      </c>
      <c r="E683" t="s">
        <v>93</v>
      </c>
      <c r="F683" t="s">
        <v>34</v>
      </c>
      <c r="G683">
        <v>23</v>
      </c>
      <c r="H683">
        <v>3845</v>
      </c>
      <c r="I683" s="5">
        <f>IFERROR(VLOOKUP(TrendSheetStgData[Population]&amp;TrendSheetStgData[Cost Basis]&amp;TrendSheetStgData[Period]&amp;TrendSheetStgData[Trend],TrendSheetPrdData[#All],9,FALSE),0)</f>
        <v>3845</v>
      </c>
      <c r="J6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3" s="5">
        <f>VLOOKUP(TrendSheetStgData[Population]&amp;TrendSheetStgData[Trend],Threshold[#All],4,FALSE)</f>
        <v>10</v>
      </c>
      <c r="L683" s="5">
        <f>VLOOKUP(TrendSheetStgData[Population]&amp;TrendSheetStgData[Trend],Threshold[#All],5,FALSE)</f>
        <v>5</v>
      </c>
      <c r="M6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4" spans="1:13" x14ac:dyDescent="0.25">
      <c r="A684" t="s">
        <v>90</v>
      </c>
      <c r="B684" t="s">
        <v>90</v>
      </c>
      <c r="C684" t="s">
        <v>78</v>
      </c>
      <c r="D684" s="1" t="s">
        <v>100</v>
      </c>
      <c r="E684" t="s">
        <v>93</v>
      </c>
      <c r="F684" t="s">
        <v>34</v>
      </c>
      <c r="G684">
        <v>23</v>
      </c>
      <c r="H684">
        <v>3944</v>
      </c>
      <c r="I684" s="5">
        <f>IFERROR(VLOOKUP(TrendSheetStgData[Population]&amp;TrendSheetStgData[Cost Basis]&amp;TrendSheetStgData[Period]&amp;TrendSheetStgData[Trend],TrendSheetPrdData[#All],9,FALSE),0)</f>
        <v>3944</v>
      </c>
      <c r="J6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4" s="5">
        <f>VLOOKUP(TrendSheetStgData[Population]&amp;TrendSheetStgData[Trend],Threshold[#All],4,FALSE)</f>
        <v>10</v>
      </c>
      <c r="L684" s="5">
        <f>VLOOKUP(TrendSheetStgData[Population]&amp;TrendSheetStgData[Trend],Threshold[#All],5,FALSE)</f>
        <v>5</v>
      </c>
      <c r="M6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5" spans="1:13" x14ac:dyDescent="0.25">
      <c r="A685" t="s">
        <v>90</v>
      </c>
      <c r="B685" t="s">
        <v>90</v>
      </c>
      <c r="C685" t="s">
        <v>78</v>
      </c>
      <c r="D685" s="1" t="s">
        <v>101</v>
      </c>
      <c r="E685" t="s">
        <v>93</v>
      </c>
      <c r="F685" t="s">
        <v>34</v>
      </c>
      <c r="G685">
        <v>23</v>
      </c>
      <c r="H685">
        <v>4135</v>
      </c>
      <c r="I685" s="5">
        <f>IFERROR(VLOOKUP(TrendSheetStgData[Population]&amp;TrendSheetStgData[Cost Basis]&amp;TrendSheetStgData[Period]&amp;TrendSheetStgData[Trend],TrendSheetPrdData[#All],9,FALSE),0)</f>
        <v>4135</v>
      </c>
      <c r="J6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5" s="5">
        <f>VLOOKUP(TrendSheetStgData[Population]&amp;TrendSheetStgData[Trend],Threshold[#All],4,FALSE)</f>
        <v>10</v>
      </c>
      <c r="L685" s="5">
        <f>VLOOKUP(TrendSheetStgData[Population]&amp;TrendSheetStgData[Trend],Threshold[#All],5,FALSE)</f>
        <v>5</v>
      </c>
      <c r="M6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6" spans="1:13" x14ac:dyDescent="0.25">
      <c r="A686" t="s">
        <v>90</v>
      </c>
      <c r="B686" t="s">
        <v>90</v>
      </c>
      <c r="C686" t="s">
        <v>78</v>
      </c>
      <c r="D686" s="1" t="s">
        <v>102</v>
      </c>
      <c r="E686" t="s">
        <v>93</v>
      </c>
      <c r="F686" t="s">
        <v>34</v>
      </c>
      <c r="G686">
        <v>23</v>
      </c>
      <c r="H686">
        <v>4402</v>
      </c>
      <c r="I686" s="5">
        <f>IFERROR(VLOOKUP(TrendSheetStgData[Population]&amp;TrendSheetStgData[Cost Basis]&amp;TrendSheetStgData[Period]&amp;TrendSheetStgData[Trend],TrendSheetPrdData[#All],9,FALSE),0)</f>
        <v>4400</v>
      </c>
      <c r="J6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4.5454545454545456E-2</v>
      </c>
      <c r="K686" s="5">
        <f>VLOOKUP(TrendSheetStgData[Population]&amp;TrendSheetStgData[Trend],Threshold[#All],4,FALSE)</f>
        <v>10</v>
      </c>
      <c r="L686" s="5">
        <f>VLOOKUP(TrendSheetStgData[Population]&amp;TrendSheetStgData[Trend],Threshold[#All],5,FALSE)</f>
        <v>5</v>
      </c>
      <c r="M6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7" spans="1:13" x14ac:dyDescent="0.25">
      <c r="A687" t="s">
        <v>90</v>
      </c>
      <c r="B687" t="s">
        <v>90</v>
      </c>
      <c r="C687" t="s">
        <v>78</v>
      </c>
      <c r="D687" s="1" t="s">
        <v>103</v>
      </c>
      <c r="E687" t="s">
        <v>93</v>
      </c>
      <c r="F687" t="s">
        <v>34</v>
      </c>
      <c r="G687">
        <v>23</v>
      </c>
      <c r="H687">
        <v>4347</v>
      </c>
      <c r="I687" s="5">
        <f>IFERROR(VLOOKUP(TrendSheetStgData[Population]&amp;TrendSheetStgData[Cost Basis]&amp;TrendSheetStgData[Period]&amp;TrendSheetStgData[Trend],TrendSheetPrdData[#All],9,FALSE),0)</f>
        <v>4346</v>
      </c>
      <c r="J6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2.3009664058904741E-2</v>
      </c>
      <c r="K687" s="5">
        <f>VLOOKUP(TrendSheetStgData[Population]&amp;TrendSheetStgData[Trend],Threshold[#All],4,FALSE)</f>
        <v>10</v>
      </c>
      <c r="L687" s="5">
        <f>VLOOKUP(TrendSheetStgData[Population]&amp;TrendSheetStgData[Trend],Threshold[#All],5,FALSE)</f>
        <v>5</v>
      </c>
      <c r="M6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8" spans="1:13" x14ac:dyDescent="0.25">
      <c r="A688" t="s">
        <v>90</v>
      </c>
      <c r="B688" t="s">
        <v>90</v>
      </c>
      <c r="C688" t="s">
        <v>78</v>
      </c>
      <c r="D688" s="1" t="s">
        <v>104</v>
      </c>
      <c r="E688" t="s">
        <v>93</v>
      </c>
      <c r="F688" t="s">
        <v>34</v>
      </c>
      <c r="G688">
        <v>23</v>
      </c>
      <c r="H688">
        <v>3951</v>
      </c>
      <c r="I688" s="5">
        <f>IFERROR(VLOOKUP(TrendSheetStgData[Population]&amp;TrendSheetStgData[Cost Basis]&amp;TrendSheetStgData[Period]&amp;TrendSheetStgData[Trend],TrendSheetPrdData[#All],9,FALSE),0)</f>
        <v>3952</v>
      </c>
      <c r="J6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2.5303643724696356E-2</v>
      </c>
      <c r="K688" s="5">
        <f>VLOOKUP(TrendSheetStgData[Population]&amp;TrendSheetStgData[Trend],Threshold[#All],4,FALSE)</f>
        <v>10</v>
      </c>
      <c r="L688" s="5">
        <f>VLOOKUP(TrendSheetStgData[Population]&amp;TrendSheetStgData[Trend],Threshold[#All],5,FALSE)</f>
        <v>5</v>
      </c>
      <c r="M6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9" spans="1:13" x14ac:dyDescent="0.25">
      <c r="A689" t="s">
        <v>90</v>
      </c>
      <c r="B689" t="s">
        <v>90</v>
      </c>
      <c r="C689" t="s">
        <v>78</v>
      </c>
      <c r="D689" s="1" t="s">
        <v>105</v>
      </c>
      <c r="E689" t="s">
        <v>106</v>
      </c>
      <c r="F689" t="s">
        <v>34</v>
      </c>
      <c r="G689">
        <v>23</v>
      </c>
      <c r="H689">
        <v>4433</v>
      </c>
      <c r="I689" s="5">
        <f>IFERROR(VLOOKUP(TrendSheetStgData[Population]&amp;TrendSheetStgData[Cost Basis]&amp;TrendSheetStgData[Period]&amp;TrendSheetStgData[Trend],TrendSheetPrdData[#All],9,FALSE),0)</f>
        <v>4498</v>
      </c>
      <c r="J6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1.4450867052023122</v>
      </c>
      <c r="K689" s="5">
        <f>VLOOKUP(TrendSheetStgData[Population]&amp;TrendSheetStgData[Trend],Threshold[#All],4,FALSE)</f>
        <v>10</v>
      </c>
      <c r="L689" s="5">
        <f>VLOOKUP(TrendSheetStgData[Population]&amp;TrendSheetStgData[Trend],Threshold[#All],5,FALSE)</f>
        <v>5</v>
      </c>
      <c r="M6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90" spans="1:13" x14ac:dyDescent="0.25">
      <c r="A690" t="s">
        <v>90</v>
      </c>
      <c r="B690" t="s">
        <v>90</v>
      </c>
      <c r="C690" t="s">
        <v>78</v>
      </c>
      <c r="D690" s="1" t="s">
        <v>107</v>
      </c>
      <c r="E690" t="s">
        <v>106</v>
      </c>
      <c r="F690" t="s">
        <v>34</v>
      </c>
      <c r="G690">
        <v>23</v>
      </c>
      <c r="H690">
        <v>3978</v>
      </c>
      <c r="I690" s="5">
        <f>IFERROR(VLOOKUP(TrendSheetStgData[Population]&amp;TrendSheetStgData[Cost Basis]&amp;TrendSheetStgData[Period]&amp;TrendSheetStgData[Trend],TrendSheetPrdData[#All],9,FALSE),0)</f>
        <v>3147</v>
      </c>
      <c r="J6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26.406101048617732</v>
      </c>
      <c r="K690" s="5">
        <f>VLOOKUP(TrendSheetStgData[Population]&amp;TrendSheetStgData[Trend],Threshold[#All],4,FALSE)</f>
        <v>10</v>
      </c>
      <c r="L690" s="5">
        <f>VLOOKUP(TrendSheetStgData[Population]&amp;TrendSheetStgData[Trend],Threshold[#All],5,FALSE)</f>
        <v>5</v>
      </c>
      <c r="M6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91" spans="1:13" x14ac:dyDescent="0.25">
      <c r="A691" t="s">
        <v>90</v>
      </c>
      <c r="B691" t="s">
        <v>90</v>
      </c>
      <c r="C691" t="s">
        <v>78</v>
      </c>
      <c r="D691" s="1" t="s">
        <v>108</v>
      </c>
      <c r="E691" t="s">
        <v>106</v>
      </c>
      <c r="F691" t="s">
        <v>34</v>
      </c>
      <c r="G691">
        <v>23</v>
      </c>
      <c r="H691">
        <v>2812</v>
      </c>
      <c r="I691" s="5">
        <f>IFERROR(VLOOKUP(TrendSheetStgData[Population]&amp;TrendSheetStgData[Cost Basis]&amp;TrendSheetStgData[Period]&amp;TrendSheetStgData[Trend],TrendSheetPrdData[#All],9,FALSE),0)</f>
        <v>0</v>
      </c>
      <c r="J6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91" s="5">
        <f>VLOOKUP(TrendSheetStgData[Population]&amp;TrendSheetStgData[Trend],Threshold[#All],4,FALSE)</f>
        <v>10</v>
      </c>
      <c r="L691" s="5">
        <f>VLOOKUP(TrendSheetStgData[Population]&amp;TrendSheetStgData[Trend],Threshold[#All],5,FALSE)</f>
        <v>5</v>
      </c>
      <c r="M6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761"/>
  <sheetViews>
    <sheetView workbookViewId="0">
      <selection activeCell="A2" sqref="A2"/>
    </sheetView>
  </sheetViews>
  <sheetFormatPr defaultRowHeight="15" x14ac:dyDescent="0.25"/>
  <cols>
    <col min="1" max="1" width="80.85546875" bestFit="1" customWidth="1"/>
    <col min="2" max="2" width="26" bestFit="1" customWidth="1"/>
    <col min="3" max="3" width="26" customWidth="1"/>
    <col min="4" max="4" width="12" bestFit="1" customWidth="1"/>
    <col min="5" max="5" width="10.42578125" bestFit="1" customWidth="1"/>
    <col min="6" max="6" width="14.5703125" bestFit="1" customWidth="1"/>
    <col min="7" max="7" width="38.140625" bestFit="1" customWidth="1"/>
    <col min="8" max="8" width="14" bestFit="1" customWidth="1"/>
    <col min="9" max="9" width="10" bestFit="1" customWidth="1"/>
    <col min="10" max="10" width="17.140625" bestFit="1" customWidth="1"/>
    <col min="11" max="11" width="13.42578125" bestFit="1" customWidth="1"/>
  </cols>
  <sheetData>
    <row r="1" spans="1:9" x14ac:dyDescent="0.25">
      <c r="A1" t="s">
        <v>38</v>
      </c>
      <c r="B1" t="s">
        <v>0</v>
      </c>
      <c r="C1" t="s">
        <v>85</v>
      </c>
      <c r="D1" t="s">
        <v>1</v>
      </c>
      <c r="E1" t="s">
        <v>2</v>
      </c>
      <c r="F1" t="s">
        <v>3</v>
      </c>
      <c r="G1" t="s">
        <v>4</v>
      </c>
      <c r="H1" t="s">
        <v>5</v>
      </c>
      <c r="I1" t="s">
        <v>35</v>
      </c>
    </row>
    <row r="2" spans="1:9" x14ac:dyDescent="0.25">
      <c r="A2" t="str">
        <f>TrendSheetPrdData[[#This Row],[Population]]&amp;TrendSheetPrdData[[#This Row],[Cost Basis]]&amp;TrendSheetPrdData[[#This Row],[Period]]&amp;TrendSheetPrdData[[#This Row],[Trend]]</f>
        <v>BAYVIEW EMPLOYEEAllowed2015-11-01Medical PMPM</v>
      </c>
      <c r="B2" t="s">
        <v>127</v>
      </c>
      <c r="C2" t="s">
        <v>127</v>
      </c>
      <c r="D2" t="s">
        <v>91</v>
      </c>
      <c r="E2" s="1" t="s">
        <v>130</v>
      </c>
      <c r="F2" t="s">
        <v>93</v>
      </c>
      <c r="G2" t="s">
        <v>12</v>
      </c>
      <c r="H2">
        <v>1</v>
      </c>
      <c r="I2">
        <v>295.73</v>
      </c>
    </row>
    <row r="3" spans="1:9" x14ac:dyDescent="0.25">
      <c r="A3" s="5" t="str">
        <f>TrendSheetPrdData[[#This Row],[Population]]&amp;TrendSheetPrdData[[#This Row],[Cost Basis]]&amp;TrendSheetPrdData[[#This Row],[Period]]&amp;TrendSheetPrdData[[#This Row],[Trend]]</f>
        <v>BAYVIEW EMPLOYEEAllowed2015-12-01Medical PMPM</v>
      </c>
      <c r="B3" t="s">
        <v>127</v>
      </c>
      <c r="C3" t="s">
        <v>127</v>
      </c>
      <c r="D3" t="s">
        <v>91</v>
      </c>
      <c r="E3" s="1" t="s">
        <v>131</v>
      </c>
      <c r="F3" t="s">
        <v>93</v>
      </c>
      <c r="G3" t="s">
        <v>12</v>
      </c>
      <c r="H3">
        <v>1</v>
      </c>
      <c r="I3">
        <v>449.59</v>
      </c>
    </row>
    <row r="4" spans="1:9" x14ac:dyDescent="0.25">
      <c r="A4" s="5" t="str">
        <f>TrendSheetPrdData[[#This Row],[Population]]&amp;TrendSheetPrdData[[#This Row],[Cost Basis]]&amp;TrendSheetPrdData[[#This Row],[Period]]&amp;TrendSheetPrdData[[#This Row],[Trend]]</f>
        <v>BAYVIEW EMPLOYEEAllowed2016-01-01Medical PMPM</v>
      </c>
      <c r="B4" t="s">
        <v>127</v>
      </c>
      <c r="C4" t="s">
        <v>127</v>
      </c>
      <c r="D4" t="s">
        <v>91</v>
      </c>
      <c r="E4" s="1" t="s">
        <v>132</v>
      </c>
      <c r="F4" t="s">
        <v>93</v>
      </c>
      <c r="G4" t="s">
        <v>12</v>
      </c>
      <c r="H4">
        <v>1</v>
      </c>
      <c r="I4">
        <v>201.2</v>
      </c>
    </row>
    <row r="5" spans="1:9" x14ac:dyDescent="0.25">
      <c r="A5" s="5" t="str">
        <f>TrendSheetPrdData[[#This Row],[Population]]&amp;TrendSheetPrdData[[#This Row],[Cost Basis]]&amp;TrendSheetPrdData[[#This Row],[Period]]&amp;TrendSheetPrdData[[#This Row],[Trend]]</f>
        <v>BAYVIEW EMPLOYEEAllowed2016-02-01Medical PMPM</v>
      </c>
      <c r="B5" t="s">
        <v>127</v>
      </c>
      <c r="C5" t="s">
        <v>127</v>
      </c>
      <c r="D5" t="s">
        <v>91</v>
      </c>
      <c r="E5" s="1" t="s">
        <v>133</v>
      </c>
      <c r="F5" t="s">
        <v>93</v>
      </c>
      <c r="G5" t="s">
        <v>12</v>
      </c>
      <c r="H5">
        <v>1</v>
      </c>
      <c r="I5">
        <v>198.51</v>
      </c>
    </row>
    <row r="6" spans="1:9" x14ac:dyDescent="0.25">
      <c r="A6" s="5" t="str">
        <f>TrendSheetPrdData[[#This Row],[Population]]&amp;TrendSheetPrdData[[#This Row],[Cost Basis]]&amp;TrendSheetPrdData[[#This Row],[Period]]&amp;TrendSheetPrdData[[#This Row],[Trend]]</f>
        <v>BAYVIEW EMPLOYEEAllowed2016-03-01Medical PMPM</v>
      </c>
      <c r="B6" t="s">
        <v>127</v>
      </c>
      <c r="C6" t="s">
        <v>127</v>
      </c>
      <c r="D6" t="s">
        <v>91</v>
      </c>
      <c r="E6" s="1" t="s">
        <v>92</v>
      </c>
      <c r="F6" t="s">
        <v>93</v>
      </c>
      <c r="G6" t="s">
        <v>12</v>
      </c>
      <c r="H6">
        <v>1</v>
      </c>
      <c r="I6">
        <v>487.41</v>
      </c>
    </row>
    <row r="7" spans="1:9" x14ac:dyDescent="0.25">
      <c r="A7" s="5" t="str">
        <f>TrendSheetPrdData[[#This Row],[Population]]&amp;TrendSheetPrdData[[#This Row],[Cost Basis]]&amp;TrendSheetPrdData[[#This Row],[Period]]&amp;TrendSheetPrdData[[#This Row],[Trend]]</f>
        <v>BAYVIEW EMPLOYEEAllowed2016-04-01Medical PMPM</v>
      </c>
      <c r="B7" t="s">
        <v>127</v>
      </c>
      <c r="C7" t="s">
        <v>127</v>
      </c>
      <c r="D7" t="s">
        <v>91</v>
      </c>
      <c r="E7" s="1" t="s">
        <v>94</v>
      </c>
      <c r="F7" t="s">
        <v>93</v>
      </c>
      <c r="G7" t="s">
        <v>12</v>
      </c>
      <c r="H7">
        <v>1</v>
      </c>
      <c r="I7">
        <v>279.41000000000003</v>
      </c>
    </row>
    <row r="8" spans="1:9" x14ac:dyDescent="0.25">
      <c r="A8" s="5" t="str">
        <f>TrendSheetPrdData[[#This Row],[Population]]&amp;TrendSheetPrdData[[#This Row],[Cost Basis]]&amp;TrendSheetPrdData[[#This Row],[Period]]&amp;TrendSheetPrdData[[#This Row],[Trend]]</f>
        <v>BAYVIEW EMPLOYEEAllowed2016-05-01Medical PMPM</v>
      </c>
      <c r="B8" t="s">
        <v>127</v>
      </c>
      <c r="C8" t="s">
        <v>127</v>
      </c>
      <c r="D8" t="s">
        <v>91</v>
      </c>
      <c r="E8" s="1" t="s">
        <v>95</v>
      </c>
      <c r="F8" t="s">
        <v>93</v>
      </c>
      <c r="G8" t="s">
        <v>12</v>
      </c>
      <c r="H8">
        <v>1</v>
      </c>
      <c r="I8">
        <v>470.74</v>
      </c>
    </row>
    <row r="9" spans="1:9" x14ac:dyDescent="0.25">
      <c r="A9" s="5" t="str">
        <f>TrendSheetPrdData[[#This Row],[Population]]&amp;TrendSheetPrdData[[#This Row],[Cost Basis]]&amp;TrendSheetPrdData[[#This Row],[Period]]&amp;TrendSheetPrdData[[#This Row],[Trend]]</f>
        <v>BAYVIEW EMPLOYEEAllowed2016-06-01Medical PMPM</v>
      </c>
      <c r="B9" t="s">
        <v>127</v>
      </c>
      <c r="C9" t="s">
        <v>127</v>
      </c>
      <c r="D9" t="s">
        <v>91</v>
      </c>
      <c r="E9" s="1" t="s">
        <v>96</v>
      </c>
      <c r="F9" t="s">
        <v>93</v>
      </c>
      <c r="G9" t="s">
        <v>12</v>
      </c>
      <c r="H9">
        <v>1</v>
      </c>
      <c r="I9">
        <v>257.79000000000002</v>
      </c>
    </row>
    <row r="10" spans="1:9" x14ac:dyDescent="0.25">
      <c r="A10" s="5" t="str">
        <f>TrendSheetPrdData[[#This Row],[Population]]&amp;TrendSheetPrdData[[#This Row],[Cost Basis]]&amp;TrendSheetPrdData[[#This Row],[Period]]&amp;TrendSheetPrdData[[#This Row],[Trend]]</f>
        <v>BAYVIEW EMPLOYEEAllowed2016-07-01Medical PMPM</v>
      </c>
      <c r="B10" t="s">
        <v>127</v>
      </c>
      <c r="C10" t="s">
        <v>127</v>
      </c>
      <c r="D10" t="s">
        <v>91</v>
      </c>
      <c r="E10" s="1" t="s">
        <v>97</v>
      </c>
      <c r="F10" t="s">
        <v>93</v>
      </c>
      <c r="G10" t="s">
        <v>12</v>
      </c>
      <c r="H10">
        <v>1</v>
      </c>
      <c r="I10">
        <v>172.23</v>
      </c>
    </row>
    <row r="11" spans="1:9" x14ac:dyDescent="0.25">
      <c r="A11" s="5" t="str">
        <f>TrendSheetPrdData[[#This Row],[Population]]&amp;TrendSheetPrdData[[#This Row],[Cost Basis]]&amp;TrendSheetPrdData[[#This Row],[Period]]&amp;TrendSheetPrdData[[#This Row],[Trend]]</f>
        <v>BAYVIEW EMPLOYEEAllowed2016-08-01Medical PMPM</v>
      </c>
      <c r="B11" t="s">
        <v>127</v>
      </c>
      <c r="C11" t="s">
        <v>127</v>
      </c>
      <c r="D11" t="s">
        <v>91</v>
      </c>
      <c r="E11" s="1" t="s">
        <v>98</v>
      </c>
      <c r="F11" t="s">
        <v>93</v>
      </c>
      <c r="G11" t="s">
        <v>12</v>
      </c>
      <c r="H11">
        <v>1</v>
      </c>
      <c r="I11">
        <v>279.11</v>
      </c>
    </row>
    <row r="12" spans="1:9" x14ac:dyDescent="0.25">
      <c r="A12" s="5" t="str">
        <f>TrendSheetPrdData[[#This Row],[Population]]&amp;TrendSheetPrdData[[#This Row],[Cost Basis]]&amp;TrendSheetPrdData[[#This Row],[Period]]&amp;TrendSheetPrdData[[#This Row],[Trend]]</f>
        <v>BAYVIEW EMPLOYEEAllowed2016-09-01Medical PMPM</v>
      </c>
      <c r="B12" t="s">
        <v>127</v>
      </c>
      <c r="C12" t="s">
        <v>127</v>
      </c>
      <c r="D12" t="s">
        <v>91</v>
      </c>
      <c r="E12" s="1" t="s">
        <v>99</v>
      </c>
      <c r="F12" t="s">
        <v>93</v>
      </c>
      <c r="G12" t="s">
        <v>12</v>
      </c>
      <c r="H12">
        <v>1</v>
      </c>
      <c r="I12">
        <v>298.29000000000002</v>
      </c>
    </row>
    <row r="13" spans="1:9" x14ac:dyDescent="0.25">
      <c r="A13" s="5" t="str">
        <f>TrendSheetPrdData[[#This Row],[Population]]&amp;TrendSheetPrdData[[#This Row],[Cost Basis]]&amp;TrendSheetPrdData[[#This Row],[Period]]&amp;TrendSheetPrdData[[#This Row],[Trend]]</f>
        <v>BAYVIEW EMPLOYEEAllowed2016-10-01Medical PMPM</v>
      </c>
      <c r="B13" t="s">
        <v>127</v>
      </c>
      <c r="C13" t="s">
        <v>127</v>
      </c>
      <c r="D13" t="s">
        <v>91</v>
      </c>
      <c r="E13" s="1" t="s">
        <v>100</v>
      </c>
      <c r="F13" t="s">
        <v>93</v>
      </c>
      <c r="G13" t="s">
        <v>12</v>
      </c>
      <c r="H13">
        <v>1</v>
      </c>
      <c r="I13">
        <v>379.98</v>
      </c>
    </row>
    <row r="14" spans="1:9" x14ac:dyDescent="0.25">
      <c r="A14" s="5" t="str">
        <f>TrendSheetPrdData[[#This Row],[Population]]&amp;TrendSheetPrdData[[#This Row],[Cost Basis]]&amp;TrendSheetPrdData[[#This Row],[Period]]&amp;TrendSheetPrdData[[#This Row],[Trend]]</f>
        <v>BAYVIEW EMPLOYEEAllowed2016-11-01Medical PMPM</v>
      </c>
      <c r="B14" t="s">
        <v>127</v>
      </c>
      <c r="C14" t="s">
        <v>127</v>
      </c>
      <c r="D14" t="s">
        <v>91</v>
      </c>
      <c r="E14" s="1" t="s">
        <v>101</v>
      </c>
      <c r="F14" t="s">
        <v>106</v>
      </c>
      <c r="G14" t="s">
        <v>12</v>
      </c>
      <c r="H14">
        <v>1</v>
      </c>
      <c r="I14">
        <v>147.27000000000001</v>
      </c>
    </row>
    <row r="15" spans="1:9" x14ac:dyDescent="0.25">
      <c r="A15" s="5" t="str">
        <f>TrendSheetPrdData[[#This Row],[Population]]&amp;TrendSheetPrdData[[#This Row],[Cost Basis]]&amp;TrendSheetPrdData[[#This Row],[Period]]&amp;TrendSheetPrdData[[#This Row],[Trend]]</f>
        <v>BAYVIEW EMPLOYEEAllowed2016-12-01Medical PMPM</v>
      </c>
      <c r="B15" t="s">
        <v>127</v>
      </c>
      <c r="C15" t="s">
        <v>127</v>
      </c>
      <c r="D15" t="s">
        <v>91</v>
      </c>
      <c r="E15" s="1" t="s">
        <v>102</v>
      </c>
      <c r="F15" t="s">
        <v>106</v>
      </c>
      <c r="G15" t="s">
        <v>12</v>
      </c>
      <c r="H15">
        <v>1</v>
      </c>
      <c r="I15">
        <v>214.1</v>
      </c>
    </row>
    <row r="16" spans="1:9" x14ac:dyDescent="0.25">
      <c r="A16" s="5" t="str">
        <f>TrendSheetPrdData[[#This Row],[Population]]&amp;TrendSheetPrdData[[#This Row],[Cost Basis]]&amp;TrendSheetPrdData[[#This Row],[Period]]&amp;TrendSheetPrdData[[#This Row],[Trend]]</f>
        <v>BAYVIEW EMPLOYEEAllowed2017-01-01Medical PMPM</v>
      </c>
      <c r="B16" t="s">
        <v>127</v>
      </c>
      <c r="C16" t="s">
        <v>127</v>
      </c>
      <c r="D16" t="s">
        <v>91</v>
      </c>
      <c r="E16" s="1" t="s">
        <v>103</v>
      </c>
      <c r="F16" t="s">
        <v>106</v>
      </c>
      <c r="G16" t="s">
        <v>12</v>
      </c>
      <c r="H16">
        <v>1</v>
      </c>
      <c r="I16">
        <v>94.16</v>
      </c>
    </row>
    <row r="17" spans="1:9" x14ac:dyDescent="0.25">
      <c r="A17" s="5" t="str">
        <f>TrendSheetPrdData[[#This Row],[Population]]&amp;TrendSheetPrdData[[#This Row],[Cost Basis]]&amp;TrendSheetPrdData[[#This Row],[Period]]&amp;TrendSheetPrdData[[#This Row],[Trend]]</f>
        <v>BAYVIEW EMPLOYEEAllowed2015-11-01Drug PMPM</v>
      </c>
      <c r="B17" t="s">
        <v>127</v>
      </c>
      <c r="C17" t="s">
        <v>127</v>
      </c>
      <c r="D17" t="s">
        <v>91</v>
      </c>
      <c r="E17" s="1" t="s">
        <v>130</v>
      </c>
      <c r="F17" t="s">
        <v>93</v>
      </c>
      <c r="G17" t="s">
        <v>13</v>
      </c>
      <c r="H17">
        <v>2</v>
      </c>
      <c r="I17">
        <v>135.22999999999999</v>
      </c>
    </row>
    <row r="18" spans="1:9" x14ac:dyDescent="0.25">
      <c r="A18" s="5" t="str">
        <f>TrendSheetPrdData[[#This Row],[Population]]&amp;TrendSheetPrdData[[#This Row],[Cost Basis]]&amp;TrendSheetPrdData[[#This Row],[Period]]&amp;TrendSheetPrdData[[#This Row],[Trend]]</f>
        <v>BAYVIEW EMPLOYEEAllowed2015-12-01Drug PMPM</v>
      </c>
      <c r="B18" t="s">
        <v>127</v>
      </c>
      <c r="C18" t="s">
        <v>127</v>
      </c>
      <c r="D18" t="s">
        <v>91</v>
      </c>
      <c r="E18" s="1" t="s">
        <v>131</v>
      </c>
      <c r="F18" t="s">
        <v>93</v>
      </c>
      <c r="G18" t="s">
        <v>13</v>
      </c>
      <c r="H18">
        <v>2</v>
      </c>
      <c r="I18">
        <v>158</v>
      </c>
    </row>
    <row r="19" spans="1:9" x14ac:dyDescent="0.25">
      <c r="A19" s="5" t="str">
        <f>TrendSheetPrdData[[#This Row],[Population]]&amp;TrendSheetPrdData[[#This Row],[Cost Basis]]&amp;TrendSheetPrdData[[#This Row],[Period]]&amp;TrendSheetPrdData[[#This Row],[Trend]]</f>
        <v>BAYVIEW EMPLOYEEAllowed2016-01-01Drug PMPM</v>
      </c>
      <c r="B19" t="s">
        <v>127</v>
      </c>
      <c r="C19" t="s">
        <v>127</v>
      </c>
      <c r="D19" t="s">
        <v>91</v>
      </c>
      <c r="E19" s="1" t="s">
        <v>132</v>
      </c>
      <c r="F19" t="s">
        <v>93</v>
      </c>
      <c r="G19" t="s">
        <v>13</v>
      </c>
      <c r="H19">
        <v>2</v>
      </c>
      <c r="I19">
        <v>53.77</v>
      </c>
    </row>
    <row r="20" spans="1:9" x14ac:dyDescent="0.25">
      <c r="A20" s="5" t="str">
        <f>TrendSheetPrdData[[#This Row],[Population]]&amp;TrendSheetPrdData[[#This Row],[Cost Basis]]&amp;TrendSheetPrdData[[#This Row],[Period]]&amp;TrendSheetPrdData[[#This Row],[Trend]]</f>
        <v>BAYVIEW EMPLOYEEAllowed2016-02-01Drug PMPM</v>
      </c>
      <c r="B20" t="s">
        <v>127</v>
      </c>
      <c r="C20" t="s">
        <v>127</v>
      </c>
      <c r="D20" t="s">
        <v>91</v>
      </c>
      <c r="E20" s="1" t="s">
        <v>133</v>
      </c>
      <c r="F20" t="s">
        <v>93</v>
      </c>
      <c r="G20" t="s">
        <v>13</v>
      </c>
      <c r="H20">
        <v>2</v>
      </c>
      <c r="I20">
        <v>93.49</v>
      </c>
    </row>
    <row r="21" spans="1:9" x14ac:dyDescent="0.25">
      <c r="A21" s="5" t="str">
        <f>TrendSheetPrdData[[#This Row],[Population]]&amp;TrendSheetPrdData[[#This Row],[Cost Basis]]&amp;TrendSheetPrdData[[#This Row],[Period]]&amp;TrendSheetPrdData[[#This Row],[Trend]]</f>
        <v>BAYVIEW EMPLOYEEAllowed2016-03-01Drug PMPM</v>
      </c>
      <c r="B21" t="s">
        <v>127</v>
      </c>
      <c r="C21" t="s">
        <v>127</v>
      </c>
      <c r="D21" t="s">
        <v>91</v>
      </c>
      <c r="E21" s="1" t="s">
        <v>92</v>
      </c>
      <c r="F21" t="s">
        <v>93</v>
      </c>
      <c r="G21" t="s">
        <v>13</v>
      </c>
      <c r="H21">
        <v>2</v>
      </c>
      <c r="I21">
        <v>115.05</v>
      </c>
    </row>
    <row r="22" spans="1:9" x14ac:dyDescent="0.25">
      <c r="A22" s="5" t="str">
        <f>TrendSheetPrdData[[#This Row],[Population]]&amp;TrendSheetPrdData[[#This Row],[Cost Basis]]&amp;TrendSheetPrdData[[#This Row],[Period]]&amp;TrendSheetPrdData[[#This Row],[Trend]]</f>
        <v>BAYVIEW EMPLOYEEAllowed2016-04-01Drug PMPM</v>
      </c>
      <c r="B22" t="s">
        <v>127</v>
      </c>
      <c r="C22" t="s">
        <v>127</v>
      </c>
      <c r="D22" t="s">
        <v>91</v>
      </c>
      <c r="E22" s="1" t="s">
        <v>94</v>
      </c>
      <c r="F22" t="s">
        <v>93</v>
      </c>
      <c r="G22" t="s">
        <v>13</v>
      </c>
      <c r="H22">
        <v>2</v>
      </c>
      <c r="I22">
        <v>105.65</v>
      </c>
    </row>
    <row r="23" spans="1:9" x14ac:dyDescent="0.25">
      <c r="A23" s="5" t="str">
        <f>TrendSheetPrdData[[#This Row],[Population]]&amp;TrendSheetPrdData[[#This Row],[Cost Basis]]&amp;TrendSheetPrdData[[#This Row],[Period]]&amp;TrendSheetPrdData[[#This Row],[Trend]]</f>
        <v>BAYVIEW EMPLOYEEAllowed2016-05-01Drug PMPM</v>
      </c>
      <c r="B23" t="s">
        <v>127</v>
      </c>
      <c r="C23" t="s">
        <v>127</v>
      </c>
      <c r="D23" t="s">
        <v>91</v>
      </c>
      <c r="E23" s="1" t="s">
        <v>95</v>
      </c>
      <c r="F23" t="s">
        <v>93</v>
      </c>
      <c r="G23" t="s">
        <v>13</v>
      </c>
      <c r="H23">
        <v>2</v>
      </c>
      <c r="I23">
        <v>124.62</v>
      </c>
    </row>
    <row r="24" spans="1:9" x14ac:dyDescent="0.25">
      <c r="A24" s="5" t="str">
        <f>TrendSheetPrdData[[#This Row],[Population]]&amp;TrendSheetPrdData[[#This Row],[Cost Basis]]&amp;TrendSheetPrdData[[#This Row],[Period]]&amp;TrendSheetPrdData[[#This Row],[Trend]]</f>
        <v>BAYVIEW EMPLOYEEAllowed2016-06-01Drug PMPM</v>
      </c>
      <c r="B24" t="s">
        <v>127</v>
      </c>
      <c r="C24" t="s">
        <v>127</v>
      </c>
      <c r="D24" t="s">
        <v>91</v>
      </c>
      <c r="E24" s="1" t="s">
        <v>96</v>
      </c>
      <c r="F24" t="s">
        <v>93</v>
      </c>
      <c r="G24" t="s">
        <v>13</v>
      </c>
      <c r="H24">
        <v>2</v>
      </c>
      <c r="I24">
        <v>124.36</v>
      </c>
    </row>
    <row r="25" spans="1:9" x14ac:dyDescent="0.25">
      <c r="A25" s="5" t="str">
        <f>TrendSheetPrdData[[#This Row],[Population]]&amp;TrendSheetPrdData[[#This Row],[Cost Basis]]&amp;TrendSheetPrdData[[#This Row],[Period]]&amp;TrendSheetPrdData[[#This Row],[Trend]]</f>
        <v>BAYVIEW EMPLOYEEAllowed2016-07-01Drug PMPM</v>
      </c>
      <c r="B25" t="s">
        <v>127</v>
      </c>
      <c r="C25" t="s">
        <v>127</v>
      </c>
      <c r="D25" t="s">
        <v>91</v>
      </c>
      <c r="E25" s="1" t="s">
        <v>97</v>
      </c>
      <c r="F25" t="s">
        <v>93</v>
      </c>
      <c r="G25" t="s">
        <v>13</v>
      </c>
      <c r="H25">
        <v>2</v>
      </c>
      <c r="I25">
        <v>110.16</v>
      </c>
    </row>
    <row r="26" spans="1:9" x14ac:dyDescent="0.25">
      <c r="A26" s="5" t="str">
        <f>TrendSheetPrdData[[#This Row],[Population]]&amp;TrendSheetPrdData[[#This Row],[Cost Basis]]&amp;TrendSheetPrdData[[#This Row],[Period]]&amp;TrendSheetPrdData[[#This Row],[Trend]]</f>
        <v>BAYVIEW EMPLOYEEAllowed2016-08-01Drug PMPM</v>
      </c>
      <c r="B26" t="s">
        <v>127</v>
      </c>
      <c r="C26" t="s">
        <v>127</v>
      </c>
      <c r="D26" t="s">
        <v>91</v>
      </c>
      <c r="E26" s="1" t="s">
        <v>98</v>
      </c>
      <c r="F26" t="s">
        <v>93</v>
      </c>
      <c r="G26" t="s">
        <v>13</v>
      </c>
      <c r="H26">
        <v>2</v>
      </c>
      <c r="I26">
        <v>160.22999999999999</v>
      </c>
    </row>
    <row r="27" spans="1:9" x14ac:dyDescent="0.25">
      <c r="A27" s="5" t="str">
        <f>TrendSheetPrdData[[#This Row],[Population]]&amp;TrendSheetPrdData[[#This Row],[Cost Basis]]&amp;TrendSheetPrdData[[#This Row],[Period]]&amp;TrendSheetPrdData[[#This Row],[Trend]]</f>
        <v>BAYVIEW EMPLOYEEAllowed2016-09-01Drug PMPM</v>
      </c>
      <c r="B27" t="s">
        <v>127</v>
      </c>
      <c r="C27" t="s">
        <v>127</v>
      </c>
      <c r="D27" t="s">
        <v>91</v>
      </c>
      <c r="E27" s="1" t="s">
        <v>99</v>
      </c>
      <c r="F27" t="s">
        <v>93</v>
      </c>
      <c r="G27" t="s">
        <v>13</v>
      </c>
      <c r="H27">
        <v>2</v>
      </c>
      <c r="I27">
        <v>161.44</v>
      </c>
    </row>
    <row r="28" spans="1:9" x14ac:dyDescent="0.25">
      <c r="A28" s="5" t="str">
        <f>TrendSheetPrdData[[#This Row],[Population]]&amp;TrendSheetPrdData[[#This Row],[Cost Basis]]&amp;TrendSheetPrdData[[#This Row],[Period]]&amp;TrendSheetPrdData[[#This Row],[Trend]]</f>
        <v>BAYVIEW EMPLOYEEAllowed2016-10-01Drug PMPM</v>
      </c>
      <c r="B28" t="s">
        <v>127</v>
      </c>
      <c r="C28" t="s">
        <v>127</v>
      </c>
      <c r="D28" t="s">
        <v>91</v>
      </c>
      <c r="E28" s="1" t="s">
        <v>100</v>
      </c>
      <c r="F28" t="s">
        <v>93</v>
      </c>
      <c r="G28" t="s">
        <v>13</v>
      </c>
      <c r="H28">
        <v>2</v>
      </c>
      <c r="I28">
        <v>171.08</v>
      </c>
    </row>
    <row r="29" spans="1:9" x14ac:dyDescent="0.25">
      <c r="A29" s="5" t="str">
        <f>TrendSheetPrdData[[#This Row],[Population]]&amp;TrendSheetPrdData[[#This Row],[Cost Basis]]&amp;TrendSheetPrdData[[#This Row],[Period]]&amp;TrendSheetPrdData[[#This Row],[Trend]]</f>
        <v>BAYVIEW EMPLOYEEAllowed2016-11-01Drug PMPM</v>
      </c>
      <c r="B29" t="s">
        <v>127</v>
      </c>
      <c r="C29" t="s">
        <v>127</v>
      </c>
      <c r="D29" t="s">
        <v>91</v>
      </c>
      <c r="E29" s="1" t="s">
        <v>101</v>
      </c>
      <c r="F29" t="s">
        <v>106</v>
      </c>
      <c r="G29" t="s">
        <v>13</v>
      </c>
      <c r="H29">
        <v>2</v>
      </c>
      <c r="I29">
        <v>147.49</v>
      </c>
    </row>
    <row r="30" spans="1:9" x14ac:dyDescent="0.25">
      <c r="A30" s="5" t="str">
        <f>TrendSheetPrdData[[#This Row],[Population]]&amp;TrendSheetPrdData[[#This Row],[Cost Basis]]&amp;TrendSheetPrdData[[#This Row],[Period]]&amp;TrendSheetPrdData[[#This Row],[Trend]]</f>
        <v>BAYVIEW EMPLOYEEAllowed2016-12-01Drug PMPM</v>
      </c>
      <c r="B30" t="s">
        <v>127</v>
      </c>
      <c r="C30" t="s">
        <v>127</v>
      </c>
      <c r="D30" t="s">
        <v>91</v>
      </c>
      <c r="E30" s="1" t="s">
        <v>102</v>
      </c>
      <c r="F30" t="s">
        <v>106</v>
      </c>
      <c r="G30" t="s">
        <v>13</v>
      </c>
      <c r="H30">
        <v>2</v>
      </c>
      <c r="I30">
        <v>136.32</v>
      </c>
    </row>
    <row r="31" spans="1:9" x14ac:dyDescent="0.25">
      <c r="A31" s="5" t="str">
        <f>TrendSheetPrdData[[#This Row],[Population]]&amp;TrendSheetPrdData[[#This Row],[Cost Basis]]&amp;TrendSheetPrdData[[#This Row],[Period]]&amp;TrendSheetPrdData[[#This Row],[Trend]]</f>
        <v>BAYVIEW EMPLOYEEAllowed2017-01-01Drug PMPM</v>
      </c>
      <c r="B31" t="s">
        <v>127</v>
      </c>
      <c r="C31" t="s">
        <v>127</v>
      </c>
      <c r="D31" t="s">
        <v>91</v>
      </c>
      <c r="E31" s="1" t="s">
        <v>103</v>
      </c>
      <c r="F31" t="s">
        <v>106</v>
      </c>
      <c r="G31" t="s">
        <v>13</v>
      </c>
      <c r="H31">
        <v>2</v>
      </c>
      <c r="I31">
        <v>72.06</v>
      </c>
    </row>
    <row r="32" spans="1:9" x14ac:dyDescent="0.25">
      <c r="A32" s="5" t="str">
        <f>TrendSheetPrdData[[#This Row],[Population]]&amp;TrendSheetPrdData[[#This Row],[Cost Basis]]&amp;TrendSheetPrdData[[#This Row],[Period]]&amp;TrendSheetPrdData[[#This Row],[Trend]]</f>
        <v>BAYVIEW EMPLOYEEAllowed2015-11-01Overall PMPM</v>
      </c>
      <c r="B32" t="s">
        <v>127</v>
      </c>
      <c r="C32" t="s">
        <v>127</v>
      </c>
      <c r="D32" t="s">
        <v>91</v>
      </c>
      <c r="E32" s="1" t="s">
        <v>130</v>
      </c>
      <c r="F32" t="s">
        <v>93</v>
      </c>
      <c r="G32" t="s">
        <v>14</v>
      </c>
      <c r="H32">
        <v>3</v>
      </c>
      <c r="I32">
        <v>430.96</v>
      </c>
    </row>
    <row r="33" spans="1:9" x14ac:dyDescent="0.25">
      <c r="A33" s="5" t="str">
        <f>TrendSheetPrdData[[#This Row],[Population]]&amp;TrendSheetPrdData[[#This Row],[Cost Basis]]&amp;TrendSheetPrdData[[#This Row],[Period]]&amp;TrendSheetPrdData[[#This Row],[Trend]]</f>
        <v>BAYVIEW EMPLOYEEAllowed2015-12-01Overall PMPM</v>
      </c>
      <c r="B33" t="s">
        <v>127</v>
      </c>
      <c r="C33" t="s">
        <v>127</v>
      </c>
      <c r="D33" t="s">
        <v>91</v>
      </c>
      <c r="E33" s="1" t="s">
        <v>131</v>
      </c>
      <c r="F33" t="s">
        <v>93</v>
      </c>
      <c r="G33" t="s">
        <v>14</v>
      </c>
      <c r="H33">
        <v>3</v>
      </c>
      <c r="I33">
        <v>607.59</v>
      </c>
    </row>
    <row r="34" spans="1:9" x14ac:dyDescent="0.25">
      <c r="A34" s="5" t="str">
        <f>TrendSheetPrdData[[#This Row],[Population]]&amp;TrendSheetPrdData[[#This Row],[Cost Basis]]&amp;TrendSheetPrdData[[#This Row],[Period]]&amp;TrendSheetPrdData[[#This Row],[Trend]]</f>
        <v>BAYVIEW EMPLOYEEAllowed2016-01-01Overall PMPM</v>
      </c>
      <c r="B34" t="s">
        <v>127</v>
      </c>
      <c r="C34" t="s">
        <v>127</v>
      </c>
      <c r="D34" t="s">
        <v>91</v>
      </c>
      <c r="E34" s="1" t="s">
        <v>132</v>
      </c>
      <c r="F34" t="s">
        <v>93</v>
      </c>
      <c r="G34" t="s">
        <v>14</v>
      </c>
      <c r="H34">
        <v>3</v>
      </c>
      <c r="I34">
        <v>254.97</v>
      </c>
    </row>
    <row r="35" spans="1:9" x14ac:dyDescent="0.25">
      <c r="A35" s="5" t="str">
        <f>TrendSheetPrdData[[#This Row],[Population]]&amp;TrendSheetPrdData[[#This Row],[Cost Basis]]&amp;TrendSheetPrdData[[#This Row],[Period]]&amp;TrendSheetPrdData[[#This Row],[Trend]]</f>
        <v>BAYVIEW EMPLOYEEAllowed2016-02-01Overall PMPM</v>
      </c>
      <c r="B35" t="s">
        <v>127</v>
      </c>
      <c r="C35" t="s">
        <v>127</v>
      </c>
      <c r="D35" t="s">
        <v>91</v>
      </c>
      <c r="E35" s="1" t="s">
        <v>133</v>
      </c>
      <c r="F35" t="s">
        <v>93</v>
      </c>
      <c r="G35" t="s">
        <v>14</v>
      </c>
      <c r="H35">
        <v>3</v>
      </c>
      <c r="I35">
        <v>292</v>
      </c>
    </row>
    <row r="36" spans="1:9" x14ac:dyDescent="0.25">
      <c r="A36" s="5" t="str">
        <f>TrendSheetPrdData[[#This Row],[Population]]&amp;TrendSheetPrdData[[#This Row],[Cost Basis]]&amp;TrendSheetPrdData[[#This Row],[Period]]&amp;TrendSheetPrdData[[#This Row],[Trend]]</f>
        <v>BAYVIEW EMPLOYEEAllowed2016-03-01Overall PMPM</v>
      </c>
      <c r="B36" t="s">
        <v>127</v>
      </c>
      <c r="C36" t="s">
        <v>127</v>
      </c>
      <c r="D36" t="s">
        <v>91</v>
      </c>
      <c r="E36" s="1" t="s">
        <v>92</v>
      </c>
      <c r="F36" t="s">
        <v>93</v>
      </c>
      <c r="G36" t="s">
        <v>14</v>
      </c>
      <c r="H36">
        <v>3</v>
      </c>
      <c r="I36">
        <v>602.46</v>
      </c>
    </row>
    <row r="37" spans="1:9" x14ac:dyDescent="0.25">
      <c r="A37" s="5" t="str">
        <f>TrendSheetPrdData[[#This Row],[Population]]&amp;TrendSheetPrdData[[#This Row],[Cost Basis]]&amp;TrendSheetPrdData[[#This Row],[Period]]&amp;TrendSheetPrdData[[#This Row],[Trend]]</f>
        <v>BAYVIEW EMPLOYEEAllowed2016-04-01Overall PMPM</v>
      </c>
      <c r="B37" t="s">
        <v>127</v>
      </c>
      <c r="C37" t="s">
        <v>127</v>
      </c>
      <c r="D37" t="s">
        <v>91</v>
      </c>
      <c r="E37" s="1" t="s">
        <v>94</v>
      </c>
      <c r="F37" t="s">
        <v>93</v>
      </c>
      <c r="G37" t="s">
        <v>14</v>
      </c>
      <c r="H37">
        <v>3</v>
      </c>
      <c r="I37">
        <v>385.06</v>
      </c>
    </row>
    <row r="38" spans="1:9" x14ac:dyDescent="0.25">
      <c r="A38" s="5" t="str">
        <f>TrendSheetPrdData[[#This Row],[Population]]&amp;TrendSheetPrdData[[#This Row],[Cost Basis]]&amp;TrendSheetPrdData[[#This Row],[Period]]&amp;TrendSheetPrdData[[#This Row],[Trend]]</f>
        <v>BAYVIEW EMPLOYEEAllowed2016-05-01Overall PMPM</v>
      </c>
      <c r="B38" t="s">
        <v>127</v>
      </c>
      <c r="C38" t="s">
        <v>127</v>
      </c>
      <c r="D38" t="s">
        <v>91</v>
      </c>
      <c r="E38" s="1" t="s">
        <v>95</v>
      </c>
      <c r="F38" t="s">
        <v>93</v>
      </c>
      <c r="G38" t="s">
        <v>14</v>
      </c>
      <c r="H38">
        <v>3</v>
      </c>
      <c r="I38">
        <v>595.36</v>
      </c>
    </row>
    <row r="39" spans="1:9" x14ac:dyDescent="0.25">
      <c r="A39" s="5" t="str">
        <f>TrendSheetPrdData[[#This Row],[Population]]&amp;TrendSheetPrdData[[#This Row],[Cost Basis]]&amp;TrendSheetPrdData[[#This Row],[Period]]&amp;TrendSheetPrdData[[#This Row],[Trend]]</f>
        <v>BAYVIEW EMPLOYEEAllowed2016-06-01Overall PMPM</v>
      </c>
      <c r="B39" t="s">
        <v>127</v>
      </c>
      <c r="C39" t="s">
        <v>127</v>
      </c>
      <c r="D39" t="s">
        <v>91</v>
      </c>
      <c r="E39" s="1" t="s">
        <v>96</v>
      </c>
      <c r="F39" t="s">
        <v>93</v>
      </c>
      <c r="G39" t="s">
        <v>14</v>
      </c>
      <c r="H39">
        <v>3</v>
      </c>
      <c r="I39">
        <v>382.15</v>
      </c>
    </row>
    <row r="40" spans="1:9" x14ac:dyDescent="0.25">
      <c r="A40" s="5" t="str">
        <f>TrendSheetPrdData[[#This Row],[Population]]&amp;TrendSheetPrdData[[#This Row],[Cost Basis]]&amp;TrendSheetPrdData[[#This Row],[Period]]&amp;TrendSheetPrdData[[#This Row],[Trend]]</f>
        <v>BAYVIEW EMPLOYEEAllowed2016-07-01Overall PMPM</v>
      </c>
      <c r="B40" t="s">
        <v>127</v>
      </c>
      <c r="C40" t="s">
        <v>127</v>
      </c>
      <c r="D40" t="s">
        <v>91</v>
      </c>
      <c r="E40" s="1" t="s">
        <v>97</v>
      </c>
      <c r="F40" t="s">
        <v>93</v>
      </c>
      <c r="G40" t="s">
        <v>14</v>
      </c>
      <c r="H40">
        <v>3</v>
      </c>
      <c r="I40">
        <v>282.39</v>
      </c>
    </row>
    <row r="41" spans="1:9" x14ac:dyDescent="0.25">
      <c r="A41" s="5" t="str">
        <f>TrendSheetPrdData[[#This Row],[Population]]&amp;TrendSheetPrdData[[#This Row],[Cost Basis]]&amp;TrendSheetPrdData[[#This Row],[Period]]&amp;TrendSheetPrdData[[#This Row],[Trend]]</f>
        <v>BAYVIEW EMPLOYEEAllowed2016-08-01Overall PMPM</v>
      </c>
      <c r="B41" t="s">
        <v>127</v>
      </c>
      <c r="C41" t="s">
        <v>127</v>
      </c>
      <c r="D41" t="s">
        <v>91</v>
      </c>
      <c r="E41" s="1" t="s">
        <v>98</v>
      </c>
      <c r="F41" t="s">
        <v>93</v>
      </c>
      <c r="G41" t="s">
        <v>14</v>
      </c>
      <c r="H41">
        <v>3</v>
      </c>
      <c r="I41">
        <v>439.34</v>
      </c>
    </row>
    <row r="42" spans="1:9" x14ac:dyDescent="0.25">
      <c r="A42" s="5" t="str">
        <f>TrendSheetPrdData[[#This Row],[Population]]&amp;TrendSheetPrdData[[#This Row],[Cost Basis]]&amp;TrendSheetPrdData[[#This Row],[Period]]&amp;TrendSheetPrdData[[#This Row],[Trend]]</f>
        <v>BAYVIEW EMPLOYEEAllowed2016-09-01Overall PMPM</v>
      </c>
      <c r="B42" t="s">
        <v>127</v>
      </c>
      <c r="C42" t="s">
        <v>127</v>
      </c>
      <c r="D42" t="s">
        <v>91</v>
      </c>
      <c r="E42" s="1" t="s">
        <v>99</v>
      </c>
      <c r="F42" t="s">
        <v>93</v>
      </c>
      <c r="G42" t="s">
        <v>14</v>
      </c>
      <c r="H42">
        <v>3</v>
      </c>
      <c r="I42">
        <v>459.73</v>
      </c>
    </row>
    <row r="43" spans="1:9" x14ac:dyDescent="0.25">
      <c r="A43" s="5" t="str">
        <f>TrendSheetPrdData[[#This Row],[Population]]&amp;TrendSheetPrdData[[#This Row],[Cost Basis]]&amp;TrendSheetPrdData[[#This Row],[Period]]&amp;TrendSheetPrdData[[#This Row],[Trend]]</f>
        <v>BAYVIEW EMPLOYEEAllowed2016-10-01Overall PMPM</v>
      </c>
      <c r="B43" t="s">
        <v>127</v>
      </c>
      <c r="C43" t="s">
        <v>127</v>
      </c>
      <c r="D43" t="s">
        <v>91</v>
      </c>
      <c r="E43" s="1" t="s">
        <v>100</v>
      </c>
      <c r="F43" t="s">
        <v>93</v>
      </c>
      <c r="G43" t="s">
        <v>14</v>
      </c>
      <c r="H43">
        <v>3</v>
      </c>
      <c r="I43">
        <v>551.05999999999995</v>
      </c>
    </row>
    <row r="44" spans="1:9" x14ac:dyDescent="0.25">
      <c r="A44" s="5" t="str">
        <f>TrendSheetPrdData[[#This Row],[Population]]&amp;TrendSheetPrdData[[#This Row],[Cost Basis]]&amp;TrendSheetPrdData[[#This Row],[Period]]&amp;TrendSheetPrdData[[#This Row],[Trend]]</f>
        <v>BAYVIEW EMPLOYEEAllowed2016-11-01Overall PMPM</v>
      </c>
      <c r="B44" t="s">
        <v>127</v>
      </c>
      <c r="C44" t="s">
        <v>127</v>
      </c>
      <c r="D44" t="s">
        <v>91</v>
      </c>
      <c r="E44" s="1" t="s">
        <v>101</v>
      </c>
      <c r="F44" t="s">
        <v>106</v>
      </c>
      <c r="G44" t="s">
        <v>14</v>
      </c>
      <c r="H44">
        <v>3</v>
      </c>
      <c r="I44">
        <v>294.76</v>
      </c>
    </row>
    <row r="45" spans="1:9" x14ac:dyDescent="0.25">
      <c r="A45" s="5" t="str">
        <f>TrendSheetPrdData[[#This Row],[Population]]&amp;TrendSheetPrdData[[#This Row],[Cost Basis]]&amp;TrendSheetPrdData[[#This Row],[Period]]&amp;TrendSheetPrdData[[#This Row],[Trend]]</f>
        <v>BAYVIEW EMPLOYEEAllowed2016-12-01Overall PMPM</v>
      </c>
      <c r="B45" t="s">
        <v>127</v>
      </c>
      <c r="C45" t="s">
        <v>127</v>
      </c>
      <c r="D45" t="s">
        <v>91</v>
      </c>
      <c r="E45" s="1" t="s">
        <v>102</v>
      </c>
      <c r="F45" t="s">
        <v>106</v>
      </c>
      <c r="G45" t="s">
        <v>14</v>
      </c>
      <c r="H45">
        <v>3</v>
      </c>
      <c r="I45">
        <v>350.42</v>
      </c>
    </row>
    <row r="46" spans="1:9" x14ac:dyDescent="0.25">
      <c r="A46" s="5" t="str">
        <f>TrendSheetPrdData[[#This Row],[Population]]&amp;TrendSheetPrdData[[#This Row],[Cost Basis]]&amp;TrendSheetPrdData[[#This Row],[Period]]&amp;TrendSheetPrdData[[#This Row],[Trend]]</f>
        <v>BAYVIEW EMPLOYEEAllowed2017-01-01Overall PMPM</v>
      </c>
      <c r="B46" t="s">
        <v>127</v>
      </c>
      <c r="C46" t="s">
        <v>127</v>
      </c>
      <c r="D46" t="s">
        <v>91</v>
      </c>
      <c r="E46" s="1" t="s">
        <v>103</v>
      </c>
      <c r="F46" t="s">
        <v>106</v>
      </c>
      <c r="G46" t="s">
        <v>14</v>
      </c>
      <c r="H46">
        <v>3</v>
      </c>
      <c r="I46">
        <v>166.22</v>
      </c>
    </row>
    <row r="47" spans="1:9" x14ac:dyDescent="0.25">
      <c r="A47" s="5" t="str">
        <f>TrendSheetPrdData[[#This Row],[Population]]&amp;TrendSheetPrdData[[#This Row],[Cost Basis]]&amp;TrendSheetPrdData[[#This Row],[Period]]&amp;TrendSheetPrdData[[#This Row],[Trend]]</f>
        <v>BAYVIEW EMPLOYEEAllowed2015-11-01Readmission Cost</v>
      </c>
      <c r="B47" t="s">
        <v>127</v>
      </c>
      <c r="C47" t="s">
        <v>127</v>
      </c>
      <c r="D47" t="s">
        <v>91</v>
      </c>
      <c r="E47" s="1" t="s">
        <v>130</v>
      </c>
      <c r="F47" t="s">
        <v>93</v>
      </c>
      <c r="G47" t="s">
        <v>15</v>
      </c>
      <c r="H47">
        <v>4</v>
      </c>
      <c r="I47">
        <v>0</v>
      </c>
    </row>
    <row r="48" spans="1:9" x14ac:dyDescent="0.25">
      <c r="A48" s="5" t="str">
        <f>TrendSheetPrdData[[#This Row],[Population]]&amp;TrendSheetPrdData[[#This Row],[Cost Basis]]&amp;TrendSheetPrdData[[#This Row],[Period]]&amp;TrendSheetPrdData[[#This Row],[Trend]]</f>
        <v>BAYVIEW EMPLOYEEAllowed2015-12-01Readmission Cost</v>
      </c>
      <c r="B48" t="s">
        <v>127</v>
      </c>
      <c r="C48" t="s">
        <v>127</v>
      </c>
      <c r="D48" t="s">
        <v>91</v>
      </c>
      <c r="E48" s="1" t="s">
        <v>131</v>
      </c>
      <c r="F48" t="s">
        <v>93</v>
      </c>
      <c r="G48" t="s">
        <v>15</v>
      </c>
      <c r="H48">
        <v>4</v>
      </c>
      <c r="I48">
        <v>0</v>
      </c>
    </row>
    <row r="49" spans="1:9" x14ac:dyDescent="0.25">
      <c r="A49" s="5" t="str">
        <f>TrendSheetPrdData[[#This Row],[Population]]&amp;TrendSheetPrdData[[#This Row],[Cost Basis]]&amp;TrendSheetPrdData[[#This Row],[Period]]&amp;TrendSheetPrdData[[#This Row],[Trend]]</f>
        <v>BAYVIEW EMPLOYEEAllowed2016-01-01Readmission Cost</v>
      </c>
      <c r="B49" t="s">
        <v>127</v>
      </c>
      <c r="C49" t="s">
        <v>127</v>
      </c>
      <c r="D49" t="s">
        <v>91</v>
      </c>
      <c r="E49" s="1" t="s">
        <v>132</v>
      </c>
      <c r="F49" t="s">
        <v>93</v>
      </c>
      <c r="G49" t="s">
        <v>15</v>
      </c>
      <c r="H49">
        <v>4</v>
      </c>
      <c r="I49">
        <v>0</v>
      </c>
    </row>
    <row r="50" spans="1:9" x14ac:dyDescent="0.25">
      <c r="A50" s="5" t="str">
        <f>TrendSheetPrdData[[#This Row],[Population]]&amp;TrendSheetPrdData[[#This Row],[Cost Basis]]&amp;TrendSheetPrdData[[#This Row],[Period]]&amp;TrendSheetPrdData[[#This Row],[Trend]]</f>
        <v>BAYVIEW EMPLOYEEAllowed2016-02-01Readmission Cost</v>
      </c>
      <c r="B50" t="s">
        <v>127</v>
      </c>
      <c r="C50" t="s">
        <v>127</v>
      </c>
      <c r="D50" t="s">
        <v>91</v>
      </c>
      <c r="E50" s="1" t="s">
        <v>133</v>
      </c>
      <c r="F50" t="s">
        <v>93</v>
      </c>
      <c r="G50" t="s">
        <v>15</v>
      </c>
      <c r="H50">
        <v>4</v>
      </c>
      <c r="I50">
        <v>0</v>
      </c>
    </row>
    <row r="51" spans="1:9" x14ac:dyDescent="0.25">
      <c r="A51" s="5" t="str">
        <f>TrendSheetPrdData[[#This Row],[Population]]&amp;TrendSheetPrdData[[#This Row],[Cost Basis]]&amp;TrendSheetPrdData[[#This Row],[Period]]&amp;TrendSheetPrdData[[#This Row],[Trend]]</f>
        <v>BAYVIEW EMPLOYEEAllowed2016-03-01Readmission Cost</v>
      </c>
      <c r="B51" t="s">
        <v>127</v>
      </c>
      <c r="C51" t="s">
        <v>127</v>
      </c>
      <c r="D51" t="s">
        <v>91</v>
      </c>
      <c r="E51" s="1" t="s">
        <v>92</v>
      </c>
      <c r="F51" t="s">
        <v>93</v>
      </c>
      <c r="G51" t="s">
        <v>15</v>
      </c>
      <c r="H51">
        <v>4</v>
      </c>
      <c r="I51">
        <v>17481.89</v>
      </c>
    </row>
    <row r="52" spans="1:9" x14ac:dyDescent="0.25">
      <c r="A52" s="5" t="str">
        <f>TrendSheetPrdData[[#This Row],[Population]]&amp;TrendSheetPrdData[[#This Row],[Cost Basis]]&amp;TrendSheetPrdData[[#This Row],[Period]]&amp;TrendSheetPrdData[[#This Row],[Trend]]</f>
        <v>BAYVIEW EMPLOYEEAllowed2016-04-01Readmission Cost</v>
      </c>
      <c r="B52" t="s">
        <v>127</v>
      </c>
      <c r="C52" t="s">
        <v>127</v>
      </c>
      <c r="D52" t="s">
        <v>91</v>
      </c>
      <c r="E52" s="1" t="s">
        <v>94</v>
      </c>
      <c r="F52" t="s">
        <v>93</v>
      </c>
      <c r="G52" t="s">
        <v>15</v>
      </c>
      <c r="H52">
        <v>4</v>
      </c>
      <c r="I52">
        <v>10921.83</v>
      </c>
    </row>
    <row r="53" spans="1:9" x14ac:dyDescent="0.25">
      <c r="A53" s="5" t="str">
        <f>TrendSheetPrdData[[#This Row],[Population]]&amp;TrendSheetPrdData[[#This Row],[Cost Basis]]&amp;TrendSheetPrdData[[#This Row],[Period]]&amp;TrendSheetPrdData[[#This Row],[Trend]]</f>
        <v>BAYVIEW EMPLOYEEAllowed2016-05-01Readmission Cost</v>
      </c>
      <c r="B53" t="s">
        <v>127</v>
      </c>
      <c r="C53" t="s">
        <v>127</v>
      </c>
      <c r="D53" t="s">
        <v>91</v>
      </c>
      <c r="E53" s="1" t="s">
        <v>95</v>
      </c>
      <c r="F53" t="s">
        <v>93</v>
      </c>
      <c r="G53" t="s">
        <v>15</v>
      </c>
      <c r="H53">
        <v>4</v>
      </c>
      <c r="I53">
        <v>9619.9500000000007</v>
      </c>
    </row>
    <row r="54" spans="1:9" x14ac:dyDescent="0.25">
      <c r="A54" s="5" t="str">
        <f>TrendSheetPrdData[[#This Row],[Population]]&amp;TrendSheetPrdData[[#This Row],[Cost Basis]]&amp;TrendSheetPrdData[[#This Row],[Period]]&amp;TrendSheetPrdData[[#This Row],[Trend]]</f>
        <v>BAYVIEW EMPLOYEEAllowed2016-06-01Readmission Cost</v>
      </c>
      <c r="B54" t="s">
        <v>127</v>
      </c>
      <c r="C54" t="s">
        <v>127</v>
      </c>
      <c r="D54" t="s">
        <v>91</v>
      </c>
      <c r="E54" s="1" t="s">
        <v>96</v>
      </c>
      <c r="F54" t="s">
        <v>93</v>
      </c>
      <c r="G54" t="s">
        <v>15</v>
      </c>
      <c r="H54">
        <v>4</v>
      </c>
      <c r="I54">
        <v>0</v>
      </c>
    </row>
    <row r="55" spans="1:9" x14ac:dyDescent="0.25">
      <c r="A55" s="5" t="str">
        <f>TrendSheetPrdData[[#This Row],[Population]]&amp;TrendSheetPrdData[[#This Row],[Cost Basis]]&amp;TrendSheetPrdData[[#This Row],[Period]]&amp;TrendSheetPrdData[[#This Row],[Trend]]</f>
        <v>BAYVIEW EMPLOYEEAllowed2016-07-01Readmission Cost</v>
      </c>
      <c r="B55" t="s">
        <v>127</v>
      </c>
      <c r="C55" t="s">
        <v>127</v>
      </c>
      <c r="D55" t="s">
        <v>91</v>
      </c>
      <c r="E55" s="1" t="s">
        <v>97</v>
      </c>
      <c r="F55" t="s">
        <v>93</v>
      </c>
      <c r="G55" t="s">
        <v>15</v>
      </c>
      <c r="H55">
        <v>4</v>
      </c>
      <c r="I55">
        <v>8777.7099999999991</v>
      </c>
    </row>
    <row r="56" spans="1:9" x14ac:dyDescent="0.25">
      <c r="A56" s="5" t="str">
        <f>TrendSheetPrdData[[#This Row],[Population]]&amp;TrendSheetPrdData[[#This Row],[Cost Basis]]&amp;TrendSheetPrdData[[#This Row],[Period]]&amp;TrendSheetPrdData[[#This Row],[Trend]]</f>
        <v>BAYVIEW EMPLOYEEAllowed2016-08-01Readmission Cost</v>
      </c>
      <c r="B56" t="s">
        <v>127</v>
      </c>
      <c r="C56" t="s">
        <v>127</v>
      </c>
      <c r="D56" t="s">
        <v>91</v>
      </c>
      <c r="E56" s="1" t="s">
        <v>98</v>
      </c>
      <c r="F56" t="s">
        <v>93</v>
      </c>
      <c r="G56" t="s">
        <v>15</v>
      </c>
      <c r="H56">
        <v>4</v>
      </c>
      <c r="I56">
        <v>0</v>
      </c>
    </row>
    <row r="57" spans="1:9" x14ac:dyDescent="0.25">
      <c r="A57" s="5" t="str">
        <f>TrendSheetPrdData[[#This Row],[Population]]&amp;TrendSheetPrdData[[#This Row],[Cost Basis]]&amp;TrendSheetPrdData[[#This Row],[Period]]&amp;TrendSheetPrdData[[#This Row],[Trend]]</f>
        <v>BAYVIEW EMPLOYEEAllowed2016-09-01Readmission Cost</v>
      </c>
      <c r="B57" t="s">
        <v>127</v>
      </c>
      <c r="C57" t="s">
        <v>127</v>
      </c>
      <c r="D57" t="s">
        <v>91</v>
      </c>
      <c r="E57" s="1" t="s">
        <v>99</v>
      </c>
      <c r="F57" t="s">
        <v>93</v>
      </c>
      <c r="G57" t="s">
        <v>15</v>
      </c>
      <c r="H57">
        <v>4</v>
      </c>
      <c r="I57">
        <v>0</v>
      </c>
    </row>
    <row r="58" spans="1:9" x14ac:dyDescent="0.25">
      <c r="A58" s="5" t="str">
        <f>TrendSheetPrdData[[#This Row],[Population]]&amp;TrendSheetPrdData[[#This Row],[Cost Basis]]&amp;TrendSheetPrdData[[#This Row],[Period]]&amp;TrendSheetPrdData[[#This Row],[Trend]]</f>
        <v>BAYVIEW EMPLOYEEAllowed2016-10-01Readmission Cost</v>
      </c>
      <c r="B58" t="s">
        <v>127</v>
      </c>
      <c r="C58" t="s">
        <v>127</v>
      </c>
      <c r="D58" t="s">
        <v>91</v>
      </c>
      <c r="E58" s="1" t="s">
        <v>100</v>
      </c>
      <c r="F58" t="s">
        <v>93</v>
      </c>
      <c r="G58" t="s">
        <v>15</v>
      </c>
      <c r="H58">
        <v>4</v>
      </c>
      <c r="I58">
        <v>0</v>
      </c>
    </row>
    <row r="59" spans="1:9" x14ac:dyDescent="0.25">
      <c r="A59" s="5" t="str">
        <f>TrendSheetPrdData[[#This Row],[Population]]&amp;TrendSheetPrdData[[#This Row],[Cost Basis]]&amp;TrendSheetPrdData[[#This Row],[Period]]&amp;TrendSheetPrdData[[#This Row],[Trend]]</f>
        <v>BAYVIEW EMPLOYEEAllowed2016-11-01Readmission Cost</v>
      </c>
      <c r="B59" t="s">
        <v>127</v>
      </c>
      <c r="C59" t="s">
        <v>127</v>
      </c>
      <c r="D59" t="s">
        <v>91</v>
      </c>
      <c r="E59" s="1" t="s">
        <v>101</v>
      </c>
      <c r="F59" t="s">
        <v>106</v>
      </c>
      <c r="G59" t="s">
        <v>15</v>
      </c>
      <c r="H59">
        <v>4</v>
      </c>
      <c r="I59">
        <v>0</v>
      </c>
    </row>
    <row r="60" spans="1:9" x14ac:dyDescent="0.25">
      <c r="A60" s="5" t="str">
        <f>TrendSheetPrdData[[#This Row],[Population]]&amp;TrendSheetPrdData[[#This Row],[Cost Basis]]&amp;TrendSheetPrdData[[#This Row],[Period]]&amp;TrendSheetPrdData[[#This Row],[Trend]]</f>
        <v>BAYVIEW EMPLOYEEAllowed2016-12-01Readmission Cost</v>
      </c>
      <c r="B60" t="s">
        <v>127</v>
      </c>
      <c r="C60" t="s">
        <v>127</v>
      </c>
      <c r="D60" t="s">
        <v>91</v>
      </c>
      <c r="E60" s="1" t="s">
        <v>102</v>
      </c>
      <c r="F60" t="s">
        <v>106</v>
      </c>
      <c r="G60" t="s">
        <v>15</v>
      </c>
      <c r="H60">
        <v>4</v>
      </c>
      <c r="I60">
        <v>0</v>
      </c>
    </row>
    <row r="61" spans="1:9" x14ac:dyDescent="0.25">
      <c r="A61" s="5" t="str">
        <f>TrendSheetPrdData[[#This Row],[Population]]&amp;TrendSheetPrdData[[#This Row],[Cost Basis]]&amp;TrendSheetPrdData[[#This Row],[Period]]&amp;TrendSheetPrdData[[#This Row],[Trend]]</f>
        <v>BAYVIEW EMPLOYEEAllowed2017-01-01Readmission Cost</v>
      </c>
      <c r="B61" t="s">
        <v>127</v>
      </c>
      <c r="C61" t="s">
        <v>127</v>
      </c>
      <c r="D61" t="s">
        <v>91</v>
      </c>
      <c r="E61" s="1" t="s">
        <v>103</v>
      </c>
      <c r="F61" t="s">
        <v>106</v>
      </c>
      <c r="G61" t="s">
        <v>15</v>
      </c>
      <c r="H61">
        <v>4</v>
      </c>
      <c r="I61">
        <v>0</v>
      </c>
    </row>
    <row r="62" spans="1:9" x14ac:dyDescent="0.25">
      <c r="A62" s="5" t="str">
        <f>TrendSheetPrdData[[#This Row],[Population]]&amp;TrendSheetPrdData[[#This Row],[Cost Basis]]&amp;TrendSheetPrdData[[#This Row],[Period]]&amp;TrendSheetPrdData[[#This Row],[Trend]]</f>
        <v>BAYVIEW EMPLOYEEAllowed2015-11-01Readmission Quality</v>
      </c>
      <c r="B62" t="s">
        <v>127</v>
      </c>
      <c r="C62" t="s">
        <v>127</v>
      </c>
      <c r="D62" t="s">
        <v>91</v>
      </c>
      <c r="E62" s="1" t="s">
        <v>130</v>
      </c>
      <c r="F62" t="s">
        <v>93</v>
      </c>
      <c r="G62" t="s">
        <v>16</v>
      </c>
      <c r="H62">
        <v>5</v>
      </c>
      <c r="I62">
        <v>0</v>
      </c>
    </row>
    <row r="63" spans="1:9" x14ac:dyDescent="0.25">
      <c r="A63" s="5" t="str">
        <f>TrendSheetPrdData[[#This Row],[Population]]&amp;TrendSheetPrdData[[#This Row],[Cost Basis]]&amp;TrendSheetPrdData[[#This Row],[Period]]&amp;TrendSheetPrdData[[#This Row],[Trend]]</f>
        <v>BAYVIEW EMPLOYEEAllowed2015-12-01Readmission Quality</v>
      </c>
      <c r="B63" t="s">
        <v>127</v>
      </c>
      <c r="C63" t="s">
        <v>127</v>
      </c>
      <c r="D63" t="s">
        <v>91</v>
      </c>
      <c r="E63" s="1" t="s">
        <v>131</v>
      </c>
      <c r="F63" t="s">
        <v>93</v>
      </c>
      <c r="G63" t="s">
        <v>16</v>
      </c>
      <c r="H63">
        <v>5</v>
      </c>
      <c r="I63">
        <v>0</v>
      </c>
    </row>
    <row r="64" spans="1:9" x14ac:dyDescent="0.25">
      <c r="A64" s="5" t="str">
        <f>TrendSheetPrdData[[#This Row],[Population]]&amp;TrendSheetPrdData[[#This Row],[Cost Basis]]&amp;TrendSheetPrdData[[#This Row],[Period]]&amp;TrendSheetPrdData[[#This Row],[Trend]]</f>
        <v>BAYVIEW EMPLOYEEAllowed2016-01-01Readmission Quality</v>
      </c>
      <c r="B64" t="s">
        <v>127</v>
      </c>
      <c r="C64" t="s">
        <v>127</v>
      </c>
      <c r="D64" t="s">
        <v>91</v>
      </c>
      <c r="E64" s="1" t="s">
        <v>132</v>
      </c>
      <c r="F64" t="s">
        <v>93</v>
      </c>
      <c r="G64" t="s">
        <v>16</v>
      </c>
      <c r="H64">
        <v>5</v>
      </c>
      <c r="I64">
        <v>0</v>
      </c>
    </row>
    <row r="65" spans="1:9" x14ac:dyDescent="0.25">
      <c r="A65" s="5" t="str">
        <f>TrendSheetPrdData[[#This Row],[Population]]&amp;TrendSheetPrdData[[#This Row],[Cost Basis]]&amp;TrendSheetPrdData[[#This Row],[Period]]&amp;TrendSheetPrdData[[#This Row],[Trend]]</f>
        <v>BAYVIEW EMPLOYEEAllowed2016-02-01Readmission Quality</v>
      </c>
      <c r="B65" t="s">
        <v>127</v>
      </c>
      <c r="C65" t="s">
        <v>127</v>
      </c>
      <c r="D65" t="s">
        <v>91</v>
      </c>
      <c r="E65" s="1" t="s">
        <v>133</v>
      </c>
      <c r="F65" t="s">
        <v>93</v>
      </c>
      <c r="G65" t="s">
        <v>16</v>
      </c>
      <c r="H65">
        <v>5</v>
      </c>
      <c r="I65">
        <v>0</v>
      </c>
    </row>
    <row r="66" spans="1:9" x14ac:dyDescent="0.25">
      <c r="A66" s="5" t="str">
        <f>TrendSheetPrdData[[#This Row],[Population]]&amp;TrendSheetPrdData[[#This Row],[Cost Basis]]&amp;TrendSheetPrdData[[#This Row],[Period]]&amp;TrendSheetPrdData[[#This Row],[Trend]]</f>
        <v>BAYVIEW EMPLOYEEAllowed2016-03-01Readmission Quality</v>
      </c>
      <c r="B66" t="s">
        <v>127</v>
      </c>
      <c r="C66" t="s">
        <v>127</v>
      </c>
      <c r="D66" t="s">
        <v>91</v>
      </c>
      <c r="E66" s="1" t="s">
        <v>92</v>
      </c>
      <c r="F66" t="s">
        <v>93</v>
      </c>
      <c r="G66" t="s">
        <v>16</v>
      </c>
      <c r="H66">
        <v>5</v>
      </c>
      <c r="I66">
        <v>1</v>
      </c>
    </row>
    <row r="67" spans="1:9" x14ac:dyDescent="0.25">
      <c r="A67" s="5" t="str">
        <f>TrendSheetPrdData[[#This Row],[Population]]&amp;TrendSheetPrdData[[#This Row],[Cost Basis]]&amp;TrendSheetPrdData[[#This Row],[Period]]&amp;TrendSheetPrdData[[#This Row],[Trend]]</f>
        <v>BAYVIEW EMPLOYEEAllowed2016-04-01Readmission Quality</v>
      </c>
      <c r="B67" t="s">
        <v>127</v>
      </c>
      <c r="C67" t="s">
        <v>127</v>
      </c>
      <c r="D67" t="s">
        <v>91</v>
      </c>
      <c r="E67" s="1" t="s">
        <v>94</v>
      </c>
      <c r="F67" t="s">
        <v>93</v>
      </c>
      <c r="G67" t="s">
        <v>16</v>
      </c>
      <c r="H67">
        <v>5</v>
      </c>
      <c r="I67">
        <v>1</v>
      </c>
    </row>
    <row r="68" spans="1:9" x14ac:dyDescent="0.25">
      <c r="A68" s="5" t="str">
        <f>TrendSheetPrdData[[#This Row],[Population]]&amp;TrendSheetPrdData[[#This Row],[Cost Basis]]&amp;TrendSheetPrdData[[#This Row],[Period]]&amp;TrendSheetPrdData[[#This Row],[Trend]]</f>
        <v>BAYVIEW EMPLOYEEAllowed2016-05-01Readmission Quality</v>
      </c>
      <c r="B68" t="s">
        <v>127</v>
      </c>
      <c r="C68" t="s">
        <v>127</v>
      </c>
      <c r="D68" t="s">
        <v>91</v>
      </c>
      <c r="E68" s="1" t="s">
        <v>95</v>
      </c>
      <c r="F68" t="s">
        <v>93</v>
      </c>
      <c r="G68" t="s">
        <v>16</v>
      </c>
      <c r="H68">
        <v>5</v>
      </c>
      <c r="I68">
        <v>1</v>
      </c>
    </row>
    <row r="69" spans="1:9" x14ac:dyDescent="0.25">
      <c r="A69" s="5" t="str">
        <f>TrendSheetPrdData[[#This Row],[Population]]&amp;TrendSheetPrdData[[#This Row],[Cost Basis]]&amp;TrendSheetPrdData[[#This Row],[Period]]&amp;TrendSheetPrdData[[#This Row],[Trend]]</f>
        <v>BAYVIEW EMPLOYEEAllowed2016-06-01Readmission Quality</v>
      </c>
      <c r="B69" t="s">
        <v>127</v>
      </c>
      <c r="C69" t="s">
        <v>127</v>
      </c>
      <c r="D69" t="s">
        <v>91</v>
      </c>
      <c r="E69" s="1" t="s">
        <v>96</v>
      </c>
      <c r="F69" t="s">
        <v>93</v>
      </c>
      <c r="G69" t="s">
        <v>16</v>
      </c>
      <c r="H69">
        <v>5</v>
      </c>
      <c r="I69">
        <v>0</v>
      </c>
    </row>
    <row r="70" spans="1:9" x14ac:dyDescent="0.25">
      <c r="A70" s="5" t="str">
        <f>TrendSheetPrdData[[#This Row],[Population]]&amp;TrendSheetPrdData[[#This Row],[Cost Basis]]&amp;TrendSheetPrdData[[#This Row],[Period]]&amp;TrendSheetPrdData[[#This Row],[Trend]]</f>
        <v>BAYVIEW EMPLOYEEAllowed2016-07-01Readmission Quality</v>
      </c>
      <c r="B70" t="s">
        <v>127</v>
      </c>
      <c r="C70" t="s">
        <v>127</v>
      </c>
      <c r="D70" t="s">
        <v>91</v>
      </c>
      <c r="E70" s="1" t="s">
        <v>97</v>
      </c>
      <c r="F70" t="s">
        <v>93</v>
      </c>
      <c r="G70" t="s">
        <v>16</v>
      </c>
      <c r="H70">
        <v>5</v>
      </c>
      <c r="I70">
        <v>1</v>
      </c>
    </row>
    <row r="71" spans="1:9" x14ac:dyDescent="0.25">
      <c r="A71" s="5" t="str">
        <f>TrendSheetPrdData[[#This Row],[Population]]&amp;TrendSheetPrdData[[#This Row],[Cost Basis]]&amp;TrendSheetPrdData[[#This Row],[Period]]&amp;TrendSheetPrdData[[#This Row],[Trend]]</f>
        <v>BAYVIEW EMPLOYEEAllowed2016-08-01Readmission Quality</v>
      </c>
      <c r="B71" t="s">
        <v>127</v>
      </c>
      <c r="C71" t="s">
        <v>127</v>
      </c>
      <c r="D71" t="s">
        <v>91</v>
      </c>
      <c r="E71" s="1" t="s">
        <v>98</v>
      </c>
      <c r="F71" t="s">
        <v>93</v>
      </c>
      <c r="G71" t="s">
        <v>16</v>
      </c>
      <c r="H71">
        <v>5</v>
      </c>
      <c r="I71">
        <v>0</v>
      </c>
    </row>
    <row r="72" spans="1:9" x14ac:dyDescent="0.25">
      <c r="A72" s="5" t="str">
        <f>TrendSheetPrdData[[#This Row],[Population]]&amp;TrendSheetPrdData[[#This Row],[Cost Basis]]&amp;TrendSheetPrdData[[#This Row],[Period]]&amp;TrendSheetPrdData[[#This Row],[Trend]]</f>
        <v>BAYVIEW EMPLOYEEAllowed2016-09-01Readmission Quality</v>
      </c>
      <c r="B72" t="s">
        <v>127</v>
      </c>
      <c r="C72" t="s">
        <v>127</v>
      </c>
      <c r="D72" t="s">
        <v>91</v>
      </c>
      <c r="E72" s="1" t="s">
        <v>99</v>
      </c>
      <c r="F72" t="s">
        <v>93</v>
      </c>
      <c r="G72" t="s">
        <v>16</v>
      </c>
      <c r="H72">
        <v>5</v>
      </c>
      <c r="I72">
        <v>0</v>
      </c>
    </row>
    <row r="73" spans="1:9" x14ac:dyDescent="0.25">
      <c r="A73" s="5" t="str">
        <f>TrendSheetPrdData[[#This Row],[Population]]&amp;TrendSheetPrdData[[#This Row],[Cost Basis]]&amp;TrendSheetPrdData[[#This Row],[Period]]&amp;TrendSheetPrdData[[#This Row],[Trend]]</f>
        <v>BAYVIEW EMPLOYEEAllowed2016-10-01Readmission Quality</v>
      </c>
      <c r="B73" t="s">
        <v>127</v>
      </c>
      <c r="C73" t="s">
        <v>127</v>
      </c>
      <c r="D73" t="s">
        <v>91</v>
      </c>
      <c r="E73" s="1" t="s">
        <v>100</v>
      </c>
      <c r="F73" t="s">
        <v>93</v>
      </c>
      <c r="G73" t="s">
        <v>16</v>
      </c>
      <c r="H73">
        <v>5</v>
      </c>
      <c r="I73">
        <v>0</v>
      </c>
    </row>
    <row r="74" spans="1:9" x14ac:dyDescent="0.25">
      <c r="A74" s="5" t="str">
        <f>TrendSheetPrdData[[#This Row],[Population]]&amp;TrendSheetPrdData[[#This Row],[Cost Basis]]&amp;TrendSheetPrdData[[#This Row],[Period]]&amp;TrendSheetPrdData[[#This Row],[Trend]]</f>
        <v>BAYVIEW EMPLOYEEAllowed2016-11-01Readmission Quality</v>
      </c>
      <c r="B74" t="s">
        <v>127</v>
      </c>
      <c r="C74" t="s">
        <v>127</v>
      </c>
      <c r="D74" t="s">
        <v>91</v>
      </c>
      <c r="E74" s="1" t="s">
        <v>101</v>
      </c>
      <c r="F74" t="s">
        <v>106</v>
      </c>
      <c r="G74" t="s">
        <v>16</v>
      </c>
      <c r="H74">
        <v>5</v>
      </c>
      <c r="I74">
        <v>0</v>
      </c>
    </row>
    <row r="75" spans="1:9" x14ac:dyDescent="0.25">
      <c r="A75" s="5" t="str">
        <f>TrendSheetPrdData[[#This Row],[Population]]&amp;TrendSheetPrdData[[#This Row],[Cost Basis]]&amp;TrendSheetPrdData[[#This Row],[Period]]&amp;TrendSheetPrdData[[#This Row],[Trend]]</f>
        <v>BAYVIEW EMPLOYEEAllowed2016-12-01Readmission Quality</v>
      </c>
      <c r="B75" t="s">
        <v>127</v>
      </c>
      <c r="C75" t="s">
        <v>127</v>
      </c>
      <c r="D75" t="s">
        <v>91</v>
      </c>
      <c r="E75" s="1" t="s">
        <v>102</v>
      </c>
      <c r="F75" t="s">
        <v>106</v>
      </c>
      <c r="G75" t="s">
        <v>16</v>
      </c>
      <c r="H75">
        <v>5</v>
      </c>
      <c r="I75">
        <v>0</v>
      </c>
    </row>
    <row r="76" spans="1:9" x14ac:dyDescent="0.25">
      <c r="A76" s="5" t="str">
        <f>TrendSheetPrdData[[#This Row],[Population]]&amp;TrendSheetPrdData[[#This Row],[Cost Basis]]&amp;TrendSheetPrdData[[#This Row],[Period]]&amp;TrendSheetPrdData[[#This Row],[Trend]]</f>
        <v>BAYVIEW EMPLOYEEAllowed2017-01-01Readmission Quality</v>
      </c>
      <c r="B76" t="s">
        <v>127</v>
      </c>
      <c r="C76" t="s">
        <v>127</v>
      </c>
      <c r="D76" t="s">
        <v>91</v>
      </c>
      <c r="E76" s="1" t="s">
        <v>103</v>
      </c>
      <c r="F76" t="s">
        <v>106</v>
      </c>
      <c r="G76" t="s">
        <v>16</v>
      </c>
      <c r="H76">
        <v>5</v>
      </c>
      <c r="I76">
        <v>0</v>
      </c>
    </row>
    <row r="77" spans="1:9" x14ac:dyDescent="0.25">
      <c r="A77" s="5" t="str">
        <f>TrendSheetPrdData[[#This Row],[Population]]&amp;TrendSheetPrdData[[#This Row],[Cost Basis]]&amp;TrendSheetPrdData[[#This Row],[Period]]&amp;TrendSheetPrdData[[#This Row],[Trend]]</f>
        <v>BAYVIEW EMPLOYEEAllowed2015-11-01Avoidable Admission Cost</v>
      </c>
      <c r="B77" t="s">
        <v>127</v>
      </c>
      <c r="C77" t="s">
        <v>127</v>
      </c>
      <c r="D77" t="s">
        <v>91</v>
      </c>
      <c r="E77" s="1" t="s">
        <v>130</v>
      </c>
      <c r="F77" t="s">
        <v>93</v>
      </c>
      <c r="G77" t="s">
        <v>17</v>
      </c>
      <c r="H77">
        <v>6</v>
      </c>
      <c r="I77">
        <v>0</v>
      </c>
    </row>
    <row r="78" spans="1:9" x14ac:dyDescent="0.25">
      <c r="A78" s="5" t="str">
        <f>TrendSheetPrdData[[#This Row],[Population]]&amp;TrendSheetPrdData[[#This Row],[Cost Basis]]&amp;TrendSheetPrdData[[#This Row],[Period]]&amp;TrendSheetPrdData[[#This Row],[Trend]]</f>
        <v>BAYVIEW EMPLOYEEAllowed2015-12-01Avoidable Admission Cost</v>
      </c>
      <c r="B78" t="s">
        <v>127</v>
      </c>
      <c r="C78" t="s">
        <v>127</v>
      </c>
      <c r="D78" t="s">
        <v>91</v>
      </c>
      <c r="E78" s="1" t="s">
        <v>131</v>
      </c>
      <c r="F78" t="s">
        <v>93</v>
      </c>
      <c r="G78" t="s">
        <v>17</v>
      </c>
      <c r="H78">
        <v>6</v>
      </c>
      <c r="I78">
        <v>0</v>
      </c>
    </row>
    <row r="79" spans="1:9" x14ac:dyDescent="0.25">
      <c r="A79" s="5" t="str">
        <f>TrendSheetPrdData[[#This Row],[Population]]&amp;TrendSheetPrdData[[#This Row],[Cost Basis]]&amp;TrendSheetPrdData[[#This Row],[Period]]&amp;TrendSheetPrdData[[#This Row],[Trend]]</f>
        <v>BAYVIEW EMPLOYEEAllowed2016-01-01Avoidable Admission Cost</v>
      </c>
      <c r="B79" t="s">
        <v>127</v>
      </c>
      <c r="C79" t="s">
        <v>127</v>
      </c>
      <c r="D79" t="s">
        <v>91</v>
      </c>
      <c r="E79" s="1" t="s">
        <v>132</v>
      </c>
      <c r="F79" t="s">
        <v>93</v>
      </c>
      <c r="G79" t="s">
        <v>17</v>
      </c>
      <c r="H79">
        <v>6</v>
      </c>
      <c r="I79">
        <v>0</v>
      </c>
    </row>
    <row r="80" spans="1:9" x14ac:dyDescent="0.25">
      <c r="A80" s="5" t="str">
        <f>TrendSheetPrdData[[#This Row],[Population]]&amp;TrendSheetPrdData[[#This Row],[Cost Basis]]&amp;TrendSheetPrdData[[#This Row],[Period]]&amp;TrendSheetPrdData[[#This Row],[Trend]]</f>
        <v>BAYVIEW EMPLOYEEAllowed2016-02-01Avoidable Admission Cost</v>
      </c>
      <c r="B80" t="s">
        <v>127</v>
      </c>
      <c r="C80" t="s">
        <v>127</v>
      </c>
      <c r="D80" t="s">
        <v>91</v>
      </c>
      <c r="E80" s="1" t="s">
        <v>133</v>
      </c>
      <c r="F80" t="s">
        <v>93</v>
      </c>
      <c r="G80" t="s">
        <v>17</v>
      </c>
      <c r="H80">
        <v>6</v>
      </c>
      <c r="I80">
        <v>0</v>
      </c>
    </row>
    <row r="81" spans="1:9" x14ac:dyDescent="0.25">
      <c r="A81" s="5" t="str">
        <f>TrendSheetPrdData[[#This Row],[Population]]&amp;TrendSheetPrdData[[#This Row],[Cost Basis]]&amp;TrendSheetPrdData[[#This Row],[Period]]&amp;TrendSheetPrdData[[#This Row],[Trend]]</f>
        <v>BAYVIEW EMPLOYEEAllowed2016-03-01Avoidable Admission Cost</v>
      </c>
      <c r="B81" t="s">
        <v>127</v>
      </c>
      <c r="C81" t="s">
        <v>127</v>
      </c>
      <c r="D81" t="s">
        <v>91</v>
      </c>
      <c r="E81" s="1" t="s">
        <v>92</v>
      </c>
      <c r="F81" t="s">
        <v>93</v>
      </c>
      <c r="G81" t="s">
        <v>17</v>
      </c>
      <c r="H81">
        <v>6</v>
      </c>
      <c r="I81">
        <v>0</v>
      </c>
    </row>
    <row r="82" spans="1:9" x14ac:dyDescent="0.25">
      <c r="A82" s="5" t="str">
        <f>TrendSheetPrdData[[#This Row],[Population]]&amp;TrendSheetPrdData[[#This Row],[Cost Basis]]&amp;TrendSheetPrdData[[#This Row],[Period]]&amp;TrendSheetPrdData[[#This Row],[Trend]]</f>
        <v>BAYVIEW EMPLOYEEAllowed2016-04-01Avoidable Admission Cost</v>
      </c>
      <c r="B82" t="s">
        <v>127</v>
      </c>
      <c r="C82" t="s">
        <v>127</v>
      </c>
      <c r="D82" t="s">
        <v>91</v>
      </c>
      <c r="E82" s="1" t="s">
        <v>94</v>
      </c>
      <c r="F82" t="s">
        <v>93</v>
      </c>
      <c r="G82" t="s">
        <v>17</v>
      </c>
      <c r="H82">
        <v>6</v>
      </c>
      <c r="I82">
        <v>0</v>
      </c>
    </row>
    <row r="83" spans="1:9" x14ac:dyDescent="0.25">
      <c r="A83" s="5" t="str">
        <f>TrendSheetPrdData[[#This Row],[Population]]&amp;TrendSheetPrdData[[#This Row],[Cost Basis]]&amp;TrendSheetPrdData[[#This Row],[Period]]&amp;TrendSheetPrdData[[#This Row],[Trend]]</f>
        <v>BAYVIEW EMPLOYEEAllowed2016-05-01Avoidable Admission Cost</v>
      </c>
      <c r="B83" t="s">
        <v>127</v>
      </c>
      <c r="C83" t="s">
        <v>127</v>
      </c>
      <c r="D83" t="s">
        <v>91</v>
      </c>
      <c r="E83" s="1" t="s">
        <v>95</v>
      </c>
      <c r="F83" t="s">
        <v>93</v>
      </c>
      <c r="G83" t="s">
        <v>17</v>
      </c>
      <c r="H83">
        <v>6</v>
      </c>
      <c r="I83">
        <v>0</v>
      </c>
    </row>
    <row r="84" spans="1:9" x14ac:dyDescent="0.25">
      <c r="A84" s="5" t="str">
        <f>TrendSheetPrdData[[#This Row],[Population]]&amp;TrendSheetPrdData[[#This Row],[Cost Basis]]&amp;TrendSheetPrdData[[#This Row],[Period]]&amp;TrendSheetPrdData[[#This Row],[Trend]]</f>
        <v>BAYVIEW EMPLOYEEAllowed2016-06-01Avoidable Admission Cost</v>
      </c>
      <c r="B84" t="s">
        <v>127</v>
      </c>
      <c r="C84" t="s">
        <v>127</v>
      </c>
      <c r="D84" t="s">
        <v>91</v>
      </c>
      <c r="E84" s="1" t="s">
        <v>96</v>
      </c>
      <c r="F84" t="s">
        <v>93</v>
      </c>
      <c r="G84" t="s">
        <v>17</v>
      </c>
      <c r="H84">
        <v>6</v>
      </c>
      <c r="I84">
        <v>0</v>
      </c>
    </row>
    <row r="85" spans="1:9" x14ac:dyDescent="0.25">
      <c r="A85" s="5" t="str">
        <f>TrendSheetPrdData[[#This Row],[Population]]&amp;TrendSheetPrdData[[#This Row],[Cost Basis]]&amp;TrendSheetPrdData[[#This Row],[Period]]&amp;TrendSheetPrdData[[#This Row],[Trend]]</f>
        <v>BAYVIEW EMPLOYEEAllowed2016-07-01Avoidable Admission Cost</v>
      </c>
      <c r="B85" t="s">
        <v>127</v>
      </c>
      <c r="C85" t="s">
        <v>127</v>
      </c>
      <c r="D85" t="s">
        <v>91</v>
      </c>
      <c r="E85" s="1" t="s">
        <v>97</v>
      </c>
      <c r="F85" t="s">
        <v>93</v>
      </c>
      <c r="G85" t="s">
        <v>17</v>
      </c>
      <c r="H85">
        <v>6</v>
      </c>
      <c r="I85">
        <v>0</v>
      </c>
    </row>
    <row r="86" spans="1:9" x14ac:dyDescent="0.25">
      <c r="A86" s="5" t="str">
        <f>TrendSheetPrdData[[#This Row],[Population]]&amp;TrendSheetPrdData[[#This Row],[Cost Basis]]&amp;TrendSheetPrdData[[#This Row],[Period]]&amp;TrendSheetPrdData[[#This Row],[Trend]]</f>
        <v>BAYVIEW EMPLOYEEAllowed2016-08-01Avoidable Admission Cost</v>
      </c>
      <c r="B86" t="s">
        <v>127</v>
      </c>
      <c r="C86" t="s">
        <v>127</v>
      </c>
      <c r="D86" t="s">
        <v>91</v>
      </c>
      <c r="E86" s="1" t="s">
        <v>98</v>
      </c>
      <c r="F86" t="s">
        <v>93</v>
      </c>
      <c r="G86" t="s">
        <v>17</v>
      </c>
      <c r="H86">
        <v>6</v>
      </c>
      <c r="I86">
        <v>0</v>
      </c>
    </row>
    <row r="87" spans="1:9" x14ac:dyDescent="0.25">
      <c r="A87" s="5" t="str">
        <f>TrendSheetPrdData[[#This Row],[Population]]&amp;TrendSheetPrdData[[#This Row],[Cost Basis]]&amp;TrendSheetPrdData[[#This Row],[Period]]&amp;TrendSheetPrdData[[#This Row],[Trend]]</f>
        <v>BAYVIEW EMPLOYEEAllowed2016-09-01Avoidable Admission Cost</v>
      </c>
      <c r="B87" t="s">
        <v>127</v>
      </c>
      <c r="C87" t="s">
        <v>127</v>
      </c>
      <c r="D87" t="s">
        <v>91</v>
      </c>
      <c r="E87" s="1" t="s">
        <v>99</v>
      </c>
      <c r="F87" t="s">
        <v>93</v>
      </c>
      <c r="G87" t="s">
        <v>17</v>
      </c>
      <c r="H87">
        <v>6</v>
      </c>
      <c r="I87">
        <v>0</v>
      </c>
    </row>
    <row r="88" spans="1:9" x14ac:dyDescent="0.25">
      <c r="A88" s="5" t="str">
        <f>TrendSheetPrdData[[#This Row],[Population]]&amp;TrendSheetPrdData[[#This Row],[Cost Basis]]&amp;TrendSheetPrdData[[#This Row],[Period]]&amp;TrendSheetPrdData[[#This Row],[Trend]]</f>
        <v>BAYVIEW EMPLOYEEAllowed2016-10-01Avoidable Admission Cost</v>
      </c>
      <c r="B88" t="s">
        <v>127</v>
      </c>
      <c r="C88" t="s">
        <v>127</v>
      </c>
      <c r="D88" t="s">
        <v>91</v>
      </c>
      <c r="E88" s="1" t="s">
        <v>100</v>
      </c>
      <c r="F88" t="s">
        <v>93</v>
      </c>
      <c r="G88" t="s">
        <v>17</v>
      </c>
      <c r="H88">
        <v>6</v>
      </c>
      <c r="I88">
        <v>0</v>
      </c>
    </row>
    <row r="89" spans="1:9" x14ac:dyDescent="0.25">
      <c r="A89" s="5" t="str">
        <f>TrendSheetPrdData[[#This Row],[Population]]&amp;TrendSheetPrdData[[#This Row],[Cost Basis]]&amp;TrendSheetPrdData[[#This Row],[Period]]&amp;TrendSheetPrdData[[#This Row],[Trend]]</f>
        <v>BAYVIEW EMPLOYEEAllowed2016-11-01Avoidable Admission Cost</v>
      </c>
      <c r="B89" t="s">
        <v>127</v>
      </c>
      <c r="C89" t="s">
        <v>127</v>
      </c>
      <c r="D89" t="s">
        <v>91</v>
      </c>
      <c r="E89" s="1" t="s">
        <v>101</v>
      </c>
      <c r="F89" t="s">
        <v>106</v>
      </c>
      <c r="G89" t="s">
        <v>17</v>
      </c>
      <c r="H89">
        <v>6</v>
      </c>
      <c r="I89">
        <v>0</v>
      </c>
    </row>
    <row r="90" spans="1:9" x14ac:dyDescent="0.25">
      <c r="A90" s="5" t="str">
        <f>TrendSheetPrdData[[#This Row],[Population]]&amp;TrendSheetPrdData[[#This Row],[Cost Basis]]&amp;TrendSheetPrdData[[#This Row],[Period]]&amp;TrendSheetPrdData[[#This Row],[Trend]]</f>
        <v>BAYVIEW EMPLOYEEAllowed2016-12-01Avoidable Admission Cost</v>
      </c>
      <c r="B90" t="s">
        <v>127</v>
      </c>
      <c r="C90" t="s">
        <v>127</v>
      </c>
      <c r="D90" t="s">
        <v>91</v>
      </c>
      <c r="E90" s="1" t="s">
        <v>102</v>
      </c>
      <c r="F90" t="s">
        <v>106</v>
      </c>
      <c r="G90" t="s">
        <v>17</v>
      </c>
      <c r="H90">
        <v>6</v>
      </c>
      <c r="I90">
        <v>7960.39</v>
      </c>
    </row>
    <row r="91" spans="1:9" x14ac:dyDescent="0.25">
      <c r="A91" s="5" t="str">
        <f>TrendSheetPrdData[[#This Row],[Population]]&amp;TrendSheetPrdData[[#This Row],[Cost Basis]]&amp;TrendSheetPrdData[[#This Row],[Period]]&amp;TrendSheetPrdData[[#This Row],[Trend]]</f>
        <v>BAYVIEW EMPLOYEEAllowed2017-01-01Avoidable Admission Cost</v>
      </c>
      <c r="B91" t="s">
        <v>127</v>
      </c>
      <c r="C91" t="s">
        <v>127</v>
      </c>
      <c r="D91" t="s">
        <v>91</v>
      </c>
      <c r="E91" s="1" t="s">
        <v>103</v>
      </c>
      <c r="F91" t="s">
        <v>106</v>
      </c>
      <c r="G91" t="s">
        <v>17</v>
      </c>
      <c r="H91">
        <v>6</v>
      </c>
      <c r="I91">
        <v>0</v>
      </c>
    </row>
    <row r="92" spans="1:9" x14ac:dyDescent="0.25">
      <c r="A92" s="5" t="str">
        <f>TrendSheetPrdData[[#This Row],[Population]]&amp;TrendSheetPrdData[[#This Row],[Cost Basis]]&amp;TrendSheetPrdData[[#This Row],[Period]]&amp;TrendSheetPrdData[[#This Row],[Trend]]</f>
        <v>BAYVIEW EMPLOYEEAllowed2015-11-01Avoidable Admission Quality</v>
      </c>
      <c r="B92" t="s">
        <v>127</v>
      </c>
      <c r="C92" t="s">
        <v>127</v>
      </c>
      <c r="D92" t="s">
        <v>91</v>
      </c>
      <c r="E92" s="1" t="s">
        <v>130</v>
      </c>
      <c r="F92" t="s">
        <v>93</v>
      </c>
      <c r="G92" t="s">
        <v>18</v>
      </c>
      <c r="H92">
        <v>7</v>
      </c>
      <c r="I92">
        <v>0</v>
      </c>
    </row>
    <row r="93" spans="1:9" x14ac:dyDescent="0.25">
      <c r="A93" s="5" t="str">
        <f>TrendSheetPrdData[[#This Row],[Population]]&amp;TrendSheetPrdData[[#This Row],[Cost Basis]]&amp;TrendSheetPrdData[[#This Row],[Period]]&amp;TrendSheetPrdData[[#This Row],[Trend]]</f>
        <v>BAYVIEW EMPLOYEEAllowed2015-12-01Avoidable Admission Quality</v>
      </c>
      <c r="B93" t="s">
        <v>127</v>
      </c>
      <c r="C93" t="s">
        <v>127</v>
      </c>
      <c r="D93" t="s">
        <v>91</v>
      </c>
      <c r="E93" s="1" t="s">
        <v>131</v>
      </c>
      <c r="F93" t="s">
        <v>93</v>
      </c>
      <c r="G93" t="s">
        <v>18</v>
      </c>
      <c r="H93">
        <v>7</v>
      </c>
      <c r="I93">
        <v>0</v>
      </c>
    </row>
    <row r="94" spans="1:9" x14ac:dyDescent="0.25">
      <c r="A94" s="5" t="str">
        <f>TrendSheetPrdData[[#This Row],[Population]]&amp;TrendSheetPrdData[[#This Row],[Cost Basis]]&amp;TrendSheetPrdData[[#This Row],[Period]]&amp;TrendSheetPrdData[[#This Row],[Trend]]</f>
        <v>BAYVIEW EMPLOYEEAllowed2016-01-01Avoidable Admission Quality</v>
      </c>
      <c r="B94" t="s">
        <v>127</v>
      </c>
      <c r="C94" t="s">
        <v>127</v>
      </c>
      <c r="D94" t="s">
        <v>91</v>
      </c>
      <c r="E94" s="1" t="s">
        <v>132</v>
      </c>
      <c r="F94" t="s">
        <v>93</v>
      </c>
      <c r="G94" t="s">
        <v>18</v>
      </c>
      <c r="H94">
        <v>7</v>
      </c>
      <c r="I94">
        <v>0</v>
      </c>
    </row>
    <row r="95" spans="1:9" x14ac:dyDescent="0.25">
      <c r="A95" s="5" t="str">
        <f>TrendSheetPrdData[[#This Row],[Population]]&amp;TrendSheetPrdData[[#This Row],[Cost Basis]]&amp;TrendSheetPrdData[[#This Row],[Period]]&amp;TrendSheetPrdData[[#This Row],[Trend]]</f>
        <v>BAYVIEW EMPLOYEEAllowed2016-02-01Avoidable Admission Quality</v>
      </c>
      <c r="B95" t="s">
        <v>127</v>
      </c>
      <c r="C95" t="s">
        <v>127</v>
      </c>
      <c r="D95" t="s">
        <v>91</v>
      </c>
      <c r="E95" s="1" t="s">
        <v>133</v>
      </c>
      <c r="F95" t="s">
        <v>93</v>
      </c>
      <c r="G95" t="s">
        <v>18</v>
      </c>
      <c r="H95">
        <v>7</v>
      </c>
      <c r="I95">
        <v>0</v>
      </c>
    </row>
    <row r="96" spans="1:9" x14ac:dyDescent="0.25">
      <c r="A96" s="5" t="str">
        <f>TrendSheetPrdData[[#This Row],[Population]]&amp;TrendSheetPrdData[[#This Row],[Cost Basis]]&amp;TrendSheetPrdData[[#This Row],[Period]]&amp;TrendSheetPrdData[[#This Row],[Trend]]</f>
        <v>BAYVIEW EMPLOYEEAllowed2016-03-01Avoidable Admission Quality</v>
      </c>
      <c r="B96" t="s">
        <v>127</v>
      </c>
      <c r="C96" t="s">
        <v>127</v>
      </c>
      <c r="D96" t="s">
        <v>91</v>
      </c>
      <c r="E96" s="1" t="s">
        <v>92</v>
      </c>
      <c r="F96" t="s">
        <v>93</v>
      </c>
      <c r="G96" t="s">
        <v>18</v>
      </c>
      <c r="H96">
        <v>7</v>
      </c>
      <c r="I96">
        <v>0</v>
      </c>
    </row>
    <row r="97" spans="1:9" x14ac:dyDescent="0.25">
      <c r="A97" s="5" t="str">
        <f>TrendSheetPrdData[[#This Row],[Population]]&amp;TrendSheetPrdData[[#This Row],[Cost Basis]]&amp;TrendSheetPrdData[[#This Row],[Period]]&amp;TrendSheetPrdData[[#This Row],[Trend]]</f>
        <v>BAYVIEW EMPLOYEEAllowed2016-04-01Avoidable Admission Quality</v>
      </c>
      <c r="B97" t="s">
        <v>127</v>
      </c>
      <c r="C97" t="s">
        <v>127</v>
      </c>
      <c r="D97" t="s">
        <v>91</v>
      </c>
      <c r="E97" s="1" t="s">
        <v>94</v>
      </c>
      <c r="F97" t="s">
        <v>93</v>
      </c>
      <c r="G97" t="s">
        <v>18</v>
      </c>
      <c r="H97">
        <v>7</v>
      </c>
      <c r="I97">
        <v>0</v>
      </c>
    </row>
    <row r="98" spans="1:9" x14ac:dyDescent="0.25">
      <c r="A98" s="5" t="str">
        <f>TrendSheetPrdData[[#This Row],[Population]]&amp;TrendSheetPrdData[[#This Row],[Cost Basis]]&amp;TrendSheetPrdData[[#This Row],[Period]]&amp;TrendSheetPrdData[[#This Row],[Trend]]</f>
        <v>BAYVIEW EMPLOYEEAllowed2016-05-01Avoidable Admission Quality</v>
      </c>
      <c r="B98" t="s">
        <v>127</v>
      </c>
      <c r="C98" t="s">
        <v>127</v>
      </c>
      <c r="D98" t="s">
        <v>91</v>
      </c>
      <c r="E98" s="1" t="s">
        <v>95</v>
      </c>
      <c r="F98" t="s">
        <v>93</v>
      </c>
      <c r="G98" t="s">
        <v>18</v>
      </c>
      <c r="H98">
        <v>7</v>
      </c>
      <c r="I98">
        <v>0</v>
      </c>
    </row>
    <row r="99" spans="1:9" x14ac:dyDescent="0.25">
      <c r="A99" s="5" t="str">
        <f>TrendSheetPrdData[[#This Row],[Population]]&amp;TrendSheetPrdData[[#This Row],[Cost Basis]]&amp;TrendSheetPrdData[[#This Row],[Period]]&amp;TrendSheetPrdData[[#This Row],[Trend]]</f>
        <v>BAYVIEW EMPLOYEEAllowed2016-06-01Avoidable Admission Quality</v>
      </c>
      <c r="B99" t="s">
        <v>127</v>
      </c>
      <c r="C99" t="s">
        <v>127</v>
      </c>
      <c r="D99" t="s">
        <v>91</v>
      </c>
      <c r="E99" s="1" t="s">
        <v>96</v>
      </c>
      <c r="F99" t="s">
        <v>93</v>
      </c>
      <c r="G99" t="s">
        <v>18</v>
      </c>
      <c r="H99">
        <v>7</v>
      </c>
      <c r="I99">
        <v>0</v>
      </c>
    </row>
    <row r="100" spans="1:9" x14ac:dyDescent="0.25">
      <c r="A100" s="5" t="str">
        <f>TrendSheetPrdData[[#This Row],[Population]]&amp;TrendSheetPrdData[[#This Row],[Cost Basis]]&amp;TrendSheetPrdData[[#This Row],[Period]]&amp;TrendSheetPrdData[[#This Row],[Trend]]</f>
        <v>BAYVIEW EMPLOYEEAllowed2016-07-01Avoidable Admission Quality</v>
      </c>
      <c r="B100" t="s">
        <v>127</v>
      </c>
      <c r="C100" t="s">
        <v>127</v>
      </c>
      <c r="D100" t="s">
        <v>91</v>
      </c>
      <c r="E100" s="1" t="s">
        <v>97</v>
      </c>
      <c r="F100" t="s">
        <v>93</v>
      </c>
      <c r="G100" t="s">
        <v>18</v>
      </c>
      <c r="H100">
        <v>7</v>
      </c>
      <c r="I100">
        <v>0</v>
      </c>
    </row>
    <row r="101" spans="1:9" x14ac:dyDescent="0.25">
      <c r="A101" s="5" t="str">
        <f>TrendSheetPrdData[[#This Row],[Population]]&amp;TrendSheetPrdData[[#This Row],[Cost Basis]]&amp;TrendSheetPrdData[[#This Row],[Period]]&amp;TrendSheetPrdData[[#This Row],[Trend]]</f>
        <v>BAYVIEW EMPLOYEEAllowed2016-08-01Avoidable Admission Quality</v>
      </c>
      <c r="B101" t="s">
        <v>127</v>
      </c>
      <c r="C101" t="s">
        <v>127</v>
      </c>
      <c r="D101" t="s">
        <v>91</v>
      </c>
      <c r="E101" s="1" t="s">
        <v>98</v>
      </c>
      <c r="F101" t="s">
        <v>93</v>
      </c>
      <c r="G101" t="s">
        <v>18</v>
      </c>
      <c r="H101">
        <v>7</v>
      </c>
      <c r="I101">
        <v>0</v>
      </c>
    </row>
    <row r="102" spans="1:9" x14ac:dyDescent="0.25">
      <c r="A102" s="5" t="str">
        <f>TrendSheetPrdData[[#This Row],[Population]]&amp;TrendSheetPrdData[[#This Row],[Cost Basis]]&amp;TrendSheetPrdData[[#This Row],[Period]]&amp;TrendSheetPrdData[[#This Row],[Trend]]</f>
        <v>BAYVIEW EMPLOYEEAllowed2016-09-01Avoidable Admission Quality</v>
      </c>
      <c r="B102" t="s">
        <v>127</v>
      </c>
      <c r="C102" t="s">
        <v>127</v>
      </c>
      <c r="D102" t="s">
        <v>91</v>
      </c>
      <c r="E102" s="1" t="s">
        <v>99</v>
      </c>
      <c r="F102" t="s">
        <v>93</v>
      </c>
      <c r="G102" t="s">
        <v>18</v>
      </c>
      <c r="H102">
        <v>7</v>
      </c>
      <c r="I102">
        <v>0</v>
      </c>
    </row>
    <row r="103" spans="1:9" x14ac:dyDescent="0.25">
      <c r="A103" s="5" t="str">
        <f>TrendSheetPrdData[[#This Row],[Population]]&amp;TrendSheetPrdData[[#This Row],[Cost Basis]]&amp;TrendSheetPrdData[[#This Row],[Period]]&amp;TrendSheetPrdData[[#This Row],[Trend]]</f>
        <v>BAYVIEW EMPLOYEEAllowed2016-10-01Avoidable Admission Quality</v>
      </c>
      <c r="B103" t="s">
        <v>127</v>
      </c>
      <c r="C103" t="s">
        <v>127</v>
      </c>
      <c r="D103" t="s">
        <v>91</v>
      </c>
      <c r="E103" s="1" t="s">
        <v>100</v>
      </c>
      <c r="F103" t="s">
        <v>93</v>
      </c>
      <c r="G103" t="s">
        <v>18</v>
      </c>
      <c r="H103">
        <v>7</v>
      </c>
      <c r="I103">
        <v>0</v>
      </c>
    </row>
    <row r="104" spans="1:9" x14ac:dyDescent="0.25">
      <c r="A104" s="5" t="str">
        <f>TrendSheetPrdData[[#This Row],[Population]]&amp;TrendSheetPrdData[[#This Row],[Cost Basis]]&amp;TrendSheetPrdData[[#This Row],[Period]]&amp;TrendSheetPrdData[[#This Row],[Trend]]</f>
        <v>BAYVIEW EMPLOYEEAllowed2016-11-01Avoidable Admission Quality</v>
      </c>
      <c r="B104" t="s">
        <v>127</v>
      </c>
      <c r="C104" t="s">
        <v>127</v>
      </c>
      <c r="D104" t="s">
        <v>91</v>
      </c>
      <c r="E104" s="1" t="s">
        <v>101</v>
      </c>
      <c r="F104" t="s">
        <v>106</v>
      </c>
      <c r="G104" t="s">
        <v>18</v>
      </c>
      <c r="H104">
        <v>7</v>
      </c>
      <c r="I104">
        <v>0</v>
      </c>
    </row>
    <row r="105" spans="1:9" x14ac:dyDescent="0.25">
      <c r="A105" s="5" t="str">
        <f>TrendSheetPrdData[[#This Row],[Population]]&amp;TrendSheetPrdData[[#This Row],[Cost Basis]]&amp;TrendSheetPrdData[[#This Row],[Period]]&amp;TrendSheetPrdData[[#This Row],[Trend]]</f>
        <v>BAYVIEW EMPLOYEEAllowed2016-12-01Avoidable Admission Quality</v>
      </c>
      <c r="B105" t="s">
        <v>127</v>
      </c>
      <c r="C105" t="s">
        <v>127</v>
      </c>
      <c r="D105" t="s">
        <v>91</v>
      </c>
      <c r="E105" s="1" t="s">
        <v>102</v>
      </c>
      <c r="F105" t="s">
        <v>106</v>
      </c>
      <c r="G105" t="s">
        <v>18</v>
      </c>
      <c r="H105">
        <v>7</v>
      </c>
      <c r="I105">
        <v>1</v>
      </c>
    </row>
    <row r="106" spans="1:9" x14ac:dyDescent="0.25">
      <c r="A106" s="5" t="str">
        <f>TrendSheetPrdData[[#This Row],[Population]]&amp;TrendSheetPrdData[[#This Row],[Cost Basis]]&amp;TrendSheetPrdData[[#This Row],[Period]]&amp;TrendSheetPrdData[[#This Row],[Trend]]</f>
        <v>BAYVIEW EMPLOYEEAllowed2017-01-01Avoidable Admission Quality</v>
      </c>
      <c r="B106" t="s">
        <v>127</v>
      </c>
      <c r="C106" t="s">
        <v>127</v>
      </c>
      <c r="D106" t="s">
        <v>91</v>
      </c>
      <c r="E106" s="1" t="s">
        <v>103</v>
      </c>
      <c r="F106" t="s">
        <v>106</v>
      </c>
      <c r="G106" t="s">
        <v>18</v>
      </c>
      <c r="H106">
        <v>7</v>
      </c>
      <c r="I106">
        <v>0</v>
      </c>
    </row>
    <row r="107" spans="1:9" x14ac:dyDescent="0.25">
      <c r="A107" s="5" t="str">
        <f>TrendSheetPrdData[[#This Row],[Population]]&amp;TrendSheetPrdData[[#This Row],[Cost Basis]]&amp;TrendSheetPrdData[[#This Row],[Period]]&amp;TrendSheetPrdData[[#This Row],[Trend]]</f>
        <v>BAYVIEW EMPLOYEEAllowed2015-11-01Outpatient Imaging Cost</v>
      </c>
      <c r="B107" t="s">
        <v>127</v>
      </c>
      <c r="C107" t="s">
        <v>127</v>
      </c>
      <c r="D107" t="s">
        <v>91</v>
      </c>
      <c r="E107" s="1" t="s">
        <v>130</v>
      </c>
      <c r="F107" t="s">
        <v>93</v>
      </c>
      <c r="G107" t="s">
        <v>19</v>
      </c>
      <c r="H107">
        <v>8</v>
      </c>
      <c r="I107">
        <v>8061.9</v>
      </c>
    </row>
    <row r="108" spans="1:9" x14ac:dyDescent="0.25">
      <c r="A108" s="5" t="str">
        <f>TrendSheetPrdData[[#This Row],[Population]]&amp;TrendSheetPrdData[[#This Row],[Cost Basis]]&amp;TrendSheetPrdData[[#This Row],[Period]]&amp;TrendSheetPrdData[[#This Row],[Trend]]</f>
        <v>BAYVIEW EMPLOYEEAllowed2015-12-01Outpatient Imaging Cost</v>
      </c>
      <c r="B108" t="s">
        <v>127</v>
      </c>
      <c r="C108" t="s">
        <v>127</v>
      </c>
      <c r="D108" t="s">
        <v>91</v>
      </c>
      <c r="E108" s="1" t="s">
        <v>131</v>
      </c>
      <c r="F108" t="s">
        <v>93</v>
      </c>
      <c r="G108" t="s">
        <v>19</v>
      </c>
      <c r="H108">
        <v>8</v>
      </c>
      <c r="I108">
        <v>13397.34</v>
      </c>
    </row>
    <row r="109" spans="1:9" x14ac:dyDescent="0.25">
      <c r="A109" s="5" t="str">
        <f>TrendSheetPrdData[[#This Row],[Population]]&amp;TrendSheetPrdData[[#This Row],[Cost Basis]]&amp;TrendSheetPrdData[[#This Row],[Period]]&amp;TrendSheetPrdData[[#This Row],[Trend]]</f>
        <v>BAYVIEW EMPLOYEEAllowed2016-01-01Outpatient Imaging Cost</v>
      </c>
      <c r="B109" t="s">
        <v>127</v>
      </c>
      <c r="C109" t="s">
        <v>127</v>
      </c>
      <c r="D109" t="s">
        <v>91</v>
      </c>
      <c r="E109" s="1" t="s">
        <v>132</v>
      </c>
      <c r="F109" t="s">
        <v>93</v>
      </c>
      <c r="G109" t="s">
        <v>19</v>
      </c>
      <c r="H109">
        <v>8</v>
      </c>
      <c r="I109">
        <v>6042.01</v>
      </c>
    </row>
    <row r="110" spans="1:9" x14ac:dyDescent="0.25">
      <c r="A110" s="5" t="str">
        <f>TrendSheetPrdData[[#This Row],[Population]]&amp;TrendSheetPrdData[[#This Row],[Cost Basis]]&amp;TrendSheetPrdData[[#This Row],[Period]]&amp;TrendSheetPrdData[[#This Row],[Trend]]</f>
        <v>BAYVIEW EMPLOYEEAllowed2016-02-01Outpatient Imaging Cost</v>
      </c>
      <c r="B110" t="s">
        <v>127</v>
      </c>
      <c r="C110" t="s">
        <v>127</v>
      </c>
      <c r="D110" t="s">
        <v>91</v>
      </c>
      <c r="E110" s="1" t="s">
        <v>133</v>
      </c>
      <c r="F110" t="s">
        <v>93</v>
      </c>
      <c r="G110" t="s">
        <v>19</v>
      </c>
      <c r="H110">
        <v>8</v>
      </c>
      <c r="I110">
        <v>11473.23</v>
      </c>
    </row>
    <row r="111" spans="1:9" x14ac:dyDescent="0.25">
      <c r="A111" s="5" t="str">
        <f>TrendSheetPrdData[[#This Row],[Population]]&amp;TrendSheetPrdData[[#This Row],[Cost Basis]]&amp;TrendSheetPrdData[[#This Row],[Period]]&amp;TrendSheetPrdData[[#This Row],[Trend]]</f>
        <v>BAYVIEW EMPLOYEEAllowed2016-03-01Outpatient Imaging Cost</v>
      </c>
      <c r="B111" t="s">
        <v>127</v>
      </c>
      <c r="C111" t="s">
        <v>127</v>
      </c>
      <c r="D111" t="s">
        <v>91</v>
      </c>
      <c r="E111" s="1" t="s">
        <v>92</v>
      </c>
      <c r="F111" t="s">
        <v>93</v>
      </c>
      <c r="G111" t="s">
        <v>19</v>
      </c>
      <c r="H111">
        <v>8</v>
      </c>
      <c r="I111">
        <v>12731.75</v>
      </c>
    </row>
    <row r="112" spans="1:9" x14ac:dyDescent="0.25">
      <c r="A112" s="5" t="str">
        <f>TrendSheetPrdData[[#This Row],[Population]]&amp;TrendSheetPrdData[[#This Row],[Cost Basis]]&amp;TrendSheetPrdData[[#This Row],[Period]]&amp;TrendSheetPrdData[[#This Row],[Trend]]</f>
        <v>BAYVIEW EMPLOYEEAllowed2016-04-01Outpatient Imaging Cost</v>
      </c>
      <c r="B112" t="s">
        <v>127</v>
      </c>
      <c r="C112" t="s">
        <v>127</v>
      </c>
      <c r="D112" t="s">
        <v>91</v>
      </c>
      <c r="E112" s="1" t="s">
        <v>94</v>
      </c>
      <c r="F112" t="s">
        <v>93</v>
      </c>
      <c r="G112" t="s">
        <v>19</v>
      </c>
      <c r="H112">
        <v>8</v>
      </c>
      <c r="I112">
        <v>12645.4</v>
      </c>
    </row>
    <row r="113" spans="1:9" x14ac:dyDescent="0.25">
      <c r="A113" s="5" t="str">
        <f>TrendSheetPrdData[[#This Row],[Population]]&amp;TrendSheetPrdData[[#This Row],[Cost Basis]]&amp;TrendSheetPrdData[[#This Row],[Period]]&amp;TrendSheetPrdData[[#This Row],[Trend]]</f>
        <v>BAYVIEW EMPLOYEEAllowed2016-05-01Outpatient Imaging Cost</v>
      </c>
      <c r="B113" t="s">
        <v>127</v>
      </c>
      <c r="C113" t="s">
        <v>127</v>
      </c>
      <c r="D113" t="s">
        <v>91</v>
      </c>
      <c r="E113" s="1" t="s">
        <v>95</v>
      </c>
      <c r="F113" t="s">
        <v>93</v>
      </c>
      <c r="G113" t="s">
        <v>19</v>
      </c>
      <c r="H113">
        <v>8</v>
      </c>
      <c r="I113">
        <v>7383.12</v>
      </c>
    </row>
    <row r="114" spans="1:9" x14ac:dyDescent="0.25">
      <c r="A114" s="5" t="str">
        <f>TrendSheetPrdData[[#This Row],[Population]]&amp;TrendSheetPrdData[[#This Row],[Cost Basis]]&amp;TrendSheetPrdData[[#This Row],[Period]]&amp;TrendSheetPrdData[[#This Row],[Trend]]</f>
        <v>BAYVIEW EMPLOYEEAllowed2016-06-01Outpatient Imaging Cost</v>
      </c>
      <c r="B114" t="s">
        <v>127</v>
      </c>
      <c r="C114" t="s">
        <v>127</v>
      </c>
      <c r="D114" t="s">
        <v>91</v>
      </c>
      <c r="E114" s="1" t="s">
        <v>96</v>
      </c>
      <c r="F114" t="s">
        <v>93</v>
      </c>
      <c r="G114" t="s">
        <v>19</v>
      </c>
      <c r="H114">
        <v>8</v>
      </c>
      <c r="I114">
        <v>5156.7</v>
      </c>
    </row>
    <row r="115" spans="1:9" x14ac:dyDescent="0.25">
      <c r="A115" s="5" t="str">
        <f>TrendSheetPrdData[[#This Row],[Population]]&amp;TrendSheetPrdData[[#This Row],[Cost Basis]]&amp;TrendSheetPrdData[[#This Row],[Period]]&amp;TrendSheetPrdData[[#This Row],[Trend]]</f>
        <v>BAYVIEW EMPLOYEEAllowed2016-07-01Outpatient Imaging Cost</v>
      </c>
      <c r="B115" t="s">
        <v>127</v>
      </c>
      <c r="C115" t="s">
        <v>127</v>
      </c>
      <c r="D115" t="s">
        <v>91</v>
      </c>
      <c r="E115" s="1" t="s">
        <v>97</v>
      </c>
      <c r="F115" t="s">
        <v>93</v>
      </c>
      <c r="G115" t="s">
        <v>19</v>
      </c>
      <c r="H115">
        <v>8</v>
      </c>
      <c r="I115">
        <v>9325.4599999999991</v>
      </c>
    </row>
    <row r="116" spans="1:9" x14ac:dyDescent="0.25">
      <c r="A116" s="5" t="str">
        <f>TrendSheetPrdData[[#This Row],[Population]]&amp;TrendSheetPrdData[[#This Row],[Cost Basis]]&amp;TrendSheetPrdData[[#This Row],[Period]]&amp;TrendSheetPrdData[[#This Row],[Trend]]</f>
        <v>BAYVIEW EMPLOYEEAllowed2016-08-01Outpatient Imaging Cost</v>
      </c>
      <c r="B116" t="s">
        <v>127</v>
      </c>
      <c r="C116" t="s">
        <v>127</v>
      </c>
      <c r="D116" t="s">
        <v>91</v>
      </c>
      <c r="E116" s="1" t="s">
        <v>98</v>
      </c>
      <c r="F116" t="s">
        <v>93</v>
      </c>
      <c r="G116" t="s">
        <v>19</v>
      </c>
      <c r="H116">
        <v>8</v>
      </c>
      <c r="I116">
        <v>10459.120000000001</v>
      </c>
    </row>
    <row r="117" spans="1:9" x14ac:dyDescent="0.25">
      <c r="A117" s="5" t="str">
        <f>TrendSheetPrdData[[#This Row],[Population]]&amp;TrendSheetPrdData[[#This Row],[Cost Basis]]&amp;TrendSheetPrdData[[#This Row],[Period]]&amp;TrendSheetPrdData[[#This Row],[Trend]]</f>
        <v>BAYVIEW EMPLOYEEAllowed2016-09-01Outpatient Imaging Cost</v>
      </c>
      <c r="B117" t="s">
        <v>127</v>
      </c>
      <c r="C117" t="s">
        <v>127</v>
      </c>
      <c r="D117" t="s">
        <v>91</v>
      </c>
      <c r="E117" s="1" t="s">
        <v>99</v>
      </c>
      <c r="F117" t="s">
        <v>93</v>
      </c>
      <c r="G117" t="s">
        <v>19</v>
      </c>
      <c r="H117">
        <v>8</v>
      </c>
      <c r="I117">
        <v>14403.15</v>
      </c>
    </row>
    <row r="118" spans="1:9" x14ac:dyDescent="0.25">
      <c r="A118" s="5" t="str">
        <f>TrendSheetPrdData[[#This Row],[Population]]&amp;TrendSheetPrdData[[#This Row],[Cost Basis]]&amp;TrendSheetPrdData[[#This Row],[Period]]&amp;TrendSheetPrdData[[#This Row],[Trend]]</f>
        <v>BAYVIEW EMPLOYEEAllowed2016-10-01Outpatient Imaging Cost</v>
      </c>
      <c r="B118" t="s">
        <v>127</v>
      </c>
      <c r="C118" t="s">
        <v>127</v>
      </c>
      <c r="D118" t="s">
        <v>91</v>
      </c>
      <c r="E118" s="1" t="s">
        <v>100</v>
      </c>
      <c r="F118" t="s">
        <v>93</v>
      </c>
      <c r="G118" t="s">
        <v>19</v>
      </c>
      <c r="H118">
        <v>8</v>
      </c>
      <c r="I118">
        <v>4990.8599999999997</v>
      </c>
    </row>
    <row r="119" spans="1:9" x14ac:dyDescent="0.25">
      <c r="A119" s="5" t="str">
        <f>TrendSheetPrdData[[#This Row],[Population]]&amp;TrendSheetPrdData[[#This Row],[Cost Basis]]&amp;TrendSheetPrdData[[#This Row],[Period]]&amp;TrendSheetPrdData[[#This Row],[Trend]]</f>
        <v>BAYVIEW EMPLOYEEAllowed2016-11-01Outpatient Imaging Cost</v>
      </c>
      <c r="B119" t="s">
        <v>127</v>
      </c>
      <c r="C119" t="s">
        <v>127</v>
      </c>
      <c r="D119" t="s">
        <v>91</v>
      </c>
      <c r="E119" s="1" t="s">
        <v>101</v>
      </c>
      <c r="F119" t="s">
        <v>106</v>
      </c>
      <c r="G119" t="s">
        <v>19</v>
      </c>
      <c r="H119">
        <v>8</v>
      </c>
      <c r="I119">
        <v>3719.74</v>
      </c>
    </row>
    <row r="120" spans="1:9" x14ac:dyDescent="0.25">
      <c r="A120" s="5" t="str">
        <f>TrendSheetPrdData[[#This Row],[Population]]&amp;TrendSheetPrdData[[#This Row],[Cost Basis]]&amp;TrendSheetPrdData[[#This Row],[Period]]&amp;TrendSheetPrdData[[#This Row],[Trend]]</f>
        <v>BAYVIEW EMPLOYEEAllowed2016-12-01Outpatient Imaging Cost</v>
      </c>
      <c r="B120" t="s">
        <v>127</v>
      </c>
      <c r="C120" t="s">
        <v>127</v>
      </c>
      <c r="D120" t="s">
        <v>91</v>
      </c>
      <c r="E120" s="1" t="s">
        <v>102</v>
      </c>
      <c r="F120" t="s">
        <v>106</v>
      </c>
      <c r="G120" t="s">
        <v>19</v>
      </c>
      <c r="H120">
        <v>8</v>
      </c>
      <c r="I120">
        <v>7798.72</v>
      </c>
    </row>
    <row r="121" spans="1:9" x14ac:dyDescent="0.25">
      <c r="A121" s="5" t="str">
        <f>TrendSheetPrdData[[#This Row],[Population]]&amp;TrendSheetPrdData[[#This Row],[Cost Basis]]&amp;TrendSheetPrdData[[#This Row],[Period]]&amp;TrendSheetPrdData[[#This Row],[Trend]]</f>
        <v>BAYVIEW EMPLOYEEAllowed2017-01-01Outpatient Imaging Cost</v>
      </c>
      <c r="B121" t="s">
        <v>127</v>
      </c>
      <c r="C121" t="s">
        <v>127</v>
      </c>
      <c r="D121" t="s">
        <v>91</v>
      </c>
      <c r="E121" s="1" t="s">
        <v>103</v>
      </c>
      <c r="F121" t="s">
        <v>106</v>
      </c>
      <c r="G121" t="s">
        <v>19</v>
      </c>
      <c r="H121">
        <v>8</v>
      </c>
      <c r="I121">
        <v>413.25</v>
      </c>
    </row>
    <row r="122" spans="1:9" x14ac:dyDescent="0.25">
      <c r="A122" s="5" t="str">
        <f>TrendSheetPrdData[[#This Row],[Population]]&amp;TrendSheetPrdData[[#This Row],[Cost Basis]]&amp;TrendSheetPrdData[[#This Row],[Period]]&amp;TrendSheetPrdData[[#This Row],[Trend]]</f>
        <v>BAYVIEW EMPLOYEEAllowed2015-11-01Hospiatl Outpatient MRIs per 1k</v>
      </c>
      <c r="B122" t="s">
        <v>127</v>
      </c>
      <c r="C122" t="s">
        <v>127</v>
      </c>
      <c r="D122" t="s">
        <v>91</v>
      </c>
      <c r="E122" s="1" t="s">
        <v>130</v>
      </c>
      <c r="F122" t="s">
        <v>93</v>
      </c>
      <c r="G122" t="s">
        <v>20</v>
      </c>
      <c r="H122">
        <v>9</v>
      </c>
      <c r="I122">
        <v>81</v>
      </c>
    </row>
    <row r="123" spans="1:9" x14ac:dyDescent="0.25">
      <c r="A123" s="5" t="str">
        <f>TrendSheetPrdData[[#This Row],[Population]]&amp;TrendSheetPrdData[[#This Row],[Cost Basis]]&amp;TrendSheetPrdData[[#This Row],[Period]]&amp;TrendSheetPrdData[[#This Row],[Trend]]</f>
        <v>BAYVIEW EMPLOYEEAllowed2015-12-01Hospiatl Outpatient MRIs per 1k</v>
      </c>
      <c r="B123" t="s">
        <v>127</v>
      </c>
      <c r="C123" t="s">
        <v>127</v>
      </c>
      <c r="D123" t="s">
        <v>91</v>
      </c>
      <c r="E123" s="1" t="s">
        <v>131</v>
      </c>
      <c r="F123" t="s">
        <v>93</v>
      </c>
      <c r="G123" t="s">
        <v>20</v>
      </c>
      <c r="H123">
        <v>9</v>
      </c>
      <c r="I123">
        <v>48</v>
      </c>
    </row>
    <row r="124" spans="1:9" x14ac:dyDescent="0.25">
      <c r="A124" s="5" t="str">
        <f>TrendSheetPrdData[[#This Row],[Population]]&amp;TrendSheetPrdData[[#This Row],[Cost Basis]]&amp;TrendSheetPrdData[[#This Row],[Period]]&amp;TrendSheetPrdData[[#This Row],[Trend]]</f>
        <v>BAYVIEW EMPLOYEEAllowed2016-01-01Hospiatl Outpatient MRIs per 1k</v>
      </c>
      <c r="B124" t="s">
        <v>127</v>
      </c>
      <c r="C124" t="s">
        <v>127</v>
      </c>
      <c r="D124" t="s">
        <v>91</v>
      </c>
      <c r="E124" s="1" t="s">
        <v>132</v>
      </c>
      <c r="F124" t="s">
        <v>93</v>
      </c>
      <c r="G124" t="s">
        <v>20</v>
      </c>
      <c r="H124">
        <v>9</v>
      </c>
      <c r="I124">
        <v>0</v>
      </c>
    </row>
    <row r="125" spans="1:9" x14ac:dyDescent="0.25">
      <c r="A125" s="5" t="str">
        <f>TrendSheetPrdData[[#This Row],[Population]]&amp;TrendSheetPrdData[[#This Row],[Cost Basis]]&amp;TrendSheetPrdData[[#This Row],[Period]]&amp;TrendSheetPrdData[[#This Row],[Trend]]</f>
        <v>BAYVIEW EMPLOYEEAllowed2016-02-01Hospiatl Outpatient MRIs per 1k</v>
      </c>
      <c r="B125" t="s">
        <v>127</v>
      </c>
      <c r="C125" t="s">
        <v>127</v>
      </c>
      <c r="D125" t="s">
        <v>91</v>
      </c>
      <c r="E125" s="1" t="s">
        <v>133</v>
      </c>
      <c r="F125" t="s">
        <v>93</v>
      </c>
      <c r="G125" t="s">
        <v>20</v>
      </c>
      <c r="H125">
        <v>9</v>
      </c>
      <c r="I125">
        <v>43</v>
      </c>
    </row>
    <row r="126" spans="1:9" x14ac:dyDescent="0.25">
      <c r="A126" s="5" t="str">
        <f>TrendSheetPrdData[[#This Row],[Population]]&amp;TrendSheetPrdData[[#This Row],[Cost Basis]]&amp;TrendSheetPrdData[[#This Row],[Period]]&amp;TrendSheetPrdData[[#This Row],[Trend]]</f>
        <v>BAYVIEW EMPLOYEEAllowed2016-03-01Hospiatl Outpatient MRIs per 1k</v>
      </c>
      <c r="B126" t="s">
        <v>127</v>
      </c>
      <c r="C126" t="s">
        <v>127</v>
      </c>
      <c r="D126" t="s">
        <v>91</v>
      </c>
      <c r="E126" s="1" t="s">
        <v>92</v>
      </c>
      <c r="F126" t="s">
        <v>93</v>
      </c>
      <c r="G126" t="s">
        <v>20</v>
      </c>
      <c r="H126">
        <v>9</v>
      </c>
      <c r="I126">
        <v>43</v>
      </c>
    </row>
    <row r="127" spans="1:9" x14ac:dyDescent="0.25">
      <c r="A127" s="5" t="str">
        <f>TrendSheetPrdData[[#This Row],[Population]]&amp;TrendSheetPrdData[[#This Row],[Cost Basis]]&amp;TrendSheetPrdData[[#This Row],[Period]]&amp;TrendSheetPrdData[[#This Row],[Trend]]</f>
        <v>BAYVIEW EMPLOYEEAllowed2016-04-01Hospiatl Outpatient MRIs per 1k</v>
      </c>
      <c r="B127" t="s">
        <v>127</v>
      </c>
      <c r="C127" t="s">
        <v>127</v>
      </c>
      <c r="D127" t="s">
        <v>91</v>
      </c>
      <c r="E127" s="1" t="s">
        <v>94</v>
      </c>
      <c r="F127" t="s">
        <v>93</v>
      </c>
      <c r="G127" t="s">
        <v>20</v>
      </c>
      <c r="H127">
        <v>9</v>
      </c>
      <c r="I127">
        <v>58</v>
      </c>
    </row>
    <row r="128" spans="1:9" x14ac:dyDescent="0.25">
      <c r="A128" s="5" t="str">
        <f>TrendSheetPrdData[[#This Row],[Population]]&amp;TrendSheetPrdData[[#This Row],[Cost Basis]]&amp;TrendSheetPrdData[[#This Row],[Period]]&amp;TrendSheetPrdData[[#This Row],[Trend]]</f>
        <v>BAYVIEW EMPLOYEEAllowed2016-05-01Hospiatl Outpatient MRIs per 1k</v>
      </c>
      <c r="B128" t="s">
        <v>127</v>
      </c>
      <c r="C128" t="s">
        <v>127</v>
      </c>
      <c r="D128" t="s">
        <v>91</v>
      </c>
      <c r="E128" s="1" t="s">
        <v>95</v>
      </c>
      <c r="F128" t="s">
        <v>93</v>
      </c>
      <c r="G128" t="s">
        <v>20</v>
      </c>
      <c r="H128">
        <v>9</v>
      </c>
      <c r="I128">
        <v>58</v>
      </c>
    </row>
    <row r="129" spans="1:9" x14ac:dyDescent="0.25">
      <c r="A129" s="5" t="str">
        <f>TrendSheetPrdData[[#This Row],[Population]]&amp;TrendSheetPrdData[[#This Row],[Cost Basis]]&amp;TrendSheetPrdData[[#This Row],[Period]]&amp;TrendSheetPrdData[[#This Row],[Trend]]</f>
        <v>BAYVIEW EMPLOYEEAllowed2016-06-01Hospiatl Outpatient MRIs per 1k</v>
      </c>
      <c r="B129" t="s">
        <v>127</v>
      </c>
      <c r="C129" t="s">
        <v>127</v>
      </c>
      <c r="D129" t="s">
        <v>91</v>
      </c>
      <c r="E129" s="1" t="s">
        <v>96</v>
      </c>
      <c r="F129" t="s">
        <v>93</v>
      </c>
      <c r="G129" t="s">
        <v>20</v>
      </c>
      <c r="H129">
        <v>9</v>
      </c>
      <c r="I129">
        <v>14</v>
      </c>
    </row>
    <row r="130" spans="1:9" x14ac:dyDescent="0.25">
      <c r="A130" s="5" t="str">
        <f>TrendSheetPrdData[[#This Row],[Population]]&amp;TrendSheetPrdData[[#This Row],[Cost Basis]]&amp;TrendSheetPrdData[[#This Row],[Period]]&amp;TrendSheetPrdData[[#This Row],[Trend]]</f>
        <v>BAYVIEW EMPLOYEEAllowed2016-07-01Hospiatl Outpatient MRIs per 1k</v>
      </c>
      <c r="B130" t="s">
        <v>127</v>
      </c>
      <c r="C130" t="s">
        <v>127</v>
      </c>
      <c r="D130" t="s">
        <v>91</v>
      </c>
      <c r="E130" s="1" t="s">
        <v>97</v>
      </c>
      <c r="F130" t="s">
        <v>93</v>
      </c>
      <c r="G130" t="s">
        <v>20</v>
      </c>
      <c r="H130">
        <v>9</v>
      </c>
      <c r="I130">
        <v>42</v>
      </c>
    </row>
    <row r="131" spans="1:9" x14ac:dyDescent="0.25">
      <c r="A131" s="5" t="str">
        <f>TrendSheetPrdData[[#This Row],[Population]]&amp;TrendSheetPrdData[[#This Row],[Cost Basis]]&amp;TrendSheetPrdData[[#This Row],[Period]]&amp;TrendSheetPrdData[[#This Row],[Trend]]</f>
        <v>BAYVIEW EMPLOYEEAllowed2016-08-01Hospiatl Outpatient MRIs per 1k</v>
      </c>
      <c r="B131" t="s">
        <v>127</v>
      </c>
      <c r="C131" t="s">
        <v>127</v>
      </c>
      <c r="D131" t="s">
        <v>91</v>
      </c>
      <c r="E131" s="1" t="s">
        <v>98</v>
      </c>
      <c r="F131" t="s">
        <v>93</v>
      </c>
      <c r="G131" t="s">
        <v>20</v>
      </c>
      <c r="H131">
        <v>9</v>
      </c>
      <c r="I131">
        <v>56</v>
      </c>
    </row>
    <row r="132" spans="1:9" x14ac:dyDescent="0.25">
      <c r="A132" s="5" t="str">
        <f>TrendSheetPrdData[[#This Row],[Population]]&amp;TrendSheetPrdData[[#This Row],[Cost Basis]]&amp;TrendSheetPrdData[[#This Row],[Period]]&amp;TrendSheetPrdData[[#This Row],[Trend]]</f>
        <v>BAYVIEW EMPLOYEEAllowed2016-09-01Hospiatl Outpatient MRIs per 1k</v>
      </c>
      <c r="B132" t="s">
        <v>127</v>
      </c>
      <c r="C132" t="s">
        <v>127</v>
      </c>
      <c r="D132" t="s">
        <v>91</v>
      </c>
      <c r="E132" s="1" t="s">
        <v>99</v>
      </c>
      <c r="F132" t="s">
        <v>93</v>
      </c>
      <c r="G132" t="s">
        <v>20</v>
      </c>
      <c r="H132">
        <v>9</v>
      </c>
      <c r="I132">
        <v>41</v>
      </c>
    </row>
    <row r="133" spans="1:9" x14ac:dyDescent="0.25">
      <c r="A133" s="5" t="str">
        <f>TrendSheetPrdData[[#This Row],[Population]]&amp;TrendSheetPrdData[[#This Row],[Cost Basis]]&amp;TrendSheetPrdData[[#This Row],[Period]]&amp;TrendSheetPrdData[[#This Row],[Trend]]</f>
        <v>BAYVIEW EMPLOYEEAllowed2016-10-01Hospiatl Outpatient MRIs per 1k</v>
      </c>
      <c r="B133" t="s">
        <v>127</v>
      </c>
      <c r="C133" t="s">
        <v>127</v>
      </c>
      <c r="D133" t="s">
        <v>91</v>
      </c>
      <c r="E133" s="1" t="s">
        <v>100</v>
      </c>
      <c r="F133" t="s">
        <v>93</v>
      </c>
      <c r="G133" t="s">
        <v>20</v>
      </c>
      <c r="H133">
        <v>9</v>
      </c>
      <c r="I133">
        <v>40</v>
      </c>
    </row>
    <row r="134" spans="1:9" x14ac:dyDescent="0.25">
      <c r="A134" s="5" t="str">
        <f>TrendSheetPrdData[[#This Row],[Population]]&amp;TrendSheetPrdData[[#This Row],[Cost Basis]]&amp;TrendSheetPrdData[[#This Row],[Period]]&amp;TrendSheetPrdData[[#This Row],[Trend]]</f>
        <v>BAYVIEW EMPLOYEEAllowed2016-11-01Hospiatl Outpatient MRIs per 1k</v>
      </c>
      <c r="B134" t="s">
        <v>127</v>
      </c>
      <c r="C134" t="s">
        <v>127</v>
      </c>
      <c r="D134" t="s">
        <v>91</v>
      </c>
      <c r="E134" s="1" t="s">
        <v>101</v>
      </c>
      <c r="F134" t="s">
        <v>106</v>
      </c>
      <c r="G134" t="s">
        <v>20</v>
      </c>
      <c r="H134">
        <v>9</v>
      </c>
      <c r="I134">
        <v>13</v>
      </c>
    </row>
    <row r="135" spans="1:9" x14ac:dyDescent="0.25">
      <c r="A135" s="5" t="str">
        <f>TrendSheetPrdData[[#This Row],[Population]]&amp;TrendSheetPrdData[[#This Row],[Cost Basis]]&amp;TrendSheetPrdData[[#This Row],[Period]]&amp;TrendSheetPrdData[[#This Row],[Trend]]</f>
        <v>BAYVIEW EMPLOYEEAllowed2016-12-01Hospiatl Outpatient MRIs per 1k</v>
      </c>
      <c r="B135" t="s">
        <v>127</v>
      </c>
      <c r="C135" t="s">
        <v>127</v>
      </c>
      <c r="D135" t="s">
        <v>91</v>
      </c>
      <c r="E135" s="1" t="s">
        <v>102</v>
      </c>
      <c r="F135" t="s">
        <v>106</v>
      </c>
      <c r="G135" t="s">
        <v>20</v>
      </c>
      <c r="H135">
        <v>9</v>
      </c>
      <c r="I135">
        <v>26</v>
      </c>
    </row>
    <row r="136" spans="1:9" x14ac:dyDescent="0.25">
      <c r="A136" s="5" t="str">
        <f>TrendSheetPrdData[[#This Row],[Population]]&amp;TrendSheetPrdData[[#This Row],[Cost Basis]]&amp;TrendSheetPrdData[[#This Row],[Period]]&amp;TrendSheetPrdData[[#This Row],[Trend]]</f>
        <v>BAYVIEW EMPLOYEEAllowed2017-01-01Hospiatl Outpatient MRIs per 1k</v>
      </c>
      <c r="B136" t="s">
        <v>127</v>
      </c>
      <c r="C136" t="s">
        <v>127</v>
      </c>
      <c r="D136" t="s">
        <v>91</v>
      </c>
      <c r="E136" s="1" t="s">
        <v>103</v>
      </c>
      <c r="F136" t="s">
        <v>106</v>
      </c>
      <c r="G136" t="s">
        <v>20</v>
      </c>
      <c r="H136">
        <v>9</v>
      </c>
      <c r="I136">
        <v>0</v>
      </c>
    </row>
    <row r="137" spans="1:9" x14ac:dyDescent="0.25">
      <c r="A137" s="5" t="str">
        <f>TrendSheetPrdData[[#This Row],[Population]]&amp;TrendSheetPrdData[[#This Row],[Cost Basis]]&amp;TrendSheetPrdData[[#This Row],[Period]]&amp;TrendSheetPrdData[[#This Row],[Trend]]</f>
        <v>BAYVIEW EMPLOYEEAllowed2015-11-01Hospiatl Outpatient CTs per 1k</v>
      </c>
      <c r="B137" t="s">
        <v>127</v>
      </c>
      <c r="C137" t="s">
        <v>127</v>
      </c>
      <c r="D137" t="s">
        <v>91</v>
      </c>
      <c r="E137" s="1" t="s">
        <v>130</v>
      </c>
      <c r="F137" t="s">
        <v>93</v>
      </c>
      <c r="G137" t="s">
        <v>21</v>
      </c>
      <c r="H137">
        <v>10</v>
      </c>
      <c r="I137">
        <v>0</v>
      </c>
    </row>
    <row r="138" spans="1:9" x14ac:dyDescent="0.25">
      <c r="A138" s="5" t="str">
        <f>TrendSheetPrdData[[#This Row],[Population]]&amp;TrendSheetPrdData[[#This Row],[Cost Basis]]&amp;TrendSheetPrdData[[#This Row],[Period]]&amp;TrendSheetPrdData[[#This Row],[Trend]]</f>
        <v>BAYVIEW EMPLOYEEAllowed2015-12-01Hospiatl Outpatient CTs per 1k</v>
      </c>
      <c r="B138" t="s">
        <v>127</v>
      </c>
      <c r="C138" t="s">
        <v>127</v>
      </c>
      <c r="D138" t="s">
        <v>91</v>
      </c>
      <c r="E138" s="1" t="s">
        <v>131</v>
      </c>
      <c r="F138" t="s">
        <v>93</v>
      </c>
      <c r="G138" t="s">
        <v>21</v>
      </c>
      <c r="H138">
        <v>10</v>
      </c>
      <c r="I138">
        <v>80</v>
      </c>
    </row>
    <row r="139" spans="1:9" x14ac:dyDescent="0.25">
      <c r="A139" s="5" t="str">
        <f>TrendSheetPrdData[[#This Row],[Population]]&amp;TrendSheetPrdData[[#This Row],[Cost Basis]]&amp;TrendSheetPrdData[[#This Row],[Period]]&amp;TrendSheetPrdData[[#This Row],[Trend]]</f>
        <v>BAYVIEW EMPLOYEEAllowed2016-01-01Hospiatl Outpatient CTs per 1k</v>
      </c>
      <c r="B139" t="s">
        <v>127</v>
      </c>
      <c r="C139" t="s">
        <v>127</v>
      </c>
      <c r="D139" t="s">
        <v>91</v>
      </c>
      <c r="E139" s="1" t="s">
        <v>132</v>
      </c>
      <c r="F139" t="s">
        <v>93</v>
      </c>
      <c r="G139" t="s">
        <v>21</v>
      </c>
      <c r="H139">
        <v>10</v>
      </c>
      <c r="I139">
        <v>44</v>
      </c>
    </row>
    <row r="140" spans="1:9" x14ac:dyDescent="0.25">
      <c r="A140" s="5" t="str">
        <f>TrendSheetPrdData[[#This Row],[Population]]&amp;TrendSheetPrdData[[#This Row],[Cost Basis]]&amp;TrendSheetPrdData[[#This Row],[Period]]&amp;TrendSheetPrdData[[#This Row],[Trend]]</f>
        <v>BAYVIEW EMPLOYEEAllowed2016-02-01Hospiatl Outpatient CTs per 1k</v>
      </c>
      <c r="B140" t="s">
        <v>127</v>
      </c>
      <c r="C140" t="s">
        <v>127</v>
      </c>
      <c r="D140" t="s">
        <v>91</v>
      </c>
      <c r="E140" s="1" t="s">
        <v>133</v>
      </c>
      <c r="F140" t="s">
        <v>93</v>
      </c>
      <c r="G140" t="s">
        <v>21</v>
      </c>
      <c r="H140">
        <v>10</v>
      </c>
      <c r="I140">
        <v>43</v>
      </c>
    </row>
    <row r="141" spans="1:9" x14ac:dyDescent="0.25">
      <c r="A141" s="5" t="str">
        <f>TrendSheetPrdData[[#This Row],[Population]]&amp;TrendSheetPrdData[[#This Row],[Cost Basis]]&amp;TrendSheetPrdData[[#This Row],[Period]]&amp;TrendSheetPrdData[[#This Row],[Trend]]</f>
        <v>BAYVIEW EMPLOYEEAllowed2016-03-01Hospiatl Outpatient CTs per 1k</v>
      </c>
      <c r="B141" t="s">
        <v>127</v>
      </c>
      <c r="C141" t="s">
        <v>127</v>
      </c>
      <c r="D141" t="s">
        <v>91</v>
      </c>
      <c r="E141" s="1" t="s">
        <v>92</v>
      </c>
      <c r="F141" t="s">
        <v>93</v>
      </c>
      <c r="G141" t="s">
        <v>21</v>
      </c>
      <c r="H141">
        <v>10</v>
      </c>
      <c r="I141">
        <v>29</v>
      </c>
    </row>
    <row r="142" spans="1:9" x14ac:dyDescent="0.25">
      <c r="A142" s="5" t="str">
        <f>TrendSheetPrdData[[#This Row],[Population]]&amp;TrendSheetPrdData[[#This Row],[Cost Basis]]&amp;TrendSheetPrdData[[#This Row],[Period]]&amp;TrendSheetPrdData[[#This Row],[Trend]]</f>
        <v>BAYVIEW EMPLOYEEAllowed2016-04-01Hospiatl Outpatient CTs per 1k</v>
      </c>
      <c r="B142" t="s">
        <v>127</v>
      </c>
      <c r="C142" t="s">
        <v>127</v>
      </c>
      <c r="D142" t="s">
        <v>91</v>
      </c>
      <c r="E142" s="1" t="s">
        <v>94</v>
      </c>
      <c r="F142" t="s">
        <v>93</v>
      </c>
      <c r="G142" t="s">
        <v>21</v>
      </c>
      <c r="H142">
        <v>10</v>
      </c>
      <c r="I142">
        <v>29</v>
      </c>
    </row>
    <row r="143" spans="1:9" x14ac:dyDescent="0.25">
      <c r="A143" s="5" t="str">
        <f>TrendSheetPrdData[[#This Row],[Population]]&amp;TrendSheetPrdData[[#This Row],[Cost Basis]]&amp;TrendSheetPrdData[[#This Row],[Period]]&amp;TrendSheetPrdData[[#This Row],[Trend]]</f>
        <v>BAYVIEW EMPLOYEEAllowed2016-05-01Hospiatl Outpatient CTs per 1k</v>
      </c>
      <c r="B143" t="s">
        <v>127</v>
      </c>
      <c r="C143" t="s">
        <v>127</v>
      </c>
      <c r="D143" t="s">
        <v>91</v>
      </c>
      <c r="E143" s="1" t="s">
        <v>95</v>
      </c>
      <c r="F143" t="s">
        <v>93</v>
      </c>
      <c r="G143" t="s">
        <v>21</v>
      </c>
      <c r="H143">
        <v>10</v>
      </c>
      <c r="I143">
        <v>29</v>
      </c>
    </row>
    <row r="144" spans="1:9" x14ac:dyDescent="0.25">
      <c r="A144" s="5" t="str">
        <f>TrendSheetPrdData[[#This Row],[Population]]&amp;TrendSheetPrdData[[#This Row],[Cost Basis]]&amp;TrendSheetPrdData[[#This Row],[Period]]&amp;TrendSheetPrdData[[#This Row],[Trend]]</f>
        <v>BAYVIEW EMPLOYEEAllowed2016-06-01Hospiatl Outpatient CTs per 1k</v>
      </c>
      <c r="B144" t="s">
        <v>127</v>
      </c>
      <c r="C144" t="s">
        <v>127</v>
      </c>
      <c r="D144" t="s">
        <v>91</v>
      </c>
      <c r="E144" s="1" t="s">
        <v>96</v>
      </c>
      <c r="F144" t="s">
        <v>93</v>
      </c>
      <c r="G144" t="s">
        <v>21</v>
      </c>
      <c r="H144">
        <v>10</v>
      </c>
      <c r="I144">
        <v>29</v>
      </c>
    </row>
    <row r="145" spans="1:9" x14ac:dyDescent="0.25">
      <c r="A145" s="5" t="str">
        <f>TrendSheetPrdData[[#This Row],[Population]]&amp;TrendSheetPrdData[[#This Row],[Cost Basis]]&amp;TrendSheetPrdData[[#This Row],[Period]]&amp;TrendSheetPrdData[[#This Row],[Trend]]</f>
        <v>BAYVIEW EMPLOYEEAllowed2016-07-01Hospiatl Outpatient CTs per 1k</v>
      </c>
      <c r="B145" t="s">
        <v>127</v>
      </c>
      <c r="C145" t="s">
        <v>127</v>
      </c>
      <c r="D145" t="s">
        <v>91</v>
      </c>
      <c r="E145" s="1" t="s">
        <v>97</v>
      </c>
      <c r="F145" t="s">
        <v>93</v>
      </c>
      <c r="G145" t="s">
        <v>21</v>
      </c>
      <c r="H145">
        <v>10</v>
      </c>
      <c r="I145">
        <v>28</v>
      </c>
    </row>
    <row r="146" spans="1:9" x14ac:dyDescent="0.25">
      <c r="A146" s="5" t="str">
        <f>TrendSheetPrdData[[#This Row],[Population]]&amp;TrendSheetPrdData[[#This Row],[Cost Basis]]&amp;TrendSheetPrdData[[#This Row],[Period]]&amp;TrendSheetPrdData[[#This Row],[Trend]]</f>
        <v>BAYVIEW EMPLOYEEAllowed2016-08-01Hospiatl Outpatient CTs per 1k</v>
      </c>
      <c r="B146" t="s">
        <v>127</v>
      </c>
      <c r="C146" t="s">
        <v>127</v>
      </c>
      <c r="D146" t="s">
        <v>91</v>
      </c>
      <c r="E146" s="1" t="s">
        <v>98</v>
      </c>
      <c r="F146" t="s">
        <v>93</v>
      </c>
      <c r="G146" t="s">
        <v>21</v>
      </c>
      <c r="H146">
        <v>10</v>
      </c>
      <c r="I146">
        <v>56</v>
      </c>
    </row>
    <row r="147" spans="1:9" x14ac:dyDescent="0.25">
      <c r="A147" s="5" t="str">
        <f>TrendSheetPrdData[[#This Row],[Population]]&amp;TrendSheetPrdData[[#This Row],[Cost Basis]]&amp;TrendSheetPrdData[[#This Row],[Period]]&amp;TrendSheetPrdData[[#This Row],[Trend]]</f>
        <v>BAYVIEW EMPLOYEEAllowed2016-09-01Hospiatl Outpatient CTs per 1k</v>
      </c>
      <c r="B147" t="s">
        <v>127</v>
      </c>
      <c r="C147" t="s">
        <v>127</v>
      </c>
      <c r="D147" t="s">
        <v>91</v>
      </c>
      <c r="E147" s="1" t="s">
        <v>99</v>
      </c>
      <c r="F147" t="s">
        <v>93</v>
      </c>
      <c r="G147" t="s">
        <v>21</v>
      </c>
      <c r="H147">
        <v>10</v>
      </c>
      <c r="I147">
        <v>54</v>
      </c>
    </row>
    <row r="148" spans="1:9" x14ac:dyDescent="0.25">
      <c r="A148" s="5" t="str">
        <f>TrendSheetPrdData[[#This Row],[Population]]&amp;TrendSheetPrdData[[#This Row],[Cost Basis]]&amp;TrendSheetPrdData[[#This Row],[Period]]&amp;TrendSheetPrdData[[#This Row],[Trend]]</f>
        <v>BAYVIEW EMPLOYEEAllowed2016-10-01Hospiatl Outpatient CTs per 1k</v>
      </c>
      <c r="B148" t="s">
        <v>127</v>
      </c>
      <c r="C148" t="s">
        <v>127</v>
      </c>
      <c r="D148" t="s">
        <v>91</v>
      </c>
      <c r="E148" s="1" t="s">
        <v>100</v>
      </c>
      <c r="F148" t="s">
        <v>93</v>
      </c>
      <c r="G148" t="s">
        <v>21</v>
      </c>
      <c r="H148">
        <v>10</v>
      </c>
      <c r="I148">
        <v>27</v>
      </c>
    </row>
    <row r="149" spans="1:9" x14ac:dyDescent="0.25">
      <c r="A149" s="5" t="str">
        <f>TrendSheetPrdData[[#This Row],[Population]]&amp;TrendSheetPrdData[[#This Row],[Cost Basis]]&amp;TrendSheetPrdData[[#This Row],[Period]]&amp;TrendSheetPrdData[[#This Row],[Trend]]</f>
        <v>BAYVIEW EMPLOYEEAllowed2016-11-01Hospiatl Outpatient CTs per 1k</v>
      </c>
      <c r="B149" t="s">
        <v>127</v>
      </c>
      <c r="C149" t="s">
        <v>127</v>
      </c>
      <c r="D149" t="s">
        <v>91</v>
      </c>
      <c r="E149" s="1" t="s">
        <v>101</v>
      </c>
      <c r="F149" t="s">
        <v>106</v>
      </c>
      <c r="G149" t="s">
        <v>21</v>
      </c>
      <c r="H149">
        <v>10</v>
      </c>
      <c r="I149">
        <v>26</v>
      </c>
    </row>
    <row r="150" spans="1:9" x14ac:dyDescent="0.25">
      <c r="A150" s="5" t="str">
        <f>TrendSheetPrdData[[#This Row],[Population]]&amp;TrendSheetPrdData[[#This Row],[Cost Basis]]&amp;TrendSheetPrdData[[#This Row],[Period]]&amp;TrendSheetPrdData[[#This Row],[Trend]]</f>
        <v>BAYVIEW EMPLOYEEAllowed2016-12-01Hospiatl Outpatient CTs per 1k</v>
      </c>
      <c r="B150" t="s">
        <v>127</v>
      </c>
      <c r="C150" t="s">
        <v>127</v>
      </c>
      <c r="D150" t="s">
        <v>91</v>
      </c>
      <c r="E150" s="1" t="s">
        <v>102</v>
      </c>
      <c r="F150" t="s">
        <v>106</v>
      </c>
      <c r="G150" t="s">
        <v>21</v>
      </c>
      <c r="H150">
        <v>10</v>
      </c>
      <c r="I150">
        <v>26</v>
      </c>
    </row>
    <row r="151" spans="1:9" x14ac:dyDescent="0.25">
      <c r="A151" s="5" t="str">
        <f>TrendSheetPrdData[[#This Row],[Population]]&amp;TrendSheetPrdData[[#This Row],[Cost Basis]]&amp;TrendSheetPrdData[[#This Row],[Period]]&amp;TrendSheetPrdData[[#This Row],[Trend]]</f>
        <v>BAYVIEW EMPLOYEEAllowed2017-01-01Hospiatl Outpatient CTs per 1k</v>
      </c>
      <c r="B151" t="s">
        <v>127</v>
      </c>
      <c r="C151" t="s">
        <v>127</v>
      </c>
      <c r="D151" t="s">
        <v>91</v>
      </c>
      <c r="E151" s="1" t="s">
        <v>103</v>
      </c>
      <c r="F151" t="s">
        <v>106</v>
      </c>
      <c r="G151" t="s">
        <v>21</v>
      </c>
      <c r="H151">
        <v>10</v>
      </c>
      <c r="I151">
        <v>0</v>
      </c>
    </row>
    <row r="152" spans="1:9" x14ac:dyDescent="0.25">
      <c r="A152" s="5" t="str">
        <f>TrendSheetPrdData[[#This Row],[Population]]&amp;TrendSheetPrdData[[#This Row],[Cost Basis]]&amp;TrendSheetPrdData[[#This Row],[Period]]&amp;TrendSheetPrdData[[#This Row],[Trend]]</f>
        <v>BAYVIEW EMPLOYEEAllowed2015-11-01Office Based MRIs per 1k</v>
      </c>
      <c r="B152" t="s">
        <v>127</v>
      </c>
      <c r="C152" t="s">
        <v>127</v>
      </c>
      <c r="D152" t="s">
        <v>91</v>
      </c>
      <c r="E152" s="1" t="s">
        <v>130</v>
      </c>
      <c r="F152" t="s">
        <v>93</v>
      </c>
      <c r="G152" t="s">
        <v>22</v>
      </c>
      <c r="H152">
        <v>11</v>
      </c>
      <c r="I152">
        <v>16</v>
      </c>
    </row>
    <row r="153" spans="1:9" x14ac:dyDescent="0.25">
      <c r="A153" s="5" t="str">
        <f>TrendSheetPrdData[[#This Row],[Population]]&amp;TrendSheetPrdData[[#This Row],[Cost Basis]]&amp;TrendSheetPrdData[[#This Row],[Period]]&amp;TrendSheetPrdData[[#This Row],[Trend]]</f>
        <v>BAYVIEW EMPLOYEEAllowed2015-12-01Office Based MRIs per 1k</v>
      </c>
      <c r="B153" t="s">
        <v>127</v>
      </c>
      <c r="C153" t="s">
        <v>127</v>
      </c>
      <c r="D153" t="s">
        <v>91</v>
      </c>
      <c r="E153" s="1" t="s">
        <v>131</v>
      </c>
      <c r="F153" t="s">
        <v>93</v>
      </c>
      <c r="G153" t="s">
        <v>22</v>
      </c>
      <c r="H153">
        <v>11</v>
      </c>
      <c r="I153">
        <v>16</v>
      </c>
    </row>
    <row r="154" spans="1:9" x14ac:dyDescent="0.25">
      <c r="A154" s="5" t="str">
        <f>TrendSheetPrdData[[#This Row],[Population]]&amp;TrendSheetPrdData[[#This Row],[Cost Basis]]&amp;TrendSheetPrdData[[#This Row],[Period]]&amp;TrendSheetPrdData[[#This Row],[Trend]]</f>
        <v>BAYVIEW EMPLOYEEAllowed2016-01-01Office Based MRIs per 1k</v>
      </c>
      <c r="B154" t="s">
        <v>127</v>
      </c>
      <c r="C154" t="s">
        <v>127</v>
      </c>
      <c r="D154" t="s">
        <v>91</v>
      </c>
      <c r="E154" s="1" t="s">
        <v>132</v>
      </c>
      <c r="F154" t="s">
        <v>93</v>
      </c>
      <c r="G154" t="s">
        <v>22</v>
      </c>
      <c r="H154">
        <v>11</v>
      </c>
      <c r="I154">
        <v>0</v>
      </c>
    </row>
    <row r="155" spans="1:9" x14ac:dyDescent="0.25">
      <c r="A155" s="5" t="str">
        <f>TrendSheetPrdData[[#This Row],[Population]]&amp;TrendSheetPrdData[[#This Row],[Cost Basis]]&amp;TrendSheetPrdData[[#This Row],[Period]]&amp;TrendSheetPrdData[[#This Row],[Trend]]</f>
        <v>BAYVIEW EMPLOYEEAllowed2016-02-01Office Based MRIs per 1k</v>
      </c>
      <c r="B155" t="s">
        <v>127</v>
      </c>
      <c r="C155" t="s">
        <v>127</v>
      </c>
      <c r="D155" t="s">
        <v>91</v>
      </c>
      <c r="E155" s="1" t="s">
        <v>133</v>
      </c>
      <c r="F155" t="s">
        <v>93</v>
      </c>
      <c r="G155" t="s">
        <v>22</v>
      </c>
      <c r="H155">
        <v>11</v>
      </c>
      <c r="I155">
        <v>14</v>
      </c>
    </row>
    <row r="156" spans="1:9" x14ac:dyDescent="0.25">
      <c r="A156" s="5" t="str">
        <f>TrendSheetPrdData[[#This Row],[Population]]&amp;TrendSheetPrdData[[#This Row],[Cost Basis]]&amp;TrendSheetPrdData[[#This Row],[Period]]&amp;TrendSheetPrdData[[#This Row],[Trend]]</f>
        <v>BAYVIEW EMPLOYEEAllowed2016-03-01Office Based MRIs per 1k</v>
      </c>
      <c r="B156" t="s">
        <v>127</v>
      </c>
      <c r="C156" t="s">
        <v>127</v>
      </c>
      <c r="D156" t="s">
        <v>91</v>
      </c>
      <c r="E156" s="1" t="s">
        <v>92</v>
      </c>
      <c r="F156" t="s">
        <v>93</v>
      </c>
      <c r="G156" t="s">
        <v>22</v>
      </c>
      <c r="H156">
        <v>11</v>
      </c>
      <c r="I156">
        <v>14</v>
      </c>
    </row>
    <row r="157" spans="1:9" x14ac:dyDescent="0.25">
      <c r="A157" s="5" t="str">
        <f>TrendSheetPrdData[[#This Row],[Population]]&amp;TrendSheetPrdData[[#This Row],[Cost Basis]]&amp;TrendSheetPrdData[[#This Row],[Period]]&amp;TrendSheetPrdData[[#This Row],[Trend]]</f>
        <v>BAYVIEW EMPLOYEEAllowed2016-04-01Office Based MRIs per 1k</v>
      </c>
      <c r="B157" t="s">
        <v>127</v>
      </c>
      <c r="C157" t="s">
        <v>127</v>
      </c>
      <c r="D157" t="s">
        <v>91</v>
      </c>
      <c r="E157" s="1" t="s">
        <v>94</v>
      </c>
      <c r="F157" t="s">
        <v>93</v>
      </c>
      <c r="G157" t="s">
        <v>22</v>
      </c>
      <c r="H157">
        <v>11</v>
      </c>
      <c r="I157">
        <v>29</v>
      </c>
    </row>
    <row r="158" spans="1:9" x14ac:dyDescent="0.25">
      <c r="A158" s="5" t="str">
        <f>TrendSheetPrdData[[#This Row],[Population]]&amp;TrendSheetPrdData[[#This Row],[Cost Basis]]&amp;TrendSheetPrdData[[#This Row],[Period]]&amp;TrendSheetPrdData[[#This Row],[Trend]]</f>
        <v>BAYVIEW EMPLOYEEAllowed2016-05-01Office Based MRIs per 1k</v>
      </c>
      <c r="B158" t="s">
        <v>127</v>
      </c>
      <c r="C158" t="s">
        <v>127</v>
      </c>
      <c r="D158" t="s">
        <v>91</v>
      </c>
      <c r="E158" s="1" t="s">
        <v>95</v>
      </c>
      <c r="F158" t="s">
        <v>93</v>
      </c>
      <c r="G158" t="s">
        <v>22</v>
      </c>
      <c r="H158">
        <v>11</v>
      </c>
      <c r="I158">
        <v>15</v>
      </c>
    </row>
    <row r="159" spans="1:9" x14ac:dyDescent="0.25">
      <c r="A159" s="5" t="str">
        <f>TrendSheetPrdData[[#This Row],[Population]]&amp;TrendSheetPrdData[[#This Row],[Cost Basis]]&amp;TrendSheetPrdData[[#This Row],[Period]]&amp;TrendSheetPrdData[[#This Row],[Trend]]</f>
        <v>BAYVIEW EMPLOYEEAllowed2016-06-01Office Based MRIs per 1k</v>
      </c>
      <c r="B159" t="s">
        <v>127</v>
      </c>
      <c r="C159" t="s">
        <v>127</v>
      </c>
      <c r="D159" t="s">
        <v>91</v>
      </c>
      <c r="E159" s="1" t="s">
        <v>96</v>
      </c>
      <c r="F159" t="s">
        <v>93</v>
      </c>
      <c r="G159" t="s">
        <v>22</v>
      </c>
      <c r="H159">
        <v>11</v>
      </c>
      <c r="I159">
        <v>14</v>
      </c>
    </row>
    <row r="160" spans="1:9" x14ac:dyDescent="0.25">
      <c r="A160" s="5" t="str">
        <f>TrendSheetPrdData[[#This Row],[Population]]&amp;TrendSheetPrdData[[#This Row],[Cost Basis]]&amp;TrendSheetPrdData[[#This Row],[Period]]&amp;TrendSheetPrdData[[#This Row],[Trend]]</f>
        <v>BAYVIEW EMPLOYEEAllowed2016-07-01Office Based MRIs per 1k</v>
      </c>
      <c r="B160" t="s">
        <v>127</v>
      </c>
      <c r="C160" t="s">
        <v>127</v>
      </c>
      <c r="D160" t="s">
        <v>91</v>
      </c>
      <c r="E160" s="1" t="s">
        <v>97</v>
      </c>
      <c r="F160" t="s">
        <v>93</v>
      </c>
      <c r="G160" t="s">
        <v>22</v>
      </c>
      <c r="H160">
        <v>11</v>
      </c>
      <c r="I160">
        <v>0</v>
      </c>
    </row>
    <row r="161" spans="1:9" x14ac:dyDescent="0.25">
      <c r="A161" s="5" t="str">
        <f>TrendSheetPrdData[[#This Row],[Population]]&amp;TrendSheetPrdData[[#This Row],[Cost Basis]]&amp;TrendSheetPrdData[[#This Row],[Period]]&amp;TrendSheetPrdData[[#This Row],[Trend]]</f>
        <v>BAYVIEW EMPLOYEEAllowed2016-08-01Office Based MRIs per 1k</v>
      </c>
      <c r="B161" t="s">
        <v>127</v>
      </c>
      <c r="C161" t="s">
        <v>127</v>
      </c>
      <c r="D161" t="s">
        <v>91</v>
      </c>
      <c r="E161" s="1" t="s">
        <v>98</v>
      </c>
      <c r="F161" t="s">
        <v>93</v>
      </c>
      <c r="G161" t="s">
        <v>22</v>
      </c>
      <c r="H161">
        <v>11</v>
      </c>
      <c r="I161">
        <v>14</v>
      </c>
    </row>
    <row r="162" spans="1:9" x14ac:dyDescent="0.25">
      <c r="A162" s="5" t="str">
        <f>TrendSheetPrdData[[#This Row],[Population]]&amp;TrendSheetPrdData[[#This Row],[Cost Basis]]&amp;TrendSheetPrdData[[#This Row],[Period]]&amp;TrendSheetPrdData[[#This Row],[Trend]]</f>
        <v>BAYVIEW EMPLOYEEAllowed2016-09-01Office Based MRIs per 1k</v>
      </c>
      <c r="B162" t="s">
        <v>127</v>
      </c>
      <c r="C162" t="s">
        <v>127</v>
      </c>
      <c r="D162" t="s">
        <v>91</v>
      </c>
      <c r="E162" s="1" t="s">
        <v>99</v>
      </c>
      <c r="F162" t="s">
        <v>93</v>
      </c>
      <c r="G162" t="s">
        <v>22</v>
      </c>
      <c r="H162">
        <v>11</v>
      </c>
      <c r="I162">
        <v>41</v>
      </c>
    </row>
    <row r="163" spans="1:9" x14ac:dyDescent="0.25">
      <c r="A163" s="5" t="str">
        <f>TrendSheetPrdData[[#This Row],[Population]]&amp;TrendSheetPrdData[[#This Row],[Cost Basis]]&amp;TrendSheetPrdData[[#This Row],[Period]]&amp;TrendSheetPrdData[[#This Row],[Trend]]</f>
        <v>BAYVIEW EMPLOYEEAllowed2016-10-01Office Based MRIs per 1k</v>
      </c>
      <c r="B163" t="s">
        <v>127</v>
      </c>
      <c r="C163" t="s">
        <v>127</v>
      </c>
      <c r="D163" t="s">
        <v>91</v>
      </c>
      <c r="E163" s="1" t="s">
        <v>100</v>
      </c>
      <c r="F163" t="s">
        <v>93</v>
      </c>
      <c r="G163" t="s">
        <v>22</v>
      </c>
      <c r="H163">
        <v>11</v>
      </c>
      <c r="I163">
        <v>13</v>
      </c>
    </row>
    <row r="164" spans="1:9" x14ac:dyDescent="0.25">
      <c r="A164" s="5" t="str">
        <f>TrendSheetPrdData[[#This Row],[Population]]&amp;TrendSheetPrdData[[#This Row],[Cost Basis]]&amp;TrendSheetPrdData[[#This Row],[Period]]&amp;TrendSheetPrdData[[#This Row],[Trend]]</f>
        <v>BAYVIEW EMPLOYEEAllowed2016-11-01Office Based MRIs per 1k</v>
      </c>
      <c r="B164" t="s">
        <v>127</v>
      </c>
      <c r="C164" t="s">
        <v>127</v>
      </c>
      <c r="D164" t="s">
        <v>91</v>
      </c>
      <c r="E164" s="1" t="s">
        <v>101</v>
      </c>
      <c r="F164" t="s">
        <v>106</v>
      </c>
      <c r="G164" t="s">
        <v>22</v>
      </c>
      <c r="H164">
        <v>11</v>
      </c>
      <c r="I164">
        <v>0</v>
      </c>
    </row>
    <row r="165" spans="1:9" x14ac:dyDescent="0.25">
      <c r="A165" s="5" t="str">
        <f>TrendSheetPrdData[[#This Row],[Population]]&amp;TrendSheetPrdData[[#This Row],[Cost Basis]]&amp;TrendSheetPrdData[[#This Row],[Period]]&amp;TrendSheetPrdData[[#This Row],[Trend]]</f>
        <v>BAYVIEW EMPLOYEEAllowed2016-12-01Office Based MRIs per 1k</v>
      </c>
      <c r="B165" t="s">
        <v>127</v>
      </c>
      <c r="C165" t="s">
        <v>127</v>
      </c>
      <c r="D165" t="s">
        <v>91</v>
      </c>
      <c r="E165" s="1" t="s">
        <v>102</v>
      </c>
      <c r="F165" t="s">
        <v>106</v>
      </c>
      <c r="G165" t="s">
        <v>22</v>
      </c>
      <c r="H165">
        <v>11</v>
      </c>
      <c r="I165">
        <v>65</v>
      </c>
    </row>
    <row r="166" spans="1:9" x14ac:dyDescent="0.25">
      <c r="A166" s="5" t="str">
        <f>TrendSheetPrdData[[#This Row],[Population]]&amp;TrendSheetPrdData[[#This Row],[Cost Basis]]&amp;TrendSheetPrdData[[#This Row],[Period]]&amp;TrendSheetPrdData[[#This Row],[Trend]]</f>
        <v>BAYVIEW EMPLOYEEAllowed2017-01-01Office Based MRIs per 1k</v>
      </c>
      <c r="B166" t="s">
        <v>127</v>
      </c>
      <c r="C166" t="s">
        <v>127</v>
      </c>
      <c r="D166" t="s">
        <v>91</v>
      </c>
      <c r="E166" s="1" t="s">
        <v>103</v>
      </c>
      <c r="F166" t="s">
        <v>106</v>
      </c>
      <c r="G166" t="s">
        <v>22</v>
      </c>
      <c r="H166">
        <v>11</v>
      </c>
      <c r="I166">
        <v>12</v>
      </c>
    </row>
    <row r="167" spans="1:9" x14ac:dyDescent="0.25">
      <c r="A167" s="5" t="str">
        <f>TrendSheetPrdData[[#This Row],[Population]]&amp;TrendSheetPrdData[[#This Row],[Cost Basis]]&amp;TrendSheetPrdData[[#This Row],[Period]]&amp;TrendSheetPrdData[[#This Row],[Trend]]</f>
        <v>BAYVIEW EMPLOYEEAllowed2015-11-01Office Based CTs per 1k</v>
      </c>
      <c r="B167" t="s">
        <v>127</v>
      </c>
      <c r="C167" t="s">
        <v>127</v>
      </c>
      <c r="D167" t="s">
        <v>91</v>
      </c>
      <c r="E167" s="1" t="s">
        <v>130</v>
      </c>
      <c r="F167" t="s">
        <v>93</v>
      </c>
      <c r="G167" t="s">
        <v>23</v>
      </c>
      <c r="H167">
        <v>12</v>
      </c>
      <c r="I167">
        <v>0</v>
      </c>
    </row>
    <row r="168" spans="1:9" x14ac:dyDescent="0.25">
      <c r="A168" s="5" t="str">
        <f>TrendSheetPrdData[[#This Row],[Population]]&amp;TrendSheetPrdData[[#This Row],[Cost Basis]]&amp;TrendSheetPrdData[[#This Row],[Period]]&amp;TrendSheetPrdData[[#This Row],[Trend]]</f>
        <v>BAYVIEW EMPLOYEEAllowed2015-12-01Office Based CTs per 1k</v>
      </c>
      <c r="B168" t="s">
        <v>127</v>
      </c>
      <c r="C168" t="s">
        <v>127</v>
      </c>
      <c r="D168" t="s">
        <v>91</v>
      </c>
      <c r="E168" s="1" t="s">
        <v>131</v>
      </c>
      <c r="F168" t="s">
        <v>93</v>
      </c>
      <c r="G168" t="s">
        <v>23</v>
      </c>
      <c r="H168">
        <v>12</v>
      </c>
      <c r="I168">
        <v>16</v>
      </c>
    </row>
    <row r="169" spans="1:9" x14ac:dyDescent="0.25">
      <c r="A169" s="5" t="str">
        <f>TrendSheetPrdData[[#This Row],[Population]]&amp;TrendSheetPrdData[[#This Row],[Cost Basis]]&amp;TrendSheetPrdData[[#This Row],[Period]]&amp;TrendSheetPrdData[[#This Row],[Trend]]</f>
        <v>BAYVIEW EMPLOYEEAllowed2016-01-01Office Based CTs per 1k</v>
      </c>
      <c r="B169" t="s">
        <v>127</v>
      </c>
      <c r="C169" t="s">
        <v>127</v>
      </c>
      <c r="D169" t="s">
        <v>91</v>
      </c>
      <c r="E169" s="1" t="s">
        <v>132</v>
      </c>
      <c r="F169" t="s">
        <v>93</v>
      </c>
      <c r="G169" t="s">
        <v>23</v>
      </c>
      <c r="H169">
        <v>12</v>
      </c>
      <c r="I169">
        <v>0</v>
      </c>
    </row>
    <row r="170" spans="1:9" x14ac:dyDescent="0.25">
      <c r="A170" s="5" t="str">
        <f>TrendSheetPrdData[[#This Row],[Population]]&amp;TrendSheetPrdData[[#This Row],[Cost Basis]]&amp;TrendSheetPrdData[[#This Row],[Period]]&amp;TrendSheetPrdData[[#This Row],[Trend]]</f>
        <v>BAYVIEW EMPLOYEEAllowed2016-02-01Office Based CTs per 1k</v>
      </c>
      <c r="B170" t="s">
        <v>127</v>
      </c>
      <c r="C170" t="s">
        <v>127</v>
      </c>
      <c r="D170" t="s">
        <v>91</v>
      </c>
      <c r="E170" s="1" t="s">
        <v>133</v>
      </c>
      <c r="F170" t="s">
        <v>93</v>
      </c>
      <c r="G170" t="s">
        <v>23</v>
      </c>
      <c r="H170">
        <v>12</v>
      </c>
      <c r="I170">
        <v>0</v>
      </c>
    </row>
    <row r="171" spans="1:9" x14ac:dyDescent="0.25">
      <c r="A171" s="5" t="str">
        <f>TrendSheetPrdData[[#This Row],[Population]]&amp;TrendSheetPrdData[[#This Row],[Cost Basis]]&amp;TrendSheetPrdData[[#This Row],[Period]]&amp;TrendSheetPrdData[[#This Row],[Trend]]</f>
        <v>BAYVIEW EMPLOYEEAllowed2016-03-01Office Based CTs per 1k</v>
      </c>
      <c r="B171" t="s">
        <v>127</v>
      </c>
      <c r="C171" t="s">
        <v>127</v>
      </c>
      <c r="D171" t="s">
        <v>91</v>
      </c>
      <c r="E171" s="1" t="s">
        <v>92</v>
      </c>
      <c r="F171" t="s">
        <v>93</v>
      </c>
      <c r="G171" t="s">
        <v>23</v>
      </c>
      <c r="H171">
        <v>12</v>
      </c>
      <c r="I171">
        <v>0</v>
      </c>
    </row>
    <row r="172" spans="1:9" x14ac:dyDescent="0.25">
      <c r="A172" s="5" t="str">
        <f>TrendSheetPrdData[[#This Row],[Population]]&amp;TrendSheetPrdData[[#This Row],[Cost Basis]]&amp;TrendSheetPrdData[[#This Row],[Period]]&amp;TrendSheetPrdData[[#This Row],[Trend]]</f>
        <v>BAYVIEW EMPLOYEEAllowed2016-04-01Office Based CTs per 1k</v>
      </c>
      <c r="B172" t="s">
        <v>127</v>
      </c>
      <c r="C172" t="s">
        <v>127</v>
      </c>
      <c r="D172" t="s">
        <v>91</v>
      </c>
      <c r="E172" s="1" t="s">
        <v>94</v>
      </c>
      <c r="F172" t="s">
        <v>93</v>
      </c>
      <c r="G172" t="s">
        <v>23</v>
      </c>
      <c r="H172">
        <v>12</v>
      </c>
      <c r="I172">
        <v>0</v>
      </c>
    </row>
    <row r="173" spans="1:9" x14ac:dyDescent="0.25">
      <c r="A173" s="5" t="str">
        <f>TrendSheetPrdData[[#This Row],[Population]]&amp;TrendSheetPrdData[[#This Row],[Cost Basis]]&amp;TrendSheetPrdData[[#This Row],[Period]]&amp;TrendSheetPrdData[[#This Row],[Trend]]</f>
        <v>BAYVIEW EMPLOYEEAllowed2016-05-01Office Based CTs per 1k</v>
      </c>
      <c r="B173" t="s">
        <v>127</v>
      </c>
      <c r="C173" t="s">
        <v>127</v>
      </c>
      <c r="D173" t="s">
        <v>91</v>
      </c>
      <c r="E173" s="1" t="s">
        <v>95</v>
      </c>
      <c r="F173" t="s">
        <v>93</v>
      </c>
      <c r="G173" t="s">
        <v>23</v>
      </c>
      <c r="H173">
        <v>12</v>
      </c>
      <c r="I173">
        <v>0</v>
      </c>
    </row>
    <row r="174" spans="1:9" x14ac:dyDescent="0.25">
      <c r="A174" s="5" t="str">
        <f>TrendSheetPrdData[[#This Row],[Population]]&amp;TrendSheetPrdData[[#This Row],[Cost Basis]]&amp;TrendSheetPrdData[[#This Row],[Period]]&amp;TrendSheetPrdData[[#This Row],[Trend]]</f>
        <v>BAYVIEW EMPLOYEEAllowed2016-06-01Office Based CTs per 1k</v>
      </c>
      <c r="B174" t="s">
        <v>127</v>
      </c>
      <c r="C174" t="s">
        <v>127</v>
      </c>
      <c r="D174" t="s">
        <v>91</v>
      </c>
      <c r="E174" s="1" t="s">
        <v>96</v>
      </c>
      <c r="F174" t="s">
        <v>93</v>
      </c>
      <c r="G174" t="s">
        <v>23</v>
      </c>
      <c r="H174">
        <v>12</v>
      </c>
      <c r="I174">
        <v>0</v>
      </c>
    </row>
    <row r="175" spans="1:9" x14ac:dyDescent="0.25">
      <c r="A175" s="5" t="str">
        <f>TrendSheetPrdData[[#This Row],[Population]]&amp;TrendSheetPrdData[[#This Row],[Cost Basis]]&amp;TrendSheetPrdData[[#This Row],[Period]]&amp;TrendSheetPrdData[[#This Row],[Trend]]</f>
        <v>BAYVIEW EMPLOYEEAllowed2016-07-01Office Based CTs per 1k</v>
      </c>
      <c r="B175" t="s">
        <v>127</v>
      </c>
      <c r="C175" t="s">
        <v>127</v>
      </c>
      <c r="D175" t="s">
        <v>91</v>
      </c>
      <c r="E175" s="1" t="s">
        <v>97</v>
      </c>
      <c r="F175" t="s">
        <v>93</v>
      </c>
      <c r="G175" t="s">
        <v>23</v>
      </c>
      <c r="H175">
        <v>12</v>
      </c>
      <c r="I175">
        <v>0</v>
      </c>
    </row>
    <row r="176" spans="1:9" x14ac:dyDescent="0.25">
      <c r="A176" s="5" t="str">
        <f>TrendSheetPrdData[[#This Row],[Population]]&amp;TrendSheetPrdData[[#This Row],[Cost Basis]]&amp;TrendSheetPrdData[[#This Row],[Period]]&amp;TrendSheetPrdData[[#This Row],[Trend]]</f>
        <v>BAYVIEW EMPLOYEEAllowed2016-08-01Office Based CTs per 1k</v>
      </c>
      <c r="B176" t="s">
        <v>127</v>
      </c>
      <c r="C176" t="s">
        <v>127</v>
      </c>
      <c r="D176" t="s">
        <v>91</v>
      </c>
      <c r="E176" s="1" t="s">
        <v>98</v>
      </c>
      <c r="F176" t="s">
        <v>93</v>
      </c>
      <c r="G176" t="s">
        <v>23</v>
      </c>
      <c r="H176">
        <v>12</v>
      </c>
      <c r="I176">
        <v>0</v>
      </c>
    </row>
    <row r="177" spans="1:9" x14ac:dyDescent="0.25">
      <c r="A177" s="5" t="str">
        <f>TrendSheetPrdData[[#This Row],[Population]]&amp;TrendSheetPrdData[[#This Row],[Cost Basis]]&amp;TrendSheetPrdData[[#This Row],[Period]]&amp;TrendSheetPrdData[[#This Row],[Trend]]</f>
        <v>BAYVIEW EMPLOYEEAllowed2016-09-01Office Based CTs per 1k</v>
      </c>
      <c r="B177" t="s">
        <v>127</v>
      </c>
      <c r="C177" t="s">
        <v>127</v>
      </c>
      <c r="D177" t="s">
        <v>91</v>
      </c>
      <c r="E177" s="1" t="s">
        <v>99</v>
      </c>
      <c r="F177" t="s">
        <v>93</v>
      </c>
      <c r="G177" t="s">
        <v>23</v>
      </c>
      <c r="H177">
        <v>12</v>
      </c>
      <c r="I177">
        <v>0</v>
      </c>
    </row>
    <row r="178" spans="1:9" x14ac:dyDescent="0.25">
      <c r="A178" s="5" t="str">
        <f>TrendSheetPrdData[[#This Row],[Population]]&amp;TrendSheetPrdData[[#This Row],[Cost Basis]]&amp;TrendSheetPrdData[[#This Row],[Period]]&amp;TrendSheetPrdData[[#This Row],[Trend]]</f>
        <v>BAYVIEW EMPLOYEEAllowed2016-10-01Office Based CTs per 1k</v>
      </c>
      <c r="B178" t="s">
        <v>127</v>
      </c>
      <c r="C178" t="s">
        <v>127</v>
      </c>
      <c r="D178" t="s">
        <v>91</v>
      </c>
      <c r="E178" s="1" t="s">
        <v>100</v>
      </c>
      <c r="F178" t="s">
        <v>93</v>
      </c>
      <c r="G178" t="s">
        <v>23</v>
      </c>
      <c r="H178">
        <v>12</v>
      </c>
      <c r="I178">
        <v>0</v>
      </c>
    </row>
    <row r="179" spans="1:9" x14ac:dyDescent="0.25">
      <c r="A179" s="5" t="str">
        <f>TrendSheetPrdData[[#This Row],[Population]]&amp;TrendSheetPrdData[[#This Row],[Cost Basis]]&amp;TrendSheetPrdData[[#This Row],[Period]]&amp;TrendSheetPrdData[[#This Row],[Trend]]</f>
        <v>BAYVIEW EMPLOYEEAllowed2016-11-01Office Based CTs per 1k</v>
      </c>
      <c r="B179" t="s">
        <v>127</v>
      </c>
      <c r="C179" t="s">
        <v>127</v>
      </c>
      <c r="D179" t="s">
        <v>91</v>
      </c>
      <c r="E179" s="1" t="s">
        <v>101</v>
      </c>
      <c r="F179" t="s">
        <v>106</v>
      </c>
      <c r="G179" t="s">
        <v>23</v>
      </c>
      <c r="H179">
        <v>12</v>
      </c>
      <c r="I179">
        <v>0</v>
      </c>
    </row>
    <row r="180" spans="1:9" x14ac:dyDescent="0.25">
      <c r="A180" s="5" t="str">
        <f>TrendSheetPrdData[[#This Row],[Population]]&amp;TrendSheetPrdData[[#This Row],[Cost Basis]]&amp;TrendSheetPrdData[[#This Row],[Period]]&amp;TrendSheetPrdData[[#This Row],[Trend]]</f>
        <v>BAYVIEW EMPLOYEEAllowed2016-12-01Office Based CTs per 1k</v>
      </c>
      <c r="B180" t="s">
        <v>127</v>
      </c>
      <c r="C180" t="s">
        <v>127</v>
      </c>
      <c r="D180" t="s">
        <v>91</v>
      </c>
      <c r="E180" s="1" t="s">
        <v>102</v>
      </c>
      <c r="F180" t="s">
        <v>106</v>
      </c>
      <c r="G180" t="s">
        <v>23</v>
      </c>
      <c r="H180">
        <v>12</v>
      </c>
      <c r="I180">
        <v>0</v>
      </c>
    </row>
    <row r="181" spans="1:9" x14ac:dyDescent="0.25">
      <c r="A181" s="5" t="str">
        <f>TrendSheetPrdData[[#This Row],[Population]]&amp;TrendSheetPrdData[[#This Row],[Cost Basis]]&amp;TrendSheetPrdData[[#This Row],[Period]]&amp;TrendSheetPrdData[[#This Row],[Trend]]</f>
        <v>BAYVIEW EMPLOYEEAllowed2017-01-01Office Based CTs per 1k</v>
      </c>
      <c r="B181" t="s">
        <v>127</v>
      </c>
      <c r="C181" t="s">
        <v>127</v>
      </c>
      <c r="D181" t="s">
        <v>91</v>
      </c>
      <c r="E181" s="1" t="s">
        <v>103</v>
      </c>
      <c r="F181" t="s">
        <v>106</v>
      </c>
      <c r="G181" t="s">
        <v>23</v>
      </c>
      <c r="H181">
        <v>12</v>
      </c>
      <c r="I181">
        <v>0</v>
      </c>
    </row>
    <row r="182" spans="1:9" x14ac:dyDescent="0.25">
      <c r="A182" s="5" t="str">
        <f>TrendSheetPrdData[[#This Row],[Population]]&amp;TrendSheetPrdData[[#This Row],[Cost Basis]]&amp;TrendSheetPrdData[[#This Row],[Period]]&amp;TrendSheetPrdData[[#This Row],[Trend]]</f>
        <v>BAYVIEW EMPLOYEEAllowed2015-11-01ED Cost</v>
      </c>
      <c r="B182" t="s">
        <v>127</v>
      </c>
      <c r="C182" t="s">
        <v>127</v>
      </c>
      <c r="D182" t="s">
        <v>91</v>
      </c>
      <c r="E182" s="1" t="s">
        <v>130</v>
      </c>
      <c r="F182" t="s">
        <v>93</v>
      </c>
      <c r="G182" t="s">
        <v>24</v>
      </c>
      <c r="H182">
        <v>13</v>
      </c>
      <c r="I182">
        <v>14889</v>
      </c>
    </row>
    <row r="183" spans="1:9" x14ac:dyDescent="0.25">
      <c r="A183" s="5" t="str">
        <f>TrendSheetPrdData[[#This Row],[Population]]&amp;TrendSheetPrdData[[#This Row],[Cost Basis]]&amp;TrendSheetPrdData[[#This Row],[Period]]&amp;TrendSheetPrdData[[#This Row],[Trend]]</f>
        <v>BAYVIEW EMPLOYEEAllowed2015-12-01ED Cost</v>
      </c>
      <c r="B183" t="s">
        <v>127</v>
      </c>
      <c r="C183" t="s">
        <v>127</v>
      </c>
      <c r="D183" t="s">
        <v>91</v>
      </c>
      <c r="E183" s="1" t="s">
        <v>131</v>
      </c>
      <c r="F183" t="s">
        <v>93</v>
      </c>
      <c r="G183" t="s">
        <v>24</v>
      </c>
      <c r="H183">
        <v>13</v>
      </c>
      <c r="I183">
        <v>14100</v>
      </c>
    </row>
    <row r="184" spans="1:9" x14ac:dyDescent="0.25">
      <c r="A184" s="5" t="str">
        <f>TrendSheetPrdData[[#This Row],[Population]]&amp;TrendSheetPrdData[[#This Row],[Cost Basis]]&amp;TrendSheetPrdData[[#This Row],[Period]]&amp;TrendSheetPrdData[[#This Row],[Trend]]</f>
        <v>BAYVIEW EMPLOYEEAllowed2016-01-01ED Cost</v>
      </c>
      <c r="B184" t="s">
        <v>127</v>
      </c>
      <c r="C184" t="s">
        <v>127</v>
      </c>
      <c r="D184" t="s">
        <v>91</v>
      </c>
      <c r="E184" s="1" t="s">
        <v>132</v>
      </c>
      <c r="F184" t="s">
        <v>93</v>
      </c>
      <c r="G184" t="s">
        <v>24</v>
      </c>
      <c r="H184">
        <v>13</v>
      </c>
      <c r="I184">
        <v>14898</v>
      </c>
    </row>
    <row r="185" spans="1:9" x14ac:dyDescent="0.25">
      <c r="A185" s="5" t="str">
        <f>TrendSheetPrdData[[#This Row],[Population]]&amp;TrendSheetPrdData[[#This Row],[Cost Basis]]&amp;TrendSheetPrdData[[#This Row],[Period]]&amp;TrendSheetPrdData[[#This Row],[Trend]]</f>
        <v>BAYVIEW EMPLOYEEAllowed2016-02-01ED Cost</v>
      </c>
      <c r="B185" t="s">
        <v>127</v>
      </c>
      <c r="C185" t="s">
        <v>127</v>
      </c>
      <c r="D185" t="s">
        <v>91</v>
      </c>
      <c r="E185" s="1" t="s">
        <v>133</v>
      </c>
      <c r="F185" t="s">
        <v>93</v>
      </c>
      <c r="G185" t="s">
        <v>24</v>
      </c>
      <c r="H185">
        <v>13</v>
      </c>
      <c r="I185">
        <v>18087</v>
      </c>
    </row>
    <row r="186" spans="1:9" x14ac:dyDescent="0.25">
      <c r="A186" s="5" t="str">
        <f>TrendSheetPrdData[[#This Row],[Population]]&amp;TrendSheetPrdData[[#This Row],[Cost Basis]]&amp;TrendSheetPrdData[[#This Row],[Period]]&amp;TrendSheetPrdData[[#This Row],[Trend]]</f>
        <v>BAYVIEW EMPLOYEEAllowed2016-03-01ED Cost</v>
      </c>
      <c r="B186" t="s">
        <v>127</v>
      </c>
      <c r="C186" t="s">
        <v>127</v>
      </c>
      <c r="D186" t="s">
        <v>91</v>
      </c>
      <c r="E186" s="1" t="s">
        <v>92</v>
      </c>
      <c r="F186" t="s">
        <v>93</v>
      </c>
      <c r="G186" t="s">
        <v>24</v>
      </c>
      <c r="H186">
        <v>13</v>
      </c>
      <c r="I186">
        <v>18099</v>
      </c>
    </row>
    <row r="187" spans="1:9" x14ac:dyDescent="0.25">
      <c r="A187" s="5" t="str">
        <f>TrendSheetPrdData[[#This Row],[Population]]&amp;TrendSheetPrdData[[#This Row],[Cost Basis]]&amp;TrendSheetPrdData[[#This Row],[Period]]&amp;TrendSheetPrdData[[#This Row],[Trend]]</f>
        <v>BAYVIEW EMPLOYEEAllowed2016-04-01ED Cost</v>
      </c>
      <c r="B187" t="s">
        <v>127</v>
      </c>
      <c r="C187" t="s">
        <v>127</v>
      </c>
      <c r="D187" t="s">
        <v>91</v>
      </c>
      <c r="E187" s="1" t="s">
        <v>94</v>
      </c>
      <c r="F187" t="s">
        <v>93</v>
      </c>
      <c r="G187" t="s">
        <v>24</v>
      </c>
      <c r="H187">
        <v>13</v>
      </c>
      <c r="I187">
        <v>37236</v>
      </c>
    </row>
    <row r="188" spans="1:9" x14ac:dyDescent="0.25">
      <c r="A188" s="5" t="str">
        <f>TrendSheetPrdData[[#This Row],[Population]]&amp;TrendSheetPrdData[[#This Row],[Cost Basis]]&amp;TrendSheetPrdData[[#This Row],[Period]]&amp;TrendSheetPrdData[[#This Row],[Trend]]</f>
        <v>BAYVIEW EMPLOYEEAllowed2016-05-01ED Cost</v>
      </c>
      <c r="B188" t="s">
        <v>127</v>
      </c>
      <c r="C188" t="s">
        <v>127</v>
      </c>
      <c r="D188" t="s">
        <v>91</v>
      </c>
      <c r="E188" s="1" t="s">
        <v>95</v>
      </c>
      <c r="F188" t="s">
        <v>93</v>
      </c>
      <c r="G188" t="s">
        <v>24</v>
      </c>
      <c r="H188">
        <v>13</v>
      </c>
      <c r="I188">
        <v>24526</v>
      </c>
    </row>
    <row r="189" spans="1:9" x14ac:dyDescent="0.25">
      <c r="A189" s="5" t="str">
        <f>TrendSheetPrdData[[#This Row],[Population]]&amp;TrendSheetPrdData[[#This Row],[Cost Basis]]&amp;TrendSheetPrdData[[#This Row],[Period]]&amp;TrendSheetPrdData[[#This Row],[Trend]]</f>
        <v>BAYVIEW EMPLOYEEAllowed2016-06-01ED Cost</v>
      </c>
      <c r="B189" t="s">
        <v>127</v>
      </c>
      <c r="C189" t="s">
        <v>127</v>
      </c>
      <c r="D189" t="s">
        <v>91</v>
      </c>
      <c r="E189" s="1" t="s">
        <v>96</v>
      </c>
      <c r="F189" t="s">
        <v>93</v>
      </c>
      <c r="G189" t="s">
        <v>24</v>
      </c>
      <c r="H189">
        <v>13</v>
      </c>
      <c r="I189">
        <v>18628</v>
      </c>
    </row>
    <row r="190" spans="1:9" x14ac:dyDescent="0.25">
      <c r="A190" s="5" t="str">
        <f>TrendSheetPrdData[[#This Row],[Population]]&amp;TrendSheetPrdData[[#This Row],[Cost Basis]]&amp;TrendSheetPrdData[[#This Row],[Period]]&amp;TrendSheetPrdData[[#This Row],[Trend]]</f>
        <v>BAYVIEW EMPLOYEEAllowed2016-07-01ED Cost</v>
      </c>
      <c r="B190" t="s">
        <v>127</v>
      </c>
      <c r="C190" t="s">
        <v>127</v>
      </c>
      <c r="D190" t="s">
        <v>91</v>
      </c>
      <c r="E190" s="1" t="s">
        <v>97</v>
      </c>
      <c r="F190" t="s">
        <v>93</v>
      </c>
      <c r="G190" t="s">
        <v>24</v>
      </c>
      <c r="H190">
        <v>13</v>
      </c>
      <c r="I190">
        <v>9603</v>
      </c>
    </row>
    <row r="191" spans="1:9" x14ac:dyDescent="0.25">
      <c r="A191" s="5" t="str">
        <f>TrendSheetPrdData[[#This Row],[Population]]&amp;TrendSheetPrdData[[#This Row],[Cost Basis]]&amp;TrendSheetPrdData[[#This Row],[Period]]&amp;TrendSheetPrdData[[#This Row],[Trend]]</f>
        <v>BAYVIEW EMPLOYEEAllowed2016-08-01ED Cost</v>
      </c>
      <c r="B191" t="s">
        <v>127</v>
      </c>
      <c r="C191" t="s">
        <v>127</v>
      </c>
      <c r="D191" t="s">
        <v>91</v>
      </c>
      <c r="E191" s="1" t="s">
        <v>98</v>
      </c>
      <c r="F191" t="s">
        <v>93</v>
      </c>
      <c r="G191" t="s">
        <v>24</v>
      </c>
      <c r="H191">
        <v>13</v>
      </c>
      <c r="I191">
        <v>13214</v>
      </c>
    </row>
    <row r="192" spans="1:9" x14ac:dyDescent="0.25">
      <c r="A192" s="5" t="str">
        <f>TrendSheetPrdData[[#This Row],[Population]]&amp;TrendSheetPrdData[[#This Row],[Cost Basis]]&amp;TrendSheetPrdData[[#This Row],[Period]]&amp;TrendSheetPrdData[[#This Row],[Trend]]</f>
        <v>BAYVIEW EMPLOYEEAllowed2016-09-01ED Cost</v>
      </c>
      <c r="B192" t="s">
        <v>127</v>
      </c>
      <c r="C192" t="s">
        <v>127</v>
      </c>
      <c r="D192" t="s">
        <v>91</v>
      </c>
      <c r="E192" s="1" t="s">
        <v>99</v>
      </c>
      <c r="F192" t="s">
        <v>93</v>
      </c>
      <c r="G192" t="s">
        <v>24</v>
      </c>
      <c r="H192">
        <v>13</v>
      </c>
      <c r="I192">
        <v>9015</v>
      </c>
    </row>
    <row r="193" spans="1:9" x14ac:dyDescent="0.25">
      <c r="A193" s="5" t="str">
        <f>TrendSheetPrdData[[#This Row],[Population]]&amp;TrendSheetPrdData[[#This Row],[Cost Basis]]&amp;TrendSheetPrdData[[#This Row],[Period]]&amp;TrendSheetPrdData[[#This Row],[Trend]]</f>
        <v>BAYVIEW EMPLOYEEAllowed2016-10-01ED Cost</v>
      </c>
      <c r="B193" t="s">
        <v>127</v>
      </c>
      <c r="C193" t="s">
        <v>127</v>
      </c>
      <c r="D193" t="s">
        <v>91</v>
      </c>
      <c r="E193" s="1" t="s">
        <v>100</v>
      </c>
      <c r="F193" t="s">
        <v>93</v>
      </c>
      <c r="G193" t="s">
        <v>24</v>
      </c>
      <c r="H193">
        <v>13</v>
      </c>
      <c r="I193">
        <v>25014</v>
      </c>
    </row>
    <row r="194" spans="1:9" x14ac:dyDescent="0.25">
      <c r="A194" s="5" t="str">
        <f>TrendSheetPrdData[[#This Row],[Population]]&amp;TrendSheetPrdData[[#This Row],[Cost Basis]]&amp;TrendSheetPrdData[[#This Row],[Period]]&amp;TrendSheetPrdData[[#This Row],[Trend]]</f>
        <v>BAYVIEW EMPLOYEEAllowed2016-11-01ED Cost</v>
      </c>
      <c r="B194" t="s">
        <v>127</v>
      </c>
      <c r="C194" t="s">
        <v>127</v>
      </c>
      <c r="D194" t="s">
        <v>91</v>
      </c>
      <c r="E194" s="1" t="s">
        <v>101</v>
      </c>
      <c r="F194" t="s">
        <v>106</v>
      </c>
      <c r="G194" t="s">
        <v>24</v>
      </c>
      <c r="H194">
        <v>13</v>
      </c>
      <c r="I194">
        <v>20309</v>
      </c>
    </row>
    <row r="195" spans="1:9" x14ac:dyDescent="0.25">
      <c r="A195" s="5" t="str">
        <f>TrendSheetPrdData[[#This Row],[Population]]&amp;TrendSheetPrdData[[#This Row],[Cost Basis]]&amp;TrendSheetPrdData[[#This Row],[Period]]&amp;TrendSheetPrdData[[#This Row],[Trend]]</f>
        <v>BAYVIEW EMPLOYEEAllowed2016-12-01ED Cost</v>
      </c>
      <c r="B195" t="s">
        <v>127</v>
      </c>
      <c r="C195" t="s">
        <v>127</v>
      </c>
      <c r="D195" t="s">
        <v>91</v>
      </c>
      <c r="E195" s="1" t="s">
        <v>102</v>
      </c>
      <c r="F195" t="s">
        <v>106</v>
      </c>
      <c r="G195" t="s">
        <v>24</v>
      </c>
      <c r="H195">
        <v>13</v>
      </c>
      <c r="I195">
        <v>27148</v>
      </c>
    </row>
    <row r="196" spans="1:9" x14ac:dyDescent="0.25">
      <c r="A196" s="5" t="str">
        <f>TrendSheetPrdData[[#This Row],[Population]]&amp;TrendSheetPrdData[[#This Row],[Cost Basis]]&amp;TrendSheetPrdData[[#This Row],[Period]]&amp;TrendSheetPrdData[[#This Row],[Trend]]</f>
        <v>BAYVIEW EMPLOYEEAllowed2017-01-01ED Cost</v>
      </c>
      <c r="B196" t="s">
        <v>127</v>
      </c>
      <c r="C196" t="s">
        <v>127</v>
      </c>
      <c r="D196" t="s">
        <v>91</v>
      </c>
      <c r="E196" s="1" t="s">
        <v>103</v>
      </c>
      <c r="F196" t="s">
        <v>106</v>
      </c>
      <c r="G196" t="s">
        <v>24</v>
      </c>
      <c r="H196">
        <v>13</v>
      </c>
      <c r="I196">
        <v>9835</v>
      </c>
    </row>
    <row r="197" spans="1:9" x14ac:dyDescent="0.25">
      <c r="A197" s="5" t="str">
        <f>TrendSheetPrdData[[#This Row],[Population]]&amp;TrendSheetPrdData[[#This Row],[Cost Basis]]&amp;TrendSheetPrdData[[#This Row],[Period]]&amp;TrendSheetPrdData[[#This Row],[Trend]]</f>
        <v>BAYVIEW EMPLOYEEAllowed2015-11-01ED Utilization</v>
      </c>
      <c r="B197" t="s">
        <v>127</v>
      </c>
      <c r="C197" t="s">
        <v>127</v>
      </c>
      <c r="D197" t="s">
        <v>91</v>
      </c>
      <c r="E197" s="1" t="s">
        <v>130</v>
      </c>
      <c r="F197" t="s">
        <v>93</v>
      </c>
      <c r="G197" t="s">
        <v>25</v>
      </c>
      <c r="H197">
        <v>14</v>
      </c>
      <c r="I197">
        <v>226</v>
      </c>
    </row>
    <row r="198" spans="1:9" x14ac:dyDescent="0.25">
      <c r="A198" s="5" t="str">
        <f>TrendSheetPrdData[[#This Row],[Population]]&amp;TrendSheetPrdData[[#This Row],[Cost Basis]]&amp;TrendSheetPrdData[[#This Row],[Period]]&amp;TrendSheetPrdData[[#This Row],[Trend]]</f>
        <v>BAYVIEW EMPLOYEEAllowed2015-12-01ED Utilization</v>
      </c>
      <c r="B198" t="s">
        <v>127</v>
      </c>
      <c r="C198" t="s">
        <v>127</v>
      </c>
      <c r="D198" t="s">
        <v>91</v>
      </c>
      <c r="E198" s="1" t="s">
        <v>131</v>
      </c>
      <c r="F198" t="s">
        <v>93</v>
      </c>
      <c r="G198" t="s">
        <v>25</v>
      </c>
      <c r="H198">
        <v>14</v>
      </c>
      <c r="I198">
        <v>192</v>
      </c>
    </row>
    <row r="199" spans="1:9" x14ac:dyDescent="0.25">
      <c r="A199" s="5" t="str">
        <f>TrendSheetPrdData[[#This Row],[Population]]&amp;TrendSheetPrdData[[#This Row],[Cost Basis]]&amp;TrendSheetPrdData[[#This Row],[Period]]&amp;TrendSheetPrdData[[#This Row],[Trend]]</f>
        <v>BAYVIEW EMPLOYEEAllowed2016-01-01ED Utilization</v>
      </c>
      <c r="B199" t="s">
        <v>127</v>
      </c>
      <c r="C199" t="s">
        <v>127</v>
      </c>
      <c r="D199" t="s">
        <v>91</v>
      </c>
      <c r="E199" s="1" t="s">
        <v>132</v>
      </c>
      <c r="F199" t="s">
        <v>93</v>
      </c>
      <c r="G199" t="s">
        <v>25</v>
      </c>
      <c r="H199">
        <v>14</v>
      </c>
      <c r="I199">
        <v>145</v>
      </c>
    </row>
    <row r="200" spans="1:9" x14ac:dyDescent="0.25">
      <c r="A200" s="5" t="str">
        <f>TrendSheetPrdData[[#This Row],[Population]]&amp;TrendSheetPrdData[[#This Row],[Cost Basis]]&amp;TrendSheetPrdData[[#This Row],[Period]]&amp;TrendSheetPrdData[[#This Row],[Trend]]</f>
        <v>BAYVIEW EMPLOYEEAllowed2016-02-01ED Utilization</v>
      </c>
      <c r="B200" t="s">
        <v>127</v>
      </c>
      <c r="C200" t="s">
        <v>127</v>
      </c>
      <c r="D200" t="s">
        <v>91</v>
      </c>
      <c r="E200" s="1" t="s">
        <v>133</v>
      </c>
      <c r="F200" t="s">
        <v>93</v>
      </c>
      <c r="G200" t="s">
        <v>25</v>
      </c>
      <c r="H200">
        <v>14</v>
      </c>
      <c r="I200">
        <v>173</v>
      </c>
    </row>
    <row r="201" spans="1:9" x14ac:dyDescent="0.25">
      <c r="A201" s="5" t="str">
        <f>TrendSheetPrdData[[#This Row],[Population]]&amp;TrendSheetPrdData[[#This Row],[Cost Basis]]&amp;TrendSheetPrdData[[#This Row],[Period]]&amp;TrendSheetPrdData[[#This Row],[Trend]]</f>
        <v>BAYVIEW EMPLOYEEAllowed2016-03-01ED Utilization</v>
      </c>
      <c r="B201" t="s">
        <v>127</v>
      </c>
      <c r="C201" t="s">
        <v>127</v>
      </c>
      <c r="D201" t="s">
        <v>91</v>
      </c>
      <c r="E201" s="1" t="s">
        <v>92</v>
      </c>
      <c r="F201" t="s">
        <v>93</v>
      </c>
      <c r="G201" t="s">
        <v>25</v>
      </c>
      <c r="H201">
        <v>14</v>
      </c>
      <c r="I201">
        <v>159</v>
      </c>
    </row>
    <row r="202" spans="1:9" x14ac:dyDescent="0.25">
      <c r="A202" s="5" t="str">
        <f>TrendSheetPrdData[[#This Row],[Population]]&amp;TrendSheetPrdData[[#This Row],[Cost Basis]]&amp;TrendSheetPrdData[[#This Row],[Period]]&amp;TrendSheetPrdData[[#This Row],[Trend]]</f>
        <v>BAYVIEW EMPLOYEEAllowed2016-04-01ED Utilization</v>
      </c>
      <c r="B202" t="s">
        <v>127</v>
      </c>
      <c r="C202" t="s">
        <v>127</v>
      </c>
      <c r="D202" t="s">
        <v>91</v>
      </c>
      <c r="E202" s="1" t="s">
        <v>94</v>
      </c>
      <c r="F202" t="s">
        <v>93</v>
      </c>
      <c r="G202" t="s">
        <v>25</v>
      </c>
      <c r="H202">
        <v>14</v>
      </c>
      <c r="I202">
        <v>190</v>
      </c>
    </row>
    <row r="203" spans="1:9" x14ac:dyDescent="0.25">
      <c r="A203" s="5" t="str">
        <f>TrendSheetPrdData[[#This Row],[Population]]&amp;TrendSheetPrdData[[#This Row],[Cost Basis]]&amp;TrendSheetPrdData[[#This Row],[Period]]&amp;TrendSheetPrdData[[#This Row],[Trend]]</f>
        <v>BAYVIEW EMPLOYEEAllowed2016-05-01ED Utilization</v>
      </c>
      <c r="B203" t="s">
        <v>127</v>
      </c>
      <c r="C203" t="s">
        <v>127</v>
      </c>
      <c r="D203" t="s">
        <v>91</v>
      </c>
      <c r="E203" s="1" t="s">
        <v>95</v>
      </c>
      <c r="F203" t="s">
        <v>93</v>
      </c>
      <c r="G203" t="s">
        <v>25</v>
      </c>
      <c r="H203">
        <v>14</v>
      </c>
      <c r="I203">
        <v>161</v>
      </c>
    </row>
    <row r="204" spans="1:9" x14ac:dyDescent="0.25">
      <c r="A204" s="5" t="str">
        <f>TrendSheetPrdData[[#This Row],[Population]]&amp;TrendSheetPrdData[[#This Row],[Cost Basis]]&amp;TrendSheetPrdData[[#This Row],[Period]]&amp;TrendSheetPrdData[[#This Row],[Trend]]</f>
        <v>BAYVIEW EMPLOYEEAllowed2016-06-01ED Utilization</v>
      </c>
      <c r="B204" t="s">
        <v>127</v>
      </c>
      <c r="C204" t="s">
        <v>127</v>
      </c>
      <c r="D204" t="s">
        <v>91</v>
      </c>
      <c r="E204" s="1" t="s">
        <v>96</v>
      </c>
      <c r="F204" t="s">
        <v>93</v>
      </c>
      <c r="G204" t="s">
        <v>25</v>
      </c>
      <c r="H204">
        <v>14</v>
      </c>
      <c r="I204">
        <v>172</v>
      </c>
    </row>
    <row r="205" spans="1:9" x14ac:dyDescent="0.25">
      <c r="A205" s="5" t="str">
        <f>TrendSheetPrdData[[#This Row],[Population]]&amp;TrendSheetPrdData[[#This Row],[Cost Basis]]&amp;TrendSheetPrdData[[#This Row],[Period]]&amp;TrendSheetPrdData[[#This Row],[Trend]]</f>
        <v>BAYVIEW EMPLOYEEAllowed2016-07-01ED Utilization</v>
      </c>
      <c r="B205" t="s">
        <v>127</v>
      </c>
      <c r="C205" t="s">
        <v>127</v>
      </c>
      <c r="D205" t="s">
        <v>91</v>
      </c>
      <c r="E205" s="1" t="s">
        <v>97</v>
      </c>
      <c r="F205" t="s">
        <v>93</v>
      </c>
      <c r="G205" t="s">
        <v>25</v>
      </c>
      <c r="H205">
        <v>14</v>
      </c>
      <c r="I205">
        <v>98</v>
      </c>
    </row>
    <row r="206" spans="1:9" x14ac:dyDescent="0.25">
      <c r="A206" s="5" t="str">
        <f>TrendSheetPrdData[[#This Row],[Population]]&amp;TrendSheetPrdData[[#This Row],[Cost Basis]]&amp;TrendSheetPrdData[[#This Row],[Period]]&amp;TrendSheetPrdData[[#This Row],[Trend]]</f>
        <v>BAYVIEW EMPLOYEEAllowed2016-08-01ED Utilization</v>
      </c>
      <c r="B206" t="s">
        <v>127</v>
      </c>
      <c r="C206" t="s">
        <v>127</v>
      </c>
      <c r="D206" t="s">
        <v>91</v>
      </c>
      <c r="E206" s="1" t="s">
        <v>98</v>
      </c>
      <c r="F206" t="s">
        <v>93</v>
      </c>
      <c r="G206" t="s">
        <v>25</v>
      </c>
      <c r="H206">
        <v>14</v>
      </c>
      <c r="I206">
        <v>69</v>
      </c>
    </row>
    <row r="207" spans="1:9" x14ac:dyDescent="0.25">
      <c r="A207" s="5" t="str">
        <f>TrendSheetPrdData[[#This Row],[Population]]&amp;TrendSheetPrdData[[#This Row],[Cost Basis]]&amp;TrendSheetPrdData[[#This Row],[Period]]&amp;TrendSheetPrdData[[#This Row],[Trend]]</f>
        <v>BAYVIEW EMPLOYEEAllowed2016-09-01ED Utilization</v>
      </c>
      <c r="B207" t="s">
        <v>127</v>
      </c>
      <c r="C207" t="s">
        <v>127</v>
      </c>
      <c r="D207" t="s">
        <v>91</v>
      </c>
      <c r="E207" s="1" t="s">
        <v>99</v>
      </c>
      <c r="F207" t="s">
        <v>93</v>
      </c>
      <c r="G207" t="s">
        <v>25</v>
      </c>
      <c r="H207">
        <v>14</v>
      </c>
      <c r="I207">
        <v>95</v>
      </c>
    </row>
    <row r="208" spans="1:9" x14ac:dyDescent="0.25">
      <c r="A208" s="5" t="str">
        <f>TrendSheetPrdData[[#This Row],[Population]]&amp;TrendSheetPrdData[[#This Row],[Cost Basis]]&amp;TrendSheetPrdData[[#This Row],[Period]]&amp;TrendSheetPrdData[[#This Row],[Trend]]</f>
        <v>BAYVIEW EMPLOYEEAllowed2016-10-01ED Utilization</v>
      </c>
      <c r="B208" t="s">
        <v>127</v>
      </c>
      <c r="C208" t="s">
        <v>127</v>
      </c>
      <c r="D208" t="s">
        <v>91</v>
      </c>
      <c r="E208" s="1" t="s">
        <v>100</v>
      </c>
      <c r="F208" t="s">
        <v>93</v>
      </c>
      <c r="G208" t="s">
        <v>25</v>
      </c>
      <c r="H208">
        <v>14</v>
      </c>
      <c r="I208">
        <v>147</v>
      </c>
    </row>
    <row r="209" spans="1:9" x14ac:dyDescent="0.25">
      <c r="A209" s="5" t="str">
        <f>TrendSheetPrdData[[#This Row],[Population]]&amp;TrendSheetPrdData[[#This Row],[Cost Basis]]&amp;TrendSheetPrdData[[#This Row],[Period]]&amp;TrendSheetPrdData[[#This Row],[Trend]]</f>
        <v>BAYVIEW EMPLOYEEAllowed2016-11-01ED Utilization</v>
      </c>
      <c r="B209" t="s">
        <v>127</v>
      </c>
      <c r="C209" t="s">
        <v>127</v>
      </c>
      <c r="D209" t="s">
        <v>91</v>
      </c>
      <c r="E209" s="1" t="s">
        <v>101</v>
      </c>
      <c r="F209" t="s">
        <v>106</v>
      </c>
      <c r="G209" t="s">
        <v>25</v>
      </c>
      <c r="H209">
        <v>14</v>
      </c>
      <c r="I209">
        <v>119</v>
      </c>
    </row>
    <row r="210" spans="1:9" x14ac:dyDescent="0.25">
      <c r="A210" s="5" t="str">
        <f>TrendSheetPrdData[[#This Row],[Population]]&amp;TrendSheetPrdData[[#This Row],[Cost Basis]]&amp;TrendSheetPrdData[[#This Row],[Period]]&amp;TrendSheetPrdData[[#This Row],[Trend]]</f>
        <v>BAYVIEW EMPLOYEEAllowed2016-12-01ED Utilization</v>
      </c>
      <c r="B210" t="s">
        <v>127</v>
      </c>
      <c r="C210" t="s">
        <v>127</v>
      </c>
      <c r="D210" t="s">
        <v>91</v>
      </c>
      <c r="E210" s="1" t="s">
        <v>102</v>
      </c>
      <c r="F210" t="s">
        <v>106</v>
      </c>
      <c r="G210" t="s">
        <v>25</v>
      </c>
      <c r="H210">
        <v>14</v>
      </c>
      <c r="I210">
        <v>156</v>
      </c>
    </row>
    <row r="211" spans="1:9" x14ac:dyDescent="0.25">
      <c r="A211" s="5" t="str">
        <f>TrendSheetPrdData[[#This Row],[Population]]&amp;TrendSheetPrdData[[#This Row],[Cost Basis]]&amp;TrendSheetPrdData[[#This Row],[Period]]&amp;TrendSheetPrdData[[#This Row],[Trend]]</f>
        <v>BAYVIEW EMPLOYEEAllowed2017-01-01ED Utilization</v>
      </c>
      <c r="B211" t="s">
        <v>127</v>
      </c>
      <c r="C211" t="s">
        <v>127</v>
      </c>
      <c r="D211" t="s">
        <v>91</v>
      </c>
      <c r="E211" s="1" t="s">
        <v>103</v>
      </c>
      <c r="F211" t="s">
        <v>106</v>
      </c>
      <c r="G211" t="s">
        <v>25</v>
      </c>
      <c r="H211">
        <v>14</v>
      </c>
      <c r="I211">
        <v>48</v>
      </c>
    </row>
    <row r="212" spans="1:9" x14ac:dyDescent="0.25">
      <c r="A212" s="5" t="str">
        <f>TrendSheetPrdData[[#This Row],[Population]]&amp;TrendSheetPrdData[[#This Row],[Cost Basis]]&amp;TrendSheetPrdData[[#This Row],[Period]]&amp;TrendSheetPrdData[[#This Row],[Trend]]</f>
        <v>BAYVIEW EMPLOYEEAllowed2015-11-01Drug - Generic Utilization Cost</v>
      </c>
      <c r="B212" t="s">
        <v>127</v>
      </c>
      <c r="C212" t="s">
        <v>127</v>
      </c>
      <c r="D212" t="s">
        <v>91</v>
      </c>
      <c r="E212" s="1" t="s">
        <v>130</v>
      </c>
      <c r="F212" t="s">
        <v>93</v>
      </c>
      <c r="G212" t="s">
        <v>26</v>
      </c>
      <c r="H212">
        <v>15</v>
      </c>
      <c r="I212">
        <v>100479</v>
      </c>
    </row>
    <row r="213" spans="1:9" x14ac:dyDescent="0.25">
      <c r="A213" s="5" t="str">
        <f>TrendSheetPrdData[[#This Row],[Population]]&amp;TrendSheetPrdData[[#This Row],[Cost Basis]]&amp;TrendSheetPrdData[[#This Row],[Period]]&amp;TrendSheetPrdData[[#This Row],[Trend]]</f>
        <v>BAYVIEW EMPLOYEEAllowed2015-12-01Drug - Generic Utilization Cost</v>
      </c>
      <c r="B213" t="s">
        <v>127</v>
      </c>
      <c r="C213" t="s">
        <v>127</v>
      </c>
      <c r="D213" t="s">
        <v>91</v>
      </c>
      <c r="E213" s="1" t="s">
        <v>131</v>
      </c>
      <c r="F213" t="s">
        <v>93</v>
      </c>
      <c r="G213" t="s">
        <v>26</v>
      </c>
      <c r="H213">
        <v>15</v>
      </c>
      <c r="I213">
        <v>118660</v>
      </c>
    </row>
    <row r="214" spans="1:9" x14ac:dyDescent="0.25">
      <c r="A214" s="5" t="str">
        <f>TrendSheetPrdData[[#This Row],[Population]]&amp;TrendSheetPrdData[[#This Row],[Cost Basis]]&amp;TrendSheetPrdData[[#This Row],[Period]]&amp;TrendSheetPrdData[[#This Row],[Trend]]</f>
        <v>BAYVIEW EMPLOYEEAllowed2016-01-01Drug - Generic Utilization Cost</v>
      </c>
      <c r="B214" t="s">
        <v>127</v>
      </c>
      <c r="C214" t="s">
        <v>127</v>
      </c>
      <c r="D214" t="s">
        <v>91</v>
      </c>
      <c r="E214" s="1" t="s">
        <v>132</v>
      </c>
      <c r="F214" t="s">
        <v>93</v>
      </c>
      <c r="G214" t="s">
        <v>26</v>
      </c>
      <c r="H214">
        <v>15</v>
      </c>
      <c r="I214">
        <v>44412</v>
      </c>
    </row>
    <row r="215" spans="1:9" x14ac:dyDescent="0.25">
      <c r="A215" s="5" t="str">
        <f>TrendSheetPrdData[[#This Row],[Population]]&amp;TrendSheetPrdData[[#This Row],[Cost Basis]]&amp;TrendSheetPrdData[[#This Row],[Period]]&amp;TrendSheetPrdData[[#This Row],[Trend]]</f>
        <v>BAYVIEW EMPLOYEEAllowed2016-02-01Drug - Generic Utilization Cost</v>
      </c>
      <c r="B215" t="s">
        <v>127</v>
      </c>
      <c r="C215" t="s">
        <v>127</v>
      </c>
      <c r="D215" t="s">
        <v>91</v>
      </c>
      <c r="E215" s="1" t="s">
        <v>133</v>
      </c>
      <c r="F215" t="s">
        <v>93</v>
      </c>
      <c r="G215" t="s">
        <v>26</v>
      </c>
      <c r="H215">
        <v>15</v>
      </c>
      <c r="I215">
        <v>77690</v>
      </c>
    </row>
    <row r="216" spans="1:9" x14ac:dyDescent="0.25">
      <c r="A216" s="5" t="str">
        <f>TrendSheetPrdData[[#This Row],[Population]]&amp;TrendSheetPrdData[[#This Row],[Cost Basis]]&amp;TrendSheetPrdData[[#This Row],[Period]]&amp;TrendSheetPrdData[[#This Row],[Trend]]</f>
        <v>BAYVIEW EMPLOYEEAllowed2016-03-01Drug - Generic Utilization Cost</v>
      </c>
      <c r="B216" t="s">
        <v>127</v>
      </c>
      <c r="C216" t="s">
        <v>127</v>
      </c>
      <c r="D216" t="s">
        <v>91</v>
      </c>
      <c r="E216" s="1" t="s">
        <v>92</v>
      </c>
      <c r="F216" t="s">
        <v>93</v>
      </c>
      <c r="G216" t="s">
        <v>26</v>
      </c>
      <c r="H216">
        <v>15</v>
      </c>
      <c r="I216">
        <v>95488</v>
      </c>
    </row>
    <row r="217" spans="1:9" x14ac:dyDescent="0.25">
      <c r="A217" s="5" t="str">
        <f>TrendSheetPrdData[[#This Row],[Population]]&amp;TrendSheetPrdData[[#This Row],[Cost Basis]]&amp;TrendSheetPrdData[[#This Row],[Period]]&amp;TrendSheetPrdData[[#This Row],[Trend]]</f>
        <v>BAYVIEW EMPLOYEEAllowed2016-04-01Drug - Generic Utilization Cost</v>
      </c>
      <c r="B217" t="s">
        <v>127</v>
      </c>
      <c r="C217" t="s">
        <v>127</v>
      </c>
      <c r="D217" t="s">
        <v>91</v>
      </c>
      <c r="E217" s="1" t="s">
        <v>94</v>
      </c>
      <c r="F217" t="s">
        <v>93</v>
      </c>
      <c r="G217" t="s">
        <v>26</v>
      </c>
      <c r="H217">
        <v>15</v>
      </c>
      <c r="I217">
        <v>86844</v>
      </c>
    </row>
    <row r="218" spans="1:9" x14ac:dyDescent="0.25">
      <c r="A218" s="5" t="str">
        <f>TrendSheetPrdData[[#This Row],[Population]]&amp;TrendSheetPrdData[[#This Row],[Cost Basis]]&amp;TrendSheetPrdData[[#This Row],[Period]]&amp;TrendSheetPrdData[[#This Row],[Trend]]</f>
        <v>BAYVIEW EMPLOYEEAllowed2016-05-01Drug - Generic Utilization Cost</v>
      </c>
      <c r="B218" t="s">
        <v>127</v>
      </c>
      <c r="C218" t="s">
        <v>127</v>
      </c>
      <c r="D218" t="s">
        <v>91</v>
      </c>
      <c r="E218" s="1" t="s">
        <v>95</v>
      </c>
      <c r="F218" t="s">
        <v>93</v>
      </c>
      <c r="G218" t="s">
        <v>26</v>
      </c>
      <c r="H218">
        <v>15</v>
      </c>
      <c r="I218">
        <v>102309</v>
      </c>
    </row>
    <row r="219" spans="1:9" x14ac:dyDescent="0.25">
      <c r="A219" s="5" t="str">
        <f>TrendSheetPrdData[[#This Row],[Population]]&amp;TrendSheetPrdData[[#This Row],[Cost Basis]]&amp;TrendSheetPrdData[[#This Row],[Period]]&amp;TrendSheetPrdData[[#This Row],[Trend]]</f>
        <v>BAYVIEW EMPLOYEEAllowed2016-06-01Drug - Generic Utilization Cost</v>
      </c>
      <c r="B219" t="s">
        <v>127</v>
      </c>
      <c r="C219" t="s">
        <v>127</v>
      </c>
      <c r="D219" t="s">
        <v>91</v>
      </c>
      <c r="E219" s="1" t="s">
        <v>96</v>
      </c>
      <c r="F219" t="s">
        <v>93</v>
      </c>
      <c r="G219" t="s">
        <v>26</v>
      </c>
      <c r="H219">
        <v>15</v>
      </c>
      <c r="I219">
        <v>103963</v>
      </c>
    </row>
    <row r="220" spans="1:9" x14ac:dyDescent="0.25">
      <c r="A220" s="5" t="str">
        <f>TrendSheetPrdData[[#This Row],[Population]]&amp;TrendSheetPrdData[[#This Row],[Cost Basis]]&amp;TrendSheetPrdData[[#This Row],[Period]]&amp;TrendSheetPrdData[[#This Row],[Trend]]</f>
        <v>BAYVIEW EMPLOYEEAllowed2016-07-01Drug - Generic Utilization Cost</v>
      </c>
      <c r="B220" t="s">
        <v>127</v>
      </c>
      <c r="C220" t="s">
        <v>127</v>
      </c>
      <c r="D220" t="s">
        <v>91</v>
      </c>
      <c r="E220" s="1" t="s">
        <v>97</v>
      </c>
      <c r="F220" t="s">
        <v>93</v>
      </c>
      <c r="G220" t="s">
        <v>26</v>
      </c>
      <c r="H220">
        <v>15</v>
      </c>
      <c r="I220">
        <v>93965</v>
      </c>
    </row>
    <row r="221" spans="1:9" x14ac:dyDescent="0.25">
      <c r="A221" s="5" t="str">
        <f>TrendSheetPrdData[[#This Row],[Population]]&amp;TrendSheetPrdData[[#This Row],[Cost Basis]]&amp;TrendSheetPrdData[[#This Row],[Period]]&amp;TrendSheetPrdData[[#This Row],[Trend]]</f>
        <v>BAYVIEW EMPLOYEEAllowed2016-08-01Drug - Generic Utilization Cost</v>
      </c>
      <c r="B221" t="s">
        <v>127</v>
      </c>
      <c r="C221" t="s">
        <v>127</v>
      </c>
      <c r="D221" t="s">
        <v>91</v>
      </c>
      <c r="E221" s="1" t="s">
        <v>98</v>
      </c>
      <c r="F221" t="s">
        <v>93</v>
      </c>
      <c r="G221" t="s">
        <v>26</v>
      </c>
      <c r="H221">
        <v>15</v>
      </c>
      <c r="I221">
        <v>138441</v>
      </c>
    </row>
    <row r="222" spans="1:9" x14ac:dyDescent="0.25">
      <c r="A222" s="5" t="str">
        <f>TrendSheetPrdData[[#This Row],[Population]]&amp;TrendSheetPrdData[[#This Row],[Cost Basis]]&amp;TrendSheetPrdData[[#This Row],[Period]]&amp;TrendSheetPrdData[[#This Row],[Trend]]</f>
        <v>BAYVIEW EMPLOYEEAllowed2016-09-01Drug - Generic Utilization Cost</v>
      </c>
      <c r="B222" t="s">
        <v>127</v>
      </c>
      <c r="C222" t="s">
        <v>127</v>
      </c>
      <c r="D222" t="s">
        <v>91</v>
      </c>
      <c r="E222" s="1" t="s">
        <v>99</v>
      </c>
      <c r="F222" t="s">
        <v>93</v>
      </c>
      <c r="G222" t="s">
        <v>26</v>
      </c>
      <c r="H222">
        <v>15</v>
      </c>
      <c r="I222">
        <v>142549</v>
      </c>
    </row>
    <row r="223" spans="1:9" x14ac:dyDescent="0.25">
      <c r="A223" s="5" t="str">
        <f>TrendSheetPrdData[[#This Row],[Population]]&amp;TrendSheetPrdData[[#This Row],[Cost Basis]]&amp;TrendSheetPrdData[[#This Row],[Period]]&amp;TrendSheetPrdData[[#This Row],[Trend]]</f>
        <v>BAYVIEW EMPLOYEEAllowed2016-10-01Drug - Generic Utilization Cost</v>
      </c>
      <c r="B223" t="s">
        <v>127</v>
      </c>
      <c r="C223" t="s">
        <v>127</v>
      </c>
      <c r="D223" t="s">
        <v>91</v>
      </c>
      <c r="E223" s="1" t="s">
        <v>100</v>
      </c>
      <c r="F223" t="s">
        <v>93</v>
      </c>
      <c r="G223" t="s">
        <v>26</v>
      </c>
      <c r="H223">
        <v>15</v>
      </c>
      <c r="I223">
        <v>153631</v>
      </c>
    </row>
    <row r="224" spans="1:9" x14ac:dyDescent="0.25">
      <c r="A224" s="5" t="str">
        <f>TrendSheetPrdData[[#This Row],[Population]]&amp;TrendSheetPrdData[[#This Row],[Cost Basis]]&amp;TrendSheetPrdData[[#This Row],[Period]]&amp;TrendSheetPrdData[[#This Row],[Trend]]</f>
        <v>BAYVIEW EMPLOYEEAllowed2016-11-01Drug - Generic Utilization Cost</v>
      </c>
      <c r="B224" t="s">
        <v>127</v>
      </c>
      <c r="C224" t="s">
        <v>127</v>
      </c>
      <c r="D224" t="s">
        <v>91</v>
      </c>
      <c r="E224" s="1" t="s">
        <v>101</v>
      </c>
      <c r="F224" t="s">
        <v>106</v>
      </c>
      <c r="G224" t="s">
        <v>26</v>
      </c>
      <c r="H224">
        <v>15</v>
      </c>
      <c r="I224">
        <v>134213</v>
      </c>
    </row>
    <row r="225" spans="1:9" x14ac:dyDescent="0.25">
      <c r="A225" s="5" t="str">
        <f>TrendSheetPrdData[[#This Row],[Population]]&amp;TrendSheetPrdData[[#This Row],[Cost Basis]]&amp;TrendSheetPrdData[[#This Row],[Period]]&amp;TrendSheetPrdData[[#This Row],[Trend]]</f>
        <v>BAYVIEW EMPLOYEEAllowed2016-12-01Drug - Generic Utilization Cost</v>
      </c>
      <c r="B225" t="s">
        <v>127</v>
      </c>
      <c r="C225" t="s">
        <v>127</v>
      </c>
      <c r="D225" t="s">
        <v>91</v>
      </c>
      <c r="E225" s="1" t="s">
        <v>102</v>
      </c>
      <c r="F225" t="s">
        <v>106</v>
      </c>
      <c r="G225" t="s">
        <v>26</v>
      </c>
      <c r="H225">
        <v>15</v>
      </c>
      <c r="I225">
        <v>126093</v>
      </c>
    </row>
    <row r="226" spans="1:9" x14ac:dyDescent="0.25">
      <c r="A226" s="5" t="str">
        <f>TrendSheetPrdData[[#This Row],[Population]]&amp;TrendSheetPrdData[[#This Row],[Cost Basis]]&amp;TrendSheetPrdData[[#This Row],[Period]]&amp;TrendSheetPrdData[[#This Row],[Trend]]</f>
        <v>BAYVIEW EMPLOYEEAllowed2017-01-01Drug - Generic Utilization Cost</v>
      </c>
      <c r="B226" t="s">
        <v>127</v>
      </c>
      <c r="C226" t="s">
        <v>127</v>
      </c>
      <c r="D226" t="s">
        <v>91</v>
      </c>
      <c r="E226" s="1" t="s">
        <v>103</v>
      </c>
      <c r="F226" t="s">
        <v>106</v>
      </c>
      <c r="G226" t="s">
        <v>26</v>
      </c>
      <c r="H226">
        <v>15</v>
      </c>
      <c r="I226">
        <v>72562</v>
      </c>
    </row>
    <row r="227" spans="1:9" x14ac:dyDescent="0.25">
      <c r="A227" s="5" t="str">
        <f>TrendSheetPrdData[[#This Row],[Population]]&amp;TrendSheetPrdData[[#This Row],[Cost Basis]]&amp;TrendSheetPrdData[[#This Row],[Period]]&amp;TrendSheetPrdData[[#This Row],[Trend]]</f>
        <v>BAYVIEW EMPLOYEEAllowed2015-11-01Drug - Generic Utilization</v>
      </c>
      <c r="B227" t="s">
        <v>127</v>
      </c>
      <c r="C227" t="s">
        <v>127</v>
      </c>
      <c r="D227" t="s">
        <v>91</v>
      </c>
      <c r="E227" s="1" t="s">
        <v>130</v>
      </c>
      <c r="F227" t="s">
        <v>93</v>
      </c>
      <c r="G227" t="s">
        <v>27</v>
      </c>
      <c r="H227">
        <v>16</v>
      </c>
      <c r="I227">
        <v>0.85</v>
      </c>
    </row>
    <row r="228" spans="1:9" x14ac:dyDescent="0.25">
      <c r="A228" s="5" t="str">
        <f>TrendSheetPrdData[[#This Row],[Population]]&amp;TrendSheetPrdData[[#This Row],[Cost Basis]]&amp;TrendSheetPrdData[[#This Row],[Period]]&amp;TrendSheetPrdData[[#This Row],[Trend]]</f>
        <v>BAYVIEW EMPLOYEEAllowed2015-12-01Drug - Generic Utilization</v>
      </c>
      <c r="B228" t="s">
        <v>127</v>
      </c>
      <c r="C228" t="s">
        <v>127</v>
      </c>
      <c r="D228" t="s">
        <v>91</v>
      </c>
      <c r="E228" s="1" t="s">
        <v>131</v>
      </c>
      <c r="F228" t="s">
        <v>93</v>
      </c>
      <c r="G228" t="s">
        <v>27</v>
      </c>
      <c r="H228">
        <v>16</v>
      </c>
      <c r="I228">
        <v>0.86</v>
      </c>
    </row>
    <row r="229" spans="1:9" x14ac:dyDescent="0.25">
      <c r="A229" s="5" t="str">
        <f>TrendSheetPrdData[[#This Row],[Population]]&amp;TrendSheetPrdData[[#This Row],[Cost Basis]]&amp;TrendSheetPrdData[[#This Row],[Period]]&amp;TrendSheetPrdData[[#This Row],[Trend]]</f>
        <v>BAYVIEW EMPLOYEEAllowed2016-01-01Drug - Generic Utilization</v>
      </c>
      <c r="B229" t="s">
        <v>127</v>
      </c>
      <c r="C229" t="s">
        <v>127</v>
      </c>
      <c r="D229" t="s">
        <v>91</v>
      </c>
      <c r="E229" s="1" t="s">
        <v>132</v>
      </c>
      <c r="F229" t="s">
        <v>93</v>
      </c>
      <c r="G229" t="s">
        <v>27</v>
      </c>
      <c r="H229">
        <v>16</v>
      </c>
      <c r="I229">
        <v>0.79</v>
      </c>
    </row>
    <row r="230" spans="1:9" x14ac:dyDescent="0.25">
      <c r="A230" s="5" t="str">
        <f>TrendSheetPrdData[[#This Row],[Population]]&amp;TrendSheetPrdData[[#This Row],[Cost Basis]]&amp;TrendSheetPrdData[[#This Row],[Period]]&amp;TrendSheetPrdData[[#This Row],[Trend]]</f>
        <v>BAYVIEW EMPLOYEEAllowed2016-02-01Drug - Generic Utilization</v>
      </c>
      <c r="B230" t="s">
        <v>127</v>
      </c>
      <c r="C230" t="s">
        <v>127</v>
      </c>
      <c r="D230" t="s">
        <v>91</v>
      </c>
      <c r="E230" s="1" t="s">
        <v>133</v>
      </c>
      <c r="F230" t="s">
        <v>93</v>
      </c>
      <c r="G230" t="s">
        <v>27</v>
      </c>
      <c r="H230">
        <v>16</v>
      </c>
      <c r="I230">
        <v>0.81</v>
      </c>
    </row>
    <row r="231" spans="1:9" x14ac:dyDescent="0.25">
      <c r="A231" s="5" t="str">
        <f>TrendSheetPrdData[[#This Row],[Population]]&amp;TrendSheetPrdData[[#This Row],[Cost Basis]]&amp;TrendSheetPrdData[[#This Row],[Period]]&amp;TrendSheetPrdData[[#This Row],[Trend]]</f>
        <v>BAYVIEW EMPLOYEEAllowed2016-03-01Drug - Generic Utilization</v>
      </c>
      <c r="B231" t="s">
        <v>127</v>
      </c>
      <c r="C231" t="s">
        <v>127</v>
      </c>
      <c r="D231" t="s">
        <v>91</v>
      </c>
      <c r="E231" s="1" t="s">
        <v>92</v>
      </c>
      <c r="F231" t="s">
        <v>93</v>
      </c>
      <c r="G231" t="s">
        <v>27</v>
      </c>
      <c r="H231">
        <v>16</v>
      </c>
      <c r="I231">
        <v>0.69</v>
      </c>
    </row>
    <row r="232" spans="1:9" x14ac:dyDescent="0.25">
      <c r="A232" s="5" t="str">
        <f>TrendSheetPrdData[[#This Row],[Population]]&amp;TrendSheetPrdData[[#This Row],[Cost Basis]]&amp;TrendSheetPrdData[[#This Row],[Period]]&amp;TrendSheetPrdData[[#This Row],[Trend]]</f>
        <v>BAYVIEW EMPLOYEEAllowed2016-04-01Drug - Generic Utilization</v>
      </c>
      <c r="B232" t="s">
        <v>127</v>
      </c>
      <c r="C232" t="s">
        <v>127</v>
      </c>
      <c r="D232" t="s">
        <v>91</v>
      </c>
      <c r="E232" s="1" t="s">
        <v>94</v>
      </c>
      <c r="F232" t="s">
        <v>93</v>
      </c>
      <c r="G232" t="s">
        <v>27</v>
      </c>
      <c r="H232">
        <v>16</v>
      </c>
      <c r="I232">
        <v>0.74</v>
      </c>
    </row>
    <row r="233" spans="1:9" x14ac:dyDescent="0.25">
      <c r="A233" s="5" t="str">
        <f>TrendSheetPrdData[[#This Row],[Population]]&amp;TrendSheetPrdData[[#This Row],[Cost Basis]]&amp;TrendSheetPrdData[[#This Row],[Period]]&amp;TrendSheetPrdData[[#This Row],[Trend]]</f>
        <v>BAYVIEW EMPLOYEEAllowed2016-05-01Drug - Generic Utilization</v>
      </c>
      <c r="B233" t="s">
        <v>127</v>
      </c>
      <c r="C233" t="s">
        <v>127</v>
      </c>
      <c r="D233" t="s">
        <v>91</v>
      </c>
      <c r="E233" s="1" t="s">
        <v>95</v>
      </c>
      <c r="F233" t="s">
        <v>93</v>
      </c>
      <c r="G233" t="s">
        <v>27</v>
      </c>
      <c r="H233">
        <v>16</v>
      </c>
      <c r="I233">
        <v>0.82</v>
      </c>
    </row>
    <row r="234" spans="1:9" x14ac:dyDescent="0.25">
      <c r="A234" s="5" t="str">
        <f>TrendSheetPrdData[[#This Row],[Population]]&amp;TrendSheetPrdData[[#This Row],[Cost Basis]]&amp;TrendSheetPrdData[[#This Row],[Period]]&amp;TrendSheetPrdData[[#This Row],[Trend]]</f>
        <v>BAYVIEW EMPLOYEEAllowed2016-06-01Drug - Generic Utilization</v>
      </c>
      <c r="B234" t="s">
        <v>127</v>
      </c>
      <c r="C234" t="s">
        <v>127</v>
      </c>
      <c r="D234" t="s">
        <v>91</v>
      </c>
      <c r="E234" s="1" t="s">
        <v>96</v>
      </c>
      <c r="F234" t="s">
        <v>93</v>
      </c>
      <c r="G234" t="s">
        <v>27</v>
      </c>
      <c r="H234">
        <v>16</v>
      </c>
      <c r="I234">
        <v>0.74</v>
      </c>
    </row>
    <row r="235" spans="1:9" x14ac:dyDescent="0.25">
      <c r="A235" s="5" t="str">
        <f>TrendSheetPrdData[[#This Row],[Population]]&amp;TrendSheetPrdData[[#This Row],[Cost Basis]]&amp;TrendSheetPrdData[[#This Row],[Period]]&amp;TrendSheetPrdData[[#This Row],[Trend]]</f>
        <v>BAYVIEW EMPLOYEEAllowed2016-07-01Drug - Generic Utilization</v>
      </c>
      <c r="B235" t="s">
        <v>127</v>
      </c>
      <c r="C235" t="s">
        <v>127</v>
      </c>
      <c r="D235" t="s">
        <v>91</v>
      </c>
      <c r="E235" s="1" t="s">
        <v>97</v>
      </c>
      <c r="F235" t="s">
        <v>93</v>
      </c>
      <c r="G235" t="s">
        <v>27</v>
      </c>
      <c r="H235">
        <v>16</v>
      </c>
      <c r="I235">
        <v>0.85</v>
      </c>
    </row>
    <row r="236" spans="1:9" x14ac:dyDescent="0.25">
      <c r="A236" s="5" t="str">
        <f>TrendSheetPrdData[[#This Row],[Population]]&amp;TrendSheetPrdData[[#This Row],[Cost Basis]]&amp;TrendSheetPrdData[[#This Row],[Period]]&amp;TrendSheetPrdData[[#This Row],[Trend]]</f>
        <v>BAYVIEW EMPLOYEEAllowed2016-08-01Drug - Generic Utilization</v>
      </c>
      <c r="B236" t="s">
        <v>127</v>
      </c>
      <c r="C236" t="s">
        <v>127</v>
      </c>
      <c r="D236" t="s">
        <v>91</v>
      </c>
      <c r="E236" s="1" t="s">
        <v>98</v>
      </c>
      <c r="F236" t="s">
        <v>93</v>
      </c>
      <c r="G236" t="s">
        <v>27</v>
      </c>
      <c r="H236">
        <v>16</v>
      </c>
      <c r="I236">
        <v>0.85</v>
      </c>
    </row>
    <row r="237" spans="1:9" x14ac:dyDescent="0.25">
      <c r="A237" s="5" t="str">
        <f>TrendSheetPrdData[[#This Row],[Population]]&amp;TrendSheetPrdData[[#This Row],[Cost Basis]]&amp;TrendSheetPrdData[[#This Row],[Period]]&amp;TrendSheetPrdData[[#This Row],[Trend]]</f>
        <v>BAYVIEW EMPLOYEEAllowed2016-09-01Drug - Generic Utilization</v>
      </c>
      <c r="B237" t="s">
        <v>127</v>
      </c>
      <c r="C237" t="s">
        <v>127</v>
      </c>
      <c r="D237" t="s">
        <v>91</v>
      </c>
      <c r="E237" s="1" t="s">
        <v>99</v>
      </c>
      <c r="F237" t="s">
        <v>93</v>
      </c>
      <c r="G237" t="s">
        <v>27</v>
      </c>
      <c r="H237">
        <v>16</v>
      </c>
      <c r="I237">
        <v>0.79</v>
      </c>
    </row>
    <row r="238" spans="1:9" x14ac:dyDescent="0.25">
      <c r="A238" s="5" t="str">
        <f>TrendSheetPrdData[[#This Row],[Population]]&amp;TrendSheetPrdData[[#This Row],[Cost Basis]]&amp;TrendSheetPrdData[[#This Row],[Period]]&amp;TrendSheetPrdData[[#This Row],[Trend]]</f>
        <v>BAYVIEW EMPLOYEEAllowed2016-10-01Drug - Generic Utilization</v>
      </c>
      <c r="B238" t="s">
        <v>127</v>
      </c>
      <c r="C238" t="s">
        <v>127</v>
      </c>
      <c r="D238" t="s">
        <v>91</v>
      </c>
      <c r="E238" s="1" t="s">
        <v>100</v>
      </c>
      <c r="F238" t="s">
        <v>93</v>
      </c>
      <c r="G238" t="s">
        <v>27</v>
      </c>
      <c r="H238">
        <v>16</v>
      </c>
      <c r="I238">
        <v>0.82</v>
      </c>
    </row>
    <row r="239" spans="1:9" x14ac:dyDescent="0.25">
      <c r="A239" s="5" t="str">
        <f>TrendSheetPrdData[[#This Row],[Population]]&amp;TrendSheetPrdData[[#This Row],[Cost Basis]]&amp;TrendSheetPrdData[[#This Row],[Period]]&amp;TrendSheetPrdData[[#This Row],[Trend]]</f>
        <v>BAYVIEW EMPLOYEEAllowed2016-11-01Drug - Generic Utilization</v>
      </c>
      <c r="B239" t="s">
        <v>127</v>
      </c>
      <c r="C239" t="s">
        <v>127</v>
      </c>
      <c r="D239" t="s">
        <v>91</v>
      </c>
      <c r="E239" s="1" t="s">
        <v>101</v>
      </c>
      <c r="F239" t="s">
        <v>106</v>
      </c>
      <c r="G239" t="s">
        <v>27</v>
      </c>
      <c r="H239">
        <v>16</v>
      </c>
      <c r="I239">
        <v>0.79</v>
      </c>
    </row>
    <row r="240" spans="1:9" x14ac:dyDescent="0.25">
      <c r="A240" s="5" t="str">
        <f>TrendSheetPrdData[[#This Row],[Population]]&amp;TrendSheetPrdData[[#This Row],[Cost Basis]]&amp;TrendSheetPrdData[[#This Row],[Period]]&amp;TrendSheetPrdData[[#This Row],[Trend]]</f>
        <v>BAYVIEW EMPLOYEEAllowed2016-12-01Drug - Generic Utilization</v>
      </c>
      <c r="B240" t="s">
        <v>127</v>
      </c>
      <c r="C240" t="s">
        <v>127</v>
      </c>
      <c r="D240" t="s">
        <v>91</v>
      </c>
      <c r="E240" s="1" t="s">
        <v>102</v>
      </c>
      <c r="F240" t="s">
        <v>106</v>
      </c>
      <c r="G240" t="s">
        <v>27</v>
      </c>
      <c r="H240">
        <v>16</v>
      </c>
      <c r="I240">
        <v>0.87</v>
      </c>
    </row>
    <row r="241" spans="1:9" x14ac:dyDescent="0.25">
      <c r="A241" s="5" t="str">
        <f>TrendSheetPrdData[[#This Row],[Population]]&amp;TrendSheetPrdData[[#This Row],[Cost Basis]]&amp;TrendSheetPrdData[[#This Row],[Period]]&amp;TrendSheetPrdData[[#This Row],[Trend]]</f>
        <v>BAYVIEW EMPLOYEEAllowed2017-01-01Drug - Generic Utilization</v>
      </c>
      <c r="B241" t="s">
        <v>127</v>
      </c>
      <c r="C241" t="s">
        <v>127</v>
      </c>
      <c r="D241" t="s">
        <v>91</v>
      </c>
      <c r="E241" s="1" t="s">
        <v>103</v>
      </c>
      <c r="F241" t="s">
        <v>106</v>
      </c>
      <c r="G241" t="s">
        <v>27</v>
      </c>
      <c r="H241">
        <v>16</v>
      </c>
      <c r="I241">
        <v>0.76</v>
      </c>
    </row>
    <row r="242" spans="1:9" x14ac:dyDescent="0.25">
      <c r="A242" s="5" t="str">
        <f>TrendSheetPrdData[[#This Row],[Population]]&amp;TrendSheetPrdData[[#This Row],[Cost Basis]]&amp;TrendSheetPrdData[[#This Row],[Period]]&amp;TrendSheetPrdData[[#This Row],[Trend]]</f>
        <v>BAYVIEW EMPLOYEEAllowed2015-11-01Chronic Disease Management - Cost</v>
      </c>
      <c r="B242" t="s">
        <v>127</v>
      </c>
      <c r="C242" t="s">
        <v>127</v>
      </c>
      <c r="D242" t="s">
        <v>91</v>
      </c>
      <c r="E242" s="1" t="s">
        <v>130</v>
      </c>
      <c r="F242" t="s">
        <v>93</v>
      </c>
      <c r="G242" t="s">
        <v>28</v>
      </c>
      <c r="H242">
        <v>17</v>
      </c>
      <c r="I242">
        <v>264991</v>
      </c>
    </row>
    <row r="243" spans="1:9" x14ac:dyDescent="0.25">
      <c r="A243" s="5" t="str">
        <f>TrendSheetPrdData[[#This Row],[Population]]&amp;TrendSheetPrdData[[#This Row],[Cost Basis]]&amp;TrendSheetPrdData[[#This Row],[Period]]&amp;TrendSheetPrdData[[#This Row],[Trend]]</f>
        <v>BAYVIEW EMPLOYEEAllowed2015-12-01Chronic Disease Management - Cost</v>
      </c>
      <c r="B243" t="s">
        <v>127</v>
      </c>
      <c r="C243" t="s">
        <v>127</v>
      </c>
      <c r="D243" t="s">
        <v>91</v>
      </c>
      <c r="E243" s="1" t="s">
        <v>131</v>
      </c>
      <c r="F243" t="s">
        <v>93</v>
      </c>
      <c r="G243" t="s">
        <v>28</v>
      </c>
      <c r="H243">
        <v>17</v>
      </c>
      <c r="I243">
        <v>341734</v>
      </c>
    </row>
    <row r="244" spans="1:9" x14ac:dyDescent="0.25">
      <c r="A244" s="5" t="str">
        <f>TrendSheetPrdData[[#This Row],[Population]]&amp;TrendSheetPrdData[[#This Row],[Cost Basis]]&amp;TrendSheetPrdData[[#This Row],[Period]]&amp;TrendSheetPrdData[[#This Row],[Trend]]</f>
        <v>BAYVIEW EMPLOYEEAllowed2016-01-01Chronic Disease Management - Cost</v>
      </c>
      <c r="B244" t="s">
        <v>127</v>
      </c>
      <c r="C244" t="s">
        <v>127</v>
      </c>
      <c r="D244" t="s">
        <v>91</v>
      </c>
      <c r="E244" s="1" t="s">
        <v>132</v>
      </c>
      <c r="F244" t="s">
        <v>93</v>
      </c>
      <c r="G244" t="s">
        <v>28</v>
      </c>
      <c r="H244">
        <v>17</v>
      </c>
      <c r="I244">
        <v>120153</v>
      </c>
    </row>
    <row r="245" spans="1:9" x14ac:dyDescent="0.25">
      <c r="A245" s="5" t="str">
        <f>TrendSheetPrdData[[#This Row],[Population]]&amp;TrendSheetPrdData[[#This Row],[Cost Basis]]&amp;TrendSheetPrdData[[#This Row],[Period]]&amp;TrendSheetPrdData[[#This Row],[Trend]]</f>
        <v>BAYVIEW EMPLOYEEAllowed2016-02-01Chronic Disease Management - Cost</v>
      </c>
      <c r="B245" t="s">
        <v>127</v>
      </c>
      <c r="C245" t="s">
        <v>127</v>
      </c>
      <c r="D245" t="s">
        <v>91</v>
      </c>
      <c r="E245" s="1" t="s">
        <v>133</v>
      </c>
      <c r="F245" t="s">
        <v>93</v>
      </c>
      <c r="G245" t="s">
        <v>28</v>
      </c>
      <c r="H245">
        <v>17</v>
      </c>
      <c r="I245">
        <v>151814</v>
      </c>
    </row>
    <row r="246" spans="1:9" x14ac:dyDescent="0.25">
      <c r="A246" s="5" t="str">
        <f>TrendSheetPrdData[[#This Row],[Population]]&amp;TrendSheetPrdData[[#This Row],[Cost Basis]]&amp;TrendSheetPrdData[[#This Row],[Period]]&amp;TrendSheetPrdData[[#This Row],[Trend]]</f>
        <v>BAYVIEW EMPLOYEEAllowed2016-03-01Chronic Disease Management - Cost</v>
      </c>
      <c r="B246" t="s">
        <v>127</v>
      </c>
      <c r="C246" t="s">
        <v>127</v>
      </c>
      <c r="D246" t="s">
        <v>91</v>
      </c>
      <c r="E246" s="1" t="s">
        <v>92</v>
      </c>
      <c r="F246" t="s">
        <v>93</v>
      </c>
      <c r="G246" t="s">
        <v>28</v>
      </c>
      <c r="H246">
        <v>17</v>
      </c>
      <c r="I246">
        <v>424026</v>
      </c>
    </row>
    <row r="247" spans="1:9" x14ac:dyDescent="0.25">
      <c r="A247" s="5" t="str">
        <f>TrendSheetPrdData[[#This Row],[Population]]&amp;TrendSheetPrdData[[#This Row],[Cost Basis]]&amp;TrendSheetPrdData[[#This Row],[Period]]&amp;TrendSheetPrdData[[#This Row],[Trend]]</f>
        <v>BAYVIEW EMPLOYEEAllowed2016-04-01Chronic Disease Management - Cost</v>
      </c>
      <c r="B247" t="s">
        <v>127</v>
      </c>
      <c r="C247" t="s">
        <v>127</v>
      </c>
      <c r="D247" t="s">
        <v>91</v>
      </c>
      <c r="E247" s="1" t="s">
        <v>94</v>
      </c>
      <c r="F247" t="s">
        <v>93</v>
      </c>
      <c r="G247" t="s">
        <v>28</v>
      </c>
      <c r="H247">
        <v>17</v>
      </c>
      <c r="I247">
        <v>241638</v>
      </c>
    </row>
    <row r="248" spans="1:9" x14ac:dyDescent="0.25">
      <c r="A248" s="5" t="str">
        <f>TrendSheetPrdData[[#This Row],[Population]]&amp;TrendSheetPrdData[[#This Row],[Cost Basis]]&amp;TrendSheetPrdData[[#This Row],[Period]]&amp;TrendSheetPrdData[[#This Row],[Trend]]</f>
        <v>BAYVIEW EMPLOYEEAllowed2016-05-01Chronic Disease Management - Cost</v>
      </c>
      <c r="B248" t="s">
        <v>127</v>
      </c>
      <c r="C248" t="s">
        <v>127</v>
      </c>
      <c r="D248" t="s">
        <v>91</v>
      </c>
      <c r="E248" s="1" t="s">
        <v>95</v>
      </c>
      <c r="F248" t="s">
        <v>93</v>
      </c>
      <c r="G248" t="s">
        <v>28</v>
      </c>
      <c r="H248">
        <v>17</v>
      </c>
      <c r="I248">
        <v>431131</v>
      </c>
    </row>
    <row r="249" spans="1:9" x14ac:dyDescent="0.25">
      <c r="A249" s="5" t="str">
        <f>TrendSheetPrdData[[#This Row],[Population]]&amp;TrendSheetPrdData[[#This Row],[Cost Basis]]&amp;TrendSheetPrdData[[#This Row],[Period]]&amp;TrendSheetPrdData[[#This Row],[Trend]]</f>
        <v>BAYVIEW EMPLOYEEAllowed2016-06-01Chronic Disease Management - Cost</v>
      </c>
      <c r="B249" t="s">
        <v>127</v>
      </c>
      <c r="C249" t="s">
        <v>127</v>
      </c>
      <c r="D249" t="s">
        <v>91</v>
      </c>
      <c r="E249" s="1" t="s">
        <v>96</v>
      </c>
      <c r="F249" t="s">
        <v>93</v>
      </c>
      <c r="G249" t="s">
        <v>28</v>
      </c>
      <c r="H249">
        <v>17</v>
      </c>
      <c r="I249">
        <v>222794</v>
      </c>
    </row>
    <row r="250" spans="1:9" x14ac:dyDescent="0.25">
      <c r="A250" s="5" t="str">
        <f>TrendSheetPrdData[[#This Row],[Population]]&amp;TrendSheetPrdData[[#This Row],[Cost Basis]]&amp;TrendSheetPrdData[[#This Row],[Period]]&amp;TrendSheetPrdData[[#This Row],[Trend]]</f>
        <v>BAYVIEW EMPLOYEEAllowed2016-07-01Chronic Disease Management - Cost</v>
      </c>
      <c r="B250" t="s">
        <v>127</v>
      </c>
      <c r="C250" t="s">
        <v>127</v>
      </c>
      <c r="D250" t="s">
        <v>91</v>
      </c>
      <c r="E250" s="1" t="s">
        <v>97</v>
      </c>
      <c r="F250" t="s">
        <v>93</v>
      </c>
      <c r="G250" t="s">
        <v>28</v>
      </c>
      <c r="H250">
        <v>17</v>
      </c>
      <c r="I250">
        <v>166915</v>
      </c>
    </row>
    <row r="251" spans="1:9" x14ac:dyDescent="0.25">
      <c r="A251" s="5" t="str">
        <f>TrendSheetPrdData[[#This Row],[Population]]&amp;TrendSheetPrdData[[#This Row],[Cost Basis]]&amp;TrendSheetPrdData[[#This Row],[Period]]&amp;TrendSheetPrdData[[#This Row],[Trend]]</f>
        <v>BAYVIEW EMPLOYEEAllowed2016-08-01Chronic Disease Management - Cost</v>
      </c>
      <c r="B251" t="s">
        <v>127</v>
      </c>
      <c r="C251" t="s">
        <v>127</v>
      </c>
      <c r="D251" t="s">
        <v>91</v>
      </c>
      <c r="E251" s="1" t="s">
        <v>98</v>
      </c>
      <c r="F251" t="s">
        <v>93</v>
      </c>
      <c r="G251" t="s">
        <v>28</v>
      </c>
      <c r="H251">
        <v>17</v>
      </c>
      <c r="I251">
        <v>251145</v>
      </c>
    </row>
    <row r="252" spans="1:9" x14ac:dyDescent="0.25">
      <c r="A252" s="5" t="str">
        <f>TrendSheetPrdData[[#This Row],[Population]]&amp;TrendSheetPrdData[[#This Row],[Cost Basis]]&amp;TrendSheetPrdData[[#This Row],[Period]]&amp;TrendSheetPrdData[[#This Row],[Trend]]</f>
        <v>BAYVIEW EMPLOYEEAllowed2016-09-01Chronic Disease Management - Cost</v>
      </c>
      <c r="B252" t="s">
        <v>127</v>
      </c>
      <c r="C252" t="s">
        <v>127</v>
      </c>
      <c r="D252" t="s">
        <v>91</v>
      </c>
      <c r="E252" s="1" t="s">
        <v>99</v>
      </c>
      <c r="F252" t="s">
        <v>93</v>
      </c>
      <c r="G252" t="s">
        <v>28</v>
      </c>
      <c r="H252">
        <v>17</v>
      </c>
      <c r="I252">
        <v>324854</v>
      </c>
    </row>
    <row r="253" spans="1:9" x14ac:dyDescent="0.25">
      <c r="A253" s="5" t="str">
        <f>TrendSheetPrdData[[#This Row],[Population]]&amp;TrendSheetPrdData[[#This Row],[Cost Basis]]&amp;TrendSheetPrdData[[#This Row],[Period]]&amp;TrendSheetPrdData[[#This Row],[Trend]]</f>
        <v>BAYVIEW EMPLOYEEAllowed2016-10-01Chronic Disease Management - Cost</v>
      </c>
      <c r="B253" t="s">
        <v>127</v>
      </c>
      <c r="C253" t="s">
        <v>127</v>
      </c>
      <c r="D253" t="s">
        <v>91</v>
      </c>
      <c r="E253" s="1" t="s">
        <v>100</v>
      </c>
      <c r="F253" t="s">
        <v>93</v>
      </c>
      <c r="G253" t="s">
        <v>28</v>
      </c>
      <c r="H253">
        <v>17</v>
      </c>
      <c r="I253">
        <v>410345</v>
      </c>
    </row>
    <row r="254" spans="1:9" x14ac:dyDescent="0.25">
      <c r="A254" s="5" t="str">
        <f>TrendSheetPrdData[[#This Row],[Population]]&amp;TrendSheetPrdData[[#This Row],[Cost Basis]]&amp;TrendSheetPrdData[[#This Row],[Period]]&amp;TrendSheetPrdData[[#This Row],[Trend]]</f>
        <v>BAYVIEW EMPLOYEEAllowed2016-11-01Chronic Disease Management - Cost</v>
      </c>
      <c r="B254" t="s">
        <v>127</v>
      </c>
      <c r="C254" t="s">
        <v>127</v>
      </c>
      <c r="D254" t="s">
        <v>91</v>
      </c>
      <c r="E254" s="1" t="s">
        <v>101</v>
      </c>
      <c r="F254" t="s">
        <v>106</v>
      </c>
      <c r="G254" t="s">
        <v>28</v>
      </c>
      <c r="H254">
        <v>17</v>
      </c>
      <c r="I254">
        <v>199950</v>
      </c>
    </row>
    <row r="255" spans="1:9" x14ac:dyDescent="0.25">
      <c r="A255" s="5" t="str">
        <f>TrendSheetPrdData[[#This Row],[Population]]&amp;TrendSheetPrdData[[#This Row],[Cost Basis]]&amp;TrendSheetPrdData[[#This Row],[Period]]&amp;TrendSheetPrdData[[#This Row],[Trend]]</f>
        <v>BAYVIEW EMPLOYEEAllowed2016-12-01Chronic Disease Management - Cost</v>
      </c>
      <c r="B255" t="s">
        <v>127</v>
      </c>
      <c r="C255" t="s">
        <v>127</v>
      </c>
      <c r="D255" t="s">
        <v>91</v>
      </c>
      <c r="E255" s="1" t="s">
        <v>102</v>
      </c>
      <c r="F255" t="s">
        <v>106</v>
      </c>
      <c r="G255" t="s">
        <v>28</v>
      </c>
      <c r="H255">
        <v>17</v>
      </c>
      <c r="I255">
        <v>244650</v>
      </c>
    </row>
    <row r="256" spans="1:9" x14ac:dyDescent="0.25">
      <c r="A256" s="5" t="str">
        <f>TrendSheetPrdData[[#This Row],[Population]]&amp;TrendSheetPrdData[[#This Row],[Cost Basis]]&amp;TrendSheetPrdData[[#This Row],[Period]]&amp;TrendSheetPrdData[[#This Row],[Trend]]</f>
        <v>BAYVIEW EMPLOYEEAllowed2017-01-01Chronic Disease Management - Cost</v>
      </c>
      <c r="B256" t="s">
        <v>127</v>
      </c>
      <c r="C256" t="s">
        <v>127</v>
      </c>
      <c r="D256" t="s">
        <v>91</v>
      </c>
      <c r="E256" s="1" t="s">
        <v>103</v>
      </c>
      <c r="F256" t="s">
        <v>106</v>
      </c>
      <c r="G256" t="s">
        <v>28</v>
      </c>
      <c r="H256">
        <v>17</v>
      </c>
      <c r="I256">
        <v>140845</v>
      </c>
    </row>
    <row r="257" spans="1:9" x14ac:dyDescent="0.25">
      <c r="A257" s="5" t="str">
        <f>TrendSheetPrdData[[#This Row],[Population]]&amp;TrendSheetPrdData[[#This Row],[Cost Basis]]&amp;TrendSheetPrdData[[#This Row],[Period]]&amp;TrendSheetPrdData[[#This Row],[Trend]]</f>
        <v>BAYVIEW EMPLOYEEAllowed2015-11-01Chronic Disease Management - Members</v>
      </c>
      <c r="B257" t="s">
        <v>127</v>
      </c>
      <c r="C257" t="s">
        <v>127</v>
      </c>
      <c r="D257" t="s">
        <v>91</v>
      </c>
      <c r="E257" s="1" t="s">
        <v>130</v>
      </c>
      <c r="F257" t="s">
        <v>93</v>
      </c>
      <c r="G257" t="s">
        <v>29</v>
      </c>
      <c r="H257">
        <v>18</v>
      </c>
      <c r="I257">
        <v>333.78</v>
      </c>
    </row>
    <row r="258" spans="1:9" x14ac:dyDescent="0.25">
      <c r="A258" s="5" t="str">
        <f>TrendSheetPrdData[[#This Row],[Population]]&amp;TrendSheetPrdData[[#This Row],[Cost Basis]]&amp;TrendSheetPrdData[[#This Row],[Period]]&amp;TrendSheetPrdData[[#This Row],[Trend]]</f>
        <v>BAYVIEW EMPLOYEEAllowed2015-12-01Chronic Disease Management - Members</v>
      </c>
      <c r="B258" t="s">
        <v>127</v>
      </c>
      <c r="C258" t="s">
        <v>127</v>
      </c>
      <c r="D258" t="s">
        <v>91</v>
      </c>
      <c r="E258" s="1" t="s">
        <v>131</v>
      </c>
      <c r="F258" t="s">
        <v>93</v>
      </c>
      <c r="G258" t="s">
        <v>29</v>
      </c>
      <c r="H258">
        <v>18</v>
      </c>
      <c r="I258">
        <v>328.89</v>
      </c>
    </row>
    <row r="259" spans="1:9" x14ac:dyDescent="0.25">
      <c r="A259" s="5" t="str">
        <f>TrendSheetPrdData[[#This Row],[Population]]&amp;TrendSheetPrdData[[#This Row],[Cost Basis]]&amp;TrendSheetPrdData[[#This Row],[Period]]&amp;TrendSheetPrdData[[#This Row],[Trend]]</f>
        <v>BAYVIEW EMPLOYEEAllowed2016-01-01Chronic Disease Management - Members</v>
      </c>
      <c r="B259" t="s">
        <v>127</v>
      </c>
      <c r="C259" t="s">
        <v>127</v>
      </c>
      <c r="D259" t="s">
        <v>91</v>
      </c>
      <c r="E259" s="1" t="s">
        <v>132</v>
      </c>
      <c r="F259" t="s">
        <v>93</v>
      </c>
      <c r="G259" t="s">
        <v>29</v>
      </c>
      <c r="H259">
        <v>18</v>
      </c>
      <c r="I259">
        <v>289.35000000000002</v>
      </c>
    </row>
    <row r="260" spans="1:9" x14ac:dyDescent="0.25">
      <c r="A260" s="5" t="str">
        <f>TrendSheetPrdData[[#This Row],[Population]]&amp;TrendSheetPrdData[[#This Row],[Cost Basis]]&amp;TrendSheetPrdData[[#This Row],[Period]]&amp;TrendSheetPrdData[[#This Row],[Trend]]</f>
        <v>BAYVIEW EMPLOYEEAllowed2016-02-01Chronic Disease Management - Members</v>
      </c>
      <c r="B260" t="s">
        <v>127</v>
      </c>
      <c r="C260" t="s">
        <v>127</v>
      </c>
      <c r="D260" t="s">
        <v>91</v>
      </c>
      <c r="E260" s="1" t="s">
        <v>133</v>
      </c>
      <c r="F260" t="s">
        <v>93</v>
      </c>
      <c r="G260" t="s">
        <v>29</v>
      </c>
      <c r="H260">
        <v>18</v>
      </c>
      <c r="I260">
        <v>306.86</v>
      </c>
    </row>
    <row r="261" spans="1:9" x14ac:dyDescent="0.25">
      <c r="A261" s="5" t="str">
        <f>TrendSheetPrdData[[#This Row],[Population]]&amp;TrendSheetPrdData[[#This Row],[Cost Basis]]&amp;TrendSheetPrdData[[#This Row],[Period]]&amp;TrendSheetPrdData[[#This Row],[Trend]]</f>
        <v>BAYVIEW EMPLOYEEAllowed2016-03-01Chronic Disease Management - Members</v>
      </c>
      <c r="B261" t="s">
        <v>127</v>
      </c>
      <c r="C261" t="s">
        <v>127</v>
      </c>
      <c r="D261" t="s">
        <v>91</v>
      </c>
      <c r="E261" s="1" t="s">
        <v>92</v>
      </c>
      <c r="F261" t="s">
        <v>93</v>
      </c>
      <c r="G261" t="s">
        <v>29</v>
      </c>
      <c r="H261">
        <v>18</v>
      </c>
      <c r="I261">
        <v>314.45999999999998</v>
      </c>
    </row>
    <row r="262" spans="1:9" x14ac:dyDescent="0.25">
      <c r="A262" s="5" t="str">
        <f>TrendSheetPrdData[[#This Row],[Population]]&amp;TrendSheetPrdData[[#This Row],[Cost Basis]]&amp;TrendSheetPrdData[[#This Row],[Period]]&amp;TrendSheetPrdData[[#This Row],[Trend]]</f>
        <v>BAYVIEW EMPLOYEEAllowed2016-04-01Chronic Disease Management - Members</v>
      </c>
      <c r="B262" t="s">
        <v>127</v>
      </c>
      <c r="C262" t="s">
        <v>127</v>
      </c>
      <c r="D262" t="s">
        <v>91</v>
      </c>
      <c r="E262" s="1" t="s">
        <v>94</v>
      </c>
      <c r="F262" t="s">
        <v>93</v>
      </c>
      <c r="G262" t="s">
        <v>29</v>
      </c>
      <c r="H262">
        <v>18</v>
      </c>
      <c r="I262">
        <v>324.82</v>
      </c>
    </row>
    <row r="263" spans="1:9" x14ac:dyDescent="0.25">
      <c r="A263" s="5" t="str">
        <f>TrendSheetPrdData[[#This Row],[Population]]&amp;TrendSheetPrdData[[#This Row],[Cost Basis]]&amp;TrendSheetPrdData[[#This Row],[Period]]&amp;TrendSheetPrdData[[#This Row],[Trend]]</f>
        <v>BAYVIEW EMPLOYEEAllowed2016-05-01Chronic Disease Management - Members</v>
      </c>
      <c r="B263" t="s">
        <v>127</v>
      </c>
      <c r="C263" t="s">
        <v>127</v>
      </c>
      <c r="D263" t="s">
        <v>91</v>
      </c>
      <c r="E263" s="1" t="s">
        <v>95</v>
      </c>
      <c r="F263" t="s">
        <v>93</v>
      </c>
      <c r="G263" t="s">
        <v>29</v>
      </c>
      <c r="H263">
        <v>18</v>
      </c>
      <c r="I263">
        <v>347.14</v>
      </c>
    </row>
    <row r="264" spans="1:9" x14ac:dyDescent="0.25">
      <c r="A264" s="5" t="str">
        <f>TrendSheetPrdData[[#This Row],[Population]]&amp;TrendSheetPrdData[[#This Row],[Cost Basis]]&amp;TrendSheetPrdData[[#This Row],[Period]]&amp;TrendSheetPrdData[[#This Row],[Trend]]</f>
        <v>BAYVIEW EMPLOYEEAllowed2016-06-01Chronic Disease Management - Members</v>
      </c>
      <c r="B264" t="s">
        <v>127</v>
      </c>
      <c r="C264" t="s">
        <v>127</v>
      </c>
      <c r="D264" t="s">
        <v>91</v>
      </c>
      <c r="E264" s="1" t="s">
        <v>96</v>
      </c>
      <c r="F264" t="s">
        <v>93</v>
      </c>
      <c r="G264" t="s">
        <v>29</v>
      </c>
      <c r="H264">
        <v>18</v>
      </c>
      <c r="I264">
        <v>346.89</v>
      </c>
    </row>
    <row r="265" spans="1:9" x14ac:dyDescent="0.25">
      <c r="A265" s="5" t="str">
        <f>TrendSheetPrdData[[#This Row],[Population]]&amp;TrendSheetPrdData[[#This Row],[Cost Basis]]&amp;TrendSheetPrdData[[#This Row],[Period]]&amp;TrendSheetPrdData[[#This Row],[Trend]]</f>
        <v>BAYVIEW EMPLOYEEAllowed2016-07-01Chronic Disease Management - Members</v>
      </c>
      <c r="B265" t="s">
        <v>127</v>
      </c>
      <c r="C265" t="s">
        <v>127</v>
      </c>
      <c r="D265" t="s">
        <v>91</v>
      </c>
      <c r="E265" s="1" t="s">
        <v>97</v>
      </c>
      <c r="F265" t="s">
        <v>93</v>
      </c>
      <c r="G265" t="s">
        <v>29</v>
      </c>
      <c r="H265">
        <v>18</v>
      </c>
      <c r="I265">
        <v>351.7</v>
      </c>
    </row>
    <row r="266" spans="1:9" x14ac:dyDescent="0.25">
      <c r="A266" s="5" t="str">
        <f>TrendSheetPrdData[[#This Row],[Population]]&amp;TrendSheetPrdData[[#This Row],[Cost Basis]]&amp;TrendSheetPrdData[[#This Row],[Period]]&amp;TrendSheetPrdData[[#This Row],[Trend]]</f>
        <v>BAYVIEW EMPLOYEEAllowed2016-08-01Chronic Disease Management - Members</v>
      </c>
      <c r="B266" t="s">
        <v>127</v>
      </c>
      <c r="C266" t="s">
        <v>127</v>
      </c>
      <c r="D266" t="s">
        <v>91</v>
      </c>
      <c r="E266" s="1" t="s">
        <v>98</v>
      </c>
      <c r="F266" t="s">
        <v>93</v>
      </c>
      <c r="G266" t="s">
        <v>29</v>
      </c>
      <c r="H266">
        <v>18</v>
      </c>
      <c r="I266">
        <v>349.54</v>
      </c>
    </row>
    <row r="267" spans="1:9" x14ac:dyDescent="0.25">
      <c r="A267" s="5" t="str">
        <f>TrendSheetPrdData[[#This Row],[Population]]&amp;TrendSheetPrdData[[#This Row],[Cost Basis]]&amp;TrendSheetPrdData[[#This Row],[Period]]&amp;TrendSheetPrdData[[#This Row],[Trend]]</f>
        <v>BAYVIEW EMPLOYEEAllowed2016-09-01Chronic Disease Management - Members</v>
      </c>
      <c r="B267" t="s">
        <v>127</v>
      </c>
      <c r="C267" t="s">
        <v>127</v>
      </c>
      <c r="D267" t="s">
        <v>91</v>
      </c>
      <c r="E267" s="1" t="s">
        <v>99</v>
      </c>
      <c r="F267" t="s">
        <v>93</v>
      </c>
      <c r="G267" t="s">
        <v>29</v>
      </c>
      <c r="H267">
        <v>18</v>
      </c>
      <c r="I267">
        <v>348.81</v>
      </c>
    </row>
    <row r="268" spans="1:9" x14ac:dyDescent="0.25">
      <c r="A268" s="5" t="str">
        <f>TrendSheetPrdData[[#This Row],[Population]]&amp;TrendSheetPrdData[[#This Row],[Cost Basis]]&amp;TrendSheetPrdData[[#This Row],[Period]]&amp;TrendSheetPrdData[[#This Row],[Trend]]</f>
        <v>BAYVIEW EMPLOYEEAllowed2016-10-01Chronic Disease Management - Members</v>
      </c>
      <c r="B268" t="s">
        <v>127</v>
      </c>
      <c r="C268" t="s">
        <v>127</v>
      </c>
      <c r="D268" t="s">
        <v>91</v>
      </c>
      <c r="E268" s="1" t="s">
        <v>100</v>
      </c>
      <c r="F268" t="s">
        <v>93</v>
      </c>
      <c r="G268" t="s">
        <v>29</v>
      </c>
      <c r="H268">
        <v>18</v>
      </c>
      <c r="I268">
        <v>340.76</v>
      </c>
    </row>
    <row r="269" spans="1:9" x14ac:dyDescent="0.25">
      <c r="A269" s="5" t="str">
        <f>TrendSheetPrdData[[#This Row],[Population]]&amp;TrendSheetPrdData[[#This Row],[Cost Basis]]&amp;TrendSheetPrdData[[#This Row],[Period]]&amp;TrendSheetPrdData[[#This Row],[Trend]]</f>
        <v>BAYVIEW EMPLOYEEAllowed2016-11-01Chronic Disease Management - Members</v>
      </c>
      <c r="B269" t="s">
        <v>127</v>
      </c>
      <c r="C269" t="s">
        <v>127</v>
      </c>
      <c r="D269" t="s">
        <v>91</v>
      </c>
      <c r="E269" s="1" t="s">
        <v>101</v>
      </c>
      <c r="F269" t="s">
        <v>106</v>
      </c>
      <c r="G269" t="s">
        <v>29</v>
      </c>
      <c r="H269">
        <v>18</v>
      </c>
      <c r="I269">
        <v>345.05</v>
      </c>
    </row>
    <row r="270" spans="1:9" x14ac:dyDescent="0.25">
      <c r="A270" s="5" t="str">
        <f>TrendSheetPrdData[[#This Row],[Population]]&amp;TrendSheetPrdData[[#This Row],[Cost Basis]]&amp;TrendSheetPrdData[[#This Row],[Period]]&amp;TrendSheetPrdData[[#This Row],[Trend]]</f>
        <v>BAYVIEW EMPLOYEEAllowed2016-12-01Chronic Disease Management - Members</v>
      </c>
      <c r="B270" t="s">
        <v>127</v>
      </c>
      <c r="C270" t="s">
        <v>127</v>
      </c>
      <c r="D270" t="s">
        <v>91</v>
      </c>
      <c r="E270" s="1" t="s">
        <v>102</v>
      </c>
      <c r="F270" t="s">
        <v>106</v>
      </c>
      <c r="G270" t="s">
        <v>29</v>
      </c>
      <c r="H270">
        <v>18</v>
      </c>
      <c r="I270">
        <v>341.62</v>
      </c>
    </row>
    <row r="271" spans="1:9" x14ac:dyDescent="0.25">
      <c r="A271" s="5" t="str">
        <f>TrendSheetPrdData[[#This Row],[Population]]&amp;TrendSheetPrdData[[#This Row],[Cost Basis]]&amp;TrendSheetPrdData[[#This Row],[Period]]&amp;TrendSheetPrdData[[#This Row],[Trend]]</f>
        <v>BAYVIEW EMPLOYEEAllowed2017-01-01Chronic Disease Management - Members</v>
      </c>
      <c r="B271" t="s">
        <v>127</v>
      </c>
      <c r="C271" t="s">
        <v>127</v>
      </c>
      <c r="D271" t="s">
        <v>91</v>
      </c>
      <c r="E271" s="1" t="s">
        <v>103</v>
      </c>
      <c r="F271" t="s">
        <v>106</v>
      </c>
      <c r="G271" t="s">
        <v>29</v>
      </c>
      <c r="H271">
        <v>18</v>
      </c>
      <c r="I271">
        <v>304.87</v>
      </c>
    </row>
    <row r="272" spans="1:9" x14ac:dyDescent="0.25">
      <c r="A272" s="5" t="str">
        <f>TrendSheetPrdData[[#This Row],[Population]]&amp;TrendSheetPrdData[[#This Row],[Cost Basis]]&amp;TrendSheetPrdData[[#This Row],[Period]]&amp;TrendSheetPrdData[[#This Row],[Trend]]</f>
        <v>BAYVIEW EMPLOYEEAllowed2015-11-01Inpatient Claim Count</v>
      </c>
      <c r="B272" t="s">
        <v>127</v>
      </c>
      <c r="C272" t="s">
        <v>127</v>
      </c>
      <c r="D272" t="s">
        <v>91</v>
      </c>
      <c r="E272" s="1" t="s">
        <v>130</v>
      </c>
      <c r="F272" t="s">
        <v>93</v>
      </c>
      <c r="G272" t="s">
        <v>30</v>
      </c>
      <c r="H272">
        <v>19</v>
      </c>
      <c r="I272">
        <v>25</v>
      </c>
    </row>
    <row r="273" spans="1:9" x14ac:dyDescent="0.25">
      <c r="A273" s="5" t="str">
        <f>TrendSheetPrdData[[#This Row],[Population]]&amp;TrendSheetPrdData[[#This Row],[Cost Basis]]&amp;TrendSheetPrdData[[#This Row],[Period]]&amp;TrendSheetPrdData[[#This Row],[Trend]]</f>
        <v>BAYVIEW EMPLOYEEAllowed2015-12-01Inpatient Claim Count</v>
      </c>
      <c r="B273" t="s">
        <v>127</v>
      </c>
      <c r="C273" t="s">
        <v>127</v>
      </c>
      <c r="D273" t="s">
        <v>91</v>
      </c>
      <c r="E273" s="1" t="s">
        <v>131</v>
      </c>
      <c r="F273" t="s">
        <v>93</v>
      </c>
      <c r="G273" t="s">
        <v>30</v>
      </c>
      <c r="H273">
        <v>19</v>
      </c>
      <c r="I273">
        <v>0</v>
      </c>
    </row>
    <row r="274" spans="1:9" x14ac:dyDescent="0.25">
      <c r="A274" s="5" t="str">
        <f>TrendSheetPrdData[[#This Row],[Population]]&amp;TrendSheetPrdData[[#This Row],[Cost Basis]]&amp;TrendSheetPrdData[[#This Row],[Period]]&amp;TrendSheetPrdData[[#This Row],[Trend]]</f>
        <v>BAYVIEW EMPLOYEEAllowed2016-01-01Inpatient Claim Count</v>
      </c>
      <c r="B274" t="s">
        <v>127</v>
      </c>
      <c r="C274" t="s">
        <v>127</v>
      </c>
      <c r="D274" t="s">
        <v>91</v>
      </c>
      <c r="E274" s="1" t="s">
        <v>132</v>
      </c>
      <c r="F274" t="s">
        <v>93</v>
      </c>
      <c r="G274" t="s">
        <v>30</v>
      </c>
      <c r="H274">
        <v>19</v>
      </c>
      <c r="I274">
        <v>108</v>
      </c>
    </row>
    <row r="275" spans="1:9" x14ac:dyDescent="0.25">
      <c r="A275" s="5" t="str">
        <f>TrendSheetPrdData[[#This Row],[Population]]&amp;TrendSheetPrdData[[#This Row],[Cost Basis]]&amp;TrendSheetPrdData[[#This Row],[Period]]&amp;TrendSheetPrdData[[#This Row],[Trend]]</f>
        <v>BAYVIEW EMPLOYEEAllowed2016-02-01Inpatient Claim Count</v>
      </c>
      <c r="B275" t="s">
        <v>127</v>
      </c>
      <c r="C275" t="s">
        <v>127</v>
      </c>
      <c r="D275" t="s">
        <v>91</v>
      </c>
      <c r="E275" s="1" t="s">
        <v>133</v>
      </c>
      <c r="F275" t="s">
        <v>93</v>
      </c>
      <c r="G275" t="s">
        <v>30</v>
      </c>
      <c r="H275">
        <v>19</v>
      </c>
      <c r="I275">
        <v>0</v>
      </c>
    </row>
    <row r="276" spans="1:9" x14ac:dyDescent="0.25">
      <c r="A276" s="5" t="str">
        <f>TrendSheetPrdData[[#This Row],[Population]]&amp;TrendSheetPrdData[[#This Row],[Cost Basis]]&amp;TrendSheetPrdData[[#This Row],[Period]]&amp;TrendSheetPrdData[[#This Row],[Trend]]</f>
        <v>BAYVIEW EMPLOYEEAllowed2016-03-01Inpatient Claim Count</v>
      </c>
      <c r="B276" t="s">
        <v>127</v>
      </c>
      <c r="C276" t="s">
        <v>127</v>
      </c>
      <c r="D276" t="s">
        <v>91</v>
      </c>
      <c r="E276" s="1" t="s">
        <v>92</v>
      </c>
      <c r="F276" t="s">
        <v>93</v>
      </c>
      <c r="G276" t="s">
        <v>30</v>
      </c>
      <c r="H276">
        <v>19</v>
      </c>
      <c r="I276">
        <v>42</v>
      </c>
    </row>
    <row r="277" spans="1:9" x14ac:dyDescent="0.25">
      <c r="A277" s="5" t="str">
        <f>TrendSheetPrdData[[#This Row],[Population]]&amp;TrendSheetPrdData[[#This Row],[Cost Basis]]&amp;TrendSheetPrdData[[#This Row],[Period]]&amp;TrendSheetPrdData[[#This Row],[Trend]]</f>
        <v>BAYVIEW EMPLOYEEAllowed2016-04-01Inpatient Claim Count</v>
      </c>
      <c r="B277" t="s">
        <v>127</v>
      </c>
      <c r="C277" t="s">
        <v>127</v>
      </c>
      <c r="D277" t="s">
        <v>91</v>
      </c>
      <c r="E277" s="1" t="s">
        <v>94</v>
      </c>
      <c r="F277" t="s">
        <v>93</v>
      </c>
      <c r="G277" t="s">
        <v>30</v>
      </c>
      <c r="H277">
        <v>19</v>
      </c>
      <c r="I277">
        <v>9</v>
      </c>
    </row>
    <row r="278" spans="1:9" x14ac:dyDescent="0.25">
      <c r="A278" s="5" t="str">
        <f>TrendSheetPrdData[[#This Row],[Population]]&amp;TrendSheetPrdData[[#This Row],[Cost Basis]]&amp;TrendSheetPrdData[[#This Row],[Period]]&amp;TrendSheetPrdData[[#This Row],[Trend]]</f>
        <v>BAYVIEW EMPLOYEEAllowed2016-05-01Inpatient Claim Count</v>
      </c>
      <c r="B278" t="s">
        <v>127</v>
      </c>
      <c r="C278" t="s">
        <v>127</v>
      </c>
      <c r="D278" t="s">
        <v>91</v>
      </c>
      <c r="E278" s="1" t="s">
        <v>95</v>
      </c>
      <c r="F278" t="s">
        <v>93</v>
      </c>
      <c r="G278" t="s">
        <v>30</v>
      </c>
      <c r="H278">
        <v>19</v>
      </c>
      <c r="I278">
        <v>92</v>
      </c>
    </row>
    <row r="279" spans="1:9" x14ac:dyDescent="0.25">
      <c r="A279" s="5" t="str">
        <f>TrendSheetPrdData[[#This Row],[Population]]&amp;TrendSheetPrdData[[#This Row],[Cost Basis]]&amp;TrendSheetPrdData[[#This Row],[Period]]&amp;TrendSheetPrdData[[#This Row],[Trend]]</f>
        <v>BAYVIEW EMPLOYEEAllowed2016-06-01Inpatient Claim Count</v>
      </c>
      <c r="B279" t="s">
        <v>127</v>
      </c>
      <c r="C279" t="s">
        <v>127</v>
      </c>
      <c r="D279" t="s">
        <v>91</v>
      </c>
      <c r="E279" s="1" t="s">
        <v>96</v>
      </c>
      <c r="F279" t="s">
        <v>93</v>
      </c>
      <c r="G279" t="s">
        <v>30</v>
      </c>
      <c r="H279">
        <v>19</v>
      </c>
      <c r="I279">
        <v>85</v>
      </c>
    </row>
    <row r="280" spans="1:9" x14ac:dyDescent="0.25">
      <c r="A280" s="5" t="str">
        <f>TrendSheetPrdData[[#This Row],[Population]]&amp;TrendSheetPrdData[[#This Row],[Cost Basis]]&amp;TrendSheetPrdData[[#This Row],[Period]]&amp;TrendSheetPrdData[[#This Row],[Trend]]</f>
        <v>BAYVIEW EMPLOYEEAllowed2016-07-01Inpatient Claim Count</v>
      </c>
      <c r="B280" t="s">
        <v>127</v>
      </c>
      <c r="C280" t="s">
        <v>127</v>
      </c>
      <c r="D280" t="s">
        <v>91</v>
      </c>
      <c r="E280" s="1" t="s">
        <v>97</v>
      </c>
      <c r="F280" t="s">
        <v>93</v>
      </c>
      <c r="G280" t="s">
        <v>30</v>
      </c>
      <c r="H280">
        <v>19</v>
      </c>
      <c r="I280">
        <v>32</v>
      </c>
    </row>
    <row r="281" spans="1:9" x14ac:dyDescent="0.25">
      <c r="A281" s="5" t="str">
        <f>TrendSheetPrdData[[#This Row],[Population]]&amp;TrendSheetPrdData[[#This Row],[Cost Basis]]&amp;TrendSheetPrdData[[#This Row],[Period]]&amp;TrendSheetPrdData[[#This Row],[Trend]]</f>
        <v>BAYVIEW EMPLOYEEAllowed2016-08-01Inpatient Claim Count</v>
      </c>
      <c r="B281" t="s">
        <v>127</v>
      </c>
      <c r="C281" t="s">
        <v>127</v>
      </c>
      <c r="D281" t="s">
        <v>91</v>
      </c>
      <c r="E281" s="1" t="s">
        <v>98</v>
      </c>
      <c r="F281" t="s">
        <v>93</v>
      </c>
      <c r="G281" t="s">
        <v>30</v>
      </c>
      <c r="H281">
        <v>19</v>
      </c>
      <c r="I281">
        <v>186</v>
      </c>
    </row>
    <row r="282" spans="1:9" x14ac:dyDescent="0.25">
      <c r="A282" s="5" t="str">
        <f>TrendSheetPrdData[[#This Row],[Population]]&amp;TrendSheetPrdData[[#This Row],[Cost Basis]]&amp;TrendSheetPrdData[[#This Row],[Period]]&amp;TrendSheetPrdData[[#This Row],[Trend]]</f>
        <v>BAYVIEW EMPLOYEEAllowed2016-09-01Inpatient Claim Count</v>
      </c>
      <c r="B282" t="s">
        <v>127</v>
      </c>
      <c r="C282" t="s">
        <v>127</v>
      </c>
      <c r="D282" t="s">
        <v>91</v>
      </c>
      <c r="E282" s="1" t="s">
        <v>99</v>
      </c>
      <c r="F282" t="s">
        <v>93</v>
      </c>
      <c r="G282" t="s">
        <v>30</v>
      </c>
      <c r="H282">
        <v>19</v>
      </c>
      <c r="I282">
        <v>60</v>
      </c>
    </row>
    <row r="283" spans="1:9" x14ac:dyDescent="0.25">
      <c r="A283" s="5" t="str">
        <f>TrendSheetPrdData[[#This Row],[Population]]&amp;TrendSheetPrdData[[#This Row],[Cost Basis]]&amp;TrendSheetPrdData[[#This Row],[Period]]&amp;TrendSheetPrdData[[#This Row],[Trend]]</f>
        <v>BAYVIEW EMPLOYEEAllowed2016-10-01Inpatient Claim Count</v>
      </c>
      <c r="B283" t="s">
        <v>127</v>
      </c>
      <c r="C283" t="s">
        <v>127</v>
      </c>
      <c r="D283" t="s">
        <v>91</v>
      </c>
      <c r="E283" s="1" t="s">
        <v>100</v>
      </c>
      <c r="F283" t="s">
        <v>93</v>
      </c>
      <c r="G283" t="s">
        <v>30</v>
      </c>
      <c r="H283">
        <v>19</v>
      </c>
      <c r="I283">
        <v>128</v>
      </c>
    </row>
    <row r="284" spans="1:9" x14ac:dyDescent="0.25">
      <c r="A284" s="5" t="str">
        <f>TrendSheetPrdData[[#This Row],[Population]]&amp;TrendSheetPrdData[[#This Row],[Cost Basis]]&amp;TrendSheetPrdData[[#This Row],[Period]]&amp;TrendSheetPrdData[[#This Row],[Trend]]</f>
        <v>BAYVIEW EMPLOYEEAllowed2016-11-01Inpatient Claim Count</v>
      </c>
      <c r="B284" t="s">
        <v>127</v>
      </c>
      <c r="C284" t="s">
        <v>127</v>
      </c>
      <c r="D284" t="s">
        <v>91</v>
      </c>
      <c r="E284" s="1" t="s">
        <v>101</v>
      </c>
      <c r="F284" t="s">
        <v>106</v>
      </c>
      <c r="G284" t="s">
        <v>30</v>
      </c>
      <c r="H284">
        <v>19</v>
      </c>
      <c r="I284">
        <v>15</v>
      </c>
    </row>
    <row r="285" spans="1:9" x14ac:dyDescent="0.25">
      <c r="A285" s="5" t="str">
        <f>TrendSheetPrdData[[#This Row],[Population]]&amp;TrendSheetPrdData[[#This Row],[Cost Basis]]&amp;TrendSheetPrdData[[#This Row],[Period]]&amp;TrendSheetPrdData[[#This Row],[Trend]]</f>
        <v>BAYVIEW EMPLOYEEAllowed2016-12-01Inpatient Claim Count</v>
      </c>
      <c r="B285" t="s">
        <v>127</v>
      </c>
      <c r="C285" t="s">
        <v>127</v>
      </c>
      <c r="D285" t="s">
        <v>91</v>
      </c>
      <c r="E285" s="1" t="s">
        <v>102</v>
      </c>
      <c r="F285" t="s">
        <v>106</v>
      </c>
      <c r="G285" t="s">
        <v>30</v>
      </c>
      <c r="H285">
        <v>19</v>
      </c>
      <c r="I285">
        <v>8</v>
      </c>
    </row>
    <row r="286" spans="1:9" x14ac:dyDescent="0.25">
      <c r="A286" s="5" t="str">
        <f>TrendSheetPrdData[[#This Row],[Population]]&amp;TrendSheetPrdData[[#This Row],[Cost Basis]]&amp;TrendSheetPrdData[[#This Row],[Period]]&amp;TrendSheetPrdData[[#This Row],[Trend]]</f>
        <v>BAYVIEW EMPLOYEEAllowed2017-01-01Inpatient Claim Count</v>
      </c>
      <c r="B286" t="s">
        <v>127</v>
      </c>
      <c r="C286" t="s">
        <v>127</v>
      </c>
      <c r="D286" t="s">
        <v>91</v>
      </c>
      <c r="E286" s="1" t="s">
        <v>103</v>
      </c>
      <c r="F286" t="s">
        <v>106</v>
      </c>
      <c r="G286" t="s">
        <v>30</v>
      </c>
      <c r="H286">
        <v>19</v>
      </c>
      <c r="I286">
        <v>15</v>
      </c>
    </row>
    <row r="287" spans="1:9" x14ac:dyDescent="0.25">
      <c r="A287" s="5" t="str">
        <f>TrendSheetPrdData[[#This Row],[Population]]&amp;TrendSheetPrdData[[#This Row],[Cost Basis]]&amp;TrendSheetPrdData[[#This Row],[Period]]&amp;TrendSheetPrdData[[#This Row],[Trend]]</f>
        <v>BAYVIEW EMPLOYEEAllowed2015-11-01Outpatient Claim Count</v>
      </c>
      <c r="B287" t="s">
        <v>127</v>
      </c>
      <c r="C287" t="s">
        <v>127</v>
      </c>
      <c r="D287" t="s">
        <v>91</v>
      </c>
      <c r="E287" s="1" t="s">
        <v>130</v>
      </c>
      <c r="F287" t="s">
        <v>93</v>
      </c>
      <c r="G287" t="s">
        <v>31</v>
      </c>
      <c r="H287">
        <v>20</v>
      </c>
      <c r="I287">
        <v>430</v>
      </c>
    </row>
    <row r="288" spans="1:9" x14ac:dyDescent="0.25">
      <c r="A288" s="5" t="str">
        <f>TrendSheetPrdData[[#This Row],[Population]]&amp;TrendSheetPrdData[[#This Row],[Cost Basis]]&amp;TrendSheetPrdData[[#This Row],[Period]]&amp;TrendSheetPrdData[[#This Row],[Trend]]</f>
        <v>BAYVIEW EMPLOYEEAllowed2015-12-01Outpatient Claim Count</v>
      </c>
      <c r="B288" t="s">
        <v>127</v>
      </c>
      <c r="C288" t="s">
        <v>127</v>
      </c>
      <c r="D288" t="s">
        <v>91</v>
      </c>
      <c r="E288" s="1" t="s">
        <v>131</v>
      </c>
      <c r="F288" t="s">
        <v>93</v>
      </c>
      <c r="G288" t="s">
        <v>31</v>
      </c>
      <c r="H288">
        <v>20</v>
      </c>
      <c r="I288">
        <v>657</v>
      </c>
    </row>
    <row r="289" spans="1:9" x14ac:dyDescent="0.25">
      <c r="A289" s="5" t="str">
        <f>TrendSheetPrdData[[#This Row],[Population]]&amp;TrendSheetPrdData[[#This Row],[Cost Basis]]&amp;TrendSheetPrdData[[#This Row],[Period]]&amp;TrendSheetPrdData[[#This Row],[Trend]]</f>
        <v>BAYVIEW EMPLOYEEAllowed2016-01-01Outpatient Claim Count</v>
      </c>
      <c r="B289" t="s">
        <v>127</v>
      </c>
      <c r="C289" t="s">
        <v>127</v>
      </c>
      <c r="D289" t="s">
        <v>91</v>
      </c>
      <c r="E289" s="1" t="s">
        <v>132</v>
      </c>
      <c r="F289" t="s">
        <v>93</v>
      </c>
      <c r="G289" t="s">
        <v>31</v>
      </c>
      <c r="H289">
        <v>20</v>
      </c>
      <c r="I289">
        <v>300</v>
      </c>
    </row>
    <row r="290" spans="1:9" x14ac:dyDescent="0.25">
      <c r="A290" s="5" t="str">
        <f>TrendSheetPrdData[[#This Row],[Population]]&amp;TrendSheetPrdData[[#This Row],[Cost Basis]]&amp;TrendSheetPrdData[[#This Row],[Period]]&amp;TrendSheetPrdData[[#This Row],[Trend]]</f>
        <v>BAYVIEW EMPLOYEEAllowed2016-02-01Outpatient Claim Count</v>
      </c>
      <c r="B290" t="s">
        <v>127</v>
      </c>
      <c r="C290" t="s">
        <v>127</v>
      </c>
      <c r="D290" t="s">
        <v>91</v>
      </c>
      <c r="E290" s="1" t="s">
        <v>133</v>
      </c>
      <c r="F290" t="s">
        <v>93</v>
      </c>
      <c r="G290" t="s">
        <v>31</v>
      </c>
      <c r="H290">
        <v>20</v>
      </c>
      <c r="I290">
        <v>418</v>
      </c>
    </row>
    <row r="291" spans="1:9" x14ac:dyDescent="0.25">
      <c r="A291" s="5" t="str">
        <f>TrendSheetPrdData[[#This Row],[Population]]&amp;TrendSheetPrdData[[#This Row],[Cost Basis]]&amp;TrendSheetPrdData[[#This Row],[Period]]&amp;TrendSheetPrdData[[#This Row],[Trend]]</f>
        <v>BAYVIEW EMPLOYEEAllowed2016-03-01Outpatient Claim Count</v>
      </c>
      <c r="B291" t="s">
        <v>127</v>
      </c>
      <c r="C291" t="s">
        <v>127</v>
      </c>
      <c r="D291" t="s">
        <v>91</v>
      </c>
      <c r="E291" s="1" t="s">
        <v>92</v>
      </c>
      <c r="F291" t="s">
        <v>93</v>
      </c>
      <c r="G291" t="s">
        <v>31</v>
      </c>
      <c r="H291">
        <v>20</v>
      </c>
      <c r="I291">
        <v>533</v>
      </c>
    </row>
    <row r="292" spans="1:9" x14ac:dyDescent="0.25">
      <c r="A292" s="5" t="str">
        <f>TrendSheetPrdData[[#This Row],[Population]]&amp;TrendSheetPrdData[[#This Row],[Cost Basis]]&amp;TrendSheetPrdData[[#This Row],[Period]]&amp;TrendSheetPrdData[[#This Row],[Trend]]</f>
        <v>BAYVIEW EMPLOYEEAllowed2016-04-01Outpatient Claim Count</v>
      </c>
      <c r="B292" t="s">
        <v>127</v>
      </c>
      <c r="C292" t="s">
        <v>127</v>
      </c>
      <c r="D292" t="s">
        <v>91</v>
      </c>
      <c r="E292" s="1" t="s">
        <v>94</v>
      </c>
      <c r="F292" t="s">
        <v>93</v>
      </c>
      <c r="G292" t="s">
        <v>31</v>
      </c>
      <c r="H292">
        <v>20</v>
      </c>
      <c r="I292">
        <v>477</v>
      </c>
    </row>
    <row r="293" spans="1:9" x14ac:dyDescent="0.25">
      <c r="A293" s="5" t="str">
        <f>TrendSheetPrdData[[#This Row],[Population]]&amp;TrendSheetPrdData[[#This Row],[Cost Basis]]&amp;TrendSheetPrdData[[#This Row],[Period]]&amp;TrendSheetPrdData[[#This Row],[Trend]]</f>
        <v>BAYVIEW EMPLOYEEAllowed2016-05-01Outpatient Claim Count</v>
      </c>
      <c r="B293" t="s">
        <v>127</v>
      </c>
      <c r="C293" t="s">
        <v>127</v>
      </c>
      <c r="D293" t="s">
        <v>91</v>
      </c>
      <c r="E293" s="1" t="s">
        <v>95</v>
      </c>
      <c r="F293" t="s">
        <v>93</v>
      </c>
      <c r="G293" t="s">
        <v>31</v>
      </c>
      <c r="H293">
        <v>20</v>
      </c>
      <c r="I293">
        <v>446</v>
      </c>
    </row>
    <row r="294" spans="1:9" x14ac:dyDescent="0.25">
      <c r="A294" s="5" t="str">
        <f>TrendSheetPrdData[[#This Row],[Population]]&amp;TrendSheetPrdData[[#This Row],[Cost Basis]]&amp;TrendSheetPrdData[[#This Row],[Period]]&amp;TrendSheetPrdData[[#This Row],[Trend]]</f>
        <v>BAYVIEW EMPLOYEEAllowed2016-06-01Outpatient Claim Count</v>
      </c>
      <c r="B294" t="s">
        <v>127</v>
      </c>
      <c r="C294" t="s">
        <v>127</v>
      </c>
      <c r="D294" t="s">
        <v>91</v>
      </c>
      <c r="E294" s="1" t="s">
        <v>96</v>
      </c>
      <c r="F294" t="s">
        <v>93</v>
      </c>
      <c r="G294" t="s">
        <v>31</v>
      </c>
      <c r="H294">
        <v>20</v>
      </c>
      <c r="I294">
        <v>367</v>
      </c>
    </row>
    <row r="295" spans="1:9" x14ac:dyDescent="0.25">
      <c r="A295" s="5" t="str">
        <f>TrendSheetPrdData[[#This Row],[Population]]&amp;TrendSheetPrdData[[#This Row],[Cost Basis]]&amp;TrendSheetPrdData[[#This Row],[Period]]&amp;TrendSheetPrdData[[#This Row],[Trend]]</f>
        <v>BAYVIEW EMPLOYEEAllowed2016-07-01Outpatient Claim Count</v>
      </c>
      <c r="B295" t="s">
        <v>127</v>
      </c>
      <c r="C295" t="s">
        <v>127</v>
      </c>
      <c r="D295" t="s">
        <v>91</v>
      </c>
      <c r="E295" s="1" t="s">
        <v>97</v>
      </c>
      <c r="F295" t="s">
        <v>93</v>
      </c>
      <c r="G295" t="s">
        <v>31</v>
      </c>
      <c r="H295">
        <v>20</v>
      </c>
      <c r="I295">
        <v>238</v>
      </c>
    </row>
    <row r="296" spans="1:9" x14ac:dyDescent="0.25">
      <c r="A296" s="5" t="str">
        <f>TrendSheetPrdData[[#This Row],[Population]]&amp;TrendSheetPrdData[[#This Row],[Cost Basis]]&amp;TrendSheetPrdData[[#This Row],[Period]]&amp;TrendSheetPrdData[[#This Row],[Trend]]</f>
        <v>BAYVIEW EMPLOYEEAllowed2016-08-01Outpatient Claim Count</v>
      </c>
      <c r="B296" t="s">
        <v>127</v>
      </c>
      <c r="C296" t="s">
        <v>127</v>
      </c>
      <c r="D296" t="s">
        <v>91</v>
      </c>
      <c r="E296" s="1" t="s">
        <v>98</v>
      </c>
      <c r="F296" t="s">
        <v>93</v>
      </c>
      <c r="G296" t="s">
        <v>31</v>
      </c>
      <c r="H296">
        <v>20</v>
      </c>
      <c r="I296">
        <v>295</v>
      </c>
    </row>
    <row r="297" spans="1:9" x14ac:dyDescent="0.25">
      <c r="A297" s="5" t="str">
        <f>TrendSheetPrdData[[#This Row],[Population]]&amp;TrendSheetPrdData[[#This Row],[Cost Basis]]&amp;TrendSheetPrdData[[#This Row],[Period]]&amp;TrendSheetPrdData[[#This Row],[Trend]]</f>
        <v>BAYVIEW EMPLOYEEAllowed2016-09-01Outpatient Claim Count</v>
      </c>
      <c r="B297" t="s">
        <v>127</v>
      </c>
      <c r="C297" t="s">
        <v>127</v>
      </c>
      <c r="D297" t="s">
        <v>91</v>
      </c>
      <c r="E297" s="1" t="s">
        <v>99</v>
      </c>
      <c r="F297" t="s">
        <v>93</v>
      </c>
      <c r="G297" t="s">
        <v>31</v>
      </c>
      <c r="H297">
        <v>20</v>
      </c>
      <c r="I297">
        <v>474</v>
      </c>
    </row>
    <row r="298" spans="1:9" x14ac:dyDescent="0.25">
      <c r="A298" s="5" t="str">
        <f>TrendSheetPrdData[[#This Row],[Population]]&amp;TrendSheetPrdData[[#This Row],[Cost Basis]]&amp;TrendSheetPrdData[[#This Row],[Period]]&amp;TrendSheetPrdData[[#This Row],[Trend]]</f>
        <v>BAYVIEW EMPLOYEEAllowed2016-10-01Outpatient Claim Count</v>
      </c>
      <c r="B298" t="s">
        <v>127</v>
      </c>
      <c r="C298" t="s">
        <v>127</v>
      </c>
      <c r="D298" t="s">
        <v>91</v>
      </c>
      <c r="E298" s="1" t="s">
        <v>100</v>
      </c>
      <c r="F298" t="s">
        <v>93</v>
      </c>
      <c r="G298" t="s">
        <v>31</v>
      </c>
      <c r="H298">
        <v>20</v>
      </c>
      <c r="I298">
        <v>389</v>
      </c>
    </row>
    <row r="299" spans="1:9" x14ac:dyDescent="0.25">
      <c r="A299" s="5" t="str">
        <f>TrendSheetPrdData[[#This Row],[Population]]&amp;TrendSheetPrdData[[#This Row],[Cost Basis]]&amp;TrendSheetPrdData[[#This Row],[Period]]&amp;TrendSheetPrdData[[#This Row],[Trend]]</f>
        <v>BAYVIEW EMPLOYEEAllowed2016-11-01Outpatient Claim Count</v>
      </c>
      <c r="B299" t="s">
        <v>127</v>
      </c>
      <c r="C299" t="s">
        <v>127</v>
      </c>
      <c r="D299" t="s">
        <v>91</v>
      </c>
      <c r="E299" s="1" t="s">
        <v>101</v>
      </c>
      <c r="F299" t="s">
        <v>106</v>
      </c>
      <c r="G299" t="s">
        <v>31</v>
      </c>
      <c r="H299">
        <v>20</v>
      </c>
      <c r="I299">
        <v>241</v>
      </c>
    </row>
    <row r="300" spans="1:9" x14ac:dyDescent="0.25">
      <c r="A300" s="5" t="str">
        <f>TrendSheetPrdData[[#This Row],[Population]]&amp;TrendSheetPrdData[[#This Row],[Cost Basis]]&amp;TrendSheetPrdData[[#This Row],[Period]]&amp;TrendSheetPrdData[[#This Row],[Trend]]</f>
        <v>BAYVIEW EMPLOYEEAllowed2016-12-01Outpatient Claim Count</v>
      </c>
      <c r="B300" t="s">
        <v>127</v>
      </c>
      <c r="C300" t="s">
        <v>127</v>
      </c>
      <c r="D300" t="s">
        <v>91</v>
      </c>
      <c r="E300" s="1" t="s">
        <v>102</v>
      </c>
      <c r="F300" t="s">
        <v>106</v>
      </c>
      <c r="G300" t="s">
        <v>31</v>
      </c>
      <c r="H300">
        <v>20</v>
      </c>
      <c r="I300">
        <v>255</v>
      </c>
    </row>
    <row r="301" spans="1:9" x14ac:dyDescent="0.25">
      <c r="A301" s="5" t="str">
        <f>TrendSheetPrdData[[#This Row],[Population]]&amp;TrendSheetPrdData[[#This Row],[Cost Basis]]&amp;TrendSheetPrdData[[#This Row],[Period]]&amp;TrendSheetPrdData[[#This Row],[Trend]]</f>
        <v>BAYVIEW EMPLOYEEAllowed2017-01-01Outpatient Claim Count</v>
      </c>
      <c r="B301" t="s">
        <v>127</v>
      </c>
      <c r="C301" t="s">
        <v>127</v>
      </c>
      <c r="D301" t="s">
        <v>91</v>
      </c>
      <c r="E301" s="1" t="s">
        <v>103</v>
      </c>
      <c r="F301" t="s">
        <v>106</v>
      </c>
      <c r="G301" t="s">
        <v>31</v>
      </c>
      <c r="H301">
        <v>20</v>
      </c>
      <c r="I301">
        <v>45</v>
      </c>
    </row>
    <row r="302" spans="1:9" x14ac:dyDescent="0.25">
      <c r="A302" s="5" t="str">
        <f>TrendSheetPrdData[[#This Row],[Population]]&amp;TrendSheetPrdData[[#This Row],[Cost Basis]]&amp;TrendSheetPrdData[[#This Row],[Period]]&amp;TrendSheetPrdData[[#This Row],[Trend]]</f>
        <v>BAYVIEW EMPLOYEEAllowed2015-11-01Professional Claim Count</v>
      </c>
      <c r="B302" t="s">
        <v>127</v>
      </c>
      <c r="C302" t="s">
        <v>127</v>
      </c>
      <c r="D302" t="s">
        <v>91</v>
      </c>
      <c r="E302" s="1" t="s">
        <v>130</v>
      </c>
      <c r="F302" t="s">
        <v>93</v>
      </c>
      <c r="G302" t="s">
        <v>32</v>
      </c>
      <c r="H302">
        <v>21</v>
      </c>
      <c r="I302">
        <v>1364</v>
      </c>
    </row>
    <row r="303" spans="1:9" x14ac:dyDescent="0.25">
      <c r="A303" s="5" t="str">
        <f>TrendSheetPrdData[[#This Row],[Population]]&amp;TrendSheetPrdData[[#This Row],[Cost Basis]]&amp;TrendSheetPrdData[[#This Row],[Period]]&amp;TrendSheetPrdData[[#This Row],[Trend]]</f>
        <v>BAYVIEW EMPLOYEEAllowed2015-12-01Professional Claim Count</v>
      </c>
      <c r="B303" t="s">
        <v>127</v>
      </c>
      <c r="C303" t="s">
        <v>127</v>
      </c>
      <c r="D303" t="s">
        <v>91</v>
      </c>
      <c r="E303" s="1" t="s">
        <v>131</v>
      </c>
      <c r="F303" t="s">
        <v>93</v>
      </c>
      <c r="G303" t="s">
        <v>32</v>
      </c>
      <c r="H303">
        <v>21</v>
      </c>
      <c r="I303">
        <v>1407</v>
      </c>
    </row>
    <row r="304" spans="1:9" x14ac:dyDescent="0.25">
      <c r="A304" s="5" t="str">
        <f>TrendSheetPrdData[[#This Row],[Population]]&amp;TrendSheetPrdData[[#This Row],[Cost Basis]]&amp;TrendSheetPrdData[[#This Row],[Period]]&amp;TrendSheetPrdData[[#This Row],[Trend]]</f>
        <v>BAYVIEW EMPLOYEEAllowed2016-01-01Professional Claim Count</v>
      </c>
      <c r="B304" t="s">
        <v>127</v>
      </c>
      <c r="C304" t="s">
        <v>127</v>
      </c>
      <c r="D304" t="s">
        <v>91</v>
      </c>
      <c r="E304" s="1" t="s">
        <v>132</v>
      </c>
      <c r="F304" t="s">
        <v>93</v>
      </c>
      <c r="G304" t="s">
        <v>32</v>
      </c>
      <c r="H304">
        <v>21</v>
      </c>
      <c r="I304">
        <v>1164</v>
      </c>
    </row>
    <row r="305" spans="1:9" x14ac:dyDescent="0.25">
      <c r="A305" s="5" t="str">
        <f>TrendSheetPrdData[[#This Row],[Population]]&amp;TrendSheetPrdData[[#This Row],[Cost Basis]]&amp;TrendSheetPrdData[[#This Row],[Period]]&amp;TrendSheetPrdData[[#This Row],[Trend]]</f>
        <v>BAYVIEW EMPLOYEEAllowed2016-02-01Professional Claim Count</v>
      </c>
      <c r="B305" t="s">
        <v>127</v>
      </c>
      <c r="C305" t="s">
        <v>127</v>
      </c>
      <c r="D305" t="s">
        <v>91</v>
      </c>
      <c r="E305" s="1" t="s">
        <v>133</v>
      </c>
      <c r="F305" t="s">
        <v>93</v>
      </c>
      <c r="G305" t="s">
        <v>32</v>
      </c>
      <c r="H305">
        <v>21</v>
      </c>
      <c r="I305">
        <v>1168</v>
      </c>
    </row>
    <row r="306" spans="1:9" x14ac:dyDescent="0.25">
      <c r="A306" s="5" t="str">
        <f>TrendSheetPrdData[[#This Row],[Population]]&amp;TrendSheetPrdData[[#This Row],[Cost Basis]]&amp;TrendSheetPrdData[[#This Row],[Period]]&amp;TrendSheetPrdData[[#This Row],[Trend]]</f>
        <v>BAYVIEW EMPLOYEEAllowed2016-03-01Professional Claim Count</v>
      </c>
      <c r="B306" t="s">
        <v>127</v>
      </c>
      <c r="C306" t="s">
        <v>127</v>
      </c>
      <c r="D306" t="s">
        <v>91</v>
      </c>
      <c r="E306" s="1" t="s">
        <v>92</v>
      </c>
      <c r="F306" t="s">
        <v>93</v>
      </c>
      <c r="G306" t="s">
        <v>32</v>
      </c>
      <c r="H306">
        <v>21</v>
      </c>
      <c r="I306">
        <v>1389</v>
      </c>
    </row>
    <row r="307" spans="1:9" x14ac:dyDescent="0.25">
      <c r="A307" s="5" t="str">
        <f>TrendSheetPrdData[[#This Row],[Population]]&amp;TrendSheetPrdData[[#This Row],[Cost Basis]]&amp;TrendSheetPrdData[[#This Row],[Period]]&amp;TrendSheetPrdData[[#This Row],[Trend]]</f>
        <v>BAYVIEW EMPLOYEEAllowed2016-04-01Professional Claim Count</v>
      </c>
      <c r="B307" t="s">
        <v>127</v>
      </c>
      <c r="C307" t="s">
        <v>127</v>
      </c>
      <c r="D307" t="s">
        <v>91</v>
      </c>
      <c r="E307" s="1" t="s">
        <v>94</v>
      </c>
      <c r="F307" t="s">
        <v>93</v>
      </c>
      <c r="G307" t="s">
        <v>32</v>
      </c>
      <c r="H307">
        <v>21</v>
      </c>
      <c r="I307">
        <v>1174</v>
      </c>
    </row>
    <row r="308" spans="1:9" x14ac:dyDescent="0.25">
      <c r="A308" s="5" t="str">
        <f>TrendSheetPrdData[[#This Row],[Population]]&amp;TrendSheetPrdData[[#This Row],[Cost Basis]]&amp;TrendSheetPrdData[[#This Row],[Period]]&amp;TrendSheetPrdData[[#This Row],[Trend]]</f>
        <v>BAYVIEW EMPLOYEEAllowed2016-05-01Professional Claim Count</v>
      </c>
      <c r="B308" t="s">
        <v>127</v>
      </c>
      <c r="C308" t="s">
        <v>127</v>
      </c>
      <c r="D308" t="s">
        <v>91</v>
      </c>
      <c r="E308" s="1" t="s">
        <v>95</v>
      </c>
      <c r="F308" t="s">
        <v>93</v>
      </c>
      <c r="G308" t="s">
        <v>32</v>
      </c>
      <c r="H308">
        <v>21</v>
      </c>
      <c r="I308">
        <v>1379</v>
      </c>
    </row>
    <row r="309" spans="1:9" x14ac:dyDescent="0.25">
      <c r="A309" s="5" t="str">
        <f>TrendSheetPrdData[[#This Row],[Population]]&amp;TrendSheetPrdData[[#This Row],[Cost Basis]]&amp;TrendSheetPrdData[[#This Row],[Period]]&amp;TrendSheetPrdData[[#This Row],[Trend]]</f>
        <v>BAYVIEW EMPLOYEEAllowed2016-06-01Professional Claim Count</v>
      </c>
      <c r="B309" t="s">
        <v>127</v>
      </c>
      <c r="C309" t="s">
        <v>127</v>
      </c>
      <c r="D309" t="s">
        <v>91</v>
      </c>
      <c r="E309" s="1" t="s">
        <v>96</v>
      </c>
      <c r="F309" t="s">
        <v>93</v>
      </c>
      <c r="G309" t="s">
        <v>32</v>
      </c>
      <c r="H309">
        <v>21</v>
      </c>
      <c r="I309">
        <v>1336</v>
      </c>
    </row>
    <row r="310" spans="1:9" x14ac:dyDescent="0.25">
      <c r="A310" s="5" t="str">
        <f>TrendSheetPrdData[[#This Row],[Population]]&amp;TrendSheetPrdData[[#This Row],[Cost Basis]]&amp;TrendSheetPrdData[[#This Row],[Period]]&amp;TrendSheetPrdData[[#This Row],[Trend]]</f>
        <v>BAYVIEW EMPLOYEEAllowed2016-07-01Professional Claim Count</v>
      </c>
      <c r="B310" t="s">
        <v>127</v>
      </c>
      <c r="C310" t="s">
        <v>127</v>
      </c>
      <c r="D310" t="s">
        <v>91</v>
      </c>
      <c r="E310" s="1" t="s">
        <v>97</v>
      </c>
      <c r="F310" t="s">
        <v>93</v>
      </c>
      <c r="G310" t="s">
        <v>32</v>
      </c>
      <c r="H310">
        <v>21</v>
      </c>
      <c r="I310">
        <v>1077</v>
      </c>
    </row>
    <row r="311" spans="1:9" x14ac:dyDescent="0.25">
      <c r="A311" s="5" t="str">
        <f>TrendSheetPrdData[[#This Row],[Population]]&amp;TrendSheetPrdData[[#This Row],[Cost Basis]]&amp;TrendSheetPrdData[[#This Row],[Period]]&amp;TrendSheetPrdData[[#This Row],[Trend]]</f>
        <v>BAYVIEW EMPLOYEEAllowed2016-08-01Professional Claim Count</v>
      </c>
      <c r="B311" t="s">
        <v>127</v>
      </c>
      <c r="C311" t="s">
        <v>127</v>
      </c>
      <c r="D311" t="s">
        <v>91</v>
      </c>
      <c r="E311" s="1" t="s">
        <v>98</v>
      </c>
      <c r="F311" t="s">
        <v>93</v>
      </c>
      <c r="G311" t="s">
        <v>32</v>
      </c>
      <c r="H311">
        <v>21</v>
      </c>
      <c r="I311">
        <v>1325</v>
      </c>
    </row>
    <row r="312" spans="1:9" x14ac:dyDescent="0.25">
      <c r="A312" s="5" t="str">
        <f>TrendSheetPrdData[[#This Row],[Population]]&amp;TrendSheetPrdData[[#This Row],[Cost Basis]]&amp;TrendSheetPrdData[[#This Row],[Period]]&amp;TrendSheetPrdData[[#This Row],[Trend]]</f>
        <v>BAYVIEW EMPLOYEEAllowed2016-09-01Professional Claim Count</v>
      </c>
      <c r="B312" t="s">
        <v>127</v>
      </c>
      <c r="C312" t="s">
        <v>127</v>
      </c>
      <c r="D312" t="s">
        <v>91</v>
      </c>
      <c r="E312" s="1" t="s">
        <v>99</v>
      </c>
      <c r="F312" t="s">
        <v>93</v>
      </c>
      <c r="G312" t="s">
        <v>32</v>
      </c>
      <c r="H312">
        <v>21</v>
      </c>
      <c r="I312">
        <v>1392</v>
      </c>
    </row>
    <row r="313" spans="1:9" x14ac:dyDescent="0.25">
      <c r="A313" s="5" t="str">
        <f>TrendSheetPrdData[[#This Row],[Population]]&amp;TrendSheetPrdData[[#This Row],[Cost Basis]]&amp;TrendSheetPrdData[[#This Row],[Period]]&amp;TrendSheetPrdData[[#This Row],[Trend]]</f>
        <v>BAYVIEW EMPLOYEEAllowed2016-10-01Professional Claim Count</v>
      </c>
      <c r="B313" t="s">
        <v>127</v>
      </c>
      <c r="C313" t="s">
        <v>127</v>
      </c>
      <c r="D313" t="s">
        <v>91</v>
      </c>
      <c r="E313" s="1" t="s">
        <v>100</v>
      </c>
      <c r="F313" t="s">
        <v>93</v>
      </c>
      <c r="G313" t="s">
        <v>32</v>
      </c>
      <c r="H313">
        <v>21</v>
      </c>
      <c r="I313">
        <v>1327</v>
      </c>
    </row>
    <row r="314" spans="1:9" x14ac:dyDescent="0.25">
      <c r="A314" s="5" t="str">
        <f>TrendSheetPrdData[[#This Row],[Population]]&amp;TrendSheetPrdData[[#This Row],[Cost Basis]]&amp;TrendSheetPrdData[[#This Row],[Period]]&amp;TrendSheetPrdData[[#This Row],[Trend]]</f>
        <v>BAYVIEW EMPLOYEEAllowed2016-11-01Professional Claim Count</v>
      </c>
      <c r="B314" t="s">
        <v>127</v>
      </c>
      <c r="C314" t="s">
        <v>127</v>
      </c>
      <c r="D314" t="s">
        <v>91</v>
      </c>
      <c r="E314" s="1" t="s">
        <v>101</v>
      </c>
      <c r="F314" t="s">
        <v>106</v>
      </c>
      <c r="G314" t="s">
        <v>32</v>
      </c>
      <c r="H314">
        <v>21</v>
      </c>
      <c r="I314">
        <v>1100</v>
      </c>
    </row>
    <row r="315" spans="1:9" x14ac:dyDescent="0.25">
      <c r="A315" s="5" t="str">
        <f>TrendSheetPrdData[[#This Row],[Population]]&amp;TrendSheetPrdData[[#This Row],[Cost Basis]]&amp;TrendSheetPrdData[[#This Row],[Period]]&amp;TrendSheetPrdData[[#This Row],[Trend]]</f>
        <v>BAYVIEW EMPLOYEEAllowed2016-12-01Professional Claim Count</v>
      </c>
      <c r="B315" t="s">
        <v>127</v>
      </c>
      <c r="C315" t="s">
        <v>127</v>
      </c>
      <c r="D315" t="s">
        <v>91</v>
      </c>
      <c r="E315" s="1" t="s">
        <v>102</v>
      </c>
      <c r="F315" t="s">
        <v>106</v>
      </c>
      <c r="G315" t="s">
        <v>32</v>
      </c>
      <c r="H315">
        <v>21</v>
      </c>
      <c r="I315">
        <v>1265</v>
      </c>
    </row>
    <row r="316" spans="1:9" x14ac:dyDescent="0.25">
      <c r="A316" s="5" t="str">
        <f>TrendSheetPrdData[[#This Row],[Population]]&amp;TrendSheetPrdData[[#This Row],[Cost Basis]]&amp;TrendSheetPrdData[[#This Row],[Period]]&amp;TrendSheetPrdData[[#This Row],[Trend]]</f>
        <v>BAYVIEW EMPLOYEEAllowed2017-01-01Professional Claim Count</v>
      </c>
      <c r="B316" t="s">
        <v>127</v>
      </c>
      <c r="C316" t="s">
        <v>127</v>
      </c>
      <c r="D316" t="s">
        <v>91</v>
      </c>
      <c r="E316" s="1" t="s">
        <v>103</v>
      </c>
      <c r="F316" t="s">
        <v>106</v>
      </c>
      <c r="G316" t="s">
        <v>32</v>
      </c>
      <c r="H316">
        <v>21</v>
      </c>
      <c r="I316">
        <v>539</v>
      </c>
    </row>
    <row r="317" spans="1:9" x14ac:dyDescent="0.25">
      <c r="A317" s="5" t="str">
        <f>TrendSheetPrdData[[#This Row],[Population]]&amp;TrendSheetPrdData[[#This Row],[Cost Basis]]&amp;TrendSheetPrdData[[#This Row],[Period]]&amp;TrendSheetPrdData[[#This Row],[Trend]]</f>
        <v>BAYVIEW EMPLOYEEAllowed2015-11-01Ancillary Claim Count</v>
      </c>
      <c r="B317" t="s">
        <v>127</v>
      </c>
      <c r="C317" t="s">
        <v>127</v>
      </c>
      <c r="D317" t="s">
        <v>91</v>
      </c>
      <c r="E317" s="1" t="s">
        <v>130</v>
      </c>
      <c r="F317" t="s">
        <v>93</v>
      </c>
      <c r="G317" t="s">
        <v>33</v>
      </c>
      <c r="H317">
        <v>22</v>
      </c>
      <c r="I317">
        <v>42</v>
      </c>
    </row>
    <row r="318" spans="1:9" x14ac:dyDescent="0.25">
      <c r="A318" s="5" t="str">
        <f>TrendSheetPrdData[[#This Row],[Population]]&amp;TrendSheetPrdData[[#This Row],[Cost Basis]]&amp;TrendSheetPrdData[[#This Row],[Period]]&amp;TrendSheetPrdData[[#This Row],[Trend]]</f>
        <v>BAYVIEW EMPLOYEEAllowed2015-12-01Ancillary Claim Count</v>
      </c>
      <c r="B318" t="s">
        <v>127</v>
      </c>
      <c r="C318" t="s">
        <v>127</v>
      </c>
      <c r="D318" t="s">
        <v>91</v>
      </c>
      <c r="E318" s="1" t="s">
        <v>131</v>
      </c>
      <c r="F318" t="s">
        <v>93</v>
      </c>
      <c r="G318" t="s">
        <v>33</v>
      </c>
      <c r="H318">
        <v>22</v>
      </c>
      <c r="I318">
        <v>36</v>
      </c>
    </row>
    <row r="319" spans="1:9" x14ac:dyDescent="0.25">
      <c r="A319" s="5" t="str">
        <f>TrendSheetPrdData[[#This Row],[Population]]&amp;TrendSheetPrdData[[#This Row],[Cost Basis]]&amp;TrendSheetPrdData[[#This Row],[Period]]&amp;TrendSheetPrdData[[#This Row],[Trend]]</f>
        <v>BAYVIEW EMPLOYEEAllowed2016-01-01Ancillary Claim Count</v>
      </c>
      <c r="B319" t="s">
        <v>127</v>
      </c>
      <c r="C319" t="s">
        <v>127</v>
      </c>
      <c r="D319" t="s">
        <v>91</v>
      </c>
      <c r="E319" s="1" t="s">
        <v>132</v>
      </c>
      <c r="F319" t="s">
        <v>93</v>
      </c>
      <c r="G319" t="s">
        <v>33</v>
      </c>
      <c r="H319">
        <v>22</v>
      </c>
      <c r="I319">
        <v>35</v>
      </c>
    </row>
    <row r="320" spans="1:9" x14ac:dyDescent="0.25">
      <c r="A320" s="5" t="str">
        <f>TrendSheetPrdData[[#This Row],[Population]]&amp;TrendSheetPrdData[[#This Row],[Cost Basis]]&amp;TrendSheetPrdData[[#This Row],[Period]]&amp;TrendSheetPrdData[[#This Row],[Trend]]</f>
        <v>BAYVIEW EMPLOYEEAllowed2016-02-01Ancillary Claim Count</v>
      </c>
      <c r="B320" t="s">
        <v>127</v>
      </c>
      <c r="C320" t="s">
        <v>127</v>
      </c>
      <c r="D320" t="s">
        <v>91</v>
      </c>
      <c r="E320" s="1" t="s">
        <v>133</v>
      </c>
      <c r="F320" t="s">
        <v>93</v>
      </c>
      <c r="G320" t="s">
        <v>33</v>
      </c>
      <c r="H320">
        <v>22</v>
      </c>
      <c r="I320">
        <v>56</v>
      </c>
    </row>
    <row r="321" spans="1:9" x14ac:dyDescent="0.25">
      <c r="A321" s="5" t="str">
        <f>TrendSheetPrdData[[#This Row],[Population]]&amp;TrendSheetPrdData[[#This Row],[Cost Basis]]&amp;TrendSheetPrdData[[#This Row],[Period]]&amp;TrendSheetPrdData[[#This Row],[Trend]]</f>
        <v>BAYVIEW EMPLOYEEAllowed2016-03-01Ancillary Claim Count</v>
      </c>
      <c r="B321" t="s">
        <v>127</v>
      </c>
      <c r="C321" t="s">
        <v>127</v>
      </c>
      <c r="D321" t="s">
        <v>91</v>
      </c>
      <c r="E321" s="1" t="s">
        <v>92</v>
      </c>
      <c r="F321" t="s">
        <v>93</v>
      </c>
      <c r="G321" t="s">
        <v>33</v>
      </c>
      <c r="H321">
        <v>22</v>
      </c>
      <c r="I321">
        <v>60</v>
      </c>
    </row>
    <row r="322" spans="1:9" x14ac:dyDescent="0.25">
      <c r="A322" s="5" t="str">
        <f>TrendSheetPrdData[[#This Row],[Population]]&amp;TrendSheetPrdData[[#This Row],[Cost Basis]]&amp;TrendSheetPrdData[[#This Row],[Period]]&amp;TrendSheetPrdData[[#This Row],[Trend]]</f>
        <v>BAYVIEW EMPLOYEEAllowed2016-04-01Ancillary Claim Count</v>
      </c>
      <c r="B322" t="s">
        <v>127</v>
      </c>
      <c r="C322" t="s">
        <v>127</v>
      </c>
      <c r="D322" t="s">
        <v>91</v>
      </c>
      <c r="E322" s="1" t="s">
        <v>94</v>
      </c>
      <c r="F322" t="s">
        <v>93</v>
      </c>
      <c r="G322" t="s">
        <v>33</v>
      </c>
      <c r="H322">
        <v>22</v>
      </c>
      <c r="I322">
        <v>55</v>
      </c>
    </row>
    <row r="323" spans="1:9" x14ac:dyDescent="0.25">
      <c r="A323" s="5" t="str">
        <f>TrendSheetPrdData[[#This Row],[Population]]&amp;TrendSheetPrdData[[#This Row],[Cost Basis]]&amp;TrendSheetPrdData[[#This Row],[Period]]&amp;TrendSheetPrdData[[#This Row],[Trend]]</f>
        <v>BAYVIEW EMPLOYEEAllowed2016-05-01Ancillary Claim Count</v>
      </c>
      <c r="B323" t="s">
        <v>127</v>
      </c>
      <c r="C323" t="s">
        <v>127</v>
      </c>
      <c r="D323" t="s">
        <v>91</v>
      </c>
      <c r="E323" s="1" t="s">
        <v>95</v>
      </c>
      <c r="F323" t="s">
        <v>93</v>
      </c>
      <c r="G323" t="s">
        <v>33</v>
      </c>
      <c r="H323">
        <v>22</v>
      </c>
      <c r="I323">
        <v>58</v>
      </c>
    </row>
    <row r="324" spans="1:9" x14ac:dyDescent="0.25">
      <c r="A324" s="5" t="str">
        <f>TrendSheetPrdData[[#This Row],[Population]]&amp;TrendSheetPrdData[[#This Row],[Cost Basis]]&amp;TrendSheetPrdData[[#This Row],[Period]]&amp;TrendSheetPrdData[[#This Row],[Trend]]</f>
        <v>BAYVIEW EMPLOYEEAllowed2016-06-01Ancillary Claim Count</v>
      </c>
      <c r="B324" t="s">
        <v>127</v>
      </c>
      <c r="C324" t="s">
        <v>127</v>
      </c>
      <c r="D324" t="s">
        <v>91</v>
      </c>
      <c r="E324" s="1" t="s">
        <v>96</v>
      </c>
      <c r="F324" t="s">
        <v>93</v>
      </c>
      <c r="G324" t="s">
        <v>33</v>
      </c>
      <c r="H324">
        <v>22</v>
      </c>
      <c r="I324">
        <v>63</v>
      </c>
    </row>
    <row r="325" spans="1:9" x14ac:dyDescent="0.25">
      <c r="A325" s="5" t="str">
        <f>TrendSheetPrdData[[#This Row],[Population]]&amp;TrendSheetPrdData[[#This Row],[Cost Basis]]&amp;TrendSheetPrdData[[#This Row],[Period]]&amp;TrendSheetPrdData[[#This Row],[Trend]]</f>
        <v>BAYVIEW EMPLOYEEAllowed2016-07-01Ancillary Claim Count</v>
      </c>
      <c r="B325" t="s">
        <v>127</v>
      </c>
      <c r="C325" t="s">
        <v>127</v>
      </c>
      <c r="D325" t="s">
        <v>91</v>
      </c>
      <c r="E325" s="1" t="s">
        <v>97</v>
      </c>
      <c r="F325" t="s">
        <v>93</v>
      </c>
      <c r="G325" t="s">
        <v>33</v>
      </c>
      <c r="H325">
        <v>22</v>
      </c>
      <c r="I325">
        <v>47</v>
      </c>
    </row>
    <row r="326" spans="1:9" x14ac:dyDescent="0.25">
      <c r="A326" s="5" t="str">
        <f>TrendSheetPrdData[[#This Row],[Population]]&amp;TrendSheetPrdData[[#This Row],[Cost Basis]]&amp;TrendSheetPrdData[[#This Row],[Period]]&amp;TrendSheetPrdData[[#This Row],[Trend]]</f>
        <v>BAYVIEW EMPLOYEEAllowed2016-08-01Ancillary Claim Count</v>
      </c>
      <c r="B326" t="s">
        <v>127</v>
      </c>
      <c r="C326" t="s">
        <v>127</v>
      </c>
      <c r="D326" t="s">
        <v>91</v>
      </c>
      <c r="E326" s="1" t="s">
        <v>98</v>
      </c>
      <c r="F326" t="s">
        <v>93</v>
      </c>
      <c r="G326" t="s">
        <v>33</v>
      </c>
      <c r="H326">
        <v>22</v>
      </c>
      <c r="I326">
        <v>53</v>
      </c>
    </row>
    <row r="327" spans="1:9" x14ac:dyDescent="0.25">
      <c r="A327" s="5" t="str">
        <f>TrendSheetPrdData[[#This Row],[Population]]&amp;TrendSheetPrdData[[#This Row],[Cost Basis]]&amp;TrendSheetPrdData[[#This Row],[Period]]&amp;TrendSheetPrdData[[#This Row],[Trend]]</f>
        <v>BAYVIEW EMPLOYEEAllowed2016-09-01Ancillary Claim Count</v>
      </c>
      <c r="B327" t="s">
        <v>127</v>
      </c>
      <c r="C327" t="s">
        <v>127</v>
      </c>
      <c r="D327" t="s">
        <v>91</v>
      </c>
      <c r="E327" s="1" t="s">
        <v>99</v>
      </c>
      <c r="F327" t="s">
        <v>93</v>
      </c>
      <c r="G327" t="s">
        <v>33</v>
      </c>
      <c r="H327">
        <v>22</v>
      </c>
      <c r="I327">
        <v>80</v>
      </c>
    </row>
    <row r="328" spans="1:9" x14ac:dyDescent="0.25">
      <c r="A328" s="5" t="str">
        <f>TrendSheetPrdData[[#This Row],[Population]]&amp;TrendSheetPrdData[[#This Row],[Cost Basis]]&amp;TrendSheetPrdData[[#This Row],[Period]]&amp;TrendSheetPrdData[[#This Row],[Trend]]</f>
        <v>BAYVIEW EMPLOYEEAllowed2016-10-01Ancillary Claim Count</v>
      </c>
      <c r="B328" t="s">
        <v>127</v>
      </c>
      <c r="C328" t="s">
        <v>127</v>
      </c>
      <c r="D328" t="s">
        <v>91</v>
      </c>
      <c r="E328" s="1" t="s">
        <v>100</v>
      </c>
      <c r="F328" t="s">
        <v>93</v>
      </c>
      <c r="G328" t="s">
        <v>33</v>
      </c>
      <c r="H328">
        <v>22</v>
      </c>
      <c r="I328">
        <v>63</v>
      </c>
    </row>
    <row r="329" spans="1:9" x14ac:dyDescent="0.25">
      <c r="A329" s="5" t="str">
        <f>TrendSheetPrdData[[#This Row],[Population]]&amp;TrendSheetPrdData[[#This Row],[Cost Basis]]&amp;TrendSheetPrdData[[#This Row],[Period]]&amp;TrendSheetPrdData[[#This Row],[Trend]]</f>
        <v>BAYVIEW EMPLOYEEAllowed2016-11-01Ancillary Claim Count</v>
      </c>
      <c r="B329" t="s">
        <v>127</v>
      </c>
      <c r="C329" t="s">
        <v>127</v>
      </c>
      <c r="D329" t="s">
        <v>91</v>
      </c>
      <c r="E329" s="1" t="s">
        <v>101</v>
      </c>
      <c r="F329" t="s">
        <v>106</v>
      </c>
      <c r="G329" t="s">
        <v>33</v>
      </c>
      <c r="H329">
        <v>22</v>
      </c>
      <c r="I329">
        <v>67</v>
      </c>
    </row>
    <row r="330" spans="1:9" x14ac:dyDescent="0.25">
      <c r="A330" s="5" t="str">
        <f>TrendSheetPrdData[[#This Row],[Population]]&amp;TrendSheetPrdData[[#This Row],[Cost Basis]]&amp;TrendSheetPrdData[[#This Row],[Period]]&amp;TrendSheetPrdData[[#This Row],[Trend]]</f>
        <v>BAYVIEW EMPLOYEEAllowed2016-12-01Ancillary Claim Count</v>
      </c>
      <c r="B330" t="s">
        <v>127</v>
      </c>
      <c r="C330" t="s">
        <v>127</v>
      </c>
      <c r="D330" t="s">
        <v>91</v>
      </c>
      <c r="E330" s="1" t="s">
        <v>102</v>
      </c>
      <c r="F330" t="s">
        <v>106</v>
      </c>
      <c r="G330" t="s">
        <v>33</v>
      </c>
      <c r="H330">
        <v>22</v>
      </c>
      <c r="I330">
        <v>45</v>
      </c>
    </row>
    <row r="331" spans="1:9" x14ac:dyDescent="0.25">
      <c r="A331" s="5" t="str">
        <f>TrendSheetPrdData[[#This Row],[Population]]&amp;TrendSheetPrdData[[#This Row],[Cost Basis]]&amp;TrendSheetPrdData[[#This Row],[Period]]&amp;TrendSheetPrdData[[#This Row],[Trend]]</f>
        <v>BAYVIEW EMPLOYEEAllowed2017-01-01Ancillary Claim Count</v>
      </c>
      <c r="B331" t="s">
        <v>127</v>
      </c>
      <c r="C331" t="s">
        <v>127</v>
      </c>
      <c r="D331" t="s">
        <v>91</v>
      </c>
      <c r="E331" s="1" t="s">
        <v>103</v>
      </c>
      <c r="F331" t="s">
        <v>106</v>
      </c>
      <c r="G331" t="s">
        <v>33</v>
      </c>
      <c r="H331">
        <v>22</v>
      </c>
      <c r="I331">
        <v>10</v>
      </c>
    </row>
    <row r="332" spans="1:9" x14ac:dyDescent="0.25">
      <c r="A332" s="5" t="str">
        <f>TrendSheetPrdData[[#This Row],[Population]]&amp;TrendSheetPrdData[[#This Row],[Cost Basis]]&amp;TrendSheetPrdData[[#This Row],[Period]]&amp;TrendSheetPrdData[[#This Row],[Trend]]</f>
        <v>BAYVIEW EMPLOYEEAllowed2015-11-01Drug Claim Count</v>
      </c>
      <c r="B332" t="s">
        <v>127</v>
      </c>
      <c r="C332" t="s">
        <v>127</v>
      </c>
      <c r="D332" t="s">
        <v>91</v>
      </c>
      <c r="E332" s="1" t="s">
        <v>130</v>
      </c>
      <c r="F332" t="s">
        <v>93</v>
      </c>
      <c r="G332" t="s">
        <v>34</v>
      </c>
      <c r="H332">
        <v>23</v>
      </c>
      <c r="I332">
        <v>954</v>
      </c>
    </row>
    <row r="333" spans="1:9" x14ac:dyDescent="0.25">
      <c r="A333" s="5" t="str">
        <f>TrendSheetPrdData[[#This Row],[Population]]&amp;TrendSheetPrdData[[#This Row],[Cost Basis]]&amp;TrendSheetPrdData[[#This Row],[Period]]&amp;TrendSheetPrdData[[#This Row],[Trend]]</f>
        <v>BAYVIEW EMPLOYEEAllowed2015-12-01Drug Claim Count</v>
      </c>
      <c r="B333" t="s">
        <v>127</v>
      </c>
      <c r="C333" t="s">
        <v>127</v>
      </c>
      <c r="D333" t="s">
        <v>91</v>
      </c>
      <c r="E333" s="1" t="s">
        <v>131</v>
      </c>
      <c r="F333" t="s">
        <v>93</v>
      </c>
      <c r="G333" t="s">
        <v>34</v>
      </c>
      <c r="H333">
        <v>23</v>
      </c>
      <c r="I333">
        <v>1037</v>
      </c>
    </row>
    <row r="334" spans="1:9" x14ac:dyDescent="0.25">
      <c r="A334" s="5" t="str">
        <f>TrendSheetPrdData[[#This Row],[Population]]&amp;TrendSheetPrdData[[#This Row],[Cost Basis]]&amp;TrendSheetPrdData[[#This Row],[Period]]&amp;TrendSheetPrdData[[#This Row],[Trend]]</f>
        <v>BAYVIEW EMPLOYEEAllowed2016-01-01Drug Claim Count</v>
      </c>
      <c r="B334" t="s">
        <v>127</v>
      </c>
      <c r="C334" t="s">
        <v>127</v>
      </c>
      <c r="D334" t="s">
        <v>91</v>
      </c>
      <c r="E334" s="1" t="s">
        <v>132</v>
      </c>
      <c r="F334" t="s">
        <v>93</v>
      </c>
      <c r="G334" t="s">
        <v>34</v>
      </c>
      <c r="H334">
        <v>23</v>
      </c>
      <c r="I334">
        <v>1167</v>
      </c>
    </row>
    <row r="335" spans="1:9" x14ac:dyDescent="0.25">
      <c r="A335" s="5" t="str">
        <f>TrendSheetPrdData[[#This Row],[Population]]&amp;TrendSheetPrdData[[#This Row],[Cost Basis]]&amp;TrendSheetPrdData[[#This Row],[Period]]&amp;TrendSheetPrdData[[#This Row],[Trend]]</f>
        <v>BAYVIEW EMPLOYEEAllowed2016-02-01Drug Claim Count</v>
      </c>
      <c r="B335" t="s">
        <v>127</v>
      </c>
      <c r="C335" t="s">
        <v>127</v>
      </c>
      <c r="D335" t="s">
        <v>91</v>
      </c>
      <c r="E335" s="1" t="s">
        <v>133</v>
      </c>
      <c r="F335" t="s">
        <v>93</v>
      </c>
      <c r="G335" t="s">
        <v>34</v>
      </c>
      <c r="H335">
        <v>23</v>
      </c>
      <c r="I335">
        <v>1507</v>
      </c>
    </row>
    <row r="336" spans="1:9" x14ac:dyDescent="0.25">
      <c r="A336" s="5" t="str">
        <f>TrendSheetPrdData[[#This Row],[Population]]&amp;TrendSheetPrdData[[#This Row],[Cost Basis]]&amp;TrendSheetPrdData[[#This Row],[Period]]&amp;TrendSheetPrdData[[#This Row],[Trend]]</f>
        <v>BAYVIEW EMPLOYEEAllowed2016-03-01Drug Claim Count</v>
      </c>
      <c r="B336" t="s">
        <v>127</v>
      </c>
      <c r="C336" t="s">
        <v>127</v>
      </c>
      <c r="D336" t="s">
        <v>91</v>
      </c>
      <c r="E336" s="1" t="s">
        <v>92</v>
      </c>
      <c r="F336" t="s">
        <v>93</v>
      </c>
      <c r="G336" t="s">
        <v>34</v>
      </c>
      <c r="H336">
        <v>23</v>
      </c>
      <c r="I336">
        <v>1620</v>
      </c>
    </row>
    <row r="337" spans="1:9" x14ac:dyDescent="0.25">
      <c r="A337" s="5" t="str">
        <f>TrendSheetPrdData[[#This Row],[Population]]&amp;TrendSheetPrdData[[#This Row],[Cost Basis]]&amp;TrendSheetPrdData[[#This Row],[Period]]&amp;TrendSheetPrdData[[#This Row],[Trend]]</f>
        <v>BAYVIEW EMPLOYEEAllowed2016-04-01Drug Claim Count</v>
      </c>
      <c r="B337" t="s">
        <v>127</v>
      </c>
      <c r="C337" t="s">
        <v>127</v>
      </c>
      <c r="D337" t="s">
        <v>91</v>
      </c>
      <c r="E337" s="1" t="s">
        <v>94</v>
      </c>
      <c r="F337" t="s">
        <v>93</v>
      </c>
      <c r="G337" t="s">
        <v>34</v>
      </c>
      <c r="H337">
        <v>23</v>
      </c>
      <c r="I337">
        <v>1547</v>
      </c>
    </row>
    <row r="338" spans="1:9" x14ac:dyDescent="0.25">
      <c r="A338" s="5" t="str">
        <f>TrendSheetPrdData[[#This Row],[Population]]&amp;TrendSheetPrdData[[#This Row],[Cost Basis]]&amp;TrendSheetPrdData[[#This Row],[Period]]&amp;TrendSheetPrdData[[#This Row],[Trend]]</f>
        <v>BAYVIEW EMPLOYEEAllowed2016-05-01Drug Claim Count</v>
      </c>
      <c r="B338" t="s">
        <v>127</v>
      </c>
      <c r="C338" t="s">
        <v>127</v>
      </c>
      <c r="D338" t="s">
        <v>91</v>
      </c>
      <c r="E338" s="1" t="s">
        <v>95</v>
      </c>
      <c r="F338" t="s">
        <v>93</v>
      </c>
      <c r="G338" t="s">
        <v>34</v>
      </c>
      <c r="H338">
        <v>23</v>
      </c>
      <c r="I338">
        <v>1497</v>
      </c>
    </row>
    <row r="339" spans="1:9" x14ac:dyDescent="0.25">
      <c r="A339" s="5" t="str">
        <f>TrendSheetPrdData[[#This Row],[Population]]&amp;TrendSheetPrdData[[#This Row],[Cost Basis]]&amp;TrendSheetPrdData[[#This Row],[Period]]&amp;TrendSheetPrdData[[#This Row],[Trend]]</f>
        <v>BAYVIEW EMPLOYEEAllowed2016-06-01Drug Claim Count</v>
      </c>
      <c r="B339" t="s">
        <v>127</v>
      </c>
      <c r="C339" t="s">
        <v>127</v>
      </c>
      <c r="D339" t="s">
        <v>91</v>
      </c>
      <c r="E339" s="1" t="s">
        <v>96</v>
      </c>
      <c r="F339" t="s">
        <v>93</v>
      </c>
      <c r="G339" t="s">
        <v>34</v>
      </c>
      <c r="H339">
        <v>23</v>
      </c>
      <c r="I339">
        <v>1309</v>
      </c>
    </row>
    <row r="340" spans="1:9" x14ac:dyDescent="0.25">
      <c r="A340" s="5" t="str">
        <f>TrendSheetPrdData[[#This Row],[Population]]&amp;TrendSheetPrdData[[#This Row],[Cost Basis]]&amp;TrendSheetPrdData[[#This Row],[Period]]&amp;TrendSheetPrdData[[#This Row],[Trend]]</f>
        <v>BAYVIEW EMPLOYEEAllowed2016-07-01Drug Claim Count</v>
      </c>
      <c r="B340" t="s">
        <v>127</v>
      </c>
      <c r="C340" t="s">
        <v>127</v>
      </c>
      <c r="D340" t="s">
        <v>91</v>
      </c>
      <c r="E340" s="1" t="s">
        <v>97</v>
      </c>
      <c r="F340" t="s">
        <v>93</v>
      </c>
      <c r="G340" t="s">
        <v>34</v>
      </c>
      <c r="H340">
        <v>23</v>
      </c>
      <c r="I340">
        <v>1285</v>
      </c>
    </row>
    <row r="341" spans="1:9" x14ac:dyDescent="0.25">
      <c r="A341" s="5" t="str">
        <f>TrendSheetPrdData[[#This Row],[Population]]&amp;TrendSheetPrdData[[#This Row],[Cost Basis]]&amp;TrendSheetPrdData[[#This Row],[Period]]&amp;TrendSheetPrdData[[#This Row],[Trend]]</f>
        <v>BAYVIEW EMPLOYEEAllowed2016-08-01Drug Claim Count</v>
      </c>
      <c r="B341" t="s">
        <v>127</v>
      </c>
      <c r="C341" t="s">
        <v>127</v>
      </c>
      <c r="D341" t="s">
        <v>91</v>
      </c>
      <c r="E341" s="1" t="s">
        <v>98</v>
      </c>
      <c r="F341" t="s">
        <v>93</v>
      </c>
      <c r="G341" t="s">
        <v>34</v>
      </c>
      <c r="H341">
        <v>23</v>
      </c>
      <c r="I341">
        <v>1372</v>
      </c>
    </row>
    <row r="342" spans="1:9" x14ac:dyDescent="0.25">
      <c r="A342" s="5" t="str">
        <f>TrendSheetPrdData[[#This Row],[Population]]&amp;TrendSheetPrdData[[#This Row],[Cost Basis]]&amp;TrendSheetPrdData[[#This Row],[Period]]&amp;TrendSheetPrdData[[#This Row],[Trend]]</f>
        <v>BAYVIEW EMPLOYEEAllowed2016-09-01Drug Claim Count</v>
      </c>
      <c r="B342" t="s">
        <v>127</v>
      </c>
      <c r="C342" t="s">
        <v>127</v>
      </c>
      <c r="D342" t="s">
        <v>91</v>
      </c>
      <c r="E342" s="1" t="s">
        <v>99</v>
      </c>
      <c r="F342" t="s">
        <v>93</v>
      </c>
      <c r="G342" t="s">
        <v>34</v>
      </c>
      <c r="H342">
        <v>23</v>
      </c>
      <c r="I342">
        <v>1355</v>
      </c>
    </row>
    <row r="343" spans="1:9" x14ac:dyDescent="0.25">
      <c r="A343" s="5" t="str">
        <f>TrendSheetPrdData[[#This Row],[Population]]&amp;TrendSheetPrdData[[#This Row],[Cost Basis]]&amp;TrendSheetPrdData[[#This Row],[Period]]&amp;TrendSheetPrdData[[#This Row],[Trend]]</f>
        <v>BAYVIEW EMPLOYEEAllowed2016-10-01Drug Claim Count</v>
      </c>
      <c r="B343" t="s">
        <v>127</v>
      </c>
      <c r="C343" t="s">
        <v>127</v>
      </c>
      <c r="D343" t="s">
        <v>91</v>
      </c>
      <c r="E343" s="1" t="s">
        <v>100</v>
      </c>
      <c r="F343" t="s">
        <v>93</v>
      </c>
      <c r="G343" t="s">
        <v>34</v>
      </c>
      <c r="H343">
        <v>23</v>
      </c>
      <c r="I343">
        <v>1428</v>
      </c>
    </row>
    <row r="344" spans="1:9" x14ac:dyDescent="0.25">
      <c r="A344" s="5" t="str">
        <f>TrendSheetPrdData[[#This Row],[Population]]&amp;TrendSheetPrdData[[#This Row],[Cost Basis]]&amp;TrendSheetPrdData[[#This Row],[Period]]&amp;TrendSheetPrdData[[#This Row],[Trend]]</f>
        <v>BAYVIEW EMPLOYEEAllowed2016-11-01Drug Claim Count</v>
      </c>
      <c r="B344" t="s">
        <v>127</v>
      </c>
      <c r="C344" t="s">
        <v>127</v>
      </c>
      <c r="D344" t="s">
        <v>91</v>
      </c>
      <c r="E344" s="1" t="s">
        <v>101</v>
      </c>
      <c r="F344" t="s">
        <v>106</v>
      </c>
      <c r="G344" t="s">
        <v>34</v>
      </c>
      <c r="H344">
        <v>23</v>
      </c>
      <c r="I344">
        <v>1412</v>
      </c>
    </row>
    <row r="345" spans="1:9" x14ac:dyDescent="0.25">
      <c r="A345" s="5" t="str">
        <f>TrendSheetPrdData[[#This Row],[Population]]&amp;TrendSheetPrdData[[#This Row],[Cost Basis]]&amp;TrendSheetPrdData[[#This Row],[Period]]&amp;TrendSheetPrdData[[#This Row],[Trend]]</f>
        <v>BAYVIEW EMPLOYEEAllowed2016-12-01Drug Claim Count</v>
      </c>
      <c r="B345" t="s">
        <v>127</v>
      </c>
      <c r="C345" t="s">
        <v>127</v>
      </c>
      <c r="D345" t="s">
        <v>91</v>
      </c>
      <c r="E345" s="1" t="s">
        <v>102</v>
      </c>
      <c r="F345" t="s">
        <v>106</v>
      </c>
      <c r="G345" t="s">
        <v>34</v>
      </c>
      <c r="H345">
        <v>23</v>
      </c>
      <c r="I345">
        <v>1546</v>
      </c>
    </row>
    <row r="346" spans="1:9" x14ac:dyDescent="0.25">
      <c r="A346" s="5" t="str">
        <f>TrendSheetPrdData[[#This Row],[Population]]&amp;TrendSheetPrdData[[#This Row],[Cost Basis]]&amp;TrendSheetPrdData[[#This Row],[Period]]&amp;TrendSheetPrdData[[#This Row],[Trend]]</f>
        <v>BAYVIEW EMPLOYEEAllowed2017-01-01Drug Claim Count</v>
      </c>
      <c r="B346" t="s">
        <v>127</v>
      </c>
      <c r="C346" t="s">
        <v>127</v>
      </c>
      <c r="D346" t="s">
        <v>91</v>
      </c>
      <c r="E346" s="1" t="s">
        <v>103</v>
      </c>
      <c r="F346" t="s">
        <v>106</v>
      </c>
      <c r="G346" t="s">
        <v>34</v>
      </c>
      <c r="H346">
        <v>23</v>
      </c>
      <c r="I346">
        <v>1053</v>
      </c>
    </row>
    <row r="347" spans="1:9" x14ac:dyDescent="0.25">
      <c r="A347" s="5" t="str">
        <f>TrendSheetPrdData[[#This Row],[Population]]&amp;TrendSheetPrdData[[#This Row],[Cost Basis]]&amp;TrendSheetPrdData[[#This Row],[Period]]&amp;TrendSheetPrdData[[#This Row],[Trend]]</f>
        <v>BAYVIEW EMPLOYEEPaid2015-11-01Medical PMPM</v>
      </c>
      <c r="B347" t="s">
        <v>127</v>
      </c>
      <c r="C347" t="s">
        <v>127</v>
      </c>
      <c r="D347" t="s">
        <v>78</v>
      </c>
      <c r="E347" s="1" t="s">
        <v>130</v>
      </c>
      <c r="F347" t="s">
        <v>93</v>
      </c>
      <c r="G347" t="s">
        <v>12</v>
      </c>
      <c r="H347">
        <v>1</v>
      </c>
      <c r="I347">
        <v>241.81</v>
      </c>
    </row>
    <row r="348" spans="1:9" x14ac:dyDescent="0.25">
      <c r="A348" s="5" t="str">
        <f>TrendSheetPrdData[[#This Row],[Population]]&amp;TrendSheetPrdData[[#This Row],[Cost Basis]]&amp;TrendSheetPrdData[[#This Row],[Period]]&amp;TrendSheetPrdData[[#This Row],[Trend]]</f>
        <v>BAYVIEW EMPLOYEEPaid2015-12-01Medical PMPM</v>
      </c>
      <c r="B348" t="s">
        <v>127</v>
      </c>
      <c r="C348" t="s">
        <v>127</v>
      </c>
      <c r="D348" t="s">
        <v>78</v>
      </c>
      <c r="E348" s="1" t="s">
        <v>131</v>
      </c>
      <c r="F348" t="s">
        <v>93</v>
      </c>
      <c r="G348" t="s">
        <v>12</v>
      </c>
      <c r="H348">
        <v>1</v>
      </c>
      <c r="I348">
        <v>377.37</v>
      </c>
    </row>
    <row r="349" spans="1:9" x14ac:dyDescent="0.25">
      <c r="A349" s="5" t="str">
        <f>TrendSheetPrdData[[#This Row],[Population]]&amp;TrendSheetPrdData[[#This Row],[Cost Basis]]&amp;TrendSheetPrdData[[#This Row],[Period]]&amp;TrendSheetPrdData[[#This Row],[Trend]]</f>
        <v>BAYVIEW EMPLOYEEPaid2016-01-01Medical PMPM</v>
      </c>
      <c r="B349" t="s">
        <v>127</v>
      </c>
      <c r="C349" t="s">
        <v>127</v>
      </c>
      <c r="D349" t="s">
        <v>78</v>
      </c>
      <c r="E349" s="1" t="s">
        <v>132</v>
      </c>
      <c r="F349" t="s">
        <v>93</v>
      </c>
      <c r="G349" t="s">
        <v>12</v>
      </c>
      <c r="H349">
        <v>1</v>
      </c>
      <c r="I349">
        <v>78.39</v>
      </c>
    </row>
    <row r="350" spans="1:9" x14ac:dyDescent="0.25">
      <c r="A350" s="5" t="str">
        <f>TrendSheetPrdData[[#This Row],[Population]]&amp;TrendSheetPrdData[[#This Row],[Cost Basis]]&amp;TrendSheetPrdData[[#This Row],[Period]]&amp;TrendSheetPrdData[[#This Row],[Trend]]</f>
        <v>BAYVIEW EMPLOYEEPaid2016-02-01Medical PMPM</v>
      </c>
      <c r="B350" t="s">
        <v>127</v>
      </c>
      <c r="C350" t="s">
        <v>127</v>
      </c>
      <c r="D350" t="s">
        <v>78</v>
      </c>
      <c r="E350" s="1" t="s">
        <v>133</v>
      </c>
      <c r="F350" t="s">
        <v>93</v>
      </c>
      <c r="G350" t="s">
        <v>12</v>
      </c>
      <c r="H350">
        <v>1</v>
      </c>
      <c r="I350">
        <v>82.44</v>
      </c>
    </row>
    <row r="351" spans="1:9" x14ac:dyDescent="0.25">
      <c r="A351" s="5" t="str">
        <f>TrendSheetPrdData[[#This Row],[Population]]&amp;TrendSheetPrdData[[#This Row],[Cost Basis]]&amp;TrendSheetPrdData[[#This Row],[Period]]&amp;TrendSheetPrdData[[#This Row],[Trend]]</f>
        <v>BAYVIEW EMPLOYEEPaid2016-03-01Medical PMPM</v>
      </c>
      <c r="B351" t="s">
        <v>127</v>
      </c>
      <c r="C351" t="s">
        <v>127</v>
      </c>
      <c r="D351" t="s">
        <v>78</v>
      </c>
      <c r="E351" s="1" t="s">
        <v>92</v>
      </c>
      <c r="F351" t="s">
        <v>93</v>
      </c>
      <c r="G351" t="s">
        <v>12</v>
      </c>
      <c r="H351">
        <v>1</v>
      </c>
      <c r="I351">
        <v>365.86</v>
      </c>
    </row>
    <row r="352" spans="1:9" x14ac:dyDescent="0.25">
      <c r="A352" s="5" t="str">
        <f>TrendSheetPrdData[[#This Row],[Population]]&amp;TrendSheetPrdData[[#This Row],[Cost Basis]]&amp;TrendSheetPrdData[[#This Row],[Period]]&amp;TrendSheetPrdData[[#This Row],[Trend]]</f>
        <v>BAYVIEW EMPLOYEEPaid2016-04-01Medical PMPM</v>
      </c>
      <c r="B352" t="s">
        <v>127</v>
      </c>
      <c r="C352" t="s">
        <v>127</v>
      </c>
      <c r="D352" t="s">
        <v>78</v>
      </c>
      <c r="E352" s="1" t="s">
        <v>94</v>
      </c>
      <c r="F352" t="s">
        <v>93</v>
      </c>
      <c r="G352" t="s">
        <v>12</v>
      </c>
      <c r="H352">
        <v>1</v>
      </c>
      <c r="I352">
        <v>168.97</v>
      </c>
    </row>
    <row r="353" spans="1:9" x14ac:dyDescent="0.25">
      <c r="A353" s="5" t="str">
        <f>TrendSheetPrdData[[#This Row],[Population]]&amp;TrendSheetPrdData[[#This Row],[Cost Basis]]&amp;TrendSheetPrdData[[#This Row],[Period]]&amp;TrendSheetPrdData[[#This Row],[Trend]]</f>
        <v>BAYVIEW EMPLOYEEPaid2016-05-01Medical PMPM</v>
      </c>
      <c r="B353" t="s">
        <v>127</v>
      </c>
      <c r="C353" t="s">
        <v>127</v>
      </c>
      <c r="D353" t="s">
        <v>78</v>
      </c>
      <c r="E353" s="1" t="s">
        <v>95</v>
      </c>
      <c r="F353" t="s">
        <v>93</v>
      </c>
      <c r="G353" t="s">
        <v>12</v>
      </c>
      <c r="H353">
        <v>1</v>
      </c>
      <c r="I353">
        <v>387.94</v>
      </c>
    </row>
    <row r="354" spans="1:9" x14ac:dyDescent="0.25">
      <c r="A354" s="5" t="str">
        <f>TrendSheetPrdData[[#This Row],[Population]]&amp;TrendSheetPrdData[[#This Row],[Cost Basis]]&amp;TrendSheetPrdData[[#This Row],[Period]]&amp;TrendSheetPrdData[[#This Row],[Trend]]</f>
        <v>BAYVIEW EMPLOYEEPaid2016-06-01Medical PMPM</v>
      </c>
      <c r="B354" t="s">
        <v>127</v>
      </c>
      <c r="C354" t="s">
        <v>127</v>
      </c>
      <c r="D354" t="s">
        <v>78</v>
      </c>
      <c r="E354" s="1" t="s">
        <v>96</v>
      </c>
      <c r="F354" t="s">
        <v>93</v>
      </c>
      <c r="G354" t="s">
        <v>12</v>
      </c>
      <c r="H354">
        <v>1</v>
      </c>
      <c r="I354">
        <v>173.33</v>
      </c>
    </row>
    <row r="355" spans="1:9" x14ac:dyDescent="0.25">
      <c r="A355" s="5" t="str">
        <f>TrendSheetPrdData[[#This Row],[Population]]&amp;TrendSheetPrdData[[#This Row],[Cost Basis]]&amp;TrendSheetPrdData[[#This Row],[Period]]&amp;TrendSheetPrdData[[#This Row],[Trend]]</f>
        <v>BAYVIEW EMPLOYEEPaid2016-07-01Medical PMPM</v>
      </c>
      <c r="B355" t="s">
        <v>127</v>
      </c>
      <c r="C355" t="s">
        <v>127</v>
      </c>
      <c r="D355" t="s">
        <v>78</v>
      </c>
      <c r="E355" s="1" t="s">
        <v>97</v>
      </c>
      <c r="F355" t="s">
        <v>93</v>
      </c>
      <c r="G355" t="s">
        <v>12</v>
      </c>
      <c r="H355">
        <v>1</v>
      </c>
      <c r="I355">
        <v>123.41</v>
      </c>
    </row>
    <row r="356" spans="1:9" x14ac:dyDescent="0.25">
      <c r="A356" s="5" t="str">
        <f>TrendSheetPrdData[[#This Row],[Population]]&amp;TrendSheetPrdData[[#This Row],[Cost Basis]]&amp;TrendSheetPrdData[[#This Row],[Period]]&amp;TrendSheetPrdData[[#This Row],[Trend]]</f>
        <v>BAYVIEW EMPLOYEEPaid2016-08-01Medical PMPM</v>
      </c>
      <c r="B356" t="s">
        <v>127</v>
      </c>
      <c r="C356" t="s">
        <v>127</v>
      </c>
      <c r="D356" t="s">
        <v>78</v>
      </c>
      <c r="E356" s="1" t="s">
        <v>98</v>
      </c>
      <c r="F356" t="s">
        <v>93</v>
      </c>
      <c r="G356" t="s">
        <v>12</v>
      </c>
      <c r="H356">
        <v>1</v>
      </c>
      <c r="I356">
        <v>206.87</v>
      </c>
    </row>
    <row r="357" spans="1:9" x14ac:dyDescent="0.25">
      <c r="A357" s="5" t="str">
        <f>TrendSheetPrdData[[#This Row],[Population]]&amp;TrendSheetPrdData[[#This Row],[Cost Basis]]&amp;TrendSheetPrdData[[#This Row],[Period]]&amp;TrendSheetPrdData[[#This Row],[Trend]]</f>
        <v>BAYVIEW EMPLOYEEPaid2016-09-01Medical PMPM</v>
      </c>
      <c r="B357" t="s">
        <v>127</v>
      </c>
      <c r="C357" t="s">
        <v>127</v>
      </c>
      <c r="D357" t="s">
        <v>78</v>
      </c>
      <c r="E357" s="1" t="s">
        <v>99</v>
      </c>
      <c r="F357" t="s">
        <v>93</v>
      </c>
      <c r="G357" t="s">
        <v>12</v>
      </c>
      <c r="H357">
        <v>1</v>
      </c>
      <c r="I357">
        <v>220.49</v>
      </c>
    </row>
    <row r="358" spans="1:9" x14ac:dyDescent="0.25">
      <c r="A358" s="5" t="str">
        <f>TrendSheetPrdData[[#This Row],[Population]]&amp;TrendSheetPrdData[[#This Row],[Cost Basis]]&amp;TrendSheetPrdData[[#This Row],[Period]]&amp;TrendSheetPrdData[[#This Row],[Trend]]</f>
        <v>BAYVIEW EMPLOYEEPaid2016-10-01Medical PMPM</v>
      </c>
      <c r="B358" t="s">
        <v>127</v>
      </c>
      <c r="C358" t="s">
        <v>127</v>
      </c>
      <c r="D358" t="s">
        <v>78</v>
      </c>
      <c r="E358" s="1" t="s">
        <v>100</v>
      </c>
      <c r="F358" t="s">
        <v>93</v>
      </c>
      <c r="G358" t="s">
        <v>12</v>
      </c>
      <c r="H358">
        <v>1</v>
      </c>
      <c r="I358">
        <v>312.47000000000003</v>
      </c>
    </row>
    <row r="359" spans="1:9" x14ac:dyDescent="0.25">
      <c r="A359" s="5" t="str">
        <f>TrendSheetPrdData[[#This Row],[Population]]&amp;TrendSheetPrdData[[#This Row],[Cost Basis]]&amp;TrendSheetPrdData[[#This Row],[Period]]&amp;TrendSheetPrdData[[#This Row],[Trend]]</f>
        <v>BAYVIEW EMPLOYEEPaid2016-11-01Medical PMPM</v>
      </c>
      <c r="B359" t="s">
        <v>127</v>
      </c>
      <c r="C359" t="s">
        <v>127</v>
      </c>
      <c r="D359" t="s">
        <v>78</v>
      </c>
      <c r="E359" s="1" t="s">
        <v>101</v>
      </c>
      <c r="F359" t="s">
        <v>106</v>
      </c>
      <c r="G359" t="s">
        <v>12</v>
      </c>
      <c r="H359">
        <v>1</v>
      </c>
      <c r="I359">
        <v>99.12</v>
      </c>
    </row>
    <row r="360" spans="1:9" x14ac:dyDescent="0.25">
      <c r="A360" s="5" t="str">
        <f>TrendSheetPrdData[[#This Row],[Population]]&amp;TrendSheetPrdData[[#This Row],[Cost Basis]]&amp;TrendSheetPrdData[[#This Row],[Period]]&amp;TrendSheetPrdData[[#This Row],[Trend]]</f>
        <v>BAYVIEW EMPLOYEEPaid2016-12-01Medical PMPM</v>
      </c>
      <c r="B360" t="s">
        <v>127</v>
      </c>
      <c r="C360" t="s">
        <v>127</v>
      </c>
      <c r="D360" t="s">
        <v>78</v>
      </c>
      <c r="E360" s="1" t="s">
        <v>102</v>
      </c>
      <c r="F360" t="s">
        <v>106</v>
      </c>
      <c r="G360" t="s">
        <v>12</v>
      </c>
      <c r="H360">
        <v>1</v>
      </c>
      <c r="I360">
        <v>151.9</v>
      </c>
    </row>
    <row r="361" spans="1:9" x14ac:dyDescent="0.25">
      <c r="A361" s="5" t="str">
        <f>TrendSheetPrdData[[#This Row],[Population]]&amp;TrendSheetPrdData[[#This Row],[Cost Basis]]&amp;TrendSheetPrdData[[#This Row],[Period]]&amp;TrendSheetPrdData[[#This Row],[Trend]]</f>
        <v>BAYVIEW EMPLOYEEPaid2017-01-01Medical PMPM</v>
      </c>
      <c r="B361" t="s">
        <v>127</v>
      </c>
      <c r="C361" t="s">
        <v>127</v>
      </c>
      <c r="D361" t="s">
        <v>78</v>
      </c>
      <c r="E361" s="1" t="s">
        <v>103</v>
      </c>
      <c r="F361" t="s">
        <v>106</v>
      </c>
      <c r="G361" t="s">
        <v>12</v>
      </c>
      <c r="H361">
        <v>1</v>
      </c>
      <c r="I361">
        <v>42.76</v>
      </c>
    </row>
    <row r="362" spans="1:9" x14ac:dyDescent="0.25">
      <c r="A362" s="5" t="str">
        <f>TrendSheetPrdData[[#This Row],[Population]]&amp;TrendSheetPrdData[[#This Row],[Cost Basis]]&amp;TrendSheetPrdData[[#This Row],[Period]]&amp;TrendSheetPrdData[[#This Row],[Trend]]</f>
        <v>BAYVIEW EMPLOYEEPaid2015-11-01Drug PMPM</v>
      </c>
      <c r="B362" t="s">
        <v>127</v>
      </c>
      <c r="C362" t="s">
        <v>127</v>
      </c>
      <c r="D362" t="s">
        <v>78</v>
      </c>
      <c r="E362" s="1" t="s">
        <v>130</v>
      </c>
      <c r="F362" t="s">
        <v>93</v>
      </c>
      <c r="G362" t="s">
        <v>13</v>
      </c>
      <c r="H362">
        <v>2</v>
      </c>
      <c r="I362">
        <v>115.94</v>
      </c>
    </row>
    <row r="363" spans="1:9" x14ac:dyDescent="0.25">
      <c r="A363" s="5" t="str">
        <f>TrendSheetPrdData[[#This Row],[Population]]&amp;TrendSheetPrdData[[#This Row],[Cost Basis]]&amp;TrendSheetPrdData[[#This Row],[Period]]&amp;TrendSheetPrdData[[#This Row],[Trend]]</f>
        <v>BAYVIEW EMPLOYEEPaid2015-12-01Drug PMPM</v>
      </c>
      <c r="B363" t="s">
        <v>127</v>
      </c>
      <c r="C363" t="s">
        <v>127</v>
      </c>
      <c r="D363" t="s">
        <v>78</v>
      </c>
      <c r="E363" s="1" t="s">
        <v>131</v>
      </c>
      <c r="F363" t="s">
        <v>93</v>
      </c>
      <c r="G363" t="s">
        <v>13</v>
      </c>
      <c r="H363">
        <v>2</v>
      </c>
      <c r="I363">
        <v>135.61000000000001</v>
      </c>
    </row>
    <row r="364" spans="1:9" x14ac:dyDescent="0.25">
      <c r="A364" s="5" t="str">
        <f>TrendSheetPrdData[[#This Row],[Population]]&amp;TrendSheetPrdData[[#This Row],[Cost Basis]]&amp;TrendSheetPrdData[[#This Row],[Period]]&amp;TrendSheetPrdData[[#This Row],[Trend]]</f>
        <v>BAYVIEW EMPLOYEEPaid2016-01-01Drug PMPM</v>
      </c>
      <c r="B364" t="s">
        <v>127</v>
      </c>
      <c r="C364" t="s">
        <v>127</v>
      </c>
      <c r="D364" t="s">
        <v>78</v>
      </c>
      <c r="E364" s="1" t="s">
        <v>132</v>
      </c>
      <c r="F364" t="s">
        <v>93</v>
      </c>
      <c r="G364" t="s">
        <v>13</v>
      </c>
      <c r="H364">
        <v>2</v>
      </c>
      <c r="I364">
        <v>49.41</v>
      </c>
    </row>
    <row r="365" spans="1:9" x14ac:dyDescent="0.25">
      <c r="A365" s="5" t="str">
        <f>TrendSheetPrdData[[#This Row],[Population]]&amp;TrendSheetPrdData[[#This Row],[Cost Basis]]&amp;TrendSheetPrdData[[#This Row],[Period]]&amp;TrendSheetPrdData[[#This Row],[Trend]]</f>
        <v>BAYVIEW EMPLOYEEPaid2016-02-01Drug PMPM</v>
      </c>
      <c r="B365" t="s">
        <v>127</v>
      </c>
      <c r="C365" t="s">
        <v>127</v>
      </c>
      <c r="D365" t="s">
        <v>78</v>
      </c>
      <c r="E365" s="1" t="s">
        <v>133</v>
      </c>
      <c r="F365" t="s">
        <v>93</v>
      </c>
      <c r="G365" t="s">
        <v>13</v>
      </c>
      <c r="H365">
        <v>2</v>
      </c>
      <c r="I365">
        <v>88.37</v>
      </c>
    </row>
    <row r="366" spans="1:9" x14ac:dyDescent="0.25">
      <c r="A366" s="5" t="str">
        <f>TrendSheetPrdData[[#This Row],[Population]]&amp;TrendSheetPrdData[[#This Row],[Cost Basis]]&amp;TrendSheetPrdData[[#This Row],[Period]]&amp;TrendSheetPrdData[[#This Row],[Trend]]</f>
        <v>BAYVIEW EMPLOYEEPaid2016-03-01Drug PMPM</v>
      </c>
      <c r="B366" t="s">
        <v>127</v>
      </c>
      <c r="C366" t="s">
        <v>127</v>
      </c>
      <c r="D366" t="s">
        <v>78</v>
      </c>
      <c r="E366" s="1" t="s">
        <v>92</v>
      </c>
      <c r="F366" t="s">
        <v>93</v>
      </c>
      <c r="G366" t="s">
        <v>13</v>
      </c>
      <c r="H366">
        <v>2</v>
      </c>
      <c r="I366">
        <v>108.17</v>
      </c>
    </row>
    <row r="367" spans="1:9" x14ac:dyDescent="0.25">
      <c r="A367" s="5" t="str">
        <f>TrendSheetPrdData[[#This Row],[Population]]&amp;TrendSheetPrdData[[#This Row],[Cost Basis]]&amp;TrendSheetPrdData[[#This Row],[Period]]&amp;TrendSheetPrdData[[#This Row],[Trend]]</f>
        <v>BAYVIEW EMPLOYEEPaid2016-04-01Drug PMPM</v>
      </c>
      <c r="B367" t="s">
        <v>127</v>
      </c>
      <c r="C367" t="s">
        <v>127</v>
      </c>
      <c r="D367" t="s">
        <v>78</v>
      </c>
      <c r="E367" s="1" t="s">
        <v>94</v>
      </c>
      <c r="F367" t="s">
        <v>93</v>
      </c>
      <c r="G367" t="s">
        <v>13</v>
      </c>
      <c r="H367">
        <v>2</v>
      </c>
      <c r="I367">
        <v>98.43</v>
      </c>
    </row>
    <row r="368" spans="1:9" x14ac:dyDescent="0.25">
      <c r="A368" s="5" t="str">
        <f>TrendSheetPrdData[[#This Row],[Population]]&amp;TrendSheetPrdData[[#This Row],[Cost Basis]]&amp;TrendSheetPrdData[[#This Row],[Period]]&amp;TrendSheetPrdData[[#This Row],[Trend]]</f>
        <v>BAYVIEW EMPLOYEEPaid2016-05-01Drug PMPM</v>
      </c>
      <c r="B368" t="s">
        <v>127</v>
      </c>
      <c r="C368" t="s">
        <v>127</v>
      </c>
      <c r="D368" t="s">
        <v>78</v>
      </c>
      <c r="E368" s="1" t="s">
        <v>95</v>
      </c>
      <c r="F368" t="s">
        <v>93</v>
      </c>
      <c r="G368" t="s">
        <v>13</v>
      </c>
      <c r="H368">
        <v>2</v>
      </c>
      <c r="I368">
        <v>118.65</v>
      </c>
    </row>
    <row r="369" spans="1:9" x14ac:dyDescent="0.25">
      <c r="A369" s="5" t="str">
        <f>TrendSheetPrdData[[#This Row],[Population]]&amp;TrendSheetPrdData[[#This Row],[Cost Basis]]&amp;TrendSheetPrdData[[#This Row],[Period]]&amp;TrendSheetPrdData[[#This Row],[Trend]]</f>
        <v>BAYVIEW EMPLOYEEPaid2016-06-01Drug PMPM</v>
      </c>
      <c r="B369" t="s">
        <v>127</v>
      </c>
      <c r="C369" t="s">
        <v>127</v>
      </c>
      <c r="D369" t="s">
        <v>78</v>
      </c>
      <c r="E369" s="1" t="s">
        <v>96</v>
      </c>
      <c r="F369" t="s">
        <v>93</v>
      </c>
      <c r="G369" t="s">
        <v>13</v>
      </c>
      <c r="H369">
        <v>2</v>
      </c>
      <c r="I369">
        <v>118.41</v>
      </c>
    </row>
    <row r="370" spans="1:9" x14ac:dyDescent="0.25">
      <c r="A370" s="5" t="str">
        <f>TrendSheetPrdData[[#This Row],[Population]]&amp;TrendSheetPrdData[[#This Row],[Cost Basis]]&amp;TrendSheetPrdData[[#This Row],[Period]]&amp;TrendSheetPrdData[[#This Row],[Trend]]</f>
        <v>BAYVIEW EMPLOYEEPaid2016-07-01Drug PMPM</v>
      </c>
      <c r="B370" t="s">
        <v>127</v>
      </c>
      <c r="C370" t="s">
        <v>127</v>
      </c>
      <c r="D370" t="s">
        <v>78</v>
      </c>
      <c r="E370" s="1" t="s">
        <v>97</v>
      </c>
      <c r="F370" t="s">
        <v>93</v>
      </c>
      <c r="G370" t="s">
        <v>13</v>
      </c>
      <c r="H370">
        <v>2</v>
      </c>
      <c r="I370">
        <v>104.06</v>
      </c>
    </row>
    <row r="371" spans="1:9" x14ac:dyDescent="0.25">
      <c r="A371" s="5" t="str">
        <f>TrendSheetPrdData[[#This Row],[Population]]&amp;TrendSheetPrdData[[#This Row],[Cost Basis]]&amp;TrendSheetPrdData[[#This Row],[Period]]&amp;TrendSheetPrdData[[#This Row],[Trend]]</f>
        <v>BAYVIEW EMPLOYEEPaid2016-08-01Drug PMPM</v>
      </c>
      <c r="B371" t="s">
        <v>127</v>
      </c>
      <c r="C371" t="s">
        <v>127</v>
      </c>
      <c r="D371" t="s">
        <v>78</v>
      </c>
      <c r="E371" s="1" t="s">
        <v>98</v>
      </c>
      <c r="F371" t="s">
        <v>93</v>
      </c>
      <c r="G371" t="s">
        <v>13</v>
      </c>
      <c r="H371">
        <v>2</v>
      </c>
      <c r="I371">
        <v>154.07</v>
      </c>
    </row>
    <row r="372" spans="1:9" x14ac:dyDescent="0.25">
      <c r="A372" s="5" t="str">
        <f>TrendSheetPrdData[[#This Row],[Population]]&amp;TrendSheetPrdData[[#This Row],[Cost Basis]]&amp;TrendSheetPrdData[[#This Row],[Period]]&amp;TrendSheetPrdData[[#This Row],[Trend]]</f>
        <v>BAYVIEW EMPLOYEEPaid2016-09-01Drug PMPM</v>
      </c>
      <c r="B372" t="s">
        <v>127</v>
      </c>
      <c r="C372" t="s">
        <v>127</v>
      </c>
      <c r="D372" t="s">
        <v>78</v>
      </c>
      <c r="E372" s="1" t="s">
        <v>99</v>
      </c>
      <c r="F372" t="s">
        <v>93</v>
      </c>
      <c r="G372" t="s">
        <v>13</v>
      </c>
      <c r="H372">
        <v>2</v>
      </c>
      <c r="I372">
        <v>155.13</v>
      </c>
    </row>
    <row r="373" spans="1:9" x14ac:dyDescent="0.25">
      <c r="A373" s="5" t="str">
        <f>TrendSheetPrdData[[#This Row],[Population]]&amp;TrendSheetPrdData[[#This Row],[Cost Basis]]&amp;TrendSheetPrdData[[#This Row],[Period]]&amp;TrendSheetPrdData[[#This Row],[Trend]]</f>
        <v>BAYVIEW EMPLOYEEPaid2016-10-01Drug PMPM</v>
      </c>
      <c r="B373" t="s">
        <v>127</v>
      </c>
      <c r="C373" t="s">
        <v>127</v>
      </c>
      <c r="D373" t="s">
        <v>78</v>
      </c>
      <c r="E373" s="1" t="s">
        <v>100</v>
      </c>
      <c r="F373" t="s">
        <v>93</v>
      </c>
      <c r="G373" t="s">
        <v>13</v>
      </c>
      <c r="H373">
        <v>2</v>
      </c>
      <c r="I373">
        <v>165.95</v>
      </c>
    </row>
    <row r="374" spans="1:9" x14ac:dyDescent="0.25">
      <c r="A374" s="5" t="str">
        <f>TrendSheetPrdData[[#This Row],[Population]]&amp;TrendSheetPrdData[[#This Row],[Cost Basis]]&amp;TrendSheetPrdData[[#This Row],[Period]]&amp;TrendSheetPrdData[[#This Row],[Trend]]</f>
        <v>BAYVIEW EMPLOYEEPaid2016-11-01Drug PMPM</v>
      </c>
      <c r="B374" t="s">
        <v>127</v>
      </c>
      <c r="C374" t="s">
        <v>127</v>
      </c>
      <c r="D374" t="s">
        <v>78</v>
      </c>
      <c r="E374" s="1" t="s">
        <v>101</v>
      </c>
      <c r="F374" t="s">
        <v>106</v>
      </c>
      <c r="G374" t="s">
        <v>13</v>
      </c>
      <c r="H374">
        <v>2</v>
      </c>
      <c r="I374">
        <v>141.86000000000001</v>
      </c>
    </row>
    <row r="375" spans="1:9" x14ac:dyDescent="0.25">
      <c r="A375" s="5" t="str">
        <f>TrendSheetPrdData[[#This Row],[Population]]&amp;TrendSheetPrdData[[#This Row],[Cost Basis]]&amp;TrendSheetPrdData[[#This Row],[Period]]&amp;TrendSheetPrdData[[#This Row],[Trend]]</f>
        <v>BAYVIEW EMPLOYEEPaid2016-12-01Drug PMPM</v>
      </c>
      <c r="B375" t="s">
        <v>127</v>
      </c>
      <c r="C375" t="s">
        <v>127</v>
      </c>
      <c r="D375" t="s">
        <v>78</v>
      </c>
      <c r="E375" s="1" t="s">
        <v>102</v>
      </c>
      <c r="F375" t="s">
        <v>106</v>
      </c>
      <c r="G375" t="s">
        <v>13</v>
      </c>
      <c r="H375">
        <v>2</v>
      </c>
      <c r="I375">
        <v>131.47</v>
      </c>
    </row>
    <row r="376" spans="1:9" x14ac:dyDescent="0.25">
      <c r="A376" s="5" t="str">
        <f>TrendSheetPrdData[[#This Row],[Population]]&amp;TrendSheetPrdData[[#This Row],[Cost Basis]]&amp;TrendSheetPrdData[[#This Row],[Period]]&amp;TrendSheetPrdData[[#This Row],[Trend]]</f>
        <v>BAYVIEW EMPLOYEEPaid2017-01-01Drug PMPM</v>
      </c>
      <c r="B376" t="s">
        <v>127</v>
      </c>
      <c r="C376" t="s">
        <v>127</v>
      </c>
      <c r="D376" t="s">
        <v>78</v>
      </c>
      <c r="E376" s="1" t="s">
        <v>103</v>
      </c>
      <c r="F376" t="s">
        <v>106</v>
      </c>
      <c r="G376" t="s">
        <v>13</v>
      </c>
      <c r="H376">
        <v>2</v>
      </c>
      <c r="I376">
        <v>69</v>
      </c>
    </row>
    <row r="377" spans="1:9" x14ac:dyDescent="0.25">
      <c r="A377" s="5" t="str">
        <f>TrendSheetPrdData[[#This Row],[Population]]&amp;TrendSheetPrdData[[#This Row],[Cost Basis]]&amp;TrendSheetPrdData[[#This Row],[Period]]&amp;TrendSheetPrdData[[#This Row],[Trend]]</f>
        <v>BAYVIEW EMPLOYEEPaid2015-11-01Overall PMPM</v>
      </c>
      <c r="B377" t="s">
        <v>127</v>
      </c>
      <c r="C377" t="s">
        <v>127</v>
      </c>
      <c r="D377" t="s">
        <v>78</v>
      </c>
      <c r="E377" s="1" t="s">
        <v>130</v>
      </c>
      <c r="F377" t="s">
        <v>93</v>
      </c>
      <c r="G377" t="s">
        <v>14</v>
      </c>
      <c r="H377">
        <v>3</v>
      </c>
      <c r="I377">
        <v>357.75</v>
      </c>
    </row>
    <row r="378" spans="1:9" x14ac:dyDescent="0.25">
      <c r="A378" s="5" t="str">
        <f>TrendSheetPrdData[[#This Row],[Population]]&amp;TrendSheetPrdData[[#This Row],[Cost Basis]]&amp;TrendSheetPrdData[[#This Row],[Period]]&amp;TrendSheetPrdData[[#This Row],[Trend]]</f>
        <v>BAYVIEW EMPLOYEEPaid2015-12-01Overall PMPM</v>
      </c>
      <c r="B378" t="s">
        <v>127</v>
      </c>
      <c r="C378" t="s">
        <v>127</v>
      </c>
      <c r="D378" t="s">
        <v>78</v>
      </c>
      <c r="E378" s="1" t="s">
        <v>131</v>
      </c>
      <c r="F378" t="s">
        <v>93</v>
      </c>
      <c r="G378" t="s">
        <v>14</v>
      </c>
      <c r="H378">
        <v>3</v>
      </c>
      <c r="I378">
        <v>512.98</v>
      </c>
    </row>
    <row r="379" spans="1:9" x14ac:dyDescent="0.25">
      <c r="A379" s="5" t="str">
        <f>TrendSheetPrdData[[#This Row],[Population]]&amp;TrendSheetPrdData[[#This Row],[Cost Basis]]&amp;TrendSheetPrdData[[#This Row],[Period]]&amp;TrendSheetPrdData[[#This Row],[Trend]]</f>
        <v>BAYVIEW EMPLOYEEPaid2016-01-01Overall PMPM</v>
      </c>
      <c r="B379" t="s">
        <v>127</v>
      </c>
      <c r="C379" t="s">
        <v>127</v>
      </c>
      <c r="D379" t="s">
        <v>78</v>
      </c>
      <c r="E379" s="1" t="s">
        <v>132</v>
      </c>
      <c r="F379" t="s">
        <v>93</v>
      </c>
      <c r="G379" t="s">
        <v>14</v>
      </c>
      <c r="H379">
        <v>3</v>
      </c>
      <c r="I379">
        <v>127.8</v>
      </c>
    </row>
    <row r="380" spans="1:9" x14ac:dyDescent="0.25">
      <c r="A380" s="5" t="str">
        <f>TrendSheetPrdData[[#This Row],[Population]]&amp;TrendSheetPrdData[[#This Row],[Cost Basis]]&amp;TrendSheetPrdData[[#This Row],[Period]]&amp;TrendSheetPrdData[[#This Row],[Trend]]</f>
        <v>BAYVIEW EMPLOYEEPaid2016-02-01Overall PMPM</v>
      </c>
      <c r="B380" t="s">
        <v>127</v>
      </c>
      <c r="C380" t="s">
        <v>127</v>
      </c>
      <c r="D380" t="s">
        <v>78</v>
      </c>
      <c r="E380" s="1" t="s">
        <v>133</v>
      </c>
      <c r="F380" t="s">
        <v>93</v>
      </c>
      <c r="G380" t="s">
        <v>14</v>
      </c>
      <c r="H380">
        <v>3</v>
      </c>
      <c r="I380">
        <v>170.81</v>
      </c>
    </row>
    <row r="381" spans="1:9" x14ac:dyDescent="0.25">
      <c r="A381" s="5" t="str">
        <f>TrendSheetPrdData[[#This Row],[Population]]&amp;TrendSheetPrdData[[#This Row],[Cost Basis]]&amp;TrendSheetPrdData[[#This Row],[Period]]&amp;TrendSheetPrdData[[#This Row],[Trend]]</f>
        <v>BAYVIEW EMPLOYEEPaid2016-03-01Overall PMPM</v>
      </c>
      <c r="B381" t="s">
        <v>127</v>
      </c>
      <c r="C381" t="s">
        <v>127</v>
      </c>
      <c r="D381" t="s">
        <v>78</v>
      </c>
      <c r="E381" s="1" t="s">
        <v>92</v>
      </c>
      <c r="F381" t="s">
        <v>93</v>
      </c>
      <c r="G381" t="s">
        <v>14</v>
      </c>
      <c r="H381">
        <v>3</v>
      </c>
      <c r="I381">
        <v>474.03</v>
      </c>
    </row>
    <row r="382" spans="1:9" x14ac:dyDescent="0.25">
      <c r="A382" s="5" t="str">
        <f>TrendSheetPrdData[[#This Row],[Population]]&amp;TrendSheetPrdData[[#This Row],[Cost Basis]]&amp;TrendSheetPrdData[[#This Row],[Period]]&amp;TrendSheetPrdData[[#This Row],[Trend]]</f>
        <v>BAYVIEW EMPLOYEEPaid2016-04-01Overall PMPM</v>
      </c>
      <c r="B382" t="s">
        <v>127</v>
      </c>
      <c r="C382" t="s">
        <v>127</v>
      </c>
      <c r="D382" t="s">
        <v>78</v>
      </c>
      <c r="E382" s="1" t="s">
        <v>94</v>
      </c>
      <c r="F382" t="s">
        <v>93</v>
      </c>
      <c r="G382" t="s">
        <v>14</v>
      </c>
      <c r="H382">
        <v>3</v>
      </c>
      <c r="I382">
        <v>267.39999999999998</v>
      </c>
    </row>
    <row r="383" spans="1:9" x14ac:dyDescent="0.25">
      <c r="A383" s="5" t="str">
        <f>TrendSheetPrdData[[#This Row],[Population]]&amp;TrendSheetPrdData[[#This Row],[Cost Basis]]&amp;TrendSheetPrdData[[#This Row],[Period]]&amp;TrendSheetPrdData[[#This Row],[Trend]]</f>
        <v>BAYVIEW EMPLOYEEPaid2016-05-01Overall PMPM</v>
      </c>
      <c r="B383" t="s">
        <v>127</v>
      </c>
      <c r="C383" t="s">
        <v>127</v>
      </c>
      <c r="D383" t="s">
        <v>78</v>
      </c>
      <c r="E383" s="1" t="s">
        <v>95</v>
      </c>
      <c r="F383" t="s">
        <v>93</v>
      </c>
      <c r="G383" t="s">
        <v>14</v>
      </c>
      <c r="H383">
        <v>3</v>
      </c>
      <c r="I383">
        <v>506.59</v>
      </c>
    </row>
    <row r="384" spans="1:9" x14ac:dyDescent="0.25">
      <c r="A384" s="5" t="str">
        <f>TrendSheetPrdData[[#This Row],[Population]]&amp;TrendSheetPrdData[[#This Row],[Cost Basis]]&amp;TrendSheetPrdData[[#This Row],[Period]]&amp;TrendSheetPrdData[[#This Row],[Trend]]</f>
        <v>BAYVIEW EMPLOYEEPaid2016-06-01Overall PMPM</v>
      </c>
      <c r="B384" t="s">
        <v>127</v>
      </c>
      <c r="C384" t="s">
        <v>127</v>
      </c>
      <c r="D384" t="s">
        <v>78</v>
      </c>
      <c r="E384" s="1" t="s">
        <v>96</v>
      </c>
      <c r="F384" t="s">
        <v>93</v>
      </c>
      <c r="G384" t="s">
        <v>14</v>
      </c>
      <c r="H384">
        <v>3</v>
      </c>
      <c r="I384">
        <v>291.74</v>
      </c>
    </row>
    <row r="385" spans="1:9" x14ac:dyDescent="0.25">
      <c r="A385" s="5" t="str">
        <f>TrendSheetPrdData[[#This Row],[Population]]&amp;TrendSheetPrdData[[#This Row],[Cost Basis]]&amp;TrendSheetPrdData[[#This Row],[Period]]&amp;TrendSheetPrdData[[#This Row],[Trend]]</f>
        <v>BAYVIEW EMPLOYEEPaid2016-07-01Overall PMPM</v>
      </c>
      <c r="B385" t="s">
        <v>127</v>
      </c>
      <c r="C385" t="s">
        <v>127</v>
      </c>
      <c r="D385" t="s">
        <v>78</v>
      </c>
      <c r="E385" s="1" t="s">
        <v>97</v>
      </c>
      <c r="F385" t="s">
        <v>93</v>
      </c>
      <c r="G385" t="s">
        <v>14</v>
      </c>
      <c r="H385">
        <v>3</v>
      </c>
      <c r="I385">
        <v>227.47</v>
      </c>
    </row>
    <row r="386" spans="1:9" x14ac:dyDescent="0.25">
      <c r="A386" s="5" t="str">
        <f>TrendSheetPrdData[[#This Row],[Population]]&amp;TrendSheetPrdData[[#This Row],[Cost Basis]]&amp;TrendSheetPrdData[[#This Row],[Period]]&amp;TrendSheetPrdData[[#This Row],[Trend]]</f>
        <v>BAYVIEW EMPLOYEEPaid2016-08-01Overall PMPM</v>
      </c>
      <c r="B386" t="s">
        <v>127</v>
      </c>
      <c r="C386" t="s">
        <v>127</v>
      </c>
      <c r="D386" t="s">
        <v>78</v>
      </c>
      <c r="E386" s="1" t="s">
        <v>98</v>
      </c>
      <c r="F386" t="s">
        <v>93</v>
      </c>
      <c r="G386" t="s">
        <v>14</v>
      </c>
      <c r="H386">
        <v>3</v>
      </c>
      <c r="I386">
        <v>360.94</v>
      </c>
    </row>
    <row r="387" spans="1:9" x14ac:dyDescent="0.25">
      <c r="A387" s="5" t="str">
        <f>TrendSheetPrdData[[#This Row],[Population]]&amp;TrendSheetPrdData[[#This Row],[Cost Basis]]&amp;TrendSheetPrdData[[#This Row],[Period]]&amp;TrendSheetPrdData[[#This Row],[Trend]]</f>
        <v>BAYVIEW EMPLOYEEPaid2016-09-01Overall PMPM</v>
      </c>
      <c r="B387" t="s">
        <v>127</v>
      </c>
      <c r="C387" t="s">
        <v>127</v>
      </c>
      <c r="D387" t="s">
        <v>78</v>
      </c>
      <c r="E387" s="1" t="s">
        <v>99</v>
      </c>
      <c r="F387" t="s">
        <v>93</v>
      </c>
      <c r="G387" t="s">
        <v>14</v>
      </c>
      <c r="H387">
        <v>3</v>
      </c>
      <c r="I387">
        <v>375.62</v>
      </c>
    </row>
    <row r="388" spans="1:9" x14ac:dyDescent="0.25">
      <c r="A388" s="5" t="str">
        <f>TrendSheetPrdData[[#This Row],[Population]]&amp;TrendSheetPrdData[[#This Row],[Cost Basis]]&amp;TrendSheetPrdData[[#This Row],[Period]]&amp;TrendSheetPrdData[[#This Row],[Trend]]</f>
        <v>BAYVIEW EMPLOYEEPaid2016-10-01Overall PMPM</v>
      </c>
      <c r="B388" t="s">
        <v>127</v>
      </c>
      <c r="C388" t="s">
        <v>127</v>
      </c>
      <c r="D388" t="s">
        <v>78</v>
      </c>
      <c r="E388" s="1" t="s">
        <v>100</v>
      </c>
      <c r="F388" t="s">
        <v>93</v>
      </c>
      <c r="G388" t="s">
        <v>14</v>
      </c>
      <c r="H388">
        <v>3</v>
      </c>
      <c r="I388">
        <v>478.42</v>
      </c>
    </row>
    <row r="389" spans="1:9" x14ac:dyDescent="0.25">
      <c r="A389" s="5" t="str">
        <f>TrendSheetPrdData[[#This Row],[Population]]&amp;TrendSheetPrdData[[#This Row],[Cost Basis]]&amp;TrendSheetPrdData[[#This Row],[Period]]&amp;TrendSheetPrdData[[#This Row],[Trend]]</f>
        <v>BAYVIEW EMPLOYEEPaid2016-11-01Overall PMPM</v>
      </c>
      <c r="B389" t="s">
        <v>127</v>
      </c>
      <c r="C389" t="s">
        <v>127</v>
      </c>
      <c r="D389" t="s">
        <v>78</v>
      </c>
      <c r="E389" s="1" t="s">
        <v>101</v>
      </c>
      <c r="F389" t="s">
        <v>106</v>
      </c>
      <c r="G389" t="s">
        <v>14</v>
      </c>
      <c r="H389">
        <v>3</v>
      </c>
      <c r="I389">
        <v>240.98</v>
      </c>
    </row>
    <row r="390" spans="1:9" x14ac:dyDescent="0.25">
      <c r="A390" s="5" t="str">
        <f>TrendSheetPrdData[[#This Row],[Population]]&amp;TrendSheetPrdData[[#This Row],[Cost Basis]]&amp;TrendSheetPrdData[[#This Row],[Period]]&amp;TrendSheetPrdData[[#This Row],[Trend]]</f>
        <v>BAYVIEW EMPLOYEEPaid2016-12-01Overall PMPM</v>
      </c>
      <c r="B390" t="s">
        <v>127</v>
      </c>
      <c r="C390" t="s">
        <v>127</v>
      </c>
      <c r="D390" t="s">
        <v>78</v>
      </c>
      <c r="E390" s="1" t="s">
        <v>102</v>
      </c>
      <c r="F390" t="s">
        <v>106</v>
      </c>
      <c r="G390" t="s">
        <v>14</v>
      </c>
      <c r="H390">
        <v>3</v>
      </c>
      <c r="I390">
        <v>283.37</v>
      </c>
    </row>
    <row r="391" spans="1:9" x14ac:dyDescent="0.25">
      <c r="A391" s="5" t="str">
        <f>TrendSheetPrdData[[#This Row],[Population]]&amp;TrendSheetPrdData[[#This Row],[Cost Basis]]&amp;TrendSheetPrdData[[#This Row],[Period]]&amp;TrendSheetPrdData[[#This Row],[Trend]]</f>
        <v>BAYVIEW EMPLOYEEPaid2017-01-01Overall PMPM</v>
      </c>
      <c r="B391" t="s">
        <v>127</v>
      </c>
      <c r="C391" t="s">
        <v>127</v>
      </c>
      <c r="D391" t="s">
        <v>78</v>
      </c>
      <c r="E391" s="1" t="s">
        <v>103</v>
      </c>
      <c r="F391" t="s">
        <v>106</v>
      </c>
      <c r="G391" t="s">
        <v>14</v>
      </c>
      <c r="H391">
        <v>3</v>
      </c>
      <c r="I391">
        <v>111.76</v>
      </c>
    </row>
    <row r="392" spans="1:9" x14ac:dyDescent="0.25">
      <c r="A392" s="5" t="str">
        <f>TrendSheetPrdData[[#This Row],[Population]]&amp;TrendSheetPrdData[[#This Row],[Cost Basis]]&amp;TrendSheetPrdData[[#This Row],[Period]]&amp;TrendSheetPrdData[[#This Row],[Trend]]</f>
        <v>BAYVIEW EMPLOYEEPaid2015-11-01Readmission Cost</v>
      </c>
      <c r="B392" t="s">
        <v>127</v>
      </c>
      <c r="C392" t="s">
        <v>127</v>
      </c>
      <c r="D392" t="s">
        <v>78</v>
      </c>
      <c r="E392" s="1" t="s">
        <v>130</v>
      </c>
      <c r="F392" t="s">
        <v>93</v>
      </c>
      <c r="G392" t="s">
        <v>15</v>
      </c>
      <c r="H392">
        <v>4</v>
      </c>
      <c r="I392">
        <v>0</v>
      </c>
    </row>
    <row r="393" spans="1:9" x14ac:dyDescent="0.25">
      <c r="A393" s="5" t="str">
        <f>TrendSheetPrdData[[#This Row],[Population]]&amp;TrendSheetPrdData[[#This Row],[Cost Basis]]&amp;TrendSheetPrdData[[#This Row],[Period]]&amp;TrendSheetPrdData[[#This Row],[Trend]]</f>
        <v>BAYVIEW EMPLOYEEPaid2015-12-01Readmission Cost</v>
      </c>
      <c r="B393" t="s">
        <v>127</v>
      </c>
      <c r="C393" t="s">
        <v>127</v>
      </c>
      <c r="D393" t="s">
        <v>78</v>
      </c>
      <c r="E393" s="1" t="s">
        <v>131</v>
      </c>
      <c r="F393" t="s">
        <v>93</v>
      </c>
      <c r="G393" t="s">
        <v>15</v>
      </c>
      <c r="H393">
        <v>4</v>
      </c>
      <c r="I393">
        <v>0</v>
      </c>
    </row>
    <row r="394" spans="1:9" x14ac:dyDescent="0.25">
      <c r="A394" s="5" t="str">
        <f>TrendSheetPrdData[[#This Row],[Population]]&amp;TrendSheetPrdData[[#This Row],[Cost Basis]]&amp;TrendSheetPrdData[[#This Row],[Period]]&amp;TrendSheetPrdData[[#This Row],[Trend]]</f>
        <v>BAYVIEW EMPLOYEEPaid2016-01-01Readmission Cost</v>
      </c>
      <c r="B394" t="s">
        <v>127</v>
      </c>
      <c r="C394" t="s">
        <v>127</v>
      </c>
      <c r="D394" t="s">
        <v>78</v>
      </c>
      <c r="E394" s="1" t="s">
        <v>132</v>
      </c>
      <c r="F394" t="s">
        <v>93</v>
      </c>
      <c r="G394" t="s">
        <v>15</v>
      </c>
      <c r="H394">
        <v>4</v>
      </c>
      <c r="I394">
        <v>0</v>
      </c>
    </row>
    <row r="395" spans="1:9" x14ac:dyDescent="0.25">
      <c r="A395" s="5" t="str">
        <f>TrendSheetPrdData[[#This Row],[Population]]&amp;TrendSheetPrdData[[#This Row],[Cost Basis]]&amp;TrendSheetPrdData[[#This Row],[Period]]&amp;TrendSheetPrdData[[#This Row],[Trend]]</f>
        <v>BAYVIEW EMPLOYEEPaid2016-02-01Readmission Cost</v>
      </c>
      <c r="B395" t="s">
        <v>127</v>
      </c>
      <c r="C395" t="s">
        <v>127</v>
      </c>
      <c r="D395" t="s">
        <v>78</v>
      </c>
      <c r="E395" s="1" t="s">
        <v>133</v>
      </c>
      <c r="F395" t="s">
        <v>93</v>
      </c>
      <c r="G395" t="s">
        <v>15</v>
      </c>
      <c r="H395">
        <v>4</v>
      </c>
      <c r="I395">
        <v>0</v>
      </c>
    </row>
    <row r="396" spans="1:9" x14ac:dyDescent="0.25">
      <c r="A396" s="5" t="str">
        <f>TrendSheetPrdData[[#This Row],[Population]]&amp;TrendSheetPrdData[[#This Row],[Cost Basis]]&amp;TrendSheetPrdData[[#This Row],[Period]]&amp;TrendSheetPrdData[[#This Row],[Trend]]</f>
        <v>BAYVIEW EMPLOYEEPaid2016-03-01Readmission Cost</v>
      </c>
      <c r="B396" t="s">
        <v>127</v>
      </c>
      <c r="C396" t="s">
        <v>127</v>
      </c>
      <c r="D396" t="s">
        <v>78</v>
      </c>
      <c r="E396" s="1" t="s">
        <v>92</v>
      </c>
      <c r="F396" t="s">
        <v>93</v>
      </c>
      <c r="G396" t="s">
        <v>15</v>
      </c>
      <c r="H396">
        <v>4</v>
      </c>
      <c r="I396">
        <v>17481.89</v>
      </c>
    </row>
    <row r="397" spans="1:9" x14ac:dyDescent="0.25">
      <c r="A397" s="5" t="str">
        <f>TrendSheetPrdData[[#This Row],[Population]]&amp;TrendSheetPrdData[[#This Row],[Cost Basis]]&amp;TrendSheetPrdData[[#This Row],[Period]]&amp;TrendSheetPrdData[[#This Row],[Trend]]</f>
        <v>BAYVIEW EMPLOYEEPaid2016-04-01Readmission Cost</v>
      </c>
      <c r="B397" t="s">
        <v>127</v>
      </c>
      <c r="C397" t="s">
        <v>127</v>
      </c>
      <c r="D397" t="s">
        <v>78</v>
      </c>
      <c r="E397" s="1" t="s">
        <v>94</v>
      </c>
      <c r="F397" t="s">
        <v>93</v>
      </c>
      <c r="G397" t="s">
        <v>15</v>
      </c>
      <c r="H397">
        <v>4</v>
      </c>
      <c r="I397">
        <v>10921.83</v>
      </c>
    </row>
    <row r="398" spans="1:9" x14ac:dyDescent="0.25">
      <c r="A398" s="5" t="str">
        <f>TrendSheetPrdData[[#This Row],[Population]]&amp;TrendSheetPrdData[[#This Row],[Cost Basis]]&amp;TrendSheetPrdData[[#This Row],[Period]]&amp;TrendSheetPrdData[[#This Row],[Trend]]</f>
        <v>BAYVIEW EMPLOYEEPaid2016-05-01Readmission Cost</v>
      </c>
      <c r="B398" t="s">
        <v>127</v>
      </c>
      <c r="C398" t="s">
        <v>127</v>
      </c>
      <c r="D398" t="s">
        <v>78</v>
      </c>
      <c r="E398" s="1" t="s">
        <v>95</v>
      </c>
      <c r="F398" t="s">
        <v>93</v>
      </c>
      <c r="G398" t="s">
        <v>15</v>
      </c>
      <c r="H398">
        <v>4</v>
      </c>
      <c r="I398">
        <v>9619.9500000000007</v>
      </c>
    </row>
    <row r="399" spans="1:9" x14ac:dyDescent="0.25">
      <c r="A399" s="5" t="str">
        <f>TrendSheetPrdData[[#This Row],[Population]]&amp;TrendSheetPrdData[[#This Row],[Cost Basis]]&amp;TrendSheetPrdData[[#This Row],[Period]]&amp;TrendSheetPrdData[[#This Row],[Trend]]</f>
        <v>BAYVIEW EMPLOYEEPaid2016-06-01Readmission Cost</v>
      </c>
      <c r="B399" t="s">
        <v>127</v>
      </c>
      <c r="C399" t="s">
        <v>127</v>
      </c>
      <c r="D399" t="s">
        <v>78</v>
      </c>
      <c r="E399" s="1" t="s">
        <v>96</v>
      </c>
      <c r="F399" t="s">
        <v>93</v>
      </c>
      <c r="G399" t="s">
        <v>15</v>
      </c>
      <c r="H399">
        <v>4</v>
      </c>
      <c r="I399">
        <v>0</v>
      </c>
    </row>
    <row r="400" spans="1:9" x14ac:dyDescent="0.25">
      <c r="A400" s="5" t="str">
        <f>TrendSheetPrdData[[#This Row],[Population]]&amp;TrendSheetPrdData[[#This Row],[Cost Basis]]&amp;TrendSheetPrdData[[#This Row],[Period]]&amp;TrendSheetPrdData[[#This Row],[Trend]]</f>
        <v>BAYVIEW EMPLOYEEPaid2016-07-01Readmission Cost</v>
      </c>
      <c r="B400" t="s">
        <v>127</v>
      </c>
      <c r="C400" t="s">
        <v>127</v>
      </c>
      <c r="D400" t="s">
        <v>78</v>
      </c>
      <c r="E400" s="1" t="s">
        <v>97</v>
      </c>
      <c r="F400" t="s">
        <v>93</v>
      </c>
      <c r="G400" t="s">
        <v>15</v>
      </c>
      <c r="H400">
        <v>4</v>
      </c>
      <c r="I400">
        <v>8777.7099999999991</v>
      </c>
    </row>
    <row r="401" spans="1:9" x14ac:dyDescent="0.25">
      <c r="A401" s="5" t="str">
        <f>TrendSheetPrdData[[#This Row],[Population]]&amp;TrendSheetPrdData[[#This Row],[Cost Basis]]&amp;TrendSheetPrdData[[#This Row],[Period]]&amp;TrendSheetPrdData[[#This Row],[Trend]]</f>
        <v>BAYVIEW EMPLOYEEPaid2016-08-01Readmission Cost</v>
      </c>
      <c r="B401" t="s">
        <v>127</v>
      </c>
      <c r="C401" t="s">
        <v>127</v>
      </c>
      <c r="D401" t="s">
        <v>78</v>
      </c>
      <c r="E401" s="1" t="s">
        <v>98</v>
      </c>
      <c r="F401" t="s">
        <v>93</v>
      </c>
      <c r="G401" t="s">
        <v>15</v>
      </c>
      <c r="H401">
        <v>4</v>
      </c>
      <c r="I401">
        <v>0</v>
      </c>
    </row>
    <row r="402" spans="1:9" x14ac:dyDescent="0.25">
      <c r="A402" s="5" t="str">
        <f>TrendSheetPrdData[[#This Row],[Population]]&amp;TrendSheetPrdData[[#This Row],[Cost Basis]]&amp;TrendSheetPrdData[[#This Row],[Period]]&amp;TrendSheetPrdData[[#This Row],[Trend]]</f>
        <v>BAYVIEW EMPLOYEEPaid2016-09-01Readmission Cost</v>
      </c>
      <c r="B402" t="s">
        <v>127</v>
      </c>
      <c r="C402" t="s">
        <v>127</v>
      </c>
      <c r="D402" t="s">
        <v>78</v>
      </c>
      <c r="E402" s="1" t="s">
        <v>99</v>
      </c>
      <c r="F402" t="s">
        <v>93</v>
      </c>
      <c r="G402" t="s">
        <v>15</v>
      </c>
      <c r="H402">
        <v>4</v>
      </c>
      <c r="I402">
        <v>0</v>
      </c>
    </row>
    <row r="403" spans="1:9" x14ac:dyDescent="0.25">
      <c r="A403" s="5" t="str">
        <f>TrendSheetPrdData[[#This Row],[Population]]&amp;TrendSheetPrdData[[#This Row],[Cost Basis]]&amp;TrendSheetPrdData[[#This Row],[Period]]&amp;TrendSheetPrdData[[#This Row],[Trend]]</f>
        <v>BAYVIEW EMPLOYEEPaid2016-10-01Readmission Cost</v>
      </c>
      <c r="B403" t="s">
        <v>127</v>
      </c>
      <c r="C403" t="s">
        <v>127</v>
      </c>
      <c r="D403" t="s">
        <v>78</v>
      </c>
      <c r="E403" s="1" t="s">
        <v>100</v>
      </c>
      <c r="F403" t="s">
        <v>93</v>
      </c>
      <c r="G403" t="s">
        <v>15</v>
      </c>
      <c r="H403">
        <v>4</v>
      </c>
      <c r="I403">
        <v>0</v>
      </c>
    </row>
    <row r="404" spans="1:9" x14ac:dyDescent="0.25">
      <c r="A404" s="5" t="str">
        <f>TrendSheetPrdData[[#This Row],[Population]]&amp;TrendSheetPrdData[[#This Row],[Cost Basis]]&amp;TrendSheetPrdData[[#This Row],[Period]]&amp;TrendSheetPrdData[[#This Row],[Trend]]</f>
        <v>BAYVIEW EMPLOYEEPaid2016-11-01Readmission Cost</v>
      </c>
      <c r="B404" t="s">
        <v>127</v>
      </c>
      <c r="C404" t="s">
        <v>127</v>
      </c>
      <c r="D404" t="s">
        <v>78</v>
      </c>
      <c r="E404" s="1" t="s">
        <v>101</v>
      </c>
      <c r="F404" t="s">
        <v>106</v>
      </c>
      <c r="G404" t="s">
        <v>15</v>
      </c>
      <c r="H404">
        <v>4</v>
      </c>
      <c r="I404">
        <v>0</v>
      </c>
    </row>
    <row r="405" spans="1:9" x14ac:dyDescent="0.25">
      <c r="A405" s="5" t="str">
        <f>TrendSheetPrdData[[#This Row],[Population]]&amp;TrendSheetPrdData[[#This Row],[Cost Basis]]&amp;TrendSheetPrdData[[#This Row],[Period]]&amp;TrendSheetPrdData[[#This Row],[Trend]]</f>
        <v>BAYVIEW EMPLOYEEPaid2016-12-01Readmission Cost</v>
      </c>
      <c r="B405" t="s">
        <v>127</v>
      </c>
      <c r="C405" t="s">
        <v>127</v>
      </c>
      <c r="D405" t="s">
        <v>78</v>
      </c>
      <c r="E405" s="1" t="s">
        <v>102</v>
      </c>
      <c r="F405" t="s">
        <v>106</v>
      </c>
      <c r="G405" t="s">
        <v>15</v>
      </c>
      <c r="H405">
        <v>4</v>
      </c>
      <c r="I405">
        <v>0</v>
      </c>
    </row>
    <row r="406" spans="1:9" x14ac:dyDescent="0.25">
      <c r="A406" s="5" t="str">
        <f>TrendSheetPrdData[[#This Row],[Population]]&amp;TrendSheetPrdData[[#This Row],[Cost Basis]]&amp;TrendSheetPrdData[[#This Row],[Period]]&amp;TrendSheetPrdData[[#This Row],[Trend]]</f>
        <v>BAYVIEW EMPLOYEEPaid2017-01-01Readmission Cost</v>
      </c>
      <c r="B406" t="s">
        <v>127</v>
      </c>
      <c r="C406" t="s">
        <v>127</v>
      </c>
      <c r="D406" t="s">
        <v>78</v>
      </c>
      <c r="E406" s="1" t="s">
        <v>103</v>
      </c>
      <c r="F406" t="s">
        <v>106</v>
      </c>
      <c r="G406" t="s">
        <v>15</v>
      </c>
      <c r="H406">
        <v>4</v>
      </c>
      <c r="I406">
        <v>0</v>
      </c>
    </row>
    <row r="407" spans="1:9" x14ac:dyDescent="0.25">
      <c r="A407" s="5" t="str">
        <f>TrendSheetPrdData[[#This Row],[Population]]&amp;TrendSheetPrdData[[#This Row],[Cost Basis]]&amp;TrendSheetPrdData[[#This Row],[Period]]&amp;TrendSheetPrdData[[#This Row],[Trend]]</f>
        <v>BAYVIEW EMPLOYEEPaid2015-11-01Readmission Quality</v>
      </c>
      <c r="B407" t="s">
        <v>127</v>
      </c>
      <c r="C407" t="s">
        <v>127</v>
      </c>
      <c r="D407" t="s">
        <v>78</v>
      </c>
      <c r="E407" s="1" t="s">
        <v>130</v>
      </c>
      <c r="F407" t="s">
        <v>93</v>
      </c>
      <c r="G407" t="s">
        <v>16</v>
      </c>
      <c r="H407">
        <v>5</v>
      </c>
      <c r="I407">
        <v>0</v>
      </c>
    </row>
    <row r="408" spans="1:9" x14ac:dyDescent="0.25">
      <c r="A408" s="5" t="str">
        <f>TrendSheetPrdData[[#This Row],[Population]]&amp;TrendSheetPrdData[[#This Row],[Cost Basis]]&amp;TrendSheetPrdData[[#This Row],[Period]]&amp;TrendSheetPrdData[[#This Row],[Trend]]</f>
        <v>BAYVIEW EMPLOYEEPaid2015-12-01Readmission Quality</v>
      </c>
      <c r="B408" t="s">
        <v>127</v>
      </c>
      <c r="C408" t="s">
        <v>127</v>
      </c>
      <c r="D408" t="s">
        <v>78</v>
      </c>
      <c r="E408" s="1" t="s">
        <v>131</v>
      </c>
      <c r="F408" t="s">
        <v>93</v>
      </c>
      <c r="G408" t="s">
        <v>16</v>
      </c>
      <c r="H408">
        <v>5</v>
      </c>
      <c r="I408">
        <v>0</v>
      </c>
    </row>
    <row r="409" spans="1:9" x14ac:dyDescent="0.25">
      <c r="A409" s="5" t="str">
        <f>TrendSheetPrdData[[#This Row],[Population]]&amp;TrendSheetPrdData[[#This Row],[Cost Basis]]&amp;TrendSheetPrdData[[#This Row],[Period]]&amp;TrendSheetPrdData[[#This Row],[Trend]]</f>
        <v>BAYVIEW EMPLOYEEPaid2016-01-01Readmission Quality</v>
      </c>
      <c r="B409" t="s">
        <v>127</v>
      </c>
      <c r="C409" t="s">
        <v>127</v>
      </c>
      <c r="D409" t="s">
        <v>78</v>
      </c>
      <c r="E409" s="1" t="s">
        <v>132</v>
      </c>
      <c r="F409" t="s">
        <v>93</v>
      </c>
      <c r="G409" t="s">
        <v>16</v>
      </c>
      <c r="H409">
        <v>5</v>
      </c>
      <c r="I409">
        <v>0</v>
      </c>
    </row>
    <row r="410" spans="1:9" x14ac:dyDescent="0.25">
      <c r="A410" s="5" t="str">
        <f>TrendSheetPrdData[[#This Row],[Population]]&amp;TrendSheetPrdData[[#This Row],[Cost Basis]]&amp;TrendSheetPrdData[[#This Row],[Period]]&amp;TrendSheetPrdData[[#This Row],[Trend]]</f>
        <v>BAYVIEW EMPLOYEEPaid2016-02-01Readmission Quality</v>
      </c>
      <c r="B410" t="s">
        <v>127</v>
      </c>
      <c r="C410" t="s">
        <v>127</v>
      </c>
      <c r="D410" t="s">
        <v>78</v>
      </c>
      <c r="E410" s="1" t="s">
        <v>133</v>
      </c>
      <c r="F410" t="s">
        <v>93</v>
      </c>
      <c r="G410" t="s">
        <v>16</v>
      </c>
      <c r="H410">
        <v>5</v>
      </c>
      <c r="I410">
        <v>0</v>
      </c>
    </row>
    <row r="411" spans="1:9" x14ac:dyDescent="0.25">
      <c r="A411" s="5" t="str">
        <f>TrendSheetPrdData[[#This Row],[Population]]&amp;TrendSheetPrdData[[#This Row],[Cost Basis]]&amp;TrendSheetPrdData[[#This Row],[Period]]&amp;TrendSheetPrdData[[#This Row],[Trend]]</f>
        <v>BAYVIEW EMPLOYEEPaid2016-03-01Readmission Quality</v>
      </c>
      <c r="B411" t="s">
        <v>127</v>
      </c>
      <c r="C411" t="s">
        <v>127</v>
      </c>
      <c r="D411" t="s">
        <v>78</v>
      </c>
      <c r="E411" s="1" t="s">
        <v>92</v>
      </c>
      <c r="F411" t="s">
        <v>93</v>
      </c>
      <c r="G411" t="s">
        <v>16</v>
      </c>
      <c r="H411">
        <v>5</v>
      </c>
      <c r="I411">
        <v>1</v>
      </c>
    </row>
    <row r="412" spans="1:9" x14ac:dyDescent="0.25">
      <c r="A412" s="5" t="str">
        <f>TrendSheetPrdData[[#This Row],[Population]]&amp;TrendSheetPrdData[[#This Row],[Cost Basis]]&amp;TrendSheetPrdData[[#This Row],[Period]]&amp;TrendSheetPrdData[[#This Row],[Trend]]</f>
        <v>BAYVIEW EMPLOYEEPaid2016-04-01Readmission Quality</v>
      </c>
      <c r="B412" t="s">
        <v>127</v>
      </c>
      <c r="C412" t="s">
        <v>127</v>
      </c>
      <c r="D412" t="s">
        <v>78</v>
      </c>
      <c r="E412" s="1" t="s">
        <v>94</v>
      </c>
      <c r="F412" t="s">
        <v>93</v>
      </c>
      <c r="G412" t="s">
        <v>16</v>
      </c>
      <c r="H412">
        <v>5</v>
      </c>
      <c r="I412">
        <v>1</v>
      </c>
    </row>
    <row r="413" spans="1:9" x14ac:dyDescent="0.25">
      <c r="A413" s="5" t="str">
        <f>TrendSheetPrdData[[#This Row],[Population]]&amp;TrendSheetPrdData[[#This Row],[Cost Basis]]&amp;TrendSheetPrdData[[#This Row],[Period]]&amp;TrendSheetPrdData[[#This Row],[Trend]]</f>
        <v>BAYVIEW EMPLOYEEPaid2016-05-01Readmission Quality</v>
      </c>
      <c r="B413" t="s">
        <v>127</v>
      </c>
      <c r="C413" t="s">
        <v>127</v>
      </c>
      <c r="D413" t="s">
        <v>78</v>
      </c>
      <c r="E413" s="1" t="s">
        <v>95</v>
      </c>
      <c r="F413" t="s">
        <v>93</v>
      </c>
      <c r="G413" t="s">
        <v>16</v>
      </c>
      <c r="H413">
        <v>5</v>
      </c>
      <c r="I413">
        <v>1</v>
      </c>
    </row>
    <row r="414" spans="1:9" x14ac:dyDescent="0.25">
      <c r="A414" s="5" t="str">
        <f>TrendSheetPrdData[[#This Row],[Population]]&amp;TrendSheetPrdData[[#This Row],[Cost Basis]]&amp;TrendSheetPrdData[[#This Row],[Period]]&amp;TrendSheetPrdData[[#This Row],[Trend]]</f>
        <v>BAYVIEW EMPLOYEEPaid2016-06-01Readmission Quality</v>
      </c>
      <c r="B414" t="s">
        <v>127</v>
      </c>
      <c r="C414" t="s">
        <v>127</v>
      </c>
      <c r="D414" t="s">
        <v>78</v>
      </c>
      <c r="E414" s="1" t="s">
        <v>96</v>
      </c>
      <c r="F414" t="s">
        <v>93</v>
      </c>
      <c r="G414" t="s">
        <v>16</v>
      </c>
      <c r="H414">
        <v>5</v>
      </c>
      <c r="I414">
        <v>0</v>
      </c>
    </row>
    <row r="415" spans="1:9" x14ac:dyDescent="0.25">
      <c r="A415" s="5" t="str">
        <f>TrendSheetPrdData[[#This Row],[Population]]&amp;TrendSheetPrdData[[#This Row],[Cost Basis]]&amp;TrendSheetPrdData[[#This Row],[Period]]&amp;TrendSheetPrdData[[#This Row],[Trend]]</f>
        <v>BAYVIEW EMPLOYEEPaid2016-07-01Readmission Quality</v>
      </c>
      <c r="B415" t="s">
        <v>127</v>
      </c>
      <c r="C415" t="s">
        <v>127</v>
      </c>
      <c r="D415" t="s">
        <v>78</v>
      </c>
      <c r="E415" s="1" t="s">
        <v>97</v>
      </c>
      <c r="F415" t="s">
        <v>93</v>
      </c>
      <c r="G415" t="s">
        <v>16</v>
      </c>
      <c r="H415">
        <v>5</v>
      </c>
      <c r="I415">
        <v>1</v>
      </c>
    </row>
    <row r="416" spans="1:9" x14ac:dyDescent="0.25">
      <c r="A416" s="5" t="str">
        <f>TrendSheetPrdData[[#This Row],[Population]]&amp;TrendSheetPrdData[[#This Row],[Cost Basis]]&amp;TrendSheetPrdData[[#This Row],[Period]]&amp;TrendSheetPrdData[[#This Row],[Trend]]</f>
        <v>BAYVIEW EMPLOYEEPaid2016-08-01Readmission Quality</v>
      </c>
      <c r="B416" t="s">
        <v>127</v>
      </c>
      <c r="C416" t="s">
        <v>127</v>
      </c>
      <c r="D416" t="s">
        <v>78</v>
      </c>
      <c r="E416" s="1" t="s">
        <v>98</v>
      </c>
      <c r="F416" t="s">
        <v>93</v>
      </c>
      <c r="G416" t="s">
        <v>16</v>
      </c>
      <c r="H416">
        <v>5</v>
      </c>
      <c r="I416">
        <v>0</v>
      </c>
    </row>
    <row r="417" spans="1:9" x14ac:dyDescent="0.25">
      <c r="A417" s="5" t="str">
        <f>TrendSheetPrdData[[#This Row],[Population]]&amp;TrendSheetPrdData[[#This Row],[Cost Basis]]&amp;TrendSheetPrdData[[#This Row],[Period]]&amp;TrendSheetPrdData[[#This Row],[Trend]]</f>
        <v>BAYVIEW EMPLOYEEPaid2016-09-01Readmission Quality</v>
      </c>
      <c r="B417" t="s">
        <v>127</v>
      </c>
      <c r="C417" t="s">
        <v>127</v>
      </c>
      <c r="D417" t="s">
        <v>78</v>
      </c>
      <c r="E417" s="1" t="s">
        <v>99</v>
      </c>
      <c r="F417" t="s">
        <v>93</v>
      </c>
      <c r="G417" t="s">
        <v>16</v>
      </c>
      <c r="H417">
        <v>5</v>
      </c>
      <c r="I417">
        <v>0</v>
      </c>
    </row>
    <row r="418" spans="1:9" x14ac:dyDescent="0.25">
      <c r="A418" s="5" t="str">
        <f>TrendSheetPrdData[[#This Row],[Population]]&amp;TrendSheetPrdData[[#This Row],[Cost Basis]]&amp;TrendSheetPrdData[[#This Row],[Period]]&amp;TrendSheetPrdData[[#This Row],[Trend]]</f>
        <v>BAYVIEW EMPLOYEEPaid2016-10-01Readmission Quality</v>
      </c>
      <c r="B418" t="s">
        <v>127</v>
      </c>
      <c r="C418" t="s">
        <v>127</v>
      </c>
      <c r="D418" t="s">
        <v>78</v>
      </c>
      <c r="E418" s="1" t="s">
        <v>100</v>
      </c>
      <c r="F418" t="s">
        <v>93</v>
      </c>
      <c r="G418" t="s">
        <v>16</v>
      </c>
      <c r="H418">
        <v>5</v>
      </c>
      <c r="I418">
        <v>0</v>
      </c>
    </row>
    <row r="419" spans="1:9" x14ac:dyDescent="0.25">
      <c r="A419" s="5" t="str">
        <f>TrendSheetPrdData[[#This Row],[Population]]&amp;TrendSheetPrdData[[#This Row],[Cost Basis]]&amp;TrendSheetPrdData[[#This Row],[Period]]&amp;TrendSheetPrdData[[#This Row],[Trend]]</f>
        <v>BAYVIEW EMPLOYEEPaid2016-11-01Readmission Quality</v>
      </c>
      <c r="B419" t="s">
        <v>127</v>
      </c>
      <c r="C419" t="s">
        <v>127</v>
      </c>
      <c r="D419" t="s">
        <v>78</v>
      </c>
      <c r="E419" s="1" t="s">
        <v>101</v>
      </c>
      <c r="F419" t="s">
        <v>106</v>
      </c>
      <c r="G419" t="s">
        <v>16</v>
      </c>
      <c r="H419">
        <v>5</v>
      </c>
      <c r="I419">
        <v>0</v>
      </c>
    </row>
    <row r="420" spans="1:9" x14ac:dyDescent="0.25">
      <c r="A420" s="5" t="str">
        <f>TrendSheetPrdData[[#This Row],[Population]]&amp;TrendSheetPrdData[[#This Row],[Cost Basis]]&amp;TrendSheetPrdData[[#This Row],[Period]]&amp;TrendSheetPrdData[[#This Row],[Trend]]</f>
        <v>BAYVIEW EMPLOYEEPaid2016-12-01Readmission Quality</v>
      </c>
      <c r="B420" t="s">
        <v>127</v>
      </c>
      <c r="C420" t="s">
        <v>127</v>
      </c>
      <c r="D420" t="s">
        <v>78</v>
      </c>
      <c r="E420" s="1" t="s">
        <v>102</v>
      </c>
      <c r="F420" t="s">
        <v>106</v>
      </c>
      <c r="G420" t="s">
        <v>16</v>
      </c>
      <c r="H420">
        <v>5</v>
      </c>
      <c r="I420">
        <v>0</v>
      </c>
    </row>
    <row r="421" spans="1:9" x14ac:dyDescent="0.25">
      <c r="A421" s="5" t="str">
        <f>TrendSheetPrdData[[#This Row],[Population]]&amp;TrendSheetPrdData[[#This Row],[Cost Basis]]&amp;TrendSheetPrdData[[#This Row],[Period]]&amp;TrendSheetPrdData[[#This Row],[Trend]]</f>
        <v>BAYVIEW EMPLOYEEPaid2017-01-01Readmission Quality</v>
      </c>
      <c r="B421" t="s">
        <v>127</v>
      </c>
      <c r="C421" t="s">
        <v>127</v>
      </c>
      <c r="D421" t="s">
        <v>78</v>
      </c>
      <c r="E421" s="1" t="s">
        <v>103</v>
      </c>
      <c r="F421" t="s">
        <v>106</v>
      </c>
      <c r="G421" t="s">
        <v>16</v>
      </c>
      <c r="H421">
        <v>5</v>
      </c>
      <c r="I421">
        <v>0</v>
      </c>
    </row>
    <row r="422" spans="1:9" x14ac:dyDescent="0.25">
      <c r="A422" s="5" t="str">
        <f>TrendSheetPrdData[[#This Row],[Population]]&amp;TrendSheetPrdData[[#This Row],[Cost Basis]]&amp;TrendSheetPrdData[[#This Row],[Period]]&amp;TrendSheetPrdData[[#This Row],[Trend]]</f>
        <v>BAYVIEW EMPLOYEEPaid2015-11-01Avoidable Admission Cost</v>
      </c>
      <c r="B422" t="s">
        <v>127</v>
      </c>
      <c r="C422" t="s">
        <v>127</v>
      </c>
      <c r="D422" t="s">
        <v>78</v>
      </c>
      <c r="E422" s="1" t="s">
        <v>130</v>
      </c>
      <c r="F422" t="s">
        <v>93</v>
      </c>
      <c r="G422" t="s">
        <v>17</v>
      </c>
      <c r="H422">
        <v>6</v>
      </c>
      <c r="I422">
        <v>0</v>
      </c>
    </row>
    <row r="423" spans="1:9" x14ac:dyDescent="0.25">
      <c r="A423" s="5" t="str">
        <f>TrendSheetPrdData[[#This Row],[Population]]&amp;TrendSheetPrdData[[#This Row],[Cost Basis]]&amp;TrendSheetPrdData[[#This Row],[Period]]&amp;TrendSheetPrdData[[#This Row],[Trend]]</f>
        <v>BAYVIEW EMPLOYEEPaid2015-12-01Avoidable Admission Cost</v>
      </c>
      <c r="B423" t="s">
        <v>127</v>
      </c>
      <c r="C423" t="s">
        <v>127</v>
      </c>
      <c r="D423" t="s">
        <v>78</v>
      </c>
      <c r="E423" s="1" t="s">
        <v>131</v>
      </c>
      <c r="F423" t="s">
        <v>93</v>
      </c>
      <c r="G423" t="s">
        <v>17</v>
      </c>
      <c r="H423">
        <v>6</v>
      </c>
      <c r="I423">
        <v>0</v>
      </c>
    </row>
    <row r="424" spans="1:9" x14ac:dyDescent="0.25">
      <c r="A424" s="5" t="str">
        <f>TrendSheetPrdData[[#This Row],[Population]]&amp;TrendSheetPrdData[[#This Row],[Cost Basis]]&amp;TrendSheetPrdData[[#This Row],[Period]]&amp;TrendSheetPrdData[[#This Row],[Trend]]</f>
        <v>BAYVIEW EMPLOYEEPaid2016-01-01Avoidable Admission Cost</v>
      </c>
      <c r="B424" t="s">
        <v>127</v>
      </c>
      <c r="C424" t="s">
        <v>127</v>
      </c>
      <c r="D424" t="s">
        <v>78</v>
      </c>
      <c r="E424" s="1" t="s">
        <v>132</v>
      </c>
      <c r="F424" t="s">
        <v>93</v>
      </c>
      <c r="G424" t="s">
        <v>17</v>
      </c>
      <c r="H424">
        <v>6</v>
      </c>
      <c r="I424">
        <v>0</v>
      </c>
    </row>
    <row r="425" spans="1:9" x14ac:dyDescent="0.25">
      <c r="A425" s="5" t="str">
        <f>TrendSheetPrdData[[#This Row],[Population]]&amp;TrendSheetPrdData[[#This Row],[Cost Basis]]&amp;TrendSheetPrdData[[#This Row],[Period]]&amp;TrendSheetPrdData[[#This Row],[Trend]]</f>
        <v>BAYVIEW EMPLOYEEPaid2016-02-01Avoidable Admission Cost</v>
      </c>
      <c r="B425" t="s">
        <v>127</v>
      </c>
      <c r="C425" t="s">
        <v>127</v>
      </c>
      <c r="D425" t="s">
        <v>78</v>
      </c>
      <c r="E425" s="1" t="s">
        <v>133</v>
      </c>
      <c r="F425" t="s">
        <v>93</v>
      </c>
      <c r="G425" t="s">
        <v>17</v>
      </c>
      <c r="H425">
        <v>6</v>
      </c>
      <c r="I425">
        <v>0</v>
      </c>
    </row>
    <row r="426" spans="1:9" x14ac:dyDescent="0.25">
      <c r="A426" s="5" t="str">
        <f>TrendSheetPrdData[[#This Row],[Population]]&amp;TrendSheetPrdData[[#This Row],[Cost Basis]]&amp;TrendSheetPrdData[[#This Row],[Period]]&amp;TrendSheetPrdData[[#This Row],[Trend]]</f>
        <v>BAYVIEW EMPLOYEEPaid2016-03-01Avoidable Admission Cost</v>
      </c>
      <c r="B426" t="s">
        <v>127</v>
      </c>
      <c r="C426" t="s">
        <v>127</v>
      </c>
      <c r="D426" t="s">
        <v>78</v>
      </c>
      <c r="E426" s="1" t="s">
        <v>92</v>
      </c>
      <c r="F426" t="s">
        <v>93</v>
      </c>
      <c r="G426" t="s">
        <v>17</v>
      </c>
      <c r="H426">
        <v>6</v>
      </c>
      <c r="I426">
        <v>0</v>
      </c>
    </row>
    <row r="427" spans="1:9" x14ac:dyDescent="0.25">
      <c r="A427" s="5" t="str">
        <f>TrendSheetPrdData[[#This Row],[Population]]&amp;TrendSheetPrdData[[#This Row],[Cost Basis]]&amp;TrendSheetPrdData[[#This Row],[Period]]&amp;TrendSheetPrdData[[#This Row],[Trend]]</f>
        <v>BAYVIEW EMPLOYEEPaid2016-04-01Avoidable Admission Cost</v>
      </c>
      <c r="B427" t="s">
        <v>127</v>
      </c>
      <c r="C427" t="s">
        <v>127</v>
      </c>
      <c r="D427" t="s">
        <v>78</v>
      </c>
      <c r="E427" s="1" t="s">
        <v>94</v>
      </c>
      <c r="F427" t="s">
        <v>93</v>
      </c>
      <c r="G427" t="s">
        <v>17</v>
      </c>
      <c r="H427">
        <v>6</v>
      </c>
      <c r="I427">
        <v>0</v>
      </c>
    </row>
    <row r="428" spans="1:9" x14ac:dyDescent="0.25">
      <c r="A428" s="5" t="str">
        <f>TrendSheetPrdData[[#This Row],[Population]]&amp;TrendSheetPrdData[[#This Row],[Cost Basis]]&amp;TrendSheetPrdData[[#This Row],[Period]]&amp;TrendSheetPrdData[[#This Row],[Trend]]</f>
        <v>BAYVIEW EMPLOYEEPaid2016-05-01Avoidable Admission Cost</v>
      </c>
      <c r="B428" t="s">
        <v>127</v>
      </c>
      <c r="C428" t="s">
        <v>127</v>
      </c>
      <c r="D428" t="s">
        <v>78</v>
      </c>
      <c r="E428" s="1" t="s">
        <v>95</v>
      </c>
      <c r="F428" t="s">
        <v>93</v>
      </c>
      <c r="G428" t="s">
        <v>17</v>
      </c>
      <c r="H428">
        <v>6</v>
      </c>
      <c r="I428">
        <v>0</v>
      </c>
    </row>
    <row r="429" spans="1:9" x14ac:dyDescent="0.25">
      <c r="A429" s="5" t="str">
        <f>TrendSheetPrdData[[#This Row],[Population]]&amp;TrendSheetPrdData[[#This Row],[Cost Basis]]&amp;TrendSheetPrdData[[#This Row],[Period]]&amp;TrendSheetPrdData[[#This Row],[Trend]]</f>
        <v>BAYVIEW EMPLOYEEPaid2016-06-01Avoidable Admission Cost</v>
      </c>
      <c r="B429" t="s">
        <v>127</v>
      </c>
      <c r="C429" t="s">
        <v>127</v>
      </c>
      <c r="D429" t="s">
        <v>78</v>
      </c>
      <c r="E429" s="1" t="s">
        <v>96</v>
      </c>
      <c r="F429" t="s">
        <v>93</v>
      </c>
      <c r="G429" t="s">
        <v>17</v>
      </c>
      <c r="H429">
        <v>6</v>
      </c>
      <c r="I429">
        <v>0</v>
      </c>
    </row>
    <row r="430" spans="1:9" x14ac:dyDescent="0.25">
      <c r="A430" s="5" t="str">
        <f>TrendSheetPrdData[[#This Row],[Population]]&amp;TrendSheetPrdData[[#This Row],[Cost Basis]]&amp;TrendSheetPrdData[[#This Row],[Period]]&amp;TrendSheetPrdData[[#This Row],[Trend]]</f>
        <v>BAYVIEW EMPLOYEEPaid2016-07-01Avoidable Admission Cost</v>
      </c>
      <c r="B430" t="s">
        <v>127</v>
      </c>
      <c r="C430" t="s">
        <v>127</v>
      </c>
      <c r="D430" t="s">
        <v>78</v>
      </c>
      <c r="E430" s="1" t="s">
        <v>97</v>
      </c>
      <c r="F430" t="s">
        <v>93</v>
      </c>
      <c r="G430" t="s">
        <v>17</v>
      </c>
      <c r="H430">
        <v>6</v>
      </c>
      <c r="I430">
        <v>0</v>
      </c>
    </row>
    <row r="431" spans="1:9" x14ac:dyDescent="0.25">
      <c r="A431" s="5" t="str">
        <f>TrendSheetPrdData[[#This Row],[Population]]&amp;TrendSheetPrdData[[#This Row],[Cost Basis]]&amp;TrendSheetPrdData[[#This Row],[Period]]&amp;TrendSheetPrdData[[#This Row],[Trend]]</f>
        <v>BAYVIEW EMPLOYEEPaid2016-08-01Avoidable Admission Cost</v>
      </c>
      <c r="B431" t="s">
        <v>127</v>
      </c>
      <c r="C431" t="s">
        <v>127</v>
      </c>
      <c r="D431" t="s">
        <v>78</v>
      </c>
      <c r="E431" s="1" t="s">
        <v>98</v>
      </c>
      <c r="F431" t="s">
        <v>93</v>
      </c>
      <c r="G431" t="s">
        <v>17</v>
      </c>
      <c r="H431">
        <v>6</v>
      </c>
      <c r="I431">
        <v>0</v>
      </c>
    </row>
    <row r="432" spans="1:9" x14ac:dyDescent="0.25">
      <c r="A432" s="5" t="str">
        <f>TrendSheetPrdData[[#This Row],[Population]]&amp;TrendSheetPrdData[[#This Row],[Cost Basis]]&amp;TrendSheetPrdData[[#This Row],[Period]]&amp;TrendSheetPrdData[[#This Row],[Trend]]</f>
        <v>BAYVIEW EMPLOYEEPaid2016-09-01Avoidable Admission Cost</v>
      </c>
      <c r="B432" t="s">
        <v>127</v>
      </c>
      <c r="C432" t="s">
        <v>127</v>
      </c>
      <c r="D432" t="s">
        <v>78</v>
      </c>
      <c r="E432" s="1" t="s">
        <v>99</v>
      </c>
      <c r="F432" t="s">
        <v>93</v>
      </c>
      <c r="G432" t="s">
        <v>17</v>
      </c>
      <c r="H432">
        <v>6</v>
      </c>
      <c r="I432">
        <v>0</v>
      </c>
    </row>
    <row r="433" spans="1:9" x14ac:dyDescent="0.25">
      <c r="A433" s="5" t="str">
        <f>TrendSheetPrdData[[#This Row],[Population]]&amp;TrendSheetPrdData[[#This Row],[Cost Basis]]&amp;TrendSheetPrdData[[#This Row],[Period]]&amp;TrendSheetPrdData[[#This Row],[Trend]]</f>
        <v>BAYVIEW EMPLOYEEPaid2016-10-01Avoidable Admission Cost</v>
      </c>
      <c r="B433" t="s">
        <v>127</v>
      </c>
      <c r="C433" t="s">
        <v>127</v>
      </c>
      <c r="D433" t="s">
        <v>78</v>
      </c>
      <c r="E433" s="1" t="s">
        <v>100</v>
      </c>
      <c r="F433" t="s">
        <v>93</v>
      </c>
      <c r="G433" t="s">
        <v>17</v>
      </c>
      <c r="H433">
        <v>6</v>
      </c>
      <c r="I433">
        <v>0</v>
      </c>
    </row>
    <row r="434" spans="1:9" x14ac:dyDescent="0.25">
      <c r="A434" s="5" t="str">
        <f>TrendSheetPrdData[[#This Row],[Population]]&amp;TrendSheetPrdData[[#This Row],[Cost Basis]]&amp;TrendSheetPrdData[[#This Row],[Period]]&amp;TrendSheetPrdData[[#This Row],[Trend]]</f>
        <v>BAYVIEW EMPLOYEEPaid2016-11-01Avoidable Admission Cost</v>
      </c>
      <c r="B434" t="s">
        <v>127</v>
      </c>
      <c r="C434" t="s">
        <v>127</v>
      </c>
      <c r="D434" t="s">
        <v>78</v>
      </c>
      <c r="E434" s="1" t="s">
        <v>101</v>
      </c>
      <c r="F434" t="s">
        <v>106</v>
      </c>
      <c r="G434" t="s">
        <v>17</v>
      </c>
      <c r="H434">
        <v>6</v>
      </c>
      <c r="I434">
        <v>0</v>
      </c>
    </row>
    <row r="435" spans="1:9" x14ac:dyDescent="0.25">
      <c r="A435" s="5" t="str">
        <f>TrendSheetPrdData[[#This Row],[Population]]&amp;TrendSheetPrdData[[#This Row],[Cost Basis]]&amp;TrendSheetPrdData[[#This Row],[Period]]&amp;TrendSheetPrdData[[#This Row],[Trend]]</f>
        <v>BAYVIEW EMPLOYEEPaid2016-12-01Avoidable Admission Cost</v>
      </c>
      <c r="B435" t="s">
        <v>127</v>
      </c>
      <c r="C435" t="s">
        <v>127</v>
      </c>
      <c r="D435" t="s">
        <v>78</v>
      </c>
      <c r="E435" s="1" t="s">
        <v>102</v>
      </c>
      <c r="F435" t="s">
        <v>106</v>
      </c>
      <c r="G435" t="s">
        <v>17</v>
      </c>
      <c r="H435">
        <v>6</v>
      </c>
      <c r="I435">
        <v>7960.39</v>
      </c>
    </row>
    <row r="436" spans="1:9" x14ac:dyDescent="0.25">
      <c r="A436" s="5" t="str">
        <f>TrendSheetPrdData[[#This Row],[Population]]&amp;TrendSheetPrdData[[#This Row],[Cost Basis]]&amp;TrendSheetPrdData[[#This Row],[Period]]&amp;TrendSheetPrdData[[#This Row],[Trend]]</f>
        <v>BAYVIEW EMPLOYEEPaid2017-01-01Avoidable Admission Cost</v>
      </c>
      <c r="B436" t="s">
        <v>127</v>
      </c>
      <c r="C436" t="s">
        <v>127</v>
      </c>
      <c r="D436" t="s">
        <v>78</v>
      </c>
      <c r="E436" s="1" t="s">
        <v>103</v>
      </c>
      <c r="F436" t="s">
        <v>106</v>
      </c>
      <c r="G436" t="s">
        <v>17</v>
      </c>
      <c r="H436">
        <v>6</v>
      </c>
      <c r="I436">
        <v>0</v>
      </c>
    </row>
    <row r="437" spans="1:9" x14ac:dyDescent="0.25">
      <c r="A437" s="5" t="str">
        <f>TrendSheetPrdData[[#This Row],[Population]]&amp;TrendSheetPrdData[[#This Row],[Cost Basis]]&amp;TrendSheetPrdData[[#This Row],[Period]]&amp;TrendSheetPrdData[[#This Row],[Trend]]</f>
        <v>BAYVIEW EMPLOYEEPaid2015-11-01Avoidable Admission Quality</v>
      </c>
      <c r="B437" t="s">
        <v>127</v>
      </c>
      <c r="C437" t="s">
        <v>127</v>
      </c>
      <c r="D437" t="s">
        <v>78</v>
      </c>
      <c r="E437" s="1" t="s">
        <v>130</v>
      </c>
      <c r="F437" t="s">
        <v>93</v>
      </c>
      <c r="G437" t="s">
        <v>18</v>
      </c>
      <c r="H437">
        <v>7</v>
      </c>
      <c r="I437">
        <v>0</v>
      </c>
    </row>
    <row r="438" spans="1:9" x14ac:dyDescent="0.25">
      <c r="A438" s="5" t="str">
        <f>TrendSheetPrdData[[#This Row],[Population]]&amp;TrendSheetPrdData[[#This Row],[Cost Basis]]&amp;TrendSheetPrdData[[#This Row],[Period]]&amp;TrendSheetPrdData[[#This Row],[Trend]]</f>
        <v>BAYVIEW EMPLOYEEPaid2015-12-01Avoidable Admission Quality</v>
      </c>
      <c r="B438" t="s">
        <v>127</v>
      </c>
      <c r="C438" t="s">
        <v>127</v>
      </c>
      <c r="D438" t="s">
        <v>78</v>
      </c>
      <c r="E438" s="1" t="s">
        <v>131</v>
      </c>
      <c r="F438" t="s">
        <v>93</v>
      </c>
      <c r="G438" t="s">
        <v>18</v>
      </c>
      <c r="H438">
        <v>7</v>
      </c>
      <c r="I438">
        <v>0</v>
      </c>
    </row>
    <row r="439" spans="1:9" x14ac:dyDescent="0.25">
      <c r="A439" s="5" t="str">
        <f>TrendSheetPrdData[[#This Row],[Population]]&amp;TrendSheetPrdData[[#This Row],[Cost Basis]]&amp;TrendSheetPrdData[[#This Row],[Period]]&amp;TrendSheetPrdData[[#This Row],[Trend]]</f>
        <v>BAYVIEW EMPLOYEEPaid2016-01-01Avoidable Admission Quality</v>
      </c>
      <c r="B439" t="s">
        <v>127</v>
      </c>
      <c r="C439" t="s">
        <v>127</v>
      </c>
      <c r="D439" t="s">
        <v>78</v>
      </c>
      <c r="E439" s="1" t="s">
        <v>132</v>
      </c>
      <c r="F439" t="s">
        <v>93</v>
      </c>
      <c r="G439" t="s">
        <v>18</v>
      </c>
      <c r="H439">
        <v>7</v>
      </c>
      <c r="I439">
        <v>0</v>
      </c>
    </row>
    <row r="440" spans="1:9" x14ac:dyDescent="0.25">
      <c r="A440" s="5" t="str">
        <f>TrendSheetPrdData[[#This Row],[Population]]&amp;TrendSheetPrdData[[#This Row],[Cost Basis]]&amp;TrendSheetPrdData[[#This Row],[Period]]&amp;TrendSheetPrdData[[#This Row],[Trend]]</f>
        <v>BAYVIEW EMPLOYEEPaid2016-02-01Avoidable Admission Quality</v>
      </c>
      <c r="B440" t="s">
        <v>127</v>
      </c>
      <c r="C440" t="s">
        <v>127</v>
      </c>
      <c r="D440" t="s">
        <v>78</v>
      </c>
      <c r="E440" s="1" t="s">
        <v>133</v>
      </c>
      <c r="F440" t="s">
        <v>93</v>
      </c>
      <c r="G440" t="s">
        <v>18</v>
      </c>
      <c r="H440">
        <v>7</v>
      </c>
      <c r="I440">
        <v>0</v>
      </c>
    </row>
    <row r="441" spans="1:9" x14ac:dyDescent="0.25">
      <c r="A441" s="5" t="str">
        <f>TrendSheetPrdData[[#This Row],[Population]]&amp;TrendSheetPrdData[[#This Row],[Cost Basis]]&amp;TrendSheetPrdData[[#This Row],[Period]]&amp;TrendSheetPrdData[[#This Row],[Trend]]</f>
        <v>BAYVIEW EMPLOYEEPaid2016-03-01Avoidable Admission Quality</v>
      </c>
      <c r="B441" t="s">
        <v>127</v>
      </c>
      <c r="C441" t="s">
        <v>127</v>
      </c>
      <c r="D441" t="s">
        <v>78</v>
      </c>
      <c r="E441" s="1" t="s">
        <v>92</v>
      </c>
      <c r="F441" t="s">
        <v>93</v>
      </c>
      <c r="G441" t="s">
        <v>18</v>
      </c>
      <c r="H441">
        <v>7</v>
      </c>
      <c r="I441">
        <v>0</v>
      </c>
    </row>
    <row r="442" spans="1:9" x14ac:dyDescent="0.25">
      <c r="A442" s="5" t="str">
        <f>TrendSheetPrdData[[#This Row],[Population]]&amp;TrendSheetPrdData[[#This Row],[Cost Basis]]&amp;TrendSheetPrdData[[#This Row],[Period]]&amp;TrendSheetPrdData[[#This Row],[Trend]]</f>
        <v>BAYVIEW EMPLOYEEPaid2016-04-01Avoidable Admission Quality</v>
      </c>
      <c r="B442" t="s">
        <v>127</v>
      </c>
      <c r="C442" t="s">
        <v>127</v>
      </c>
      <c r="D442" t="s">
        <v>78</v>
      </c>
      <c r="E442" s="1" t="s">
        <v>94</v>
      </c>
      <c r="F442" t="s">
        <v>93</v>
      </c>
      <c r="G442" t="s">
        <v>18</v>
      </c>
      <c r="H442">
        <v>7</v>
      </c>
      <c r="I442">
        <v>0</v>
      </c>
    </row>
    <row r="443" spans="1:9" x14ac:dyDescent="0.25">
      <c r="A443" s="5" t="str">
        <f>TrendSheetPrdData[[#This Row],[Population]]&amp;TrendSheetPrdData[[#This Row],[Cost Basis]]&amp;TrendSheetPrdData[[#This Row],[Period]]&amp;TrendSheetPrdData[[#This Row],[Trend]]</f>
        <v>BAYVIEW EMPLOYEEPaid2016-05-01Avoidable Admission Quality</v>
      </c>
      <c r="B443" t="s">
        <v>127</v>
      </c>
      <c r="C443" t="s">
        <v>127</v>
      </c>
      <c r="D443" t="s">
        <v>78</v>
      </c>
      <c r="E443" s="1" t="s">
        <v>95</v>
      </c>
      <c r="F443" t="s">
        <v>93</v>
      </c>
      <c r="G443" t="s">
        <v>18</v>
      </c>
      <c r="H443">
        <v>7</v>
      </c>
      <c r="I443">
        <v>0</v>
      </c>
    </row>
    <row r="444" spans="1:9" x14ac:dyDescent="0.25">
      <c r="A444" s="5" t="str">
        <f>TrendSheetPrdData[[#This Row],[Population]]&amp;TrendSheetPrdData[[#This Row],[Cost Basis]]&amp;TrendSheetPrdData[[#This Row],[Period]]&amp;TrendSheetPrdData[[#This Row],[Trend]]</f>
        <v>BAYVIEW EMPLOYEEPaid2016-06-01Avoidable Admission Quality</v>
      </c>
      <c r="B444" t="s">
        <v>127</v>
      </c>
      <c r="C444" t="s">
        <v>127</v>
      </c>
      <c r="D444" t="s">
        <v>78</v>
      </c>
      <c r="E444" s="1" t="s">
        <v>96</v>
      </c>
      <c r="F444" t="s">
        <v>93</v>
      </c>
      <c r="G444" t="s">
        <v>18</v>
      </c>
      <c r="H444">
        <v>7</v>
      </c>
      <c r="I444">
        <v>0</v>
      </c>
    </row>
    <row r="445" spans="1:9" x14ac:dyDescent="0.25">
      <c r="A445" s="5" t="str">
        <f>TrendSheetPrdData[[#This Row],[Population]]&amp;TrendSheetPrdData[[#This Row],[Cost Basis]]&amp;TrendSheetPrdData[[#This Row],[Period]]&amp;TrendSheetPrdData[[#This Row],[Trend]]</f>
        <v>BAYVIEW EMPLOYEEPaid2016-07-01Avoidable Admission Quality</v>
      </c>
      <c r="B445" t="s">
        <v>127</v>
      </c>
      <c r="C445" t="s">
        <v>127</v>
      </c>
      <c r="D445" t="s">
        <v>78</v>
      </c>
      <c r="E445" s="1" t="s">
        <v>97</v>
      </c>
      <c r="F445" t="s">
        <v>93</v>
      </c>
      <c r="G445" t="s">
        <v>18</v>
      </c>
      <c r="H445">
        <v>7</v>
      </c>
      <c r="I445">
        <v>0</v>
      </c>
    </row>
    <row r="446" spans="1:9" x14ac:dyDescent="0.25">
      <c r="A446" s="5" t="str">
        <f>TrendSheetPrdData[[#This Row],[Population]]&amp;TrendSheetPrdData[[#This Row],[Cost Basis]]&amp;TrendSheetPrdData[[#This Row],[Period]]&amp;TrendSheetPrdData[[#This Row],[Trend]]</f>
        <v>BAYVIEW EMPLOYEEPaid2016-08-01Avoidable Admission Quality</v>
      </c>
      <c r="B446" t="s">
        <v>127</v>
      </c>
      <c r="C446" t="s">
        <v>127</v>
      </c>
      <c r="D446" t="s">
        <v>78</v>
      </c>
      <c r="E446" s="1" t="s">
        <v>98</v>
      </c>
      <c r="F446" t="s">
        <v>93</v>
      </c>
      <c r="G446" t="s">
        <v>18</v>
      </c>
      <c r="H446">
        <v>7</v>
      </c>
      <c r="I446">
        <v>0</v>
      </c>
    </row>
    <row r="447" spans="1:9" x14ac:dyDescent="0.25">
      <c r="A447" s="5" t="str">
        <f>TrendSheetPrdData[[#This Row],[Population]]&amp;TrendSheetPrdData[[#This Row],[Cost Basis]]&amp;TrendSheetPrdData[[#This Row],[Period]]&amp;TrendSheetPrdData[[#This Row],[Trend]]</f>
        <v>BAYVIEW EMPLOYEEPaid2016-09-01Avoidable Admission Quality</v>
      </c>
      <c r="B447" t="s">
        <v>127</v>
      </c>
      <c r="C447" t="s">
        <v>127</v>
      </c>
      <c r="D447" t="s">
        <v>78</v>
      </c>
      <c r="E447" s="1" t="s">
        <v>99</v>
      </c>
      <c r="F447" t="s">
        <v>93</v>
      </c>
      <c r="G447" t="s">
        <v>18</v>
      </c>
      <c r="H447">
        <v>7</v>
      </c>
      <c r="I447">
        <v>0</v>
      </c>
    </row>
    <row r="448" spans="1:9" x14ac:dyDescent="0.25">
      <c r="A448" s="5" t="str">
        <f>TrendSheetPrdData[[#This Row],[Population]]&amp;TrendSheetPrdData[[#This Row],[Cost Basis]]&amp;TrendSheetPrdData[[#This Row],[Period]]&amp;TrendSheetPrdData[[#This Row],[Trend]]</f>
        <v>BAYVIEW EMPLOYEEPaid2016-10-01Avoidable Admission Quality</v>
      </c>
      <c r="B448" t="s">
        <v>127</v>
      </c>
      <c r="C448" t="s">
        <v>127</v>
      </c>
      <c r="D448" t="s">
        <v>78</v>
      </c>
      <c r="E448" s="1" t="s">
        <v>100</v>
      </c>
      <c r="F448" t="s">
        <v>93</v>
      </c>
      <c r="G448" t="s">
        <v>18</v>
      </c>
      <c r="H448">
        <v>7</v>
      </c>
      <c r="I448">
        <v>0</v>
      </c>
    </row>
    <row r="449" spans="1:9" x14ac:dyDescent="0.25">
      <c r="A449" s="5" t="str">
        <f>TrendSheetPrdData[[#This Row],[Population]]&amp;TrendSheetPrdData[[#This Row],[Cost Basis]]&amp;TrendSheetPrdData[[#This Row],[Period]]&amp;TrendSheetPrdData[[#This Row],[Trend]]</f>
        <v>BAYVIEW EMPLOYEEPaid2016-11-01Avoidable Admission Quality</v>
      </c>
      <c r="B449" t="s">
        <v>127</v>
      </c>
      <c r="C449" t="s">
        <v>127</v>
      </c>
      <c r="D449" t="s">
        <v>78</v>
      </c>
      <c r="E449" s="1" t="s">
        <v>101</v>
      </c>
      <c r="F449" t="s">
        <v>106</v>
      </c>
      <c r="G449" t="s">
        <v>18</v>
      </c>
      <c r="H449">
        <v>7</v>
      </c>
      <c r="I449">
        <v>0</v>
      </c>
    </row>
    <row r="450" spans="1:9" x14ac:dyDescent="0.25">
      <c r="A450" s="5" t="str">
        <f>TrendSheetPrdData[[#This Row],[Population]]&amp;TrendSheetPrdData[[#This Row],[Cost Basis]]&amp;TrendSheetPrdData[[#This Row],[Period]]&amp;TrendSheetPrdData[[#This Row],[Trend]]</f>
        <v>BAYVIEW EMPLOYEEPaid2016-12-01Avoidable Admission Quality</v>
      </c>
      <c r="B450" t="s">
        <v>127</v>
      </c>
      <c r="C450" t="s">
        <v>127</v>
      </c>
      <c r="D450" t="s">
        <v>78</v>
      </c>
      <c r="E450" s="1" t="s">
        <v>102</v>
      </c>
      <c r="F450" t="s">
        <v>106</v>
      </c>
      <c r="G450" t="s">
        <v>18</v>
      </c>
      <c r="H450">
        <v>7</v>
      </c>
      <c r="I450">
        <v>1</v>
      </c>
    </row>
    <row r="451" spans="1:9" x14ac:dyDescent="0.25">
      <c r="A451" s="5" t="str">
        <f>TrendSheetPrdData[[#This Row],[Population]]&amp;TrendSheetPrdData[[#This Row],[Cost Basis]]&amp;TrendSheetPrdData[[#This Row],[Period]]&amp;TrendSheetPrdData[[#This Row],[Trend]]</f>
        <v>BAYVIEW EMPLOYEEPaid2017-01-01Avoidable Admission Quality</v>
      </c>
      <c r="B451" t="s">
        <v>127</v>
      </c>
      <c r="C451" t="s">
        <v>127</v>
      </c>
      <c r="D451" t="s">
        <v>78</v>
      </c>
      <c r="E451" s="1" t="s">
        <v>103</v>
      </c>
      <c r="F451" t="s">
        <v>106</v>
      </c>
      <c r="G451" t="s">
        <v>18</v>
      </c>
      <c r="H451">
        <v>7</v>
      </c>
      <c r="I451">
        <v>0</v>
      </c>
    </row>
    <row r="452" spans="1:9" x14ac:dyDescent="0.25">
      <c r="A452" s="5" t="str">
        <f>TrendSheetPrdData[[#This Row],[Population]]&amp;TrendSheetPrdData[[#This Row],[Cost Basis]]&amp;TrendSheetPrdData[[#This Row],[Period]]&amp;TrendSheetPrdData[[#This Row],[Trend]]</f>
        <v>BAYVIEW EMPLOYEEPaid2015-11-01Outpatient Imaging Cost</v>
      </c>
      <c r="B452" t="s">
        <v>127</v>
      </c>
      <c r="C452" t="s">
        <v>127</v>
      </c>
      <c r="D452" t="s">
        <v>78</v>
      </c>
      <c r="E452" s="1" t="s">
        <v>130</v>
      </c>
      <c r="F452" t="s">
        <v>93</v>
      </c>
      <c r="G452" t="s">
        <v>19</v>
      </c>
      <c r="H452">
        <v>8</v>
      </c>
      <c r="I452">
        <v>6743.92</v>
      </c>
    </row>
    <row r="453" spans="1:9" x14ac:dyDescent="0.25">
      <c r="A453" s="5" t="str">
        <f>TrendSheetPrdData[[#This Row],[Population]]&amp;TrendSheetPrdData[[#This Row],[Cost Basis]]&amp;TrendSheetPrdData[[#This Row],[Period]]&amp;TrendSheetPrdData[[#This Row],[Trend]]</f>
        <v>BAYVIEW EMPLOYEEPaid2015-12-01Outpatient Imaging Cost</v>
      </c>
      <c r="B453" t="s">
        <v>127</v>
      </c>
      <c r="C453" t="s">
        <v>127</v>
      </c>
      <c r="D453" t="s">
        <v>78</v>
      </c>
      <c r="E453" s="1" t="s">
        <v>131</v>
      </c>
      <c r="F453" t="s">
        <v>93</v>
      </c>
      <c r="G453" t="s">
        <v>19</v>
      </c>
      <c r="H453">
        <v>8</v>
      </c>
      <c r="I453">
        <v>11105.31</v>
      </c>
    </row>
    <row r="454" spans="1:9" x14ac:dyDescent="0.25">
      <c r="A454" s="5" t="str">
        <f>TrendSheetPrdData[[#This Row],[Population]]&amp;TrendSheetPrdData[[#This Row],[Cost Basis]]&amp;TrendSheetPrdData[[#This Row],[Period]]&amp;TrendSheetPrdData[[#This Row],[Trend]]</f>
        <v>BAYVIEW EMPLOYEEPaid2016-01-01Outpatient Imaging Cost</v>
      </c>
      <c r="B454" t="s">
        <v>127</v>
      </c>
      <c r="C454" t="s">
        <v>127</v>
      </c>
      <c r="D454" t="s">
        <v>78</v>
      </c>
      <c r="E454" s="1" t="s">
        <v>132</v>
      </c>
      <c r="F454" t="s">
        <v>93</v>
      </c>
      <c r="G454" t="s">
        <v>19</v>
      </c>
      <c r="H454">
        <v>8</v>
      </c>
      <c r="I454">
        <v>1647.5</v>
      </c>
    </row>
    <row r="455" spans="1:9" x14ac:dyDescent="0.25">
      <c r="A455" s="5" t="str">
        <f>TrendSheetPrdData[[#This Row],[Population]]&amp;TrendSheetPrdData[[#This Row],[Cost Basis]]&amp;TrendSheetPrdData[[#This Row],[Period]]&amp;TrendSheetPrdData[[#This Row],[Trend]]</f>
        <v>BAYVIEW EMPLOYEEPaid2016-02-01Outpatient Imaging Cost</v>
      </c>
      <c r="B455" t="s">
        <v>127</v>
      </c>
      <c r="C455" t="s">
        <v>127</v>
      </c>
      <c r="D455" t="s">
        <v>78</v>
      </c>
      <c r="E455" s="1" t="s">
        <v>133</v>
      </c>
      <c r="F455" t="s">
        <v>93</v>
      </c>
      <c r="G455" t="s">
        <v>19</v>
      </c>
      <c r="H455">
        <v>8</v>
      </c>
      <c r="I455">
        <v>3372.57</v>
      </c>
    </row>
    <row r="456" spans="1:9" x14ac:dyDescent="0.25">
      <c r="A456" s="5" t="str">
        <f>TrendSheetPrdData[[#This Row],[Population]]&amp;TrendSheetPrdData[[#This Row],[Cost Basis]]&amp;TrendSheetPrdData[[#This Row],[Period]]&amp;TrendSheetPrdData[[#This Row],[Trend]]</f>
        <v>BAYVIEW EMPLOYEEPaid2016-03-01Outpatient Imaging Cost</v>
      </c>
      <c r="B456" t="s">
        <v>127</v>
      </c>
      <c r="C456" t="s">
        <v>127</v>
      </c>
      <c r="D456" t="s">
        <v>78</v>
      </c>
      <c r="E456" s="1" t="s">
        <v>92</v>
      </c>
      <c r="F456" t="s">
        <v>93</v>
      </c>
      <c r="G456" t="s">
        <v>19</v>
      </c>
      <c r="H456">
        <v>8</v>
      </c>
      <c r="I456">
        <v>7634.29</v>
      </c>
    </row>
    <row r="457" spans="1:9" x14ac:dyDescent="0.25">
      <c r="A457" s="5" t="str">
        <f>TrendSheetPrdData[[#This Row],[Population]]&amp;TrendSheetPrdData[[#This Row],[Cost Basis]]&amp;TrendSheetPrdData[[#This Row],[Period]]&amp;TrendSheetPrdData[[#This Row],[Trend]]</f>
        <v>BAYVIEW EMPLOYEEPaid2016-04-01Outpatient Imaging Cost</v>
      </c>
      <c r="B457" t="s">
        <v>127</v>
      </c>
      <c r="C457" t="s">
        <v>127</v>
      </c>
      <c r="D457" t="s">
        <v>78</v>
      </c>
      <c r="E457" s="1" t="s">
        <v>94</v>
      </c>
      <c r="F457" t="s">
        <v>93</v>
      </c>
      <c r="G457" t="s">
        <v>19</v>
      </c>
      <c r="H457">
        <v>8</v>
      </c>
      <c r="I457">
        <v>8585.68</v>
      </c>
    </row>
    <row r="458" spans="1:9" x14ac:dyDescent="0.25">
      <c r="A458" s="5" t="str">
        <f>TrendSheetPrdData[[#This Row],[Population]]&amp;TrendSheetPrdData[[#This Row],[Cost Basis]]&amp;TrendSheetPrdData[[#This Row],[Period]]&amp;TrendSheetPrdData[[#This Row],[Trend]]</f>
        <v>BAYVIEW EMPLOYEEPaid2016-05-01Outpatient Imaging Cost</v>
      </c>
      <c r="B458" t="s">
        <v>127</v>
      </c>
      <c r="C458" t="s">
        <v>127</v>
      </c>
      <c r="D458" t="s">
        <v>78</v>
      </c>
      <c r="E458" s="1" t="s">
        <v>95</v>
      </c>
      <c r="F458" t="s">
        <v>93</v>
      </c>
      <c r="G458" t="s">
        <v>19</v>
      </c>
      <c r="H458">
        <v>8</v>
      </c>
      <c r="I458">
        <v>4724.67</v>
      </c>
    </row>
    <row r="459" spans="1:9" x14ac:dyDescent="0.25">
      <c r="A459" s="5" t="str">
        <f>TrendSheetPrdData[[#This Row],[Population]]&amp;TrendSheetPrdData[[#This Row],[Cost Basis]]&amp;TrendSheetPrdData[[#This Row],[Period]]&amp;TrendSheetPrdData[[#This Row],[Trend]]</f>
        <v>BAYVIEW EMPLOYEEPaid2016-06-01Outpatient Imaging Cost</v>
      </c>
      <c r="B459" t="s">
        <v>127</v>
      </c>
      <c r="C459" t="s">
        <v>127</v>
      </c>
      <c r="D459" t="s">
        <v>78</v>
      </c>
      <c r="E459" s="1" t="s">
        <v>96</v>
      </c>
      <c r="F459" t="s">
        <v>93</v>
      </c>
      <c r="G459" t="s">
        <v>19</v>
      </c>
      <c r="H459">
        <v>8</v>
      </c>
      <c r="I459">
        <v>3592.57</v>
      </c>
    </row>
    <row r="460" spans="1:9" x14ac:dyDescent="0.25">
      <c r="A460" s="5" t="str">
        <f>TrendSheetPrdData[[#This Row],[Population]]&amp;TrendSheetPrdData[[#This Row],[Cost Basis]]&amp;TrendSheetPrdData[[#This Row],[Period]]&amp;TrendSheetPrdData[[#This Row],[Trend]]</f>
        <v>BAYVIEW EMPLOYEEPaid2016-07-01Outpatient Imaging Cost</v>
      </c>
      <c r="B460" t="s">
        <v>127</v>
      </c>
      <c r="C460" t="s">
        <v>127</v>
      </c>
      <c r="D460" t="s">
        <v>78</v>
      </c>
      <c r="E460" s="1" t="s">
        <v>97</v>
      </c>
      <c r="F460" t="s">
        <v>93</v>
      </c>
      <c r="G460" t="s">
        <v>19</v>
      </c>
      <c r="H460">
        <v>8</v>
      </c>
      <c r="I460">
        <v>7554.71</v>
      </c>
    </row>
    <row r="461" spans="1:9" x14ac:dyDescent="0.25">
      <c r="A461" s="5" t="str">
        <f>TrendSheetPrdData[[#This Row],[Population]]&amp;TrendSheetPrdData[[#This Row],[Cost Basis]]&amp;TrendSheetPrdData[[#This Row],[Period]]&amp;TrendSheetPrdData[[#This Row],[Trend]]</f>
        <v>BAYVIEW EMPLOYEEPaid2016-08-01Outpatient Imaging Cost</v>
      </c>
      <c r="B461" t="s">
        <v>127</v>
      </c>
      <c r="C461" t="s">
        <v>127</v>
      </c>
      <c r="D461" t="s">
        <v>78</v>
      </c>
      <c r="E461" s="1" t="s">
        <v>98</v>
      </c>
      <c r="F461" t="s">
        <v>93</v>
      </c>
      <c r="G461" t="s">
        <v>19</v>
      </c>
      <c r="H461">
        <v>8</v>
      </c>
      <c r="I461">
        <v>7132.09</v>
      </c>
    </row>
    <row r="462" spans="1:9" x14ac:dyDescent="0.25">
      <c r="A462" s="5" t="str">
        <f>TrendSheetPrdData[[#This Row],[Population]]&amp;TrendSheetPrdData[[#This Row],[Cost Basis]]&amp;TrendSheetPrdData[[#This Row],[Period]]&amp;TrendSheetPrdData[[#This Row],[Trend]]</f>
        <v>BAYVIEW EMPLOYEEPaid2016-09-01Outpatient Imaging Cost</v>
      </c>
      <c r="B462" t="s">
        <v>127</v>
      </c>
      <c r="C462" t="s">
        <v>127</v>
      </c>
      <c r="D462" t="s">
        <v>78</v>
      </c>
      <c r="E462" s="1" t="s">
        <v>99</v>
      </c>
      <c r="F462" t="s">
        <v>93</v>
      </c>
      <c r="G462" t="s">
        <v>19</v>
      </c>
      <c r="H462">
        <v>8</v>
      </c>
      <c r="I462">
        <v>7758.86</v>
      </c>
    </row>
    <row r="463" spans="1:9" x14ac:dyDescent="0.25">
      <c r="A463" s="5" t="str">
        <f>TrendSheetPrdData[[#This Row],[Population]]&amp;TrendSheetPrdData[[#This Row],[Cost Basis]]&amp;TrendSheetPrdData[[#This Row],[Period]]&amp;TrendSheetPrdData[[#This Row],[Trend]]</f>
        <v>BAYVIEW EMPLOYEEPaid2016-10-01Outpatient Imaging Cost</v>
      </c>
      <c r="B463" t="s">
        <v>127</v>
      </c>
      <c r="C463" t="s">
        <v>127</v>
      </c>
      <c r="D463" t="s">
        <v>78</v>
      </c>
      <c r="E463" s="1" t="s">
        <v>100</v>
      </c>
      <c r="F463" t="s">
        <v>93</v>
      </c>
      <c r="G463" t="s">
        <v>19</v>
      </c>
      <c r="H463">
        <v>8</v>
      </c>
      <c r="I463">
        <v>3646.17</v>
      </c>
    </row>
    <row r="464" spans="1:9" x14ac:dyDescent="0.25">
      <c r="A464" s="5" t="str">
        <f>TrendSheetPrdData[[#This Row],[Population]]&amp;TrendSheetPrdData[[#This Row],[Cost Basis]]&amp;TrendSheetPrdData[[#This Row],[Period]]&amp;TrendSheetPrdData[[#This Row],[Trend]]</f>
        <v>BAYVIEW EMPLOYEEPaid2016-11-01Outpatient Imaging Cost</v>
      </c>
      <c r="B464" t="s">
        <v>127</v>
      </c>
      <c r="C464" t="s">
        <v>127</v>
      </c>
      <c r="D464" t="s">
        <v>78</v>
      </c>
      <c r="E464" s="1" t="s">
        <v>101</v>
      </c>
      <c r="F464" t="s">
        <v>106</v>
      </c>
      <c r="G464" t="s">
        <v>19</v>
      </c>
      <c r="H464">
        <v>8</v>
      </c>
      <c r="I464">
        <v>1689.14</v>
      </c>
    </row>
    <row r="465" spans="1:9" x14ac:dyDescent="0.25">
      <c r="A465" s="5" t="str">
        <f>TrendSheetPrdData[[#This Row],[Population]]&amp;TrendSheetPrdData[[#This Row],[Cost Basis]]&amp;TrendSheetPrdData[[#This Row],[Period]]&amp;TrendSheetPrdData[[#This Row],[Trend]]</f>
        <v>BAYVIEW EMPLOYEEPaid2016-12-01Outpatient Imaging Cost</v>
      </c>
      <c r="B465" t="s">
        <v>127</v>
      </c>
      <c r="C465" t="s">
        <v>127</v>
      </c>
      <c r="D465" t="s">
        <v>78</v>
      </c>
      <c r="E465" s="1" t="s">
        <v>102</v>
      </c>
      <c r="F465" t="s">
        <v>106</v>
      </c>
      <c r="G465" t="s">
        <v>19</v>
      </c>
      <c r="H465">
        <v>8</v>
      </c>
      <c r="I465">
        <v>3566.27</v>
      </c>
    </row>
    <row r="466" spans="1:9" x14ac:dyDescent="0.25">
      <c r="A466" s="5" t="str">
        <f>TrendSheetPrdData[[#This Row],[Population]]&amp;TrendSheetPrdData[[#This Row],[Cost Basis]]&amp;TrendSheetPrdData[[#This Row],[Period]]&amp;TrendSheetPrdData[[#This Row],[Trend]]</f>
        <v>BAYVIEW EMPLOYEEPaid2017-01-01Outpatient Imaging Cost</v>
      </c>
      <c r="B466" t="s">
        <v>127</v>
      </c>
      <c r="C466" t="s">
        <v>127</v>
      </c>
      <c r="D466" t="s">
        <v>78</v>
      </c>
      <c r="E466" s="1" t="s">
        <v>103</v>
      </c>
      <c r="F466" t="s">
        <v>106</v>
      </c>
      <c r="G466" t="s">
        <v>19</v>
      </c>
      <c r="H466">
        <v>8</v>
      </c>
      <c r="I466">
        <v>0</v>
      </c>
    </row>
    <row r="467" spans="1:9" x14ac:dyDescent="0.25">
      <c r="A467" s="5" t="str">
        <f>TrendSheetPrdData[[#This Row],[Population]]&amp;TrendSheetPrdData[[#This Row],[Cost Basis]]&amp;TrendSheetPrdData[[#This Row],[Period]]&amp;TrendSheetPrdData[[#This Row],[Trend]]</f>
        <v>BAYVIEW EMPLOYEEPaid2015-11-01Hospiatl Outpatient MRIs per 1k</v>
      </c>
      <c r="B467" t="s">
        <v>127</v>
      </c>
      <c r="C467" t="s">
        <v>127</v>
      </c>
      <c r="D467" t="s">
        <v>78</v>
      </c>
      <c r="E467" s="1" t="s">
        <v>130</v>
      </c>
      <c r="F467" t="s">
        <v>93</v>
      </c>
      <c r="G467" t="s">
        <v>20</v>
      </c>
      <c r="H467">
        <v>9</v>
      </c>
      <c r="I467">
        <v>81</v>
      </c>
    </row>
    <row r="468" spans="1:9" x14ac:dyDescent="0.25">
      <c r="A468" s="5" t="str">
        <f>TrendSheetPrdData[[#This Row],[Population]]&amp;TrendSheetPrdData[[#This Row],[Cost Basis]]&amp;TrendSheetPrdData[[#This Row],[Period]]&amp;TrendSheetPrdData[[#This Row],[Trend]]</f>
        <v>BAYVIEW EMPLOYEEPaid2015-12-01Hospiatl Outpatient MRIs per 1k</v>
      </c>
      <c r="B468" t="s">
        <v>127</v>
      </c>
      <c r="C468" t="s">
        <v>127</v>
      </c>
      <c r="D468" t="s">
        <v>78</v>
      </c>
      <c r="E468" s="1" t="s">
        <v>131</v>
      </c>
      <c r="F468" t="s">
        <v>93</v>
      </c>
      <c r="G468" t="s">
        <v>20</v>
      </c>
      <c r="H468">
        <v>9</v>
      </c>
      <c r="I468">
        <v>48</v>
      </c>
    </row>
    <row r="469" spans="1:9" x14ac:dyDescent="0.25">
      <c r="A469" s="5" t="str">
        <f>TrendSheetPrdData[[#This Row],[Population]]&amp;TrendSheetPrdData[[#This Row],[Cost Basis]]&amp;TrendSheetPrdData[[#This Row],[Period]]&amp;TrendSheetPrdData[[#This Row],[Trend]]</f>
        <v>BAYVIEW EMPLOYEEPaid2016-01-01Hospiatl Outpatient MRIs per 1k</v>
      </c>
      <c r="B469" t="s">
        <v>127</v>
      </c>
      <c r="C469" t="s">
        <v>127</v>
      </c>
      <c r="D469" t="s">
        <v>78</v>
      </c>
      <c r="E469" s="1" t="s">
        <v>132</v>
      </c>
      <c r="F469" t="s">
        <v>93</v>
      </c>
      <c r="G469" t="s">
        <v>20</v>
      </c>
      <c r="H469">
        <v>9</v>
      </c>
      <c r="I469">
        <v>0</v>
      </c>
    </row>
    <row r="470" spans="1:9" x14ac:dyDescent="0.25">
      <c r="A470" s="5" t="str">
        <f>TrendSheetPrdData[[#This Row],[Population]]&amp;TrendSheetPrdData[[#This Row],[Cost Basis]]&amp;TrendSheetPrdData[[#This Row],[Period]]&amp;TrendSheetPrdData[[#This Row],[Trend]]</f>
        <v>BAYVIEW EMPLOYEEPaid2016-02-01Hospiatl Outpatient MRIs per 1k</v>
      </c>
      <c r="B470" t="s">
        <v>127</v>
      </c>
      <c r="C470" t="s">
        <v>127</v>
      </c>
      <c r="D470" t="s">
        <v>78</v>
      </c>
      <c r="E470" s="1" t="s">
        <v>133</v>
      </c>
      <c r="F470" t="s">
        <v>93</v>
      </c>
      <c r="G470" t="s">
        <v>20</v>
      </c>
      <c r="H470">
        <v>9</v>
      </c>
      <c r="I470">
        <v>43</v>
      </c>
    </row>
    <row r="471" spans="1:9" x14ac:dyDescent="0.25">
      <c r="A471" s="5" t="str">
        <f>TrendSheetPrdData[[#This Row],[Population]]&amp;TrendSheetPrdData[[#This Row],[Cost Basis]]&amp;TrendSheetPrdData[[#This Row],[Period]]&amp;TrendSheetPrdData[[#This Row],[Trend]]</f>
        <v>BAYVIEW EMPLOYEEPaid2016-03-01Hospiatl Outpatient MRIs per 1k</v>
      </c>
      <c r="B471" t="s">
        <v>127</v>
      </c>
      <c r="C471" t="s">
        <v>127</v>
      </c>
      <c r="D471" t="s">
        <v>78</v>
      </c>
      <c r="E471" s="1" t="s">
        <v>92</v>
      </c>
      <c r="F471" t="s">
        <v>93</v>
      </c>
      <c r="G471" t="s">
        <v>20</v>
      </c>
      <c r="H471">
        <v>9</v>
      </c>
      <c r="I471">
        <v>43</v>
      </c>
    </row>
    <row r="472" spans="1:9" x14ac:dyDescent="0.25">
      <c r="A472" s="5" t="str">
        <f>TrendSheetPrdData[[#This Row],[Population]]&amp;TrendSheetPrdData[[#This Row],[Cost Basis]]&amp;TrendSheetPrdData[[#This Row],[Period]]&amp;TrendSheetPrdData[[#This Row],[Trend]]</f>
        <v>BAYVIEW EMPLOYEEPaid2016-04-01Hospiatl Outpatient MRIs per 1k</v>
      </c>
      <c r="B472" t="s">
        <v>127</v>
      </c>
      <c r="C472" t="s">
        <v>127</v>
      </c>
      <c r="D472" t="s">
        <v>78</v>
      </c>
      <c r="E472" s="1" t="s">
        <v>94</v>
      </c>
      <c r="F472" t="s">
        <v>93</v>
      </c>
      <c r="G472" t="s">
        <v>20</v>
      </c>
      <c r="H472">
        <v>9</v>
      </c>
      <c r="I472">
        <v>58</v>
      </c>
    </row>
    <row r="473" spans="1:9" x14ac:dyDescent="0.25">
      <c r="A473" s="5" t="str">
        <f>TrendSheetPrdData[[#This Row],[Population]]&amp;TrendSheetPrdData[[#This Row],[Cost Basis]]&amp;TrendSheetPrdData[[#This Row],[Period]]&amp;TrendSheetPrdData[[#This Row],[Trend]]</f>
        <v>BAYVIEW EMPLOYEEPaid2016-05-01Hospiatl Outpatient MRIs per 1k</v>
      </c>
      <c r="B473" t="s">
        <v>127</v>
      </c>
      <c r="C473" t="s">
        <v>127</v>
      </c>
      <c r="D473" t="s">
        <v>78</v>
      </c>
      <c r="E473" s="1" t="s">
        <v>95</v>
      </c>
      <c r="F473" t="s">
        <v>93</v>
      </c>
      <c r="G473" t="s">
        <v>20</v>
      </c>
      <c r="H473">
        <v>9</v>
      </c>
      <c r="I473">
        <v>58</v>
      </c>
    </row>
    <row r="474" spans="1:9" x14ac:dyDescent="0.25">
      <c r="A474" s="5" t="str">
        <f>TrendSheetPrdData[[#This Row],[Population]]&amp;TrendSheetPrdData[[#This Row],[Cost Basis]]&amp;TrendSheetPrdData[[#This Row],[Period]]&amp;TrendSheetPrdData[[#This Row],[Trend]]</f>
        <v>BAYVIEW EMPLOYEEPaid2016-06-01Hospiatl Outpatient MRIs per 1k</v>
      </c>
      <c r="B474" t="s">
        <v>127</v>
      </c>
      <c r="C474" t="s">
        <v>127</v>
      </c>
      <c r="D474" t="s">
        <v>78</v>
      </c>
      <c r="E474" s="1" t="s">
        <v>96</v>
      </c>
      <c r="F474" t="s">
        <v>93</v>
      </c>
      <c r="G474" t="s">
        <v>20</v>
      </c>
      <c r="H474">
        <v>9</v>
      </c>
      <c r="I474">
        <v>14</v>
      </c>
    </row>
    <row r="475" spans="1:9" x14ac:dyDescent="0.25">
      <c r="A475" s="5" t="str">
        <f>TrendSheetPrdData[[#This Row],[Population]]&amp;TrendSheetPrdData[[#This Row],[Cost Basis]]&amp;TrendSheetPrdData[[#This Row],[Period]]&amp;TrendSheetPrdData[[#This Row],[Trend]]</f>
        <v>BAYVIEW EMPLOYEEPaid2016-07-01Hospiatl Outpatient MRIs per 1k</v>
      </c>
      <c r="B475" t="s">
        <v>127</v>
      </c>
      <c r="C475" t="s">
        <v>127</v>
      </c>
      <c r="D475" t="s">
        <v>78</v>
      </c>
      <c r="E475" s="1" t="s">
        <v>97</v>
      </c>
      <c r="F475" t="s">
        <v>93</v>
      </c>
      <c r="G475" t="s">
        <v>20</v>
      </c>
      <c r="H475">
        <v>9</v>
      </c>
      <c r="I475">
        <v>42</v>
      </c>
    </row>
    <row r="476" spans="1:9" x14ac:dyDescent="0.25">
      <c r="A476" s="5" t="str">
        <f>TrendSheetPrdData[[#This Row],[Population]]&amp;TrendSheetPrdData[[#This Row],[Cost Basis]]&amp;TrendSheetPrdData[[#This Row],[Period]]&amp;TrendSheetPrdData[[#This Row],[Trend]]</f>
        <v>BAYVIEW EMPLOYEEPaid2016-08-01Hospiatl Outpatient MRIs per 1k</v>
      </c>
      <c r="B476" t="s">
        <v>127</v>
      </c>
      <c r="C476" t="s">
        <v>127</v>
      </c>
      <c r="D476" t="s">
        <v>78</v>
      </c>
      <c r="E476" s="1" t="s">
        <v>98</v>
      </c>
      <c r="F476" t="s">
        <v>93</v>
      </c>
      <c r="G476" t="s">
        <v>20</v>
      </c>
      <c r="H476">
        <v>9</v>
      </c>
      <c r="I476">
        <v>56</v>
      </c>
    </row>
    <row r="477" spans="1:9" x14ac:dyDescent="0.25">
      <c r="A477" s="5" t="str">
        <f>TrendSheetPrdData[[#This Row],[Population]]&amp;TrendSheetPrdData[[#This Row],[Cost Basis]]&amp;TrendSheetPrdData[[#This Row],[Period]]&amp;TrendSheetPrdData[[#This Row],[Trend]]</f>
        <v>BAYVIEW EMPLOYEEPaid2016-09-01Hospiatl Outpatient MRIs per 1k</v>
      </c>
      <c r="B477" t="s">
        <v>127</v>
      </c>
      <c r="C477" t="s">
        <v>127</v>
      </c>
      <c r="D477" t="s">
        <v>78</v>
      </c>
      <c r="E477" s="1" t="s">
        <v>99</v>
      </c>
      <c r="F477" t="s">
        <v>93</v>
      </c>
      <c r="G477" t="s">
        <v>20</v>
      </c>
      <c r="H477">
        <v>9</v>
      </c>
      <c r="I477">
        <v>41</v>
      </c>
    </row>
    <row r="478" spans="1:9" x14ac:dyDescent="0.25">
      <c r="A478" s="5" t="str">
        <f>TrendSheetPrdData[[#This Row],[Population]]&amp;TrendSheetPrdData[[#This Row],[Cost Basis]]&amp;TrendSheetPrdData[[#This Row],[Period]]&amp;TrendSheetPrdData[[#This Row],[Trend]]</f>
        <v>BAYVIEW EMPLOYEEPaid2016-10-01Hospiatl Outpatient MRIs per 1k</v>
      </c>
      <c r="B478" t="s">
        <v>127</v>
      </c>
      <c r="C478" t="s">
        <v>127</v>
      </c>
      <c r="D478" t="s">
        <v>78</v>
      </c>
      <c r="E478" s="1" t="s">
        <v>100</v>
      </c>
      <c r="F478" t="s">
        <v>93</v>
      </c>
      <c r="G478" t="s">
        <v>20</v>
      </c>
      <c r="H478">
        <v>9</v>
      </c>
      <c r="I478">
        <v>40</v>
      </c>
    </row>
    <row r="479" spans="1:9" x14ac:dyDescent="0.25">
      <c r="A479" s="5" t="str">
        <f>TrendSheetPrdData[[#This Row],[Population]]&amp;TrendSheetPrdData[[#This Row],[Cost Basis]]&amp;TrendSheetPrdData[[#This Row],[Period]]&amp;TrendSheetPrdData[[#This Row],[Trend]]</f>
        <v>BAYVIEW EMPLOYEEPaid2016-11-01Hospiatl Outpatient MRIs per 1k</v>
      </c>
      <c r="B479" t="s">
        <v>127</v>
      </c>
      <c r="C479" t="s">
        <v>127</v>
      </c>
      <c r="D479" t="s">
        <v>78</v>
      </c>
      <c r="E479" s="1" t="s">
        <v>101</v>
      </c>
      <c r="F479" t="s">
        <v>106</v>
      </c>
      <c r="G479" t="s">
        <v>20</v>
      </c>
      <c r="H479">
        <v>9</v>
      </c>
      <c r="I479">
        <v>13</v>
      </c>
    </row>
    <row r="480" spans="1:9" x14ac:dyDescent="0.25">
      <c r="A480" s="5" t="str">
        <f>TrendSheetPrdData[[#This Row],[Population]]&amp;TrendSheetPrdData[[#This Row],[Cost Basis]]&amp;TrendSheetPrdData[[#This Row],[Period]]&amp;TrendSheetPrdData[[#This Row],[Trend]]</f>
        <v>BAYVIEW EMPLOYEEPaid2016-12-01Hospiatl Outpatient MRIs per 1k</v>
      </c>
      <c r="B480" t="s">
        <v>127</v>
      </c>
      <c r="C480" t="s">
        <v>127</v>
      </c>
      <c r="D480" t="s">
        <v>78</v>
      </c>
      <c r="E480" s="1" t="s">
        <v>102</v>
      </c>
      <c r="F480" t="s">
        <v>106</v>
      </c>
      <c r="G480" t="s">
        <v>20</v>
      </c>
      <c r="H480">
        <v>9</v>
      </c>
      <c r="I480">
        <v>26</v>
      </c>
    </row>
    <row r="481" spans="1:9" x14ac:dyDescent="0.25">
      <c r="A481" s="5" t="str">
        <f>TrendSheetPrdData[[#This Row],[Population]]&amp;TrendSheetPrdData[[#This Row],[Cost Basis]]&amp;TrendSheetPrdData[[#This Row],[Period]]&amp;TrendSheetPrdData[[#This Row],[Trend]]</f>
        <v>BAYVIEW EMPLOYEEPaid2017-01-01Hospiatl Outpatient MRIs per 1k</v>
      </c>
      <c r="B481" t="s">
        <v>127</v>
      </c>
      <c r="C481" t="s">
        <v>127</v>
      </c>
      <c r="D481" t="s">
        <v>78</v>
      </c>
      <c r="E481" s="1" t="s">
        <v>103</v>
      </c>
      <c r="F481" t="s">
        <v>106</v>
      </c>
      <c r="G481" t="s">
        <v>20</v>
      </c>
      <c r="H481">
        <v>9</v>
      </c>
      <c r="I481">
        <v>0</v>
      </c>
    </row>
    <row r="482" spans="1:9" x14ac:dyDescent="0.25">
      <c r="A482" s="5" t="str">
        <f>TrendSheetPrdData[[#This Row],[Population]]&amp;TrendSheetPrdData[[#This Row],[Cost Basis]]&amp;TrendSheetPrdData[[#This Row],[Period]]&amp;TrendSheetPrdData[[#This Row],[Trend]]</f>
        <v>BAYVIEW EMPLOYEEPaid2015-11-01Hospiatl Outpatient CTs per 1k</v>
      </c>
      <c r="B482" t="s">
        <v>127</v>
      </c>
      <c r="C482" t="s">
        <v>127</v>
      </c>
      <c r="D482" t="s">
        <v>78</v>
      </c>
      <c r="E482" s="1" t="s">
        <v>130</v>
      </c>
      <c r="F482" t="s">
        <v>93</v>
      </c>
      <c r="G482" t="s">
        <v>21</v>
      </c>
      <c r="H482">
        <v>10</v>
      </c>
      <c r="I482">
        <v>0</v>
      </c>
    </row>
    <row r="483" spans="1:9" x14ac:dyDescent="0.25">
      <c r="A483" s="5" t="str">
        <f>TrendSheetPrdData[[#This Row],[Population]]&amp;TrendSheetPrdData[[#This Row],[Cost Basis]]&amp;TrendSheetPrdData[[#This Row],[Period]]&amp;TrendSheetPrdData[[#This Row],[Trend]]</f>
        <v>BAYVIEW EMPLOYEEPaid2015-12-01Hospiatl Outpatient CTs per 1k</v>
      </c>
      <c r="B483" t="s">
        <v>127</v>
      </c>
      <c r="C483" t="s">
        <v>127</v>
      </c>
      <c r="D483" t="s">
        <v>78</v>
      </c>
      <c r="E483" s="1" t="s">
        <v>131</v>
      </c>
      <c r="F483" t="s">
        <v>93</v>
      </c>
      <c r="G483" t="s">
        <v>21</v>
      </c>
      <c r="H483">
        <v>10</v>
      </c>
      <c r="I483">
        <v>80</v>
      </c>
    </row>
    <row r="484" spans="1:9" x14ac:dyDescent="0.25">
      <c r="A484" s="5" t="str">
        <f>TrendSheetPrdData[[#This Row],[Population]]&amp;TrendSheetPrdData[[#This Row],[Cost Basis]]&amp;TrendSheetPrdData[[#This Row],[Period]]&amp;TrendSheetPrdData[[#This Row],[Trend]]</f>
        <v>BAYVIEW EMPLOYEEPaid2016-01-01Hospiatl Outpatient CTs per 1k</v>
      </c>
      <c r="B484" t="s">
        <v>127</v>
      </c>
      <c r="C484" t="s">
        <v>127</v>
      </c>
      <c r="D484" t="s">
        <v>78</v>
      </c>
      <c r="E484" s="1" t="s">
        <v>132</v>
      </c>
      <c r="F484" t="s">
        <v>93</v>
      </c>
      <c r="G484" t="s">
        <v>21</v>
      </c>
      <c r="H484">
        <v>10</v>
      </c>
      <c r="I484">
        <v>44</v>
      </c>
    </row>
    <row r="485" spans="1:9" x14ac:dyDescent="0.25">
      <c r="A485" s="5" t="str">
        <f>TrendSheetPrdData[[#This Row],[Population]]&amp;TrendSheetPrdData[[#This Row],[Cost Basis]]&amp;TrendSheetPrdData[[#This Row],[Period]]&amp;TrendSheetPrdData[[#This Row],[Trend]]</f>
        <v>BAYVIEW EMPLOYEEPaid2016-02-01Hospiatl Outpatient CTs per 1k</v>
      </c>
      <c r="B485" t="s">
        <v>127</v>
      </c>
      <c r="C485" t="s">
        <v>127</v>
      </c>
      <c r="D485" t="s">
        <v>78</v>
      </c>
      <c r="E485" s="1" t="s">
        <v>133</v>
      </c>
      <c r="F485" t="s">
        <v>93</v>
      </c>
      <c r="G485" t="s">
        <v>21</v>
      </c>
      <c r="H485">
        <v>10</v>
      </c>
      <c r="I485">
        <v>43</v>
      </c>
    </row>
    <row r="486" spans="1:9" x14ac:dyDescent="0.25">
      <c r="A486" s="5" t="str">
        <f>TrendSheetPrdData[[#This Row],[Population]]&amp;TrendSheetPrdData[[#This Row],[Cost Basis]]&amp;TrendSheetPrdData[[#This Row],[Period]]&amp;TrendSheetPrdData[[#This Row],[Trend]]</f>
        <v>BAYVIEW EMPLOYEEPaid2016-03-01Hospiatl Outpatient CTs per 1k</v>
      </c>
      <c r="B486" t="s">
        <v>127</v>
      </c>
      <c r="C486" t="s">
        <v>127</v>
      </c>
      <c r="D486" t="s">
        <v>78</v>
      </c>
      <c r="E486" s="1" t="s">
        <v>92</v>
      </c>
      <c r="F486" t="s">
        <v>93</v>
      </c>
      <c r="G486" t="s">
        <v>21</v>
      </c>
      <c r="H486">
        <v>10</v>
      </c>
      <c r="I486">
        <v>29</v>
      </c>
    </row>
    <row r="487" spans="1:9" x14ac:dyDescent="0.25">
      <c r="A487" s="5" t="str">
        <f>TrendSheetPrdData[[#This Row],[Population]]&amp;TrendSheetPrdData[[#This Row],[Cost Basis]]&amp;TrendSheetPrdData[[#This Row],[Period]]&amp;TrendSheetPrdData[[#This Row],[Trend]]</f>
        <v>BAYVIEW EMPLOYEEPaid2016-04-01Hospiatl Outpatient CTs per 1k</v>
      </c>
      <c r="B487" t="s">
        <v>127</v>
      </c>
      <c r="C487" t="s">
        <v>127</v>
      </c>
      <c r="D487" t="s">
        <v>78</v>
      </c>
      <c r="E487" s="1" t="s">
        <v>94</v>
      </c>
      <c r="F487" t="s">
        <v>93</v>
      </c>
      <c r="G487" t="s">
        <v>21</v>
      </c>
      <c r="H487">
        <v>10</v>
      </c>
      <c r="I487">
        <v>29</v>
      </c>
    </row>
    <row r="488" spans="1:9" x14ac:dyDescent="0.25">
      <c r="A488" s="5" t="str">
        <f>TrendSheetPrdData[[#This Row],[Population]]&amp;TrendSheetPrdData[[#This Row],[Cost Basis]]&amp;TrendSheetPrdData[[#This Row],[Period]]&amp;TrendSheetPrdData[[#This Row],[Trend]]</f>
        <v>BAYVIEW EMPLOYEEPaid2016-05-01Hospiatl Outpatient CTs per 1k</v>
      </c>
      <c r="B488" t="s">
        <v>127</v>
      </c>
      <c r="C488" t="s">
        <v>127</v>
      </c>
      <c r="D488" t="s">
        <v>78</v>
      </c>
      <c r="E488" s="1" t="s">
        <v>95</v>
      </c>
      <c r="F488" t="s">
        <v>93</v>
      </c>
      <c r="G488" t="s">
        <v>21</v>
      </c>
      <c r="H488">
        <v>10</v>
      </c>
      <c r="I488">
        <v>29</v>
      </c>
    </row>
    <row r="489" spans="1:9" x14ac:dyDescent="0.25">
      <c r="A489" s="5" t="str">
        <f>TrendSheetPrdData[[#This Row],[Population]]&amp;TrendSheetPrdData[[#This Row],[Cost Basis]]&amp;TrendSheetPrdData[[#This Row],[Period]]&amp;TrendSheetPrdData[[#This Row],[Trend]]</f>
        <v>BAYVIEW EMPLOYEEPaid2016-06-01Hospiatl Outpatient CTs per 1k</v>
      </c>
      <c r="B489" t="s">
        <v>127</v>
      </c>
      <c r="C489" t="s">
        <v>127</v>
      </c>
      <c r="D489" t="s">
        <v>78</v>
      </c>
      <c r="E489" s="1" t="s">
        <v>96</v>
      </c>
      <c r="F489" t="s">
        <v>93</v>
      </c>
      <c r="G489" t="s">
        <v>21</v>
      </c>
      <c r="H489">
        <v>10</v>
      </c>
      <c r="I489">
        <v>29</v>
      </c>
    </row>
    <row r="490" spans="1:9" x14ac:dyDescent="0.25">
      <c r="A490" s="5" t="str">
        <f>TrendSheetPrdData[[#This Row],[Population]]&amp;TrendSheetPrdData[[#This Row],[Cost Basis]]&amp;TrendSheetPrdData[[#This Row],[Period]]&amp;TrendSheetPrdData[[#This Row],[Trend]]</f>
        <v>BAYVIEW EMPLOYEEPaid2016-07-01Hospiatl Outpatient CTs per 1k</v>
      </c>
      <c r="B490" t="s">
        <v>127</v>
      </c>
      <c r="C490" t="s">
        <v>127</v>
      </c>
      <c r="D490" t="s">
        <v>78</v>
      </c>
      <c r="E490" s="1" t="s">
        <v>97</v>
      </c>
      <c r="F490" t="s">
        <v>93</v>
      </c>
      <c r="G490" t="s">
        <v>21</v>
      </c>
      <c r="H490">
        <v>10</v>
      </c>
      <c r="I490">
        <v>28</v>
      </c>
    </row>
    <row r="491" spans="1:9" x14ac:dyDescent="0.25">
      <c r="A491" s="5" t="str">
        <f>TrendSheetPrdData[[#This Row],[Population]]&amp;TrendSheetPrdData[[#This Row],[Cost Basis]]&amp;TrendSheetPrdData[[#This Row],[Period]]&amp;TrendSheetPrdData[[#This Row],[Trend]]</f>
        <v>BAYVIEW EMPLOYEEPaid2016-08-01Hospiatl Outpatient CTs per 1k</v>
      </c>
      <c r="B491" t="s">
        <v>127</v>
      </c>
      <c r="C491" t="s">
        <v>127</v>
      </c>
      <c r="D491" t="s">
        <v>78</v>
      </c>
      <c r="E491" s="1" t="s">
        <v>98</v>
      </c>
      <c r="F491" t="s">
        <v>93</v>
      </c>
      <c r="G491" t="s">
        <v>21</v>
      </c>
      <c r="H491">
        <v>10</v>
      </c>
      <c r="I491">
        <v>56</v>
      </c>
    </row>
    <row r="492" spans="1:9" x14ac:dyDescent="0.25">
      <c r="A492" s="5" t="str">
        <f>TrendSheetPrdData[[#This Row],[Population]]&amp;TrendSheetPrdData[[#This Row],[Cost Basis]]&amp;TrendSheetPrdData[[#This Row],[Period]]&amp;TrendSheetPrdData[[#This Row],[Trend]]</f>
        <v>BAYVIEW EMPLOYEEPaid2016-09-01Hospiatl Outpatient CTs per 1k</v>
      </c>
      <c r="B492" t="s">
        <v>127</v>
      </c>
      <c r="C492" t="s">
        <v>127</v>
      </c>
      <c r="D492" t="s">
        <v>78</v>
      </c>
      <c r="E492" s="1" t="s">
        <v>99</v>
      </c>
      <c r="F492" t="s">
        <v>93</v>
      </c>
      <c r="G492" t="s">
        <v>21</v>
      </c>
      <c r="H492">
        <v>10</v>
      </c>
      <c r="I492">
        <v>54</v>
      </c>
    </row>
    <row r="493" spans="1:9" x14ac:dyDescent="0.25">
      <c r="A493" s="5" t="str">
        <f>TrendSheetPrdData[[#This Row],[Population]]&amp;TrendSheetPrdData[[#This Row],[Cost Basis]]&amp;TrendSheetPrdData[[#This Row],[Period]]&amp;TrendSheetPrdData[[#This Row],[Trend]]</f>
        <v>BAYVIEW EMPLOYEEPaid2016-10-01Hospiatl Outpatient CTs per 1k</v>
      </c>
      <c r="B493" t="s">
        <v>127</v>
      </c>
      <c r="C493" t="s">
        <v>127</v>
      </c>
      <c r="D493" t="s">
        <v>78</v>
      </c>
      <c r="E493" s="1" t="s">
        <v>100</v>
      </c>
      <c r="F493" t="s">
        <v>93</v>
      </c>
      <c r="G493" t="s">
        <v>21</v>
      </c>
      <c r="H493">
        <v>10</v>
      </c>
      <c r="I493">
        <v>27</v>
      </c>
    </row>
    <row r="494" spans="1:9" x14ac:dyDescent="0.25">
      <c r="A494" s="5" t="str">
        <f>TrendSheetPrdData[[#This Row],[Population]]&amp;TrendSheetPrdData[[#This Row],[Cost Basis]]&amp;TrendSheetPrdData[[#This Row],[Period]]&amp;TrendSheetPrdData[[#This Row],[Trend]]</f>
        <v>BAYVIEW EMPLOYEEPaid2016-11-01Hospiatl Outpatient CTs per 1k</v>
      </c>
      <c r="B494" t="s">
        <v>127</v>
      </c>
      <c r="C494" t="s">
        <v>127</v>
      </c>
      <c r="D494" t="s">
        <v>78</v>
      </c>
      <c r="E494" s="1" t="s">
        <v>101</v>
      </c>
      <c r="F494" t="s">
        <v>106</v>
      </c>
      <c r="G494" t="s">
        <v>21</v>
      </c>
      <c r="H494">
        <v>10</v>
      </c>
      <c r="I494">
        <v>26</v>
      </c>
    </row>
    <row r="495" spans="1:9" x14ac:dyDescent="0.25">
      <c r="A495" s="5" t="str">
        <f>TrendSheetPrdData[[#This Row],[Population]]&amp;TrendSheetPrdData[[#This Row],[Cost Basis]]&amp;TrendSheetPrdData[[#This Row],[Period]]&amp;TrendSheetPrdData[[#This Row],[Trend]]</f>
        <v>BAYVIEW EMPLOYEEPaid2016-12-01Hospiatl Outpatient CTs per 1k</v>
      </c>
      <c r="B495" t="s">
        <v>127</v>
      </c>
      <c r="C495" t="s">
        <v>127</v>
      </c>
      <c r="D495" t="s">
        <v>78</v>
      </c>
      <c r="E495" s="1" t="s">
        <v>102</v>
      </c>
      <c r="F495" t="s">
        <v>106</v>
      </c>
      <c r="G495" t="s">
        <v>21</v>
      </c>
      <c r="H495">
        <v>10</v>
      </c>
      <c r="I495">
        <v>26</v>
      </c>
    </row>
    <row r="496" spans="1:9" x14ac:dyDescent="0.25">
      <c r="A496" s="5" t="str">
        <f>TrendSheetPrdData[[#This Row],[Population]]&amp;TrendSheetPrdData[[#This Row],[Cost Basis]]&amp;TrendSheetPrdData[[#This Row],[Period]]&amp;TrendSheetPrdData[[#This Row],[Trend]]</f>
        <v>BAYVIEW EMPLOYEEPaid2017-01-01Hospiatl Outpatient CTs per 1k</v>
      </c>
      <c r="B496" t="s">
        <v>127</v>
      </c>
      <c r="C496" t="s">
        <v>127</v>
      </c>
      <c r="D496" t="s">
        <v>78</v>
      </c>
      <c r="E496" s="1" t="s">
        <v>103</v>
      </c>
      <c r="F496" t="s">
        <v>106</v>
      </c>
      <c r="G496" t="s">
        <v>21</v>
      </c>
      <c r="H496">
        <v>10</v>
      </c>
      <c r="I496">
        <v>0</v>
      </c>
    </row>
    <row r="497" spans="1:9" x14ac:dyDescent="0.25">
      <c r="A497" s="5" t="str">
        <f>TrendSheetPrdData[[#This Row],[Population]]&amp;TrendSheetPrdData[[#This Row],[Cost Basis]]&amp;TrendSheetPrdData[[#This Row],[Period]]&amp;TrendSheetPrdData[[#This Row],[Trend]]</f>
        <v>BAYVIEW EMPLOYEEPaid2015-11-01Office Based MRIs per 1k</v>
      </c>
      <c r="B497" t="s">
        <v>127</v>
      </c>
      <c r="C497" t="s">
        <v>127</v>
      </c>
      <c r="D497" t="s">
        <v>78</v>
      </c>
      <c r="E497" s="1" t="s">
        <v>130</v>
      </c>
      <c r="F497" t="s">
        <v>93</v>
      </c>
      <c r="G497" t="s">
        <v>22</v>
      </c>
      <c r="H497">
        <v>11</v>
      </c>
      <c r="I497">
        <v>16</v>
      </c>
    </row>
    <row r="498" spans="1:9" x14ac:dyDescent="0.25">
      <c r="A498" s="5" t="str">
        <f>TrendSheetPrdData[[#This Row],[Population]]&amp;TrendSheetPrdData[[#This Row],[Cost Basis]]&amp;TrendSheetPrdData[[#This Row],[Period]]&amp;TrendSheetPrdData[[#This Row],[Trend]]</f>
        <v>BAYVIEW EMPLOYEEPaid2015-12-01Office Based MRIs per 1k</v>
      </c>
      <c r="B498" t="s">
        <v>127</v>
      </c>
      <c r="C498" t="s">
        <v>127</v>
      </c>
      <c r="D498" t="s">
        <v>78</v>
      </c>
      <c r="E498" s="1" t="s">
        <v>131</v>
      </c>
      <c r="F498" t="s">
        <v>93</v>
      </c>
      <c r="G498" t="s">
        <v>22</v>
      </c>
      <c r="H498">
        <v>11</v>
      </c>
      <c r="I498">
        <v>16</v>
      </c>
    </row>
    <row r="499" spans="1:9" x14ac:dyDescent="0.25">
      <c r="A499" s="5" t="str">
        <f>TrendSheetPrdData[[#This Row],[Population]]&amp;TrendSheetPrdData[[#This Row],[Cost Basis]]&amp;TrendSheetPrdData[[#This Row],[Period]]&amp;TrendSheetPrdData[[#This Row],[Trend]]</f>
        <v>BAYVIEW EMPLOYEEPaid2016-01-01Office Based MRIs per 1k</v>
      </c>
      <c r="B499" t="s">
        <v>127</v>
      </c>
      <c r="C499" t="s">
        <v>127</v>
      </c>
      <c r="D499" t="s">
        <v>78</v>
      </c>
      <c r="E499" s="1" t="s">
        <v>132</v>
      </c>
      <c r="F499" t="s">
        <v>93</v>
      </c>
      <c r="G499" t="s">
        <v>22</v>
      </c>
      <c r="H499">
        <v>11</v>
      </c>
      <c r="I499">
        <v>0</v>
      </c>
    </row>
    <row r="500" spans="1:9" x14ac:dyDescent="0.25">
      <c r="A500" s="5" t="str">
        <f>TrendSheetPrdData[[#This Row],[Population]]&amp;TrendSheetPrdData[[#This Row],[Cost Basis]]&amp;TrendSheetPrdData[[#This Row],[Period]]&amp;TrendSheetPrdData[[#This Row],[Trend]]</f>
        <v>BAYVIEW EMPLOYEEPaid2016-02-01Office Based MRIs per 1k</v>
      </c>
      <c r="B500" t="s">
        <v>127</v>
      </c>
      <c r="C500" t="s">
        <v>127</v>
      </c>
      <c r="D500" t="s">
        <v>78</v>
      </c>
      <c r="E500" s="1" t="s">
        <v>133</v>
      </c>
      <c r="F500" t="s">
        <v>93</v>
      </c>
      <c r="G500" t="s">
        <v>22</v>
      </c>
      <c r="H500">
        <v>11</v>
      </c>
      <c r="I500">
        <v>14</v>
      </c>
    </row>
    <row r="501" spans="1:9" x14ac:dyDescent="0.25">
      <c r="A501" s="5" t="str">
        <f>TrendSheetPrdData[[#This Row],[Population]]&amp;TrendSheetPrdData[[#This Row],[Cost Basis]]&amp;TrendSheetPrdData[[#This Row],[Period]]&amp;TrendSheetPrdData[[#This Row],[Trend]]</f>
        <v>BAYVIEW EMPLOYEEPaid2016-03-01Office Based MRIs per 1k</v>
      </c>
      <c r="B501" t="s">
        <v>127</v>
      </c>
      <c r="C501" t="s">
        <v>127</v>
      </c>
      <c r="D501" t="s">
        <v>78</v>
      </c>
      <c r="E501" s="1" t="s">
        <v>92</v>
      </c>
      <c r="F501" t="s">
        <v>93</v>
      </c>
      <c r="G501" t="s">
        <v>22</v>
      </c>
      <c r="H501">
        <v>11</v>
      </c>
      <c r="I501">
        <v>14</v>
      </c>
    </row>
    <row r="502" spans="1:9" x14ac:dyDescent="0.25">
      <c r="A502" s="5" t="str">
        <f>TrendSheetPrdData[[#This Row],[Population]]&amp;TrendSheetPrdData[[#This Row],[Cost Basis]]&amp;TrendSheetPrdData[[#This Row],[Period]]&amp;TrendSheetPrdData[[#This Row],[Trend]]</f>
        <v>BAYVIEW EMPLOYEEPaid2016-04-01Office Based MRIs per 1k</v>
      </c>
      <c r="B502" t="s">
        <v>127</v>
      </c>
      <c r="C502" t="s">
        <v>127</v>
      </c>
      <c r="D502" t="s">
        <v>78</v>
      </c>
      <c r="E502" s="1" t="s">
        <v>94</v>
      </c>
      <c r="F502" t="s">
        <v>93</v>
      </c>
      <c r="G502" t="s">
        <v>22</v>
      </c>
      <c r="H502">
        <v>11</v>
      </c>
      <c r="I502">
        <v>29</v>
      </c>
    </row>
    <row r="503" spans="1:9" x14ac:dyDescent="0.25">
      <c r="A503" s="5" t="str">
        <f>TrendSheetPrdData[[#This Row],[Population]]&amp;TrendSheetPrdData[[#This Row],[Cost Basis]]&amp;TrendSheetPrdData[[#This Row],[Period]]&amp;TrendSheetPrdData[[#This Row],[Trend]]</f>
        <v>BAYVIEW EMPLOYEEPaid2016-05-01Office Based MRIs per 1k</v>
      </c>
      <c r="B503" t="s">
        <v>127</v>
      </c>
      <c r="C503" t="s">
        <v>127</v>
      </c>
      <c r="D503" t="s">
        <v>78</v>
      </c>
      <c r="E503" s="1" t="s">
        <v>95</v>
      </c>
      <c r="F503" t="s">
        <v>93</v>
      </c>
      <c r="G503" t="s">
        <v>22</v>
      </c>
      <c r="H503">
        <v>11</v>
      </c>
      <c r="I503">
        <v>15</v>
      </c>
    </row>
    <row r="504" spans="1:9" x14ac:dyDescent="0.25">
      <c r="A504" s="5" t="str">
        <f>TrendSheetPrdData[[#This Row],[Population]]&amp;TrendSheetPrdData[[#This Row],[Cost Basis]]&amp;TrendSheetPrdData[[#This Row],[Period]]&amp;TrendSheetPrdData[[#This Row],[Trend]]</f>
        <v>BAYVIEW EMPLOYEEPaid2016-06-01Office Based MRIs per 1k</v>
      </c>
      <c r="B504" t="s">
        <v>127</v>
      </c>
      <c r="C504" t="s">
        <v>127</v>
      </c>
      <c r="D504" t="s">
        <v>78</v>
      </c>
      <c r="E504" s="1" t="s">
        <v>96</v>
      </c>
      <c r="F504" t="s">
        <v>93</v>
      </c>
      <c r="G504" t="s">
        <v>22</v>
      </c>
      <c r="H504">
        <v>11</v>
      </c>
      <c r="I504">
        <v>14</v>
      </c>
    </row>
    <row r="505" spans="1:9" x14ac:dyDescent="0.25">
      <c r="A505" s="5" t="str">
        <f>TrendSheetPrdData[[#This Row],[Population]]&amp;TrendSheetPrdData[[#This Row],[Cost Basis]]&amp;TrendSheetPrdData[[#This Row],[Period]]&amp;TrendSheetPrdData[[#This Row],[Trend]]</f>
        <v>BAYVIEW EMPLOYEEPaid2016-07-01Office Based MRIs per 1k</v>
      </c>
      <c r="B505" t="s">
        <v>127</v>
      </c>
      <c r="C505" t="s">
        <v>127</v>
      </c>
      <c r="D505" t="s">
        <v>78</v>
      </c>
      <c r="E505" s="1" t="s">
        <v>97</v>
      </c>
      <c r="F505" t="s">
        <v>93</v>
      </c>
      <c r="G505" t="s">
        <v>22</v>
      </c>
      <c r="H505">
        <v>11</v>
      </c>
      <c r="I505">
        <v>0</v>
      </c>
    </row>
    <row r="506" spans="1:9" x14ac:dyDescent="0.25">
      <c r="A506" s="5" t="str">
        <f>TrendSheetPrdData[[#This Row],[Population]]&amp;TrendSheetPrdData[[#This Row],[Cost Basis]]&amp;TrendSheetPrdData[[#This Row],[Period]]&amp;TrendSheetPrdData[[#This Row],[Trend]]</f>
        <v>BAYVIEW EMPLOYEEPaid2016-08-01Office Based MRIs per 1k</v>
      </c>
      <c r="B506" t="s">
        <v>127</v>
      </c>
      <c r="C506" t="s">
        <v>127</v>
      </c>
      <c r="D506" t="s">
        <v>78</v>
      </c>
      <c r="E506" s="1" t="s">
        <v>98</v>
      </c>
      <c r="F506" t="s">
        <v>93</v>
      </c>
      <c r="G506" t="s">
        <v>22</v>
      </c>
      <c r="H506">
        <v>11</v>
      </c>
      <c r="I506">
        <v>14</v>
      </c>
    </row>
    <row r="507" spans="1:9" x14ac:dyDescent="0.25">
      <c r="A507" s="5" t="str">
        <f>TrendSheetPrdData[[#This Row],[Population]]&amp;TrendSheetPrdData[[#This Row],[Cost Basis]]&amp;TrendSheetPrdData[[#This Row],[Period]]&amp;TrendSheetPrdData[[#This Row],[Trend]]</f>
        <v>BAYVIEW EMPLOYEEPaid2016-09-01Office Based MRIs per 1k</v>
      </c>
      <c r="B507" t="s">
        <v>127</v>
      </c>
      <c r="C507" t="s">
        <v>127</v>
      </c>
      <c r="D507" t="s">
        <v>78</v>
      </c>
      <c r="E507" s="1" t="s">
        <v>99</v>
      </c>
      <c r="F507" t="s">
        <v>93</v>
      </c>
      <c r="G507" t="s">
        <v>22</v>
      </c>
      <c r="H507">
        <v>11</v>
      </c>
      <c r="I507">
        <v>41</v>
      </c>
    </row>
    <row r="508" spans="1:9" x14ac:dyDescent="0.25">
      <c r="A508" s="5" t="str">
        <f>TrendSheetPrdData[[#This Row],[Population]]&amp;TrendSheetPrdData[[#This Row],[Cost Basis]]&amp;TrendSheetPrdData[[#This Row],[Period]]&amp;TrendSheetPrdData[[#This Row],[Trend]]</f>
        <v>BAYVIEW EMPLOYEEPaid2016-10-01Office Based MRIs per 1k</v>
      </c>
      <c r="B508" t="s">
        <v>127</v>
      </c>
      <c r="C508" t="s">
        <v>127</v>
      </c>
      <c r="D508" t="s">
        <v>78</v>
      </c>
      <c r="E508" s="1" t="s">
        <v>100</v>
      </c>
      <c r="F508" t="s">
        <v>93</v>
      </c>
      <c r="G508" t="s">
        <v>22</v>
      </c>
      <c r="H508">
        <v>11</v>
      </c>
      <c r="I508">
        <v>13</v>
      </c>
    </row>
    <row r="509" spans="1:9" x14ac:dyDescent="0.25">
      <c r="A509" s="5" t="str">
        <f>TrendSheetPrdData[[#This Row],[Population]]&amp;TrendSheetPrdData[[#This Row],[Cost Basis]]&amp;TrendSheetPrdData[[#This Row],[Period]]&amp;TrendSheetPrdData[[#This Row],[Trend]]</f>
        <v>BAYVIEW EMPLOYEEPaid2016-11-01Office Based MRIs per 1k</v>
      </c>
      <c r="B509" t="s">
        <v>127</v>
      </c>
      <c r="C509" t="s">
        <v>127</v>
      </c>
      <c r="D509" t="s">
        <v>78</v>
      </c>
      <c r="E509" s="1" t="s">
        <v>101</v>
      </c>
      <c r="F509" t="s">
        <v>106</v>
      </c>
      <c r="G509" t="s">
        <v>22</v>
      </c>
      <c r="H509">
        <v>11</v>
      </c>
      <c r="I509">
        <v>0</v>
      </c>
    </row>
    <row r="510" spans="1:9" x14ac:dyDescent="0.25">
      <c r="A510" s="5" t="str">
        <f>TrendSheetPrdData[[#This Row],[Population]]&amp;TrendSheetPrdData[[#This Row],[Cost Basis]]&amp;TrendSheetPrdData[[#This Row],[Period]]&amp;TrendSheetPrdData[[#This Row],[Trend]]</f>
        <v>BAYVIEW EMPLOYEEPaid2016-12-01Office Based MRIs per 1k</v>
      </c>
      <c r="B510" t="s">
        <v>127</v>
      </c>
      <c r="C510" t="s">
        <v>127</v>
      </c>
      <c r="D510" t="s">
        <v>78</v>
      </c>
      <c r="E510" s="1" t="s">
        <v>102</v>
      </c>
      <c r="F510" t="s">
        <v>106</v>
      </c>
      <c r="G510" t="s">
        <v>22</v>
      </c>
      <c r="H510">
        <v>11</v>
      </c>
      <c r="I510">
        <v>65</v>
      </c>
    </row>
    <row r="511" spans="1:9" x14ac:dyDescent="0.25">
      <c r="A511" s="5" t="str">
        <f>TrendSheetPrdData[[#This Row],[Population]]&amp;TrendSheetPrdData[[#This Row],[Cost Basis]]&amp;TrendSheetPrdData[[#This Row],[Period]]&amp;TrendSheetPrdData[[#This Row],[Trend]]</f>
        <v>BAYVIEW EMPLOYEEPaid2017-01-01Office Based MRIs per 1k</v>
      </c>
      <c r="B511" t="s">
        <v>127</v>
      </c>
      <c r="C511" t="s">
        <v>127</v>
      </c>
      <c r="D511" t="s">
        <v>78</v>
      </c>
      <c r="E511" s="1" t="s">
        <v>103</v>
      </c>
      <c r="F511" t="s">
        <v>106</v>
      </c>
      <c r="G511" t="s">
        <v>22</v>
      </c>
      <c r="H511">
        <v>11</v>
      </c>
      <c r="I511">
        <v>12</v>
      </c>
    </row>
    <row r="512" spans="1:9" x14ac:dyDescent="0.25">
      <c r="A512" s="5" t="str">
        <f>TrendSheetPrdData[[#This Row],[Population]]&amp;TrendSheetPrdData[[#This Row],[Cost Basis]]&amp;TrendSheetPrdData[[#This Row],[Period]]&amp;TrendSheetPrdData[[#This Row],[Trend]]</f>
        <v>BAYVIEW EMPLOYEEPaid2015-11-01Office Based CTs per 1k</v>
      </c>
      <c r="B512" t="s">
        <v>127</v>
      </c>
      <c r="C512" t="s">
        <v>127</v>
      </c>
      <c r="D512" t="s">
        <v>78</v>
      </c>
      <c r="E512" s="1" t="s">
        <v>130</v>
      </c>
      <c r="F512" t="s">
        <v>93</v>
      </c>
      <c r="G512" t="s">
        <v>23</v>
      </c>
      <c r="H512">
        <v>12</v>
      </c>
      <c r="I512">
        <v>0</v>
      </c>
    </row>
    <row r="513" spans="1:9" x14ac:dyDescent="0.25">
      <c r="A513" s="5" t="str">
        <f>TrendSheetPrdData[[#This Row],[Population]]&amp;TrendSheetPrdData[[#This Row],[Cost Basis]]&amp;TrendSheetPrdData[[#This Row],[Period]]&amp;TrendSheetPrdData[[#This Row],[Trend]]</f>
        <v>BAYVIEW EMPLOYEEPaid2015-12-01Office Based CTs per 1k</v>
      </c>
      <c r="B513" t="s">
        <v>127</v>
      </c>
      <c r="C513" t="s">
        <v>127</v>
      </c>
      <c r="D513" t="s">
        <v>78</v>
      </c>
      <c r="E513" s="1" t="s">
        <v>131</v>
      </c>
      <c r="F513" t="s">
        <v>93</v>
      </c>
      <c r="G513" t="s">
        <v>23</v>
      </c>
      <c r="H513">
        <v>12</v>
      </c>
      <c r="I513">
        <v>16</v>
      </c>
    </row>
    <row r="514" spans="1:9" x14ac:dyDescent="0.25">
      <c r="A514" s="5" t="str">
        <f>TrendSheetPrdData[[#This Row],[Population]]&amp;TrendSheetPrdData[[#This Row],[Cost Basis]]&amp;TrendSheetPrdData[[#This Row],[Period]]&amp;TrendSheetPrdData[[#This Row],[Trend]]</f>
        <v>BAYVIEW EMPLOYEEPaid2016-01-01Office Based CTs per 1k</v>
      </c>
      <c r="B514" t="s">
        <v>127</v>
      </c>
      <c r="C514" t="s">
        <v>127</v>
      </c>
      <c r="D514" t="s">
        <v>78</v>
      </c>
      <c r="E514" s="1" t="s">
        <v>132</v>
      </c>
      <c r="F514" t="s">
        <v>93</v>
      </c>
      <c r="G514" t="s">
        <v>23</v>
      </c>
      <c r="H514">
        <v>12</v>
      </c>
      <c r="I514">
        <v>0</v>
      </c>
    </row>
    <row r="515" spans="1:9" x14ac:dyDescent="0.25">
      <c r="A515" s="5" t="str">
        <f>TrendSheetPrdData[[#This Row],[Population]]&amp;TrendSheetPrdData[[#This Row],[Cost Basis]]&amp;TrendSheetPrdData[[#This Row],[Period]]&amp;TrendSheetPrdData[[#This Row],[Trend]]</f>
        <v>BAYVIEW EMPLOYEEPaid2016-02-01Office Based CTs per 1k</v>
      </c>
      <c r="B515" t="s">
        <v>127</v>
      </c>
      <c r="C515" t="s">
        <v>127</v>
      </c>
      <c r="D515" t="s">
        <v>78</v>
      </c>
      <c r="E515" s="1" t="s">
        <v>133</v>
      </c>
      <c r="F515" t="s">
        <v>93</v>
      </c>
      <c r="G515" t="s">
        <v>23</v>
      </c>
      <c r="H515">
        <v>12</v>
      </c>
      <c r="I515">
        <v>0</v>
      </c>
    </row>
    <row r="516" spans="1:9" x14ac:dyDescent="0.25">
      <c r="A516" s="5" t="str">
        <f>TrendSheetPrdData[[#This Row],[Population]]&amp;TrendSheetPrdData[[#This Row],[Cost Basis]]&amp;TrendSheetPrdData[[#This Row],[Period]]&amp;TrendSheetPrdData[[#This Row],[Trend]]</f>
        <v>BAYVIEW EMPLOYEEPaid2016-03-01Office Based CTs per 1k</v>
      </c>
      <c r="B516" t="s">
        <v>127</v>
      </c>
      <c r="C516" t="s">
        <v>127</v>
      </c>
      <c r="D516" t="s">
        <v>78</v>
      </c>
      <c r="E516" s="1" t="s">
        <v>92</v>
      </c>
      <c r="F516" t="s">
        <v>93</v>
      </c>
      <c r="G516" t="s">
        <v>23</v>
      </c>
      <c r="H516">
        <v>12</v>
      </c>
      <c r="I516">
        <v>0</v>
      </c>
    </row>
    <row r="517" spans="1:9" x14ac:dyDescent="0.25">
      <c r="A517" s="5" t="str">
        <f>TrendSheetPrdData[[#This Row],[Population]]&amp;TrendSheetPrdData[[#This Row],[Cost Basis]]&amp;TrendSheetPrdData[[#This Row],[Period]]&amp;TrendSheetPrdData[[#This Row],[Trend]]</f>
        <v>BAYVIEW EMPLOYEEPaid2016-04-01Office Based CTs per 1k</v>
      </c>
      <c r="B517" t="s">
        <v>127</v>
      </c>
      <c r="C517" t="s">
        <v>127</v>
      </c>
      <c r="D517" t="s">
        <v>78</v>
      </c>
      <c r="E517" s="1" t="s">
        <v>94</v>
      </c>
      <c r="F517" t="s">
        <v>93</v>
      </c>
      <c r="G517" t="s">
        <v>23</v>
      </c>
      <c r="H517">
        <v>12</v>
      </c>
      <c r="I517">
        <v>0</v>
      </c>
    </row>
    <row r="518" spans="1:9" x14ac:dyDescent="0.25">
      <c r="A518" s="5" t="str">
        <f>TrendSheetPrdData[[#This Row],[Population]]&amp;TrendSheetPrdData[[#This Row],[Cost Basis]]&amp;TrendSheetPrdData[[#This Row],[Period]]&amp;TrendSheetPrdData[[#This Row],[Trend]]</f>
        <v>BAYVIEW EMPLOYEEPaid2016-05-01Office Based CTs per 1k</v>
      </c>
      <c r="B518" t="s">
        <v>127</v>
      </c>
      <c r="C518" t="s">
        <v>127</v>
      </c>
      <c r="D518" t="s">
        <v>78</v>
      </c>
      <c r="E518" s="1" t="s">
        <v>95</v>
      </c>
      <c r="F518" t="s">
        <v>93</v>
      </c>
      <c r="G518" t="s">
        <v>23</v>
      </c>
      <c r="H518">
        <v>12</v>
      </c>
      <c r="I518">
        <v>0</v>
      </c>
    </row>
    <row r="519" spans="1:9" x14ac:dyDescent="0.25">
      <c r="A519" s="5" t="str">
        <f>TrendSheetPrdData[[#This Row],[Population]]&amp;TrendSheetPrdData[[#This Row],[Cost Basis]]&amp;TrendSheetPrdData[[#This Row],[Period]]&amp;TrendSheetPrdData[[#This Row],[Trend]]</f>
        <v>BAYVIEW EMPLOYEEPaid2016-06-01Office Based CTs per 1k</v>
      </c>
      <c r="B519" t="s">
        <v>127</v>
      </c>
      <c r="C519" t="s">
        <v>127</v>
      </c>
      <c r="D519" t="s">
        <v>78</v>
      </c>
      <c r="E519" s="1" t="s">
        <v>96</v>
      </c>
      <c r="F519" t="s">
        <v>93</v>
      </c>
      <c r="G519" t="s">
        <v>23</v>
      </c>
      <c r="H519">
        <v>12</v>
      </c>
      <c r="I519">
        <v>0</v>
      </c>
    </row>
    <row r="520" spans="1:9" x14ac:dyDescent="0.25">
      <c r="A520" s="5" t="str">
        <f>TrendSheetPrdData[[#This Row],[Population]]&amp;TrendSheetPrdData[[#This Row],[Cost Basis]]&amp;TrendSheetPrdData[[#This Row],[Period]]&amp;TrendSheetPrdData[[#This Row],[Trend]]</f>
        <v>BAYVIEW EMPLOYEEPaid2016-07-01Office Based CTs per 1k</v>
      </c>
      <c r="B520" t="s">
        <v>127</v>
      </c>
      <c r="C520" t="s">
        <v>127</v>
      </c>
      <c r="D520" t="s">
        <v>78</v>
      </c>
      <c r="E520" s="1" t="s">
        <v>97</v>
      </c>
      <c r="F520" t="s">
        <v>93</v>
      </c>
      <c r="G520" t="s">
        <v>23</v>
      </c>
      <c r="H520">
        <v>12</v>
      </c>
      <c r="I520">
        <v>0</v>
      </c>
    </row>
    <row r="521" spans="1:9" x14ac:dyDescent="0.25">
      <c r="A521" s="5" t="str">
        <f>TrendSheetPrdData[[#This Row],[Population]]&amp;TrendSheetPrdData[[#This Row],[Cost Basis]]&amp;TrendSheetPrdData[[#This Row],[Period]]&amp;TrendSheetPrdData[[#This Row],[Trend]]</f>
        <v>BAYVIEW EMPLOYEEPaid2016-08-01Office Based CTs per 1k</v>
      </c>
      <c r="B521" t="s">
        <v>127</v>
      </c>
      <c r="C521" t="s">
        <v>127</v>
      </c>
      <c r="D521" t="s">
        <v>78</v>
      </c>
      <c r="E521" s="1" t="s">
        <v>98</v>
      </c>
      <c r="F521" t="s">
        <v>93</v>
      </c>
      <c r="G521" t="s">
        <v>23</v>
      </c>
      <c r="H521">
        <v>12</v>
      </c>
      <c r="I521">
        <v>0</v>
      </c>
    </row>
    <row r="522" spans="1:9" x14ac:dyDescent="0.25">
      <c r="A522" s="5" t="str">
        <f>TrendSheetPrdData[[#This Row],[Population]]&amp;TrendSheetPrdData[[#This Row],[Cost Basis]]&amp;TrendSheetPrdData[[#This Row],[Period]]&amp;TrendSheetPrdData[[#This Row],[Trend]]</f>
        <v>BAYVIEW EMPLOYEEPaid2016-09-01Office Based CTs per 1k</v>
      </c>
      <c r="B522" t="s">
        <v>127</v>
      </c>
      <c r="C522" t="s">
        <v>127</v>
      </c>
      <c r="D522" t="s">
        <v>78</v>
      </c>
      <c r="E522" s="1" t="s">
        <v>99</v>
      </c>
      <c r="F522" t="s">
        <v>93</v>
      </c>
      <c r="G522" t="s">
        <v>23</v>
      </c>
      <c r="H522">
        <v>12</v>
      </c>
      <c r="I522">
        <v>0</v>
      </c>
    </row>
    <row r="523" spans="1:9" x14ac:dyDescent="0.25">
      <c r="A523" s="5" t="str">
        <f>TrendSheetPrdData[[#This Row],[Population]]&amp;TrendSheetPrdData[[#This Row],[Cost Basis]]&amp;TrendSheetPrdData[[#This Row],[Period]]&amp;TrendSheetPrdData[[#This Row],[Trend]]</f>
        <v>BAYVIEW EMPLOYEEPaid2016-10-01Office Based CTs per 1k</v>
      </c>
      <c r="B523" t="s">
        <v>127</v>
      </c>
      <c r="C523" t="s">
        <v>127</v>
      </c>
      <c r="D523" t="s">
        <v>78</v>
      </c>
      <c r="E523" s="1" t="s">
        <v>100</v>
      </c>
      <c r="F523" t="s">
        <v>93</v>
      </c>
      <c r="G523" t="s">
        <v>23</v>
      </c>
      <c r="H523">
        <v>12</v>
      </c>
      <c r="I523">
        <v>0</v>
      </c>
    </row>
    <row r="524" spans="1:9" x14ac:dyDescent="0.25">
      <c r="A524" s="5" t="str">
        <f>TrendSheetPrdData[[#This Row],[Population]]&amp;TrendSheetPrdData[[#This Row],[Cost Basis]]&amp;TrendSheetPrdData[[#This Row],[Period]]&amp;TrendSheetPrdData[[#This Row],[Trend]]</f>
        <v>BAYVIEW EMPLOYEEPaid2016-11-01Office Based CTs per 1k</v>
      </c>
      <c r="B524" t="s">
        <v>127</v>
      </c>
      <c r="C524" t="s">
        <v>127</v>
      </c>
      <c r="D524" t="s">
        <v>78</v>
      </c>
      <c r="E524" s="1" t="s">
        <v>101</v>
      </c>
      <c r="F524" t="s">
        <v>106</v>
      </c>
      <c r="G524" t="s">
        <v>23</v>
      </c>
      <c r="H524">
        <v>12</v>
      </c>
      <c r="I524">
        <v>0</v>
      </c>
    </row>
    <row r="525" spans="1:9" x14ac:dyDescent="0.25">
      <c r="A525" s="5" t="str">
        <f>TrendSheetPrdData[[#This Row],[Population]]&amp;TrendSheetPrdData[[#This Row],[Cost Basis]]&amp;TrendSheetPrdData[[#This Row],[Period]]&amp;TrendSheetPrdData[[#This Row],[Trend]]</f>
        <v>BAYVIEW EMPLOYEEPaid2016-12-01Office Based CTs per 1k</v>
      </c>
      <c r="B525" t="s">
        <v>127</v>
      </c>
      <c r="C525" t="s">
        <v>127</v>
      </c>
      <c r="D525" t="s">
        <v>78</v>
      </c>
      <c r="E525" s="1" t="s">
        <v>102</v>
      </c>
      <c r="F525" t="s">
        <v>106</v>
      </c>
      <c r="G525" t="s">
        <v>23</v>
      </c>
      <c r="H525">
        <v>12</v>
      </c>
      <c r="I525">
        <v>0</v>
      </c>
    </row>
    <row r="526" spans="1:9" x14ac:dyDescent="0.25">
      <c r="A526" s="5" t="str">
        <f>TrendSheetPrdData[[#This Row],[Population]]&amp;TrendSheetPrdData[[#This Row],[Cost Basis]]&amp;TrendSheetPrdData[[#This Row],[Period]]&amp;TrendSheetPrdData[[#This Row],[Trend]]</f>
        <v>BAYVIEW EMPLOYEEPaid2017-01-01Office Based CTs per 1k</v>
      </c>
      <c r="B526" t="s">
        <v>127</v>
      </c>
      <c r="C526" t="s">
        <v>127</v>
      </c>
      <c r="D526" t="s">
        <v>78</v>
      </c>
      <c r="E526" s="1" t="s">
        <v>103</v>
      </c>
      <c r="F526" t="s">
        <v>106</v>
      </c>
      <c r="G526" t="s">
        <v>23</v>
      </c>
      <c r="H526">
        <v>12</v>
      </c>
      <c r="I526">
        <v>0</v>
      </c>
    </row>
    <row r="527" spans="1:9" x14ac:dyDescent="0.25">
      <c r="A527" s="5" t="str">
        <f>TrendSheetPrdData[[#This Row],[Population]]&amp;TrendSheetPrdData[[#This Row],[Cost Basis]]&amp;TrendSheetPrdData[[#This Row],[Period]]&amp;TrendSheetPrdData[[#This Row],[Trend]]</f>
        <v>BAYVIEW EMPLOYEEPaid2015-11-01ED Cost</v>
      </c>
      <c r="B527" t="s">
        <v>127</v>
      </c>
      <c r="C527" t="s">
        <v>127</v>
      </c>
      <c r="D527" t="s">
        <v>78</v>
      </c>
      <c r="E527" s="1" t="s">
        <v>130</v>
      </c>
      <c r="F527" t="s">
        <v>93</v>
      </c>
      <c r="G527" t="s">
        <v>24</v>
      </c>
      <c r="H527">
        <v>13</v>
      </c>
      <c r="I527">
        <v>7645</v>
      </c>
    </row>
    <row r="528" spans="1:9" x14ac:dyDescent="0.25">
      <c r="A528" s="5" t="str">
        <f>TrendSheetPrdData[[#This Row],[Population]]&amp;TrendSheetPrdData[[#This Row],[Cost Basis]]&amp;TrendSheetPrdData[[#This Row],[Period]]&amp;TrendSheetPrdData[[#This Row],[Trend]]</f>
        <v>BAYVIEW EMPLOYEEPaid2015-12-01ED Cost</v>
      </c>
      <c r="B528" t="s">
        <v>127</v>
      </c>
      <c r="C528" t="s">
        <v>127</v>
      </c>
      <c r="D528" t="s">
        <v>78</v>
      </c>
      <c r="E528" s="1" t="s">
        <v>131</v>
      </c>
      <c r="F528" t="s">
        <v>93</v>
      </c>
      <c r="G528" t="s">
        <v>24</v>
      </c>
      <c r="H528">
        <v>13</v>
      </c>
      <c r="I528">
        <v>7466</v>
      </c>
    </row>
    <row r="529" spans="1:9" x14ac:dyDescent="0.25">
      <c r="A529" s="5" t="str">
        <f>TrendSheetPrdData[[#This Row],[Population]]&amp;TrendSheetPrdData[[#This Row],[Cost Basis]]&amp;TrendSheetPrdData[[#This Row],[Period]]&amp;TrendSheetPrdData[[#This Row],[Trend]]</f>
        <v>BAYVIEW EMPLOYEEPaid2016-01-01ED Cost</v>
      </c>
      <c r="B529" t="s">
        <v>127</v>
      </c>
      <c r="C529" t="s">
        <v>127</v>
      </c>
      <c r="D529" t="s">
        <v>78</v>
      </c>
      <c r="E529" s="1" t="s">
        <v>132</v>
      </c>
      <c r="F529" t="s">
        <v>93</v>
      </c>
      <c r="G529" t="s">
        <v>24</v>
      </c>
      <c r="H529">
        <v>13</v>
      </c>
      <c r="I529">
        <v>2581</v>
      </c>
    </row>
    <row r="530" spans="1:9" x14ac:dyDescent="0.25">
      <c r="A530" s="5" t="str">
        <f>TrendSheetPrdData[[#This Row],[Population]]&amp;TrendSheetPrdData[[#This Row],[Cost Basis]]&amp;TrendSheetPrdData[[#This Row],[Period]]&amp;TrendSheetPrdData[[#This Row],[Trend]]</f>
        <v>BAYVIEW EMPLOYEEPaid2016-02-01ED Cost</v>
      </c>
      <c r="B530" t="s">
        <v>127</v>
      </c>
      <c r="C530" t="s">
        <v>127</v>
      </c>
      <c r="D530" t="s">
        <v>78</v>
      </c>
      <c r="E530" s="1" t="s">
        <v>133</v>
      </c>
      <c r="F530" t="s">
        <v>93</v>
      </c>
      <c r="G530" t="s">
        <v>24</v>
      </c>
      <c r="H530">
        <v>13</v>
      </c>
      <c r="I530">
        <v>3930</v>
      </c>
    </row>
    <row r="531" spans="1:9" x14ac:dyDescent="0.25">
      <c r="A531" s="5" t="str">
        <f>TrendSheetPrdData[[#This Row],[Population]]&amp;TrendSheetPrdData[[#This Row],[Cost Basis]]&amp;TrendSheetPrdData[[#This Row],[Period]]&amp;TrendSheetPrdData[[#This Row],[Trend]]</f>
        <v>BAYVIEW EMPLOYEEPaid2016-03-01ED Cost</v>
      </c>
      <c r="B531" t="s">
        <v>127</v>
      </c>
      <c r="C531" t="s">
        <v>127</v>
      </c>
      <c r="D531" t="s">
        <v>78</v>
      </c>
      <c r="E531" s="1" t="s">
        <v>92</v>
      </c>
      <c r="F531" t="s">
        <v>93</v>
      </c>
      <c r="G531" t="s">
        <v>24</v>
      </c>
      <c r="H531">
        <v>13</v>
      </c>
      <c r="I531">
        <v>1647</v>
      </c>
    </row>
    <row r="532" spans="1:9" x14ac:dyDescent="0.25">
      <c r="A532" s="5" t="str">
        <f>TrendSheetPrdData[[#This Row],[Population]]&amp;TrendSheetPrdData[[#This Row],[Cost Basis]]&amp;TrendSheetPrdData[[#This Row],[Period]]&amp;TrendSheetPrdData[[#This Row],[Trend]]</f>
        <v>BAYVIEW EMPLOYEEPaid2016-04-01ED Cost</v>
      </c>
      <c r="B532" t="s">
        <v>127</v>
      </c>
      <c r="C532" t="s">
        <v>127</v>
      </c>
      <c r="D532" t="s">
        <v>78</v>
      </c>
      <c r="E532" s="1" t="s">
        <v>94</v>
      </c>
      <c r="F532" t="s">
        <v>93</v>
      </c>
      <c r="G532" t="s">
        <v>24</v>
      </c>
      <c r="H532">
        <v>13</v>
      </c>
      <c r="I532">
        <v>19468</v>
      </c>
    </row>
    <row r="533" spans="1:9" x14ac:dyDescent="0.25">
      <c r="A533" s="5" t="str">
        <f>TrendSheetPrdData[[#This Row],[Population]]&amp;TrendSheetPrdData[[#This Row],[Cost Basis]]&amp;TrendSheetPrdData[[#This Row],[Period]]&amp;TrendSheetPrdData[[#This Row],[Trend]]</f>
        <v>BAYVIEW EMPLOYEEPaid2016-05-01ED Cost</v>
      </c>
      <c r="B533" t="s">
        <v>127</v>
      </c>
      <c r="C533" t="s">
        <v>127</v>
      </c>
      <c r="D533" t="s">
        <v>78</v>
      </c>
      <c r="E533" s="1" t="s">
        <v>95</v>
      </c>
      <c r="F533" t="s">
        <v>93</v>
      </c>
      <c r="G533" t="s">
        <v>24</v>
      </c>
      <c r="H533">
        <v>13</v>
      </c>
      <c r="I533">
        <v>13913</v>
      </c>
    </row>
    <row r="534" spans="1:9" x14ac:dyDescent="0.25">
      <c r="A534" s="5" t="str">
        <f>TrendSheetPrdData[[#This Row],[Population]]&amp;TrendSheetPrdData[[#This Row],[Cost Basis]]&amp;TrendSheetPrdData[[#This Row],[Period]]&amp;TrendSheetPrdData[[#This Row],[Trend]]</f>
        <v>BAYVIEW EMPLOYEEPaid2016-06-01ED Cost</v>
      </c>
      <c r="B534" t="s">
        <v>127</v>
      </c>
      <c r="C534" t="s">
        <v>127</v>
      </c>
      <c r="D534" t="s">
        <v>78</v>
      </c>
      <c r="E534" s="1" t="s">
        <v>96</v>
      </c>
      <c r="F534" t="s">
        <v>93</v>
      </c>
      <c r="G534" t="s">
        <v>24</v>
      </c>
      <c r="H534">
        <v>13</v>
      </c>
      <c r="I534">
        <v>4658</v>
      </c>
    </row>
    <row r="535" spans="1:9" x14ac:dyDescent="0.25">
      <c r="A535" s="5" t="str">
        <f>TrendSheetPrdData[[#This Row],[Population]]&amp;TrendSheetPrdData[[#This Row],[Cost Basis]]&amp;TrendSheetPrdData[[#This Row],[Period]]&amp;TrendSheetPrdData[[#This Row],[Trend]]</f>
        <v>BAYVIEW EMPLOYEEPaid2016-07-01ED Cost</v>
      </c>
      <c r="B535" t="s">
        <v>127</v>
      </c>
      <c r="C535" t="s">
        <v>127</v>
      </c>
      <c r="D535" t="s">
        <v>78</v>
      </c>
      <c r="E535" s="1" t="s">
        <v>97</v>
      </c>
      <c r="F535" t="s">
        <v>93</v>
      </c>
      <c r="G535" t="s">
        <v>24</v>
      </c>
      <c r="H535">
        <v>13</v>
      </c>
      <c r="I535">
        <v>4867</v>
      </c>
    </row>
    <row r="536" spans="1:9" x14ac:dyDescent="0.25">
      <c r="A536" s="5" t="str">
        <f>TrendSheetPrdData[[#This Row],[Population]]&amp;TrendSheetPrdData[[#This Row],[Cost Basis]]&amp;TrendSheetPrdData[[#This Row],[Period]]&amp;TrendSheetPrdData[[#This Row],[Trend]]</f>
        <v>BAYVIEW EMPLOYEEPaid2016-08-01ED Cost</v>
      </c>
      <c r="B536" t="s">
        <v>127</v>
      </c>
      <c r="C536" t="s">
        <v>127</v>
      </c>
      <c r="D536" t="s">
        <v>78</v>
      </c>
      <c r="E536" s="1" t="s">
        <v>98</v>
      </c>
      <c r="F536" t="s">
        <v>93</v>
      </c>
      <c r="G536" t="s">
        <v>24</v>
      </c>
      <c r="H536">
        <v>13</v>
      </c>
      <c r="I536">
        <v>6507</v>
      </c>
    </row>
    <row r="537" spans="1:9" x14ac:dyDescent="0.25">
      <c r="A537" s="5" t="str">
        <f>TrendSheetPrdData[[#This Row],[Population]]&amp;TrendSheetPrdData[[#This Row],[Cost Basis]]&amp;TrendSheetPrdData[[#This Row],[Period]]&amp;TrendSheetPrdData[[#This Row],[Trend]]</f>
        <v>BAYVIEW EMPLOYEEPaid2016-09-01ED Cost</v>
      </c>
      <c r="B537" t="s">
        <v>127</v>
      </c>
      <c r="C537" t="s">
        <v>127</v>
      </c>
      <c r="D537" t="s">
        <v>78</v>
      </c>
      <c r="E537" s="1" t="s">
        <v>99</v>
      </c>
      <c r="F537" t="s">
        <v>93</v>
      </c>
      <c r="G537" t="s">
        <v>24</v>
      </c>
      <c r="H537">
        <v>13</v>
      </c>
      <c r="I537">
        <v>7056</v>
      </c>
    </row>
    <row r="538" spans="1:9" x14ac:dyDescent="0.25">
      <c r="A538" s="5" t="str">
        <f>TrendSheetPrdData[[#This Row],[Population]]&amp;TrendSheetPrdData[[#This Row],[Cost Basis]]&amp;TrendSheetPrdData[[#This Row],[Period]]&amp;TrendSheetPrdData[[#This Row],[Trend]]</f>
        <v>BAYVIEW EMPLOYEEPaid2016-10-01ED Cost</v>
      </c>
      <c r="B538" t="s">
        <v>127</v>
      </c>
      <c r="C538" t="s">
        <v>127</v>
      </c>
      <c r="D538" t="s">
        <v>78</v>
      </c>
      <c r="E538" s="1" t="s">
        <v>100</v>
      </c>
      <c r="F538" t="s">
        <v>93</v>
      </c>
      <c r="G538" t="s">
        <v>24</v>
      </c>
      <c r="H538">
        <v>13</v>
      </c>
      <c r="I538">
        <v>15190</v>
      </c>
    </row>
    <row r="539" spans="1:9" x14ac:dyDescent="0.25">
      <c r="A539" s="5" t="str">
        <f>TrendSheetPrdData[[#This Row],[Population]]&amp;TrendSheetPrdData[[#This Row],[Cost Basis]]&amp;TrendSheetPrdData[[#This Row],[Period]]&amp;TrendSheetPrdData[[#This Row],[Trend]]</f>
        <v>BAYVIEW EMPLOYEEPaid2016-11-01ED Cost</v>
      </c>
      <c r="B539" t="s">
        <v>127</v>
      </c>
      <c r="C539" t="s">
        <v>127</v>
      </c>
      <c r="D539" t="s">
        <v>78</v>
      </c>
      <c r="E539" s="1" t="s">
        <v>101</v>
      </c>
      <c r="F539" t="s">
        <v>106</v>
      </c>
      <c r="G539" t="s">
        <v>24</v>
      </c>
      <c r="H539">
        <v>13</v>
      </c>
      <c r="I539">
        <v>12849</v>
      </c>
    </row>
    <row r="540" spans="1:9" x14ac:dyDescent="0.25">
      <c r="A540" s="5" t="str">
        <f>TrendSheetPrdData[[#This Row],[Population]]&amp;TrendSheetPrdData[[#This Row],[Cost Basis]]&amp;TrendSheetPrdData[[#This Row],[Period]]&amp;TrendSheetPrdData[[#This Row],[Trend]]</f>
        <v>BAYVIEW EMPLOYEEPaid2016-12-01ED Cost</v>
      </c>
      <c r="B540" t="s">
        <v>127</v>
      </c>
      <c r="C540" t="s">
        <v>127</v>
      </c>
      <c r="D540" t="s">
        <v>78</v>
      </c>
      <c r="E540" s="1" t="s">
        <v>102</v>
      </c>
      <c r="F540" t="s">
        <v>106</v>
      </c>
      <c r="G540" t="s">
        <v>24</v>
      </c>
      <c r="H540">
        <v>13</v>
      </c>
      <c r="I540">
        <v>12106</v>
      </c>
    </row>
    <row r="541" spans="1:9" x14ac:dyDescent="0.25">
      <c r="A541" s="5" t="str">
        <f>TrendSheetPrdData[[#This Row],[Population]]&amp;TrendSheetPrdData[[#This Row],[Cost Basis]]&amp;TrendSheetPrdData[[#This Row],[Period]]&amp;TrendSheetPrdData[[#This Row],[Trend]]</f>
        <v>BAYVIEW EMPLOYEEPaid2017-01-01ED Cost</v>
      </c>
      <c r="B541" t="s">
        <v>127</v>
      </c>
      <c r="C541" t="s">
        <v>127</v>
      </c>
      <c r="D541" t="s">
        <v>78</v>
      </c>
      <c r="E541" s="1" t="s">
        <v>103</v>
      </c>
      <c r="F541" t="s">
        <v>106</v>
      </c>
      <c r="G541" t="s">
        <v>24</v>
      </c>
      <c r="H541">
        <v>13</v>
      </c>
      <c r="I541">
        <v>442</v>
      </c>
    </row>
    <row r="542" spans="1:9" x14ac:dyDescent="0.25">
      <c r="A542" s="5" t="str">
        <f>TrendSheetPrdData[[#This Row],[Population]]&amp;TrendSheetPrdData[[#This Row],[Cost Basis]]&amp;TrendSheetPrdData[[#This Row],[Period]]&amp;TrendSheetPrdData[[#This Row],[Trend]]</f>
        <v>BAYVIEW EMPLOYEEPaid2015-11-01ED Utilization</v>
      </c>
      <c r="B542" t="s">
        <v>127</v>
      </c>
      <c r="C542" t="s">
        <v>127</v>
      </c>
      <c r="D542" t="s">
        <v>78</v>
      </c>
      <c r="E542" s="1" t="s">
        <v>130</v>
      </c>
      <c r="F542" t="s">
        <v>93</v>
      </c>
      <c r="G542" t="s">
        <v>25</v>
      </c>
      <c r="H542">
        <v>14</v>
      </c>
      <c r="I542">
        <v>226</v>
      </c>
    </row>
    <row r="543" spans="1:9" x14ac:dyDescent="0.25">
      <c r="A543" s="5" t="str">
        <f>TrendSheetPrdData[[#This Row],[Population]]&amp;TrendSheetPrdData[[#This Row],[Cost Basis]]&amp;TrendSheetPrdData[[#This Row],[Period]]&amp;TrendSheetPrdData[[#This Row],[Trend]]</f>
        <v>BAYVIEW EMPLOYEEPaid2015-12-01ED Utilization</v>
      </c>
      <c r="B543" t="s">
        <v>127</v>
      </c>
      <c r="C543" t="s">
        <v>127</v>
      </c>
      <c r="D543" t="s">
        <v>78</v>
      </c>
      <c r="E543" s="1" t="s">
        <v>131</v>
      </c>
      <c r="F543" t="s">
        <v>93</v>
      </c>
      <c r="G543" t="s">
        <v>25</v>
      </c>
      <c r="H543">
        <v>14</v>
      </c>
      <c r="I543">
        <v>192</v>
      </c>
    </row>
    <row r="544" spans="1:9" x14ac:dyDescent="0.25">
      <c r="A544" s="5" t="str">
        <f>TrendSheetPrdData[[#This Row],[Population]]&amp;TrendSheetPrdData[[#This Row],[Cost Basis]]&amp;TrendSheetPrdData[[#This Row],[Period]]&amp;TrendSheetPrdData[[#This Row],[Trend]]</f>
        <v>BAYVIEW EMPLOYEEPaid2016-01-01ED Utilization</v>
      </c>
      <c r="B544" t="s">
        <v>127</v>
      </c>
      <c r="C544" t="s">
        <v>127</v>
      </c>
      <c r="D544" t="s">
        <v>78</v>
      </c>
      <c r="E544" s="1" t="s">
        <v>132</v>
      </c>
      <c r="F544" t="s">
        <v>93</v>
      </c>
      <c r="G544" t="s">
        <v>25</v>
      </c>
      <c r="H544">
        <v>14</v>
      </c>
      <c r="I544">
        <v>145</v>
      </c>
    </row>
    <row r="545" spans="1:9" x14ac:dyDescent="0.25">
      <c r="A545" s="5" t="str">
        <f>TrendSheetPrdData[[#This Row],[Population]]&amp;TrendSheetPrdData[[#This Row],[Cost Basis]]&amp;TrendSheetPrdData[[#This Row],[Period]]&amp;TrendSheetPrdData[[#This Row],[Trend]]</f>
        <v>BAYVIEW EMPLOYEEPaid2016-02-01ED Utilization</v>
      </c>
      <c r="B545" t="s">
        <v>127</v>
      </c>
      <c r="C545" t="s">
        <v>127</v>
      </c>
      <c r="D545" t="s">
        <v>78</v>
      </c>
      <c r="E545" s="1" t="s">
        <v>133</v>
      </c>
      <c r="F545" t="s">
        <v>93</v>
      </c>
      <c r="G545" t="s">
        <v>25</v>
      </c>
      <c r="H545">
        <v>14</v>
      </c>
      <c r="I545">
        <v>173</v>
      </c>
    </row>
    <row r="546" spans="1:9" x14ac:dyDescent="0.25">
      <c r="A546" s="5" t="str">
        <f>TrendSheetPrdData[[#This Row],[Population]]&amp;TrendSheetPrdData[[#This Row],[Cost Basis]]&amp;TrendSheetPrdData[[#This Row],[Period]]&amp;TrendSheetPrdData[[#This Row],[Trend]]</f>
        <v>BAYVIEW EMPLOYEEPaid2016-03-01ED Utilization</v>
      </c>
      <c r="B546" t="s">
        <v>127</v>
      </c>
      <c r="C546" t="s">
        <v>127</v>
      </c>
      <c r="D546" t="s">
        <v>78</v>
      </c>
      <c r="E546" s="1" t="s">
        <v>92</v>
      </c>
      <c r="F546" t="s">
        <v>93</v>
      </c>
      <c r="G546" t="s">
        <v>25</v>
      </c>
      <c r="H546">
        <v>14</v>
      </c>
      <c r="I546">
        <v>159</v>
      </c>
    </row>
    <row r="547" spans="1:9" x14ac:dyDescent="0.25">
      <c r="A547" s="5" t="str">
        <f>TrendSheetPrdData[[#This Row],[Population]]&amp;TrendSheetPrdData[[#This Row],[Cost Basis]]&amp;TrendSheetPrdData[[#This Row],[Period]]&amp;TrendSheetPrdData[[#This Row],[Trend]]</f>
        <v>BAYVIEW EMPLOYEEPaid2016-04-01ED Utilization</v>
      </c>
      <c r="B547" t="s">
        <v>127</v>
      </c>
      <c r="C547" t="s">
        <v>127</v>
      </c>
      <c r="D547" t="s">
        <v>78</v>
      </c>
      <c r="E547" s="1" t="s">
        <v>94</v>
      </c>
      <c r="F547" t="s">
        <v>93</v>
      </c>
      <c r="G547" t="s">
        <v>25</v>
      </c>
      <c r="H547">
        <v>14</v>
      </c>
      <c r="I547">
        <v>190</v>
      </c>
    </row>
    <row r="548" spans="1:9" x14ac:dyDescent="0.25">
      <c r="A548" s="5" t="str">
        <f>TrendSheetPrdData[[#This Row],[Population]]&amp;TrendSheetPrdData[[#This Row],[Cost Basis]]&amp;TrendSheetPrdData[[#This Row],[Period]]&amp;TrendSheetPrdData[[#This Row],[Trend]]</f>
        <v>BAYVIEW EMPLOYEEPaid2016-05-01ED Utilization</v>
      </c>
      <c r="B548" t="s">
        <v>127</v>
      </c>
      <c r="C548" t="s">
        <v>127</v>
      </c>
      <c r="D548" t="s">
        <v>78</v>
      </c>
      <c r="E548" s="1" t="s">
        <v>95</v>
      </c>
      <c r="F548" t="s">
        <v>93</v>
      </c>
      <c r="G548" t="s">
        <v>25</v>
      </c>
      <c r="H548">
        <v>14</v>
      </c>
      <c r="I548">
        <v>161</v>
      </c>
    </row>
    <row r="549" spans="1:9" x14ac:dyDescent="0.25">
      <c r="A549" s="5" t="str">
        <f>TrendSheetPrdData[[#This Row],[Population]]&amp;TrendSheetPrdData[[#This Row],[Cost Basis]]&amp;TrendSheetPrdData[[#This Row],[Period]]&amp;TrendSheetPrdData[[#This Row],[Trend]]</f>
        <v>BAYVIEW EMPLOYEEPaid2016-06-01ED Utilization</v>
      </c>
      <c r="B549" t="s">
        <v>127</v>
      </c>
      <c r="C549" t="s">
        <v>127</v>
      </c>
      <c r="D549" t="s">
        <v>78</v>
      </c>
      <c r="E549" s="1" t="s">
        <v>96</v>
      </c>
      <c r="F549" t="s">
        <v>93</v>
      </c>
      <c r="G549" t="s">
        <v>25</v>
      </c>
      <c r="H549">
        <v>14</v>
      </c>
      <c r="I549">
        <v>172</v>
      </c>
    </row>
    <row r="550" spans="1:9" x14ac:dyDescent="0.25">
      <c r="A550" s="5" t="str">
        <f>TrendSheetPrdData[[#This Row],[Population]]&amp;TrendSheetPrdData[[#This Row],[Cost Basis]]&amp;TrendSheetPrdData[[#This Row],[Period]]&amp;TrendSheetPrdData[[#This Row],[Trend]]</f>
        <v>BAYVIEW EMPLOYEEPaid2016-07-01ED Utilization</v>
      </c>
      <c r="B550" t="s">
        <v>127</v>
      </c>
      <c r="C550" t="s">
        <v>127</v>
      </c>
      <c r="D550" t="s">
        <v>78</v>
      </c>
      <c r="E550" s="1" t="s">
        <v>97</v>
      </c>
      <c r="F550" t="s">
        <v>93</v>
      </c>
      <c r="G550" t="s">
        <v>25</v>
      </c>
      <c r="H550">
        <v>14</v>
      </c>
      <c r="I550">
        <v>98</v>
      </c>
    </row>
    <row r="551" spans="1:9" x14ac:dyDescent="0.25">
      <c r="A551" s="5" t="str">
        <f>TrendSheetPrdData[[#This Row],[Population]]&amp;TrendSheetPrdData[[#This Row],[Cost Basis]]&amp;TrendSheetPrdData[[#This Row],[Period]]&amp;TrendSheetPrdData[[#This Row],[Trend]]</f>
        <v>BAYVIEW EMPLOYEEPaid2016-08-01ED Utilization</v>
      </c>
      <c r="B551" t="s">
        <v>127</v>
      </c>
      <c r="C551" t="s">
        <v>127</v>
      </c>
      <c r="D551" t="s">
        <v>78</v>
      </c>
      <c r="E551" s="1" t="s">
        <v>98</v>
      </c>
      <c r="F551" t="s">
        <v>93</v>
      </c>
      <c r="G551" t="s">
        <v>25</v>
      </c>
      <c r="H551">
        <v>14</v>
      </c>
      <c r="I551">
        <v>69</v>
      </c>
    </row>
    <row r="552" spans="1:9" x14ac:dyDescent="0.25">
      <c r="A552" s="5" t="str">
        <f>TrendSheetPrdData[[#This Row],[Population]]&amp;TrendSheetPrdData[[#This Row],[Cost Basis]]&amp;TrendSheetPrdData[[#This Row],[Period]]&amp;TrendSheetPrdData[[#This Row],[Trend]]</f>
        <v>BAYVIEW EMPLOYEEPaid2016-09-01ED Utilization</v>
      </c>
      <c r="B552" t="s">
        <v>127</v>
      </c>
      <c r="C552" t="s">
        <v>127</v>
      </c>
      <c r="D552" t="s">
        <v>78</v>
      </c>
      <c r="E552" s="1" t="s">
        <v>99</v>
      </c>
      <c r="F552" t="s">
        <v>93</v>
      </c>
      <c r="G552" t="s">
        <v>25</v>
      </c>
      <c r="H552">
        <v>14</v>
      </c>
      <c r="I552">
        <v>95</v>
      </c>
    </row>
    <row r="553" spans="1:9" x14ac:dyDescent="0.25">
      <c r="A553" s="5" t="str">
        <f>TrendSheetPrdData[[#This Row],[Population]]&amp;TrendSheetPrdData[[#This Row],[Cost Basis]]&amp;TrendSheetPrdData[[#This Row],[Period]]&amp;TrendSheetPrdData[[#This Row],[Trend]]</f>
        <v>BAYVIEW EMPLOYEEPaid2016-10-01ED Utilization</v>
      </c>
      <c r="B553" t="s">
        <v>127</v>
      </c>
      <c r="C553" t="s">
        <v>127</v>
      </c>
      <c r="D553" t="s">
        <v>78</v>
      </c>
      <c r="E553" s="1" t="s">
        <v>100</v>
      </c>
      <c r="F553" t="s">
        <v>93</v>
      </c>
      <c r="G553" t="s">
        <v>25</v>
      </c>
      <c r="H553">
        <v>14</v>
      </c>
      <c r="I553">
        <v>147</v>
      </c>
    </row>
    <row r="554" spans="1:9" x14ac:dyDescent="0.25">
      <c r="A554" s="5" t="str">
        <f>TrendSheetPrdData[[#This Row],[Population]]&amp;TrendSheetPrdData[[#This Row],[Cost Basis]]&amp;TrendSheetPrdData[[#This Row],[Period]]&amp;TrendSheetPrdData[[#This Row],[Trend]]</f>
        <v>BAYVIEW EMPLOYEEPaid2016-11-01ED Utilization</v>
      </c>
      <c r="B554" t="s">
        <v>127</v>
      </c>
      <c r="C554" t="s">
        <v>127</v>
      </c>
      <c r="D554" t="s">
        <v>78</v>
      </c>
      <c r="E554" s="1" t="s">
        <v>101</v>
      </c>
      <c r="F554" t="s">
        <v>106</v>
      </c>
      <c r="G554" t="s">
        <v>25</v>
      </c>
      <c r="H554">
        <v>14</v>
      </c>
      <c r="I554">
        <v>119</v>
      </c>
    </row>
    <row r="555" spans="1:9" x14ac:dyDescent="0.25">
      <c r="A555" s="5" t="str">
        <f>TrendSheetPrdData[[#This Row],[Population]]&amp;TrendSheetPrdData[[#This Row],[Cost Basis]]&amp;TrendSheetPrdData[[#This Row],[Period]]&amp;TrendSheetPrdData[[#This Row],[Trend]]</f>
        <v>BAYVIEW EMPLOYEEPaid2016-12-01ED Utilization</v>
      </c>
      <c r="B555" t="s">
        <v>127</v>
      </c>
      <c r="C555" t="s">
        <v>127</v>
      </c>
      <c r="D555" t="s">
        <v>78</v>
      </c>
      <c r="E555" s="1" t="s">
        <v>102</v>
      </c>
      <c r="F555" t="s">
        <v>106</v>
      </c>
      <c r="G555" t="s">
        <v>25</v>
      </c>
      <c r="H555">
        <v>14</v>
      </c>
      <c r="I555">
        <v>156</v>
      </c>
    </row>
    <row r="556" spans="1:9" x14ac:dyDescent="0.25">
      <c r="A556" s="5" t="str">
        <f>TrendSheetPrdData[[#This Row],[Population]]&amp;TrendSheetPrdData[[#This Row],[Cost Basis]]&amp;TrendSheetPrdData[[#This Row],[Period]]&amp;TrendSheetPrdData[[#This Row],[Trend]]</f>
        <v>BAYVIEW EMPLOYEEPaid2017-01-01ED Utilization</v>
      </c>
      <c r="B556" t="s">
        <v>127</v>
      </c>
      <c r="C556" t="s">
        <v>127</v>
      </c>
      <c r="D556" t="s">
        <v>78</v>
      </c>
      <c r="E556" s="1" t="s">
        <v>103</v>
      </c>
      <c r="F556" t="s">
        <v>106</v>
      </c>
      <c r="G556" t="s">
        <v>25</v>
      </c>
      <c r="H556">
        <v>14</v>
      </c>
      <c r="I556">
        <v>48</v>
      </c>
    </row>
    <row r="557" spans="1:9" x14ac:dyDescent="0.25">
      <c r="A557" s="5" t="str">
        <f>TrendSheetPrdData[[#This Row],[Population]]&amp;TrendSheetPrdData[[#This Row],[Cost Basis]]&amp;TrendSheetPrdData[[#This Row],[Period]]&amp;TrendSheetPrdData[[#This Row],[Trend]]</f>
        <v>BAYVIEW EMPLOYEEPaid2015-11-01Drug - Generic Utilization Cost</v>
      </c>
      <c r="B557" t="s">
        <v>127</v>
      </c>
      <c r="C557" t="s">
        <v>127</v>
      </c>
      <c r="D557" t="s">
        <v>78</v>
      </c>
      <c r="E557" s="1" t="s">
        <v>130</v>
      </c>
      <c r="F557" t="s">
        <v>93</v>
      </c>
      <c r="G557" t="s">
        <v>26</v>
      </c>
      <c r="H557">
        <v>15</v>
      </c>
      <c r="I557">
        <v>86145</v>
      </c>
    </row>
    <row r="558" spans="1:9" x14ac:dyDescent="0.25">
      <c r="A558" s="5" t="str">
        <f>TrendSheetPrdData[[#This Row],[Population]]&amp;TrendSheetPrdData[[#This Row],[Cost Basis]]&amp;TrendSheetPrdData[[#This Row],[Period]]&amp;TrendSheetPrdData[[#This Row],[Trend]]</f>
        <v>BAYVIEW EMPLOYEEPaid2015-12-01Drug - Generic Utilization Cost</v>
      </c>
      <c r="B558" t="s">
        <v>127</v>
      </c>
      <c r="C558" t="s">
        <v>127</v>
      </c>
      <c r="D558" t="s">
        <v>78</v>
      </c>
      <c r="E558" s="1" t="s">
        <v>131</v>
      </c>
      <c r="F558" t="s">
        <v>93</v>
      </c>
      <c r="G558" t="s">
        <v>26</v>
      </c>
      <c r="H558">
        <v>15</v>
      </c>
      <c r="I558">
        <v>101847</v>
      </c>
    </row>
    <row r="559" spans="1:9" x14ac:dyDescent="0.25">
      <c r="A559" s="5" t="str">
        <f>TrendSheetPrdData[[#This Row],[Population]]&amp;TrendSheetPrdData[[#This Row],[Cost Basis]]&amp;TrendSheetPrdData[[#This Row],[Period]]&amp;TrendSheetPrdData[[#This Row],[Trend]]</f>
        <v>BAYVIEW EMPLOYEEPaid2016-01-01Drug - Generic Utilization Cost</v>
      </c>
      <c r="B559" t="s">
        <v>127</v>
      </c>
      <c r="C559" t="s">
        <v>127</v>
      </c>
      <c r="D559" t="s">
        <v>78</v>
      </c>
      <c r="E559" s="1" t="s">
        <v>132</v>
      </c>
      <c r="F559" t="s">
        <v>93</v>
      </c>
      <c r="G559" t="s">
        <v>26</v>
      </c>
      <c r="H559">
        <v>15</v>
      </c>
      <c r="I559">
        <v>40815</v>
      </c>
    </row>
    <row r="560" spans="1:9" x14ac:dyDescent="0.25">
      <c r="A560" s="5" t="str">
        <f>TrendSheetPrdData[[#This Row],[Population]]&amp;TrendSheetPrdData[[#This Row],[Cost Basis]]&amp;TrendSheetPrdData[[#This Row],[Period]]&amp;TrendSheetPrdData[[#This Row],[Trend]]</f>
        <v>BAYVIEW EMPLOYEEPaid2016-02-01Drug - Generic Utilization Cost</v>
      </c>
      <c r="B560" t="s">
        <v>127</v>
      </c>
      <c r="C560" t="s">
        <v>127</v>
      </c>
      <c r="D560" t="s">
        <v>78</v>
      </c>
      <c r="E560" s="1" t="s">
        <v>133</v>
      </c>
      <c r="F560" t="s">
        <v>93</v>
      </c>
      <c r="G560" t="s">
        <v>26</v>
      </c>
      <c r="H560">
        <v>15</v>
      </c>
      <c r="I560">
        <v>73433</v>
      </c>
    </row>
    <row r="561" spans="1:9" x14ac:dyDescent="0.25">
      <c r="A561" s="5" t="str">
        <f>TrendSheetPrdData[[#This Row],[Population]]&amp;TrendSheetPrdData[[#This Row],[Cost Basis]]&amp;TrendSheetPrdData[[#This Row],[Period]]&amp;TrendSheetPrdData[[#This Row],[Trend]]</f>
        <v>BAYVIEW EMPLOYEEPaid2016-03-01Drug - Generic Utilization Cost</v>
      </c>
      <c r="B561" t="s">
        <v>127</v>
      </c>
      <c r="C561" t="s">
        <v>127</v>
      </c>
      <c r="D561" t="s">
        <v>78</v>
      </c>
      <c r="E561" s="1" t="s">
        <v>92</v>
      </c>
      <c r="F561" t="s">
        <v>93</v>
      </c>
      <c r="G561" t="s">
        <v>26</v>
      </c>
      <c r="H561">
        <v>15</v>
      </c>
      <c r="I561">
        <v>89785</v>
      </c>
    </row>
    <row r="562" spans="1:9" x14ac:dyDescent="0.25">
      <c r="A562" s="5" t="str">
        <f>TrendSheetPrdData[[#This Row],[Population]]&amp;TrendSheetPrdData[[#This Row],[Cost Basis]]&amp;TrendSheetPrdData[[#This Row],[Period]]&amp;TrendSheetPrdData[[#This Row],[Trend]]</f>
        <v>BAYVIEW EMPLOYEEPaid2016-04-01Drug - Generic Utilization Cost</v>
      </c>
      <c r="B562" t="s">
        <v>127</v>
      </c>
      <c r="C562" t="s">
        <v>127</v>
      </c>
      <c r="D562" t="s">
        <v>78</v>
      </c>
      <c r="E562" s="1" t="s">
        <v>94</v>
      </c>
      <c r="F562" t="s">
        <v>93</v>
      </c>
      <c r="G562" t="s">
        <v>26</v>
      </c>
      <c r="H562">
        <v>15</v>
      </c>
      <c r="I562">
        <v>80907</v>
      </c>
    </row>
    <row r="563" spans="1:9" x14ac:dyDescent="0.25">
      <c r="A563" s="5" t="str">
        <f>TrendSheetPrdData[[#This Row],[Population]]&amp;TrendSheetPrdData[[#This Row],[Cost Basis]]&amp;TrendSheetPrdData[[#This Row],[Period]]&amp;TrendSheetPrdData[[#This Row],[Trend]]</f>
        <v>BAYVIEW EMPLOYEEPaid2016-05-01Drug - Generic Utilization Cost</v>
      </c>
      <c r="B563" t="s">
        <v>127</v>
      </c>
      <c r="C563" t="s">
        <v>127</v>
      </c>
      <c r="D563" t="s">
        <v>78</v>
      </c>
      <c r="E563" s="1" t="s">
        <v>95</v>
      </c>
      <c r="F563" t="s">
        <v>93</v>
      </c>
      <c r="G563" t="s">
        <v>26</v>
      </c>
      <c r="H563">
        <v>15</v>
      </c>
      <c r="I563">
        <v>97415</v>
      </c>
    </row>
    <row r="564" spans="1:9" x14ac:dyDescent="0.25">
      <c r="A564" s="5" t="str">
        <f>TrendSheetPrdData[[#This Row],[Population]]&amp;TrendSheetPrdData[[#This Row],[Cost Basis]]&amp;TrendSheetPrdData[[#This Row],[Period]]&amp;TrendSheetPrdData[[#This Row],[Trend]]</f>
        <v>BAYVIEW EMPLOYEEPaid2016-06-01Drug - Generic Utilization Cost</v>
      </c>
      <c r="B564" t="s">
        <v>127</v>
      </c>
      <c r="C564" t="s">
        <v>127</v>
      </c>
      <c r="D564" t="s">
        <v>78</v>
      </c>
      <c r="E564" s="1" t="s">
        <v>96</v>
      </c>
      <c r="F564" t="s">
        <v>93</v>
      </c>
      <c r="G564" t="s">
        <v>26</v>
      </c>
      <c r="H564">
        <v>15</v>
      </c>
      <c r="I564">
        <v>98989</v>
      </c>
    </row>
    <row r="565" spans="1:9" x14ac:dyDescent="0.25">
      <c r="A565" s="5" t="str">
        <f>TrendSheetPrdData[[#This Row],[Population]]&amp;TrendSheetPrdData[[#This Row],[Cost Basis]]&amp;TrendSheetPrdData[[#This Row],[Period]]&amp;TrendSheetPrdData[[#This Row],[Trend]]</f>
        <v>BAYVIEW EMPLOYEEPaid2016-07-01Drug - Generic Utilization Cost</v>
      </c>
      <c r="B565" t="s">
        <v>127</v>
      </c>
      <c r="C565" t="s">
        <v>127</v>
      </c>
      <c r="D565" t="s">
        <v>78</v>
      </c>
      <c r="E565" s="1" t="s">
        <v>97</v>
      </c>
      <c r="F565" t="s">
        <v>93</v>
      </c>
      <c r="G565" t="s">
        <v>26</v>
      </c>
      <c r="H565">
        <v>15</v>
      </c>
      <c r="I565">
        <v>88765</v>
      </c>
    </row>
    <row r="566" spans="1:9" x14ac:dyDescent="0.25">
      <c r="A566" s="5" t="str">
        <f>TrendSheetPrdData[[#This Row],[Population]]&amp;TrendSheetPrdData[[#This Row],[Cost Basis]]&amp;TrendSheetPrdData[[#This Row],[Period]]&amp;TrendSheetPrdData[[#This Row],[Trend]]</f>
        <v>BAYVIEW EMPLOYEEPaid2016-08-01Drug - Generic Utilization Cost</v>
      </c>
      <c r="B566" t="s">
        <v>127</v>
      </c>
      <c r="C566" t="s">
        <v>127</v>
      </c>
      <c r="D566" t="s">
        <v>78</v>
      </c>
      <c r="E566" s="1" t="s">
        <v>98</v>
      </c>
      <c r="F566" t="s">
        <v>93</v>
      </c>
      <c r="G566" t="s">
        <v>26</v>
      </c>
      <c r="H566">
        <v>15</v>
      </c>
      <c r="I566">
        <v>133119</v>
      </c>
    </row>
    <row r="567" spans="1:9" x14ac:dyDescent="0.25">
      <c r="A567" s="5" t="str">
        <f>TrendSheetPrdData[[#This Row],[Population]]&amp;TrendSheetPrdData[[#This Row],[Cost Basis]]&amp;TrendSheetPrdData[[#This Row],[Period]]&amp;TrendSheetPrdData[[#This Row],[Trend]]</f>
        <v>BAYVIEW EMPLOYEEPaid2016-09-01Drug - Generic Utilization Cost</v>
      </c>
      <c r="B567" t="s">
        <v>127</v>
      </c>
      <c r="C567" t="s">
        <v>127</v>
      </c>
      <c r="D567" t="s">
        <v>78</v>
      </c>
      <c r="E567" s="1" t="s">
        <v>99</v>
      </c>
      <c r="F567" t="s">
        <v>93</v>
      </c>
      <c r="G567" t="s">
        <v>26</v>
      </c>
      <c r="H567">
        <v>15</v>
      </c>
      <c r="I567">
        <v>136979</v>
      </c>
    </row>
    <row r="568" spans="1:9" x14ac:dyDescent="0.25">
      <c r="A568" s="5" t="str">
        <f>TrendSheetPrdData[[#This Row],[Population]]&amp;TrendSheetPrdData[[#This Row],[Cost Basis]]&amp;TrendSheetPrdData[[#This Row],[Period]]&amp;TrendSheetPrdData[[#This Row],[Trend]]</f>
        <v>BAYVIEW EMPLOYEEPaid2016-10-01Drug - Generic Utilization Cost</v>
      </c>
      <c r="B568" t="s">
        <v>127</v>
      </c>
      <c r="C568" t="s">
        <v>127</v>
      </c>
      <c r="D568" t="s">
        <v>78</v>
      </c>
      <c r="E568" s="1" t="s">
        <v>100</v>
      </c>
      <c r="F568" t="s">
        <v>93</v>
      </c>
      <c r="G568" t="s">
        <v>26</v>
      </c>
      <c r="H568">
        <v>15</v>
      </c>
      <c r="I568">
        <v>149027</v>
      </c>
    </row>
    <row r="569" spans="1:9" x14ac:dyDescent="0.25">
      <c r="A569" s="5" t="str">
        <f>TrendSheetPrdData[[#This Row],[Population]]&amp;TrendSheetPrdData[[#This Row],[Cost Basis]]&amp;TrendSheetPrdData[[#This Row],[Period]]&amp;TrendSheetPrdData[[#This Row],[Trend]]</f>
        <v>BAYVIEW EMPLOYEEPaid2016-11-01Drug - Generic Utilization Cost</v>
      </c>
      <c r="B569" t="s">
        <v>127</v>
      </c>
      <c r="C569" t="s">
        <v>127</v>
      </c>
      <c r="D569" t="s">
        <v>78</v>
      </c>
      <c r="E569" s="1" t="s">
        <v>101</v>
      </c>
      <c r="F569" t="s">
        <v>106</v>
      </c>
      <c r="G569" t="s">
        <v>26</v>
      </c>
      <c r="H569">
        <v>15</v>
      </c>
      <c r="I569">
        <v>129089</v>
      </c>
    </row>
    <row r="570" spans="1:9" x14ac:dyDescent="0.25">
      <c r="A570" s="5" t="str">
        <f>TrendSheetPrdData[[#This Row],[Population]]&amp;TrendSheetPrdData[[#This Row],[Cost Basis]]&amp;TrendSheetPrdData[[#This Row],[Period]]&amp;TrendSheetPrdData[[#This Row],[Trend]]</f>
        <v>BAYVIEW EMPLOYEEPaid2016-12-01Drug - Generic Utilization Cost</v>
      </c>
      <c r="B570" t="s">
        <v>127</v>
      </c>
      <c r="C570" t="s">
        <v>127</v>
      </c>
      <c r="D570" t="s">
        <v>78</v>
      </c>
      <c r="E570" s="1" t="s">
        <v>102</v>
      </c>
      <c r="F570" t="s">
        <v>106</v>
      </c>
      <c r="G570" t="s">
        <v>26</v>
      </c>
      <c r="H570">
        <v>15</v>
      </c>
      <c r="I570">
        <v>121610</v>
      </c>
    </row>
    <row r="571" spans="1:9" x14ac:dyDescent="0.25">
      <c r="A571" s="5" t="str">
        <f>TrendSheetPrdData[[#This Row],[Population]]&amp;TrendSheetPrdData[[#This Row],[Cost Basis]]&amp;TrendSheetPrdData[[#This Row],[Period]]&amp;TrendSheetPrdData[[#This Row],[Trend]]</f>
        <v>BAYVIEW EMPLOYEEPaid2017-01-01Drug - Generic Utilization Cost</v>
      </c>
      <c r="B571" t="s">
        <v>127</v>
      </c>
      <c r="C571" t="s">
        <v>127</v>
      </c>
      <c r="D571" t="s">
        <v>78</v>
      </c>
      <c r="E571" s="1" t="s">
        <v>103</v>
      </c>
      <c r="F571" t="s">
        <v>106</v>
      </c>
      <c r="G571" t="s">
        <v>26</v>
      </c>
      <c r="H571">
        <v>15</v>
      </c>
      <c r="I571">
        <v>69484</v>
      </c>
    </row>
    <row r="572" spans="1:9" x14ac:dyDescent="0.25">
      <c r="A572" s="5" t="str">
        <f>TrendSheetPrdData[[#This Row],[Population]]&amp;TrendSheetPrdData[[#This Row],[Cost Basis]]&amp;TrendSheetPrdData[[#This Row],[Period]]&amp;TrendSheetPrdData[[#This Row],[Trend]]</f>
        <v>BAYVIEW EMPLOYEEPaid2015-11-01Drug - Generic Utilization</v>
      </c>
      <c r="B572" t="s">
        <v>127</v>
      </c>
      <c r="C572" t="s">
        <v>127</v>
      </c>
      <c r="D572" t="s">
        <v>78</v>
      </c>
      <c r="E572" s="1" t="s">
        <v>130</v>
      </c>
      <c r="F572" t="s">
        <v>93</v>
      </c>
      <c r="G572" t="s">
        <v>27</v>
      </c>
      <c r="H572">
        <v>16</v>
      </c>
      <c r="I572">
        <v>0.85</v>
      </c>
    </row>
    <row r="573" spans="1:9" x14ac:dyDescent="0.25">
      <c r="A573" s="5" t="str">
        <f>TrendSheetPrdData[[#This Row],[Population]]&amp;TrendSheetPrdData[[#This Row],[Cost Basis]]&amp;TrendSheetPrdData[[#This Row],[Period]]&amp;TrendSheetPrdData[[#This Row],[Trend]]</f>
        <v>BAYVIEW EMPLOYEEPaid2015-12-01Drug - Generic Utilization</v>
      </c>
      <c r="B573" t="s">
        <v>127</v>
      </c>
      <c r="C573" t="s">
        <v>127</v>
      </c>
      <c r="D573" t="s">
        <v>78</v>
      </c>
      <c r="E573" s="1" t="s">
        <v>131</v>
      </c>
      <c r="F573" t="s">
        <v>93</v>
      </c>
      <c r="G573" t="s">
        <v>27</v>
      </c>
      <c r="H573">
        <v>16</v>
      </c>
      <c r="I573">
        <v>0.86</v>
      </c>
    </row>
    <row r="574" spans="1:9" x14ac:dyDescent="0.25">
      <c r="A574" s="5" t="str">
        <f>TrendSheetPrdData[[#This Row],[Population]]&amp;TrendSheetPrdData[[#This Row],[Cost Basis]]&amp;TrendSheetPrdData[[#This Row],[Period]]&amp;TrendSheetPrdData[[#This Row],[Trend]]</f>
        <v>BAYVIEW EMPLOYEEPaid2016-01-01Drug - Generic Utilization</v>
      </c>
      <c r="B574" t="s">
        <v>127</v>
      </c>
      <c r="C574" t="s">
        <v>127</v>
      </c>
      <c r="D574" t="s">
        <v>78</v>
      </c>
      <c r="E574" s="1" t="s">
        <v>132</v>
      </c>
      <c r="F574" t="s">
        <v>93</v>
      </c>
      <c r="G574" t="s">
        <v>27</v>
      </c>
      <c r="H574">
        <v>16</v>
      </c>
      <c r="I574">
        <v>0.79</v>
      </c>
    </row>
    <row r="575" spans="1:9" x14ac:dyDescent="0.25">
      <c r="A575" s="5" t="str">
        <f>TrendSheetPrdData[[#This Row],[Population]]&amp;TrendSheetPrdData[[#This Row],[Cost Basis]]&amp;TrendSheetPrdData[[#This Row],[Period]]&amp;TrendSheetPrdData[[#This Row],[Trend]]</f>
        <v>BAYVIEW EMPLOYEEPaid2016-02-01Drug - Generic Utilization</v>
      </c>
      <c r="B575" t="s">
        <v>127</v>
      </c>
      <c r="C575" t="s">
        <v>127</v>
      </c>
      <c r="D575" t="s">
        <v>78</v>
      </c>
      <c r="E575" s="1" t="s">
        <v>133</v>
      </c>
      <c r="F575" t="s">
        <v>93</v>
      </c>
      <c r="G575" t="s">
        <v>27</v>
      </c>
      <c r="H575">
        <v>16</v>
      </c>
      <c r="I575">
        <v>0.81</v>
      </c>
    </row>
    <row r="576" spans="1:9" x14ac:dyDescent="0.25">
      <c r="A576" s="5" t="str">
        <f>TrendSheetPrdData[[#This Row],[Population]]&amp;TrendSheetPrdData[[#This Row],[Cost Basis]]&amp;TrendSheetPrdData[[#This Row],[Period]]&amp;TrendSheetPrdData[[#This Row],[Trend]]</f>
        <v>BAYVIEW EMPLOYEEPaid2016-03-01Drug - Generic Utilization</v>
      </c>
      <c r="B576" t="s">
        <v>127</v>
      </c>
      <c r="C576" t="s">
        <v>127</v>
      </c>
      <c r="D576" t="s">
        <v>78</v>
      </c>
      <c r="E576" s="1" t="s">
        <v>92</v>
      </c>
      <c r="F576" t="s">
        <v>93</v>
      </c>
      <c r="G576" t="s">
        <v>27</v>
      </c>
      <c r="H576">
        <v>16</v>
      </c>
      <c r="I576">
        <v>0.69</v>
      </c>
    </row>
    <row r="577" spans="1:9" x14ac:dyDescent="0.25">
      <c r="A577" s="5" t="str">
        <f>TrendSheetPrdData[[#This Row],[Population]]&amp;TrendSheetPrdData[[#This Row],[Cost Basis]]&amp;TrendSheetPrdData[[#This Row],[Period]]&amp;TrendSheetPrdData[[#This Row],[Trend]]</f>
        <v>BAYVIEW EMPLOYEEPaid2016-04-01Drug - Generic Utilization</v>
      </c>
      <c r="B577" t="s">
        <v>127</v>
      </c>
      <c r="C577" t="s">
        <v>127</v>
      </c>
      <c r="D577" t="s">
        <v>78</v>
      </c>
      <c r="E577" s="1" t="s">
        <v>94</v>
      </c>
      <c r="F577" t="s">
        <v>93</v>
      </c>
      <c r="G577" t="s">
        <v>27</v>
      </c>
      <c r="H577">
        <v>16</v>
      </c>
      <c r="I577">
        <v>0.74</v>
      </c>
    </row>
    <row r="578" spans="1:9" x14ac:dyDescent="0.25">
      <c r="A578" s="5" t="str">
        <f>TrendSheetPrdData[[#This Row],[Population]]&amp;TrendSheetPrdData[[#This Row],[Cost Basis]]&amp;TrendSheetPrdData[[#This Row],[Period]]&amp;TrendSheetPrdData[[#This Row],[Trend]]</f>
        <v>BAYVIEW EMPLOYEEPaid2016-05-01Drug - Generic Utilization</v>
      </c>
      <c r="B578" t="s">
        <v>127</v>
      </c>
      <c r="C578" t="s">
        <v>127</v>
      </c>
      <c r="D578" t="s">
        <v>78</v>
      </c>
      <c r="E578" s="1" t="s">
        <v>95</v>
      </c>
      <c r="F578" t="s">
        <v>93</v>
      </c>
      <c r="G578" t="s">
        <v>27</v>
      </c>
      <c r="H578">
        <v>16</v>
      </c>
      <c r="I578">
        <v>0.82</v>
      </c>
    </row>
    <row r="579" spans="1:9" x14ac:dyDescent="0.25">
      <c r="A579" s="5" t="str">
        <f>TrendSheetPrdData[[#This Row],[Population]]&amp;TrendSheetPrdData[[#This Row],[Cost Basis]]&amp;TrendSheetPrdData[[#This Row],[Period]]&amp;TrendSheetPrdData[[#This Row],[Trend]]</f>
        <v>BAYVIEW EMPLOYEEPaid2016-06-01Drug - Generic Utilization</v>
      </c>
      <c r="B579" t="s">
        <v>127</v>
      </c>
      <c r="C579" t="s">
        <v>127</v>
      </c>
      <c r="D579" t="s">
        <v>78</v>
      </c>
      <c r="E579" s="1" t="s">
        <v>96</v>
      </c>
      <c r="F579" t="s">
        <v>93</v>
      </c>
      <c r="G579" t="s">
        <v>27</v>
      </c>
      <c r="H579">
        <v>16</v>
      </c>
      <c r="I579">
        <v>0.74</v>
      </c>
    </row>
    <row r="580" spans="1:9" x14ac:dyDescent="0.25">
      <c r="A580" s="5" t="str">
        <f>TrendSheetPrdData[[#This Row],[Population]]&amp;TrendSheetPrdData[[#This Row],[Cost Basis]]&amp;TrendSheetPrdData[[#This Row],[Period]]&amp;TrendSheetPrdData[[#This Row],[Trend]]</f>
        <v>BAYVIEW EMPLOYEEPaid2016-07-01Drug - Generic Utilization</v>
      </c>
      <c r="B580" t="s">
        <v>127</v>
      </c>
      <c r="C580" t="s">
        <v>127</v>
      </c>
      <c r="D580" t="s">
        <v>78</v>
      </c>
      <c r="E580" s="1" t="s">
        <v>97</v>
      </c>
      <c r="F580" t="s">
        <v>93</v>
      </c>
      <c r="G580" t="s">
        <v>27</v>
      </c>
      <c r="H580">
        <v>16</v>
      </c>
      <c r="I580">
        <v>0.85</v>
      </c>
    </row>
    <row r="581" spans="1:9" x14ac:dyDescent="0.25">
      <c r="A581" s="5" t="str">
        <f>TrendSheetPrdData[[#This Row],[Population]]&amp;TrendSheetPrdData[[#This Row],[Cost Basis]]&amp;TrendSheetPrdData[[#This Row],[Period]]&amp;TrendSheetPrdData[[#This Row],[Trend]]</f>
        <v>BAYVIEW EMPLOYEEPaid2016-08-01Drug - Generic Utilization</v>
      </c>
      <c r="B581" t="s">
        <v>127</v>
      </c>
      <c r="C581" t="s">
        <v>127</v>
      </c>
      <c r="D581" t="s">
        <v>78</v>
      </c>
      <c r="E581" s="1" t="s">
        <v>98</v>
      </c>
      <c r="F581" t="s">
        <v>93</v>
      </c>
      <c r="G581" t="s">
        <v>27</v>
      </c>
      <c r="H581">
        <v>16</v>
      </c>
      <c r="I581">
        <v>0.85</v>
      </c>
    </row>
    <row r="582" spans="1:9" x14ac:dyDescent="0.25">
      <c r="A582" s="5" t="str">
        <f>TrendSheetPrdData[[#This Row],[Population]]&amp;TrendSheetPrdData[[#This Row],[Cost Basis]]&amp;TrendSheetPrdData[[#This Row],[Period]]&amp;TrendSheetPrdData[[#This Row],[Trend]]</f>
        <v>BAYVIEW EMPLOYEEPaid2016-09-01Drug - Generic Utilization</v>
      </c>
      <c r="B582" t="s">
        <v>127</v>
      </c>
      <c r="C582" t="s">
        <v>127</v>
      </c>
      <c r="D582" t="s">
        <v>78</v>
      </c>
      <c r="E582" s="1" t="s">
        <v>99</v>
      </c>
      <c r="F582" t="s">
        <v>93</v>
      </c>
      <c r="G582" t="s">
        <v>27</v>
      </c>
      <c r="H582">
        <v>16</v>
      </c>
      <c r="I582">
        <v>0.79</v>
      </c>
    </row>
    <row r="583" spans="1:9" x14ac:dyDescent="0.25">
      <c r="A583" s="5" t="str">
        <f>TrendSheetPrdData[[#This Row],[Population]]&amp;TrendSheetPrdData[[#This Row],[Cost Basis]]&amp;TrendSheetPrdData[[#This Row],[Period]]&amp;TrendSheetPrdData[[#This Row],[Trend]]</f>
        <v>BAYVIEW EMPLOYEEPaid2016-10-01Drug - Generic Utilization</v>
      </c>
      <c r="B583" t="s">
        <v>127</v>
      </c>
      <c r="C583" t="s">
        <v>127</v>
      </c>
      <c r="D583" t="s">
        <v>78</v>
      </c>
      <c r="E583" s="1" t="s">
        <v>100</v>
      </c>
      <c r="F583" t="s">
        <v>93</v>
      </c>
      <c r="G583" t="s">
        <v>27</v>
      </c>
      <c r="H583">
        <v>16</v>
      </c>
      <c r="I583">
        <v>0.82</v>
      </c>
    </row>
    <row r="584" spans="1:9" x14ac:dyDescent="0.25">
      <c r="A584" s="5" t="str">
        <f>TrendSheetPrdData[[#This Row],[Population]]&amp;TrendSheetPrdData[[#This Row],[Cost Basis]]&amp;TrendSheetPrdData[[#This Row],[Period]]&amp;TrendSheetPrdData[[#This Row],[Trend]]</f>
        <v>BAYVIEW EMPLOYEEPaid2016-11-01Drug - Generic Utilization</v>
      </c>
      <c r="B584" t="s">
        <v>127</v>
      </c>
      <c r="C584" t="s">
        <v>127</v>
      </c>
      <c r="D584" t="s">
        <v>78</v>
      </c>
      <c r="E584" s="1" t="s">
        <v>101</v>
      </c>
      <c r="F584" t="s">
        <v>106</v>
      </c>
      <c r="G584" t="s">
        <v>27</v>
      </c>
      <c r="H584">
        <v>16</v>
      </c>
      <c r="I584">
        <v>0.79</v>
      </c>
    </row>
    <row r="585" spans="1:9" x14ac:dyDescent="0.25">
      <c r="A585" s="5" t="str">
        <f>TrendSheetPrdData[[#This Row],[Population]]&amp;TrendSheetPrdData[[#This Row],[Cost Basis]]&amp;TrendSheetPrdData[[#This Row],[Period]]&amp;TrendSheetPrdData[[#This Row],[Trend]]</f>
        <v>BAYVIEW EMPLOYEEPaid2016-12-01Drug - Generic Utilization</v>
      </c>
      <c r="B585" t="s">
        <v>127</v>
      </c>
      <c r="C585" t="s">
        <v>127</v>
      </c>
      <c r="D585" t="s">
        <v>78</v>
      </c>
      <c r="E585" s="1" t="s">
        <v>102</v>
      </c>
      <c r="F585" t="s">
        <v>106</v>
      </c>
      <c r="G585" t="s">
        <v>27</v>
      </c>
      <c r="H585">
        <v>16</v>
      </c>
      <c r="I585">
        <v>0.87</v>
      </c>
    </row>
    <row r="586" spans="1:9" x14ac:dyDescent="0.25">
      <c r="A586" s="5" t="str">
        <f>TrendSheetPrdData[[#This Row],[Population]]&amp;TrendSheetPrdData[[#This Row],[Cost Basis]]&amp;TrendSheetPrdData[[#This Row],[Period]]&amp;TrendSheetPrdData[[#This Row],[Trend]]</f>
        <v>BAYVIEW EMPLOYEEPaid2017-01-01Drug - Generic Utilization</v>
      </c>
      <c r="B586" t="s">
        <v>127</v>
      </c>
      <c r="C586" t="s">
        <v>127</v>
      </c>
      <c r="D586" t="s">
        <v>78</v>
      </c>
      <c r="E586" s="1" t="s">
        <v>103</v>
      </c>
      <c r="F586" t="s">
        <v>106</v>
      </c>
      <c r="G586" t="s">
        <v>27</v>
      </c>
      <c r="H586">
        <v>16</v>
      </c>
      <c r="I586">
        <v>0.76</v>
      </c>
    </row>
    <row r="587" spans="1:9" x14ac:dyDescent="0.25">
      <c r="A587" s="5" t="str">
        <f>TrendSheetPrdData[[#This Row],[Population]]&amp;TrendSheetPrdData[[#This Row],[Cost Basis]]&amp;TrendSheetPrdData[[#This Row],[Period]]&amp;TrendSheetPrdData[[#This Row],[Trend]]</f>
        <v>BAYVIEW EMPLOYEEPaid2015-11-01Chronic Disease Management - Cost</v>
      </c>
      <c r="B587" t="s">
        <v>127</v>
      </c>
      <c r="C587" t="s">
        <v>127</v>
      </c>
      <c r="D587" t="s">
        <v>78</v>
      </c>
      <c r="E587" s="1" t="s">
        <v>130</v>
      </c>
      <c r="F587" t="s">
        <v>93</v>
      </c>
      <c r="G587" t="s">
        <v>28</v>
      </c>
      <c r="H587">
        <v>17</v>
      </c>
      <c r="I587">
        <v>234735</v>
      </c>
    </row>
    <row r="588" spans="1:9" x14ac:dyDescent="0.25">
      <c r="A588" s="5" t="str">
        <f>TrendSheetPrdData[[#This Row],[Population]]&amp;TrendSheetPrdData[[#This Row],[Cost Basis]]&amp;TrendSheetPrdData[[#This Row],[Period]]&amp;TrendSheetPrdData[[#This Row],[Trend]]</f>
        <v>BAYVIEW EMPLOYEEPaid2015-12-01Chronic Disease Management - Cost</v>
      </c>
      <c r="B588" t="s">
        <v>127</v>
      </c>
      <c r="C588" t="s">
        <v>127</v>
      </c>
      <c r="D588" t="s">
        <v>78</v>
      </c>
      <c r="E588" s="1" t="s">
        <v>131</v>
      </c>
      <c r="F588" t="s">
        <v>93</v>
      </c>
      <c r="G588" t="s">
        <v>28</v>
      </c>
      <c r="H588">
        <v>17</v>
      </c>
      <c r="I588">
        <v>309763</v>
      </c>
    </row>
    <row r="589" spans="1:9" x14ac:dyDescent="0.25">
      <c r="A589" s="5" t="str">
        <f>TrendSheetPrdData[[#This Row],[Population]]&amp;TrendSheetPrdData[[#This Row],[Cost Basis]]&amp;TrendSheetPrdData[[#This Row],[Period]]&amp;TrendSheetPrdData[[#This Row],[Trend]]</f>
        <v>BAYVIEW EMPLOYEEPaid2016-01-01Chronic Disease Management - Cost</v>
      </c>
      <c r="B589" t="s">
        <v>127</v>
      </c>
      <c r="C589" t="s">
        <v>127</v>
      </c>
      <c r="D589" t="s">
        <v>78</v>
      </c>
      <c r="E589" s="1" t="s">
        <v>132</v>
      </c>
      <c r="F589" t="s">
        <v>93</v>
      </c>
      <c r="G589" t="s">
        <v>28</v>
      </c>
      <c r="H589">
        <v>17</v>
      </c>
      <c r="I589">
        <v>62536</v>
      </c>
    </row>
    <row r="590" spans="1:9" x14ac:dyDescent="0.25">
      <c r="A590" s="5" t="str">
        <f>TrendSheetPrdData[[#This Row],[Population]]&amp;TrendSheetPrdData[[#This Row],[Cost Basis]]&amp;TrendSheetPrdData[[#This Row],[Period]]&amp;TrendSheetPrdData[[#This Row],[Trend]]</f>
        <v>BAYVIEW EMPLOYEEPaid2016-02-01Chronic Disease Management - Cost</v>
      </c>
      <c r="B590" t="s">
        <v>127</v>
      </c>
      <c r="C590" t="s">
        <v>127</v>
      </c>
      <c r="D590" t="s">
        <v>78</v>
      </c>
      <c r="E590" s="1" t="s">
        <v>133</v>
      </c>
      <c r="F590" t="s">
        <v>93</v>
      </c>
      <c r="G590" t="s">
        <v>28</v>
      </c>
      <c r="H590">
        <v>17</v>
      </c>
      <c r="I590">
        <v>100275</v>
      </c>
    </row>
    <row r="591" spans="1:9" x14ac:dyDescent="0.25">
      <c r="A591" s="5" t="str">
        <f>TrendSheetPrdData[[#This Row],[Population]]&amp;TrendSheetPrdData[[#This Row],[Cost Basis]]&amp;TrendSheetPrdData[[#This Row],[Period]]&amp;TrendSheetPrdData[[#This Row],[Trend]]</f>
        <v>BAYVIEW EMPLOYEEPaid2016-03-01Chronic Disease Management - Cost</v>
      </c>
      <c r="B591" t="s">
        <v>127</v>
      </c>
      <c r="C591" t="s">
        <v>127</v>
      </c>
      <c r="D591" t="s">
        <v>78</v>
      </c>
      <c r="E591" s="1" t="s">
        <v>92</v>
      </c>
      <c r="F591" t="s">
        <v>93</v>
      </c>
      <c r="G591" t="s">
        <v>28</v>
      </c>
      <c r="H591">
        <v>17</v>
      </c>
      <c r="I591">
        <v>357445</v>
      </c>
    </row>
    <row r="592" spans="1:9" x14ac:dyDescent="0.25">
      <c r="A592" s="5" t="str">
        <f>TrendSheetPrdData[[#This Row],[Population]]&amp;TrendSheetPrdData[[#This Row],[Cost Basis]]&amp;TrendSheetPrdData[[#This Row],[Period]]&amp;TrendSheetPrdData[[#This Row],[Trend]]</f>
        <v>BAYVIEW EMPLOYEEPaid2016-04-01Chronic Disease Management - Cost</v>
      </c>
      <c r="B592" t="s">
        <v>127</v>
      </c>
      <c r="C592" t="s">
        <v>127</v>
      </c>
      <c r="D592" t="s">
        <v>78</v>
      </c>
      <c r="E592" s="1" t="s">
        <v>94</v>
      </c>
      <c r="F592" t="s">
        <v>93</v>
      </c>
      <c r="G592" t="s">
        <v>28</v>
      </c>
      <c r="H592">
        <v>17</v>
      </c>
      <c r="I592">
        <v>184181</v>
      </c>
    </row>
    <row r="593" spans="1:9" x14ac:dyDescent="0.25">
      <c r="A593" s="5" t="str">
        <f>TrendSheetPrdData[[#This Row],[Population]]&amp;TrendSheetPrdData[[#This Row],[Cost Basis]]&amp;TrendSheetPrdData[[#This Row],[Period]]&amp;TrendSheetPrdData[[#This Row],[Trend]]</f>
        <v>BAYVIEW EMPLOYEEPaid2016-05-01Chronic Disease Management - Cost</v>
      </c>
      <c r="B593" t="s">
        <v>127</v>
      </c>
      <c r="C593" t="s">
        <v>127</v>
      </c>
      <c r="D593" t="s">
        <v>78</v>
      </c>
      <c r="E593" s="1" t="s">
        <v>95</v>
      </c>
      <c r="F593" t="s">
        <v>93</v>
      </c>
      <c r="G593" t="s">
        <v>28</v>
      </c>
      <c r="H593">
        <v>17</v>
      </c>
      <c r="I593">
        <v>381521</v>
      </c>
    </row>
    <row r="594" spans="1:9" x14ac:dyDescent="0.25">
      <c r="A594" s="5" t="str">
        <f>TrendSheetPrdData[[#This Row],[Population]]&amp;TrendSheetPrdData[[#This Row],[Cost Basis]]&amp;TrendSheetPrdData[[#This Row],[Period]]&amp;TrendSheetPrdData[[#This Row],[Trend]]</f>
        <v>BAYVIEW EMPLOYEEPaid2016-06-01Chronic Disease Management - Cost</v>
      </c>
      <c r="B594" t="s">
        <v>127</v>
      </c>
      <c r="C594" t="s">
        <v>127</v>
      </c>
      <c r="D594" t="s">
        <v>78</v>
      </c>
      <c r="E594" s="1" t="s">
        <v>96</v>
      </c>
      <c r="F594" t="s">
        <v>93</v>
      </c>
      <c r="G594" t="s">
        <v>28</v>
      </c>
      <c r="H594">
        <v>17</v>
      </c>
      <c r="I594">
        <v>182269</v>
      </c>
    </row>
    <row r="595" spans="1:9" x14ac:dyDescent="0.25">
      <c r="A595" s="5" t="str">
        <f>TrendSheetPrdData[[#This Row],[Population]]&amp;TrendSheetPrdData[[#This Row],[Cost Basis]]&amp;TrendSheetPrdData[[#This Row],[Period]]&amp;TrendSheetPrdData[[#This Row],[Trend]]</f>
        <v>BAYVIEW EMPLOYEEPaid2016-07-01Chronic Disease Management - Cost</v>
      </c>
      <c r="B595" t="s">
        <v>127</v>
      </c>
      <c r="C595" t="s">
        <v>127</v>
      </c>
      <c r="D595" t="s">
        <v>78</v>
      </c>
      <c r="E595" s="1" t="s">
        <v>97</v>
      </c>
      <c r="F595" t="s">
        <v>93</v>
      </c>
      <c r="G595" t="s">
        <v>28</v>
      </c>
      <c r="H595">
        <v>17</v>
      </c>
      <c r="I595">
        <v>136509</v>
      </c>
    </row>
    <row r="596" spans="1:9" x14ac:dyDescent="0.25">
      <c r="A596" s="5" t="str">
        <f>TrendSheetPrdData[[#This Row],[Population]]&amp;TrendSheetPrdData[[#This Row],[Cost Basis]]&amp;TrendSheetPrdData[[#This Row],[Period]]&amp;TrendSheetPrdData[[#This Row],[Trend]]</f>
        <v>BAYVIEW EMPLOYEEPaid2016-08-01Chronic Disease Management - Cost</v>
      </c>
      <c r="B596" t="s">
        <v>127</v>
      </c>
      <c r="C596" t="s">
        <v>127</v>
      </c>
      <c r="D596" t="s">
        <v>78</v>
      </c>
      <c r="E596" s="1" t="s">
        <v>98</v>
      </c>
      <c r="F596" t="s">
        <v>93</v>
      </c>
      <c r="G596" t="s">
        <v>28</v>
      </c>
      <c r="H596">
        <v>17</v>
      </c>
      <c r="I596">
        <v>216233</v>
      </c>
    </row>
    <row r="597" spans="1:9" x14ac:dyDescent="0.25">
      <c r="A597" s="5" t="str">
        <f>TrendSheetPrdData[[#This Row],[Population]]&amp;TrendSheetPrdData[[#This Row],[Cost Basis]]&amp;TrendSheetPrdData[[#This Row],[Period]]&amp;TrendSheetPrdData[[#This Row],[Trend]]</f>
        <v>BAYVIEW EMPLOYEEPaid2016-09-01Chronic Disease Management - Cost</v>
      </c>
      <c r="B597" t="s">
        <v>127</v>
      </c>
      <c r="C597" t="s">
        <v>127</v>
      </c>
      <c r="D597" t="s">
        <v>78</v>
      </c>
      <c r="E597" s="1" t="s">
        <v>99</v>
      </c>
      <c r="F597" t="s">
        <v>93</v>
      </c>
      <c r="G597" t="s">
        <v>28</v>
      </c>
      <c r="H597">
        <v>17</v>
      </c>
      <c r="I597">
        <v>273474</v>
      </c>
    </row>
    <row r="598" spans="1:9" x14ac:dyDescent="0.25">
      <c r="A598" s="5" t="str">
        <f>TrendSheetPrdData[[#This Row],[Population]]&amp;TrendSheetPrdData[[#This Row],[Cost Basis]]&amp;TrendSheetPrdData[[#This Row],[Period]]&amp;TrendSheetPrdData[[#This Row],[Trend]]</f>
        <v>BAYVIEW EMPLOYEEPaid2016-10-01Chronic Disease Management - Cost</v>
      </c>
      <c r="B598" t="s">
        <v>127</v>
      </c>
      <c r="C598" t="s">
        <v>127</v>
      </c>
      <c r="D598" t="s">
        <v>78</v>
      </c>
      <c r="E598" s="1" t="s">
        <v>100</v>
      </c>
      <c r="F598" t="s">
        <v>93</v>
      </c>
      <c r="G598" t="s">
        <v>28</v>
      </c>
      <c r="H598">
        <v>17</v>
      </c>
      <c r="I598">
        <v>374195</v>
      </c>
    </row>
    <row r="599" spans="1:9" x14ac:dyDescent="0.25">
      <c r="A599" s="5" t="str">
        <f>TrendSheetPrdData[[#This Row],[Population]]&amp;TrendSheetPrdData[[#This Row],[Cost Basis]]&amp;TrendSheetPrdData[[#This Row],[Period]]&amp;TrendSheetPrdData[[#This Row],[Trend]]</f>
        <v>BAYVIEW EMPLOYEEPaid2016-11-01Chronic Disease Management - Cost</v>
      </c>
      <c r="B599" t="s">
        <v>127</v>
      </c>
      <c r="C599" t="s">
        <v>127</v>
      </c>
      <c r="D599" t="s">
        <v>78</v>
      </c>
      <c r="E599" s="1" t="s">
        <v>101</v>
      </c>
      <c r="F599" t="s">
        <v>106</v>
      </c>
      <c r="G599" t="s">
        <v>28</v>
      </c>
      <c r="H599">
        <v>17</v>
      </c>
      <c r="I599">
        <v>174885</v>
      </c>
    </row>
    <row r="600" spans="1:9" x14ac:dyDescent="0.25">
      <c r="A600" s="5" t="str">
        <f>TrendSheetPrdData[[#This Row],[Population]]&amp;TrendSheetPrdData[[#This Row],[Cost Basis]]&amp;TrendSheetPrdData[[#This Row],[Period]]&amp;TrendSheetPrdData[[#This Row],[Trend]]</f>
        <v>BAYVIEW EMPLOYEEPaid2016-12-01Chronic Disease Management - Cost</v>
      </c>
      <c r="B600" t="s">
        <v>127</v>
      </c>
      <c r="C600" t="s">
        <v>127</v>
      </c>
      <c r="D600" t="s">
        <v>78</v>
      </c>
      <c r="E600" s="1" t="s">
        <v>102</v>
      </c>
      <c r="F600" t="s">
        <v>106</v>
      </c>
      <c r="G600" t="s">
        <v>28</v>
      </c>
      <c r="H600">
        <v>17</v>
      </c>
      <c r="I600">
        <v>204783</v>
      </c>
    </row>
    <row r="601" spans="1:9" x14ac:dyDescent="0.25">
      <c r="A601" s="5" t="str">
        <f>TrendSheetPrdData[[#This Row],[Population]]&amp;TrendSheetPrdData[[#This Row],[Cost Basis]]&amp;TrendSheetPrdData[[#This Row],[Period]]&amp;TrendSheetPrdData[[#This Row],[Trend]]</f>
        <v>BAYVIEW EMPLOYEEPaid2017-01-01Chronic Disease Management - Cost</v>
      </c>
      <c r="B601" t="s">
        <v>127</v>
      </c>
      <c r="C601" t="s">
        <v>127</v>
      </c>
      <c r="D601" t="s">
        <v>78</v>
      </c>
      <c r="E601" s="1" t="s">
        <v>103</v>
      </c>
      <c r="F601" t="s">
        <v>106</v>
      </c>
      <c r="G601" t="s">
        <v>28</v>
      </c>
      <c r="H601">
        <v>17</v>
      </c>
      <c r="I601">
        <v>104076</v>
      </c>
    </row>
    <row r="602" spans="1:9" x14ac:dyDescent="0.25">
      <c r="A602" s="5" t="str">
        <f>TrendSheetPrdData[[#This Row],[Population]]&amp;TrendSheetPrdData[[#This Row],[Cost Basis]]&amp;TrendSheetPrdData[[#This Row],[Period]]&amp;TrendSheetPrdData[[#This Row],[Trend]]</f>
        <v>BAYVIEW EMPLOYEEPaid2015-11-01Chronic Disease Management - Members</v>
      </c>
      <c r="B602" t="s">
        <v>127</v>
      </c>
      <c r="C602" t="s">
        <v>127</v>
      </c>
      <c r="D602" t="s">
        <v>78</v>
      </c>
      <c r="E602" s="1" t="s">
        <v>130</v>
      </c>
      <c r="F602" t="s">
        <v>93</v>
      </c>
      <c r="G602" t="s">
        <v>29</v>
      </c>
      <c r="H602">
        <v>18</v>
      </c>
      <c r="I602">
        <v>333.78</v>
      </c>
    </row>
    <row r="603" spans="1:9" x14ac:dyDescent="0.25">
      <c r="A603" s="5" t="str">
        <f>TrendSheetPrdData[[#This Row],[Population]]&amp;TrendSheetPrdData[[#This Row],[Cost Basis]]&amp;TrendSheetPrdData[[#This Row],[Period]]&amp;TrendSheetPrdData[[#This Row],[Trend]]</f>
        <v>BAYVIEW EMPLOYEEPaid2015-12-01Chronic Disease Management - Members</v>
      </c>
      <c r="B603" t="s">
        <v>127</v>
      </c>
      <c r="C603" t="s">
        <v>127</v>
      </c>
      <c r="D603" t="s">
        <v>78</v>
      </c>
      <c r="E603" s="1" t="s">
        <v>131</v>
      </c>
      <c r="F603" t="s">
        <v>93</v>
      </c>
      <c r="G603" t="s">
        <v>29</v>
      </c>
      <c r="H603">
        <v>18</v>
      </c>
      <c r="I603">
        <v>328.89</v>
      </c>
    </row>
    <row r="604" spans="1:9" x14ac:dyDescent="0.25">
      <c r="A604" s="5" t="str">
        <f>TrendSheetPrdData[[#This Row],[Population]]&amp;TrendSheetPrdData[[#This Row],[Cost Basis]]&amp;TrendSheetPrdData[[#This Row],[Period]]&amp;TrendSheetPrdData[[#This Row],[Trend]]</f>
        <v>BAYVIEW EMPLOYEEPaid2016-01-01Chronic Disease Management - Members</v>
      </c>
      <c r="B604" t="s">
        <v>127</v>
      </c>
      <c r="C604" t="s">
        <v>127</v>
      </c>
      <c r="D604" t="s">
        <v>78</v>
      </c>
      <c r="E604" s="1" t="s">
        <v>132</v>
      </c>
      <c r="F604" t="s">
        <v>93</v>
      </c>
      <c r="G604" t="s">
        <v>29</v>
      </c>
      <c r="H604">
        <v>18</v>
      </c>
      <c r="I604">
        <v>289.35000000000002</v>
      </c>
    </row>
    <row r="605" spans="1:9" x14ac:dyDescent="0.25">
      <c r="A605" s="5" t="str">
        <f>TrendSheetPrdData[[#This Row],[Population]]&amp;TrendSheetPrdData[[#This Row],[Cost Basis]]&amp;TrendSheetPrdData[[#This Row],[Period]]&amp;TrendSheetPrdData[[#This Row],[Trend]]</f>
        <v>BAYVIEW EMPLOYEEPaid2016-02-01Chronic Disease Management - Members</v>
      </c>
      <c r="B605" t="s">
        <v>127</v>
      </c>
      <c r="C605" t="s">
        <v>127</v>
      </c>
      <c r="D605" t="s">
        <v>78</v>
      </c>
      <c r="E605" s="1" t="s">
        <v>133</v>
      </c>
      <c r="F605" t="s">
        <v>93</v>
      </c>
      <c r="G605" t="s">
        <v>29</v>
      </c>
      <c r="H605">
        <v>18</v>
      </c>
      <c r="I605">
        <v>306.86</v>
      </c>
    </row>
    <row r="606" spans="1:9" x14ac:dyDescent="0.25">
      <c r="A606" s="5" t="str">
        <f>TrendSheetPrdData[[#This Row],[Population]]&amp;TrendSheetPrdData[[#This Row],[Cost Basis]]&amp;TrendSheetPrdData[[#This Row],[Period]]&amp;TrendSheetPrdData[[#This Row],[Trend]]</f>
        <v>BAYVIEW EMPLOYEEPaid2016-03-01Chronic Disease Management - Members</v>
      </c>
      <c r="B606" t="s">
        <v>127</v>
      </c>
      <c r="C606" t="s">
        <v>127</v>
      </c>
      <c r="D606" t="s">
        <v>78</v>
      </c>
      <c r="E606" s="1" t="s">
        <v>92</v>
      </c>
      <c r="F606" t="s">
        <v>93</v>
      </c>
      <c r="G606" t="s">
        <v>29</v>
      </c>
      <c r="H606">
        <v>18</v>
      </c>
      <c r="I606">
        <v>314.45999999999998</v>
      </c>
    </row>
    <row r="607" spans="1:9" x14ac:dyDescent="0.25">
      <c r="A607" s="5" t="str">
        <f>TrendSheetPrdData[[#This Row],[Population]]&amp;TrendSheetPrdData[[#This Row],[Cost Basis]]&amp;TrendSheetPrdData[[#This Row],[Period]]&amp;TrendSheetPrdData[[#This Row],[Trend]]</f>
        <v>BAYVIEW EMPLOYEEPaid2016-04-01Chronic Disease Management - Members</v>
      </c>
      <c r="B607" t="s">
        <v>127</v>
      </c>
      <c r="C607" t="s">
        <v>127</v>
      </c>
      <c r="D607" t="s">
        <v>78</v>
      </c>
      <c r="E607" s="1" t="s">
        <v>94</v>
      </c>
      <c r="F607" t="s">
        <v>93</v>
      </c>
      <c r="G607" t="s">
        <v>29</v>
      </c>
      <c r="H607">
        <v>18</v>
      </c>
      <c r="I607">
        <v>324.82</v>
      </c>
    </row>
    <row r="608" spans="1:9" x14ac:dyDescent="0.25">
      <c r="A608" s="5" t="str">
        <f>TrendSheetPrdData[[#This Row],[Population]]&amp;TrendSheetPrdData[[#This Row],[Cost Basis]]&amp;TrendSheetPrdData[[#This Row],[Period]]&amp;TrendSheetPrdData[[#This Row],[Trend]]</f>
        <v>BAYVIEW EMPLOYEEPaid2016-05-01Chronic Disease Management - Members</v>
      </c>
      <c r="B608" t="s">
        <v>127</v>
      </c>
      <c r="C608" t="s">
        <v>127</v>
      </c>
      <c r="D608" t="s">
        <v>78</v>
      </c>
      <c r="E608" s="1" t="s">
        <v>95</v>
      </c>
      <c r="F608" t="s">
        <v>93</v>
      </c>
      <c r="G608" t="s">
        <v>29</v>
      </c>
      <c r="H608">
        <v>18</v>
      </c>
      <c r="I608">
        <v>347.14</v>
      </c>
    </row>
    <row r="609" spans="1:9" x14ac:dyDescent="0.25">
      <c r="A609" s="5" t="str">
        <f>TrendSheetPrdData[[#This Row],[Population]]&amp;TrendSheetPrdData[[#This Row],[Cost Basis]]&amp;TrendSheetPrdData[[#This Row],[Period]]&amp;TrendSheetPrdData[[#This Row],[Trend]]</f>
        <v>BAYVIEW EMPLOYEEPaid2016-06-01Chronic Disease Management - Members</v>
      </c>
      <c r="B609" t="s">
        <v>127</v>
      </c>
      <c r="C609" t="s">
        <v>127</v>
      </c>
      <c r="D609" t="s">
        <v>78</v>
      </c>
      <c r="E609" s="1" t="s">
        <v>96</v>
      </c>
      <c r="F609" t="s">
        <v>93</v>
      </c>
      <c r="G609" t="s">
        <v>29</v>
      </c>
      <c r="H609">
        <v>18</v>
      </c>
      <c r="I609">
        <v>346.89</v>
      </c>
    </row>
    <row r="610" spans="1:9" x14ac:dyDescent="0.25">
      <c r="A610" s="5" t="str">
        <f>TrendSheetPrdData[[#This Row],[Population]]&amp;TrendSheetPrdData[[#This Row],[Cost Basis]]&amp;TrendSheetPrdData[[#This Row],[Period]]&amp;TrendSheetPrdData[[#This Row],[Trend]]</f>
        <v>BAYVIEW EMPLOYEEPaid2016-07-01Chronic Disease Management - Members</v>
      </c>
      <c r="B610" t="s">
        <v>127</v>
      </c>
      <c r="C610" t="s">
        <v>127</v>
      </c>
      <c r="D610" t="s">
        <v>78</v>
      </c>
      <c r="E610" s="1" t="s">
        <v>97</v>
      </c>
      <c r="F610" t="s">
        <v>93</v>
      </c>
      <c r="G610" t="s">
        <v>29</v>
      </c>
      <c r="H610">
        <v>18</v>
      </c>
      <c r="I610">
        <v>351.7</v>
      </c>
    </row>
    <row r="611" spans="1:9" x14ac:dyDescent="0.25">
      <c r="A611" s="5" t="str">
        <f>TrendSheetPrdData[[#This Row],[Population]]&amp;TrendSheetPrdData[[#This Row],[Cost Basis]]&amp;TrendSheetPrdData[[#This Row],[Period]]&amp;TrendSheetPrdData[[#This Row],[Trend]]</f>
        <v>BAYVIEW EMPLOYEEPaid2016-08-01Chronic Disease Management - Members</v>
      </c>
      <c r="B611" t="s">
        <v>127</v>
      </c>
      <c r="C611" t="s">
        <v>127</v>
      </c>
      <c r="D611" t="s">
        <v>78</v>
      </c>
      <c r="E611" s="1" t="s">
        <v>98</v>
      </c>
      <c r="F611" t="s">
        <v>93</v>
      </c>
      <c r="G611" t="s">
        <v>29</v>
      </c>
      <c r="H611">
        <v>18</v>
      </c>
      <c r="I611">
        <v>349.54</v>
      </c>
    </row>
    <row r="612" spans="1:9" x14ac:dyDescent="0.25">
      <c r="A612" s="5" t="str">
        <f>TrendSheetPrdData[[#This Row],[Population]]&amp;TrendSheetPrdData[[#This Row],[Cost Basis]]&amp;TrendSheetPrdData[[#This Row],[Period]]&amp;TrendSheetPrdData[[#This Row],[Trend]]</f>
        <v>BAYVIEW EMPLOYEEPaid2016-09-01Chronic Disease Management - Members</v>
      </c>
      <c r="B612" t="s">
        <v>127</v>
      </c>
      <c r="C612" t="s">
        <v>127</v>
      </c>
      <c r="D612" t="s">
        <v>78</v>
      </c>
      <c r="E612" s="1" t="s">
        <v>99</v>
      </c>
      <c r="F612" t="s">
        <v>93</v>
      </c>
      <c r="G612" t="s">
        <v>29</v>
      </c>
      <c r="H612">
        <v>18</v>
      </c>
      <c r="I612">
        <v>348.81</v>
      </c>
    </row>
    <row r="613" spans="1:9" x14ac:dyDescent="0.25">
      <c r="A613" s="5" t="str">
        <f>TrendSheetPrdData[[#This Row],[Population]]&amp;TrendSheetPrdData[[#This Row],[Cost Basis]]&amp;TrendSheetPrdData[[#This Row],[Period]]&amp;TrendSheetPrdData[[#This Row],[Trend]]</f>
        <v>BAYVIEW EMPLOYEEPaid2016-10-01Chronic Disease Management - Members</v>
      </c>
      <c r="B613" t="s">
        <v>127</v>
      </c>
      <c r="C613" t="s">
        <v>127</v>
      </c>
      <c r="D613" t="s">
        <v>78</v>
      </c>
      <c r="E613" s="1" t="s">
        <v>100</v>
      </c>
      <c r="F613" t="s">
        <v>93</v>
      </c>
      <c r="G613" t="s">
        <v>29</v>
      </c>
      <c r="H613">
        <v>18</v>
      </c>
      <c r="I613">
        <v>340.76</v>
      </c>
    </row>
    <row r="614" spans="1:9" x14ac:dyDescent="0.25">
      <c r="A614" s="5" t="str">
        <f>TrendSheetPrdData[[#This Row],[Population]]&amp;TrendSheetPrdData[[#This Row],[Cost Basis]]&amp;TrendSheetPrdData[[#This Row],[Period]]&amp;TrendSheetPrdData[[#This Row],[Trend]]</f>
        <v>BAYVIEW EMPLOYEEPaid2016-11-01Chronic Disease Management - Members</v>
      </c>
      <c r="B614" t="s">
        <v>127</v>
      </c>
      <c r="C614" t="s">
        <v>127</v>
      </c>
      <c r="D614" t="s">
        <v>78</v>
      </c>
      <c r="E614" s="1" t="s">
        <v>101</v>
      </c>
      <c r="F614" t="s">
        <v>106</v>
      </c>
      <c r="G614" t="s">
        <v>29</v>
      </c>
      <c r="H614">
        <v>18</v>
      </c>
      <c r="I614">
        <v>345.05</v>
      </c>
    </row>
    <row r="615" spans="1:9" x14ac:dyDescent="0.25">
      <c r="A615" s="5" t="str">
        <f>TrendSheetPrdData[[#This Row],[Population]]&amp;TrendSheetPrdData[[#This Row],[Cost Basis]]&amp;TrendSheetPrdData[[#This Row],[Period]]&amp;TrendSheetPrdData[[#This Row],[Trend]]</f>
        <v>BAYVIEW EMPLOYEEPaid2016-12-01Chronic Disease Management - Members</v>
      </c>
      <c r="B615" t="s">
        <v>127</v>
      </c>
      <c r="C615" t="s">
        <v>127</v>
      </c>
      <c r="D615" t="s">
        <v>78</v>
      </c>
      <c r="E615" s="1" t="s">
        <v>102</v>
      </c>
      <c r="F615" t="s">
        <v>106</v>
      </c>
      <c r="G615" t="s">
        <v>29</v>
      </c>
      <c r="H615">
        <v>18</v>
      </c>
      <c r="I615">
        <v>341.62</v>
      </c>
    </row>
    <row r="616" spans="1:9" x14ac:dyDescent="0.25">
      <c r="A616" s="5" t="str">
        <f>TrendSheetPrdData[[#This Row],[Population]]&amp;TrendSheetPrdData[[#This Row],[Cost Basis]]&amp;TrendSheetPrdData[[#This Row],[Period]]&amp;TrendSheetPrdData[[#This Row],[Trend]]</f>
        <v>BAYVIEW EMPLOYEEPaid2017-01-01Chronic Disease Management - Members</v>
      </c>
      <c r="B616" t="s">
        <v>127</v>
      </c>
      <c r="C616" t="s">
        <v>127</v>
      </c>
      <c r="D616" t="s">
        <v>78</v>
      </c>
      <c r="E616" s="1" t="s">
        <v>103</v>
      </c>
      <c r="F616" t="s">
        <v>106</v>
      </c>
      <c r="G616" t="s">
        <v>29</v>
      </c>
      <c r="H616">
        <v>18</v>
      </c>
      <c r="I616">
        <v>304.87</v>
      </c>
    </row>
    <row r="617" spans="1:9" x14ac:dyDescent="0.25">
      <c r="A617" s="5" t="str">
        <f>TrendSheetPrdData[[#This Row],[Population]]&amp;TrendSheetPrdData[[#This Row],[Cost Basis]]&amp;TrendSheetPrdData[[#This Row],[Period]]&amp;TrendSheetPrdData[[#This Row],[Trend]]</f>
        <v>BAYVIEW EMPLOYEEPaid2015-11-01Inpatient Claim Count</v>
      </c>
      <c r="B617" t="s">
        <v>127</v>
      </c>
      <c r="C617" t="s">
        <v>127</v>
      </c>
      <c r="D617" t="s">
        <v>78</v>
      </c>
      <c r="E617" s="1" t="s">
        <v>130</v>
      </c>
      <c r="F617" t="s">
        <v>93</v>
      </c>
      <c r="G617" t="s">
        <v>30</v>
      </c>
      <c r="H617">
        <v>19</v>
      </c>
      <c r="I617">
        <v>25</v>
      </c>
    </row>
    <row r="618" spans="1:9" x14ac:dyDescent="0.25">
      <c r="A618" s="5" t="str">
        <f>TrendSheetPrdData[[#This Row],[Population]]&amp;TrendSheetPrdData[[#This Row],[Cost Basis]]&amp;TrendSheetPrdData[[#This Row],[Period]]&amp;TrendSheetPrdData[[#This Row],[Trend]]</f>
        <v>BAYVIEW EMPLOYEEPaid2015-12-01Inpatient Claim Count</v>
      </c>
      <c r="B618" t="s">
        <v>127</v>
      </c>
      <c r="C618" t="s">
        <v>127</v>
      </c>
      <c r="D618" t="s">
        <v>78</v>
      </c>
      <c r="E618" s="1" t="s">
        <v>131</v>
      </c>
      <c r="F618" t="s">
        <v>93</v>
      </c>
      <c r="G618" t="s">
        <v>30</v>
      </c>
      <c r="H618">
        <v>19</v>
      </c>
      <c r="I618">
        <v>0</v>
      </c>
    </row>
    <row r="619" spans="1:9" x14ac:dyDescent="0.25">
      <c r="A619" s="5" t="str">
        <f>TrendSheetPrdData[[#This Row],[Population]]&amp;TrendSheetPrdData[[#This Row],[Cost Basis]]&amp;TrendSheetPrdData[[#This Row],[Period]]&amp;TrendSheetPrdData[[#This Row],[Trend]]</f>
        <v>BAYVIEW EMPLOYEEPaid2016-01-01Inpatient Claim Count</v>
      </c>
      <c r="B619" t="s">
        <v>127</v>
      </c>
      <c r="C619" t="s">
        <v>127</v>
      </c>
      <c r="D619" t="s">
        <v>78</v>
      </c>
      <c r="E619" s="1" t="s">
        <v>132</v>
      </c>
      <c r="F619" t="s">
        <v>93</v>
      </c>
      <c r="G619" t="s">
        <v>30</v>
      </c>
      <c r="H619">
        <v>19</v>
      </c>
      <c r="I619">
        <v>108</v>
      </c>
    </row>
    <row r="620" spans="1:9" x14ac:dyDescent="0.25">
      <c r="A620" s="5" t="str">
        <f>TrendSheetPrdData[[#This Row],[Population]]&amp;TrendSheetPrdData[[#This Row],[Cost Basis]]&amp;TrendSheetPrdData[[#This Row],[Period]]&amp;TrendSheetPrdData[[#This Row],[Trend]]</f>
        <v>BAYVIEW EMPLOYEEPaid2016-02-01Inpatient Claim Count</v>
      </c>
      <c r="B620" t="s">
        <v>127</v>
      </c>
      <c r="C620" t="s">
        <v>127</v>
      </c>
      <c r="D620" t="s">
        <v>78</v>
      </c>
      <c r="E620" s="1" t="s">
        <v>133</v>
      </c>
      <c r="F620" t="s">
        <v>93</v>
      </c>
      <c r="G620" t="s">
        <v>30</v>
      </c>
      <c r="H620">
        <v>19</v>
      </c>
      <c r="I620">
        <v>0</v>
      </c>
    </row>
    <row r="621" spans="1:9" x14ac:dyDescent="0.25">
      <c r="A621" s="5" t="str">
        <f>TrendSheetPrdData[[#This Row],[Population]]&amp;TrendSheetPrdData[[#This Row],[Cost Basis]]&amp;TrendSheetPrdData[[#This Row],[Period]]&amp;TrendSheetPrdData[[#This Row],[Trend]]</f>
        <v>BAYVIEW EMPLOYEEPaid2016-03-01Inpatient Claim Count</v>
      </c>
      <c r="B621" t="s">
        <v>127</v>
      </c>
      <c r="C621" t="s">
        <v>127</v>
      </c>
      <c r="D621" t="s">
        <v>78</v>
      </c>
      <c r="E621" s="1" t="s">
        <v>92</v>
      </c>
      <c r="F621" t="s">
        <v>93</v>
      </c>
      <c r="G621" t="s">
        <v>30</v>
      </c>
      <c r="H621">
        <v>19</v>
      </c>
      <c r="I621">
        <v>42</v>
      </c>
    </row>
    <row r="622" spans="1:9" x14ac:dyDescent="0.25">
      <c r="A622" s="5" t="str">
        <f>TrendSheetPrdData[[#This Row],[Population]]&amp;TrendSheetPrdData[[#This Row],[Cost Basis]]&amp;TrendSheetPrdData[[#This Row],[Period]]&amp;TrendSheetPrdData[[#This Row],[Trend]]</f>
        <v>BAYVIEW EMPLOYEEPaid2016-04-01Inpatient Claim Count</v>
      </c>
      <c r="B622" t="s">
        <v>127</v>
      </c>
      <c r="C622" t="s">
        <v>127</v>
      </c>
      <c r="D622" t="s">
        <v>78</v>
      </c>
      <c r="E622" s="1" t="s">
        <v>94</v>
      </c>
      <c r="F622" t="s">
        <v>93</v>
      </c>
      <c r="G622" t="s">
        <v>30</v>
      </c>
      <c r="H622">
        <v>19</v>
      </c>
      <c r="I622">
        <v>9</v>
      </c>
    </row>
    <row r="623" spans="1:9" x14ac:dyDescent="0.25">
      <c r="A623" s="5" t="str">
        <f>TrendSheetPrdData[[#This Row],[Population]]&amp;TrendSheetPrdData[[#This Row],[Cost Basis]]&amp;TrendSheetPrdData[[#This Row],[Period]]&amp;TrendSheetPrdData[[#This Row],[Trend]]</f>
        <v>BAYVIEW EMPLOYEEPaid2016-05-01Inpatient Claim Count</v>
      </c>
      <c r="B623" t="s">
        <v>127</v>
      </c>
      <c r="C623" t="s">
        <v>127</v>
      </c>
      <c r="D623" t="s">
        <v>78</v>
      </c>
      <c r="E623" s="1" t="s">
        <v>95</v>
      </c>
      <c r="F623" t="s">
        <v>93</v>
      </c>
      <c r="G623" t="s">
        <v>30</v>
      </c>
      <c r="H623">
        <v>19</v>
      </c>
      <c r="I623">
        <v>92</v>
      </c>
    </row>
    <row r="624" spans="1:9" x14ac:dyDescent="0.25">
      <c r="A624" s="5" t="str">
        <f>TrendSheetPrdData[[#This Row],[Population]]&amp;TrendSheetPrdData[[#This Row],[Cost Basis]]&amp;TrendSheetPrdData[[#This Row],[Period]]&amp;TrendSheetPrdData[[#This Row],[Trend]]</f>
        <v>BAYVIEW EMPLOYEEPaid2016-06-01Inpatient Claim Count</v>
      </c>
      <c r="B624" t="s">
        <v>127</v>
      </c>
      <c r="C624" t="s">
        <v>127</v>
      </c>
      <c r="D624" t="s">
        <v>78</v>
      </c>
      <c r="E624" s="1" t="s">
        <v>96</v>
      </c>
      <c r="F624" t="s">
        <v>93</v>
      </c>
      <c r="G624" t="s">
        <v>30</v>
      </c>
      <c r="H624">
        <v>19</v>
      </c>
      <c r="I624">
        <v>85</v>
      </c>
    </row>
    <row r="625" spans="1:9" x14ac:dyDescent="0.25">
      <c r="A625" s="5" t="str">
        <f>TrendSheetPrdData[[#This Row],[Population]]&amp;TrendSheetPrdData[[#This Row],[Cost Basis]]&amp;TrendSheetPrdData[[#This Row],[Period]]&amp;TrendSheetPrdData[[#This Row],[Trend]]</f>
        <v>BAYVIEW EMPLOYEEPaid2016-07-01Inpatient Claim Count</v>
      </c>
      <c r="B625" t="s">
        <v>127</v>
      </c>
      <c r="C625" t="s">
        <v>127</v>
      </c>
      <c r="D625" t="s">
        <v>78</v>
      </c>
      <c r="E625" s="1" t="s">
        <v>97</v>
      </c>
      <c r="F625" t="s">
        <v>93</v>
      </c>
      <c r="G625" t="s">
        <v>30</v>
      </c>
      <c r="H625">
        <v>19</v>
      </c>
      <c r="I625">
        <v>32</v>
      </c>
    </row>
    <row r="626" spans="1:9" x14ac:dyDescent="0.25">
      <c r="A626" s="5" t="str">
        <f>TrendSheetPrdData[[#This Row],[Population]]&amp;TrendSheetPrdData[[#This Row],[Cost Basis]]&amp;TrendSheetPrdData[[#This Row],[Period]]&amp;TrendSheetPrdData[[#This Row],[Trend]]</f>
        <v>BAYVIEW EMPLOYEEPaid2016-08-01Inpatient Claim Count</v>
      </c>
      <c r="B626" t="s">
        <v>127</v>
      </c>
      <c r="C626" t="s">
        <v>127</v>
      </c>
      <c r="D626" t="s">
        <v>78</v>
      </c>
      <c r="E626" s="1" t="s">
        <v>98</v>
      </c>
      <c r="F626" t="s">
        <v>93</v>
      </c>
      <c r="G626" t="s">
        <v>30</v>
      </c>
      <c r="H626">
        <v>19</v>
      </c>
      <c r="I626">
        <v>186</v>
      </c>
    </row>
    <row r="627" spans="1:9" x14ac:dyDescent="0.25">
      <c r="A627" s="5" t="str">
        <f>TrendSheetPrdData[[#This Row],[Population]]&amp;TrendSheetPrdData[[#This Row],[Cost Basis]]&amp;TrendSheetPrdData[[#This Row],[Period]]&amp;TrendSheetPrdData[[#This Row],[Trend]]</f>
        <v>BAYVIEW EMPLOYEEPaid2016-09-01Inpatient Claim Count</v>
      </c>
      <c r="B627" t="s">
        <v>127</v>
      </c>
      <c r="C627" t="s">
        <v>127</v>
      </c>
      <c r="D627" t="s">
        <v>78</v>
      </c>
      <c r="E627" s="1" t="s">
        <v>99</v>
      </c>
      <c r="F627" t="s">
        <v>93</v>
      </c>
      <c r="G627" t="s">
        <v>30</v>
      </c>
      <c r="H627">
        <v>19</v>
      </c>
      <c r="I627">
        <v>60</v>
      </c>
    </row>
    <row r="628" spans="1:9" x14ac:dyDescent="0.25">
      <c r="A628" s="5" t="str">
        <f>TrendSheetPrdData[[#This Row],[Population]]&amp;TrendSheetPrdData[[#This Row],[Cost Basis]]&amp;TrendSheetPrdData[[#This Row],[Period]]&amp;TrendSheetPrdData[[#This Row],[Trend]]</f>
        <v>BAYVIEW EMPLOYEEPaid2016-10-01Inpatient Claim Count</v>
      </c>
      <c r="B628" t="s">
        <v>127</v>
      </c>
      <c r="C628" t="s">
        <v>127</v>
      </c>
      <c r="D628" t="s">
        <v>78</v>
      </c>
      <c r="E628" s="1" t="s">
        <v>100</v>
      </c>
      <c r="F628" t="s">
        <v>93</v>
      </c>
      <c r="G628" t="s">
        <v>30</v>
      </c>
      <c r="H628">
        <v>19</v>
      </c>
      <c r="I628">
        <v>128</v>
      </c>
    </row>
    <row r="629" spans="1:9" x14ac:dyDescent="0.25">
      <c r="A629" s="5" t="str">
        <f>TrendSheetPrdData[[#This Row],[Population]]&amp;TrendSheetPrdData[[#This Row],[Cost Basis]]&amp;TrendSheetPrdData[[#This Row],[Period]]&amp;TrendSheetPrdData[[#This Row],[Trend]]</f>
        <v>BAYVIEW EMPLOYEEPaid2016-11-01Inpatient Claim Count</v>
      </c>
      <c r="B629" t="s">
        <v>127</v>
      </c>
      <c r="C629" t="s">
        <v>127</v>
      </c>
      <c r="D629" t="s">
        <v>78</v>
      </c>
      <c r="E629" s="1" t="s">
        <v>101</v>
      </c>
      <c r="F629" t="s">
        <v>106</v>
      </c>
      <c r="G629" t="s">
        <v>30</v>
      </c>
      <c r="H629">
        <v>19</v>
      </c>
      <c r="I629">
        <v>15</v>
      </c>
    </row>
    <row r="630" spans="1:9" x14ac:dyDescent="0.25">
      <c r="A630" s="5" t="str">
        <f>TrendSheetPrdData[[#This Row],[Population]]&amp;TrendSheetPrdData[[#This Row],[Cost Basis]]&amp;TrendSheetPrdData[[#This Row],[Period]]&amp;TrendSheetPrdData[[#This Row],[Trend]]</f>
        <v>BAYVIEW EMPLOYEEPaid2016-12-01Inpatient Claim Count</v>
      </c>
      <c r="B630" t="s">
        <v>127</v>
      </c>
      <c r="C630" t="s">
        <v>127</v>
      </c>
      <c r="D630" t="s">
        <v>78</v>
      </c>
      <c r="E630" s="1" t="s">
        <v>102</v>
      </c>
      <c r="F630" t="s">
        <v>106</v>
      </c>
      <c r="G630" t="s">
        <v>30</v>
      </c>
      <c r="H630">
        <v>19</v>
      </c>
      <c r="I630">
        <v>8</v>
      </c>
    </row>
    <row r="631" spans="1:9" x14ac:dyDescent="0.25">
      <c r="A631" s="5" t="str">
        <f>TrendSheetPrdData[[#This Row],[Population]]&amp;TrendSheetPrdData[[#This Row],[Cost Basis]]&amp;TrendSheetPrdData[[#This Row],[Period]]&amp;TrendSheetPrdData[[#This Row],[Trend]]</f>
        <v>BAYVIEW EMPLOYEEPaid2017-01-01Inpatient Claim Count</v>
      </c>
      <c r="B631" t="s">
        <v>127</v>
      </c>
      <c r="C631" t="s">
        <v>127</v>
      </c>
      <c r="D631" t="s">
        <v>78</v>
      </c>
      <c r="E631" s="1" t="s">
        <v>103</v>
      </c>
      <c r="F631" t="s">
        <v>106</v>
      </c>
      <c r="G631" t="s">
        <v>30</v>
      </c>
      <c r="H631">
        <v>19</v>
      </c>
      <c r="I631">
        <v>15</v>
      </c>
    </row>
    <row r="632" spans="1:9" x14ac:dyDescent="0.25">
      <c r="A632" s="5" t="str">
        <f>TrendSheetPrdData[[#This Row],[Population]]&amp;TrendSheetPrdData[[#This Row],[Cost Basis]]&amp;TrendSheetPrdData[[#This Row],[Period]]&amp;TrendSheetPrdData[[#This Row],[Trend]]</f>
        <v>BAYVIEW EMPLOYEEPaid2015-11-01Outpatient Claim Count</v>
      </c>
      <c r="B632" t="s">
        <v>127</v>
      </c>
      <c r="C632" t="s">
        <v>127</v>
      </c>
      <c r="D632" t="s">
        <v>78</v>
      </c>
      <c r="E632" s="1" t="s">
        <v>130</v>
      </c>
      <c r="F632" t="s">
        <v>93</v>
      </c>
      <c r="G632" t="s">
        <v>31</v>
      </c>
      <c r="H632">
        <v>20</v>
      </c>
      <c r="I632">
        <v>430</v>
      </c>
    </row>
    <row r="633" spans="1:9" x14ac:dyDescent="0.25">
      <c r="A633" s="5" t="str">
        <f>TrendSheetPrdData[[#This Row],[Population]]&amp;TrendSheetPrdData[[#This Row],[Cost Basis]]&amp;TrendSheetPrdData[[#This Row],[Period]]&amp;TrendSheetPrdData[[#This Row],[Trend]]</f>
        <v>BAYVIEW EMPLOYEEPaid2015-12-01Outpatient Claim Count</v>
      </c>
      <c r="B633" t="s">
        <v>127</v>
      </c>
      <c r="C633" t="s">
        <v>127</v>
      </c>
      <c r="D633" t="s">
        <v>78</v>
      </c>
      <c r="E633" s="1" t="s">
        <v>131</v>
      </c>
      <c r="F633" t="s">
        <v>93</v>
      </c>
      <c r="G633" t="s">
        <v>31</v>
      </c>
      <c r="H633">
        <v>20</v>
      </c>
      <c r="I633">
        <v>657</v>
      </c>
    </row>
    <row r="634" spans="1:9" x14ac:dyDescent="0.25">
      <c r="A634" s="5" t="str">
        <f>TrendSheetPrdData[[#This Row],[Population]]&amp;TrendSheetPrdData[[#This Row],[Cost Basis]]&amp;TrendSheetPrdData[[#This Row],[Period]]&amp;TrendSheetPrdData[[#This Row],[Trend]]</f>
        <v>BAYVIEW EMPLOYEEPaid2016-01-01Outpatient Claim Count</v>
      </c>
      <c r="B634" t="s">
        <v>127</v>
      </c>
      <c r="C634" t="s">
        <v>127</v>
      </c>
      <c r="D634" t="s">
        <v>78</v>
      </c>
      <c r="E634" s="1" t="s">
        <v>132</v>
      </c>
      <c r="F634" t="s">
        <v>93</v>
      </c>
      <c r="G634" t="s">
        <v>31</v>
      </c>
      <c r="H634">
        <v>20</v>
      </c>
      <c r="I634">
        <v>300</v>
      </c>
    </row>
    <row r="635" spans="1:9" x14ac:dyDescent="0.25">
      <c r="A635" s="5" t="str">
        <f>TrendSheetPrdData[[#This Row],[Population]]&amp;TrendSheetPrdData[[#This Row],[Cost Basis]]&amp;TrendSheetPrdData[[#This Row],[Period]]&amp;TrendSheetPrdData[[#This Row],[Trend]]</f>
        <v>BAYVIEW EMPLOYEEPaid2016-02-01Outpatient Claim Count</v>
      </c>
      <c r="B635" t="s">
        <v>127</v>
      </c>
      <c r="C635" t="s">
        <v>127</v>
      </c>
      <c r="D635" t="s">
        <v>78</v>
      </c>
      <c r="E635" s="1" t="s">
        <v>133</v>
      </c>
      <c r="F635" t="s">
        <v>93</v>
      </c>
      <c r="G635" t="s">
        <v>31</v>
      </c>
      <c r="H635">
        <v>20</v>
      </c>
      <c r="I635">
        <v>418</v>
      </c>
    </row>
    <row r="636" spans="1:9" x14ac:dyDescent="0.25">
      <c r="A636" s="5" t="str">
        <f>TrendSheetPrdData[[#This Row],[Population]]&amp;TrendSheetPrdData[[#This Row],[Cost Basis]]&amp;TrendSheetPrdData[[#This Row],[Period]]&amp;TrendSheetPrdData[[#This Row],[Trend]]</f>
        <v>BAYVIEW EMPLOYEEPaid2016-03-01Outpatient Claim Count</v>
      </c>
      <c r="B636" t="s">
        <v>127</v>
      </c>
      <c r="C636" t="s">
        <v>127</v>
      </c>
      <c r="D636" t="s">
        <v>78</v>
      </c>
      <c r="E636" s="1" t="s">
        <v>92</v>
      </c>
      <c r="F636" t="s">
        <v>93</v>
      </c>
      <c r="G636" t="s">
        <v>31</v>
      </c>
      <c r="H636">
        <v>20</v>
      </c>
      <c r="I636">
        <v>533</v>
      </c>
    </row>
    <row r="637" spans="1:9" x14ac:dyDescent="0.25">
      <c r="A637" s="5" t="str">
        <f>TrendSheetPrdData[[#This Row],[Population]]&amp;TrendSheetPrdData[[#This Row],[Cost Basis]]&amp;TrendSheetPrdData[[#This Row],[Period]]&amp;TrendSheetPrdData[[#This Row],[Trend]]</f>
        <v>BAYVIEW EMPLOYEEPaid2016-04-01Outpatient Claim Count</v>
      </c>
      <c r="B637" t="s">
        <v>127</v>
      </c>
      <c r="C637" t="s">
        <v>127</v>
      </c>
      <c r="D637" t="s">
        <v>78</v>
      </c>
      <c r="E637" s="1" t="s">
        <v>94</v>
      </c>
      <c r="F637" t="s">
        <v>93</v>
      </c>
      <c r="G637" t="s">
        <v>31</v>
      </c>
      <c r="H637">
        <v>20</v>
      </c>
      <c r="I637">
        <v>477</v>
      </c>
    </row>
    <row r="638" spans="1:9" x14ac:dyDescent="0.25">
      <c r="A638" s="5" t="str">
        <f>TrendSheetPrdData[[#This Row],[Population]]&amp;TrendSheetPrdData[[#This Row],[Cost Basis]]&amp;TrendSheetPrdData[[#This Row],[Period]]&amp;TrendSheetPrdData[[#This Row],[Trend]]</f>
        <v>BAYVIEW EMPLOYEEPaid2016-05-01Outpatient Claim Count</v>
      </c>
      <c r="B638" t="s">
        <v>127</v>
      </c>
      <c r="C638" t="s">
        <v>127</v>
      </c>
      <c r="D638" t="s">
        <v>78</v>
      </c>
      <c r="E638" s="1" t="s">
        <v>95</v>
      </c>
      <c r="F638" t="s">
        <v>93</v>
      </c>
      <c r="G638" t="s">
        <v>31</v>
      </c>
      <c r="H638">
        <v>20</v>
      </c>
      <c r="I638">
        <v>446</v>
      </c>
    </row>
    <row r="639" spans="1:9" x14ac:dyDescent="0.25">
      <c r="A639" s="5" t="str">
        <f>TrendSheetPrdData[[#This Row],[Population]]&amp;TrendSheetPrdData[[#This Row],[Cost Basis]]&amp;TrendSheetPrdData[[#This Row],[Period]]&amp;TrendSheetPrdData[[#This Row],[Trend]]</f>
        <v>BAYVIEW EMPLOYEEPaid2016-06-01Outpatient Claim Count</v>
      </c>
      <c r="B639" t="s">
        <v>127</v>
      </c>
      <c r="C639" t="s">
        <v>127</v>
      </c>
      <c r="D639" t="s">
        <v>78</v>
      </c>
      <c r="E639" s="1" t="s">
        <v>96</v>
      </c>
      <c r="F639" t="s">
        <v>93</v>
      </c>
      <c r="G639" t="s">
        <v>31</v>
      </c>
      <c r="H639">
        <v>20</v>
      </c>
      <c r="I639">
        <v>367</v>
      </c>
    </row>
    <row r="640" spans="1:9" x14ac:dyDescent="0.25">
      <c r="A640" s="5" t="str">
        <f>TrendSheetPrdData[[#This Row],[Population]]&amp;TrendSheetPrdData[[#This Row],[Cost Basis]]&amp;TrendSheetPrdData[[#This Row],[Period]]&amp;TrendSheetPrdData[[#This Row],[Trend]]</f>
        <v>BAYVIEW EMPLOYEEPaid2016-07-01Outpatient Claim Count</v>
      </c>
      <c r="B640" t="s">
        <v>127</v>
      </c>
      <c r="C640" t="s">
        <v>127</v>
      </c>
      <c r="D640" t="s">
        <v>78</v>
      </c>
      <c r="E640" s="1" t="s">
        <v>97</v>
      </c>
      <c r="F640" t="s">
        <v>93</v>
      </c>
      <c r="G640" t="s">
        <v>31</v>
      </c>
      <c r="H640">
        <v>20</v>
      </c>
      <c r="I640">
        <v>238</v>
      </c>
    </row>
    <row r="641" spans="1:9" x14ac:dyDescent="0.25">
      <c r="A641" s="5" t="str">
        <f>TrendSheetPrdData[[#This Row],[Population]]&amp;TrendSheetPrdData[[#This Row],[Cost Basis]]&amp;TrendSheetPrdData[[#This Row],[Period]]&amp;TrendSheetPrdData[[#This Row],[Trend]]</f>
        <v>BAYVIEW EMPLOYEEPaid2016-08-01Outpatient Claim Count</v>
      </c>
      <c r="B641" t="s">
        <v>127</v>
      </c>
      <c r="C641" t="s">
        <v>127</v>
      </c>
      <c r="D641" t="s">
        <v>78</v>
      </c>
      <c r="E641" s="1" t="s">
        <v>98</v>
      </c>
      <c r="F641" t="s">
        <v>93</v>
      </c>
      <c r="G641" t="s">
        <v>31</v>
      </c>
      <c r="H641">
        <v>20</v>
      </c>
      <c r="I641">
        <v>295</v>
      </c>
    </row>
    <row r="642" spans="1:9" x14ac:dyDescent="0.25">
      <c r="A642" s="5" t="str">
        <f>TrendSheetPrdData[[#This Row],[Population]]&amp;TrendSheetPrdData[[#This Row],[Cost Basis]]&amp;TrendSheetPrdData[[#This Row],[Period]]&amp;TrendSheetPrdData[[#This Row],[Trend]]</f>
        <v>BAYVIEW EMPLOYEEPaid2016-09-01Outpatient Claim Count</v>
      </c>
      <c r="B642" t="s">
        <v>127</v>
      </c>
      <c r="C642" t="s">
        <v>127</v>
      </c>
      <c r="D642" t="s">
        <v>78</v>
      </c>
      <c r="E642" s="1" t="s">
        <v>99</v>
      </c>
      <c r="F642" t="s">
        <v>93</v>
      </c>
      <c r="G642" t="s">
        <v>31</v>
      </c>
      <c r="H642">
        <v>20</v>
      </c>
      <c r="I642">
        <v>474</v>
      </c>
    </row>
    <row r="643" spans="1:9" x14ac:dyDescent="0.25">
      <c r="A643" s="5" t="str">
        <f>TrendSheetPrdData[[#This Row],[Population]]&amp;TrendSheetPrdData[[#This Row],[Cost Basis]]&amp;TrendSheetPrdData[[#This Row],[Period]]&amp;TrendSheetPrdData[[#This Row],[Trend]]</f>
        <v>BAYVIEW EMPLOYEEPaid2016-10-01Outpatient Claim Count</v>
      </c>
      <c r="B643" t="s">
        <v>127</v>
      </c>
      <c r="C643" t="s">
        <v>127</v>
      </c>
      <c r="D643" t="s">
        <v>78</v>
      </c>
      <c r="E643" s="1" t="s">
        <v>100</v>
      </c>
      <c r="F643" t="s">
        <v>93</v>
      </c>
      <c r="G643" t="s">
        <v>31</v>
      </c>
      <c r="H643">
        <v>20</v>
      </c>
      <c r="I643">
        <v>389</v>
      </c>
    </row>
    <row r="644" spans="1:9" x14ac:dyDescent="0.25">
      <c r="A644" s="5" t="str">
        <f>TrendSheetPrdData[[#This Row],[Population]]&amp;TrendSheetPrdData[[#This Row],[Cost Basis]]&amp;TrendSheetPrdData[[#This Row],[Period]]&amp;TrendSheetPrdData[[#This Row],[Trend]]</f>
        <v>BAYVIEW EMPLOYEEPaid2016-11-01Outpatient Claim Count</v>
      </c>
      <c r="B644" t="s">
        <v>127</v>
      </c>
      <c r="C644" t="s">
        <v>127</v>
      </c>
      <c r="D644" t="s">
        <v>78</v>
      </c>
      <c r="E644" s="1" t="s">
        <v>101</v>
      </c>
      <c r="F644" t="s">
        <v>106</v>
      </c>
      <c r="G644" t="s">
        <v>31</v>
      </c>
      <c r="H644">
        <v>20</v>
      </c>
      <c r="I644">
        <v>241</v>
      </c>
    </row>
    <row r="645" spans="1:9" x14ac:dyDescent="0.25">
      <c r="A645" s="5" t="str">
        <f>TrendSheetPrdData[[#This Row],[Population]]&amp;TrendSheetPrdData[[#This Row],[Cost Basis]]&amp;TrendSheetPrdData[[#This Row],[Period]]&amp;TrendSheetPrdData[[#This Row],[Trend]]</f>
        <v>BAYVIEW EMPLOYEEPaid2016-12-01Outpatient Claim Count</v>
      </c>
      <c r="B645" t="s">
        <v>127</v>
      </c>
      <c r="C645" t="s">
        <v>127</v>
      </c>
      <c r="D645" t="s">
        <v>78</v>
      </c>
      <c r="E645" s="1" t="s">
        <v>102</v>
      </c>
      <c r="F645" t="s">
        <v>106</v>
      </c>
      <c r="G645" t="s">
        <v>31</v>
      </c>
      <c r="H645">
        <v>20</v>
      </c>
      <c r="I645">
        <v>255</v>
      </c>
    </row>
    <row r="646" spans="1:9" x14ac:dyDescent="0.25">
      <c r="A646" s="5" t="str">
        <f>TrendSheetPrdData[[#This Row],[Population]]&amp;TrendSheetPrdData[[#This Row],[Cost Basis]]&amp;TrendSheetPrdData[[#This Row],[Period]]&amp;TrendSheetPrdData[[#This Row],[Trend]]</f>
        <v>BAYVIEW EMPLOYEEPaid2017-01-01Outpatient Claim Count</v>
      </c>
      <c r="B646" t="s">
        <v>127</v>
      </c>
      <c r="C646" t="s">
        <v>127</v>
      </c>
      <c r="D646" t="s">
        <v>78</v>
      </c>
      <c r="E646" s="1" t="s">
        <v>103</v>
      </c>
      <c r="F646" t="s">
        <v>106</v>
      </c>
      <c r="G646" t="s">
        <v>31</v>
      </c>
      <c r="H646">
        <v>20</v>
      </c>
      <c r="I646">
        <v>45</v>
      </c>
    </row>
    <row r="647" spans="1:9" x14ac:dyDescent="0.25">
      <c r="A647" s="5" t="str">
        <f>TrendSheetPrdData[[#This Row],[Population]]&amp;TrendSheetPrdData[[#This Row],[Cost Basis]]&amp;TrendSheetPrdData[[#This Row],[Period]]&amp;TrendSheetPrdData[[#This Row],[Trend]]</f>
        <v>BAYVIEW EMPLOYEEPaid2015-11-01Professional Claim Count</v>
      </c>
      <c r="B647" t="s">
        <v>127</v>
      </c>
      <c r="C647" t="s">
        <v>127</v>
      </c>
      <c r="D647" t="s">
        <v>78</v>
      </c>
      <c r="E647" s="1" t="s">
        <v>130</v>
      </c>
      <c r="F647" t="s">
        <v>93</v>
      </c>
      <c r="G647" t="s">
        <v>32</v>
      </c>
      <c r="H647">
        <v>21</v>
      </c>
      <c r="I647">
        <v>1364</v>
      </c>
    </row>
    <row r="648" spans="1:9" x14ac:dyDescent="0.25">
      <c r="A648" s="5" t="str">
        <f>TrendSheetPrdData[[#This Row],[Population]]&amp;TrendSheetPrdData[[#This Row],[Cost Basis]]&amp;TrendSheetPrdData[[#This Row],[Period]]&amp;TrendSheetPrdData[[#This Row],[Trend]]</f>
        <v>BAYVIEW EMPLOYEEPaid2015-12-01Professional Claim Count</v>
      </c>
      <c r="B648" t="s">
        <v>127</v>
      </c>
      <c r="C648" t="s">
        <v>127</v>
      </c>
      <c r="D648" t="s">
        <v>78</v>
      </c>
      <c r="E648" s="1" t="s">
        <v>131</v>
      </c>
      <c r="F648" t="s">
        <v>93</v>
      </c>
      <c r="G648" t="s">
        <v>32</v>
      </c>
      <c r="H648">
        <v>21</v>
      </c>
      <c r="I648">
        <v>1407</v>
      </c>
    </row>
    <row r="649" spans="1:9" x14ac:dyDescent="0.25">
      <c r="A649" s="5" t="str">
        <f>TrendSheetPrdData[[#This Row],[Population]]&amp;TrendSheetPrdData[[#This Row],[Cost Basis]]&amp;TrendSheetPrdData[[#This Row],[Period]]&amp;TrendSheetPrdData[[#This Row],[Trend]]</f>
        <v>BAYVIEW EMPLOYEEPaid2016-01-01Professional Claim Count</v>
      </c>
      <c r="B649" t="s">
        <v>127</v>
      </c>
      <c r="C649" t="s">
        <v>127</v>
      </c>
      <c r="D649" t="s">
        <v>78</v>
      </c>
      <c r="E649" s="1" t="s">
        <v>132</v>
      </c>
      <c r="F649" t="s">
        <v>93</v>
      </c>
      <c r="G649" t="s">
        <v>32</v>
      </c>
      <c r="H649">
        <v>21</v>
      </c>
      <c r="I649">
        <v>1164</v>
      </c>
    </row>
    <row r="650" spans="1:9" x14ac:dyDescent="0.25">
      <c r="A650" s="5" t="str">
        <f>TrendSheetPrdData[[#This Row],[Population]]&amp;TrendSheetPrdData[[#This Row],[Cost Basis]]&amp;TrendSheetPrdData[[#This Row],[Period]]&amp;TrendSheetPrdData[[#This Row],[Trend]]</f>
        <v>BAYVIEW EMPLOYEEPaid2016-02-01Professional Claim Count</v>
      </c>
      <c r="B650" t="s">
        <v>127</v>
      </c>
      <c r="C650" t="s">
        <v>127</v>
      </c>
      <c r="D650" t="s">
        <v>78</v>
      </c>
      <c r="E650" s="1" t="s">
        <v>133</v>
      </c>
      <c r="F650" t="s">
        <v>93</v>
      </c>
      <c r="G650" t="s">
        <v>32</v>
      </c>
      <c r="H650">
        <v>21</v>
      </c>
      <c r="I650">
        <v>1168</v>
      </c>
    </row>
    <row r="651" spans="1:9" x14ac:dyDescent="0.25">
      <c r="A651" s="5" t="str">
        <f>TrendSheetPrdData[[#This Row],[Population]]&amp;TrendSheetPrdData[[#This Row],[Cost Basis]]&amp;TrendSheetPrdData[[#This Row],[Period]]&amp;TrendSheetPrdData[[#This Row],[Trend]]</f>
        <v>BAYVIEW EMPLOYEEPaid2016-03-01Professional Claim Count</v>
      </c>
      <c r="B651" t="s">
        <v>127</v>
      </c>
      <c r="C651" t="s">
        <v>127</v>
      </c>
      <c r="D651" t="s">
        <v>78</v>
      </c>
      <c r="E651" s="1" t="s">
        <v>92</v>
      </c>
      <c r="F651" t="s">
        <v>93</v>
      </c>
      <c r="G651" t="s">
        <v>32</v>
      </c>
      <c r="H651">
        <v>21</v>
      </c>
      <c r="I651">
        <v>1389</v>
      </c>
    </row>
    <row r="652" spans="1:9" x14ac:dyDescent="0.25">
      <c r="A652" s="5" t="str">
        <f>TrendSheetPrdData[[#This Row],[Population]]&amp;TrendSheetPrdData[[#This Row],[Cost Basis]]&amp;TrendSheetPrdData[[#This Row],[Period]]&amp;TrendSheetPrdData[[#This Row],[Trend]]</f>
        <v>BAYVIEW EMPLOYEEPaid2016-04-01Professional Claim Count</v>
      </c>
      <c r="B652" t="s">
        <v>127</v>
      </c>
      <c r="C652" t="s">
        <v>127</v>
      </c>
      <c r="D652" t="s">
        <v>78</v>
      </c>
      <c r="E652" s="1" t="s">
        <v>94</v>
      </c>
      <c r="F652" t="s">
        <v>93</v>
      </c>
      <c r="G652" t="s">
        <v>32</v>
      </c>
      <c r="H652">
        <v>21</v>
      </c>
      <c r="I652">
        <v>1174</v>
      </c>
    </row>
    <row r="653" spans="1:9" x14ac:dyDescent="0.25">
      <c r="A653" s="5" t="str">
        <f>TrendSheetPrdData[[#This Row],[Population]]&amp;TrendSheetPrdData[[#This Row],[Cost Basis]]&amp;TrendSheetPrdData[[#This Row],[Period]]&amp;TrendSheetPrdData[[#This Row],[Trend]]</f>
        <v>BAYVIEW EMPLOYEEPaid2016-05-01Professional Claim Count</v>
      </c>
      <c r="B653" t="s">
        <v>127</v>
      </c>
      <c r="C653" t="s">
        <v>127</v>
      </c>
      <c r="D653" t="s">
        <v>78</v>
      </c>
      <c r="E653" s="1" t="s">
        <v>95</v>
      </c>
      <c r="F653" t="s">
        <v>93</v>
      </c>
      <c r="G653" t="s">
        <v>32</v>
      </c>
      <c r="H653">
        <v>21</v>
      </c>
      <c r="I653">
        <v>1379</v>
      </c>
    </row>
    <row r="654" spans="1:9" x14ac:dyDescent="0.25">
      <c r="A654" s="5" t="str">
        <f>TrendSheetPrdData[[#This Row],[Population]]&amp;TrendSheetPrdData[[#This Row],[Cost Basis]]&amp;TrendSheetPrdData[[#This Row],[Period]]&amp;TrendSheetPrdData[[#This Row],[Trend]]</f>
        <v>BAYVIEW EMPLOYEEPaid2016-06-01Professional Claim Count</v>
      </c>
      <c r="B654" t="s">
        <v>127</v>
      </c>
      <c r="C654" t="s">
        <v>127</v>
      </c>
      <c r="D654" t="s">
        <v>78</v>
      </c>
      <c r="E654" s="1" t="s">
        <v>96</v>
      </c>
      <c r="F654" t="s">
        <v>93</v>
      </c>
      <c r="G654" t="s">
        <v>32</v>
      </c>
      <c r="H654">
        <v>21</v>
      </c>
      <c r="I654">
        <v>1336</v>
      </c>
    </row>
    <row r="655" spans="1:9" x14ac:dyDescent="0.25">
      <c r="A655" s="5" t="str">
        <f>TrendSheetPrdData[[#This Row],[Population]]&amp;TrendSheetPrdData[[#This Row],[Cost Basis]]&amp;TrendSheetPrdData[[#This Row],[Period]]&amp;TrendSheetPrdData[[#This Row],[Trend]]</f>
        <v>BAYVIEW EMPLOYEEPaid2016-07-01Professional Claim Count</v>
      </c>
      <c r="B655" t="s">
        <v>127</v>
      </c>
      <c r="C655" t="s">
        <v>127</v>
      </c>
      <c r="D655" t="s">
        <v>78</v>
      </c>
      <c r="E655" s="1" t="s">
        <v>97</v>
      </c>
      <c r="F655" t="s">
        <v>93</v>
      </c>
      <c r="G655" t="s">
        <v>32</v>
      </c>
      <c r="H655">
        <v>21</v>
      </c>
      <c r="I655">
        <v>1077</v>
      </c>
    </row>
    <row r="656" spans="1:9" x14ac:dyDescent="0.25">
      <c r="A656" s="5" t="str">
        <f>TrendSheetPrdData[[#This Row],[Population]]&amp;TrendSheetPrdData[[#This Row],[Cost Basis]]&amp;TrendSheetPrdData[[#This Row],[Period]]&amp;TrendSheetPrdData[[#This Row],[Trend]]</f>
        <v>BAYVIEW EMPLOYEEPaid2016-08-01Professional Claim Count</v>
      </c>
      <c r="B656" t="s">
        <v>127</v>
      </c>
      <c r="C656" t="s">
        <v>127</v>
      </c>
      <c r="D656" t="s">
        <v>78</v>
      </c>
      <c r="E656" s="1" t="s">
        <v>98</v>
      </c>
      <c r="F656" t="s">
        <v>93</v>
      </c>
      <c r="G656" t="s">
        <v>32</v>
      </c>
      <c r="H656">
        <v>21</v>
      </c>
      <c r="I656">
        <v>1325</v>
      </c>
    </row>
    <row r="657" spans="1:9" x14ac:dyDescent="0.25">
      <c r="A657" s="5" t="str">
        <f>TrendSheetPrdData[[#This Row],[Population]]&amp;TrendSheetPrdData[[#This Row],[Cost Basis]]&amp;TrendSheetPrdData[[#This Row],[Period]]&amp;TrendSheetPrdData[[#This Row],[Trend]]</f>
        <v>BAYVIEW EMPLOYEEPaid2016-09-01Professional Claim Count</v>
      </c>
      <c r="B657" t="s">
        <v>127</v>
      </c>
      <c r="C657" t="s">
        <v>127</v>
      </c>
      <c r="D657" t="s">
        <v>78</v>
      </c>
      <c r="E657" s="1" t="s">
        <v>99</v>
      </c>
      <c r="F657" t="s">
        <v>93</v>
      </c>
      <c r="G657" t="s">
        <v>32</v>
      </c>
      <c r="H657">
        <v>21</v>
      </c>
      <c r="I657">
        <v>1392</v>
      </c>
    </row>
    <row r="658" spans="1:9" x14ac:dyDescent="0.25">
      <c r="A658" s="5" t="str">
        <f>TrendSheetPrdData[[#This Row],[Population]]&amp;TrendSheetPrdData[[#This Row],[Cost Basis]]&amp;TrendSheetPrdData[[#This Row],[Period]]&amp;TrendSheetPrdData[[#This Row],[Trend]]</f>
        <v>BAYVIEW EMPLOYEEPaid2016-10-01Professional Claim Count</v>
      </c>
      <c r="B658" t="s">
        <v>127</v>
      </c>
      <c r="C658" t="s">
        <v>127</v>
      </c>
      <c r="D658" t="s">
        <v>78</v>
      </c>
      <c r="E658" s="1" t="s">
        <v>100</v>
      </c>
      <c r="F658" t="s">
        <v>93</v>
      </c>
      <c r="G658" t="s">
        <v>32</v>
      </c>
      <c r="H658">
        <v>21</v>
      </c>
      <c r="I658">
        <v>1327</v>
      </c>
    </row>
    <row r="659" spans="1:9" x14ac:dyDescent="0.25">
      <c r="A659" s="5" t="str">
        <f>TrendSheetPrdData[[#This Row],[Population]]&amp;TrendSheetPrdData[[#This Row],[Cost Basis]]&amp;TrendSheetPrdData[[#This Row],[Period]]&amp;TrendSheetPrdData[[#This Row],[Trend]]</f>
        <v>BAYVIEW EMPLOYEEPaid2016-11-01Professional Claim Count</v>
      </c>
      <c r="B659" t="s">
        <v>127</v>
      </c>
      <c r="C659" t="s">
        <v>127</v>
      </c>
      <c r="D659" t="s">
        <v>78</v>
      </c>
      <c r="E659" s="1" t="s">
        <v>101</v>
      </c>
      <c r="F659" t="s">
        <v>106</v>
      </c>
      <c r="G659" t="s">
        <v>32</v>
      </c>
      <c r="H659">
        <v>21</v>
      </c>
      <c r="I659">
        <v>1100</v>
      </c>
    </row>
    <row r="660" spans="1:9" x14ac:dyDescent="0.25">
      <c r="A660" s="5" t="str">
        <f>TrendSheetPrdData[[#This Row],[Population]]&amp;TrendSheetPrdData[[#This Row],[Cost Basis]]&amp;TrendSheetPrdData[[#This Row],[Period]]&amp;TrendSheetPrdData[[#This Row],[Trend]]</f>
        <v>BAYVIEW EMPLOYEEPaid2016-12-01Professional Claim Count</v>
      </c>
      <c r="B660" t="s">
        <v>127</v>
      </c>
      <c r="C660" t="s">
        <v>127</v>
      </c>
      <c r="D660" t="s">
        <v>78</v>
      </c>
      <c r="E660" s="1" t="s">
        <v>102</v>
      </c>
      <c r="F660" t="s">
        <v>106</v>
      </c>
      <c r="G660" t="s">
        <v>32</v>
      </c>
      <c r="H660">
        <v>21</v>
      </c>
      <c r="I660">
        <v>1265</v>
      </c>
    </row>
    <row r="661" spans="1:9" x14ac:dyDescent="0.25">
      <c r="A661" s="5" t="str">
        <f>TrendSheetPrdData[[#This Row],[Population]]&amp;TrendSheetPrdData[[#This Row],[Cost Basis]]&amp;TrendSheetPrdData[[#This Row],[Period]]&amp;TrendSheetPrdData[[#This Row],[Trend]]</f>
        <v>BAYVIEW EMPLOYEEPaid2017-01-01Professional Claim Count</v>
      </c>
      <c r="B661" t="s">
        <v>127</v>
      </c>
      <c r="C661" t="s">
        <v>127</v>
      </c>
      <c r="D661" t="s">
        <v>78</v>
      </c>
      <c r="E661" s="1" t="s">
        <v>103</v>
      </c>
      <c r="F661" t="s">
        <v>106</v>
      </c>
      <c r="G661" t="s">
        <v>32</v>
      </c>
      <c r="H661">
        <v>21</v>
      </c>
      <c r="I661">
        <v>539</v>
      </c>
    </row>
    <row r="662" spans="1:9" x14ac:dyDescent="0.25">
      <c r="A662" s="5" t="str">
        <f>TrendSheetPrdData[[#This Row],[Population]]&amp;TrendSheetPrdData[[#This Row],[Cost Basis]]&amp;TrendSheetPrdData[[#This Row],[Period]]&amp;TrendSheetPrdData[[#This Row],[Trend]]</f>
        <v>BAYVIEW EMPLOYEEPaid2015-11-01Ancillary Claim Count</v>
      </c>
      <c r="B662" t="s">
        <v>127</v>
      </c>
      <c r="C662" t="s">
        <v>127</v>
      </c>
      <c r="D662" t="s">
        <v>78</v>
      </c>
      <c r="E662" s="1" t="s">
        <v>130</v>
      </c>
      <c r="F662" t="s">
        <v>93</v>
      </c>
      <c r="G662" t="s">
        <v>33</v>
      </c>
      <c r="H662">
        <v>22</v>
      </c>
      <c r="I662">
        <v>42</v>
      </c>
    </row>
    <row r="663" spans="1:9" x14ac:dyDescent="0.25">
      <c r="A663" s="5" t="str">
        <f>TrendSheetPrdData[[#This Row],[Population]]&amp;TrendSheetPrdData[[#This Row],[Cost Basis]]&amp;TrendSheetPrdData[[#This Row],[Period]]&amp;TrendSheetPrdData[[#This Row],[Trend]]</f>
        <v>BAYVIEW EMPLOYEEPaid2015-12-01Ancillary Claim Count</v>
      </c>
      <c r="B663" t="s">
        <v>127</v>
      </c>
      <c r="C663" t="s">
        <v>127</v>
      </c>
      <c r="D663" t="s">
        <v>78</v>
      </c>
      <c r="E663" s="1" t="s">
        <v>131</v>
      </c>
      <c r="F663" t="s">
        <v>93</v>
      </c>
      <c r="G663" t="s">
        <v>33</v>
      </c>
      <c r="H663">
        <v>22</v>
      </c>
      <c r="I663">
        <v>36</v>
      </c>
    </row>
    <row r="664" spans="1:9" x14ac:dyDescent="0.25">
      <c r="A664" s="5" t="str">
        <f>TrendSheetPrdData[[#This Row],[Population]]&amp;TrendSheetPrdData[[#This Row],[Cost Basis]]&amp;TrendSheetPrdData[[#This Row],[Period]]&amp;TrendSheetPrdData[[#This Row],[Trend]]</f>
        <v>BAYVIEW EMPLOYEEPaid2016-01-01Ancillary Claim Count</v>
      </c>
      <c r="B664" t="s">
        <v>127</v>
      </c>
      <c r="C664" t="s">
        <v>127</v>
      </c>
      <c r="D664" t="s">
        <v>78</v>
      </c>
      <c r="E664" s="1" t="s">
        <v>132</v>
      </c>
      <c r="F664" t="s">
        <v>93</v>
      </c>
      <c r="G664" t="s">
        <v>33</v>
      </c>
      <c r="H664">
        <v>22</v>
      </c>
      <c r="I664">
        <v>35</v>
      </c>
    </row>
    <row r="665" spans="1:9" x14ac:dyDescent="0.25">
      <c r="A665" s="5" t="str">
        <f>TrendSheetPrdData[[#This Row],[Population]]&amp;TrendSheetPrdData[[#This Row],[Cost Basis]]&amp;TrendSheetPrdData[[#This Row],[Period]]&amp;TrendSheetPrdData[[#This Row],[Trend]]</f>
        <v>BAYVIEW EMPLOYEEPaid2016-02-01Ancillary Claim Count</v>
      </c>
      <c r="B665" t="s">
        <v>127</v>
      </c>
      <c r="C665" t="s">
        <v>127</v>
      </c>
      <c r="D665" t="s">
        <v>78</v>
      </c>
      <c r="E665" s="1" t="s">
        <v>133</v>
      </c>
      <c r="F665" t="s">
        <v>93</v>
      </c>
      <c r="G665" t="s">
        <v>33</v>
      </c>
      <c r="H665">
        <v>22</v>
      </c>
      <c r="I665">
        <v>56</v>
      </c>
    </row>
    <row r="666" spans="1:9" x14ac:dyDescent="0.25">
      <c r="A666" s="5" t="str">
        <f>TrendSheetPrdData[[#This Row],[Population]]&amp;TrendSheetPrdData[[#This Row],[Cost Basis]]&amp;TrendSheetPrdData[[#This Row],[Period]]&amp;TrendSheetPrdData[[#This Row],[Trend]]</f>
        <v>BAYVIEW EMPLOYEEPaid2016-03-01Ancillary Claim Count</v>
      </c>
      <c r="B666" t="s">
        <v>127</v>
      </c>
      <c r="C666" t="s">
        <v>127</v>
      </c>
      <c r="D666" t="s">
        <v>78</v>
      </c>
      <c r="E666" s="1" t="s">
        <v>92</v>
      </c>
      <c r="F666" t="s">
        <v>93</v>
      </c>
      <c r="G666" t="s">
        <v>33</v>
      </c>
      <c r="H666">
        <v>22</v>
      </c>
      <c r="I666">
        <v>60</v>
      </c>
    </row>
    <row r="667" spans="1:9" x14ac:dyDescent="0.25">
      <c r="A667" s="5" t="str">
        <f>TrendSheetPrdData[[#This Row],[Population]]&amp;TrendSheetPrdData[[#This Row],[Cost Basis]]&amp;TrendSheetPrdData[[#This Row],[Period]]&amp;TrendSheetPrdData[[#This Row],[Trend]]</f>
        <v>BAYVIEW EMPLOYEEPaid2016-04-01Ancillary Claim Count</v>
      </c>
      <c r="B667" t="s">
        <v>127</v>
      </c>
      <c r="C667" t="s">
        <v>127</v>
      </c>
      <c r="D667" t="s">
        <v>78</v>
      </c>
      <c r="E667" s="1" t="s">
        <v>94</v>
      </c>
      <c r="F667" t="s">
        <v>93</v>
      </c>
      <c r="G667" t="s">
        <v>33</v>
      </c>
      <c r="H667">
        <v>22</v>
      </c>
      <c r="I667">
        <v>55</v>
      </c>
    </row>
    <row r="668" spans="1:9" x14ac:dyDescent="0.25">
      <c r="A668" s="5" t="str">
        <f>TrendSheetPrdData[[#This Row],[Population]]&amp;TrendSheetPrdData[[#This Row],[Cost Basis]]&amp;TrendSheetPrdData[[#This Row],[Period]]&amp;TrendSheetPrdData[[#This Row],[Trend]]</f>
        <v>BAYVIEW EMPLOYEEPaid2016-05-01Ancillary Claim Count</v>
      </c>
      <c r="B668" t="s">
        <v>127</v>
      </c>
      <c r="C668" t="s">
        <v>127</v>
      </c>
      <c r="D668" t="s">
        <v>78</v>
      </c>
      <c r="E668" s="1" t="s">
        <v>95</v>
      </c>
      <c r="F668" t="s">
        <v>93</v>
      </c>
      <c r="G668" t="s">
        <v>33</v>
      </c>
      <c r="H668">
        <v>22</v>
      </c>
      <c r="I668">
        <v>58</v>
      </c>
    </row>
    <row r="669" spans="1:9" x14ac:dyDescent="0.25">
      <c r="A669" s="5" t="str">
        <f>TrendSheetPrdData[[#This Row],[Population]]&amp;TrendSheetPrdData[[#This Row],[Cost Basis]]&amp;TrendSheetPrdData[[#This Row],[Period]]&amp;TrendSheetPrdData[[#This Row],[Trend]]</f>
        <v>BAYVIEW EMPLOYEEPaid2016-06-01Ancillary Claim Count</v>
      </c>
      <c r="B669" t="s">
        <v>127</v>
      </c>
      <c r="C669" t="s">
        <v>127</v>
      </c>
      <c r="D669" t="s">
        <v>78</v>
      </c>
      <c r="E669" s="1" t="s">
        <v>96</v>
      </c>
      <c r="F669" t="s">
        <v>93</v>
      </c>
      <c r="G669" t="s">
        <v>33</v>
      </c>
      <c r="H669">
        <v>22</v>
      </c>
      <c r="I669">
        <v>63</v>
      </c>
    </row>
    <row r="670" spans="1:9" x14ac:dyDescent="0.25">
      <c r="A670" s="5" t="str">
        <f>TrendSheetPrdData[[#This Row],[Population]]&amp;TrendSheetPrdData[[#This Row],[Cost Basis]]&amp;TrendSheetPrdData[[#This Row],[Period]]&amp;TrendSheetPrdData[[#This Row],[Trend]]</f>
        <v>BAYVIEW EMPLOYEEPaid2016-07-01Ancillary Claim Count</v>
      </c>
      <c r="B670" t="s">
        <v>127</v>
      </c>
      <c r="C670" t="s">
        <v>127</v>
      </c>
      <c r="D670" t="s">
        <v>78</v>
      </c>
      <c r="E670" s="1" t="s">
        <v>97</v>
      </c>
      <c r="F670" t="s">
        <v>93</v>
      </c>
      <c r="G670" t="s">
        <v>33</v>
      </c>
      <c r="H670">
        <v>22</v>
      </c>
      <c r="I670">
        <v>47</v>
      </c>
    </row>
    <row r="671" spans="1:9" x14ac:dyDescent="0.25">
      <c r="A671" s="5" t="str">
        <f>TrendSheetPrdData[[#This Row],[Population]]&amp;TrendSheetPrdData[[#This Row],[Cost Basis]]&amp;TrendSheetPrdData[[#This Row],[Period]]&amp;TrendSheetPrdData[[#This Row],[Trend]]</f>
        <v>BAYVIEW EMPLOYEEPaid2016-08-01Ancillary Claim Count</v>
      </c>
      <c r="B671" t="s">
        <v>127</v>
      </c>
      <c r="C671" t="s">
        <v>127</v>
      </c>
      <c r="D671" t="s">
        <v>78</v>
      </c>
      <c r="E671" s="1" t="s">
        <v>98</v>
      </c>
      <c r="F671" t="s">
        <v>93</v>
      </c>
      <c r="G671" t="s">
        <v>33</v>
      </c>
      <c r="H671">
        <v>22</v>
      </c>
      <c r="I671">
        <v>53</v>
      </c>
    </row>
    <row r="672" spans="1:9" x14ac:dyDescent="0.25">
      <c r="A672" s="5" t="str">
        <f>TrendSheetPrdData[[#This Row],[Population]]&amp;TrendSheetPrdData[[#This Row],[Cost Basis]]&amp;TrendSheetPrdData[[#This Row],[Period]]&amp;TrendSheetPrdData[[#This Row],[Trend]]</f>
        <v>BAYVIEW EMPLOYEEPaid2016-09-01Ancillary Claim Count</v>
      </c>
      <c r="B672" t="s">
        <v>127</v>
      </c>
      <c r="C672" t="s">
        <v>127</v>
      </c>
      <c r="D672" t="s">
        <v>78</v>
      </c>
      <c r="E672" s="1" t="s">
        <v>99</v>
      </c>
      <c r="F672" t="s">
        <v>93</v>
      </c>
      <c r="G672" t="s">
        <v>33</v>
      </c>
      <c r="H672">
        <v>22</v>
      </c>
      <c r="I672">
        <v>80</v>
      </c>
    </row>
    <row r="673" spans="1:9" x14ac:dyDescent="0.25">
      <c r="A673" s="5" t="str">
        <f>TrendSheetPrdData[[#This Row],[Population]]&amp;TrendSheetPrdData[[#This Row],[Cost Basis]]&amp;TrendSheetPrdData[[#This Row],[Period]]&amp;TrendSheetPrdData[[#This Row],[Trend]]</f>
        <v>BAYVIEW EMPLOYEEPaid2016-10-01Ancillary Claim Count</v>
      </c>
      <c r="B673" t="s">
        <v>127</v>
      </c>
      <c r="C673" t="s">
        <v>127</v>
      </c>
      <c r="D673" t="s">
        <v>78</v>
      </c>
      <c r="E673" s="1" t="s">
        <v>100</v>
      </c>
      <c r="F673" t="s">
        <v>93</v>
      </c>
      <c r="G673" t="s">
        <v>33</v>
      </c>
      <c r="H673">
        <v>22</v>
      </c>
      <c r="I673">
        <v>63</v>
      </c>
    </row>
    <row r="674" spans="1:9" x14ac:dyDescent="0.25">
      <c r="A674" s="5" t="str">
        <f>TrendSheetPrdData[[#This Row],[Population]]&amp;TrendSheetPrdData[[#This Row],[Cost Basis]]&amp;TrendSheetPrdData[[#This Row],[Period]]&amp;TrendSheetPrdData[[#This Row],[Trend]]</f>
        <v>BAYVIEW EMPLOYEEPaid2016-11-01Ancillary Claim Count</v>
      </c>
      <c r="B674" t="s">
        <v>127</v>
      </c>
      <c r="C674" t="s">
        <v>127</v>
      </c>
      <c r="D674" t="s">
        <v>78</v>
      </c>
      <c r="E674" s="1" t="s">
        <v>101</v>
      </c>
      <c r="F674" t="s">
        <v>106</v>
      </c>
      <c r="G674" t="s">
        <v>33</v>
      </c>
      <c r="H674">
        <v>22</v>
      </c>
      <c r="I674">
        <v>67</v>
      </c>
    </row>
    <row r="675" spans="1:9" x14ac:dyDescent="0.25">
      <c r="A675" s="5" t="str">
        <f>TrendSheetPrdData[[#This Row],[Population]]&amp;TrendSheetPrdData[[#This Row],[Cost Basis]]&amp;TrendSheetPrdData[[#This Row],[Period]]&amp;TrendSheetPrdData[[#This Row],[Trend]]</f>
        <v>BAYVIEW EMPLOYEEPaid2016-12-01Ancillary Claim Count</v>
      </c>
      <c r="B675" t="s">
        <v>127</v>
      </c>
      <c r="C675" t="s">
        <v>127</v>
      </c>
      <c r="D675" t="s">
        <v>78</v>
      </c>
      <c r="E675" s="1" t="s">
        <v>102</v>
      </c>
      <c r="F675" t="s">
        <v>106</v>
      </c>
      <c r="G675" t="s">
        <v>33</v>
      </c>
      <c r="H675">
        <v>22</v>
      </c>
      <c r="I675">
        <v>45</v>
      </c>
    </row>
    <row r="676" spans="1:9" x14ac:dyDescent="0.25">
      <c r="A676" s="5" t="str">
        <f>TrendSheetPrdData[[#This Row],[Population]]&amp;TrendSheetPrdData[[#This Row],[Cost Basis]]&amp;TrendSheetPrdData[[#This Row],[Period]]&amp;TrendSheetPrdData[[#This Row],[Trend]]</f>
        <v>BAYVIEW EMPLOYEEPaid2017-01-01Ancillary Claim Count</v>
      </c>
      <c r="B676" t="s">
        <v>127</v>
      </c>
      <c r="C676" t="s">
        <v>127</v>
      </c>
      <c r="D676" t="s">
        <v>78</v>
      </c>
      <c r="E676" s="1" t="s">
        <v>103</v>
      </c>
      <c r="F676" t="s">
        <v>106</v>
      </c>
      <c r="G676" t="s">
        <v>33</v>
      </c>
      <c r="H676">
        <v>22</v>
      </c>
      <c r="I676">
        <v>10</v>
      </c>
    </row>
    <row r="677" spans="1:9" x14ac:dyDescent="0.25">
      <c r="A677" s="5" t="str">
        <f>TrendSheetPrdData[[#This Row],[Population]]&amp;TrendSheetPrdData[[#This Row],[Cost Basis]]&amp;TrendSheetPrdData[[#This Row],[Period]]&amp;TrendSheetPrdData[[#This Row],[Trend]]</f>
        <v>BAYVIEW EMPLOYEEPaid2015-11-01Drug Claim Count</v>
      </c>
      <c r="B677" t="s">
        <v>127</v>
      </c>
      <c r="C677" t="s">
        <v>127</v>
      </c>
      <c r="D677" t="s">
        <v>78</v>
      </c>
      <c r="E677" s="1" t="s">
        <v>130</v>
      </c>
      <c r="F677" t="s">
        <v>93</v>
      </c>
      <c r="G677" t="s">
        <v>34</v>
      </c>
      <c r="H677">
        <v>23</v>
      </c>
      <c r="I677">
        <v>954</v>
      </c>
    </row>
    <row r="678" spans="1:9" x14ac:dyDescent="0.25">
      <c r="A678" s="5" t="str">
        <f>TrendSheetPrdData[[#This Row],[Population]]&amp;TrendSheetPrdData[[#This Row],[Cost Basis]]&amp;TrendSheetPrdData[[#This Row],[Period]]&amp;TrendSheetPrdData[[#This Row],[Trend]]</f>
        <v>BAYVIEW EMPLOYEEPaid2015-12-01Drug Claim Count</v>
      </c>
      <c r="B678" t="s">
        <v>127</v>
      </c>
      <c r="C678" t="s">
        <v>127</v>
      </c>
      <c r="D678" t="s">
        <v>78</v>
      </c>
      <c r="E678" s="1" t="s">
        <v>131</v>
      </c>
      <c r="F678" t="s">
        <v>93</v>
      </c>
      <c r="G678" t="s">
        <v>34</v>
      </c>
      <c r="H678">
        <v>23</v>
      </c>
      <c r="I678">
        <v>1037</v>
      </c>
    </row>
    <row r="679" spans="1:9" x14ac:dyDescent="0.25">
      <c r="A679" s="5" t="str">
        <f>TrendSheetPrdData[[#This Row],[Population]]&amp;TrendSheetPrdData[[#This Row],[Cost Basis]]&amp;TrendSheetPrdData[[#This Row],[Period]]&amp;TrendSheetPrdData[[#This Row],[Trend]]</f>
        <v>BAYVIEW EMPLOYEEPaid2016-01-01Drug Claim Count</v>
      </c>
      <c r="B679" t="s">
        <v>127</v>
      </c>
      <c r="C679" t="s">
        <v>127</v>
      </c>
      <c r="D679" t="s">
        <v>78</v>
      </c>
      <c r="E679" s="1" t="s">
        <v>132</v>
      </c>
      <c r="F679" t="s">
        <v>93</v>
      </c>
      <c r="G679" t="s">
        <v>34</v>
      </c>
      <c r="H679">
        <v>23</v>
      </c>
      <c r="I679">
        <v>1167</v>
      </c>
    </row>
    <row r="680" spans="1:9" x14ac:dyDescent="0.25">
      <c r="A680" s="5" t="str">
        <f>TrendSheetPrdData[[#This Row],[Population]]&amp;TrendSheetPrdData[[#This Row],[Cost Basis]]&amp;TrendSheetPrdData[[#This Row],[Period]]&amp;TrendSheetPrdData[[#This Row],[Trend]]</f>
        <v>BAYVIEW EMPLOYEEPaid2016-02-01Drug Claim Count</v>
      </c>
      <c r="B680" t="s">
        <v>127</v>
      </c>
      <c r="C680" t="s">
        <v>127</v>
      </c>
      <c r="D680" t="s">
        <v>78</v>
      </c>
      <c r="E680" s="1" t="s">
        <v>133</v>
      </c>
      <c r="F680" t="s">
        <v>93</v>
      </c>
      <c r="G680" t="s">
        <v>34</v>
      </c>
      <c r="H680">
        <v>23</v>
      </c>
      <c r="I680">
        <v>1507</v>
      </c>
    </row>
    <row r="681" spans="1:9" x14ac:dyDescent="0.25">
      <c r="A681" s="5" t="str">
        <f>TrendSheetPrdData[[#This Row],[Population]]&amp;TrendSheetPrdData[[#This Row],[Cost Basis]]&amp;TrendSheetPrdData[[#This Row],[Period]]&amp;TrendSheetPrdData[[#This Row],[Trend]]</f>
        <v>BAYVIEW EMPLOYEEPaid2016-03-01Drug Claim Count</v>
      </c>
      <c r="B681" t="s">
        <v>127</v>
      </c>
      <c r="C681" t="s">
        <v>127</v>
      </c>
      <c r="D681" t="s">
        <v>78</v>
      </c>
      <c r="E681" s="1" t="s">
        <v>92</v>
      </c>
      <c r="F681" t="s">
        <v>93</v>
      </c>
      <c r="G681" t="s">
        <v>34</v>
      </c>
      <c r="H681">
        <v>23</v>
      </c>
      <c r="I681">
        <v>1620</v>
      </c>
    </row>
    <row r="682" spans="1:9" x14ac:dyDescent="0.25">
      <c r="A682" s="5" t="str">
        <f>TrendSheetPrdData[[#This Row],[Population]]&amp;TrendSheetPrdData[[#This Row],[Cost Basis]]&amp;TrendSheetPrdData[[#This Row],[Period]]&amp;TrendSheetPrdData[[#This Row],[Trend]]</f>
        <v>BAYVIEW EMPLOYEEPaid2016-04-01Drug Claim Count</v>
      </c>
      <c r="B682" t="s">
        <v>127</v>
      </c>
      <c r="C682" t="s">
        <v>127</v>
      </c>
      <c r="D682" t="s">
        <v>78</v>
      </c>
      <c r="E682" s="1" t="s">
        <v>94</v>
      </c>
      <c r="F682" t="s">
        <v>93</v>
      </c>
      <c r="G682" t="s">
        <v>34</v>
      </c>
      <c r="H682">
        <v>23</v>
      </c>
      <c r="I682">
        <v>1547</v>
      </c>
    </row>
    <row r="683" spans="1:9" x14ac:dyDescent="0.25">
      <c r="A683" s="5" t="str">
        <f>TrendSheetPrdData[[#This Row],[Population]]&amp;TrendSheetPrdData[[#This Row],[Cost Basis]]&amp;TrendSheetPrdData[[#This Row],[Period]]&amp;TrendSheetPrdData[[#This Row],[Trend]]</f>
        <v>BAYVIEW EMPLOYEEPaid2016-05-01Drug Claim Count</v>
      </c>
      <c r="B683" t="s">
        <v>127</v>
      </c>
      <c r="C683" t="s">
        <v>127</v>
      </c>
      <c r="D683" t="s">
        <v>78</v>
      </c>
      <c r="E683" s="1" t="s">
        <v>95</v>
      </c>
      <c r="F683" t="s">
        <v>93</v>
      </c>
      <c r="G683" t="s">
        <v>34</v>
      </c>
      <c r="H683">
        <v>23</v>
      </c>
      <c r="I683">
        <v>1497</v>
      </c>
    </row>
    <row r="684" spans="1:9" x14ac:dyDescent="0.25">
      <c r="A684" s="5" t="str">
        <f>TrendSheetPrdData[[#This Row],[Population]]&amp;TrendSheetPrdData[[#This Row],[Cost Basis]]&amp;TrendSheetPrdData[[#This Row],[Period]]&amp;TrendSheetPrdData[[#This Row],[Trend]]</f>
        <v>BAYVIEW EMPLOYEEPaid2016-06-01Drug Claim Count</v>
      </c>
      <c r="B684" t="s">
        <v>127</v>
      </c>
      <c r="C684" t="s">
        <v>127</v>
      </c>
      <c r="D684" t="s">
        <v>78</v>
      </c>
      <c r="E684" s="1" t="s">
        <v>96</v>
      </c>
      <c r="F684" t="s">
        <v>93</v>
      </c>
      <c r="G684" t="s">
        <v>34</v>
      </c>
      <c r="H684">
        <v>23</v>
      </c>
      <c r="I684">
        <v>1309</v>
      </c>
    </row>
    <row r="685" spans="1:9" x14ac:dyDescent="0.25">
      <c r="A685" s="5" t="str">
        <f>TrendSheetPrdData[[#This Row],[Population]]&amp;TrendSheetPrdData[[#This Row],[Cost Basis]]&amp;TrendSheetPrdData[[#This Row],[Period]]&amp;TrendSheetPrdData[[#This Row],[Trend]]</f>
        <v>BAYVIEW EMPLOYEEPaid2016-07-01Drug Claim Count</v>
      </c>
      <c r="B685" t="s">
        <v>127</v>
      </c>
      <c r="C685" t="s">
        <v>127</v>
      </c>
      <c r="D685" t="s">
        <v>78</v>
      </c>
      <c r="E685" s="1" t="s">
        <v>97</v>
      </c>
      <c r="F685" t="s">
        <v>93</v>
      </c>
      <c r="G685" t="s">
        <v>34</v>
      </c>
      <c r="H685">
        <v>23</v>
      </c>
      <c r="I685">
        <v>1285</v>
      </c>
    </row>
    <row r="686" spans="1:9" x14ac:dyDescent="0.25">
      <c r="A686" s="5" t="str">
        <f>TrendSheetPrdData[[#This Row],[Population]]&amp;TrendSheetPrdData[[#This Row],[Cost Basis]]&amp;TrendSheetPrdData[[#This Row],[Period]]&amp;TrendSheetPrdData[[#This Row],[Trend]]</f>
        <v>BAYVIEW EMPLOYEEPaid2016-08-01Drug Claim Count</v>
      </c>
      <c r="B686" t="s">
        <v>127</v>
      </c>
      <c r="C686" t="s">
        <v>127</v>
      </c>
      <c r="D686" t="s">
        <v>78</v>
      </c>
      <c r="E686" s="1" t="s">
        <v>98</v>
      </c>
      <c r="F686" t="s">
        <v>93</v>
      </c>
      <c r="G686" t="s">
        <v>34</v>
      </c>
      <c r="H686">
        <v>23</v>
      </c>
      <c r="I686">
        <v>1372</v>
      </c>
    </row>
    <row r="687" spans="1:9" x14ac:dyDescent="0.25">
      <c r="A687" s="5" t="str">
        <f>TrendSheetPrdData[[#This Row],[Population]]&amp;TrendSheetPrdData[[#This Row],[Cost Basis]]&amp;TrendSheetPrdData[[#This Row],[Period]]&amp;TrendSheetPrdData[[#This Row],[Trend]]</f>
        <v>BAYVIEW EMPLOYEEPaid2016-09-01Drug Claim Count</v>
      </c>
      <c r="B687" t="s">
        <v>127</v>
      </c>
      <c r="C687" t="s">
        <v>127</v>
      </c>
      <c r="D687" t="s">
        <v>78</v>
      </c>
      <c r="E687" s="1" t="s">
        <v>99</v>
      </c>
      <c r="F687" t="s">
        <v>93</v>
      </c>
      <c r="G687" t="s">
        <v>34</v>
      </c>
      <c r="H687">
        <v>23</v>
      </c>
      <c r="I687">
        <v>1355</v>
      </c>
    </row>
    <row r="688" spans="1:9" x14ac:dyDescent="0.25">
      <c r="A688" s="5" t="str">
        <f>TrendSheetPrdData[[#This Row],[Population]]&amp;TrendSheetPrdData[[#This Row],[Cost Basis]]&amp;TrendSheetPrdData[[#This Row],[Period]]&amp;TrendSheetPrdData[[#This Row],[Trend]]</f>
        <v>BAYVIEW EMPLOYEEPaid2016-10-01Drug Claim Count</v>
      </c>
      <c r="B688" t="s">
        <v>127</v>
      </c>
      <c r="C688" t="s">
        <v>127</v>
      </c>
      <c r="D688" t="s">
        <v>78</v>
      </c>
      <c r="E688" s="1" t="s">
        <v>100</v>
      </c>
      <c r="F688" t="s">
        <v>93</v>
      </c>
      <c r="G688" t="s">
        <v>34</v>
      </c>
      <c r="H688">
        <v>23</v>
      </c>
      <c r="I688">
        <v>1428</v>
      </c>
    </row>
    <row r="689" spans="1:9" x14ac:dyDescent="0.25">
      <c r="A689" s="5" t="str">
        <f>TrendSheetPrdData[[#This Row],[Population]]&amp;TrendSheetPrdData[[#This Row],[Cost Basis]]&amp;TrendSheetPrdData[[#This Row],[Period]]&amp;TrendSheetPrdData[[#This Row],[Trend]]</f>
        <v>BAYVIEW EMPLOYEEPaid2016-11-01Drug Claim Count</v>
      </c>
      <c r="B689" t="s">
        <v>127</v>
      </c>
      <c r="C689" t="s">
        <v>127</v>
      </c>
      <c r="D689" t="s">
        <v>78</v>
      </c>
      <c r="E689" s="1" t="s">
        <v>101</v>
      </c>
      <c r="F689" t="s">
        <v>106</v>
      </c>
      <c r="G689" t="s">
        <v>34</v>
      </c>
      <c r="H689">
        <v>23</v>
      </c>
      <c r="I689">
        <v>1412</v>
      </c>
    </row>
    <row r="690" spans="1:9" x14ac:dyDescent="0.25">
      <c r="A690" s="5" t="str">
        <f>TrendSheetPrdData[[#This Row],[Population]]&amp;TrendSheetPrdData[[#This Row],[Cost Basis]]&amp;TrendSheetPrdData[[#This Row],[Period]]&amp;TrendSheetPrdData[[#This Row],[Trend]]</f>
        <v>BAYVIEW EMPLOYEEPaid2016-12-01Drug Claim Count</v>
      </c>
      <c r="B690" t="s">
        <v>127</v>
      </c>
      <c r="C690" t="s">
        <v>127</v>
      </c>
      <c r="D690" t="s">
        <v>78</v>
      </c>
      <c r="E690" s="1" t="s">
        <v>102</v>
      </c>
      <c r="F690" t="s">
        <v>106</v>
      </c>
      <c r="G690" t="s">
        <v>34</v>
      </c>
      <c r="H690">
        <v>23</v>
      </c>
      <c r="I690">
        <v>1546</v>
      </c>
    </row>
    <row r="691" spans="1:9" x14ac:dyDescent="0.25">
      <c r="A691" s="5" t="str">
        <f>TrendSheetPrdData[[#This Row],[Population]]&amp;TrendSheetPrdData[[#This Row],[Cost Basis]]&amp;TrendSheetPrdData[[#This Row],[Period]]&amp;TrendSheetPrdData[[#This Row],[Trend]]</f>
        <v>BAYVIEW EMPLOYEEPaid2017-01-01Drug Claim Count</v>
      </c>
      <c r="B691" t="s">
        <v>127</v>
      </c>
      <c r="C691" t="s">
        <v>127</v>
      </c>
      <c r="D691" t="s">
        <v>78</v>
      </c>
      <c r="E691" s="1" t="s">
        <v>103</v>
      </c>
      <c r="F691" t="s">
        <v>106</v>
      </c>
      <c r="G691" t="s">
        <v>34</v>
      </c>
      <c r="H691">
        <v>23</v>
      </c>
      <c r="I691">
        <v>1053</v>
      </c>
    </row>
    <row r="692" spans="1:9" x14ac:dyDescent="0.25">
      <c r="A692" s="5" t="str">
        <f>TrendSheetPrdData[[#This Row],[Population]]&amp;TrendSheetPrdData[[#This Row],[Cost Basis]]&amp;TrendSheetPrdData[[#This Row],[Period]]&amp;TrendSheetPrdData[[#This Row],[Trend]]</f>
        <v>CHESAPEAKE EMPLOYEEAllowed2016-02-01Medical PMPM</v>
      </c>
      <c r="B692" t="s">
        <v>90</v>
      </c>
      <c r="C692" t="s">
        <v>90</v>
      </c>
      <c r="D692" t="s">
        <v>91</v>
      </c>
      <c r="E692" s="1" t="s">
        <v>133</v>
      </c>
      <c r="F692" t="s">
        <v>93</v>
      </c>
      <c r="G692" t="s">
        <v>12</v>
      </c>
      <c r="H692">
        <v>1</v>
      </c>
      <c r="I692">
        <v>254.4</v>
      </c>
    </row>
    <row r="693" spans="1:9" x14ac:dyDescent="0.25">
      <c r="A693" s="5" t="str">
        <f>TrendSheetPrdData[[#This Row],[Population]]&amp;TrendSheetPrdData[[#This Row],[Cost Basis]]&amp;TrendSheetPrdData[[#This Row],[Period]]&amp;TrendSheetPrdData[[#This Row],[Trend]]</f>
        <v>CHESAPEAKE EMPLOYEEAllowed2016-03-01Medical PMPM</v>
      </c>
      <c r="B693" t="s">
        <v>90</v>
      </c>
      <c r="C693" t="s">
        <v>90</v>
      </c>
      <c r="D693" t="s">
        <v>91</v>
      </c>
      <c r="E693" s="1" t="s">
        <v>92</v>
      </c>
      <c r="F693" t="s">
        <v>93</v>
      </c>
      <c r="G693" t="s">
        <v>12</v>
      </c>
      <c r="H693">
        <v>1</v>
      </c>
      <c r="I693">
        <v>381.69</v>
      </c>
    </row>
    <row r="694" spans="1:9" x14ac:dyDescent="0.25">
      <c r="A694" s="5" t="str">
        <f>TrendSheetPrdData[[#This Row],[Population]]&amp;TrendSheetPrdData[[#This Row],[Cost Basis]]&amp;TrendSheetPrdData[[#This Row],[Period]]&amp;TrendSheetPrdData[[#This Row],[Trend]]</f>
        <v>CHESAPEAKE EMPLOYEEAllowed2016-04-01Medical PMPM</v>
      </c>
      <c r="B694" t="s">
        <v>90</v>
      </c>
      <c r="C694" t="s">
        <v>90</v>
      </c>
      <c r="D694" t="s">
        <v>91</v>
      </c>
      <c r="E694" s="1" t="s">
        <v>94</v>
      </c>
      <c r="F694" t="s">
        <v>93</v>
      </c>
      <c r="G694" t="s">
        <v>12</v>
      </c>
      <c r="H694">
        <v>1</v>
      </c>
      <c r="I694">
        <v>401.11</v>
      </c>
    </row>
    <row r="695" spans="1:9" x14ac:dyDescent="0.25">
      <c r="A695" s="5" t="str">
        <f>TrendSheetPrdData[[#This Row],[Population]]&amp;TrendSheetPrdData[[#This Row],[Cost Basis]]&amp;TrendSheetPrdData[[#This Row],[Period]]&amp;TrendSheetPrdData[[#This Row],[Trend]]</f>
        <v>CHESAPEAKE EMPLOYEEAllowed2016-05-01Medical PMPM</v>
      </c>
      <c r="B695" t="s">
        <v>90</v>
      </c>
      <c r="C695" t="s">
        <v>90</v>
      </c>
      <c r="D695" t="s">
        <v>91</v>
      </c>
      <c r="E695" s="1" t="s">
        <v>95</v>
      </c>
      <c r="F695" t="s">
        <v>93</v>
      </c>
      <c r="G695" t="s">
        <v>12</v>
      </c>
      <c r="H695">
        <v>1</v>
      </c>
      <c r="I695">
        <v>394.58</v>
      </c>
    </row>
    <row r="696" spans="1:9" x14ac:dyDescent="0.25">
      <c r="A696" s="5" t="str">
        <f>TrendSheetPrdData[[#This Row],[Population]]&amp;TrendSheetPrdData[[#This Row],[Cost Basis]]&amp;TrendSheetPrdData[[#This Row],[Period]]&amp;TrendSheetPrdData[[#This Row],[Trend]]</f>
        <v>CHESAPEAKE EMPLOYEEAllowed2016-06-01Medical PMPM</v>
      </c>
      <c r="B696" t="s">
        <v>90</v>
      </c>
      <c r="C696" t="s">
        <v>90</v>
      </c>
      <c r="D696" t="s">
        <v>91</v>
      </c>
      <c r="E696" s="1" t="s">
        <v>96</v>
      </c>
      <c r="F696" t="s">
        <v>93</v>
      </c>
      <c r="G696" t="s">
        <v>12</v>
      </c>
      <c r="H696">
        <v>1</v>
      </c>
      <c r="I696">
        <v>403.52</v>
      </c>
    </row>
    <row r="697" spans="1:9" x14ac:dyDescent="0.25">
      <c r="A697" s="5" t="str">
        <f>TrendSheetPrdData[[#This Row],[Population]]&amp;TrendSheetPrdData[[#This Row],[Cost Basis]]&amp;TrendSheetPrdData[[#This Row],[Period]]&amp;TrendSheetPrdData[[#This Row],[Trend]]</f>
        <v>CHESAPEAKE EMPLOYEEAllowed2016-07-01Medical PMPM</v>
      </c>
      <c r="B697" t="s">
        <v>90</v>
      </c>
      <c r="C697" t="s">
        <v>90</v>
      </c>
      <c r="D697" t="s">
        <v>91</v>
      </c>
      <c r="E697" s="1" t="s">
        <v>97</v>
      </c>
      <c r="F697" t="s">
        <v>93</v>
      </c>
      <c r="G697" t="s">
        <v>12</v>
      </c>
      <c r="H697">
        <v>1</v>
      </c>
      <c r="I697">
        <v>377.99</v>
      </c>
    </row>
    <row r="698" spans="1:9" x14ac:dyDescent="0.25">
      <c r="A698" s="5" t="str">
        <f>TrendSheetPrdData[[#This Row],[Population]]&amp;TrendSheetPrdData[[#This Row],[Cost Basis]]&amp;TrendSheetPrdData[[#This Row],[Period]]&amp;TrendSheetPrdData[[#This Row],[Trend]]</f>
        <v>CHESAPEAKE EMPLOYEEAllowed2016-08-01Medical PMPM</v>
      </c>
      <c r="B698" t="s">
        <v>90</v>
      </c>
      <c r="C698" t="s">
        <v>90</v>
      </c>
      <c r="D698" t="s">
        <v>91</v>
      </c>
      <c r="E698" s="1" t="s">
        <v>98</v>
      </c>
      <c r="F698" t="s">
        <v>93</v>
      </c>
      <c r="G698" t="s">
        <v>12</v>
      </c>
      <c r="H698">
        <v>1</v>
      </c>
      <c r="I698">
        <v>259.79000000000002</v>
      </c>
    </row>
    <row r="699" spans="1:9" x14ac:dyDescent="0.25">
      <c r="A699" s="5" t="str">
        <f>TrendSheetPrdData[[#This Row],[Population]]&amp;TrendSheetPrdData[[#This Row],[Cost Basis]]&amp;TrendSheetPrdData[[#This Row],[Period]]&amp;TrendSheetPrdData[[#This Row],[Trend]]</f>
        <v>CHESAPEAKE EMPLOYEEAllowed2016-09-01Medical PMPM</v>
      </c>
      <c r="B699" t="s">
        <v>90</v>
      </c>
      <c r="C699" t="s">
        <v>90</v>
      </c>
      <c r="D699" t="s">
        <v>91</v>
      </c>
      <c r="E699" s="1" t="s">
        <v>99</v>
      </c>
      <c r="F699" t="s">
        <v>93</v>
      </c>
      <c r="G699" t="s">
        <v>12</v>
      </c>
      <c r="H699">
        <v>1</v>
      </c>
      <c r="I699">
        <v>270.61</v>
      </c>
    </row>
    <row r="700" spans="1:9" x14ac:dyDescent="0.25">
      <c r="A700" s="5" t="str">
        <f>TrendSheetPrdData[[#This Row],[Population]]&amp;TrendSheetPrdData[[#This Row],[Cost Basis]]&amp;TrendSheetPrdData[[#This Row],[Period]]&amp;TrendSheetPrdData[[#This Row],[Trend]]</f>
        <v>CHESAPEAKE EMPLOYEEAllowed2016-10-01Medical PMPM</v>
      </c>
      <c r="B700" t="s">
        <v>90</v>
      </c>
      <c r="C700" t="s">
        <v>90</v>
      </c>
      <c r="D700" t="s">
        <v>91</v>
      </c>
      <c r="E700" s="1" t="s">
        <v>100</v>
      </c>
      <c r="F700" t="s">
        <v>93</v>
      </c>
      <c r="G700" t="s">
        <v>12</v>
      </c>
      <c r="H700">
        <v>1</v>
      </c>
      <c r="I700">
        <v>371.32</v>
      </c>
    </row>
    <row r="701" spans="1:9" x14ac:dyDescent="0.25">
      <c r="A701" s="5" t="str">
        <f>TrendSheetPrdData[[#This Row],[Population]]&amp;TrendSheetPrdData[[#This Row],[Cost Basis]]&amp;TrendSheetPrdData[[#This Row],[Period]]&amp;TrendSheetPrdData[[#This Row],[Trend]]</f>
        <v>CHESAPEAKE EMPLOYEEAllowed2016-11-01Medical PMPM</v>
      </c>
      <c r="B701" t="s">
        <v>90</v>
      </c>
      <c r="C701" t="s">
        <v>90</v>
      </c>
      <c r="D701" t="s">
        <v>91</v>
      </c>
      <c r="E701" s="1" t="s">
        <v>101</v>
      </c>
      <c r="F701" t="s">
        <v>93</v>
      </c>
      <c r="G701" t="s">
        <v>12</v>
      </c>
      <c r="H701">
        <v>1</v>
      </c>
      <c r="I701">
        <v>306.60000000000002</v>
      </c>
    </row>
    <row r="702" spans="1:9" x14ac:dyDescent="0.25">
      <c r="A702" s="5" t="str">
        <f>TrendSheetPrdData[[#This Row],[Population]]&amp;TrendSheetPrdData[[#This Row],[Cost Basis]]&amp;TrendSheetPrdData[[#This Row],[Period]]&amp;TrendSheetPrdData[[#This Row],[Trend]]</f>
        <v>CHESAPEAKE EMPLOYEEAllowed2016-12-01Medical PMPM</v>
      </c>
      <c r="B702" t="s">
        <v>90</v>
      </c>
      <c r="C702" t="s">
        <v>90</v>
      </c>
      <c r="D702" t="s">
        <v>91</v>
      </c>
      <c r="E702" s="1" t="s">
        <v>102</v>
      </c>
      <c r="F702" t="s">
        <v>93</v>
      </c>
      <c r="G702" t="s">
        <v>12</v>
      </c>
      <c r="H702">
        <v>1</v>
      </c>
      <c r="I702">
        <v>298.95999999999998</v>
      </c>
    </row>
    <row r="703" spans="1:9" x14ac:dyDescent="0.25">
      <c r="A703" s="5" t="str">
        <f>TrendSheetPrdData[[#This Row],[Population]]&amp;TrendSheetPrdData[[#This Row],[Cost Basis]]&amp;TrendSheetPrdData[[#This Row],[Period]]&amp;TrendSheetPrdData[[#This Row],[Trend]]</f>
        <v>CHESAPEAKE EMPLOYEEAllowed2017-01-01Medical PMPM</v>
      </c>
      <c r="B703" t="s">
        <v>90</v>
      </c>
      <c r="C703" t="s">
        <v>90</v>
      </c>
      <c r="D703" t="s">
        <v>91</v>
      </c>
      <c r="E703" s="1" t="s">
        <v>103</v>
      </c>
      <c r="F703" t="s">
        <v>93</v>
      </c>
      <c r="G703" t="s">
        <v>12</v>
      </c>
      <c r="H703">
        <v>1</v>
      </c>
      <c r="I703">
        <v>233.66</v>
      </c>
    </row>
    <row r="704" spans="1:9" x14ac:dyDescent="0.25">
      <c r="A704" s="5" t="str">
        <f>TrendSheetPrdData[[#This Row],[Population]]&amp;TrendSheetPrdData[[#This Row],[Cost Basis]]&amp;TrendSheetPrdData[[#This Row],[Period]]&amp;TrendSheetPrdData[[#This Row],[Trend]]</f>
        <v>CHESAPEAKE EMPLOYEEAllowed2017-02-01Medical PMPM</v>
      </c>
      <c r="B704" t="s">
        <v>90</v>
      </c>
      <c r="C704" t="s">
        <v>90</v>
      </c>
      <c r="D704" t="s">
        <v>91</v>
      </c>
      <c r="E704" s="1" t="s">
        <v>104</v>
      </c>
      <c r="F704" t="s">
        <v>106</v>
      </c>
      <c r="G704" t="s">
        <v>12</v>
      </c>
      <c r="H704">
        <v>1</v>
      </c>
      <c r="I704">
        <v>231.97</v>
      </c>
    </row>
    <row r="705" spans="1:9" x14ac:dyDescent="0.25">
      <c r="A705" s="5" t="str">
        <f>TrendSheetPrdData[[#This Row],[Population]]&amp;TrendSheetPrdData[[#This Row],[Cost Basis]]&amp;TrendSheetPrdData[[#This Row],[Period]]&amp;TrendSheetPrdData[[#This Row],[Trend]]</f>
        <v>CHESAPEAKE EMPLOYEEAllowed2017-03-01Medical PMPM</v>
      </c>
      <c r="B705" t="s">
        <v>90</v>
      </c>
      <c r="C705" t="s">
        <v>90</v>
      </c>
      <c r="D705" t="s">
        <v>91</v>
      </c>
      <c r="E705" s="1" t="s">
        <v>105</v>
      </c>
      <c r="F705" t="s">
        <v>106</v>
      </c>
      <c r="G705" t="s">
        <v>12</v>
      </c>
      <c r="H705">
        <v>1</v>
      </c>
      <c r="I705">
        <v>264.87</v>
      </c>
    </row>
    <row r="706" spans="1:9" x14ac:dyDescent="0.25">
      <c r="A706" s="5" t="str">
        <f>TrendSheetPrdData[[#This Row],[Population]]&amp;TrendSheetPrdData[[#This Row],[Cost Basis]]&amp;TrendSheetPrdData[[#This Row],[Period]]&amp;TrendSheetPrdData[[#This Row],[Trend]]</f>
        <v>CHESAPEAKE EMPLOYEEAllowed2017-04-01Medical PMPM</v>
      </c>
      <c r="B706" t="s">
        <v>90</v>
      </c>
      <c r="C706" t="s">
        <v>90</v>
      </c>
      <c r="D706" t="s">
        <v>91</v>
      </c>
      <c r="E706" s="1" t="s">
        <v>107</v>
      </c>
      <c r="F706" t="s">
        <v>106</v>
      </c>
      <c r="G706" t="s">
        <v>12</v>
      </c>
      <c r="H706">
        <v>1</v>
      </c>
      <c r="I706">
        <v>74.290000000000006</v>
      </c>
    </row>
    <row r="707" spans="1:9" x14ac:dyDescent="0.25">
      <c r="A707" s="5" t="str">
        <f>TrendSheetPrdData[[#This Row],[Population]]&amp;TrendSheetPrdData[[#This Row],[Cost Basis]]&amp;TrendSheetPrdData[[#This Row],[Period]]&amp;TrendSheetPrdData[[#This Row],[Trend]]</f>
        <v>CHESAPEAKE EMPLOYEEAllowed2016-02-01Drug PMPM</v>
      </c>
      <c r="B707" t="s">
        <v>90</v>
      </c>
      <c r="C707" t="s">
        <v>90</v>
      </c>
      <c r="D707" t="s">
        <v>91</v>
      </c>
      <c r="E707" s="1" t="s">
        <v>133</v>
      </c>
      <c r="F707" t="s">
        <v>93</v>
      </c>
      <c r="G707" t="s">
        <v>13</v>
      </c>
      <c r="H707">
        <v>2</v>
      </c>
      <c r="I707">
        <v>118.48</v>
      </c>
    </row>
    <row r="708" spans="1:9" x14ac:dyDescent="0.25">
      <c r="A708" s="5" t="str">
        <f>TrendSheetPrdData[[#This Row],[Population]]&amp;TrendSheetPrdData[[#This Row],[Cost Basis]]&amp;TrendSheetPrdData[[#This Row],[Period]]&amp;TrendSheetPrdData[[#This Row],[Trend]]</f>
        <v>CHESAPEAKE EMPLOYEEAllowed2016-03-01Drug PMPM</v>
      </c>
      <c r="B708" t="s">
        <v>90</v>
      </c>
      <c r="C708" t="s">
        <v>90</v>
      </c>
      <c r="D708" t="s">
        <v>91</v>
      </c>
      <c r="E708" s="1" t="s">
        <v>92</v>
      </c>
      <c r="F708" t="s">
        <v>93</v>
      </c>
      <c r="G708" t="s">
        <v>13</v>
      </c>
      <c r="H708">
        <v>2</v>
      </c>
      <c r="I708">
        <v>114.94</v>
      </c>
    </row>
    <row r="709" spans="1:9" x14ac:dyDescent="0.25">
      <c r="A709" s="5" t="str">
        <f>TrendSheetPrdData[[#This Row],[Population]]&amp;TrendSheetPrdData[[#This Row],[Cost Basis]]&amp;TrendSheetPrdData[[#This Row],[Period]]&amp;TrendSheetPrdData[[#This Row],[Trend]]</f>
        <v>CHESAPEAKE EMPLOYEEAllowed2016-04-01Drug PMPM</v>
      </c>
      <c r="B709" t="s">
        <v>90</v>
      </c>
      <c r="C709" t="s">
        <v>90</v>
      </c>
      <c r="D709" t="s">
        <v>91</v>
      </c>
      <c r="E709" s="1" t="s">
        <v>94</v>
      </c>
      <c r="F709" t="s">
        <v>93</v>
      </c>
      <c r="G709" t="s">
        <v>13</v>
      </c>
      <c r="H709">
        <v>2</v>
      </c>
      <c r="I709">
        <v>152.34</v>
      </c>
    </row>
    <row r="710" spans="1:9" x14ac:dyDescent="0.25">
      <c r="A710" s="5" t="str">
        <f>TrendSheetPrdData[[#This Row],[Population]]&amp;TrendSheetPrdData[[#This Row],[Cost Basis]]&amp;TrendSheetPrdData[[#This Row],[Period]]&amp;TrendSheetPrdData[[#This Row],[Trend]]</f>
        <v>CHESAPEAKE EMPLOYEEAllowed2016-05-01Drug PMPM</v>
      </c>
      <c r="B710" t="s">
        <v>90</v>
      </c>
      <c r="C710" t="s">
        <v>90</v>
      </c>
      <c r="D710" t="s">
        <v>91</v>
      </c>
      <c r="E710" s="1" t="s">
        <v>95</v>
      </c>
      <c r="F710" t="s">
        <v>93</v>
      </c>
      <c r="G710" t="s">
        <v>13</v>
      </c>
      <c r="H710">
        <v>2</v>
      </c>
      <c r="I710">
        <v>169.62</v>
      </c>
    </row>
    <row r="711" spans="1:9" x14ac:dyDescent="0.25">
      <c r="A711" s="5" t="str">
        <f>TrendSheetPrdData[[#This Row],[Population]]&amp;TrendSheetPrdData[[#This Row],[Cost Basis]]&amp;TrendSheetPrdData[[#This Row],[Period]]&amp;TrendSheetPrdData[[#This Row],[Trend]]</f>
        <v>CHESAPEAKE EMPLOYEEAllowed2016-06-01Drug PMPM</v>
      </c>
      <c r="B711" t="s">
        <v>90</v>
      </c>
      <c r="C711" t="s">
        <v>90</v>
      </c>
      <c r="D711" t="s">
        <v>91</v>
      </c>
      <c r="E711" s="1" t="s">
        <v>96</v>
      </c>
      <c r="F711" t="s">
        <v>93</v>
      </c>
      <c r="G711" t="s">
        <v>13</v>
      </c>
      <c r="H711">
        <v>2</v>
      </c>
      <c r="I711">
        <v>132.4</v>
      </c>
    </row>
    <row r="712" spans="1:9" x14ac:dyDescent="0.25">
      <c r="A712" s="5" t="str">
        <f>TrendSheetPrdData[[#This Row],[Population]]&amp;TrendSheetPrdData[[#This Row],[Cost Basis]]&amp;TrendSheetPrdData[[#This Row],[Period]]&amp;TrendSheetPrdData[[#This Row],[Trend]]</f>
        <v>CHESAPEAKE EMPLOYEEAllowed2016-07-01Drug PMPM</v>
      </c>
      <c r="B712" t="s">
        <v>90</v>
      </c>
      <c r="C712" t="s">
        <v>90</v>
      </c>
      <c r="D712" t="s">
        <v>91</v>
      </c>
      <c r="E712" s="1" t="s">
        <v>97</v>
      </c>
      <c r="F712" t="s">
        <v>93</v>
      </c>
      <c r="G712" t="s">
        <v>13</v>
      </c>
      <c r="H712">
        <v>2</v>
      </c>
      <c r="I712">
        <v>130.30000000000001</v>
      </c>
    </row>
    <row r="713" spans="1:9" x14ac:dyDescent="0.25">
      <c r="A713" s="5" t="str">
        <f>TrendSheetPrdData[[#This Row],[Population]]&amp;TrendSheetPrdData[[#This Row],[Cost Basis]]&amp;TrendSheetPrdData[[#This Row],[Period]]&amp;TrendSheetPrdData[[#This Row],[Trend]]</f>
        <v>CHESAPEAKE EMPLOYEEAllowed2016-08-01Drug PMPM</v>
      </c>
      <c r="B713" t="s">
        <v>90</v>
      </c>
      <c r="C713" t="s">
        <v>90</v>
      </c>
      <c r="D713" t="s">
        <v>91</v>
      </c>
      <c r="E713" s="1" t="s">
        <v>98</v>
      </c>
      <c r="F713" t="s">
        <v>93</v>
      </c>
      <c r="G713" t="s">
        <v>13</v>
      </c>
      <c r="H713">
        <v>2</v>
      </c>
      <c r="I713">
        <v>132.72</v>
      </c>
    </row>
    <row r="714" spans="1:9" x14ac:dyDescent="0.25">
      <c r="A714" s="5" t="str">
        <f>TrendSheetPrdData[[#This Row],[Population]]&amp;TrendSheetPrdData[[#This Row],[Cost Basis]]&amp;TrendSheetPrdData[[#This Row],[Period]]&amp;TrendSheetPrdData[[#This Row],[Trend]]</f>
        <v>CHESAPEAKE EMPLOYEEAllowed2016-09-01Drug PMPM</v>
      </c>
      <c r="B714" t="s">
        <v>90</v>
      </c>
      <c r="C714" t="s">
        <v>90</v>
      </c>
      <c r="D714" t="s">
        <v>91</v>
      </c>
      <c r="E714" s="1" t="s">
        <v>99</v>
      </c>
      <c r="F714" t="s">
        <v>93</v>
      </c>
      <c r="G714" t="s">
        <v>13</v>
      </c>
      <c r="H714">
        <v>2</v>
      </c>
      <c r="I714">
        <v>124.25</v>
      </c>
    </row>
    <row r="715" spans="1:9" x14ac:dyDescent="0.25">
      <c r="A715" s="5" t="str">
        <f>TrendSheetPrdData[[#This Row],[Population]]&amp;TrendSheetPrdData[[#This Row],[Cost Basis]]&amp;TrendSheetPrdData[[#This Row],[Period]]&amp;TrendSheetPrdData[[#This Row],[Trend]]</f>
        <v>CHESAPEAKE EMPLOYEEAllowed2016-10-01Drug PMPM</v>
      </c>
      <c r="B715" t="s">
        <v>90</v>
      </c>
      <c r="C715" t="s">
        <v>90</v>
      </c>
      <c r="D715" t="s">
        <v>91</v>
      </c>
      <c r="E715" s="1" t="s">
        <v>100</v>
      </c>
      <c r="F715" t="s">
        <v>93</v>
      </c>
      <c r="G715" t="s">
        <v>13</v>
      </c>
      <c r="H715">
        <v>2</v>
      </c>
      <c r="I715">
        <v>125.1</v>
      </c>
    </row>
    <row r="716" spans="1:9" x14ac:dyDescent="0.25">
      <c r="A716" s="5" t="str">
        <f>TrendSheetPrdData[[#This Row],[Population]]&amp;TrendSheetPrdData[[#This Row],[Cost Basis]]&amp;TrendSheetPrdData[[#This Row],[Period]]&amp;TrendSheetPrdData[[#This Row],[Trend]]</f>
        <v>CHESAPEAKE EMPLOYEEAllowed2016-11-01Drug PMPM</v>
      </c>
      <c r="B716" t="s">
        <v>90</v>
      </c>
      <c r="C716" t="s">
        <v>90</v>
      </c>
      <c r="D716" t="s">
        <v>91</v>
      </c>
      <c r="E716" s="1" t="s">
        <v>101</v>
      </c>
      <c r="F716" t="s">
        <v>93</v>
      </c>
      <c r="G716" t="s">
        <v>13</v>
      </c>
      <c r="H716">
        <v>2</v>
      </c>
      <c r="I716">
        <v>131.1</v>
      </c>
    </row>
    <row r="717" spans="1:9" x14ac:dyDescent="0.25">
      <c r="A717" s="5" t="str">
        <f>TrendSheetPrdData[[#This Row],[Population]]&amp;TrendSheetPrdData[[#This Row],[Cost Basis]]&amp;TrendSheetPrdData[[#This Row],[Period]]&amp;TrendSheetPrdData[[#This Row],[Trend]]</f>
        <v>CHESAPEAKE EMPLOYEEAllowed2016-12-01Drug PMPM</v>
      </c>
      <c r="B717" t="s">
        <v>90</v>
      </c>
      <c r="C717" t="s">
        <v>90</v>
      </c>
      <c r="D717" t="s">
        <v>91</v>
      </c>
      <c r="E717" s="1" t="s">
        <v>102</v>
      </c>
      <c r="F717" t="s">
        <v>93</v>
      </c>
      <c r="G717" t="s">
        <v>13</v>
      </c>
      <c r="H717">
        <v>2</v>
      </c>
      <c r="I717">
        <v>138.79</v>
      </c>
    </row>
    <row r="718" spans="1:9" x14ac:dyDescent="0.25">
      <c r="A718" s="5" t="str">
        <f>TrendSheetPrdData[[#This Row],[Population]]&amp;TrendSheetPrdData[[#This Row],[Cost Basis]]&amp;TrendSheetPrdData[[#This Row],[Period]]&amp;TrendSheetPrdData[[#This Row],[Trend]]</f>
        <v>CHESAPEAKE EMPLOYEEAllowed2017-01-01Drug PMPM</v>
      </c>
      <c r="B718" t="s">
        <v>90</v>
      </c>
      <c r="C718" t="s">
        <v>90</v>
      </c>
      <c r="D718" t="s">
        <v>91</v>
      </c>
      <c r="E718" s="1" t="s">
        <v>103</v>
      </c>
      <c r="F718" t="s">
        <v>93</v>
      </c>
      <c r="G718" t="s">
        <v>13</v>
      </c>
      <c r="H718">
        <v>2</v>
      </c>
      <c r="I718">
        <v>108.71</v>
      </c>
    </row>
    <row r="719" spans="1:9" x14ac:dyDescent="0.25">
      <c r="A719" s="5" t="str">
        <f>TrendSheetPrdData[[#This Row],[Population]]&amp;TrendSheetPrdData[[#This Row],[Cost Basis]]&amp;TrendSheetPrdData[[#This Row],[Period]]&amp;TrendSheetPrdData[[#This Row],[Trend]]</f>
        <v>CHESAPEAKE EMPLOYEEAllowed2017-02-01Drug PMPM</v>
      </c>
      <c r="B719" t="s">
        <v>90</v>
      </c>
      <c r="C719" t="s">
        <v>90</v>
      </c>
      <c r="D719" t="s">
        <v>91</v>
      </c>
      <c r="E719" s="1" t="s">
        <v>104</v>
      </c>
      <c r="F719" t="s">
        <v>106</v>
      </c>
      <c r="G719" t="s">
        <v>13</v>
      </c>
      <c r="H719">
        <v>2</v>
      </c>
      <c r="I719">
        <v>127.13</v>
      </c>
    </row>
    <row r="720" spans="1:9" x14ac:dyDescent="0.25">
      <c r="A720" s="5" t="str">
        <f>TrendSheetPrdData[[#This Row],[Population]]&amp;TrendSheetPrdData[[#This Row],[Cost Basis]]&amp;TrendSheetPrdData[[#This Row],[Period]]&amp;TrendSheetPrdData[[#This Row],[Trend]]</f>
        <v>CHESAPEAKE EMPLOYEEAllowed2017-03-01Drug PMPM</v>
      </c>
      <c r="B720" t="s">
        <v>90</v>
      </c>
      <c r="C720" t="s">
        <v>90</v>
      </c>
      <c r="D720" t="s">
        <v>91</v>
      </c>
      <c r="E720" s="1" t="s">
        <v>105</v>
      </c>
      <c r="F720" t="s">
        <v>106</v>
      </c>
      <c r="G720" t="s">
        <v>13</v>
      </c>
      <c r="H720">
        <v>2</v>
      </c>
      <c r="I720">
        <v>135.82</v>
      </c>
    </row>
    <row r="721" spans="1:9" x14ac:dyDescent="0.25">
      <c r="A721" s="5" t="str">
        <f>TrendSheetPrdData[[#This Row],[Population]]&amp;TrendSheetPrdData[[#This Row],[Cost Basis]]&amp;TrendSheetPrdData[[#This Row],[Period]]&amp;TrendSheetPrdData[[#This Row],[Trend]]</f>
        <v>CHESAPEAKE EMPLOYEEAllowed2017-04-01Drug PMPM</v>
      </c>
      <c r="B721" t="s">
        <v>90</v>
      </c>
      <c r="C721" t="s">
        <v>90</v>
      </c>
      <c r="D721" t="s">
        <v>91</v>
      </c>
      <c r="E721" s="1" t="s">
        <v>107</v>
      </c>
      <c r="F721" t="s">
        <v>106</v>
      </c>
      <c r="G721" t="s">
        <v>13</v>
      </c>
      <c r="H721">
        <v>2</v>
      </c>
      <c r="I721">
        <v>98.92</v>
      </c>
    </row>
    <row r="722" spans="1:9" x14ac:dyDescent="0.25">
      <c r="A722" s="5" t="str">
        <f>TrendSheetPrdData[[#This Row],[Population]]&amp;TrendSheetPrdData[[#This Row],[Cost Basis]]&amp;TrendSheetPrdData[[#This Row],[Period]]&amp;TrendSheetPrdData[[#This Row],[Trend]]</f>
        <v>CHESAPEAKE EMPLOYEEAllowed2016-02-01Overall PMPM</v>
      </c>
      <c r="B722" t="s">
        <v>90</v>
      </c>
      <c r="C722" t="s">
        <v>90</v>
      </c>
      <c r="D722" t="s">
        <v>91</v>
      </c>
      <c r="E722" s="1" t="s">
        <v>133</v>
      </c>
      <c r="F722" t="s">
        <v>93</v>
      </c>
      <c r="G722" t="s">
        <v>14</v>
      </c>
      <c r="H722">
        <v>3</v>
      </c>
      <c r="I722">
        <v>372.88</v>
      </c>
    </row>
    <row r="723" spans="1:9" x14ac:dyDescent="0.25">
      <c r="A723" s="5" t="str">
        <f>TrendSheetPrdData[[#This Row],[Population]]&amp;TrendSheetPrdData[[#This Row],[Cost Basis]]&amp;TrendSheetPrdData[[#This Row],[Period]]&amp;TrendSheetPrdData[[#This Row],[Trend]]</f>
        <v>CHESAPEAKE EMPLOYEEAllowed2016-03-01Overall PMPM</v>
      </c>
      <c r="B723" t="s">
        <v>90</v>
      </c>
      <c r="C723" t="s">
        <v>90</v>
      </c>
      <c r="D723" t="s">
        <v>91</v>
      </c>
      <c r="E723" s="1" t="s">
        <v>92</v>
      </c>
      <c r="F723" t="s">
        <v>93</v>
      </c>
      <c r="G723" t="s">
        <v>14</v>
      </c>
      <c r="H723">
        <v>3</v>
      </c>
      <c r="I723">
        <v>496.63</v>
      </c>
    </row>
    <row r="724" spans="1:9" x14ac:dyDescent="0.25">
      <c r="A724" s="5" t="str">
        <f>TrendSheetPrdData[[#This Row],[Population]]&amp;TrendSheetPrdData[[#This Row],[Cost Basis]]&amp;TrendSheetPrdData[[#This Row],[Period]]&amp;TrendSheetPrdData[[#This Row],[Trend]]</f>
        <v>CHESAPEAKE EMPLOYEEAllowed2016-04-01Overall PMPM</v>
      </c>
      <c r="B724" t="s">
        <v>90</v>
      </c>
      <c r="C724" t="s">
        <v>90</v>
      </c>
      <c r="D724" t="s">
        <v>91</v>
      </c>
      <c r="E724" s="1" t="s">
        <v>94</v>
      </c>
      <c r="F724" t="s">
        <v>93</v>
      </c>
      <c r="G724" t="s">
        <v>14</v>
      </c>
      <c r="H724">
        <v>3</v>
      </c>
      <c r="I724">
        <v>553.45000000000005</v>
      </c>
    </row>
    <row r="725" spans="1:9" x14ac:dyDescent="0.25">
      <c r="A725" s="5" t="str">
        <f>TrendSheetPrdData[[#This Row],[Population]]&amp;TrendSheetPrdData[[#This Row],[Cost Basis]]&amp;TrendSheetPrdData[[#This Row],[Period]]&amp;TrendSheetPrdData[[#This Row],[Trend]]</f>
        <v>CHESAPEAKE EMPLOYEEAllowed2016-05-01Overall PMPM</v>
      </c>
      <c r="B725" t="s">
        <v>90</v>
      </c>
      <c r="C725" t="s">
        <v>90</v>
      </c>
      <c r="D725" t="s">
        <v>91</v>
      </c>
      <c r="E725" s="1" t="s">
        <v>95</v>
      </c>
      <c r="F725" t="s">
        <v>93</v>
      </c>
      <c r="G725" t="s">
        <v>14</v>
      </c>
      <c r="H725">
        <v>3</v>
      </c>
      <c r="I725">
        <v>564.20000000000005</v>
      </c>
    </row>
    <row r="726" spans="1:9" x14ac:dyDescent="0.25">
      <c r="A726" s="5" t="str">
        <f>TrendSheetPrdData[[#This Row],[Population]]&amp;TrendSheetPrdData[[#This Row],[Cost Basis]]&amp;TrendSheetPrdData[[#This Row],[Period]]&amp;TrendSheetPrdData[[#This Row],[Trend]]</f>
        <v>CHESAPEAKE EMPLOYEEAllowed2016-06-01Overall PMPM</v>
      </c>
      <c r="B726" t="s">
        <v>90</v>
      </c>
      <c r="C726" t="s">
        <v>90</v>
      </c>
      <c r="D726" t="s">
        <v>91</v>
      </c>
      <c r="E726" s="1" t="s">
        <v>96</v>
      </c>
      <c r="F726" t="s">
        <v>93</v>
      </c>
      <c r="G726" t="s">
        <v>14</v>
      </c>
      <c r="H726">
        <v>3</v>
      </c>
      <c r="I726">
        <v>535.91999999999996</v>
      </c>
    </row>
    <row r="727" spans="1:9" x14ac:dyDescent="0.25">
      <c r="A727" s="5" t="str">
        <f>TrendSheetPrdData[[#This Row],[Population]]&amp;TrendSheetPrdData[[#This Row],[Cost Basis]]&amp;TrendSheetPrdData[[#This Row],[Period]]&amp;TrendSheetPrdData[[#This Row],[Trend]]</f>
        <v>CHESAPEAKE EMPLOYEEAllowed2016-07-01Overall PMPM</v>
      </c>
      <c r="B727" t="s">
        <v>90</v>
      </c>
      <c r="C727" t="s">
        <v>90</v>
      </c>
      <c r="D727" t="s">
        <v>91</v>
      </c>
      <c r="E727" s="1" t="s">
        <v>97</v>
      </c>
      <c r="F727" t="s">
        <v>93</v>
      </c>
      <c r="G727" t="s">
        <v>14</v>
      </c>
      <c r="H727">
        <v>3</v>
      </c>
      <c r="I727">
        <v>508.29</v>
      </c>
    </row>
    <row r="728" spans="1:9" x14ac:dyDescent="0.25">
      <c r="A728" s="5" t="str">
        <f>TrendSheetPrdData[[#This Row],[Population]]&amp;TrendSheetPrdData[[#This Row],[Cost Basis]]&amp;TrendSheetPrdData[[#This Row],[Period]]&amp;TrendSheetPrdData[[#This Row],[Trend]]</f>
        <v>CHESAPEAKE EMPLOYEEAllowed2016-08-01Overall PMPM</v>
      </c>
      <c r="B728" t="s">
        <v>90</v>
      </c>
      <c r="C728" t="s">
        <v>90</v>
      </c>
      <c r="D728" t="s">
        <v>91</v>
      </c>
      <c r="E728" s="1" t="s">
        <v>98</v>
      </c>
      <c r="F728" t="s">
        <v>93</v>
      </c>
      <c r="G728" t="s">
        <v>14</v>
      </c>
      <c r="H728">
        <v>3</v>
      </c>
      <c r="I728">
        <v>392.51</v>
      </c>
    </row>
    <row r="729" spans="1:9" x14ac:dyDescent="0.25">
      <c r="A729" s="5" t="str">
        <f>TrendSheetPrdData[[#This Row],[Population]]&amp;TrendSheetPrdData[[#This Row],[Cost Basis]]&amp;TrendSheetPrdData[[#This Row],[Period]]&amp;TrendSheetPrdData[[#This Row],[Trend]]</f>
        <v>CHESAPEAKE EMPLOYEEAllowed2016-09-01Overall PMPM</v>
      </c>
      <c r="B729" t="s">
        <v>90</v>
      </c>
      <c r="C729" t="s">
        <v>90</v>
      </c>
      <c r="D729" t="s">
        <v>91</v>
      </c>
      <c r="E729" s="1" t="s">
        <v>99</v>
      </c>
      <c r="F729" t="s">
        <v>93</v>
      </c>
      <c r="G729" t="s">
        <v>14</v>
      </c>
      <c r="H729">
        <v>3</v>
      </c>
      <c r="I729">
        <v>394.86</v>
      </c>
    </row>
    <row r="730" spans="1:9" x14ac:dyDescent="0.25">
      <c r="A730" s="5" t="str">
        <f>TrendSheetPrdData[[#This Row],[Population]]&amp;TrendSheetPrdData[[#This Row],[Cost Basis]]&amp;TrendSheetPrdData[[#This Row],[Period]]&amp;TrendSheetPrdData[[#This Row],[Trend]]</f>
        <v>CHESAPEAKE EMPLOYEEAllowed2016-10-01Overall PMPM</v>
      </c>
      <c r="B730" t="s">
        <v>90</v>
      </c>
      <c r="C730" t="s">
        <v>90</v>
      </c>
      <c r="D730" t="s">
        <v>91</v>
      </c>
      <c r="E730" s="1" t="s">
        <v>100</v>
      </c>
      <c r="F730" t="s">
        <v>93</v>
      </c>
      <c r="G730" t="s">
        <v>14</v>
      </c>
      <c r="H730">
        <v>3</v>
      </c>
      <c r="I730">
        <v>496.42</v>
      </c>
    </row>
    <row r="731" spans="1:9" x14ac:dyDescent="0.25">
      <c r="A731" s="5" t="str">
        <f>TrendSheetPrdData[[#This Row],[Population]]&amp;TrendSheetPrdData[[#This Row],[Cost Basis]]&amp;TrendSheetPrdData[[#This Row],[Period]]&amp;TrendSheetPrdData[[#This Row],[Trend]]</f>
        <v>CHESAPEAKE EMPLOYEEAllowed2016-11-01Overall PMPM</v>
      </c>
      <c r="B731" t="s">
        <v>90</v>
      </c>
      <c r="C731" t="s">
        <v>90</v>
      </c>
      <c r="D731" t="s">
        <v>91</v>
      </c>
      <c r="E731" s="1" t="s">
        <v>101</v>
      </c>
      <c r="F731" t="s">
        <v>93</v>
      </c>
      <c r="G731" t="s">
        <v>14</v>
      </c>
      <c r="H731">
        <v>3</v>
      </c>
      <c r="I731">
        <v>437.7</v>
      </c>
    </row>
    <row r="732" spans="1:9" x14ac:dyDescent="0.25">
      <c r="A732" s="5" t="str">
        <f>TrendSheetPrdData[[#This Row],[Population]]&amp;TrendSheetPrdData[[#This Row],[Cost Basis]]&amp;TrendSheetPrdData[[#This Row],[Period]]&amp;TrendSheetPrdData[[#This Row],[Trend]]</f>
        <v>CHESAPEAKE EMPLOYEEAllowed2016-12-01Overall PMPM</v>
      </c>
      <c r="B732" t="s">
        <v>90</v>
      </c>
      <c r="C732" t="s">
        <v>90</v>
      </c>
      <c r="D732" t="s">
        <v>91</v>
      </c>
      <c r="E732" s="1" t="s">
        <v>102</v>
      </c>
      <c r="F732" t="s">
        <v>93</v>
      </c>
      <c r="G732" t="s">
        <v>14</v>
      </c>
      <c r="H732">
        <v>3</v>
      </c>
      <c r="I732">
        <v>437.75</v>
      </c>
    </row>
    <row r="733" spans="1:9" x14ac:dyDescent="0.25">
      <c r="A733" s="5" t="str">
        <f>TrendSheetPrdData[[#This Row],[Population]]&amp;TrendSheetPrdData[[#This Row],[Cost Basis]]&amp;TrendSheetPrdData[[#This Row],[Period]]&amp;TrendSheetPrdData[[#This Row],[Trend]]</f>
        <v>CHESAPEAKE EMPLOYEEAllowed2017-01-01Overall PMPM</v>
      </c>
      <c r="B733" t="s">
        <v>90</v>
      </c>
      <c r="C733" t="s">
        <v>90</v>
      </c>
      <c r="D733" t="s">
        <v>91</v>
      </c>
      <c r="E733" s="1" t="s">
        <v>103</v>
      </c>
      <c r="F733" t="s">
        <v>93</v>
      </c>
      <c r="G733" t="s">
        <v>14</v>
      </c>
      <c r="H733">
        <v>3</v>
      </c>
      <c r="I733">
        <v>342.37</v>
      </c>
    </row>
    <row r="734" spans="1:9" x14ac:dyDescent="0.25">
      <c r="A734" s="5" t="str">
        <f>TrendSheetPrdData[[#This Row],[Population]]&amp;TrendSheetPrdData[[#This Row],[Cost Basis]]&amp;TrendSheetPrdData[[#This Row],[Period]]&amp;TrendSheetPrdData[[#This Row],[Trend]]</f>
        <v>CHESAPEAKE EMPLOYEEAllowed2017-02-01Overall PMPM</v>
      </c>
      <c r="B734" t="s">
        <v>90</v>
      </c>
      <c r="C734" t="s">
        <v>90</v>
      </c>
      <c r="D734" t="s">
        <v>91</v>
      </c>
      <c r="E734" s="1" t="s">
        <v>104</v>
      </c>
      <c r="F734" t="s">
        <v>106</v>
      </c>
      <c r="G734" t="s">
        <v>14</v>
      </c>
      <c r="H734">
        <v>3</v>
      </c>
      <c r="I734">
        <v>359.1</v>
      </c>
    </row>
    <row r="735" spans="1:9" x14ac:dyDescent="0.25">
      <c r="A735" s="5" t="str">
        <f>TrendSheetPrdData[[#This Row],[Population]]&amp;TrendSheetPrdData[[#This Row],[Cost Basis]]&amp;TrendSheetPrdData[[#This Row],[Period]]&amp;TrendSheetPrdData[[#This Row],[Trend]]</f>
        <v>CHESAPEAKE EMPLOYEEAllowed2017-03-01Overall PMPM</v>
      </c>
      <c r="B735" t="s">
        <v>90</v>
      </c>
      <c r="C735" t="s">
        <v>90</v>
      </c>
      <c r="D735" t="s">
        <v>91</v>
      </c>
      <c r="E735" s="1" t="s">
        <v>105</v>
      </c>
      <c r="F735" t="s">
        <v>106</v>
      </c>
      <c r="G735" t="s">
        <v>14</v>
      </c>
      <c r="H735">
        <v>3</v>
      </c>
      <c r="I735">
        <v>400.69</v>
      </c>
    </row>
    <row r="736" spans="1:9" x14ac:dyDescent="0.25">
      <c r="A736" s="5" t="str">
        <f>TrendSheetPrdData[[#This Row],[Population]]&amp;TrendSheetPrdData[[#This Row],[Cost Basis]]&amp;TrendSheetPrdData[[#This Row],[Period]]&amp;TrendSheetPrdData[[#This Row],[Trend]]</f>
        <v>CHESAPEAKE EMPLOYEEAllowed2017-04-01Overall PMPM</v>
      </c>
      <c r="B736" t="s">
        <v>90</v>
      </c>
      <c r="C736" t="s">
        <v>90</v>
      </c>
      <c r="D736" t="s">
        <v>91</v>
      </c>
      <c r="E736" s="1" t="s">
        <v>107</v>
      </c>
      <c r="F736" t="s">
        <v>106</v>
      </c>
      <c r="G736" t="s">
        <v>14</v>
      </c>
      <c r="H736">
        <v>3</v>
      </c>
      <c r="I736">
        <v>173.21</v>
      </c>
    </row>
    <row r="737" spans="1:9" x14ac:dyDescent="0.25">
      <c r="A737" s="5" t="str">
        <f>TrendSheetPrdData[[#This Row],[Population]]&amp;TrendSheetPrdData[[#This Row],[Cost Basis]]&amp;TrendSheetPrdData[[#This Row],[Period]]&amp;TrendSheetPrdData[[#This Row],[Trend]]</f>
        <v>CHESAPEAKE EMPLOYEEAllowed2016-02-01Readmission Cost</v>
      </c>
      <c r="B737" t="s">
        <v>90</v>
      </c>
      <c r="C737" t="s">
        <v>90</v>
      </c>
      <c r="D737" t="s">
        <v>91</v>
      </c>
      <c r="E737" s="1" t="s">
        <v>133</v>
      </c>
      <c r="F737" t="s">
        <v>93</v>
      </c>
      <c r="G737" t="s">
        <v>15</v>
      </c>
      <c r="H737">
        <v>4</v>
      </c>
      <c r="I737">
        <v>0</v>
      </c>
    </row>
    <row r="738" spans="1:9" x14ac:dyDescent="0.25">
      <c r="A738" s="5" t="str">
        <f>TrendSheetPrdData[[#This Row],[Population]]&amp;TrendSheetPrdData[[#This Row],[Cost Basis]]&amp;TrendSheetPrdData[[#This Row],[Period]]&amp;TrendSheetPrdData[[#This Row],[Trend]]</f>
        <v>CHESAPEAKE EMPLOYEEAllowed2016-03-01Readmission Cost</v>
      </c>
      <c r="B738" t="s">
        <v>90</v>
      </c>
      <c r="C738" t="s">
        <v>90</v>
      </c>
      <c r="D738" t="s">
        <v>91</v>
      </c>
      <c r="E738" s="1" t="s">
        <v>92</v>
      </c>
      <c r="F738" t="s">
        <v>93</v>
      </c>
      <c r="G738" t="s">
        <v>15</v>
      </c>
      <c r="H738">
        <v>4</v>
      </c>
      <c r="I738">
        <v>0</v>
      </c>
    </row>
    <row r="739" spans="1:9" x14ac:dyDescent="0.25">
      <c r="A739" s="5" t="str">
        <f>TrendSheetPrdData[[#This Row],[Population]]&amp;TrendSheetPrdData[[#This Row],[Cost Basis]]&amp;TrendSheetPrdData[[#This Row],[Period]]&amp;TrendSheetPrdData[[#This Row],[Trend]]</f>
        <v>CHESAPEAKE EMPLOYEEAllowed2016-04-01Readmission Cost</v>
      </c>
      <c r="B739" t="s">
        <v>90</v>
      </c>
      <c r="C739" t="s">
        <v>90</v>
      </c>
      <c r="D739" t="s">
        <v>91</v>
      </c>
      <c r="E739" s="1" t="s">
        <v>94</v>
      </c>
      <c r="F739" t="s">
        <v>93</v>
      </c>
      <c r="G739" t="s">
        <v>15</v>
      </c>
      <c r="H739">
        <v>4</v>
      </c>
      <c r="I739">
        <v>0</v>
      </c>
    </row>
    <row r="740" spans="1:9" x14ac:dyDescent="0.25">
      <c r="A740" s="5" t="str">
        <f>TrendSheetPrdData[[#This Row],[Population]]&amp;TrendSheetPrdData[[#This Row],[Cost Basis]]&amp;TrendSheetPrdData[[#This Row],[Period]]&amp;TrendSheetPrdData[[#This Row],[Trend]]</f>
        <v>CHESAPEAKE EMPLOYEEAllowed2016-05-01Readmission Cost</v>
      </c>
      <c r="B740" t="s">
        <v>90</v>
      </c>
      <c r="C740" t="s">
        <v>90</v>
      </c>
      <c r="D740" t="s">
        <v>91</v>
      </c>
      <c r="E740" s="1" t="s">
        <v>95</v>
      </c>
      <c r="F740" t="s">
        <v>93</v>
      </c>
      <c r="G740" t="s">
        <v>15</v>
      </c>
      <c r="H740">
        <v>4</v>
      </c>
      <c r="I740">
        <v>97549.99</v>
      </c>
    </row>
    <row r="741" spans="1:9" x14ac:dyDescent="0.25">
      <c r="A741" s="5" t="str">
        <f>TrendSheetPrdData[[#This Row],[Population]]&amp;TrendSheetPrdData[[#This Row],[Cost Basis]]&amp;TrendSheetPrdData[[#This Row],[Period]]&amp;TrendSheetPrdData[[#This Row],[Trend]]</f>
        <v>CHESAPEAKE EMPLOYEEAllowed2016-06-01Readmission Cost</v>
      </c>
      <c r="B741" t="s">
        <v>90</v>
      </c>
      <c r="C741" t="s">
        <v>90</v>
      </c>
      <c r="D741" t="s">
        <v>91</v>
      </c>
      <c r="E741" s="1" t="s">
        <v>96</v>
      </c>
      <c r="F741" t="s">
        <v>93</v>
      </c>
      <c r="G741" t="s">
        <v>15</v>
      </c>
      <c r="H741">
        <v>4</v>
      </c>
      <c r="I741">
        <v>97596.98</v>
      </c>
    </row>
    <row r="742" spans="1:9" x14ac:dyDescent="0.25">
      <c r="A742" s="5" t="str">
        <f>TrendSheetPrdData[[#This Row],[Population]]&amp;TrendSheetPrdData[[#This Row],[Cost Basis]]&amp;TrendSheetPrdData[[#This Row],[Period]]&amp;TrendSheetPrdData[[#This Row],[Trend]]</f>
        <v>CHESAPEAKE EMPLOYEEAllowed2016-07-01Readmission Cost</v>
      </c>
      <c r="B742" t="s">
        <v>90</v>
      </c>
      <c r="C742" t="s">
        <v>90</v>
      </c>
      <c r="D742" t="s">
        <v>91</v>
      </c>
      <c r="E742" s="1" t="s">
        <v>97</v>
      </c>
      <c r="F742" t="s">
        <v>93</v>
      </c>
      <c r="G742" t="s">
        <v>15</v>
      </c>
      <c r="H742">
        <v>4</v>
      </c>
      <c r="I742">
        <v>0</v>
      </c>
    </row>
    <row r="743" spans="1:9" x14ac:dyDescent="0.25">
      <c r="A743" s="5" t="str">
        <f>TrendSheetPrdData[[#This Row],[Population]]&amp;TrendSheetPrdData[[#This Row],[Cost Basis]]&amp;TrendSheetPrdData[[#This Row],[Period]]&amp;TrendSheetPrdData[[#This Row],[Trend]]</f>
        <v>CHESAPEAKE EMPLOYEEAllowed2016-08-01Readmission Cost</v>
      </c>
      <c r="B743" t="s">
        <v>90</v>
      </c>
      <c r="C743" t="s">
        <v>90</v>
      </c>
      <c r="D743" t="s">
        <v>91</v>
      </c>
      <c r="E743" s="1" t="s">
        <v>98</v>
      </c>
      <c r="F743" t="s">
        <v>93</v>
      </c>
      <c r="G743" t="s">
        <v>15</v>
      </c>
      <c r="H743">
        <v>4</v>
      </c>
      <c r="I743">
        <v>0</v>
      </c>
    </row>
    <row r="744" spans="1:9" x14ac:dyDescent="0.25">
      <c r="A744" s="5" t="str">
        <f>TrendSheetPrdData[[#This Row],[Population]]&amp;TrendSheetPrdData[[#This Row],[Cost Basis]]&amp;TrendSheetPrdData[[#This Row],[Period]]&amp;TrendSheetPrdData[[#This Row],[Trend]]</f>
        <v>CHESAPEAKE EMPLOYEEAllowed2016-09-01Readmission Cost</v>
      </c>
      <c r="B744" t="s">
        <v>90</v>
      </c>
      <c r="C744" t="s">
        <v>90</v>
      </c>
      <c r="D744" t="s">
        <v>91</v>
      </c>
      <c r="E744" s="1" t="s">
        <v>99</v>
      </c>
      <c r="F744" t="s">
        <v>93</v>
      </c>
      <c r="G744" t="s">
        <v>15</v>
      </c>
      <c r="H744">
        <v>4</v>
      </c>
      <c r="I744">
        <v>0</v>
      </c>
    </row>
    <row r="745" spans="1:9" x14ac:dyDescent="0.25">
      <c r="A745" s="5" t="str">
        <f>TrendSheetPrdData[[#This Row],[Population]]&amp;TrendSheetPrdData[[#This Row],[Cost Basis]]&amp;TrendSheetPrdData[[#This Row],[Period]]&amp;TrendSheetPrdData[[#This Row],[Trend]]</f>
        <v>CHESAPEAKE EMPLOYEEAllowed2016-10-01Readmission Cost</v>
      </c>
      <c r="B745" t="s">
        <v>90</v>
      </c>
      <c r="C745" t="s">
        <v>90</v>
      </c>
      <c r="D745" t="s">
        <v>91</v>
      </c>
      <c r="E745" s="1" t="s">
        <v>100</v>
      </c>
      <c r="F745" t="s">
        <v>93</v>
      </c>
      <c r="G745" t="s">
        <v>15</v>
      </c>
      <c r="H745">
        <v>4</v>
      </c>
      <c r="I745">
        <v>0</v>
      </c>
    </row>
    <row r="746" spans="1:9" x14ac:dyDescent="0.25">
      <c r="A746" s="5" t="str">
        <f>TrendSheetPrdData[[#This Row],[Population]]&amp;TrendSheetPrdData[[#This Row],[Cost Basis]]&amp;TrendSheetPrdData[[#This Row],[Period]]&amp;TrendSheetPrdData[[#This Row],[Trend]]</f>
        <v>CHESAPEAKE EMPLOYEEAllowed2016-11-01Readmission Cost</v>
      </c>
      <c r="B746" t="s">
        <v>90</v>
      </c>
      <c r="C746" t="s">
        <v>90</v>
      </c>
      <c r="D746" t="s">
        <v>91</v>
      </c>
      <c r="E746" s="1" t="s">
        <v>101</v>
      </c>
      <c r="F746" t="s">
        <v>93</v>
      </c>
      <c r="G746" t="s">
        <v>15</v>
      </c>
      <c r="H746">
        <v>4</v>
      </c>
      <c r="I746">
        <v>8289.39</v>
      </c>
    </row>
    <row r="747" spans="1:9" x14ac:dyDescent="0.25">
      <c r="A747" s="5" t="str">
        <f>TrendSheetPrdData[[#This Row],[Population]]&amp;TrendSheetPrdData[[#This Row],[Cost Basis]]&amp;TrendSheetPrdData[[#This Row],[Period]]&amp;TrendSheetPrdData[[#This Row],[Trend]]</f>
        <v>CHESAPEAKE EMPLOYEEAllowed2016-12-01Readmission Cost</v>
      </c>
      <c r="B747" t="s">
        <v>90</v>
      </c>
      <c r="C747" t="s">
        <v>90</v>
      </c>
      <c r="D747" t="s">
        <v>91</v>
      </c>
      <c r="E747" s="1" t="s">
        <v>102</v>
      </c>
      <c r="F747" t="s">
        <v>93</v>
      </c>
      <c r="G747" t="s">
        <v>15</v>
      </c>
      <c r="H747">
        <v>4</v>
      </c>
      <c r="I747">
        <v>35188.639999999999</v>
      </c>
    </row>
    <row r="748" spans="1:9" x14ac:dyDescent="0.25">
      <c r="A748" s="5" t="str">
        <f>TrendSheetPrdData[[#This Row],[Population]]&amp;TrendSheetPrdData[[#This Row],[Cost Basis]]&amp;TrendSheetPrdData[[#This Row],[Period]]&amp;TrendSheetPrdData[[#This Row],[Trend]]</f>
        <v>CHESAPEAKE EMPLOYEEAllowed2017-01-01Readmission Cost</v>
      </c>
      <c r="B748" t="s">
        <v>90</v>
      </c>
      <c r="C748" t="s">
        <v>90</v>
      </c>
      <c r="D748" t="s">
        <v>91</v>
      </c>
      <c r="E748" s="1" t="s">
        <v>103</v>
      </c>
      <c r="F748" t="s">
        <v>93</v>
      </c>
      <c r="G748" t="s">
        <v>15</v>
      </c>
      <c r="H748">
        <v>4</v>
      </c>
      <c r="I748">
        <v>0</v>
      </c>
    </row>
    <row r="749" spans="1:9" x14ac:dyDescent="0.25">
      <c r="A749" s="5" t="str">
        <f>TrendSheetPrdData[[#This Row],[Population]]&amp;TrendSheetPrdData[[#This Row],[Cost Basis]]&amp;TrendSheetPrdData[[#This Row],[Period]]&amp;TrendSheetPrdData[[#This Row],[Trend]]</f>
        <v>CHESAPEAKE EMPLOYEEAllowed2017-02-01Readmission Cost</v>
      </c>
      <c r="B749" t="s">
        <v>90</v>
      </c>
      <c r="C749" t="s">
        <v>90</v>
      </c>
      <c r="D749" t="s">
        <v>91</v>
      </c>
      <c r="E749" s="1" t="s">
        <v>104</v>
      </c>
      <c r="F749" t="s">
        <v>106</v>
      </c>
      <c r="G749" t="s">
        <v>15</v>
      </c>
      <c r="H749">
        <v>4</v>
      </c>
      <c r="I749">
        <v>384.7</v>
      </c>
    </row>
    <row r="750" spans="1:9" x14ac:dyDescent="0.25">
      <c r="A750" s="5" t="str">
        <f>TrendSheetPrdData[[#This Row],[Population]]&amp;TrendSheetPrdData[[#This Row],[Cost Basis]]&amp;TrendSheetPrdData[[#This Row],[Period]]&amp;TrendSheetPrdData[[#This Row],[Trend]]</f>
        <v>CHESAPEAKE EMPLOYEEAllowed2017-03-01Readmission Cost</v>
      </c>
      <c r="B750" t="s">
        <v>90</v>
      </c>
      <c r="C750" t="s">
        <v>90</v>
      </c>
      <c r="D750" t="s">
        <v>91</v>
      </c>
      <c r="E750" s="1" t="s">
        <v>105</v>
      </c>
      <c r="F750" t="s">
        <v>106</v>
      </c>
      <c r="G750" t="s">
        <v>15</v>
      </c>
      <c r="H750">
        <v>4</v>
      </c>
      <c r="I750">
        <v>1565</v>
      </c>
    </row>
    <row r="751" spans="1:9" x14ac:dyDescent="0.25">
      <c r="A751" s="5" t="str">
        <f>TrendSheetPrdData[[#This Row],[Population]]&amp;TrendSheetPrdData[[#This Row],[Cost Basis]]&amp;TrendSheetPrdData[[#This Row],[Period]]&amp;TrendSheetPrdData[[#This Row],[Trend]]</f>
        <v>CHESAPEAKE EMPLOYEEAllowed2017-04-01Readmission Cost</v>
      </c>
      <c r="B751" t="s">
        <v>90</v>
      </c>
      <c r="C751" t="s">
        <v>90</v>
      </c>
      <c r="D751" t="s">
        <v>91</v>
      </c>
      <c r="E751" s="1" t="s">
        <v>107</v>
      </c>
      <c r="F751" t="s">
        <v>106</v>
      </c>
      <c r="G751" t="s">
        <v>15</v>
      </c>
      <c r="H751">
        <v>4</v>
      </c>
      <c r="I751">
        <v>0</v>
      </c>
    </row>
    <row r="752" spans="1:9" x14ac:dyDescent="0.25">
      <c r="A752" s="5" t="str">
        <f>TrendSheetPrdData[[#This Row],[Population]]&amp;TrendSheetPrdData[[#This Row],[Cost Basis]]&amp;TrendSheetPrdData[[#This Row],[Period]]&amp;TrendSheetPrdData[[#This Row],[Trend]]</f>
        <v>CHESAPEAKE EMPLOYEEAllowed2016-02-01Readmission Quality</v>
      </c>
      <c r="B752" t="s">
        <v>90</v>
      </c>
      <c r="C752" t="s">
        <v>90</v>
      </c>
      <c r="D752" t="s">
        <v>91</v>
      </c>
      <c r="E752" s="1" t="s">
        <v>133</v>
      </c>
      <c r="F752" t="s">
        <v>93</v>
      </c>
      <c r="G752" t="s">
        <v>16</v>
      </c>
      <c r="H752">
        <v>5</v>
      </c>
      <c r="I752">
        <v>0</v>
      </c>
    </row>
    <row r="753" spans="1:9" x14ac:dyDescent="0.25">
      <c r="A753" s="5" t="str">
        <f>TrendSheetPrdData[[#This Row],[Population]]&amp;TrendSheetPrdData[[#This Row],[Cost Basis]]&amp;TrendSheetPrdData[[#This Row],[Period]]&amp;TrendSheetPrdData[[#This Row],[Trend]]</f>
        <v>CHESAPEAKE EMPLOYEEAllowed2016-03-01Readmission Quality</v>
      </c>
      <c r="B753" t="s">
        <v>90</v>
      </c>
      <c r="C753" t="s">
        <v>90</v>
      </c>
      <c r="D753" t="s">
        <v>91</v>
      </c>
      <c r="E753" s="1" t="s">
        <v>92</v>
      </c>
      <c r="F753" t="s">
        <v>93</v>
      </c>
      <c r="G753" t="s">
        <v>16</v>
      </c>
      <c r="H753">
        <v>5</v>
      </c>
      <c r="I753">
        <v>0</v>
      </c>
    </row>
    <row r="754" spans="1:9" x14ac:dyDescent="0.25">
      <c r="A754" s="5" t="str">
        <f>TrendSheetPrdData[[#This Row],[Population]]&amp;TrendSheetPrdData[[#This Row],[Cost Basis]]&amp;TrendSheetPrdData[[#This Row],[Period]]&amp;TrendSheetPrdData[[#This Row],[Trend]]</f>
        <v>CHESAPEAKE EMPLOYEEAllowed2016-04-01Readmission Quality</v>
      </c>
      <c r="B754" t="s">
        <v>90</v>
      </c>
      <c r="C754" t="s">
        <v>90</v>
      </c>
      <c r="D754" t="s">
        <v>91</v>
      </c>
      <c r="E754" s="1" t="s">
        <v>94</v>
      </c>
      <c r="F754" t="s">
        <v>93</v>
      </c>
      <c r="G754" t="s">
        <v>16</v>
      </c>
      <c r="H754">
        <v>5</v>
      </c>
      <c r="I754">
        <v>0</v>
      </c>
    </row>
    <row r="755" spans="1:9" x14ac:dyDescent="0.25">
      <c r="A755" s="5" t="str">
        <f>TrendSheetPrdData[[#This Row],[Population]]&amp;TrendSheetPrdData[[#This Row],[Cost Basis]]&amp;TrendSheetPrdData[[#This Row],[Period]]&amp;TrendSheetPrdData[[#This Row],[Trend]]</f>
        <v>CHESAPEAKE EMPLOYEEAllowed2016-05-01Readmission Quality</v>
      </c>
      <c r="B755" t="s">
        <v>90</v>
      </c>
      <c r="C755" t="s">
        <v>90</v>
      </c>
      <c r="D755" t="s">
        <v>91</v>
      </c>
      <c r="E755" s="1" t="s">
        <v>95</v>
      </c>
      <c r="F755" t="s">
        <v>93</v>
      </c>
      <c r="G755" t="s">
        <v>16</v>
      </c>
      <c r="H755">
        <v>5</v>
      </c>
      <c r="I755">
        <v>3</v>
      </c>
    </row>
    <row r="756" spans="1:9" x14ac:dyDescent="0.25">
      <c r="A756" s="5" t="str">
        <f>TrendSheetPrdData[[#This Row],[Population]]&amp;TrendSheetPrdData[[#This Row],[Cost Basis]]&amp;TrendSheetPrdData[[#This Row],[Period]]&amp;TrendSheetPrdData[[#This Row],[Trend]]</f>
        <v>CHESAPEAKE EMPLOYEEAllowed2016-06-01Readmission Quality</v>
      </c>
      <c r="B756" t="s">
        <v>90</v>
      </c>
      <c r="C756" t="s">
        <v>90</v>
      </c>
      <c r="D756" t="s">
        <v>91</v>
      </c>
      <c r="E756" s="1" t="s">
        <v>96</v>
      </c>
      <c r="F756" t="s">
        <v>93</v>
      </c>
      <c r="G756" t="s">
        <v>16</v>
      </c>
      <c r="H756">
        <v>5</v>
      </c>
      <c r="I756">
        <v>2</v>
      </c>
    </row>
    <row r="757" spans="1:9" x14ac:dyDescent="0.25">
      <c r="A757" s="5" t="str">
        <f>TrendSheetPrdData[[#This Row],[Population]]&amp;TrendSheetPrdData[[#This Row],[Cost Basis]]&amp;TrendSheetPrdData[[#This Row],[Period]]&amp;TrendSheetPrdData[[#This Row],[Trend]]</f>
        <v>CHESAPEAKE EMPLOYEEAllowed2016-07-01Readmission Quality</v>
      </c>
      <c r="B757" t="s">
        <v>90</v>
      </c>
      <c r="C757" t="s">
        <v>90</v>
      </c>
      <c r="D757" t="s">
        <v>91</v>
      </c>
      <c r="E757" s="1" t="s">
        <v>97</v>
      </c>
      <c r="F757" t="s">
        <v>93</v>
      </c>
      <c r="G757" t="s">
        <v>16</v>
      </c>
      <c r="H757">
        <v>5</v>
      </c>
      <c r="I757">
        <v>0</v>
      </c>
    </row>
    <row r="758" spans="1:9" x14ac:dyDescent="0.25">
      <c r="A758" s="5" t="str">
        <f>TrendSheetPrdData[[#This Row],[Population]]&amp;TrendSheetPrdData[[#This Row],[Cost Basis]]&amp;TrendSheetPrdData[[#This Row],[Period]]&amp;TrendSheetPrdData[[#This Row],[Trend]]</f>
        <v>CHESAPEAKE EMPLOYEEAllowed2016-08-01Readmission Quality</v>
      </c>
      <c r="B758" t="s">
        <v>90</v>
      </c>
      <c r="C758" t="s">
        <v>90</v>
      </c>
      <c r="D758" t="s">
        <v>91</v>
      </c>
      <c r="E758" s="1" t="s">
        <v>98</v>
      </c>
      <c r="F758" t="s">
        <v>93</v>
      </c>
      <c r="G758" t="s">
        <v>16</v>
      </c>
      <c r="H758">
        <v>5</v>
      </c>
      <c r="I758">
        <v>0</v>
      </c>
    </row>
    <row r="759" spans="1:9" x14ac:dyDescent="0.25">
      <c r="A759" s="5" t="str">
        <f>TrendSheetPrdData[[#This Row],[Population]]&amp;TrendSheetPrdData[[#This Row],[Cost Basis]]&amp;TrendSheetPrdData[[#This Row],[Period]]&amp;TrendSheetPrdData[[#This Row],[Trend]]</f>
        <v>CHESAPEAKE EMPLOYEEAllowed2016-09-01Readmission Quality</v>
      </c>
      <c r="B759" t="s">
        <v>90</v>
      </c>
      <c r="C759" t="s">
        <v>90</v>
      </c>
      <c r="D759" t="s">
        <v>91</v>
      </c>
      <c r="E759" s="1" t="s">
        <v>99</v>
      </c>
      <c r="F759" t="s">
        <v>93</v>
      </c>
      <c r="G759" t="s">
        <v>16</v>
      </c>
      <c r="H759">
        <v>5</v>
      </c>
      <c r="I759">
        <v>0</v>
      </c>
    </row>
    <row r="760" spans="1:9" x14ac:dyDescent="0.25">
      <c r="A760" s="5" t="str">
        <f>TrendSheetPrdData[[#This Row],[Population]]&amp;TrendSheetPrdData[[#This Row],[Cost Basis]]&amp;TrendSheetPrdData[[#This Row],[Period]]&amp;TrendSheetPrdData[[#This Row],[Trend]]</f>
        <v>CHESAPEAKE EMPLOYEEAllowed2016-10-01Readmission Quality</v>
      </c>
      <c r="B760" t="s">
        <v>90</v>
      </c>
      <c r="C760" t="s">
        <v>90</v>
      </c>
      <c r="D760" t="s">
        <v>91</v>
      </c>
      <c r="E760" s="1" t="s">
        <v>100</v>
      </c>
      <c r="F760" t="s">
        <v>93</v>
      </c>
      <c r="G760" t="s">
        <v>16</v>
      </c>
      <c r="H760">
        <v>5</v>
      </c>
      <c r="I760">
        <v>1</v>
      </c>
    </row>
    <row r="761" spans="1:9" x14ac:dyDescent="0.25">
      <c r="A761" s="5" t="str">
        <f>TrendSheetPrdData[[#This Row],[Population]]&amp;TrendSheetPrdData[[#This Row],[Cost Basis]]&amp;TrendSheetPrdData[[#This Row],[Period]]&amp;TrendSheetPrdData[[#This Row],[Trend]]</f>
        <v>CHESAPEAKE EMPLOYEEAllowed2016-11-01Readmission Quality</v>
      </c>
      <c r="B761" t="s">
        <v>90</v>
      </c>
      <c r="C761" t="s">
        <v>90</v>
      </c>
      <c r="D761" t="s">
        <v>91</v>
      </c>
      <c r="E761" s="1" t="s">
        <v>101</v>
      </c>
      <c r="F761" t="s">
        <v>93</v>
      </c>
      <c r="G761" t="s">
        <v>16</v>
      </c>
      <c r="H761">
        <v>5</v>
      </c>
      <c r="I761">
        <v>1</v>
      </c>
    </row>
    <row r="762" spans="1:9" x14ac:dyDescent="0.25">
      <c r="A762" s="5" t="str">
        <f>TrendSheetPrdData[[#This Row],[Population]]&amp;TrendSheetPrdData[[#This Row],[Cost Basis]]&amp;TrendSheetPrdData[[#This Row],[Period]]&amp;TrendSheetPrdData[[#This Row],[Trend]]</f>
        <v>CHESAPEAKE EMPLOYEEAllowed2016-12-01Readmission Quality</v>
      </c>
      <c r="B762" t="s">
        <v>90</v>
      </c>
      <c r="C762" t="s">
        <v>90</v>
      </c>
      <c r="D762" t="s">
        <v>91</v>
      </c>
      <c r="E762" s="1" t="s">
        <v>102</v>
      </c>
      <c r="F762" t="s">
        <v>93</v>
      </c>
      <c r="G762" t="s">
        <v>16</v>
      </c>
      <c r="H762">
        <v>5</v>
      </c>
      <c r="I762">
        <v>1</v>
      </c>
    </row>
    <row r="763" spans="1:9" x14ac:dyDescent="0.25">
      <c r="A763" s="5" t="str">
        <f>TrendSheetPrdData[[#This Row],[Population]]&amp;TrendSheetPrdData[[#This Row],[Cost Basis]]&amp;TrendSheetPrdData[[#This Row],[Period]]&amp;TrendSheetPrdData[[#This Row],[Trend]]</f>
        <v>CHESAPEAKE EMPLOYEEAllowed2017-01-01Readmission Quality</v>
      </c>
      <c r="B763" t="s">
        <v>90</v>
      </c>
      <c r="C763" t="s">
        <v>90</v>
      </c>
      <c r="D763" t="s">
        <v>91</v>
      </c>
      <c r="E763" s="1" t="s">
        <v>103</v>
      </c>
      <c r="F763" t="s">
        <v>93</v>
      </c>
      <c r="G763" t="s">
        <v>16</v>
      </c>
      <c r="H763">
        <v>5</v>
      </c>
      <c r="I763">
        <v>0</v>
      </c>
    </row>
    <row r="764" spans="1:9" x14ac:dyDescent="0.25">
      <c r="A764" s="5" t="str">
        <f>TrendSheetPrdData[[#This Row],[Population]]&amp;TrendSheetPrdData[[#This Row],[Cost Basis]]&amp;TrendSheetPrdData[[#This Row],[Period]]&amp;TrendSheetPrdData[[#This Row],[Trend]]</f>
        <v>CHESAPEAKE EMPLOYEEAllowed2017-02-01Readmission Quality</v>
      </c>
      <c r="B764" t="s">
        <v>90</v>
      </c>
      <c r="C764" t="s">
        <v>90</v>
      </c>
      <c r="D764" t="s">
        <v>91</v>
      </c>
      <c r="E764" s="1" t="s">
        <v>104</v>
      </c>
      <c r="F764" t="s">
        <v>106</v>
      </c>
      <c r="G764" t="s">
        <v>16</v>
      </c>
      <c r="H764">
        <v>5</v>
      </c>
      <c r="I764">
        <v>1</v>
      </c>
    </row>
    <row r="765" spans="1:9" x14ac:dyDescent="0.25">
      <c r="A765" s="5" t="str">
        <f>TrendSheetPrdData[[#This Row],[Population]]&amp;TrendSheetPrdData[[#This Row],[Cost Basis]]&amp;TrendSheetPrdData[[#This Row],[Period]]&amp;TrendSheetPrdData[[#This Row],[Trend]]</f>
        <v>CHESAPEAKE EMPLOYEEAllowed2017-03-01Readmission Quality</v>
      </c>
      <c r="B765" t="s">
        <v>90</v>
      </c>
      <c r="C765" t="s">
        <v>90</v>
      </c>
      <c r="D765" t="s">
        <v>91</v>
      </c>
      <c r="E765" s="1" t="s">
        <v>105</v>
      </c>
      <c r="F765" t="s">
        <v>106</v>
      </c>
      <c r="G765" t="s">
        <v>16</v>
      </c>
      <c r="H765">
        <v>5</v>
      </c>
      <c r="I765">
        <v>2</v>
      </c>
    </row>
    <row r="766" spans="1:9" x14ac:dyDescent="0.25">
      <c r="A766" s="5" t="str">
        <f>TrendSheetPrdData[[#This Row],[Population]]&amp;TrendSheetPrdData[[#This Row],[Cost Basis]]&amp;TrendSheetPrdData[[#This Row],[Period]]&amp;TrendSheetPrdData[[#This Row],[Trend]]</f>
        <v>CHESAPEAKE EMPLOYEEAllowed2017-04-01Readmission Quality</v>
      </c>
      <c r="B766" t="s">
        <v>90</v>
      </c>
      <c r="C766" t="s">
        <v>90</v>
      </c>
      <c r="D766" t="s">
        <v>91</v>
      </c>
      <c r="E766" s="1" t="s">
        <v>107</v>
      </c>
      <c r="F766" t="s">
        <v>106</v>
      </c>
      <c r="G766" t="s">
        <v>16</v>
      </c>
      <c r="H766">
        <v>5</v>
      </c>
      <c r="I766">
        <v>0</v>
      </c>
    </row>
    <row r="767" spans="1:9" x14ac:dyDescent="0.25">
      <c r="A767" s="5" t="str">
        <f>TrendSheetPrdData[[#This Row],[Population]]&amp;TrendSheetPrdData[[#This Row],[Cost Basis]]&amp;TrendSheetPrdData[[#This Row],[Period]]&amp;TrendSheetPrdData[[#This Row],[Trend]]</f>
        <v>CHESAPEAKE EMPLOYEEAllowed2016-02-01Avoidable Admission Cost</v>
      </c>
      <c r="B767" t="s">
        <v>90</v>
      </c>
      <c r="C767" t="s">
        <v>90</v>
      </c>
      <c r="D767" t="s">
        <v>91</v>
      </c>
      <c r="E767" s="1" t="s">
        <v>133</v>
      </c>
      <c r="F767" t="s">
        <v>93</v>
      </c>
      <c r="G767" t="s">
        <v>17</v>
      </c>
      <c r="H767">
        <v>6</v>
      </c>
      <c r="I767">
        <v>0</v>
      </c>
    </row>
    <row r="768" spans="1:9" x14ac:dyDescent="0.25">
      <c r="A768" s="5" t="str">
        <f>TrendSheetPrdData[[#This Row],[Population]]&amp;TrendSheetPrdData[[#This Row],[Cost Basis]]&amp;TrendSheetPrdData[[#This Row],[Period]]&amp;TrendSheetPrdData[[#This Row],[Trend]]</f>
        <v>CHESAPEAKE EMPLOYEEAllowed2016-03-01Avoidable Admission Cost</v>
      </c>
      <c r="B768" t="s">
        <v>90</v>
      </c>
      <c r="C768" t="s">
        <v>90</v>
      </c>
      <c r="D768" t="s">
        <v>91</v>
      </c>
      <c r="E768" s="1" t="s">
        <v>92</v>
      </c>
      <c r="F768" t="s">
        <v>93</v>
      </c>
      <c r="G768" t="s">
        <v>17</v>
      </c>
      <c r="H768">
        <v>6</v>
      </c>
      <c r="I768">
        <v>12199.62</v>
      </c>
    </row>
    <row r="769" spans="1:9" x14ac:dyDescent="0.25">
      <c r="A769" s="5" t="str">
        <f>TrendSheetPrdData[[#This Row],[Population]]&amp;TrendSheetPrdData[[#This Row],[Cost Basis]]&amp;TrendSheetPrdData[[#This Row],[Period]]&amp;TrendSheetPrdData[[#This Row],[Trend]]</f>
        <v>CHESAPEAKE EMPLOYEEAllowed2016-04-01Avoidable Admission Cost</v>
      </c>
      <c r="B769" t="s">
        <v>90</v>
      </c>
      <c r="C769" t="s">
        <v>90</v>
      </c>
      <c r="D769" t="s">
        <v>91</v>
      </c>
      <c r="E769" s="1" t="s">
        <v>94</v>
      </c>
      <c r="F769" t="s">
        <v>93</v>
      </c>
      <c r="G769" t="s">
        <v>17</v>
      </c>
      <c r="H769">
        <v>6</v>
      </c>
      <c r="I769">
        <v>24714.32</v>
      </c>
    </row>
    <row r="770" spans="1:9" x14ac:dyDescent="0.25">
      <c r="A770" s="5" t="str">
        <f>TrendSheetPrdData[[#This Row],[Population]]&amp;TrendSheetPrdData[[#This Row],[Cost Basis]]&amp;TrendSheetPrdData[[#This Row],[Period]]&amp;TrendSheetPrdData[[#This Row],[Trend]]</f>
        <v>CHESAPEAKE EMPLOYEEAllowed2016-05-01Avoidable Admission Cost</v>
      </c>
      <c r="B770" t="s">
        <v>90</v>
      </c>
      <c r="C770" t="s">
        <v>90</v>
      </c>
      <c r="D770" t="s">
        <v>91</v>
      </c>
      <c r="E770" s="1" t="s">
        <v>95</v>
      </c>
      <c r="F770" t="s">
        <v>93</v>
      </c>
      <c r="G770" t="s">
        <v>17</v>
      </c>
      <c r="H770">
        <v>6</v>
      </c>
      <c r="I770">
        <v>0</v>
      </c>
    </row>
    <row r="771" spans="1:9" x14ac:dyDescent="0.25">
      <c r="A771" s="5" t="str">
        <f>TrendSheetPrdData[[#This Row],[Population]]&amp;TrendSheetPrdData[[#This Row],[Cost Basis]]&amp;TrendSheetPrdData[[#This Row],[Period]]&amp;TrendSheetPrdData[[#This Row],[Trend]]</f>
        <v>CHESAPEAKE EMPLOYEEAllowed2016-06-01Avoidable Admission Cost</v>
      </c>
      <c r="B771" t="s">
        <v>90</v>
      </c>
      <c r="C771" t="s">
        <v>90</v>
      </c>
      <c r="D771" t="s">
        <v>91</v>
      </c>
      <c r="E771" s="1" t="s">
        <v>96</v>
      </c>
      <c r="F771" t="s">
        <v>93</v>
      </c>
      <c r="G771" t="s">
        <v>17</v>
      </c>
      <c r="H771">
        <v>6</v>
      </c>
      <c r="I771">
        <v>0</v>
      </c>
    </row>
    <row r="772" spans="1:9" x14ac:dyDescent="0.25">
      <c r="A772" s="5" t="str">
        <f>TrendSheetPrdData[[#This Row],[Population]]&amp;TrendSheetPrdData[[#This Row],[Cost Basis]]&amp;TrendSheetPrdData[[#This Row],[Period]]&amp;TrendSheetPrdData[[#This Row],[Trend]]</f>
        <v>CHESAPEAKE EMPLOYEEAllowed2016-07-01Avoidable Admission Cost</v>
      </c>
      <c r="B772" t="s">
        <v>90</v>
      </c>
      <c r="C772" t="s">
        <v>90</v>
      </c>
      <c r="D772" t="s">
        <v>91</v>
      </c>
      <c r="E772" s="1" t="s">
        <v>97</v>
      </c>
      <c r="F772" t="s">
        <v>93</v>
      </c>
      <c r="G772" t="s">
        <v>17</v>
      </c>
      <c r="H772">
        <v>6</v>
      </c>
      <c r="I772">
        <v>0</v>
      </c>
    </row>
    <row r="773" spans="1:9" x14ac:dyDescent="0.25">
      <c r="A773" s="5" t="str">
        <f>TrendSheetPrdData[[#This Row],[Population]]&amp;TrendSheetPrdData[[#This Row],[Cost Basis]]&amp;TrendSheetPrdData[[#This Row],[Period]]&amp;TrendSheetPrdData[[#This Row],[Trend]]</f>
        <v>CHESAPEAKE EMPLOYEEAllowed2016-08-01Avoidable Admission Cost</v>
      </c>
      <c r="B773" t="s">
        <v>90</v>
      </c>
      <c r="C773" t="s">
        <v>90</v>
      </c>
      <c r="D773" t="s">
        <v>91</v>
      </c>
      <c r="E773" s="1" t="s">
        <v>98</v>
      </c>
      <c r="F773" t="s">
        <v>93</v>
      </c>
      <c r="G773" t="s">
        <v>17</v>
      </c>
      <c r="H773">
        <v>6</v>
      </c>
      <c r="I773">
        <v>0</v>
      </c>
    </row>
    <row r="774" spans="1:9" x14ac:dyDescent="0.25">
      <c r="A774" s="5" t="str">
        <f>TrendSheetPrdData[[#This Row],[Population]]&amp;TrendSheetPrdData[[#This Row],[Cost Basis]]&amp;TrendSheetPrdData[[#This Row],[Period]]&amp;TrendSheetPrdData[[#This Row],[Trend]]</f>
        <v>CHESAPEAKE EMPLOYEEAllowed2016-09-01Avoidable Admission Cost</v>
      </c>
      <c r="B774" t="s">
        <v>90</v>
      </c>
      <c r="C774" t="s">
        <v>90</v>
      </c>
      <c r="D774" t="s">
        <v>91</v>
      </c>
      <c r="E774" s="1" t="s">
        <v>99</v>
      </c>
      <c r="F774" t="s">
        <v>93</v>
      </c>
      <c r="G774" t="s">
        <v>17</v>
      </c>
      <c r="H774">
        <v>6</v>
      </c>
      <c r="I774">
        <v>0</v>
      </c>
    </row>
    <row r="775" spans="1:9" x14ac:dyDescent="0.25">
      <c r="A775" s="5" t="str">
        <f>TrendSheetPrdData[[#This Row],[Population]]&amp;TrendSheetPrdData[[#This Row],[Cost Basis]]&amp;TrendSheetPrdData[[#This Row],[Period]]&amp;TrendSheetPrdData[[#This Row],[Trend]]</f>
        <v>CHESAPEAKE EMPLOYEEAllowed2016-10-01Avoidable Admission Cost</v>
      </c>
      <c r="B775" t="s">
        <v>90</v>
      </c>
      <c r="C775" t="s">
        <v>90</v>
      </c>
      <c r="D775" t="s">
        <v>91</v>
      </c>
      <c r="E775" s="1" t="s">
        <v>100</v>
      </c>
      <c r="F775" t="s">
        <v>93</v>
      </c>
      <c r="G775" t="s">
        <v>17</v>
      </c>
      <c r="H775">
        <v>6</v>
      </c>
      <c r="I775">
        <v>0</v>
      </c>
    </row>
    <row r="776" spans="1:9" x14ac:dyDescent="0.25">
      <c r="A776" s="5" t="str">
        <f>TrendSheetPrdData[[#This Row],[Population]]&amp;TrendSheetPrdData[[#This Row],[Cost Basis]]&amp;TrendSheetPrdData[[#This Row],[Period]]&amp;TrendSheetPrdData[[#This Row],[Trend]]</f>
        <v>CHESAPEAKE EMPLOYEEAllowed2016-11-01Avoidable Admission Cost</v>
      </c>
      <c r="B776" t="s">
        <v>90</v>
      </c>
      <c r="C776" t="s">
        <v>90</v>
      </c>
      <c r="D776" t="s">
        <v>91</v>
      </c>
      <c r="E776" s="1" t="s">
        <v>101</v>
      </c>
      <c r="F776" t="s">
        <v>93</v>
      </c>
      <c r="G776" t="s">
        <v>17</v>
      </c>
      <c r="H776">
        <v>6</v>
      </c>
      <c r="I776">
        <v>7961.74</v>
      </c>
    </row>
    <row r="777" spans="1:9" x14ac:dyDescent="0.25">
      <c r="A777" s="5" t="str">
        <f>TrendSheetPrdData[[#This Row],[Population]]&amp;TrendSheetPrdData[[#This Row],[Cost Basis]]&amp;TrendSheetPrdData[[#This Row],[Period]]&amp;TrendSheetPrdData[[#This Row],[Trend]]</f>
        <v>CHESAPEAKE EMPLOYEEAllowed2016-12-01Avoidable Admission Cost</v>
      </c>
      <c r="B777" t="s">
        <v>90</v>
      </c>
      <c r="C777" t="s">
        <v>90</v>
      </c>
      <c r="D777" t="s">
        <v>91</v>
      </c>
      <c r="E777" s="1" t="s">
        <v>102</v>
      </c>
      <c r="F777" t="s">
        <v>93</v>
      </c>
      <c r="G777" t="s">
        <v>17</v>
      </c>
      <c r="H777">
        <v>6</v>
      </c>
      <c r="I777">
        <v>0</v>
      </c>
    </row>
    <row r="778" spans="1:9" x14ac:dyDescent="0.25">
      <c r="A778" s="5" t="str">
        <f>TrendSheetPrdData[[#This Row],[Population]]&amp;TrendSheetPrdData[[#This Row],[Cost Basis]]&amp;TrendSheetPrdData[[#This Row],[Period]]&amp;TrendSheetPrdData[[#This Row],[Trend]]</f>
        <v>CHESAPEAKE EMPLOYEEAllowed2017-01-01Avoidable Admission Cost</v>
      </c>
      <c r="B778" t="s">
        <v>90</v>
      </c>
      <c r="C778" t="s">
        <v>90</v>
      </c>
      <c r="D778" t="s">
        <v>91</v>
      </c>
      <c r="E778" s="1" t="s">
        <v>103</v>
      </c>
      <c r="F778" t="s">
        <v>93</v>
      </c>
      <c r="G778" t="s">
        <v>17</v>
      </c>
      <c r="H778">
        <v>6</v>
      </c>
      <c r="I778">
        <v>0</v>
      </c>
    </row>
    <row r="779" spans="1:9" x14ac:dyDescent="0.25">
      <c r="A779" s="5" t="str">
        <f>TrendSheetPrdData[[#This Row],[Population]]&amp;TrendSheetPrdData[[#This Row],[Cost Basis]]&amp;TrendSheetPrdData[[#This Row],[Period]]&amp;TrendSheetPrdData[[#This Row],[Trend]]</f>
        <v>CHESAPEAKE EMPLOYEEAllowed2017-02-01Avoidable Admission Cost</v>
      </c>
      <c r="B779" t="s">
        <v>90</v>
      </c>
      <c r="C779" t="s">
        <v>90</v>
      </c>
      <c r="D779" t="s">
        <v>91</v>
      </c>
      <c r="E779" s="1" t="s">
        <v>104</v>
      </c>
      <c r="F779" t="s">
        <v>106</v>
      </c>
      <c r="G779" t="s">
        <v>17</v>
      </c>
      <c r="H779">
        <v>6</v>
      </c>
      <c r="I779">
        <v>0</v>
      </c>
    </row>
    <row r="780" spans="1:9" x14ac:dyDescent="0.25">
      <c r="A780" s="5" t="str">
        <f>TrendSheetPrdData[[#This Row],[Population]]&amp;TrendSheetPrdData[[#This Row],[Cost Basis]]&amp;TrendSheetPrdData[[#This Row],[Period]]&amp;TrendSheetPrdData[[#This Row],[Trend]]</f>
        <v>CHESAPEAKE EMPLOYEEAllowed2017-03-01Avoidable Admission Cost</v>
      </c>
      <c r="B780" t="s">
        <v>90</v>
      </c>
      <c r="C780" t="s">
        <v>90</v>
      </c>
      <c r="D780" t="s">
        <v>91</v>
      </c>
      <c r="E780" s="1" t="s">
        <v>105</v>
      </c>
      <c r="F780" t="s">
        <v>106</v>
      </c>
      <c r="G780" t="s">
        <v>17</v>
      </c>
      <c r="H780">
        <v>6</v>
      </c>
      <c r="I780">
        <v>0</v>
      </c>
    </row>
    <row r="781" spans="1:9" x14ac:dyDescent="0.25">
      <c r="A781" s="5" t="str">
        <f>TrendSheetPrdData[[#This Row],[Population]]&amp;TrendSheetPrdData[[#This Row],[Cost Basis]]&amp;TrendSheetPrdData[[#This Row],[Period]]&amp;TrendSheetPrdData[[#This Row],[Trend]]</f>
        <v>CHESAPEAKE EMPLOYEEAllowed2017-04-01Avoidable Admission Cost</v>
      </c>
      <c r="B781" t="s">
        <v>90</v>
      </c>
      <c r="C781" t="s">
        <v>90</v>
      </c>
      <c r="D781" t="s">
        <v>91</v>
      </c>
      <c r="E781" s="1" t="s">
        <v>107</v>
      </c>
      <c r="F781" t="s">
        <v>106</v>
      </c>
      <c r="G781" t="s">
        <v>17</v>
      </c>
      <c r="H781">
        <v>6</v>
      </c>
      <c r="I781">
        <v>0</v>
      </c>
    </row>
    <row r="782" spans="1:9" x14ac:dyDescent="0.25">
      <c r="A782" s="5" t="str">
        <f>TrendSheetPrdData[[#This Row],[Population]]&amp;TrendSheetPrdData[[#This Row],[Cost Basis]]&amp;TrendSheetPrdData[[#This Row],[Period]]&amp;TrendSheetPrdData[[#This Row],[Trend]]</f>
        <v>CHESAPEAKE EMPLOYEEAllowed2016-02-01Avoidable Admission Quality</v>
      </c>
      <c r="B782" t="s">
        <v>90</v>
      </c>
      <c r="C782" t="s">
        <v>90</v>
      </c>
      <c r="D782" t="s">
        <v>91</v>
      </c>
      <c r="E782" s="1" t="s">
        <v>133</v>
      </c>
      <c r="F782" t="s">
        <v>93</v>
      </c>
      <c r="G782" t="s">
        <v>18</v>
      </c>
      <c r="H782">
        <v>7</v>
      </c>
      <c r="I782">
        <v>0</v>
      </c>
    </row>
    <row r="783" spans="1:9" x14ac:dyDescent="0.25">
      <c r="A783" s="5" t="str">
        <f>TrendSheetPrdData[[#This Row],[Population]]&amp;TrendSheetPrdData[[#This Row],[Cost Basis]]&amp;TrendSheetPrdData[[#This Row],[Period]]&amp;TrendSheetPrdData[[#This Row],[Trend]]</f>
        <v>CHESAPEAKE EMPLOYEEAllowed2016-03-01Avoidable Admission Quality</v>
      </c>
      <c r="B783" t="s">
        <v>90</v>
      </c>
      <c r="C783" t="s">
        <v>90</v>
      </c>
      <c r="D783" t="s">
        <v>91</v>
      </c>
      <c r="E783" s="1" t="s">
        <v>92</v>
      </c>
      <c r="F783" t="s">
        <v>93</v>
      </c>
      <c r="G783" t="s">
        <v>18</v>
      </c>
      <c r="H783">
        <v>7</v>
      </c>
      <c r="I783">
        <v>2</v>
      </c>
    </row>
    <row r="784" spans="1:9" x14ac:dyDescent="0.25">
      <c r="A784" s="5" t="str">
        <f>TrendSheetPrdData[[#This Row],[Population]]&amp;TrendSheetPrdData[[#This Row],[Cost Basis]]&amp;TrendSheetPrdData[[#This Row],[Period]]&amp;TrendSheetPrdData[[#This Row],[Trend]]</f>
        <v>CHESAPEAKE EMPLOYEEAllowed2016-04-01Avoidable Admission Quality</v>
      </c>
      <c r="B784" t="s">
        <v>90</v>
      </c>
      <c r="C784" t="s">
        <v>90</v>
      </c>
      <c r="D784" t="s">
        <v>91</v>
      </c>
      <c r="E784" s="1" t="s">
        <v>94</v>
      </c>
      <c r="F784" t="s">
        <v>93</v>
      </c>
      <c r="G784" t="s">
        <v>18</v>
      </c>
      <c r="H784">
        <v>7</v>
      </c>
      <c r="I784">
        <v>1</v>
      </c>
    </row>
    <row r="785" spans="1:9" x14ac:dyDescent="0.25">
      <c r="A785" s="5" t="str">
        <f>TrendSheetPrdData[[#This Row],[Population]]&amp;TrendSheetPrdData[[#This Row],[Cost Basis]]&amp;TrendSheetPrdData[[#This Row],[Period]]&amp;TrendSheetPrdData[[#This Row],[Trend]]</f>
        <v>CHESAPEAKE EMPLOYEEAllowed2016-05-01Avoidable Admission Quality</v>
      </c>
      <c r="B785" t="s">
        <v>90</v>
      </c>
      <c r="C785" t="s">
        <v>90</v>
      </c>
      <c r="D785" t="s">
        <v>91</v>
      </c>
      <c r="E785" s="1" t="s">
        <v>95</v>
      </c>
      <c r="F785" t="s">
        <v>93</v>
      </c>
      <c r="G785" t="s">
        <v>18</v>
      </c>
      <c r="H785">
        <v>7</v>
      </c>
      <c r="I785">
        <v>0</v>
      </c>
    </row>
    <row r="786" spans="1:9" x14ac:dyDescent="0.25">
      <c r="A786" s="5" t="str">
        <f>TrendSheetPrdData[[#This Row],[Population]]&amp;TrendSheetPrdData[[#This Row],[Cost Basis]]&amp;TrendSheetPrdData[[#This Row],[Period]]&amp;TrendSheetPrdData[[#This Row],[Trend]]</f>
        <v>CHESAPEAKE EMPLOYEEAllowed2016-06-01Avoidable Admission Quality</v>
      </c>
      <c r="B786" t="s">
        <v>90</v>
      </c>
      <c r="C786" t="s">
        <v>90</v>
      </c>
      <c r="D786" t="s">
        <v>91</v>
      </c>
      <c r="E786" s="1" t="s">
        <v>96</v>
      </c>
      <c r="F786" t="s">
        <v>93</v>
      </c>
      <c r="G786" t="s">
        <v>18</v>
      </c>
      <c r="H786">
        <v>7</v>
      </c>
      <c r="I786">
        <v>0</v>
      </c>
    </row>
    <row r="787" spans="1:9" x14ac:dyDescent="0.25">
      <c r="A787" s="5" t="str">
        <f>TrendSheetPrdData[[#This Row],[Population]]&amp;TrendSheetPrdData[[#This Row],[Cost Basis]]&amp;TrendSheetPrdData[[#This Row],[Period]]&amp;TrendSheetPrdData[[#This Row],[Trend]]</f>
        <v>CHESAPEAKE EMPLOYEEAllowed2016-07-01Avoidable Admission Quality</v>
      </c>
      <c r="B787" t="s">
        <v>90</v>
      </c>
      <c r="C787" t="s">
        <v>90</v>
      </c>
      <c r="D787" t="s">
        <v>91</v>
      </c>
      <c r="E787" s="1" t="s">
        <v>97</v>
      </c>
      <c r="F787" t="s">
        <v>93</v>
      </c>
      <c r="G787" t="s">
        <v>18</v>
      </c>
      <c r="H787">
        <v>7</v>
      </c>
      <c r="I787">
        <v>0</v>
      </c>
    </row>
    <row r="788" spans="1:9" x14ac:dyDescent="0.25">
      <c r="A788" s="5" t="str">
        <f>TrendSheetPrdData[[#This Row],[Population]]&amp;TrendSheetPrdData[[#This Row],[Cost Basis]]&amp;TrendSheetPrdData[[#This Row],[Period]]&amp;TrendSheetPrdData[[#This Row],[Trend]]</f>
        <v>CHESAPEAKE EMPLOYEEAllowed2016-08-01Avoidable Admission Quality</v>
      </c>
      <c r="B788" t="s">
        <v>90</v>
      </c>
      <c r="C788" t="s">
        <v>90</v>
      </c>
      <c r="D788" t="s">
        <v>91</v>
      </c>
      <c r="E788" s="1" t="s">
        <v>98</v>
      </c>
      <c r="F788" t="s">
        <v>93</v>
      </c>
      <c r="G788" t="s">
        <v>18</v>
      </c>
      <c r="H788">
        <v>7</v>
      </c>
      <c r="I788">
        <v>0</v>
      </c>
    </row>
    <row r="789" spans="1:9" x14ac:dyDescent="0.25">
      <c r="A789" s="5" t="str">
        <f>TrendSheetPrdData[[#This Row],[Population]]&amp;TrendSheetPrdData[[#This Row],[Cost Basis]]&amp;TrendSheetPrdData[[#This Row],[Period]]&amp;TrendSheetPrdData[[#This Row],[Trend]]</f>
        <v>CHESAPEAKE EMPLOYEEAllowed2016-09-01Avoidable Admission Quality</v>
      </c>
      <c r="B789" t="s">
        <v>90</v>
      </c>
      <c r="C789" t="s">
        <v>90</v>
      </c>
      <c r="D789" t="s">
        <v>91</v>
      </c>
      <c r="E789" s="1" t="s">
        <v>99</v>
      </c>
      <c r="F789" t="s">
        <v>93</v>
      </c>
      <c r="G789" t="s">
        <v>18</v>
      </c>
      <c r="H789">
        <v>7</v>
      </c>
      <c r="I789">
        <v>0</v>
      </c>
    </row>
    <row r="790" spans="1:9" x14ac:dyDescent="0.25">
      <c r="A790" s="5" t="str">
        <f>TrendSheetPrdData[[#This Row],[Population]]&amp;TrendSheetPrdData[[#This Row],[Cost Basis]]&amp;TrendSheetPrdData[[#This Row],[Period]]&amp;TrendSheetPrdData[[#This Row],[Trend]]</f>
        <v>CHESAPEAKE EMPLOYEEAllowed2016-10-01Avoidable Admission Quality</v>
      </c>
      <c r="B790" t="s">
        <v>90</v>
      </c>
      <c r="C790" t="s">
        <v>90</v>
      </c>
      <c r="D790" t="s">
        <v>91</v>
      </c>
      <c r="E790" s="1" t="s">
        <v>100</v>
      </c>
      <c r="F790" t="s">
        <v>93</v>
      </c>
      <c r="G790" t="s">
        <v>18</v>
      </c>
      <c r="H790">
        <v>7</v>
      </c>
      <c r="I790">
        <v>0</v>
      </c>
    </row>
    <row r="791" spans="1:9" x14ac:dyDescent="0.25">
      <c r="A791" s="5" t="str">
        <f>TrendSheetPrdData[[#This Row],[Population]]&amp;TrendSheetPrdData[[#This Row],[Cost Basis]]&amp;TrendSheetPrdData[[#This Row],[Period]]&amp;TrendSheetPrdData[[#This Row],[Trend]]</f>
        <v>CHESAPEAKE EMPLOYEEAllowed2016-11-01Avoidable Admission Quality</v>
      </c>
      <c r="B791" t="s">
        <v>90</v>
      </c>
      <c r="C791" t="s">
        <v>90</v>
      </c>
      <c r="D791" t="s">
        <v>91</v>
      </c>
      <c r="E791" s="1" t="s">
        <v>101</v>
      </c>
      <c r="F791" t="s">
        <v>93</v>
      </c>
      <c r="G791" t="s">
        <v>18</v>
      </c>
      <c r="H791">
        <v>7</v>
      </c>
      <c r="I791">
        <v>1</v>
      </c>
    </row>
    <row r="792" spans="1:9" x14ac:dyDescent="0.25">
      <c r="A792" s="5" t="str">
        <f>TrendSheetPrdData[[#This Row],[Population]]&amp;TrendSheetPrdData[[#This Row],[Cost Basis]]&amp;TrendSheetPrdData[[#This Row],[Period]]&amp;TrendSheetPrdData[[#This Row],[Trend]]</f>
        <v>CHESAPEAKE EMPLOYEEAllowed2016-12-01Avoidable Admission Quality</v>
      </c>
      <c r="B792" t="s">
        <v>90</v>
      </c>
      <c r="C792" t="s">
        <v>90</v>
      </c>
      <c r="D792" t="s">
        <v>91</v>
      </c>
      <c r="E792" s="1" t="s">
        <v>102</v>
      </c>
      <c r="F792" t="s">
        <v>93</v>
      </c>
      <c r="G792" t="s">
        <v>18</v>
      </c>
      <c r="H792">
        <v>7</v>
      </c>
      <c r="I792">
        <v>0</v>
      </c>
    </row>
    <row r="793" spans="1:9" x14ac:dyDescent="0.25">
      <c r="A793" s="5" t="str">
        <f>TrendSheetPrdData[[#This Row],[Population]]&amp;TrendSheetPrdData[[#This Row],[Cost Basis]]&amp;TrendSheetPrdData[[#This Row],[Period]]&amp;TrendSheetPrdData[[#This Row],[Trend]]</f>
        <v>CHESAPEAKE EMPLOYEEAllowed2017-01-01Avoidable Admission Quality</v>
      </c>
      <c r="B793" t="s">
        <v>90</v>
      </c>
      <c r="C793" t="s">
        <v>90</v>
      </c>
      <c r="D793" t="s">
        <v>91</v>
      </c>
      <c r="E793" s="1" t="s">
        <v>103</v>
      </c>
      <c r="F793" t="s">
        <v>93</v>
      </c>
      <c r="G793" t="s">
        <v>18</v>
      </c>
      <c r="H793">
        <v>7</v>
      </c>
      <c r="I793">
        <v>0</v>
      </c>
    </row>
    <row r="794" spans="1:9" x14ac:dyDescent="0.25">
      <c r="A794" s="5" t="str">
        <f>TrendSheetPrdData[[#This Row],[Population]]&amp;TrendSheetPrdData[[#This Row],[Cost Basis]]&amp;TrendSheetPrdData[[#This Row],[Period]]&amp;TrendSheetPrdData[[#This Row],[Trend]]</f>
        <v>CHESAPEAKE EMPLOYEEAllowed2017-02-01Avoidable Admission Quality</v>
      </c>
      <c r="B794" t="s">
        <v>90</v>
      </c>
      <c r="C794" t="s">
        <v>90</v>
      </c>
      <c r="D794" t="s">
        <v>91</v>
      </c>
      <c r="E794" s="1" t="s">
        <v>104</v>
      </c>
      <c r="F794" t="s">
        <v>106</v>
      </c>
      <c r="G794" t="s">
        <v>18</v>
      </c>
      <c r="H794">
        <v>7</v>
      </c>
      <c r="I794">
        <v>0</v>
      </c>
    </row>
    <row r="795" spans="1:9" x14ac:dyDescent="0.25">
      <c r="A795" s="5" t="str">
        <f>TrendSheetPrdData[[#This Row],[Population]]&amp;TrendSheetPrdData[[#This Row],[Cost Basis]]&amp;TrendSheetPrdData[[#This Row],[Period]]&amp;TrendSheetPrdData[[#This Row],[Trend]]</f>
        <v>CHESAPEAKE EMPLOYEEAllowed2017-03-01Avoidable Admission Quality</v>
      </c>
      <c r="B795" t="s">
        <v>90</v>
      </c>
      <c r="C795" t="s">
        <v>90</v>
      </c>
      <c r="D795" t="s">
        <v>91</v>
      </c>
      <c r="E795" s="1" t="s">
        <v>105</v>
      </c>
      <c r="F795" t="s">
        <v>106</v>
      </c>
      <c r="G795" t="s">
        <v>18</v>
      </c>
      <c r="H795">
        <v>7</v>
      </c>
      <c r="I795">
        <v>0</v>
      </c>
    </row>
    <row r="796" spans="1:9" x14ac:dyDescent="0.25">
      <c r="A796" s="5" t="str">
        <f>TrendSheetPrdData[[#This Row],[Population]]&amp;TrendSheetPrdData[[#This Row],[Cost Basis]]&amp;TrendSheetPrdData[[#This Row],[Period]]&amp;TrendSheetPrdData[[#This Row],[Trend]]</f>
        <v>CHESAPEAKE EMPLOYEEAllowed2017-04-01Avoidable Admission Quality</v>
      </c>
      <c r="B796" t="s">
        <v>90</v>
      </c>
      <c r="C796" t="s">
        <v>90</v>
      </c>
      <c r="D796" t="s">
        <v>91</v>
      </c>
      <c r="E796" s="1" t="s">
        <v>107</v>
      </c>
      <c r="F796" t="s">
        <v>106</v>
      </c>
      <c r="G796" t="s">
        <v>18</v>
      </c>
      <c r="H796">
        <v>7</v>
      </c>
      <c r="I796">
        <v>0</v>
      </c>
    </row>
    <row r="797" spans="1:9" x14ac:dyDescent="0.25">
      <c r="A797" s="5" t="str">
        <f>TrendSheetPrdData[[#This Row],[Population]]&amp;TrendSheetPrdData[[#This Row],[Cost Basis]]&amp;TrendSheetPrdData[[#This Row],[Period]]&amp;TrendSheetPrdData[[#This Row],[Trend]]</f>
        <v>CHESAPEAKE EMPLOYEEAllowed2016-02-01Outpatient Imaging Cost</v>
      </c>
      <c r="B797" t="s">
        <v>90</v>
      </c>
      <c r="C797" t="s">
        <v>90</v>
      </c>
      <c r="D797" t="s">
        <v>91</v>
      </c>
      <c r="E797" s="1" t="s">
        <v>133</v>
      </c>
      <c r="F797" t="s">
        <v>93</v>
      </c>
      <c r="G797" t="s">
        <v>19</v>
      </c>
      <c r="H797">
        <v>8</v>
      </c>
      <c r="I797">
        <v>36712.17</v>
      </c>
    </row>
    <row r="798" spans="1:9" x14ac:dyDescent="0.25">
      <c r="A798" s="5" t="str">
        <f>TrendSheetPrdData[[#This Row],[Population]]&amp;TrendSheetPrdData[[#This Row],[Cost Basis]]&amp;TrendSheetPrdData[[#This Row],[Period]]&amp;TrendSheetPrdData[[#This Row],[Trend]]</f>
        <v>CHESAPEAKE EMPLOYEEAllowed2016-03-01Outpatient Imaging Cost</v>
      </c>
      <c r="B798" t="s">
        <v>90</v>
      </c>
      <c r="C798" t="s">
        <v>90</v>
      </c>
      <c r="D798" t="s">
        <v>91</v>
      </c>
      <c r="E798" s="1" t="s">
        <v>92</v>
      </c>
      <c r="F798" t="s">
        <v>93</v>
      </c>
      <c r="G798" t="s">
        <v>19</v>
      </c>
      <c r="H798">
        <v>8</v>
      </c>
      <c r="I798">
        <v>36660.199999999997</v>
      </c>
    </row>
    <row r="799" spans="1:9" x14ac:dyDescent="0.25">
      <c r="A799" s="5" t="str">
        <f>TrendSheetPrdData[[#This Row],[Population]]&amp;TrendSheetPrdData[[#This Row],[Cost Basis]]&amp;TrendSheetPrdData[[#This Row],[Period]]&amp;TrendSheetPrdData[[#This Row],[Trend]]</f>
        <v>CHESAPEAKE EMPLOYEEAllowed2016-04-01Outpatient Imaging Cost</v>
      </c>
      <c r="B799" t="s">
        <v>90</v>
      </c>
      <c r="C799" t="s">
        <v>90</v>
      </c>
      <c r="D799" t="s">
        <v>91</v>
      </c>
      <c r="E799" s="1" t="s">
        <v>94</v>
      </c>
      <c r="F799" t="s">
        <v>93</v>
      </c>
      <c r="G799" t="s">
        <v>19</v>
      </c>
      <c r="H799">
        <v>8</v>
      </c>
      <c r="I799">
        <v>32318.13</v>
      </c>
    </row>
    <row r="800" spans="1:9" x14ac:dyDescent="0.25">
      <c r="A800" s="5" t="str">
        <f>TrendSheetPrdData[[#This Row],[Population]]&amp;TrendSheetPrdData[[#This Row],[Cost Basis]]&amp;TrendSheetPrdData[[#This Row],[Period]]&amp;TrendSheetPrdData[[#This Row],[Trend]]</f>
        <v>CHESAPEAKE EMPLOYEEAllowed2016-05-01Outpatient Imaging Cost</v>
      </c>
      <c r="B800" t="s">
        <v>90</v>
      </c>
      <c r="C800" t="s">
        <v>90</v>
      </c>
      <c r="D800" t="s">
        <v>91</v>
      </c>
      <c r="E800" s="1" t="s">
        <v>95</v>
      </c>
      <c r="F800" t="s">
        <v>93</v>
      </c>
      <c r="G800" t="s">
        <v>19</v>
      </c>
      <c r="H800">
        <v>8</v>
      </c>
      <c r="I800">
        <v>40754.79</v>
      </c>
    </row>
    <row r="801" spans="1:9" x14ac:dyDescent="0.25">
      <c r="A801" s="5" t="str">
        <f>TrendSheetPrdData[[#This Row],[Population]]&amp;TrendSheetPrdData[[#This Row],[Cost Basis]]&amp;TrendSheetPrdData[[#This Row],[Period]]&amp;TrendSheetPrdData[[#This Row],[Trend]]</f>
        <v>CHESAPEAKE EMPLOYEEAllowed2016-06-01Outpatient Imaging Cost</v>
      </c>
      <c r="B801" t="s">
        <v>90</v>
      </c>
      <c r="C801" t="s">
        <v>90</v>
      </c>
      <c r="D801" t="s">
        <v>91</v>
      </c>
      <c r="E801" s="1" t="s">
        <v>96</v>
      </c>
      <c r="F801" t="s">
        <v>93</v>
      </c>
      <c r="G801" t="s">
        <v>19</v>
      </c>
      <c r="H801">
        <v>8</v>
      </c>
      <c r="I801">
        <v>43679.56</v>
      </c>
    </row>
    <row r="802" spans="1:9" x14ac:dyDescent="0.25">
      <c r="A802" s="5" t="str">
        <f>TrendSheetPrdData[[#This Row],[Population]]&amp;TrendSheetPrdData[[#This Row],[Cost Basis]]&amp;TrendSheetPrdData[[#This Row],[Period]]&amp;TrendSheetPrdData[[#This Row],[Trend]]</f>
        <v>CHESAPEAKE EMPLOYEEAllowed2016-07-01Outpatient Imaging Cost</v>
      </c>
      <c r="B802" t="s">
        <v>90</v>
      </c>
      <c r="C802" t="s">
        <v>90</v>
      </c>
      <c r="D802" t="s">
        <v>91</v>
      </c>
      <c r="E802" s="1" t="s">
        <v>97</v>
      </c>
      <c r="F802" t="s">
        <v>93</v>
      </c>
      <c r="G802" t="s">
        <v>19</v>
      </c>
      <c r="H802">
        <v>8</v>
      </c>
      <c r="I802">
        <v>38110.43</v>
      </c>
    </row>
    <row r="803" spans="1:9" x14ac:dyDescent="0.25">
      <c r="A803" s="5" t="str">
        <f>TrendSheetPrdData[[#This Row],[Population]]&amp;TrendSheetPrdData[[#This Row],[Cost Basis]]&amp;TrendSheetPrdData[[#This Row],[Period]]&amp;TrendSheetPrdData[[#This Row],[Trend]]</f>
        <v>CHESAPEAKE EMPLOYEEAllowed2016-08-01Outpatient Imaging Cost</v>
      </c>
      <c r="B803" t="s">
        <v>90</v>
      </c>
      <c r="C803" t="s">
        <v>90</v>
      </c>
      <c r="D803" t="s">
        <v>91</v>
      </c>
      <c r="E803" s="1" t="s">
        <v>98</v>
      </c>
      <c r="F803" t="s">
        <v>93</v>
      </c>
      <c r="G803" t="s">
        <v>19</v>
      </c>
      <c r="H803">
        <v>8</v>
      </c>
      <c r="I803">
        <v>43457.54</v>
      </c>
    </row>
    <row r="804" spans="1:9" x14ac:dyDescent="0.25">
      <c r="A804" s="5" t="str">
        <f>TrendSheetPrdData[[#This Row],[Population]]&amp;TrendSheetPrdData[[#This Row],[Cost Basis]]&amp;TrendSheetPrdData[[#This Row],[Period]]&amp;TrendSheetPrdData[[#This Row],[Trend]]</f>
        <v>CHESAPEAKE EMPLOYEEAllowed2016-09-01Outpatient Imaging Cost</v>
      </c>
      <c r="B804" t="s">
        <v>90</v>
      </c>
      <c r="C804" t="s">
        <v>90</v>
      </c>
      <c r="D804" t="s">
        <v>91</v>
      </c>
      <c r="E804" s="1" t="s">
        <v>99</v>
      </c>
      <c r="F804" t="s">
        <v>93</v>
      </c>
      <c r="G804" t="s">
        <v>19</v>
      </c>
      <c r="H804">
        <v>8</v>
      </c>
      <c r="I804">
        <v>16807.21</v>
      </c>
    </row>
    <row r="805" spans="1:9" x14ac:dyDescent="0.25">
      <c r="A805" s="5" t="str">
        <f>TrendSheetPrdData[[#This Row],[Population]]&amp;TrendSheetPrdData[[#This Row],[Cost Basis]]&amp;TrendSheetPrdData[[#This Row],[Period]]&amp;TrendSheetPrdData[[#This Row],[Trend]]</f>
        <v>CHESAPEAKE EMPLOYEEAllowed2016-10-01Outpatient Imaging Cost</v>
      </c>
      <c r="B805" t="s">
        <v>90</v>
      </c>
      <c r="C805" t="s">
        <v>90</v>
      </c>
      <c r="D805" t="s">
        <v>91</v>
      </c>
      <c r="E805" s="1" t="s">
        <v>100</v>
      </c>
      <c r="F805" t="s">
        <v>93</v>
      </c>
      <c r="G805" t="s">
        <v>19</v>
      </c>
      <c r="H805">
        <v>8</v>
      </c>
      <c r="I805">
        <v>49139.51</v>
      </c>
    </row>
    <row r="806" spans="1:9" x14ac:dyDescent="0.25">
      <c r="A806" s="5" t="str">
        <f>TrendSheetPrdData[[#This Row],[Population]]&amp;TrendSheetPrdData[[#This Row],[Cost Basis]]&amp;TrendSheetPrdData[[#This Row],[Period]]&amp;TrendSheetPrdData[[#This Row],[Trend]]</f>
        <v>CHESAPEAKE EMPLOYEEAllowed2016-11-01Outpatient Imaging Cost</v>
      </c>
      <c r="B806" t="s">
        <v>90</v>
      </c>
      <c r="C806" t="s">
        <v>90</v>
      </c>
      <c r="D806" t="s">
        <v>91</v>
      </c>
      <c r="E806" s="1" t="s">
        <v>101</v>
      </c>
      <c r="F806" t="s">
        <v>93</v>
      </c>
      <c r="G806" t="s">
        <v>19</v>
      </c>
      <c r="H806">
        <v>8</v>
      </c>
      <c r="I806">
        <v>57553.32</v>
      </c>
    </row>
    <row r="807" spans="1:9" x14ac:dyDescent="0.25">
      <c r="A807" s="5" t="str">
        <f>TrendSheetPrdData[[#This Row],[Population]]&amp;TrendSheetPrdData[[#This Row],[Cost Basis]]&amp;TrendSheetPrdData[[#This Row],[Period]]&amp;TrendSheetPrdData[[#This Row],[Trend]]</f>
        <v>CHESAPEAKE EMPLOYEEAllowed2016-12-01Outpatient Imaging Cost</v>
      </c>
      <c r="B807" t="s">
        <v>90</v>
      </c>
      <c r="C807" t="s">
        <v>90</v>
      </c>
      <c r="D807" t="s">
        <v>91</v>
      </c>
      <c r="E807" s="1" t="s">
        <v>102</v>
      </c>
      <c r="F807" t="s">
        <v>93</v>
      </c>
      <c r="G807" t="s">
        <v>19</v>
      </c>
      <c r="H807">
        <v>8</v>
      </c>
      <c r="I807">
        <v>44258.3</v>
      </c>
    </row>
    <row r="808" spans="1:9" x14ac:dyDescent="0.25">
      <c r="A808" s="5" t="str">
        <f>TrendSheetPrdData[[#This Row],[Population]]&amp;TrendSheetPrdData[[#This Row],[Cost Basis]]&amp;TrendSheetPrdData[[#This Row],[Period]]&amp;TrendSheetPrdData[[#This Row],[Trend]]</f>
        <v>CHESAPEAKE EMPLOYEEAllowed2017-01-01Outpatient Imaging Cost</v>
      </c>
      <c r="B808" t="s">
        <v>90</v>
      </c>
      <c r="C808" t="s">
        <v>90</v>
      </c>
      <c r="D808" t="s">
        <v>91</v>
      </c>
      <c r="E808" s="1" t="s">
        <v>103</v>
      </c>
      <c r="F808" t="s">
        <v>93</v>
      </c>
      <c r="G808" t="s">
        <v>19</v>
      </c>
      <c r="H808">
        <v>8</v>
      </c>
      <c r="I808">
        <v>30404.48</v>
      </c>
    </row>
    <row r="809" spans="1:9" x14ac:dyDescent="0.25">
      <c r="A809" s="5" t="str">
        <f>TrendSheetPrdData[[#This Row],[Population]]&amp;TrendSheetPrdData[[#This Row],[Cost Basis]]&amp;TrendSheetPrdData[[#This Row],[Period]]&amp;TrendSheetPrdData[[#This Row],[Trend]]</f>
        <v>CHESAPEAKE EMPLOYEEAllowed2017-02-01Outpatient Imaging Cost</v>
      </c>
      <c r="B809" t="s">
        <v>90</v>
      </c>
      <c r="C809" t="s">
        <v>90</v>
      </c>
      <c r="D809" t="s">
        <v>91</v>
      </c>
      <c r="E809" s="1" t="s">
        <v>104</v>
      </c>
      <c r="F809" t="s">
        <v>106</v>
      </c>
      <c r="G809" t="s">
        <v>19</v>
      </c>
      <c r="H809">
        <v>8</v>
      </c>
      <c r="I809">
        <v>29231.42</v>
      </c>
    </row>
    <row r="810" spans="1:9" x14ac:dyDescent="0.25">
      <c r="A810" s="5" t="str">
        <f>TrendSheetPrdData[[#This Row],[Population]]&amp;TrendSheetPrdData[[#This Row],[Cost Basis]]&amp;TrendSheetPrdData[[#This Row],[Period]]&amp;TrendSheetPrdData[[#This Row],[Trend]]</f>
        <v>CHESAPEAKE EMPLOYEEAllowed2017-03-01Outpatient Imaging Cost</v>
      </c>
      <c r="B810" t="s">
        <v>90</v>
      </c>
      <c r="C810" t="s">
        <v>90</v>
      </c>
      <c r="D810" t="s">
        <v>91</v>
      </c>
      <c r="E810" s="1" t="s">
        <v>105</v>
      </c>
      <c r="F810" t="s">
        <v>106</v>
      </c>
      <c r="G810" t="s">
        <v>19</v>
      </c>
      <c r="H810">
        <v>8</v>
      </c>
      <c r="I810">
        <v>36044.61</v>
      </c>
    </row>
    <row r="811" spans="1:9" x14ac:dyDescent="0.25">
      <c r="A811" s="5" t="str">
        <f>TrendSheetPrdData[[#This Row],[Population]]&amp;TrendSheetPrdData[[#This Row],[Cost Basis]]&amp;TrendSheetPrdData[[#This Row],[Period]]&amp;TrendSheetPrdData[[#This Row],[Trend]]</f>
        <v>CHESAPEAKE EMPLOYEEAllowed2017-04-01Outpatient Imaging Cost</v>
      </c>
      <c r="B811" t="s">
        <v>90</v>
      </c>
      <c r="C811" t="s">
        <v>90</v>
      </c>
      <c r="D811" t="s">
        <v>91</v>
      </c>
      <c r="E811" s="1" t="s">
        <v>107</v>
      </c>
      <c r="F811" t="s">
        <v>106</v>
      </c>
      <c r="G811" t="s">
        <v>19</v>
      </c>
      <c r="H811">
        <v>8</v>
      </c>
      <c r="I811">
        <v>29485.54</v>
      </c>
    </row>
    <row r="812" spans="1:9" x14ac:dyDescent="0.25">
      <c r="A812" s="5" t="str">
        <f>TrendSheetPrdData[[#This Row],[Population]]&amp;TrendSheetPrdData[[#This Row],[Cost Basis]]&amp;TrendSheetPrdData[[#This Row],[Period]]&amp;TrendSheetPrdData[[#This Row],[Trend]]</f>
        <v>CHESAPEAKE EMPLOYEEAllowed2016-02-01Hospiatl Outpatient MRIs per 1k</v>
      </c>
      <c r="B812" t="s">
        <v>90</v>
      </c>
      <c r="C812" t="s">
        <v>90</v>
      </c>
      <c r="D812" t="s">
        <v>91</v>
      </c>
      <c r="E812" s="1" t="s">
        <v>133</v>
      </c>
      <c r="F812" t="s">
        <v>93</v>
      </c>
      <c r="G812" t="s">
        <v>20</v>
      </c>
      <c r="H812">
        <v>9</v>
      </c>
      <c r="I812">
        <v>59</v>
      </c>
    </row>
    <row r="813" spans="1:9" x14ac:dyDescent="0.25">
      <c r="A813" s="5" t="str">
        <f>TrendSheetPrdData[[#This Row],[Population]]&amp;TrendSheetPrdData[[#This Row],[Cost Basis]]&amp;TrendSheetPrdData[[#This Row],[Period]]&amp;TrendSheetPrdData[[#This Row],[Trend]]</f>
        <v>CHESAPEAKE EMPLOYEEAllowed2016-03-01Hospiatl Outpatient MRIs per 1k</v>
      </c>
      <c r="B813" t="s">
        <v>90</v>
      </c>
      <c r="C813" t="s">
        <v>90</v>
      </c>
      <c r="D813" t="s">
        <v>91</v>
      </c>
      <c r="E813" s="1" t="s">
        <v>92</v>
      </c>
      <c r="F813" t="s">
        <v>93</v>
      </c>
      <c r="G813" t="s">
        <v>20</v>
      </c>
      <c r="H813">
        <v>9</v>
      </c>
      <c r="I813">
        <v>50</v>
      </c>
    </row>
    <row r="814" spans="1:9" x14ac:dyDescent="0.25">
      <c r="A814" s="5" t="str">
        <f>TrendSheetPrdData[[#This Row],[Population]]&amp;TrendSheetPrdData[[#This Row],[Cost Basis]]&amp;TrendSheetPrdData[[#This Row],[Period]]&amp;TrendSheetPrdData[[#This Row],[Trend]]</f>
        <v>CHESAPEAKE EMPLOYEEAllowed2016-04-01Hospiatl Outpatient MRIs per 1k</v>
      </c>
      <c r="B814" t="s">
        <v>90</v>
      </c>
      <c r="C814" t="s">
        <v>90</v>
      </c>
      <c r="D814" t="s">
        <v>91</v>
      </c>
      <c r="E814" s="1" t="s">
        <v>94</v>
      </c>
      <c r="F814" t="s">
        <v>93</v>
      </c>
      <c r="G814" t="s">
        <v>20</v>
      </c>
      <c r="H814">
        <v>9</v>
      </c>
      <c r="I814">
        <v>36</v>
      </c>
    </row>
    <row r="815" spans="1:9" x14ac:dyDescent="0.25">
      <c r="A815" s="5" t="str">
        <f>TrendSheetPrdData[[#This Row],[Population]]&amp;TrendSheetPrdData[[#This Row],[Cost Basis]]&amp;TrendSheetPrdData[[#This Row],[Period]]&amp;TrendSheetPrdData[[#This Row],[Trend]]</f>
        <v>CHESAPEAKE EMPLOYEEAllowed2016-05-01Hospiatl Outpatient MRIs per 1k</v>
      </c>
      <c r="B815" t="s">
        <v>90</v>
      </c>
      <c r="C815" t="s">
        <v>90</v>
      </c>
      <c r="D815" t="s">
        <v>91</v>
      </c>
      <c r="E815" s="1" t="s">
        <v>95</v>
      </c>
      <c r="F815" t="s">
        <v>93</v>
      </c>
      <c r="G815" t="s">
        <v>20</v>
      </c>
      <c r="H815">
        <v>9</v>
      </c>
      <c r="I815">
        <v>58</v>
      </c>
    </row>
    <row r="816" spans="1:9" x14ac:dyDescent="0.25">
      <c r="A816" s="5" t="str">
        <f>TrendSheetPrdData[[#This Row],[Population]]&amp;TrendSheetPrdData[[#This Row],[Cost Basis]]&amp;TrendSheetPrdData[[#This Row],[Period]]&amp;TrendSheetPrdData[[#This Row],[Trend]]</f>
        <v>CHESAPEAKE EMPLOYEEAllowed2016-06-01Hospiatl Outpatient MRIs per 1k</v>
      </c>
      <c r="B816" t="s">
        <v>90</v>
      </c>
      <c r="C816" t="s">
        <v>90</v>
      </c>
      <c r="D816" t="s">
        <v>91</v>
      </c>
      <c r="E816" s="1" t="s">
        <v>96</v>
      </c>
      <c r="F816" t="s">
        <v>93</v>
      </c>
      <c r="G816" t="s">
        <v>20</v>
      </c>
      <c r="H816">
        <v>9</v>
      </c>
      <c r="I816">
        <v>36</v>
      </c>
    </row>
    <row r="817" spans="1:9" x14ac:dyDescent="0.25">
      <c r="A817" s="5" t="str">
        <f>TrendSheetPrdData[[#This Row],[Population]]&amp;TrendSheetPrdData[[#This Row],[Cost Basis]]&amp;TrendSheetPrdData[[#This Row],[Period]]&amp;TrendSheetPrdData[[#This Row],[Trend]]</f>
        <v>CHESAPEAKE EMPLOYEEAllowed2016-07-01Hospiatl Outpatient MRIs per 1k</v>
      </c>
      <c r="B817" t="s">
        <v>90</v>
      </c>
      <c r="C817" t="s">
        <v>90</v>
      </c>
      <c r="D817" t="s">
        <v>91</v>
      </c>
      <c r="E817" s="1" t="s">
        <v>97</v>
      </c>
      <c r="F817" t="s">
        <v>93</v>
      </c>
      <c r="G817" t="s">
        <v>20</v>
      </c>
      <c r="H817">
        <v>9</v>
      </c>
      <c r="I817">
        <v>44</v>
      </c>
    </row>
    <row r="818" spans="1:9" x14ac:dyDescent="0.25">
      <c r="A818" s="5" t="str">
        <f>TrendSheetPrdData[[#This Row],[Population]]&amp;TrendSheetPrdData[[#This Row],[Cost Basis]]&amp;TrendSheetPrdData[[#This Row],[Period]]&amp;TrendSheetPrdData[[#This Row],[Trend]]</f>
        <v>CHESAPEAKE EMPLOYEEAllowed2016-08-01Hospiatl Outpatient MRIs per 1k</v>
      </c>
      <c r="B818" t="s">
        <v>90</v>
      </c>
      <c r="C818" t="s">
        <v>90</v>
      </c>
      <c r="D818" t="s">
        <v>91</v>
      </c>
      <c r="E818" s="1" t="s">
        <v>98</v>
      </c>
      <c r="F818" t="s">
        <v>93</v>
      </c>
      <c r="G818" t="s">
        <v>20</v>
      </c>
      <c r="H818">
        <v>9</v>
      </c>
      <c r="I818">
        <v>52</v>
      </c>
    </row>
    <row r="819" spans="1:9" x14ac:dyDescent="0.25">
      <c r="A819" s="5" t="str">
        <f>TrendSheetPrdData[[#This Row],[Population]]&amp;TrendSheetPrdData[[#This Row],[Cost Basis]]&amp;TrendSheetPrdData[[#This Row],[Period]]&amp;TrendSheetPrdData[[#This Row],[Trend]]</f>
        <v>CHESAPEAKE EMPLOYEEAllowed2016-09-01Hospiatl Outpatient MRIs per 1k</v>
      </c>
      <c r="B819" t="s">
        <v>90</v>
      </c>
      <c r="C819" t="s">
        <v>90</v>
      </c>
      <c r="D819" t="s">
        <v>91</v>
      </c>
      <c r="E819" s="1" t="s">
        <v>99</v>
      </c>
      <c r="F819" t="s">
        <v>93</v>
      </c>
      <c r="G819" t="s">
        <v>20</v>
      </c>
      <c r="H819">
        <v>9</v>
      </c>
      <c r="I819">
        <v>17</v>
      </c>
    </row>
    <row r="820" spans="1:9" x14ac:dyDescent="0.25">
      <c r="A820" s="5" t="str">
        <f>TrendSheetPrdData[[#This Row],[Population]]&amp;TrendSheetPrdData[[#This Row],[Cost Basis]]&amp;TrendSheetPrdData[[#This Row],[Period]]&amp;TrendSheetPrdData[[#This Row],[Trend]]</f>
        <v>CHESAPEAKE EMPLOYEEAllowed2016-10-01Hospiatl Outpatient MRIs per 1k</v>
      </c>
      <c r="B820" t="s">
        <v>90</v>
      </c>
      <c r="C820" t="s">
        <v>90</v>
      </c>
      <c r="D820" t="s">
        <v>91</v>
      </c>
      <c r="E820" s="1" t="s">
        <v>100</v>
      </c>
      <c r="F820" t="s">
        <v>93</v>
      </c>
      <c r="G820" t="s">
        <v>20</v>
      </c>
      <c r="H820">
        <v>9</v>
      </c>
      <c r="I820">
        <v>74</v>
      </c>
    </row>
    <row r="821" spans="1:9" x14ac:dyDescent="0.25">
      <c r="A821" s="5" t="str">
        <f>TrendSheetPrdData[[#This Row],[Population]]&amp;TrendSheetPrdData[[#This Row],[Cost Basis]]&amp;TrendSheetPrdData[[#This Row],[Period]]&amp;TrendSheetPrdData[[#This Row],[Trend]]</f>
        <v>CHESAPEAKE EMPLOYEEAllowed2016-11-01Hospiatl Outpatient MRIs per 1k</v>
      </c>
      <c r="B821" t="s">
        <v>90</v>
      </c>
      <c r="C821" t="s">
        <v>90</v>
      </c>
      <c r="D821" t="s">
        <v>91</v>
      </c>
      <c r="E821" s="1" t="s">
        <v>101</v>
      </c>
      <c r="F821" t="s">
        <v>93</v>
      </c>
      <c r="G821" t="s">
        <v>20</v>
      </c>
      <c r="H821">
        <v>9</v>
      </c>
      <c r="I821">
        <v>65</v>
      </c>
    </row>
    <row r="822" spans="1:9" x14ac:dyDescent="0.25">
      <c r="A822" s="5" t="str">
        <f>TrendSheetPrdData[[#This Row],[Population]]&amp;TrendSheetPrdData[[#This Row],[Cost Basis]]&amp;TrendSheetPrdData[[#This Row],[Period]]&amp;TrendSheetPrdData[[#This Row],[Trend]]</f>
        <v>CHESAPEAKE EMPLOYEEAllowed2016-12-01Hospiatl Outpatient MRIs per 1k</v>
      </c>
      <c r="B822" t="s">
        <v>90</v>
      </c>
      <c r="C822" t="s">
        <v>90</v>
      </c>
      <c r="D822" t="s">
        <v>91</v>
      </c>
      <c r="E822" s="1" t="s">
        <v>102</v>
      </c>
      <c r="F822" t="s">
        <v>93</v>
      </c>
      <c r="G822" t="s">
        <v>20</v>
      </c>
      <c r="H822">
        <v>9</v>
      </c>
      <c r="I822">
        <v>69</v>
      </c>
    </row>
    <row r="823" spans="1:9" x14ac:dyDescent="0.25">
      <c r="A823" s="5" t="str">
        <f>TrendSheetPrdData[[#This Row],[Population]]&amp;TrendSheetPrdData[[#This Row],[Cost Basis]]&amp;TrendSheetPrdData[[#This Row],[Period]]&amp;TrendSheetPrdData[[#This Row],[Trend]]</f>
        <v>CHESAPEAKE EMPLOYEEAllowed2017-01-01Hospiatl Outpatient MRIs per 1k</v>
      </c>
      <c r="B823" t="s">
        <v>90</v>
      </c>
      <c r="C823" t="s">
        <v>90</v>
      </c>
      <c r="D823" t="s">
        <v>91</v>
      </c>
      <c r="E823" s="1" t="s">
        <v>103</v>
      </c>
      <c r="F823" t="s">
        <v>93</v>
      </c>
      <c r="G823" t="s">
        <v>20</v>
      </c>
      <c r="H823">
        <v>9</v>
      </c>
      <c r="I823">
        <v>27</v>
      </c>
    </row>
    <row r="824" spans="1:9" x14ac:dyDescent="0.25">
      <c r="A824" s="5" t="str">
        <f>TrendSheetPrdData[[#This Row],[Population]]&amp;TrendSheetPrdData[[#This Row],[Cost Basis]]&amp;TrendSheetPrdData[[#This Row],[Period]]&amp;TrendSheetPrdData[[#This Row],[Trend]]</f>
        <v>CHESAPEAKE EMPLOYEEAllowed2017-02-01Hospiatl Outpatient MRIs per 1k</v>
      </c>
      <c r="B824" t="s">
        <v>90</v>
      </c>
      <c r="C824" t="s">
        <v>90</v>
      </c>
      <c r="D824" t="s">
        <v>91</v>
      </c>
      <c r="E824" s="1" t="s">
        <v>104</v>
      </c>
      <c r="F824" t="s">
        <v>106</v>
      </c>
      <c r="G824" t="s">
        <v>20</v>
      </c>
      <c r="H824">
        <v>9</v>
      </c>
      <c r="I824">
        <v>34</v>
      </c>
    </row>
    <row r="825" spans="1:9" x14ac:dyDescent="0.25">
      <c r="A825" s="5" t="str">
        <f>TrendSheetPrdData[[#This Row],[Population]]&amp;TrendSheetPrdData[[#This Row],[Cost Basis]]&amp;TrendSheetPrdData[[#This Row],[Period]]&amp;TrendSheetPrdData[[#This Row],[Trend]]</f>
        <v>CHESAPEAKE EMPLOYEEAllowed2017-03-01Hospiatl Outpatient MRIs per 1k</v>
      </c>
      <c r="B825" t="s">
        <v>90</v>
      </c>
      <c r="C825" t="s">
        <v>90</v>
      </c>
      <c r="D825" t="s">
        <v>91</v>
      </c>
      <c r="E825" s="1" t="s">
        <v>105</v>
      </c>
      <c r="F825" t="s">
        <v>106</v>
      </c>
      <c r="G825" t="s">
        <v>20</v>
      </c>
      <c r="H825">
        <v>9</v>
      </c>
      <c r="I825">
        <v>26</v>
      </c>
    </row>
    <row r="826" spans="1:9" x14ac:dyDescent="0.25">
      <c r="A826" s="5" t="str">
        <f>TrendSheetPrdData[[#This Row],[Population]]&amp;TrendSheetPrdData[[#This Row],[Cost Basis]]&amp;TrendSheetPrdData[[#This Row],[Period]]&amp;TrendSheetPrdData[[#This Row],[Trend]]</f>
        <v>CHESAPEAKE EMPLOYEEAllowed2017-04-01Hospiatl Outpatient MRIs per 1k</v>
      </c>
      <c r="B826" t="s">
        <v>90</v>
      </c>
      <c r="C826" t="s">
        <v>90</v>
      </c>
      <c r="D826" t="s">
        <v>91</v>
      </c>
      <c r="E826" s="1" t="s">
        <v>107</v>
      </c>
      <c r="F826" t="s">
        <v>106</v>
      </c>
      <c r="G826" t="s">
        <v>20</v>
      </c>
      <c r="H826">
        <v>9</v>
      </c>
      <c r="I826">
        <v>19</v>
      </c>
    </row>
    <row r="827" spans="1:9" x14ac:dyDescent="0.25">
      <c r="A827" s="5" t="str">
        <f>TrendSheetPrdData[[#This Row],[Population]]&amp;TrendSheetPrdData[[#This Row],[Cost Basis]]&amp;TrendSheetPrdData[[#This Row],[Period]]&amp;TrendSheetPrdData[[#This Row],[Trend]]</f>
        <v>CHESAPEAKE EMPLOYEEAllowed2016-02-01Hospiatl Outpatient CTs per 1k</v>
      </c>
      <c r="B827" t="s">
        <v>90</v>
      </c>
      <c r="C827" t="s">
        <v>90</v>
      </c>
      <c r="D827" t="s">
        <v>91</v>
      </c>
      <c r="E827" s="1" t="s">
        <v>133</v>
      </c>
      <c r="F827" t="s">
        <v>93</v>
      </c>
      <c r="G827" t="s">
        <v>21</v>
      </c>
      <c r="H827">
        <v>10</v>
      </c>
      <c r="I827">
        <v>41</v>
      </c>
    </row>
    <row r="828" spans="1:9" x14ac:dyDescent="0.25">
      <c r="A828" s="5" t="str">
        <f>TrendSheetPrdData[[#This Row],[Population]]&amp;TrendSheetPrdData[[#This Row],[Cost Basis]]&amp;TrendSheetPrdData[[#This Row],[Period]]&amp;TrendSheetPrdData[[#This Row],[Trend]]</f>
        <v>CHESAPEAKE EMPLOYEEAllowed2016-03-01Hospiatl Outpatient CTs per 1k</v>
      </c>
      <c r="B828" t="s">
        <v>90</v>
      </c>
      <c r="C828" t="s">
        <v>90</v>
      </c>
      <c r="D828" t="s">
        <v>91</v>
      </c>
      <c r="E828" s="1" t="s">
        <v>92</v>
      </c>
      <c r="F828" t="s">
        <v>93</v>
      </c>
      <c r="G828" t="s">
        <v>21</v>
      </c>
      <c r="H828">
        <v>10</v>
      </c>
      <c r="I828">
        <v>41</v>
      </c>
    </row>
    <row r="829" spans="1:9" x14ac:dyDescent="0.25">
      <c r="A829" s="5" t="str">
        <f>TrendSheetPrdData[[#This Row],[Population]]&amp;TrendSheetPrdData[[#This Row],[Cost Basis]]&amp;TrendSheetPrdData[[#This Row],[Period]]&amp;TrendSheetPrdData[[#This Row],[Trend]]</f>
        <v>CHESAPEAKE EMPLOYEEAllowed2016-04-01Hospiatl Outpatient CTs per 1k</v>
      </c>
      <c r="B829" t="s">
        <v>90</v>
      </c>
      <c r="C829" t="s">
        <v>90</v>
      </c>
      <c r="D829" t="s">
        <v>91</v>
      </c>
      <c r="E829" s="1" t="s">
        <v>94</v>
      </c>
      <c r="F829" t="s">
        <v>93</v>
      </c>
      <c r="G829" t="s">
        <v>21</v>
      </c>
      <c r="H829">
        <v>10</v>
      </c>
      <c r="I829">
        <v>50</v>
      </c>
    </row>
    <row r="830" spans="1:9" x14ac:dyDescent="0.25">
      <c r="A830" s="5" t="str">
        <f>TrendSheetPrdData[[#This Row],[Population]]&amp;TrendSheetPrdData[[#This Row],[Cost Basis]]&amp;TrendSheetPrdData[[#This Row],[Period]]&amp;TrendSheetPrdData[[#This Row],[Trend]]</f>
        <v>CHESAPEAKE EMPLOYEEAllowed2016-05-01Hospiatl Outpatient CTs per 1k</v>
      </c>
      <c r="B830" t="s">
        <v>90</v>
      </c>
      <c r="C830" t="s">
        <v>90</v>
      </c>
      <c r="D830" t="s">
        <v>91</v>
      </c>
      <c r="E830" s="1" t="s">
        <v>95</v>
      </c>
      <c r="F830" t="s">
        <v>93</v>
      </c>
      <c r="G830" t="s">
        <v>21</v>
      </c>
      <c r="H830">
        <v>10</v>
      </c>
      <c r="I830">
        <v>27</v>
      </c>
    </row>
    <row r="831" spans="1:9" x14ac:dyDescent="0.25">
      <c r="A831" s="5" t="str">
        <f>TrendSheetPrdData[[#This Row],[Population]]&amp;TrendSheetPrdData[[#This Row],[Cost Basis]]&amp;TrendSheetPrdData[[#This Row],[Period]]&amp;TrendSheetPrdData[[#This Row],[Trend]]</f>
        <v>CHESAPEAKE EMPLOYEEAllowed2016-06-01Hospiatl Outpatient CTs per 1k</v>
      </c>
      <c r="B831" t="s">
        <v>90</v>
      </c>
      <c r="C831" t="s">
        <v>90</v>
      </c>
      <c r="D831" t="s">
        <v>91</v>
      </c>
      <c r="E831" s="1" t="s">
        <v>96</v>
      </c>
      <c r="F831" t="s">
        <v>93</v>
      </c>
      <c r="G831" t="s">
        <v>21</v>
      </c>
      <c r="H831">
        <v>10</v>
      </c>
      <c r="I831">
        <v>58</v>
      </c>
    </row>
    <row r="832" spans="1:9" x14ac:dyDescent="0.25">
      <c r="A832" s="5" t="str">
        <f>TrendSheetPrdData[[#This Row],[Population]]&amp;TrendSheetPrdData[[#This Row],[Cost Basis]]&amp;TrendSheetPrdData[[#This Row],[Period]]&amp;TrendSheetPrdData[[#This Row],[Trend]]</f>
        <v>CHESAPEAKE EMPLOYEEAllowed2016-07-01Hospiatl Outpatient CTs per 1k</v>
      </c>
      <c r="B832" t="s">
        <v>90</v>
      </c>
      <c r="C832" t="s">
        <v>90</v>
      </c>
      <c r="D832" t="s">
        <v>91</v>
      </c>
      <c r="E832" s="1" t="s">
        <v>97</v>
      </c>
      <c r="F832" t="s">
        <v>93</v>
      </c>
      <c r="G832" t="s">
        <v>21</v>
      </c>
      <c r="H832">
        <v>10</v>
      </c>
      <c r="I832">
        <v>39</v>
      </c>
    </row>
    <row r="833" spans="1:9" x14ac:dyDescent="0.25">
      <c r="A833" s="5" t="str">
        <f>TrendSheetPrdData[[#This Row],[Population]]&amp;TrendSheetPrdData[[#This Row],[Cost Basis]]&amp;TrendSheetPrdData[[#This Row],[Period]]&amp;TrendSheetPrdData[[#This Row],[Trend]]</f>
        <v>CHESAPEAKE EMPLOYEEAllowed2016-08-01Hospiatl Outpatient CTs per 1k</v>
      </c>
      <c r="B833" t="s">
        <v>90</v>
      </c>
      <c r="C833" t="s">
        <v>90</v>
      </c>
      <c r="D833" t="s">
        <v>91</v>
      </c>
      <c r="E833" s="1" t="s">
        <v>98</v>
      </c>
      <c r="F833" t="s">
        <v>93</v>
      </c>
      <c r="G833" t="s">
        <v>21</v>
      </c>
      <c r="H833">
        <v>10</v>
      </c>
      <c r="I833">
        <v>56</v>
      </c>
    </row>
    <row r="834" spans="1:9" x14ac:dyDescent="0.25">
      <c r="A834" s="5" t="str">
        <f>TrendSheetPrdData[[#This Row],[Population]]&amp;TrendSheetPrdData[[#This Row],[Cost Basis]]&amp;TrendSheetPrdData[[#This Row],[Period]]&amp;TrendSheetPrdData[[#This Row],[Trend]]</f>
        <v>CHESAPEAKE EMPLOYEEAllowed2016-09-01Hospiatl Outpatient CTs per 1k</v>
      </c>
      <c r="B834" t="s">
        <v>90</v>
      </c>
      <c r="C834" t="s">
        <v>90</v>
      </c>
      <c r="D834" t="s">
        <v>91</v>
      </c>
      <c r="E834" s="1" t="s">
        <v>99</v>
      </c>
      <c r="F834" t="s">
        <v>93</v>
      </c>
      <c r="G834" t="s">
        <v>21</v>
      </c>
      <c r="H834">
        <v>10</v>
      </c>
      <c r="I834">
        <v>29</v>
      </c>
    </row>
    <row r="835" spans="1:9" x14ac:dyDescent="0.25">
      <c r="A835" s="5" t="str">
        <f>TrendSheetPrdData[[#This Row],[Population]]&amp;TrendSheetPrdData[[#This Row],[Cost Basis]]&amp;TrendSheetPrdData[[#This Row],[Period]]&amp;TrendSheetPrdData[[#This Row],[Trend]]</f>
        <v>CHESAPEAKE EMPLOYEEAllowed2016-10-01Hospiatl Outpatient CTs per 1k</v>
      </c>
      <c r="B835" t="s">
        <v>90</v>
      </c>
      <c r="C835" t="s">
        <v>90</v>
      </c>
      <c r="D835" t="s">
        <v>91</v>
      </c>
      <c r="E835" s="1" t="s">
        <v>100</v>
      </c>
      <c r="F835" t="s">
        <v>93</v>
      </c>
      <c r="G835" t="s">
        <v>21</v>
      </c>
      <c r="H835">
        <v>10</v>
      </c>
      <c r="I835">
        <v>21</v>
      </c>
    </row>
    <row r="836" spans="1:9" x14ac:dyDescent="0.25">
      <c r="A836" s="5" t="str">
        <f>TrendSheetPrdData[[#This Row],[Population]]&amp;TrendSheetPrdData[[#This Row],[Cost Basis]]&amp;TrendSheetPrdData[[#This Row],[Period]]&amp;TrendSheetPrdData[[#This Row],[Trend]]</f>
        <v>CHESAPEAKE EMPLOYEEAllowed2016-11-01Hospiatl Outpatient CTs per 1k</v>
      </c>
      <c r="B836" t="s">
        <v>90</v>
      </c>
      <c r="C836" t="s">
        <v>90</v>
      </c>
      <c r="D836" t="s">
        <v>91</v>
      </c>
      <c r="E836" s="1" t="s">
        <v>101</v>
      </c>
      <c r="F836" t="s">
        <v>93</v>
      </c>
      <c r="G836" t="s">
        <v>21</v>
      </c>
      <c r="H836">
        <v>10</v>
      </c>
      <c r="I836">
        <v>45</v>
      </c>
    </row>
    <row r="837" spans="1:9" x14ac:dyDescent="0.25">
      <c r="A837" s="5" t="str">
        <f>TrendSheetPrdData[[#This Row],[Population]]&amp;TrendSheetPrdData[[#This Row],[Cost Basis]]&amp;TrendSheetPrdData[[#This Row],[Period]]&amp;TrendSheetPrdData[[#This Row],[Trend]]</f>
        <v>CHESAPEAKE EMPLOYEEAllowed2016-12-01Hospiatl Outpatient CTs per 1k</v>
      </c>
      <c r="B837" t="s">
        <v>90</v>
      </c>
      <c r="C837" t="s">
        <v>90</v>
      </c>
      <c r="D837" t="s">
        <v>91</v>
      </c>
      <c r="E837" s="1" t="s">
        <v>102</v>
      </c>
      <c r="F837" t="s">
        <v>93</v>
      </c>
      <c r="G837" t="s">
        <v>21</v>
      </c>
      <c r="H837">
        <v>10</v>
      </c>
      <c r="I837">
        <v>24</v>
      </c>
    </row>
    <row r="838" spans="1:9" x14ac:dyDescent="0.25">
      <c r="A838" s="5" t="str">
        <f>TrendSheetPrdData[[#This Row],[Population]]&amp;TrendSheetPrdData[[#This Row],[Cost Basis]]&amp;TrendSheetPrdData[[#This Row],[Period]]&amp;TrendSheetPrdData[[#This Row],[Trend]]</f>
        <v>CHESAPEAKE EMPLOYEEAllowed2017-01-01Hospiatl Outpatient CTs per 1k</v>
      </c>
      <c r="B838" t="s">
        <v>90</v>
      </c>
      <c r="C838" t="s">
        <v>90</v>
      </c>
      <c r="D838" t="s">
        <v>91</v>
      </c>
      <c r="E838" s="1" t="s">
        <v>103</v>
      </c>
      <c r="F838" t="s">
        <v>93</v>
      </c>
      <c r="G838" t="s">
        <v>21</v>
      </c>
      <c r="H838">
        <v>10</v>
      </c>
      <c r="I838">
        <v>27</v>
      </c>
    </row>
    <row r="839" spans="1:9" x14ac:dyDescent="0.25">
      <c r="A839" s="5" t="str">
        <f>TrendSheetPrdData[[#This Row],[Population]]&amp;TrendSheetPrdData[[#This Row],[Cost Basis]]&amp;TrendSheetPrdData[[#This Row],[Period]]&amp;TrendSheetPrdData[[#This Row],[Trend]]</f>
        <v>CHESAPEAKE EMPLOYEEAllowed2017-02-01Hospiatl Outpatient CTs per 1k</v>
      </c>
      <c r="B839" t="s">
        <v>90</v>
      </c>
      <c r="C839" t="s">
        <v>90</v>
      </c>
      <c r="D839" t="s">
        <v>91</v>
      </c>
      <c r="E839" s="1" t="s">
        <v>104</v>
      </c>
      <c r="F839" t="s">
        <v>106</v>
      </c>
      <c r="G839" t="s">
        <v>21</v>
      </c>
      <c r="H839">
        <v>10</v>
      </c>
      <c r="I839">
        <v>23</v>
      </c>
    </row>
    <row r="840" spans="1:9" x14ac:dyDescent="0.25">
      <c r="A840" s="5" t="str">
        <f>TrendSheetPrdData[[#This Row],[Population]]&amp;TrendSheetPrdData[[#This Row],[Cost Basis]]&amp;TrendSheetPrdData[[#This Row],[Period]]&amp;TrendSheetPrdData[[#This Row],[Trend]]</f>
        <v>CHESAPEAKE EMPLOYEEAllowed2017-03-01Hospiatl Outpatient CTs per 1k</v>
      </c>
      <c r="B840" t="s">
        <v>90</v>
      </c>
      <c r="C840" t="s">
        <v>90</v>
      </c>
      <c r="D840" t="s">
        <v>91</v>
      </c>
      <c r="E840" s="1" t="s">
        <v>105</v>
      </c>
      <c r="F840" t="s">
        <v>106</v>
      </c>
      <c r="G840" t="s">
        <v>21</v>
      </c>
      <c r="H840">
        <v>10</v>
      </c>
      <c r="I840">
        <v>38</v>
      </c>
    </row>
    <row r="841" spans="1:9" x14ac:dyDescent="0.25">
      <c r="A841" s="5" t="str">
        <f>TrendSheetPrdData[[#This Row],[Population]]&amp;TrendSheetPrdData[[#This Row],[Cost Basis]]&amp;TrendSheetPrdData[[#This Row],[Period]]&amp;TrendSheetPrdData[[#This Row],[Trend]]</f>
        <v>CHESAPEAKE EMPLOYEEAllowed2017-04-01Hospiatl Outpatient CTs per 1k</v>
      </c>
      <c r="B841" t="s">
        <v>90</v>
      </c>
      <c r="C841" t="s">
        <v>90</v>
      </c>
      <c r="D841" t="s">
        <v>91</v>
      </c>
      <c r="E841" s="1" t="s">
        <v>107</v>
      </c>
      <c r="F841" t="s">
        <v>106</v>
      </c>
      <c r="G841" t="s">
        <v>21</v>
      </c>
      <c r="H841">
        <v>10</v>
      </c>
      <c r="I841">
        <v>19</v>
      </c>
    </row>
    <row r="842" spans="1:9" x14ac:dyDescent="0.25">
      <c r="A842" s="5" t="str">
        <f>TrendSheetPrdData[[#This Row],[Population]]&amp;TrendSheetPrdData[[#This Row],[Cost Basis]]&amp;TrendSheetPrdData[[#This Row],[Period]]&amp;TrendSheetPrdData[[#This Row],[Trend]]</f>
        <v>CHESAPEAKE EMPLOYEEAllowed2016-02-01Office Based MRIs per 1k</v>
      </c>
      <c r="B842" t="s">
        <v>90</v>
      </c>
      <c r="C842" t="s">
        <v>90</v>
      </c>
      <c r="D842" t="s">
        <v>91</v>
      </c>
      <c r="E842" s="1" t="s">
        <v>133</v>
      </c>
      <c r="F842" t="s">
        <v>93</v>
      </c>
      <c r="G842" t="s">
        <v>22</v>
      </c>
      <c r="H842">
        <v>11</v>
      </c>
      <c r="I842">
        <v>5</v>
      </c>
    </row>
    <row r="843" spans="1:9" x14ac:dyDescent="0.25">
      <c r="A843" s="5" t="str">
        <f>TrendSheetPrdData[[#This Row],[Population]]&amp;TrendSheetPrdData[[#This Row],[Cost Basis]]&amp;TrendSheetPrdData[[#This Row],[Period]]&amp;TrendSheetPrdData[[#This Row],[Trend]]</f>
        <v>CHESAPEAKE EMPLOYEEAllowed2016-03-01Office Based MRIs per 1k</v>
      </c>
      <c r="B843" t="s">
        <v>90</v>
      </c>
      <c r="C843" t="s">
        <v>90</v>
      </c>
      <c r="D843" t="s">
        <v>91</v>
      </c>
      <c r="E843" s="1" t="s">
        <v>92</v>
      </c>
      <c r="F843" t="s">
        <v>93</v>
      </c>
      <c r="G843" t="s">
        <v>22</v>
      </c>
      <c r="H843">
        <v>11</v>
      </c>
      <c r="I843">
        <v>5</v>
      </c>
    </row>
    <row r="844" spans="1:9" x14ac:dyDescent="0.25">
      <c r="A844" s="5" t="str">
        <f>TrendSheetPrdData[[#This Row],[Population]]&amp;TrendSheetPrdData[[#This Row],[Cost Basis]]&amp;TrendSheetPrdData[[#This Row],[Period]]&amp;TrendSheetPrdData[[#This Row],[Trend]]</f>
        <v>CHESAPEAKE EMPLOYEEAllowed2016-04-01Office Based MRIs per 1k</v>
      </c>
      <c r="B844" t="s">
        <v>90</v>
      </c>
      <c r="C844" t="s">
        <v>90</v>
      </c>
      <c r="D844" t="s">
        <v>91</v>
      </c>
      <c r="E844" s="1" t="s">
        <v>94</v>
      </c>
      <c r="F844" t="s">
        <v>93</v>
      </c>
      <c r="G844" t="s">
        <v>22</v>
      </c>
      <c r="H844">
        <v>11</v>
      </c>
      <c r="I844">
        <v>9</v>
      </c>
    </row>
    <row r="845" spans="1:9" x14ac:dyDescent="0.25">
      <c r="A845" s="5" t="str">
        <f>TrendSheetPrdData[[#This Row],[Population]]&amp;TrendSheetPrdData[[#This Row],[Cost Basis]]&amp;TrendSheetPrdData[[#This Row],[Period]]&amp;TrendSheetPrdData[[#This Row],[Trend]]</f>
        <v>CHESAPEAKE EMPLOYEEAllowed2016-05-01Office Based MRIs per 1k</v>
      </c>
      <c r="B845" t="s">
        <v>90</v>
      </c>
      <c r="C845" t="s">
        <v>90</v>
      </c>
      <c r="D845" t="s">
        <v>91</v>
      </c>
      <c r="E845" s="1" t="s">
        <v>95</v>
      </c>
      <c r="F845" t="s">
        <v>93</v>
      </c>
      <c r="G845" t="s">
        <v>22</v>
      </c>
      <c r="H845">
        <v>11</v>
      </c>
      <c r="I845">
        <v>0</v>
      </c>
    </row>
    <row r="846" spans="1:9" x14ac:dyDescent="0.25">
      <c r="A846" s="5" t="str">
        <f>TrendSheetPrdData[[#This Row],[Population]]&amp;TrendSheetPrdData[[#This Row],[Cost Basis]]&amp;TrendSheetPrdData[[#This Row],[Period]]&amp;TrendSheetPrdData[[#This Row],[Trend]]</f>
        <v>CHESAPEAKE EMPLOYEEAllowed2016-06-01Office Based MRIs per 1k</v>
      </c>
      <c r="B846" t="s">
        <v>90</v>
      </c>
      <c r="C846" t="s">
        <v>90</v>
      </c>
      <c r="D846" t="s">
        <v>91</v>
      </c>
      <c r="E846" s="1" t="s">
        <v>96</v>
      </c>
      <c r="F846" t="s">
        <v>93</v>
      </c>
      <c r="G846" t="s">
        <v>22</v>
      </c>
      <c r="H846">
        <v>11</v>
      </c>
      <c r="I846">
        <v>0</v>
      </c>
    </row>
    <row r="847" spans="1:9" x14ac:dyDescent="0.25">
      <c r="A847" s="5" t="str">
        <f>TrendSheetPrdData[[#This Row],[Population]]&amp;TrendSheetPrdData[[#This Row],[Cost Basis]]&amp;TrendSheetPrdData[[#This Row],[Period]]&amp;TrendSheetPrdData[[#This Row],[Trend]]</f>
        <v>CHESAPEAKE EMPLOYEEAllowed2016-07-01Office Based MRIs per 1k</v>
      </c>
      <c r="B847" t="s">
        <v>90</v>
      </c>
      <c r="C847" t="s">
        <v>90</v>
      </c>
      <c r="D847" t="s">
        <v>91</v>
      </c>
      <c r="E847" s="1" t="s">
        <v>97</v>
      </c>
      <c r="F847" t="s">
        <v>93</v>
      </c>
      <c r="G847" t="s">
        <v>22</v>
      </c>
      <c r="H847">
        <v>11</v>
      </c>
      <c r="I847">
        <v>9</v>
      </c>
    </row>
    <row r="848" spans="1:9" x14ac:dyDescent="0.25">
      <c r="A848" s="5" t="str">
        <f>TrendSheetPrdData[[#This Row],[Population]]&amp;TrendSheetPrdData[[#This Row],[Cost Basis]]&amp;TrendSheetPrdData[[#This Row],[Period]]&amp;TrendSheetPrdData[[#This Row],[Trend]]</f>
        <v>CHESAPEAKE EMPLOYEEAllowed2016-08-01Office Based MRIs per 1k</v>
      </c>
      <c r="B848" t="s">
        <v>90</v>
      </c>
      <c r="C848" t="s">
        <v>90</v>
      </c>
      <c r="D848" t="s">
        <v>91</v>
      </c>
      <c r="E848" s="1" t="s">
        <v>98</v>
      </c>
      <c r="F848" t="s">
        <v>93</v>
      </c>
      <c r="G848" t="s">
        <v>22</v>
      </c>
      <c r="H848">
        <v>11</v>
      </c>
      <c r="I848">
        <v>0</v>
      </c>
    </row>
    <row r="849" spans="1:9" x14ac:dyDescent="0.25">
      <c r="A849" s="5" t="str">
        <f>TrendSheetPrdData[[#This Row],[Population]]&amp;TrendSheetPrdData[[#This Row],[Cost Basis]]&amp;TrendSheetPrdData[[#This Row],[Period]]&amp;TrendSheetPrdData[[#This Row],[Trend]]</f>
        <v>CHESAPEAKE EMPLOYEEAllowed2016-09-01Office Based MRIs per 1k</v>
      </c>
      <c r="B849" t="s">
        <v>90</v>
      </c>
      <c r="C849" t="s">
        <v>90</v>
      </c>
      <c r="D849" t="s">
        <v>91</v>
      </c>
      <c r="E849" s="1" t="s">
        <v>99</v>
      </c>
      <c r="F849" t="s">
        <v>93</v>
      </c>
      <c r="G849" t="s">
        <v>22</v>
      </c>
      <c r="H849">
        <v>11</v>
      </c>
      <c r="I849">
        <v>0</v>
      </c>
    </row>
    <row r="850" spans="1:9" x14ac:dyDescent="0.25">
      <c r="A850" s="5" t="str">
        <f>TrendSheetPrdData[[#This Row],[Population]]&amp;TrendSheetPrdData[[#This Row],[Cost Basis]]&amp;TrendSheetPrdData[[#This Row],[Period]]&amp;TrendSheetPrdData[[#This Row],[Trend]]</f>
        <v>CHESAPEAKE EMPLOYEEAllowed2016-10-01Office Based MRIs per 1k</v>
      </c>
      <c r="B850" t="s">
        <v>90</v>
      </c>
      <c r="C850" t="s">
        <v>90</v>
      </c>
      <c r="D850" t="s">
        <v>91</v>
      </c>
      <c r="E850" s="1" t="s">
        <v>100</v>
      </c>
      <c r="F850" t="s">
        <v>93</v>
      </c>
      <c r="G850" t="s">
        <v>22</v>
      </c>
      <c r="H850">
        <v>11</v>
      </c>
      <c r="I850">
        <v>4</v>
      </c>
    </row>
    <row r="851" spans="1:9" x14ac:dyDescent="0.25">
      <c r="A851" s="5" t="str">
        <f>TrendSheetPrdData[[#This Row],[Population]]&amp;TrendSheetPrdData[[#This Row],[Cost Basis]]&amp;TrendSheetPrdData[[#This Row],[Period]]&amp;TrendSheetPrdData[[#This Row],[Trend]]</f>
        <v>CHESAPEAKE EMPLOYEEAllowed2016-11-01Office Based MRIs per 1k</v>
      </c>
      <c r="B851" t="s">
        <v>90</v>
      </c>
      <c r="C851" t="s">
        <v>90</v>
      </c>
      <c r="D851" t="s">
        <v>91</v>
      </c>
      <c r="E851" s="1" t="s">
        <v>101</v>
      </c>
      <c r="F851" t="s">
        <v>93</v>
      </c>
      <c r="G851" t="s">
        <v>22</v>
      </c>
      <c r="H851">
        <v>11</v>
      </c>
      <c r="I851">
        <v>4</v>
      </c>
    </row>
    <row r="852" spans="1:9" x14ac:dyDescent="0.25">
      <c r="A852" s="5" t="str">
        <f>TrendSheetPrdData[[#This Row],[Population]]&amp;TrendSheetPrdData[[#This Row],[Cost Basis]]&amp;TrendSheetPrdData[[#This Row],[Period]]&amp;TrendSheetPrdData[[#This Row],[Trend]]</f>
        <v>CHESAPEAKE EMPLOYEEAllowed2016-12-01Office Based MRIs per 1k</v>
      </c>
      <c r="B852" t="s">
        <v>90</v>
      </c>
      <c r="C852" t="s">
        <v>90</v>
      </c>
      <c r="D852" t="s">
        <v>91</v>
      </c>
      <c r="E852" s="1" t="s">
        <v>102</v>
      </c>
      <c r="F852" t="s">
        <v>93</v>
      </c>
      <c r="G852" t="s">
        <v>22</v>
      </c>
      <c r="H852">
        <v>11</v>
      </c>
      <c r="I852">
        <v>0</v>
      </c>
    </row>
    <row r="853" spans="1:9" x14ac:dyDescent="0.25">
      <c r="A853" s="5" t="str">
        <f>TrendSheetPrdData[[#This Row],[Population]]&amp;TrendSheetPrdData[[#This Row],[Cost Basis]]&amp;TrendSheetPrdData[[#This Row],[Period]]&amp;TrendSheetPrdData[[#This Row],[Trend]]</f>
        <v>CHESAPEAKE EMPLOYEEAllowed2017-01-01Office Based MRIs per 1k</v>
      </c>
      <c r="B853" t="s">
        <v>90</v>
      </c>
      <c r="C853" t="s">
        <v>90</v>
      </c>
      <c r="D853" t="s">
        <v>91</v>
      </c>
      <c r="E853" s="1" t="s">
        <v>103</v>
      </c>
      <c r="F853" t="s">
        <v>93</v>
      </c>
      <c r="G853" t="s">
        <v>22</v>
      </c>
      <c r="H853">
        <v>11</v>
      </c>
      <c r="I853">
        <v>0</v>
      </c>
    </row>
    <row r="854" spans="1:9" x14ac:dyDescent="0.25">
      <c r="A854" s="5" t="str">
        <f>TrendSheetPrdData[[#This Row],[Population]]&amp;TrendSheetPrdData[[#This Row],[Cost Basis]]&amp;TrendSheetPrdData[[#This Row],[Period]]&amp;TrendSheetPrdData[[#This Row],[Trend]]</f>
        <v>CHESAPEAKE EMPLOYEEAllowed2017-02-01Office Based MRIs per 1k</v>
      </c>
      <c r="B854" t="s">
        <v>90</v>
      </c>
      <c r="C854" t="s">
        <v>90</v>
      </c>
      <c r="D854" t="s">
        <v>91</v>
      </c>
      <c r="E854" s="1" t="s">
        <v>104</v>
      </c>
      <c r="F854" t="s">
        <v>106</v>
      </c>
      <c r="G854" t="s">
        <v>22</v>
      </c>
      <c r="H854">
        <v>11</v>
      </c>
      <c r="I854">
        <v>4</v>
      </c>
    </row>
    <row r="855" spans="1:9" x14ac:dyDescent="0.25">
      <c r="A855" s="5" t="str">
        <f>TrendSheetPrdData[[#This Row],[Population]]&amp;TrendSheetPrdData[[#This Row],[Cost Basis]]&amp;TrendSheetPrdData[[#This Row],[Period]]&amp;TrendSheetPrdData[[#This Row],[Trend]]</f>
        <v>CHESAPEAKE EMPLOYEEAllowed2017-03-01Office Based MRIs per 1k</v>
      </c>
      <c r="B855" t="s">
        <v>90</v>
      </c>
      <c r="C855" t="s">
        <v>90</v>
      </c>
      <c r="D855" t="s">
        <v>91</v>
      </c>
      <c r="E855" s="1" t="s">
        <v>105</v>
      </c>
      <c r="F855" t="s">
        <v>106</v>
      </c>
      <c r="G855" t="s">
        <v>22</v>
      </c>
      <c r="H855">
        <v>11</v>
      </c>
      <c r="I855">
        <v>0</v>
      </c>
    </row>
    <row r="856" spans="1:9" x14ac:dyDescent="0.25">
      <c r="A856" s="5" t="str">
        <f>TrendSheetPrdData[[#This Row],[Population]]&amp;TrendSheetPrdData[[#This Row],[Cost Basis]]&amp;TrendSheetPrdData[[#This Row],[Period]]&amp;TrendSheetPrdData[[#This Row],[Trend]]</f>
        <v>CHESAPEAKE EMPLOYEEAllowed2017-04-01Office Based MRIs per 1k</v>
      </c>
      <c r="B856" t="s">
        <v>90</v>
      </c>
      <c r="C856" t="s">
        <v>90</v>
      </c>
      <c r="D856" t="s">
        <v>91</v>
      </c>
      <c r="E856" s="1" t="s">
        <v>107</v>
      </c>
      <c r="F856" t="s">
        <v>106</v>
      </c>
      <c r="G856" t="s">
        <v>22</v>
      </c>
      <c r="H856">
        <v>11</v>
      </c>
      <c r="I856">
        <v>7</v>
      </c>
    </row>
    <row r="857" spans="1:9" x14ac:dyDescent="0.25">
      <c r="A857" s="5" t="str">
        <f>TrendSheetPrdData[[#This Row],[Population]]&amp;TrendSheetPrdData[[#This Row],[Cost Basis]]&amp;TrendSheetPrdData[[#This Row],[Period]]&amp;TrendSheetPrdData[[#This Row],[Trend]]</f>
        <v>CHESAPEAKE EMPLOYEEAllowed2016-02-01Office Based CTs per 1k</v>
      </c>
      <c r="B857" t="s">
        <v>90</v>
      </c>
      <c r="C857" t="s">
        <v>90</v>
      </c>
      <c r="D857" t="s">
        <v>91</v>
      </c>
      <c r="E857" s="1" t="s">
        <v>133</v>
      </c>
      <c r="F857" t="s">
        <v>93</v>
      </c>
      <c r="G857" t="s">
        <v>23</v>
      </c>
      <c r="H857">
        <v>12</v>
      </c>
      <c r="I857">
        <v>5</v>
      </c>
    </row>
    <row r="858" spans="1:9" x14ac:dyDescent="0.25">
      <c r="A858" s="5" t="str">
        <f>TrendSheetPrdData[[#This Row],[Population]]&amp;TrendSheetPrdData[[#This Row],[Cost Basis]]&amp;TrendSheetPrdData[[#This Row],[Period]]&amp;TrendSheetPrdData[[#This Row],[Trend]]</f>
        <v>CHESAPEAKE EMPLOYEEAllowed2016-03-01Office Based CTs per 1k</v>
      </c>
      <c r="B858" t="s">
        <v>90</v>
      </c>
      <c r="C858" t="s">
        <v>90</v>
      </c>
      <c r="D858" t="s">
        <v>91</v>
      </c>
      <c r="E858" s="1" t="s">
        <v>92</v>
      </c>
      <c r="F858" t="s">
        <v>93</v>
      </c>
      <c r="G858" t="s">
        <v>23</v>
      </c>
      <c r="H858">
        <v>12</v>
      </c>
      <c r="I858">
        <v>0</v>
      </c>
    </row>
    <row r="859" spans="1:9" x14ac:dyDescent="0.25">
      <c r="A859" s="5" t="str">
        <f>TrendSheetPrdData[[#This Row],[Population]]&amp;TrendSheetPrdData[[#This Row],[Cost Basis]]&amp;TrendSheetPrdData[[#This Row],[Period]]&amp;TrendSheetPrdData[[#This Row],[Trend]]</f>
        <v>CHESAPEAKE EMPLOYEEAllowed2016-04-01Office Based CTs per 1k</v>
      </c>
      <c r="B859" t="s">
        <v>90</v>
      </c>
      <c r="C859" t="s">
        <v>90</v>
      </c>
      <c r="D859" t="s">
        <v>91</v>
      </c>
      <c r="E859" s="1" t="s">
        <v>94</v>
      </c>
      <c r="F859" t="s">
        <v>93</v>
      </c>
      <c r="G859" t="s">
        <v>23</v>
      </c>
      <c r="H859">
        <v>12</v>
      </c>
      <c r="I859">
        <v>0</v>
      </c>
    </row>
    <row r="860" spans="1:9" x14ac:dyDescent="0.25">
      <c r="A860" s="5" t="str">
        <f>TrendSheetPrdData[[#This Row],[Population]]&amp;TrendSheetPrdData[[#This Row],[Cost Basis]]&amp;TrendSheetPrdData[[#This Row],[Period]]&amp;TrendSheetPrdData[[#This Row],[Trend]]</f>
        <v>CHESAPEAKE EMPLOYEEAllowed2016-05-01Office Based CTs per 1k</v>
      </c>
      <c r="B860" t="s">
        <v>90</v>
      </c>
      <c r="C860" t="s">
        <v>90</v>
      </c>
      <c r="D860" t="s">
        <v>91</v>
      </c>
      <c r="E860" s="1" t="s">
        <v>95</v>
      </c>
      <c r="F860" t="s">
        <v>93</v>
      </c>
      <c r="G860" t="s">
        <v>23</v>
      </c>
      <c r="H860">
        <v>12</v>
      </c>
      <c r="I860">
        <v>0</v>
      </c>
    </row>
    <row r="861" spans="1:9" x14ac:dyDescent="0.25">
      <c r="A861" s="5" t="str">
        <f>TrendSheetPrdData[[#This Row],[Population]]&amp;TrendSheetPrdData[[#This Row],[Cost Basis]]&amp;TrendSheetPrdData[[#This Row],[Period]]&amp;TrendSheetPrdData[[#This Row],[Trend]]</f>
        <v>CHESAPEAKE EMPLOYEEAllowed2016-06-01Office Based CTs per 1k</v>
      </c>
      <c r="B861" t="s">
        <v>90</v>
      </c>
      <c r="C861" t="s">
        <v>90</v>
      </c>
      <c r="D861" t="s">
        <v>91</v>
      </c>
      <c r="E861" s="1" t="s">
        <v>96</v>
      </c>
      <c r="F861" t="s">
        <v>93</v>
      </c>
      <c r="G861" t="s">
        <v>23</v>
      </c>
      <c r="H861">
        <v>12</v>
      </c>
      <c r="I861">
        <v>13</v>
      </c>
    </row>
    <row r="862" spans="1:9" x14ac:dyDescent="0.25">
      <c r="A862" s="5" t="str">
        <f>TrendSheetPrdData[[#This Row],[Population]]&amp;TrendSheetPrdData[[#This Row],[Cost Basis]]&amp;TrendSheetPrdData[[#This Row],[Period]]&amp;TrendSheetPrdData[[#This Row],[Trend]]</f>
        <v>CHESAPEAKE EMPLOYEEAllowed2016-07-01Office Based CTs per 1k</v>
      </c>
      <c r="B862" t="s">
        <v>90</v>
      </c>
      <c r="C862" t="s">
        <v>90</v>
      </c>
      <c r="D862" t="s">
        <v>91</v>
      </c>
      <c r="E862" s="1" t="s">
        <v>97</v>
      </c>
      <c r="F862" t="s">
        <v>93</v>
      </c>
      <c r="G862" t="s">
        <v>23</v>
      </c>
      <c r="H862">
        <v>12</v>
      </c>
      <c r="I862">
        <v>4</v>
      </c>
    </row>
    <row r="863" spans="1:9" x14ac:dyDescent="0.25">
      <c r="A863" s="5" t="str">
        <f>TrendSheetPrdData[[#This Row],[Population]]&amp;TrendSheetPrdData[[#This Row],[Cost Basis]]&amp;TrendSheetPrdData[[#This Row],[Period]]&amp;TrendSheetPrdData[[#This Row],[Trend]]</f>
        <v>CHESAPEAKE EMPLOYEEAllowed2016-08-01Office Based CTs per 1k</v>
      </c>
      <c r="B863" t="s">
        <v>90</v>
      </c>
      <c r="C863" t="s">
        <v>90</v>
      </c>
      <c r="D863" t="s">
        <v>91</v>
      </c>
      <c r="E863" s="1" t="s">
        <v>98</v>
      </c>
      <c r="F863" t="s">
        <v>93</v>
      </c>
      <c r="G863" t="s">
        <v>23</v>
      </c>
      <c r="H863">
        <v>12</v>
      </c>
      <c r="I863">
        <v>4</v>
      </c>
    </row>
    <row r="864" spans="1:9" x14ac:dyDescent="0.25">
      <c r="A864" s="5" t="str">
        <f>TrendSheetPrdData[[#This Row],[Population]]&amp;TrendSheetPrdData[[#This Row],[Cost Basis]]&amp;TrendSheetPrdData[[#This Row],[Period]]&amp;TrendSheetPrdData[[#This Row],[Trend]]</f>
        <v>CHESAPEAKE EMPLOYEEAllowed2016-09-01Office Based CTs per 1k</v>
      </c>
      <c r="B864" t="s">
        <v>90</v>
      </c>
      <c r="C864" t="s">
        <v>90</v>
      </c>
      <c r="D864" t="s">
        <v>91</v>
      </c>
      <c r="E864" s="1" t="s">
        <v>99</v>
      </c>
      <c r="F864" t="s">
        <v>93</v>
      </c>
      <c r="G864" t="s">
        <v>23</v>
      </c>
      <c r="H864">
        <v>12</v>
      </c>
      <c r="I864">
        <v>4</v>
      </c>
    </row>
    <row r="865" spans="1:9" x14ac:dyDescent="0.25">
      <c r="A865" s="5" t="str">
        <f>TrendSheetPrdData[[#This Row],[Population]]&amp;TrendSheetPrdData[[#This Row],[Cost Basis]]&amp;TrendSheetPrdData[[#This Row],[Period]]&amp;TrendSheetPrdData[[#This Row],[Trend]]</f>
        <v>CHESAPEAKE EMPLOYEEAllowed2016-10-01Office Based CTs per 1k</v>
      </c>
      <c r="B865" t="s">
        <v>90</v>
      </c>
      <c r="C865" t="s">
        <v>90</v>
      </c>
      <c r="D865" t="s">
        <v>91</v>
      </c>
      <c r="E865" s="1" t="s">
        <v>100</v>
      </c>
      <c r="F865" t="s">
        <v>93</v>
      </c>
      <c r="G865" t="s">
        <v>23</v>
      </c>
      <c r="H865">
        <v>12</v>
      </c>
      <c r="I865">
        <v>0</v>
      </c>
    </row>
    <row r="866" spans="1:9" x14ac:dyDescent="0.25">
      <c r="A866" s="5" t="str">
        <f>TrendSheetPrdData[[#This Row],[Population]]&amp;TrendSheetPrdData[[#This Row],[Cost Basis]]&amp;TrendSheetPrdData[[#This Row],[Period]]&amp;TrendSheetPrdData[[#This Row],[Trend]]</f>
        <v>CHESAPEAKE EMPLOYEEAllowed2016-11-01Office Based CTs per 1k</v>
      </c>
      <c r="B866" t="s">
        <v>90</v>
      </c>
      <c r="C866" t="s">
        <v>90</v>
      </c>
      <c r="D866" t="s">
        <v>91</v>
      </c>
      <c r="E866" s="1" t="s">
        <v>101</v>
      </c>
      <c r="F866" t="s">
        <v>93</v>
      </c>
      <c r="G866" t="s">
        <v>23</v>
      </c>
      <c r="H866">
        <v>12</v>
      </c>
      <c r="I866">
        <v>8</v>
      </c>
    </row>
    <row r="867" spans="1:9" x14ac:dyDescent="0.25">
      <c r="A867" s="5" t="str">
        <f>TrendSheetPrdData[[#This Row],[Population]]&amp;TrendSheetPrdData[[#This Row],[Cost Basis]]&amp;TrendSheetPrdData[[#This Row],[Period]]&amp;TrendSheetPrdData[[#This Row],[Trend]]</f>
        <v>CHESAPEAKE EMPLOYEEAllowed2016-12-01Office Based CTs per 1k</v>
      </c>
      <c r="B867" t="s">
        <v>90</v>
      </c>
      <c r="C867" t="s">
        <v>90</v>
      </c>
      <c r="D867" t="s">
        <v>91</v>
      </c>
      <c r="E867" s="1" t="s">
        <v>102</v>
      </c>
      <c r="F867" t="s">
        <v>93</v>
      </c>
      <c r="G867" t="s">
        <v>23</v>
      </c>
      <c r="H867">
        <v>12</v>
      </c>
      <c r="I867">
        <v>0</v>
      </c>
    </row>
    <row r="868" spans="1:9" x14ac:dyDescent="0.25">
      <c r="A868" s="5" t="str">
        <f>TrendSheetPrdData[[#This Row],[Population]]&amp;TrendSheetPrdData[[#This Row],[Cost Basis]]&amp;TrendSheetPrdData[[#This Row],[Period]]&amp;TrendSheetPrdData[[#This Row],[Trend]]</f>
        <v>CHESAPEAKE EMPLOYEEAllowed2017-01-01Office Based CTs per 1k</v>
      </c>
      <c r="B868" t="s">
        <v>90</v>
      </c>
      <c r="C868" t="s">
        <v>90</v>
      </c>
      <c r="D868" t="s">
        <v>91</v>
      </c>
      <c r="E868" s="1" t="s">
        <v>103</v>
      </c>
      <c r="F868" t="s">
        <v>93</v>
      </c>
      <c r="G868" t="s">
        <v>23</v>
      </c>
      <c r="H868">
        <v>12</v>
      </c>
      <c r="I868">
        <v>0</v>
      </c>
    </row>
    <row r="869" spans="1:9" x14ac:dyDescent="0.25">
      <c r="A869" s="5" t="str">
        <f>TrendSheetPrdData[[#This Row],[Population]]&amp;TrendSheetPrdData[[#This Row],[Cost Basis]]&amp;TrendSheetPrdData[[#This Row],[Period]]&amp;TrendSheetPrdData[[#This Row],[Trend]]</f>
        <v>CHESAPEAKE EMPLOYEEAllowed2017-02-01Office Based CTs per 1k</v>
      </c>
      <c r="B869" t="s">
        <v>90</v>
      </c>
      <c r="C869" t="s">
        <v>90</v>
      </c>
      <c r="D869" t="s">
        <v>91</v>
      </c>
      <c r="E869" s="1" t="s">
        <v>104</v>
      </c>
      <c r="F869" t="s">
        <v>106</v>
      </c>
      <c r="G869" t="s">
        <v>23</v>
      </c>
      <c r="H869">
        <v>12</v>
      </c>
      <c r="I869">
        <v>4</v>
      </c>
    </row>
    <row r="870" spans="1:9" x14ac:dyDescent="0.25">
      <c r="A870" s="5" t="str">
        <f>TrendSheetPrdData[[#This Row],[Population]]&amp;TrendSheetPrdData[[#This Row],[Cost Basis]]&amp;TrendSheetPrdData[[#This Row],[Period]]&amp;TrendSheetPrdData[[#This Row],[Trend]]</f>
        <v>CHESAPEAKE EMPLOYEEAllowed2017-03-01Office Based CTs per 1k</v>
      </c>
      <c r="B870" t="s">
        <v>90</v>
      </c>
      <c r="C870" t="s">
        <v>90</v>
      </c>
      <c r="D870" t="s">
        <v>91</v>
      </c>
      <c r="E870" s="1" t="s">
        <v>105</v>
      </c>
      <c r="F870" t="s">
        <v>106</v>
      </c>
      <c r="G870" t="s">
        <v>23</v>
      </c>
      <c r="H870">
        <v>12</v>
      </c>
      <c r="I870">
        <v>4</v>
      </c>
    </row>
    <row r="871" spans="1:9" x14ac:dyDescent="0.25">
      <c r="A871" s="5" t="str">
        <f>TrendSheetPrdData[[#This Row],[Population]]&amp;TrendSheetPrdData[[#This Row],[Cost Basis]]&amp;TrendSheetPrdData[[#This Row],[Period]]&amp;TrendSheetPrdData[[#This Row],[Trend]]</f>
        <v>CHESAPEAKE EMPLOYEEAllowed2017-04-01Office Based CTs per 1k</v>
      </c>
      <c r="B871" t="s">
        <v>90</v>
      </c>
      <c r="C871" t="s">
        <v>90</v>
      </c>
      <c r="D871" t="s">
        <v>91</v>
      </c>
      <c r="E871" s="1" t="s">
        <v>107</v>
      </c>
      <c r="F871" t="s">
        <v>106</v>
      </c>
      <c r="G871" t="s">
        <v>23</v>
      </c>
      <c r="H871">
        <v>12</v>
      </c>
      <c r="I871">
        <v>0</v>
      </c>
    </row>
    <row r="872" spans="1:9" x14ac:dyDescent="0.25">
      <c r="A872" s="5" t="str">
        <f>TrendSheetPrdData[[#This Row],[Population]]&amp;TrendSheetPrdData[[#This Row],[Cost Basis]]&amp;TrendSheetPrdData[[#This Row],[Period]]&amp;TrendSheetPrdData[[#This Row],[Trend]]</f>
        <v>CHESAPEAKE EMPLOYEEAllowed2016-02-01ED Cost</v>
      </c>
      <c r="B872" t="s">
        <v>90</v>
      </c>
      <c r="C872" t="s">
        <v>90</v>
      </c>
      <c r="D872" t="s">
        <v>91</v>
      </c>
      <c r="E872" s="1" t="s">
        <v>133</v>
      </c>
      <c r="F872" t="s">
        <v>93</v>
      </c>
      <c r="G872" t="s">
        <v>24</v>
      </c>
      <c r="H872">
        <v>13</v>
      </c>
      <c r="I872">
        <v>100702</v>
      </c>
    </row>
    <row r="873" spans="1:9" x14ac:dyDescent="0.25">
      <c r="A873" s="5" t="str">
        <f>TrendSheetPrdData[[#This Row],[Population]]&amp;TrendSheetPrdData[[#This Row],[Cost Basis]]&amp;TrendSheetPrdData[[#This Row],[Period]]&amp;TrendSheetPrdData[[#This Row],[Trend]]</f>
        <v>CHESAPEAKE EMPLOYEEAllowed2016-03-01ED Cost</v>
      </c>
      <c r="B873" t="s">
        <v>90</v>
      </c>
      <c r="C873" t="s">
        <v>90</v>
      </c>
      <c r="D873" t="s">
        <v>91</v>
      </c>
      <c r="E873" s="1" t="s">
        <v>92</v>
      </c>
      <c r="F873" t="s">
        <v>93</v>
      </c>
      <c r="G873" t="s">
        <v>24</v>
      </c>
      <c r="H873">
        <v>13</v>
      </c>
      <c r="I873">
        <v>116304</v>
      </c>
    </row>
    <row r="874" spans="1:9" x14ac:dyDescent="0.25">
      <c r="A874" s="5" t="str">
        <f>TrendSheetPrdData[[#This Row],[Population]]&amp;TrendSheetPrdData[[#This Row],[Cost Basis]]&amp;TrendSheetPrdData[[#This Row],[Period]]&amp;TrendSheetPrdData[[#This Row],[Trend]]</f>
        <v>CHESAPEAKE EMPLOYEEAllowed2016-04-01ED Cost</v>
      </c>
      <c r="B874" t="s">
        <v>90</v>
      </c>
      <c r="C874" t="s">
        <v>90</v>
      </c>
      <c r="D874" t="s">
        <v>91</v>
      </c>
      <c r="E874" s="1" t="s">
        <v>94</v>
      </c>
      <c r="F874" t="s">
        <v>93</v>
      </c>
      <c r="G874" t="s">
        <v>24</v>
      </c>
      <c r="H874">
        <v>13</v>
      </c>
      <c r="I874">
        <v>75166</v>
      </c>
    </row>
    <row r="875" spans="1:9" x14ac:dyDescent="0.25">
      <c r="A875" s="5" t="str">
        <f>TrendSheetPrdData[[#This Row],[Population]]&amp;TrendSheetPrdData[[#This Row],[Cost Basis]]&amp;TrendSheetPrdData[[#This Row],[Period]]&amp;TrendSheetPrdData[[#This Row],[Trend]]</f>
        <v>CHESAPEAKE EMPLOYEEAllowed2016-05-01ED Cost</v>
      </c>
      <c r="B875" t="s">
        <v>90</v>
      </c>
      <c r="C875" t="s">
        <v>90</v>
      </c>
      <c r="D875" t="s">
        <v>91</v>
      </c>
      <c r="E875" s="1" t="s">
        <v>95</v>
      </c>
      <c r="F875" t="s">
        <v>93</v>
      </c>
      <c r="G875" t="s">
        <v>24</v>
      </c>
      <c r="H875">
        <v>13</v>
      </c>
      <c r="I875">
        <v>41481</v>
      </c>
    </row>
    <row r="876" spans="1:9" x14ac:dyDescent="0.25">
      <c r="A876" s="5" t="str">
        <f>TrendSheetPrdData[[#This Row],[Population]]&amp;TrendSheetPrdData[[#This Row],[Cost Basis]]&amp;TrendSheetPrdData[[#This Row],[Period]]&amp;TrendSheetPrdData[[#This Row],[Trend]]</f>
        <v>CHESAPEAKE EMPLOYEEAllowed2016-06-01ED Cost</v>
      </c>
      <c r="B876" t="s">
        <v>90</v>
      </c>
      <c r="C876" t="s">
        <v>90</v>
      </c>
      <c r="D876" t="s">
        <v>91</v>
      </c>
      <c r="E876" s="1" t="s">
        <v>96</v>
      </c>
      <c r="F876" t="s">
        <v>93</v>
      </c>
      <c r="G876" t="s">
        <v>24</v>
      </c>
      <c r="H876">
        <v>13</v>
      </c>
      <c r="I876">
        <v>76418</v>
      </c>
    </row>
    <row r="877" spans="1:9" x14ac:dyDescent="0.25">
      <c r="A877" s="5" t="str">
        <f>TrendSheetPrdData[[#This Row],[Population]]&amp;TrendSheetPrdData[[#This Row],[Cost Basis]]&amp;TrendSheetPrdData[[#This Row],[Period]]&amp;TrendSheetPrdData[[#This Row],[Trend]]</f>
        <v>CHESAPEAKE EMPLOYEEAllowed2016-07-01ED Cost</v>
      </c>
      <c r="B877" t="s">
        <v>90</v>
      </c>
      <c r="C877" t="s">
        <v>90</v>
      </c>
      <c r="D877" t="s">
        <v>91</v>
      </c>
      <c r="E877" s="1" t="s">
        <v>97</v>
      </c>
      <c r="F877" t="s">
        <v>93</v>
      </c>
      <c r="G877" t="s">
        <v>24</v>
      </c>
      <c r="H877">
        <v>13</v>
      </c>
      <c r="I877">
        <v>64816</v>
      </c>
    </row>
    <row r="878" spans="1:9" x14ac:dyDescent="0.25">
      <c r="A878" s="5" t="str">
        <f>TrendSheetPrdData[[#This Row],[Population]]&amp;TrendSheetPrdData[[#This Row],[Cost Basis]]&amp;TrendSheetPrdData[[#This Row],[Period]]&amp;TrendSheetPrdData[[#This Row],[Trend]]</f>
        <v>CHESAPEAKE EMPLOYEEAllowed2016-08-01ED Cost</v>
      </c>
      <c r="B878" t="s">
        <v>90</v>
      </c>
      <c r="C878" t="s">
        <v>90</v>
      </c>
      <c r="D878" t="s">
        <v>91</v>
      </c>
      <c r="E878" s="1" t="s">
        <v>98</v>
      </c>
      <c r="F878" t="s">
        <v>93</v>
      </c>
      <c r="G878" t="s">
        <v>24</v>
      </c>
      <c r="H878">
        <v>13</v>
      </c>
      <c r="I878">
        <v>37498</v>
      </c>
    </row>
    <row r="879" spans="1:9" x14ac:dyDescent="0.25">
      <c r="A879" s="5" t="str">
        <f>TrendSheetPrdData[[#This Row],[Population]]&amp;TrendSheetPrdData[[#This Row],[Cost Basis]]&amp;TrendSheetPrdData[[#This Row],[Period]]&amp;TrendSheetPrdData[[#This Row],[Trend]]</f>
        <v>CHESAPEAKE EMPLOYEEAllowed2016-09-01ED Cost</v>
      </c>
      <c r="B879" t="s">
        <v>90</v>
      </c>
      <c r="C879" t="s">
        <v>90</v>
      </c>
      <c r="D879" t="s">
        <v>91</v>
      </c>
      <c r="E879" s="1" t="s">
        <v>99</v>
      </c>
      <c r="F879" t="s">
        <v>93</v>
      </c>
      <c r="G879" t="s">
        <v>24</v>
      </c>
      <c r="H879">
        <v>13</v>
      </c>
      <c r="I879">
        <v>55650</v>
      </c>
    </row>
    <row r="880" spans="1:9" x14ac:dyDescent="0.25">
      <c r="A880" s="5" t="str">
        <f>TrendSheetPrdData[[#This Row],[Population]]&amp;TrendSheetPrdData[[#This Row],[Cost Basis]]&amp;TrendSheetPrdData[[#This Row],[Period]]&amp;TrendSheetPrdData[[#This Row],[Trend]]</f>
        <v>CHESAPEAKE EMPLOYEEAllowed2016-10-01ED Cost</v>
      </c>
      <c r="B880" t="s">
        <v>90</v>
      </c>
      <c r="C880" t="s">
        <v>90</v>
      </c>
      <c r="D880" t="s">
        <v>91</v>
      </c>
      <c r="E880" s="1" t="s">
        <v>100</v>
      </c>
      <c r="F880" t="s">
        <v>93</v>
      </c>
      <c r="G880" t="s">
        <v>24</v>
      </c>
      <c r="H880">
        <v>13</v>
      </c>
      <c r="I880">
        <v>76743</v>
      </c>
    </row>
    <row r="881" spans="1:9" x14ac:dyDescent="0.25">
      <c r="A881" s="5" t="str">
        <f>TrendSheetPrdData[[#This Row],[Population]]&amp;TrendSheetPrdData[[#This Row],[Cost Basis]]&amp;TrendSheetPrdData[[#This Row],[Period]]&amp;TrendSheetPrdData[[#This Row],[Trend]]</f>
        <v>CHESAPEAKE EMPLOYEEAllowed2016-11-01ED Cost</v>
      </c>
      <c r="B881" t="s">
        <v>90</v>
      </c>
      <c r="C881" t="s">
        <v>90</v>
      </c>
      <c r="D881" t="s">
        <v>91</v>
      </c>
      <c r="E881" s="1" t="s">
        <v>101</v>
      </c>
      <c r="F881" t="s">
        <v>93</v>
      </c>
      <c r="G881" t="s">
        <v>24</v>
      </c>
      <c r="H881">
        <v>13</v>
      </c>
      <c r="I881">
        <v>57355</v>
      </c>
    </row>
    <row r="882" spans="1:9" x14ac:dyDescent="0.25">
      <c r="A882" s="5" t="str">
        <f>TrendSheetPrdData[[#This Row],[Population]]&amp;TrendSheetPrdData[[#This Row],[Cost Basis]]&amp;TrendSheetPrdData[[#This Row],[Period]]&amp;TrendSheetPrdData[[#This Row],[Trend]]</f>
        <v>CHESAPEAKE EMPLOYEEAllowed2016-12-01ED Cost</v>
      </c>
      <c r="B882" t="s">
        <v>90</v>
      </c>
      <c r="C882" t="s">
        <v>90</v>
      </c>
      <c r="D882" t="s">
        <v>91</v>
      </c>
      <c r="E882" s="1" t="s">
        <v>102</v>
      </c>
      <c r="F882" t="s">
        <v>93</v>
      </c>
      <c r="G882" t="s">
        <v>24</v>
      </c>
      <c r="H882">
        <v>13</v>
      </c>
      <c r="I882">
        <v>72265</v>
      </c>
    </row>
    <row r="883" spans="1:9" x14ac:dyDescent="0.25">
      <c r="A883" s="5" t="str">
        <f>TrendSheetPrdData[[#This Row],[Population]]&amp;TrendSheetPrdData[[#This Row],[Cost Basis]]&amp;TrendSheetPrdData[[#This Row],[Period]]&amp;TrendSheetPrdData[[#This Row],[Trend]]</f>
        <v>CHESAPEAKE EMPLOYEEAllowed2017-01-01ED Cost</v>
      </c>
      <c r="B883" t="s">
        <v>90</v>
      </c>
      <c r="C883" t="s">
        <v>90</v>
      </c>
      <c r="D883" t="s">
        <v>91</v>
      </c>
      <c r="E883" s="1" t="s">
        <v>103</v>
      </c>
      <c r="F883" t="s">
        <v>93</v>
      </c>
      <c r="G883" t="s">
        <v>24</v>
      </c>
      <c r="H883">
        <v>13</v>
      </c>
      <c r="I883">
        <v>73652</v>
      </c>
    </row>
    <row r="884" spans="1:9" x14ac:dyDescent="0.25">
      <c r="A884" s="5" t="str">
        <f>TrendSheetPrdData[[#This Row],[Population]]&amp;TrendSheetPrdData[[#This Row],[Cost Basis]]&amp;TrendSheetPrdData[[#This Row],[Period]]&amp;TrendSheetPrdData[[#This Row],[Trend]]</f>
        <v>CHESAPEAKE EMPLOYEEAllowed2017-02-01ED Cost</v>
      </c>
      <c r="B884" t="s">
        <v>90</v>
      </c>
      <c r="C884" t="s">
        <v>90</v>
      </c>
      <c r="D884" t="s">
        <v>91</v>
      </c>
      <c r="E884" s="1" t="s">
        <v>104</v>
      </c>
      <c r="F884" t="s">
        <v>106</v>
      </c>
      <c r="G884" t="s">
        <v>24</v>
      </c>
      <c r="H884">
        <v>13</v>
      </c>
      <c r="I884">
        <v>67849</v>
      </c>
    </row>
    <row r="885" spans="1:9" x14ac:dyDescent="0.25">
      <c r="A885" s="5" t="str">
        <f>TrendSheetPrdData[[#This Row],[Population]]&amp;TrendSheetPrdData[[#This Row],[Cost Basis]]&amp;TrendSheetPrdData[[#This Row],[Period]]&amp;TrendSheetPrdData[[#This Row],[Trend]]</f>
        <v>CHESAPEAKE EMPLOYEEAllowed2017-03-01ED Cost</v>
      </c>
      <c r="B885" t="s">
        <v>90</v>
      </c>
      <c r="C885" t="s">
        <v>90</v>
      </c>
      <c r="D885" t="s">
        <v>91</v>
      </c>
      <c r="E885" s="1" t="s">
        <v>105</v>
      </c>
      <c r="F885" t="s">
        <v>106</v>
      </c>
      <c r="G885" t="s">
        <v>24</v>
      </c>
      <c r="H885">
        <v>13</v>
      </c>
      <c r="I885">
        <v>80483</v>
      </c>
    </row>
    <row r="886" spans="1:9" x14ac:dyDescent="0.25">
      <c r="A886" s="5" t="str">
        <f>TrendSheetPrdData[[#This Row],[Population]]&amp;TrendSheetPrdData[[#This Row],[Cost Basis]]&amp;TrendSheetPrdData[[#This Row],[Period]]&amp;TrendSheetPrdData[[#This Row],[Trend]]</f>
        <v>CHESAPEAKE EMPLOYEEAllowed2017-04-01ED Cost</v>
      </c>
      <c r="B886" t="s">
        <v>90</v>
      </c>
      <c r="C886" t="s">
        <v>90</v>
      </c>
      <c r="D886" t="s">
        <v>91</v>
      </c>
      <c r="E886" s="1" t="s">
        <v>107</v>
      </c>
      <c r="F886" t="s">
        <v>106</v>
      </c>
      <c r="G886" t="s">
        <v>24</v>
      </c>
      <c r="H886">
        <v>13</v>
      </c>
      <c r="I886">
        <v>22099</v>
      </c>
    </row>
    <row r="887" spans="1:9" x14ac:dyDescent="0.25">
      <c r="A887" s="5" t="str">
        <f>TrendSheetPrdData[[#This Row],[Population]]&amp;TrendSheetPrdData[[#This Row],[Cost Basis]]&amp;TrendSheetPrdData[[#This Row],[Period]]&amp;TrendSheetPrdData[[#This Row],[Trend]]</f>
        <v>CHESAPEAKE EMPLOYEEAllowed2016-02-01ED Utilization</v>
      </c>
      <c r="B887" t="s">
        <v>90</v>
      </c>
      <c r="C887" t="s">
        <v>90</v>
      </c>
      <c r="D887" t="s">
        <v>91</v>
      </c>
      <c r="E887" s="1" t="s">
        <v>133</v>
      </c>
      <c r="F887" t="s">
        <v>93</v>
      </c>
      <c r="G887" t="s">
        <v>25</v>
      </c>
      <c r="H887">
        <v>14</v>
      </c>
      <c r="I887">
        <v>255</v>
      </c>
    </row>
    <row r="888" spans="1:9" x14ac:dyDescent="0.25">
      <c r="A888" s="5" t="str">
        <f>TrendSheetPrdData[[#This Row],[Population]]&amp;TrendSheetPrdData[[#This Row],[Cost Basis]]&amp;TrendSheetPrdData[[#This Row],[Period]]&amp;TrendSheetPrdData[[#This Row],[Trend]]</f>
        <v>CHESAPEAKE EMPLOYEEAllowed2016-03-01ED Utilization</v>
      </c>
      <c r="B888" t="s">
        <v>90</v>
      </c>
      <c r="C888" t="s">
        <v>90</v>
      </c>
      <c r="D888" t="s">
        <v>91</v>
      </c>
      <c r="E888" s="1" t="s">
        <v>92</v>
      </c>
      <c r="F888" t="s">
        <v>93</v>
      </c>
      <c r="G888" t="s">
        <v>25</v>
      </c>
      <c r="H888">
        <v>14</v>
      </c>
      <c r="I888">
        <v>266</v>
      </c>
    </row>
    <row r="889" spans="1:9" x14ac:dyDescent="0.25">
      <c r="A889" s="5" t="str">
        <f>TrendSheetPrdData[[#This Row],[Population]]&amp;TrendSheetPrdData[[#This Row],[Cost Basis]]&amp;TrendSheetPrdData[[#This Row],[Period]]&amp;TrendSheetPrdData[[#This Row],[Trend]]</f>
        <v>CHESAPEAKE EMPLOYEEAllowed2016-04-01ED Utilization</v>
      </c>
      <c r="B889" t="s">
        <v>90</v>
      </c>
      <c r="C889" t="s">
        <v>90</v>
      </c>
      <c r="D889" t="s">
        <v>91</v>
      </c>
      <c r="E889" s="1" t="s">
        <v>94</v>
      </c>
      <c r="F889" t="s">
        <v>93</v>
      </c>
      <c r="G889" t="s">
        <v>25</v>
      </c>
      <c r="H889">
        <v>14</v>
      </c>
      <c r="I889">
        <v>244</v>
      </c>
    </row>
    <row r="890" spans="1:9" x14ac:dyDescent="0.25">
      <c r="A890" s="5" t="str">
        <f>TrendSheetPrdData[[#This Row],[Population]]&amp;TrendSheetPrdData[[#This Row],[Cost Basis]]&amp;TrendSheetPrdData[[#This Row],[Period]]&amp;TrendSheetPrdData[[#This Row],[Trend]]</f>
        <v>CHESAPEAKE EMPLOYEEAllowed2016-05-01ED Utilization</v>
      </c>
      <c r="B890" t="s">
        <v>90</v>
      </c>
      <c r="C890" t="s">
        <v>90</v>
      </c>
      <c r="D890" t="s">
        <v>91</v>
      </c>
      <c r="E890" s="1" t="s">
        <v>95</v>
      </c>
      <c r="F890" t="s">
        <v>93</v>
      </c>
      <c r="G890" t="s">
        <v>25</v>
      </c>
      <c r="H890">
        <v>14</v>
      </c>
      <c r="I890">
        <v>183</v>
      </c>
    </row>
    <row r="891" spans="1:9" x14ac:dyDescent="0.25">
      <c r="A891" s="5" t="str">
        <f>TrendSheetPrdData[[#This Row],[Population]]&amp;TrendSheetPrdData[[#This Row],[Cost Basis]]&amp;TrendSheetPrdData[[#This Row],[Period]]&amp;TrendSheetPrdData[[#This Row],[Trend]]</f>
        <v>CHESAPEAKE EMPLOYEEAllowed2016-06-01ED Utilization</v>
      </c>
      <c r="B891" t="s">
        <v>90</v>
      </c>
      <c r="C891" t="s">
        <v>90</v>
      </c>
      <c r="D891" t="s">
        <v>91</v>
      </c>
      <c r="E891" s="1" t="s">
        <v>96</v>
      </c>
      <c r="F891" t="s">
        <v>93</v>
      </c>
      <c r="G891" t="s">
        <v>25</v>
      </c>
      <c r="H891">
        <v>14</v>
      </c>
      <c r="I891">
        <v>222</v>
      </c>
    </row>
    <row r="892" spans="1:9" x14ac:dyDescent="0.25">
      <c r="A892" s="5" t="str">
        <f>TrendSheetPrdData[[#This Row],[Population]]&amp;TrendSheetPrdData[[#This Row],[Cost Basis]]&amp;TrendSheetPrdData[[#This Row],[Period]]&amp;TrendSheetPrdData[[#This Row],[Trend]]</f>
        <v>CHESAPEAKE EMPLOYEEAllowed2016-07-01ED Utilization</v>
      </c>
      <c r="B892" t="s">
        <v>90</v>
      </c>
      <c r="C892" t="s">
        <v>90</v>
      </c>
      <c r="D892" t="s">
        <v>91</v>
      </c>
      <c r="E892" s="1" t="s">
        <v>97</v>
      </c>
      <c r="F892" t="s">
        <v>93</v>
      </c>
      <c r="G892" t="s">
        <v>25</v>
      </c>
      <c r="H892">
        <v>14</v>
      </c>
      <c r="I892">
        <v>228</v>
      </c>
    </row>
    <row r="893" spans="1:9" x14ac:dyDescent="0.25">
      <c r="A893" s="5" t="str">
        <f>TrendSheetPrdData[[#This Row],[Population]]&amp;TrendSheetPrdData[[#This Row],[Cost Basis]]&amp;TrendSheetPrdData[[#This Row],[Period]]&amp;TrendSheetPrdData[[#This Row],[Trend]]</f>
        <v>CHESAPEAKE EMPLOYEEAllowed2016-08-01ED Utilization</v>
      </c>
      <c r="B893" t="s">
        <v>90</v>
      </c>
      <c r="C893" t="s">
        <v>90</v>
      </c>
      <c r="D893" t="s">
        <v>91</v>
      </c>
      <c r="E893" s="1" t="s">
        <v>98</v>
      </c>
      <c r="F893" t="s">
        <v>93</v>
      </c>
      <c r="G893" t="s">
        <v>25</v>
      </c>
      <c r="H893">
        <v>14</v>
      </c>
      <c r="I893">
        <v>169</v>
      </c>
    </row>
    <row r="894" spans="1:9" x14ac:dyDescent="0.25">
      <c r="A894" s="5" t="str">
        <f>TrendSheetPrdData[[#This Row],[Population]]&amp;TrendSheetPrdData[[#This Row],[Cost Basis]]&amp;TrendSheetPrdData[[#This Row],[Period]]&amp;TrendSheetPrdData[[#This Row],[Trend]]</f>
        <v>CHESAPEAKE EMPLOYEEAllowed2016-09-01ED Utilization</v>
      </c>
      <c r="B894" t="s">
        <v>90</v>
      </c>
      <c r="C894" t="s">
        <v>90</v>
      </c>
      <c r="D894" t="s">
        <v>91</v>
      </c>
      <c r="E894" s="1" t="s">
        <v>99</v>
      </c>
      <c r="F894" t="s">
        <v>93</v>
      </c>
      <c r="G894" t="s">
        <v>25</v>
      </c>
      <c r="H894">
        <v>14</v>
      </c>
      <c r="I894">
        <v>147</v>
      </c>
    </row>
    <row r="895" spans="1:9" x14ac:dyDescent="0.25">
      <c r="A895" s="5" t="str">
        <f>TrendSheetPrdData[[#This Row],[Population]]&amp;TrendSheetPrdData[[#This Row],[Cost Basis]]&amp;TrendSheetPrdData[[#This Row],[Period]]&amp;TrendSheetPrdData[[#This Row],[Trend]]</f>
        <v>CHESAPEAKE EMPLOYEEAllowed2016-10-01ED Utilization</v>
      </c>
      <c r="B895" t="s">
        <v>90</v>
      </c>
      <c r="C895" t="s">
        <v>90</v>
      </c>
      <c r="D895" t="s">
        <v>91</v>
      </c>
      <c r="E895" s="1" t="s">
        <v>100</v>
      </c>
      <c r="F895" t="s">
        <v>93</v>
      </c>
      <c r="G895" t="s">
        <v>25</v>
      </c>
      <c r="H895">
        <v>14</v>
      </c>
      <c r="I895">
        <v>202</v>
      </c>
    </row>
    <row r="896" spans="1:9" x14ac:dyDescent="0.25">
      <c r="A896" s="5" t="str">
        <f>TrendSheetPrdData[[#This Row],[Population]]&amp;TrendSheetPrdData[[#This Row],[Cost Basis]]&amp;TrendSheetPrdData[[#This Row],[Period]]&amp;TrendSheetPrdData[[#This Row],[Trend]]</f>
        <v>CHESAPEAKE EMPLOYEEAllowed2016-11-01ED Utilization</v>
      </c>
      <c r="B896" t="s">
        <v>90</v>
      </c>
      <c r="C896" t="s">
        <v>90</v>
      </c>
      <c r="D896" t="s">
        <v>91</v>
      </c>
      <c r="E896" s="1" t="s">
        <v>101</v>
      </c>
      <c r="F896" t="s">
        <v>93</v>
      </c>
      <c r="G896" t="s">
        <v>25</v>
      </c>
      <c r="H896">
        <v>14</v>
      </c>
      <c r="I896">
        <v>201</v>
      </c>
    </row>
    <row r="897" spans="1:9" x14ac:dyDescent="0.25">
      <c r="A897" s="5" t="str">
        <f>TrendSheetPrdData[[#This Row],[Population]]&amp;TrendSheetPrdData[[#This Row],[Cost Basis]]&amp;TrendSheetPrdData[[#This Row],[Period]]&amp;TrendSheetPrdData[[#This Row],[Trend]]</f>
        <v>CHESAPEAKE EMPLOYEEAllowed2016-12-01ED Utilization</v>
      </c>
      <c r="B897" t="s">
        <v>90</v>
      </c>
      <c r="C897" t="s">
        <v>90</v>
      </c>
      <c r="D897" t="s">
        <v>91</v>
      </c>
      <c r="E897" s="1" t="s">
        <v>102</v>
      </c>
      <c r="F897" t="s">
        <v>93</v>
      </c>
      <c r="G897" t="s">
        <v>25</v>
      </c>
      <c r="H897">
        <v>14</v>
      </c>
      <c r="I897">
        <v>186</v>
      </c>
    </row>
    <row r="898" spans="1:9" x14ac:dyDescent="0.25">
      <c r="A898" s="5" t="str">
        <f>TrendSheetPrdData[[#This Row],[Population]]&amp;TrendSheetPrdData[[#This Row],[Cost Basis]]&amp;TrendSheetPrdData[[#This Row],[Period]]&amp;TrendSheetPrdData[[#This Row],[Trend]]</f>
        <v>CHESAPEAKE EMPLOYEEAllowed2017-01-01ED Utilization</v>
      </c>
      <c r="B898" t="s">
        <v>90</v>
      </c>
      <c r="C898" t="s">
        <v>90</v>
      </c>
      <c r="D898" t="s">
        <v>91</v>
      </c>
      <c r="E898" s="1" t="s">
        <v>103</v>
      </c>
      <c r="F898" t="s">
        <v>93</v>
      </c>
      <c r="G898" t="s">
        <v>25</v>
      </c>
      <c r="H898">
        <v>14</v>
      </c>
      <c r="I898">
        <v>169</v>
      </c>
    </row>
    <row r="899" spans="1:9" x14ac:dyDescent="0.25">
      <c r="A899" s="5" t="str">
        <f>TrendSheetPrdData[[#This Row],[Population]]&amp;TrendSheetPrdData[[#This Row],[Cost Basis]]&amp;TrendSheetPrdData[[#This Row],[Period]]&amp;TrendSheetPrdData[[#This Row],[Trend]]</f>
        <v>CHESAPEAKE EMPLOYEEAllowed2017-02-01ED Utilization</v>
      </c>
      <c r="B899" t="s">
        <v>90</v>
      </c>
      <c r="C899" t="s">
        <v>90</v>
      </c>
      <c r="D899" t="s">
        <v>91</v>
      </c>
      <c r="E899" s="1" t="s">
        <v>104</v>
      </c>
      <c r="F899" t="s">
        <v>106</v>
      </c>
      <c r="G899" t="s">
        <v>25</v>
      </c>
      <c r="H899">
        <v>14</v>
      </c>
      <c r="I899">
        <v>137</v>
      </c>
    </row>
    <row r="900" spans="1:9" x14ac:dyDescent="0.25">
      <c r="A900" s="5" t="str">
        <f>TrendSheetPrdData[[#This Row],[Population]]&amp;TrendSheetPrdData[[#This Row],[Cost Basis]]&amp;TrendSheetPrdData[[#This Row],[Period]]&amp;TrendSheetPrdData[[#This Row],[Trend]]</f>
        <v>CHESAPEAKE EMPLOYEEAllowed2017-03-01ED Utilization</v>
      </c>
      <c r="B900" t="s">
        <v>90</v>
      </c>
      <c r="C900" t="s">
        <v>90</v>
      </c>
      <c r="D900" t="s">
        <v>91</v>
      </c>
      <c r="E900" s="1" t="s">
        <v>105</v>
      </c>
      <c r="F900" t="s">
        <v>106</v>
      </c>
      <c r="G900" t="s">
        <v>25</v>
      </c>
      <c r="H900">
        <v>14</v>
      </c>
      <c r="I900">
        <v>246</v>
      </c>
    </row>
    <row r="901" spans="1:9" x14ac:dyDescent="0.25">
      <c r="A901" s="5" t="str">
        <f>TrendSheetPrdData[[#This Row],[Population]]&amp;TrendSheetPrdData[[#This Row],[Cost Basis]]&amp;TrendSheetPrdData[[#This Row],[Period]]&amp;TrendSheetPrdData[[#This Row],[Trend]]</f>
        <v>CHESAPEAKE EMPLOYEEAllowed2017-04-01ED Utilization</v>
      </c>
      <c r="B901" t="s">
        <v>90</v>
      </c>
      <c r="C901" t="s">
        <v>90</v>
      </c>
      <c r="D901" t="s">
        <v>91</v>
      </c>
      <c r="E901" s="1" t="s">
        <v>107</v>
      </c>
      <c r="F901" t="s">
        <v>106</v>
      </c>
      <c r="G901" t="s">
        <v>25</v>
      </c>
      <c r="H901">
        <v>14</v>
      </c>
      <c r="I901">
        <v>63</v>
      </c>
    </row>
    <row r="902" spans="1:9" x14ac:dyDescent="0.25">
      <c r="A902" s="5" t="str">
        <f>TrendSheetPrdData[[#This Row],[Population]]&amp;TrendSheetPrdData[[#This Row],[Cost Basis]]&amp;TrendSheetPrdData[[#This Row],[Period]]&amp;TrendSheetPrdData[[#This Row],[Trend]]</f>
        <v>CHESAPEAKE EMPLOYEEAllowed2016-02-01Drug - Generic Utilization Cost</v>
      </c>
      <c r="B902" t="s">
        <v>90</v>
      </c>
      <c r="C902" t="s">
        <v>90</v>
      </c>
      <c r="D902" t="s">
        <v>91</v>
      </c>
      <c r="E902" s="1" t="s">
        <v>133</v>
      </c>
      <c r="F902" t="s">
        <v>93</v>
      </c>
      <c r="G902" t="s">
        <v>26</v>
      </c>
      <c r="H902">
        <v>15</v>
      </c>
      <c r="I902">
        <v>312673</v>
      </c>
    </row>
    <row r="903" spans="1:9" x14ac:dyDescent="0.25">
      <c r="A903" s="5" t="str">
        <f>TrendSheetPrdData[[#This Row],[Population]]&amp;TrendSheetPrdData[[#This Row],[Cost Basis]]&amp;TrendSheetPrdData[[#This Row],[Period]]&amp;TrendSheetPrdData[[#This Row],[Trend]]</f>
        <v>CHESAPEAKE EMPLOYEEAllowed2016-03-01Drug - Generic Utilization Cost</v>
      </c>
      <c r="B903" t="s">
        <v>90</v>
      </c>
      <c r="C903" t="s">
        <v>90</v>
      </c>
      <c r="D903" t="s">
        <v>91</v>
      </c>
      <c r="E903" s="1" t="s">
        <v>92</v>
      </c>
      <c r="F903" t="s">
        <v>93</v>
      </c>
      <c r="G903" t="s">
        <v>26</v>
      </c>
      <c r="H903">
        <v>15</v>
      </c>
      <c r="I903">
        <v>306075</v>
      </c>
    </row>
    <row r="904" spans="1:9" x14ac:dyDescent="0.25">
      <c r="A904" s="5" t="str">
        <f>TrendSheetPrdData[[#This Row],[Population]]&amp;TrendSheetPrdData[[#This Row],[Cost Basis]]&amp;TrendSheetPrdData[[#This Row],[Period]]&amp;TrendSheetPrdData[[#This Row],[Trend]]</f>
        <v>CHESAPEAKE EMPLOYEEAllowed2016-04-01Drug - Generic Utilization Cost</v>
      </c>
      <c r="B904" t="s">
        <v>90</v>
      </c>
      <c r="C904" t="s">
        <v>90</v>
      </c>
      <c r="D904" t="s">
        <v>91</v>
      </c>
      <c r="E904" s="1" t="s">
        <v>94</v>
      </c>
      <c r="F904" t="s">
        <v>93</v>
      </c>
      <c r="G904" t="s">
        <v>26</v>
      </c>
      <c r="H904">
        <v>15</v>
      </c>
      <c r="I904">
        <v>404916</v>
      </c>
    </row>
    <row r="905" spans="1:9" x14ac:dyDescent="0.25">
      <c r="A905" s="5" t="str">
        <f>TrendSheetPrdData[[#This Row],[Population]]&amp;TrendSheetPrdData[[#This Row],[Cost Basis]]&amp;TrendSheetPrdData[[#This Row],[Period]]&amp;TrendSheetPrdData[[#This Row],[Trend]]</f>
        <v>CHESAPEAKE EMPLOYEEAllowed2016-05-01Drug - Generic Utilization Cost</v>
      </c>
      <c r="B905" t="s">
        <v>90</v>
      </c>
      <c r="C905" t="s">
        <v>90</v>
      </c>
      <c r="D905" t="s">
        <v>91</v>
      </c>
      <c r="E905" s="1" t="s">
        <v>95</v>
      </c>
      <c r="F905" t="s">
        <v>93</v>
      </c>
      <c r="G905" t="s">
        <v>26</v>
      </c>
      <c r="H905">
        <v>15</v>
      </c>
      <c r="I905">
        <v>455097</v>
      </c>
    </row>
    <row r="906" spans="1:9" x14ac:dyDescent="0.25">
      <c r="A906" s="5" t="str">
        <f>TrendSheetPrdData[[#This Row],[Population]]&amp;TrendSheetPrdData[[#This Row],[Cost Basis]]&amp;TrendSheetPrdData[[#This Row],[Period]]&amp;TrendSheetPrdData[[#This Row],[Trend]]</f>
        <v>CHESAPEAKE EMPLOYEEAllowed2016-06-01Drug - Generic Utilization Cost</v>
      </c>
      <c r="B906" t="s">
        <v>90</v>
      </c>
      <c r="C906" t="s">
        <v>90</v>
      </c>
      <c r="D906" t="s">
        <v>91</v>
      </c>
      <c r="E906" s="1" t="s">
        <v>96</v>
      </c>
      <c r="F906" t="s">
        <v>93</v>
      </c>
      <c r="G906" t="s">
        <v>26</v>
      </c>
      <c r="H906">
        <v>15</v>
      </c>
      <c r="I906">
        <v>357889</v>
      </c>
    </row>
    <row r="907" spans="1:9" x14ac:dyDescent="0.25">
      <c r="A907" s="5" t="str">
        <f>TrendSheetPrdData[[#This Row],[Population]]&amp;TrendSheetPrdData[[#This Row],[Cost Basis]]&amp;TrendSheetPrdData[[#This Row],[Period]]&amp;TrendSheetPrdData[[#This Row],[Trend]]</f>
        <v>CHESAPEAKE EMPLOYEEAllowed2016-07-01Drug - Generic Utilization Cost</v>
      </c>
      <c r="B907" t="s">
        <v>90</v>
      </c>
      <c r="C907" t="s">
        <v>90</v>
      </c>
      <c r="D907" t="s">
        <v>91</v>
      </c>
      <c r="E907" s="1" t="s">
        <v>97</v>
      </c>
      <c r="F907" t="s">
        <v>93</v>
      </c>
      <c r="G907" t="s">
        <v>26</v>
      </c>
      <c r="H907">
        <v>15</v>
      </c>
      <c r="I907">
        <v>357284</v>
      </c>
    </row>
    <row r="908" spans="1:9" x14ac:dyDescent="0.25">
      <c r="A908" s="5" t="str">
        <f>TrendSheetPrdData[[#This Row],[Population]]&amp;TrendSheetPrdData[[#This Row],[Cost Basis]]&amp;TrendSheetPrdData[[#This Row],[Period]]&amp;TrendSheetPrdData[[#This Row],[Trend]]</f>
        <v>CHESAPEAKE EMPLOYEEAllowed2016-08-01Drug - Generic Utilization Cost</v>
      </c>
      <c r="B908" t="s">
        <v>90</v>
      </c>
      <c r="C908" t="s">
        <v>90</v>
      </c>
      <c r="D908" t="s">
        <v>91</v>
      </c>
      <c r="E908" s="1" t="s">
        <v>98</v>
      </c>
      <c r="F908" t="s">
        <v>93</v>
      </c>
      <c r="G908" t="s">
        <v>26</v>
      </c>
      <c r="H908">
        <v>15</v>
      </c>
      <c r="I908">
        <v>368435</v>
      </c>
    </row>
    <row r="909" spans="1:9" x14ac:dyDescent="0.25">
      <c r="A909" s="5" t="str">
        <f>TrendSheetPrdData[[#This Row],[Population]]&amp;TrendSheetPrdData[[#This Row],[Cost Basis]]&amp;TrendSheetPrdData[[#This Row],[Period]]&amp;TrendSheetPrdData[[#This Row],[Trend]]</f>
        <v>CHESAPEAKE EMPLOYEEAllowed2016-09-01Drug - Generic Utilization Cost</v>
      </c>
      <c r="B909" t="s">
        <v>90</v>
      </c>
      <c r="C909" t="s">
        <v>90</v>
      </c>
      <c r="D909" t="s">
        <v>91</v>
      </c>
      <c r="E909" s="1" t="s">
        <v>99</v>
      </c>
      <c r="F909" t="s">
        <v>93</v>
      </c>
      <c r="G909" t="s">
        <v>26</v>
      </c>
      <c r="H909">
        <v>15</v>
      </c>
      <c r="I909">
        <v>355108</v>
      </c>
    </row>
    <row r="910" spans="1:9" x14ac:dyDescent="0.25">
      <c r="A910" s="5" t="str">
        <f>TrendSheetPrdData[[#This Row],[Population]]&amp;TrendSheetPrdData[[#This Row],[Cost Basis]]&amp;TrendSheetPrdData[[#This Row],[Period]]&amp;TrendSheetPrdData[[#This Row],[Trend]]</f>
        <v>CHESAPEAKE EMPLOYEEAllowed2016-10-01Drug - Generic Utilization Cost</v>
      </c>
      <c r="B910" t="s">
        <v>90</v>
      </c>
      <c r="C910" t="s">
        <v>90</v>
      </c>
      <c r="D910" t="s">
        <v>91</v>
      </c>
      <c r="E910" s="1" t="s">
        <v>100</v>
      </c>
      <c r="F910" t="s">
        <v>93</v>
      </c>
      <c r="G910" t="s">
        <v>26</v>
      </c>
      <c r="H910">
        <v>15</v>
      </c>
      <c r="I910">
        <v>363282</v>
      </c>
    </row>
    <row r="911" spans="1:9" x14ac:dyDescent="0.25">
      <c r="A911" s="5" t="str">
        <f>TrendSheetPrdData[[#This Row],[Population]]&amp;TrendSheetPrdData[[#This Row],[Cost Basis]]&amp;TrendSheetPrdData[[#This Row],[Period]]&amp;TrendSheetPrdData[[#This Row],[Trend]]</f>
        <v>CHESAPEAKE EMPLOYEEAllowed2016-11-01Drug - Generic Utilization Cost</v>
      </c>
      <c r="B911" t="s">
        <v>90</v>
      </c>
      <c r="C911" t="s">
        <v>90</v>
      </c>
      <c r="D911" t="s">
        <v>91</v>
      </c>
      <c r="E911" s="1" t="s">
        <v>101</v>
      </c>
      <c r="F911" t="s">
        <v>93</v>
      </c>
      <c r="G911" t="s">
        <v>26</v>
      </c>
      <c r="H911">
        <v>15</v>
      </c>
      <c r="I911">
        <v>384389</v>
      </c>
    </row>
    <row r="912" spans="1:9" x14ac:dyDescent="0.25">
      <c r="A912" s="5" t="str">
        <f>TrendSheetPrdData[[#This Row],[Population]]&amp;TrendSheetPrdData[[#This Row],[Cost Basis]]&amp;TrendSheetPrdData[[#This Row],[Period]]&amp;TrendSheetPrdData[[#This Row],[Trend]]</f>
        <v>CHESAPEAKE EMPLOYEEAllowed2016-12-01Drug - Generic Utilization Cost</v>
      </c>
      <c r="B912" t="s">
        <v>90</v>
      </c>
      <c r="C912" t="s">
        <v>90</v>
      </c>
      <c r="D912" t="s">
        <v>91</v>
      </c>
      <c r="E912" s="1" t="s">
        <v>102</v>
      </c>
      <c r="F912" t="s">
        <v>93</v>
      </c>
      <c r="G912" t="s">
        <v>26</v>
      </c>
      <c r="H912">
        <v>15</v>
      </c>
      <c r="I912">
        <v>412196</v>
      </c>
    </row>
    <row r="913" spans="1:9" x14ac:dyDescent="0.25">
      <c r="A913" s="5" t="str">
        <f>TrendSheetPrdData[[#This Row],[Population]]&amp;TrendSheetPrdData[[#This Row],[Cost Basis]]&amp;TrendSheetPrdData[[#This Row],[Period]]&amp;TrendSheetPrdData[[#This Row],[Trend]]</f>
        <v>CHESAPEAKE EMPLOYEEAllowed2017-01-01Drug - Generic Utilization Cost</v>
      </c>
      <c r="B913" t="s">
        <v>90</v>
      </c>
      <c r="C913" t="s">
        <v>90</v>
      </c>
      <c r="D913" t="s">
        <v>91</v>
      </c>
      <c r="E913" s="1" t="s">
        <v>103</v>
      </c>
      <c r="F913" t="s">
        <v>93</v>
      </c>
      <c r="G913" t="s">
        <v>26</v>
      </c>
      <c r="H913">
        <v>15</v>
      </c>
      <c r="I913">
        <v>339188</v>
      </c>
    </row>
    <row r="914" spans="1:9" x14ac:dyDescent="0.25">
      <c r="A914" s="5" t="str">
        <f>TrendSheetPrdData[[#This Row],[Population]]&amp;TrendSheetPrdData[[#This Row],[Cost Basis]]&amp;TrendSheetPrdData[[#This Row],[Period]]&amp;TrendSheetPrdData[[#This Row],[Trend]]</f>
        <v>CHESAPEAKE EMPLOYEEAllowed2017-02-01Drug - Generic Utilization Cost</v>
      </c>
      <c r="B914" t="s">
        <v>90</v>
      </c>
      <c r="C914" t="s">
        <v>90</v>
      </c>
      <c r="D914" t="s">
        <v>91</v>
      </c>
      <c r="E914" s="1" t="s">
        <v>104</v>
      </c>
      <c r="F914" t="s">
        <v>106</v>
      </c>
      <c r="G914" t="s">
        <v>26</v>
      </c>
      <c r="H914">
        <v>15</v>
      </c>
      <c r="I914">
        <v>399808</v>
      </c>
    </row>
    <row r="915" spans="1:9" x14ac:dyDescent="0.25">
      <c r="A915" s="5" t="str">
        <f>TrendSheetPrdData[[#This Row],[Population]]&amp;TrendSheetPrdData[[#This Row],[Cost Basis]]&amp;TrendSheetPrdData[[#This Row],[Period]]&amp;TrendSheetPrdData[[#This Row],[Trend]]</f>
        <v>CHESAPEAKE EMPLOYEEAllowed2017-03-01Drug - Generic Utilization Cost</v>
      </c>
      <c r="B915" t="s">
        <v>90</v>
      </c>
      <c r="C915" t="s">
        <v>90</v>
      </c>
      <c r="D915" t="s">
        <v>91</v>
      </c>
      <c r="E915" s="1" t="s">
        <v>105</v>
      </c>
      <c r="F915" t="s">
        <v>106</v>
      </c>
      <c r="G915" t="s">
        <v>26</v>
      </c>
      <c r="H915">
        <v>15</v>
      </c>
      <c r="I915">
        <v>431107</v>
      </c>
    </row>
    <row r="916" spans="1:9" x14ac:dyDescent="0.25">
      <c r="A916" s="5" t="str">
        <f>TrendSheetPrdData[[#This Row],[Population]]&amp;TrendSheetPrdData[[#This Row],[Cost Basis]]&amp;TrendSheetPrdData[[#This Row],[Period]]&amp;TrendSheetPrdData[[#This Row],[Trend]]</f>
        <v>CHESAPEAKE EMPLOYEEAllowed2017-04-01Drug - Generic Utilization Cost</v>
      </c>
      <c r="B916" t="s">
        <v>90</v>
      </c>
      <c r="C916" t="s">
        <v>90</v>
      </c>
      <c r="D916" t="s">
        <v>91</v>
      </c>
      <c r="E916" s="1" t="s">
        <v>107</v>
      </c>
      <c r="F916" t="s">
        <v>106</v>
      </c>
      <c r="G916" t="s">
        <v>26</v>
      </c>
      <c r="H916">
        <v>15</v>
      </c>
      <c r="I916">
        <v>318509</v>
      </c>
    </row>
    <row r="917" spans="1:9" x14ac:dyDescent="0.25">
      <c r="A917" s="5" t="str">
        <f>TrendSheetPrdData[[#This Row],[Population]]&amp;TrendSheetPrdData[[#This Row],[Cost Basis]]&amp;TrendSheetPrdData[[#This Row],[Period]]&amp;TrendSheetPrdData[[#This Row],[Trend]]</f>
        <v>CHESAPEAKE EMPLOYEEAllowed2016-02-01Drug - Generic Utilization</v>
      </c>
      <c r="B917" t="s">
        <v>90</v>
      </c>
      <c r="C917" t="s">
        <v>90</v>
      </c>
      <c r="D917" t="s">
        <v>91</v>
      </c>
      <c r="E917" s="1" t="s">
        <v>133</v>
      </c>
      <c r="F917" t="s">
        <v>93</v>
      </c>
      <c r="G917" t="s">
        <v>27</v>
      </c>
      <c r="H917">
        <v>16</v>
      </c>
      <c r="I917">
        <v>0.75</v>
      </c>
    </row>
    <row r="918" spans="1:9" x14ac:dyDescent="0.25">
      <c r="A918" s="5" t="str">
        <f>TrendSheetPrdData[[#This Row],[Population]]&amp;TrendSheetPrdData[[#This Row],[Cost Basis]]&amp;TrendSheetPrdData[[#This Row],[Period]]&amp;TrendSheetPrdData[[#This Row],[Trend]]</f>
        <v>CHESAPEAKE EMPLOYEEAllowed2016-03-01Drug - Generic Utilization</v>
      </c>
      <c r="B918" t="s">
        <v>90</v>
      </c>
      <c r="C918" t="s">
        <v>90</v>
      </c>
      <c r="D918" t="s">
        <v>91</v>
      </c>
      <c r="E918" s="1" t="s">
        <v>92</v>
      </c>
      <c r="F918" t="s">
        <v>93</v>
      </c>
      <c r="G918" t="s">
        <v>27</v>
      </c>
      <c r="H918">
        <v>16</v>
      </c>
      <c r="I918">
        <v>0.76</v>
      </c>
    </row>
    <row r="919" spans="1:9" x14ac:dyDescent="0.25">
      <c r="A919" s="5" t="str">
        <f>TrendSheetPrdData[[#This Row],[Population]]&amp;TrendSheetPrdData[[#This Row],[Cost Basis]]&amp;TrendSheetPrdData[[#This Row],[Period]]&amp;TrendSheetPrdData[[#This Row],[Trend]]</f>
        <v>CHESAPEAKE EMPLOYEEAllowed2016-04-01Drug - Generic Utilization</v>
      </c>
      <c r="B919" t="s">
        <v>90</v>
      </c>
      <c r="C919" t="s">
        <v>90</v>
      </c>
      <c r="D919" t="s">
        <v>91</v>
      </c>
      <c r="E919" s="1" t="s">
        <v>94</v>
      </c>
      <c r="F919" t="s">
        <v>93</v>
      </c>
      <c r="G919" t="s">
        <v>27</v>
      </c>
      <c r="H919">
        <v>16</v>
      </c>
      <c r="I919">
        <v>0.78</v>
      </c>
    </row>
    <row r="920" spans="1:9" x14ac:dyDescent="0.25">
      <c r="A920" s="5" t="str">
        <f>TrendSheetPrdData[[#This Row],[Population]]&amp;TrendSheetPrdData[[#This Row],[Cost Basis]]&amp;TrendSheetPrdData[[#This Row],[Period]]&amp;TrendSheetPrdData[[#This Row],[Trend]]</f>
        <v>CHESAPEAKE EMPLOYEEAllowed2016-05-01Drug - Generic Utilization</v>
      </c>
      <c r="B920" t="s">
        <v>90</v>
      </c>
      <c r="C920" t="s">
        <v>90</v>
      </c>
      <c r="D920" t="s">
        <v>91</v>
      </c>
      <c r="E920" s="1" t="s">
        <v>95</v>
      </c>
      <c r="F920" t="s">
        <v>93</v>
      </c>
      <c r="G920" t="s">
        <v>27</v>
      </c>
      <c r="H920">
        <v>16</v>
      </c>
      <c r="I920">
        <v>0.8</v>
      </c>
    </row>
    <row r="921" spans="1:9" x14ac:dyDescent="0.25">
      <c r="A921" s="5" t="str">
        <f>TrendSheetPrdData[[#This Row],[Population]]&amp;TrendSheetPrdData[[#This Row],[Cost Basis]]&amp;TrendSheetPrdData[[#This Row],[Period]]&amp;TrendSheetPrdData[[#This Row],[Trend]]</f>
        <v>CHESAPEAKE EMPLOYEEAllowed2016-06-01Drug - Generic Utilization</v>
      </c>
      <c r="B921" t="s">
        <v>90</v>
      </c>
      <c r="C921" t="s">
        <v>90</v>
      </c>
      <c r="D921" t="s">
        <v>91</v>
      </c>
      <c r="E921" s="1" t="s">
        <v>96</v>
      </c>
      <c r="F921" t="s">
        <v>93</v>
      </c>
      <c r="G921" t="s">
        <v>27</v>
      </c>
      <c r="H921">
        <v>16</v>
      </c>
      <c r="I921">
        <v>0.8</v>
      </c>
    </row>
    <row r="922" spans="1:9" x14ac:dyDescent="0.25">
      <c r="A922" s="5" t="str">
        <f>TrendSheetPrdData[[#This Row],[Population]]&amp;TrendSheetPrdData[[#This Row],[Cost Basis]]&amp;TrendSheetPrdData[[#This Row],[Period]]&amp;TrendSheetPrdData[[#This Row],[Trend]]</f>
        <v>CHESAPEAKE EMPLOYEEAllowed2016-07-01Drug - Generic Utilization</v>
      </c>
      <c r="B922" t="s">
        <v>90</v>
      </c>
      <c r="C922" t="s">
        <v>90</v>
      </c>
      <c r="D922" t="s">
        <v>91</v>
      </c>
      <c r="E922" s="1" t="s">
        <v>97</v>
      </c>
      <c r="F922" t="s">
        <v>93</v>
      </c>
      <c r="G922" t="s">
        <v>27</v>
      </c>
      <c r="H922">
        <v>16</v>
      </c>
      <c r="I922">
        <v>0.79</v>
      </c>
    </row>
    <row r="923" spans="1:9" x14ac:dyDescent="0.25">
      <c r="A923" s="5" t="str">
        <f>TrendSheetPrdData[[#This Row],[Population]]&amp;TrendSheetPrdData[[#This Row],[Cost Basis]]&amp;TrendSheetPrdData[[#This Row],[Period]]&amp;TrendSheetPrdData[[#This Row],[Trend]]</f>
        <v>CHESAPEAKE EMPLOYEEAllowed2016-08-01Drug - Generic Utilization</v>
      </c>
      <c r="B923" t="s">
        <v>90</v>
      </c>
      <c r="C923" t="s">
        <v>90</v>
      </c>
      <c r="D923" t="s">
        <v>91</v>
      </c>
      <c r="E923" s="1" t="s">
        <v>98</v>
      </c>
      <c r="F923" t="s">
        <v>93</v>
      </c>
      <c r="G923" t="s">
        <v>27</v>
      </c>
      <c r="H923">
        <v>16</v>
      </c>
      <c r="I923">
        <v>0.81</v>
      </c>
    </row>
    <row r="924" spans="1:9" x14ac:dyDescent="0.25">
      <c r="A924" s="5" t="str">
        <f>TrendSheetPrdData[[#This Row],[Population]]&amp;TrendSheetPrdData[[#This Row],[Cost Basis]]&amp;TrendSheetPrdData[[#This Row],[Period]]&amp;TrendSheetPrdData[[#This Row],[Trend]]</f>
        <v>CHESAPEAKE EMPLOYEEAllowed2016-09-01Drug - Generic Utilization</v>
      </c>
      <c r="B924" t="s">
        <v>90</v>
      </c>
      <c r="C924" t="s">
        <v>90</v>
      </c>
      <c r="D924" t="s">
        <v>91</v>
      </c>
      <c r="E924" s="1" t="s">
        <v>99</v>
      </c>
      <c r="F924" t="s">
        <v>93</v>
      </c>
      <c r="G924" t="s">
        <v>27</v>
      </c>
      <c r="H924">
        <v>16</v>
      </c>
      <c r="I924">
        <v>0.8</v>
      </c>
    </row>
    <row r="925" spans="1:9" x14ac:dyDescent="0.25">
      <c r="A925" s="5" t="str">
        <f>TrendSheetPrdData[[#This Row],[Population]]&amp;TrendSheetPrdData[[#This Row],[Cost Basis]]&amp;TrendSheetPrdData[[#This Row],[Period]]&amp;TrendSheetPrdData[[#This Row],[Trend]]</f>
        <v>CHESAPEAKE EMPLOYEEAllowed2016-10-01Drug - Generic Utilization</v>
      </c>
      <c r="B925" t="s">
        <v>90</v>
      </c>
      <c r="C925" t="s">
        <v>90</v>
      </c>
      <c r="D925" t="s">
        <v>91</v>
      </c>
      <c r="E925" s="1" t="s">
        <v>100</v>
      </c>
      <c r="F925" t="s">
        <v>93</v>
      </c>
      <c r="G925" t="s">
        <v>27</v>
      </c>
      <c r="H925">
        <v>16</v>
      </c>
      <c r="I925">
        <v>0.79</v>
      </c>
    </row>
    <row r="926" spans="1:9" x14ac:dyDescent="0.25">
      <c r="A926" s="5" t="str">
        <f>TrendSheetPrdData[[#This Row],[Population]]&amp;TrendSheetPrdData[[#This Row],[Cost Basis]]&amp;TrendSheetPrdData[[#This Row],[Period]]&amp;TrendSheetPrdData[[#This Row],[Trend]]</f>
        <v>CHESAPEAKE EMPLOYEEAllowed2016-11-01Drug - Generic Utilization</v>
      </c>
      <c r="B926" t="s">
        <v>90</v>
      </c>
      <c r="C926" t="s">
        <v>90</v>
      </c>
      <c r="D926" t="s">
        <v>91</v>
      </c>
      <c r="E926" s="1" t="s">
        <v>101</v>
      </c>
      <c r="F926" t="s">
        <v>93</v>
      </c>
      <c r="G926" t="s">
        <v>27</v>
      </c>
      <c r="H926">
        <v>16</v>
      </c>
      <c r="I926">
        <v>0.79</v>
      </c>
    </row>
    <row r="927" spans="1:9" x14ac:dyDescent="0.25">
      <c r="A927" s="5" t="str">
        <f>TrendSheetPrdData[[#This Row],[Population]]&amp;TrendSheetPrdData[[#This Row],[Cost Basis]]&amp;TrendSheetPrdData[[#This Row],[Period]]&amp;TrendSheetPrdData[[#This Row],[Trend]]</f>
        <v>CHESAPEAKE EMPLOYEEAllowed2016-12-01Drug - Generic Utilization</v>
      </c>
      <c r="B927" t="s">
        <v>90</v>
      </c>
      <c r="C927" t="s">
        <v>90</v>
      </c>
      <c r="D927" t="s">
        <v>91</v>
      </c>
      <c r="E927" s="1" t="s">
        <v>102</v>
      </c>
      <c r="F927" t="s">
        <v>93</v>
      </c>
      <c r="G927" t="s">
        <v>27</v>
      </c>
      <c r="H927">
        <v>16</v>
      </c>
      <c r="I927">
        <v>0.82</v>
      </c>
    </row>
    <row r="928" spans="1:9" x14ac:dyDescent="0.25">
      <c r="A928" s="5" t="str">
        <f>TrendSheetPrdData[[#This Row],[Population]]&amp;TrendSheetPrdData[[#This Row],[Cost Basis]]&amp;TrendSheetPrdData[[#This Row],[Period]]&amp;TrendSheetPrdData[[#This Row],[Trend]]</f>
        <v>CHESAPEAKE EMPLOYEEAllowed2017-01-01Drug - Generic Utilization</v>
      </c>
      <c r="B928" t="s">
        <v>90</v>
      </c>
      <c r="C928" t="s">
        <v>90</v>
      </c>
      <c r="D928" t="s">
        <v>91</v>
      </c>
      <c r="E928" s="1" t="s">
        <v>103</v>
      </c>
      <c r="F928" t="s">
        <v>93</v>
      </c>
      <c r="G928" t="s">
        <v>27</v>
      </c>
      <c r="H928">
        <v>16</v>
      </c>
      <c r="I928">
        <v>0.79</v>
      </c>
    </row>
    <row r="929" spans="1:9" x14ac:dyDescent="0.25">
      <c r="A929" s="5" t="str">
        <f>TrendSheetPrdData[[#This Row],[Population]]&amp;TrendSheetPrdData[[#This Row],[Cost Basis]]&amp;TrendSheetPrdData[[#This Row],[Period]]&amp;TrendSheetPrdData[[#This Row],[Trend]]</f>
        <v>CHESAPEAKE EMPLOYEEAllowed2017-02-01Drug - Generic Utilization</v>
      </c>
      <c r="B929" t="s">
        <v>90</v>
      </c>
      <c r="C929" t="s">
        <v>90</v>
      </c>
      <c r="D929" t="s">
        <v>91</v>
      </c>
      <c r="E929" s="1" t="s">
        <v>104</v>
      </c>
      <c r="F929" t="s">
        <v>106</v>
      </c>
      <c r="G929" t="s">
        <v>27</v>
      </c>
      <c r="H929">
        <v>16</v>
      </c>
      <c r="I929">
        <v>0.79</v>
      </c>
    </row>
    <row r="930" spans="1:9" x14ac:dyDescent="0.25">
      <c r="A930" s="5" t="str">
        <f>TrendSheetPrdData[[#This Row],[Population]]&amp;TrendSheetPrdData[[#This Row],[Cost Basis]]&amp;TrendSheetPrdData[[#This Row],[Period]]&amp;TrendSheetPrdData[[#This Row],[Trend]]</f>
        <v>CHESAPEAKE EMPLOYEEAllowed2017-03-01Drug - Generic Utilization</v>
      </c>
      <c r="B930" t="s">
        <v>90</v>
      </c>
      <c r="C930" t="s">
        <v>90</v>
      </c>
      <c r="D930" t="s">
        <v>91</v>
      </c>
      <c r="E930" s="1" t="s">
        <v>105</v>
      </c>
      <c r="F930" t="s">
        <v>106</v>
      </c>
      <c r="G930" t="s">
        <v>27</v>
      </c>
      <c r="H930">
        <v>16</v>
      </c>
      <c r="I930">
        <v>0.82</v>
      </c>
    </row>
    <row r="931" spans="1:9" x14ac:dyDescent="0.25">
      <c r="A931" s="5" t="str">
        <f>TrendSheetPrdData[[#This Row],[Population]]&amp;TrendSheetPrdData[[#This Row],[Cost Basis]]&amp;TrendSheetPrdData[[#This Row],[Period]]&amp;TrendSheetPrdData[[#This Row],[Trend]]</f>
        <v>CHESAPEAKE EMPLOYEEAllowed2017-04-01Drug - Generic Utilization</v>
      </c>
      <c r="B931" t="s">
        <v>90</v>
      </c>
      <c r="C931" t="s">
        <v>90</v>
      </c>
      <c r="D931" t="s">
        <v>91</v>
      </c>
      <c r="E931" s="1" t="s">
        <v>107</v>
      </c>
      <c r="F931" t="s">
        <v>106</v>
      </c>
      <c r="G931" t="s">
        <v>27</v>
      </c>
      <c r="H931">
        <v>16</v>
      </c>
      <c r="I931">
        <v>0.82</v>
      </c>
    </row>
    <row r="932" spans="1:9" x14ac:dyDescent="0.25">
      <c r="A932" s="5" t="str">
        <f>TrendSheetPrdData[[#This Row],[Population]]&amp;TrendSheetPrdData[[#This Row],[Cost Basis]]&amp;TrendSheetPrdData[[#This Row],[Period]]&amp;TrendSheetPrdData[[#This Row],[Trend]]</f>
        <v>CHESAPEAKE EMPLOYEEAllowed2016-02-01Chronic Disease Management - Cost</v>
      </c>
      <c r="B932" t="s">
        <v>90</v>
      </c>
      <c r="C932" t="s">
        <v>90</v>
      </c>
      <c r="D932" t="s">
        <v>91</v>
      </c>
      <c r="E932" s="1" t="s">
        <v>133</v>
      </c>
      <c r="F932" t="s">
        <v>93</v>
      </c>
      <c r="G932" t="s">
        <v>28</v>
      </c>
      <c r="H932">
        <v>17</v>
      </c>
      <c r="I932">
        <v>617446</v>
      </c>
    </row>
    <row r="933" spans="1:9" x14ac:dyDescent="0.25">
      <c r="A933" s="5" t="str">
        <f>TrendSheetPrdData[[#This Row],[Population]]&amp;TrendSheetPrdData[[#This Row],[Cost Basis]]&amp;TrendSheetPrdData[[#This Row],[Period]]&amp;TrendSheetPrdData[[#This Row],[Trend]]</f>
        <v>CHESAPEAKE EMPLOYEEAllowed2016-03-01Chronic Disease Management - Cost</v>
      </c>
      <c r="B933" t="s">
        <v>90</v>
      </c>
      <c r="C933" t="s">
        <v>90</v>
      </c>
      <c r="D933" t="s">
        <v>91</v>
      </c>
      <c r="E933" s="1" t="s">
        <v>92</v>
      </c>
      <c r="F933" t="s">
        <v>93</v>
      </c>
      <c r="G933" t="s">
        <v>28</v>
      </c>
      <c r="H933">
        <v>17</v>
      </c>
      <c r="I933">
        <v>1006506</v>
      </c>
    </row>
    <row r="934" spans="1:9" x14ac:dyDescent="0.25">
      <c r="A934" s="5" t="str">
        <f>TrendSheetPrdData[[#This Row],[Population]]&amp;TrendSheetPrdData[[#This Row],[Cost Basis]]&amp;TrendSheetPrdData[[#This Row],[Period]]&amp;TrendSheetPrdData[[#This Row],[Trend]]</f>
        <v>CHESAPEAKE EMPLOYEEAllowed2016-04-01Chronic Disease Management - Cost</v>
      </c>
      <c r="B934" t="s">
        <v>90</v>
      </c>
      <c r="C934" t="s">
        <v>90</v>
      </c>
      <c r="D934" t="s">
        <v>91</v>
      </c>
      <c r="E934" s="1" t="s">
        <v>94</v>
      </c>
      <c r="F934" t="s">
        <v>93</v>
      </c>
      <c r="G934" t="s">
        <v>28</v>
      </c>
      <c r="H934">
        <v>17</v>
      </c>
      <c r="I934">
        <v>909257</v>
      </c>
    </row>
    <row r="935" spans="1:9" x14ac:dyDescent="0.25">
      <c r="A935" s="5" t="str">
        <f>TrendSheetPrdData[[#This Row],[Population]]&amp;TrendSheetPrdData[[#This Row],[Cost Basis]]&amp;TrendSheetPrdData[[#This Row],[Period]]&amp;TrendSheetPrdData[[#This Row],[Trend]]</f>
        <v>CHESAPEAKE EMPLOYEEAllowed2016-05-01Chronic Disease Management - Cost</v>
      </c>
      <c r="B935" t="s">
        <v>90</v>
      </c>
      <c r="C935" t="s">
        <v>90</v>
      </c>
      <c r="D935" t="s">
        <v>91</v>
      </c>
      <c r="E935" s="1" t="s">
        <v>95</v>
      </c>
      <c r="F935" t="s">
        <v>93</v>
      </c>
      <c r="G935" t="s">
        <v>28</v>
      </c>
      <c r="H935">
        <v>17</v>
      </c>
      <c r="I935">
        <v>1147899</v>
      </c>
    </row>
    <row r="936" spans="1:9" x14ac:dyDescent="0.25">
      <c r="A936" s="5" t="str">
        <f>TrendSheetPrdData[[#This Row],[Population]]&amp;TrendSheetPrdData[[#This Row],[Cost Basis]]&amp;TrendSheetPrdData[[#This Row],[Period]]&amp;TrendSheetPrdData[[#This Row],[Trend]]</f>
        <v>CHESAPEAKE EMPLOYEEAllowed2016-06-01Chronic Disease Management - Cost</v>
      </c>
      <c r="B936" t="s">
        <v>90</v>
      </c>
      <c r="C936" t="s">
        <v>90</v>
      </c>
      <c r="D936" t="s">
        <v>91</v>
      </c>
      <c r="E936" s="1" t="s">
        <v>96</v>
      </c>
      <c r="F936" t="s">
        <v>93</v>
      </c>
      <c r="G936" t="s">
        <v>28</v>
      </c>
      <c r="H936">
        <v>17</v>
      </c>
      <c r="I936">
        <v>1122078</v>
      </c>
    </row>
    <row r="937" spans="1:9" x14ac:dyDescent="0.25">
      <c r="A937" s="5" t="str">
        <f>TrendSheetPrdData[[#This Row],[Population]]&amp;TrendSheetPrdData[[#This Row],[Cost Basis]]&amp;TrendSheetPrdData[[#This Row],[Period]]&amp;TrendSheetPrdData[[#This Row],[Trend]]</f>
        <v>CHESAPEAKE EMPLOYEEAllowed2016-07-01Chronic Disease Management - Cost</v>
      </c>
      <c r="B937" t="s">
        <v>90</v>
      </c>
      <c r="C937" t="s">
        <v>90</v>
      </c>
      <c r="D937" t="s">
        <v>91</v>
      </c>
      <c r="E937" s="1" t="s">
        <v>97</v>
      </c>
      <c r="F937" t="s">
        <v>93</v>
      </c>
      <c r="G937" t="s">
        <v>28</v>
      </c>
      <c r="H937">
        <v>17</v>
      </c>
      <c r="I937">
        <v>1146177</v>
      </c>
    </row>
    <row r="938" spans="1:9" x14ac:dyDescent="0.25">
      <c r="A938" s="5" t="str">
        <f>TrendSheetPrdData[[#This Row],[Population]]&amp;TrendSheetPrdData[[#This Row],[Cost Basis]]&amp;TrendSheetPrdData[[#This Row],[Period]]&amp;TrendSheetPrdData[[#This Row],[Trend]]</f>
        <v>CHESAPEAKE EMPLOYEEAllowed2016-08-01Chronic Disease Management - Cost</v>
      </c>
      <c r="B938" t="s">
        <v>90</v>
      </c>
      <c r="C938" t="s">
        <v>90</v>
      </c>
      <c r="D938" t="s">
        <v>91</v>
      </c>
      <c r="E938" s="1" t="s">
        <v>98</v>
      </c>
      <c r="F938" t="s">
        <v>93</v>
      </c>
      <c r="G938" t="s">
        <v>28</v>
      </c>
      <c r="H938">
        <v>17</v>
      </c>
      <c r="I938">
        <v>844618</v>
      </c>
    </row>
    <row r="939" spans="1:9" x14ac:dyDescent="0.25">
      <c r="A939" s="5" t="str">
        <f>TrendSheetPrdData[[#This Row],[Population]]&amp;TrendSheetPrdData[[#This Row],[Cost Basis]]&amp;TrendSheetPrdData[[#This Row],[Period]]&amp;TrendSheetPrdData[[#This Row],[Trend]]</f>
        <v>CHESAPEAKE EMPLOYEEAllowed2016-09-01Chronic Disease Management - Cost</v>
      </c>
      <c r="B939" t="s">
        <v>90</v>
      </c>
      <c r="C939" t="s">
        <v>90</v>
      </c>
      <c r="D939" t="s">
        <v>91</v>
      </c>
      <c r="E939" s="1" t="s">
        <v>99</v>
      </c>
      <c r="F939" t="s">
        <v>93</v>
      </c>
      <c r="G939" t="s">
        <v>28</v>
      </c>
      <c r="H939">
        <v>17</v>
      </c>
      <c r="I939">
        <v>909371</v>
      </c>
    </row>
    <row r="940" spans="1:9" x14ac:dyDescent="0.25">
      <c r="A940" s="5" t="str">
        <f>TrendSheetPrdData[[#This Row],[Population]]&amp;TrendSheetPrdData[[#This Row],[Cost Basis]]&amp;TrendSheetPrdData[[#This Row],[Period]]&amp;TrendSheetPrdData[[#This Row],[Trend]]</f>
        <v>CHESAPEAKE EMPLOYEEAllowed2016-10-01Chronic Disease Management - Cost</v>
      </c>
      <c r="B940" t="s">
        <v>90</v>
      </c>
      <c r="C940" t="s">
        <v>90</v>
      </c>
      <c r="D940" t="s">
        <v>91</v>
      </c>
      <c r="E940" s="1" t="s">
        <v>100</v>
      </c>
      <c r="F940" t="s">
        <v>93</v>
      </c>
      <c r="G940" t="s">
        <v>28</v>
      </c>
      <c r="H940">
        <v>17</v>
      </c>
      <c r="I940">
        <v>1088423</v>
      </c>
    </row>
    <row r="941" spans="1:9" x14ac:dyDescent="0.25">
      <c r="A941" s="5" t="str">
        <f>TrendSheetPrdData[[#This Row],[Population]]&amp;TrendSheetPrdData[[#This Row],[Cost Basis]]&amp;TrendSheetPrdData[[#This Row],[Period]]&amp;TrendSheetPrdData[[#This Row],[Trend]]</f>
        <v>CHESAPEAKE EMPLOYEEAllowed2016-11-01Chronic Disease Management - Cost</v>
      </c>
      <c r="B941" t="s">
        <v>90</v>
      </c>
      <c r="C941" t="s">
        <v>90</v>
      </c>
      <c r="D941" t="s">
        <v>91</v>
      </c>
      <c r="E941" s="1" t="s">
        <v>101</v>
      </c>
      <c r="F941" t="s">
        <v>93</v>
      </c>
      <c r="G941" t="s">
        <v>28</v>
      </c>
      <c r="H941">
        <v>17</v>
      </c>
      <c r="I941">
        <v>1002540</v>
      </c>
    </row>
    <row r="942" spans="1:9" x14ac:dyDescent="0.25">
      <c r="A942" s="5" t="str">
        <f>TrendSheetPrdData[[#This Row],[Population]]&amp;TrendSheetPrdData[[#This Row],[Cost Basis]]&amp;TrendSheetPrdData[[#This Row],[Period]]&amp;TrendSheetPrdData[[#This Row],[Trend]]</f>
        <v>CHESAPEAKE EMPLOYEEAllowed2016-12-01Chronic Disease Management - Cost</v>
      </c>
      <c r="B942" t="s">
        <v>90</v>
      </c>
      <c r="C942" t="s">
        <v>90</v>
      </c>
      <c r="D942" t="s">
        <v>91</v>
      </c>
      <c r="E942" s="1" t="s">
        <v>102</v>
      </c>
      <c r="F942" t="s">
        <v>93</v>
      </c>
      <c r="G942" t="s">
        <v>28</v>
      </c>
      <c r="H942">
        <v>17</v>
      </c>
      <c r="I942">
        <v>997863</v>
      </c>
    </row>
    <row r="943" spans="1:9" x14ac:dyDescent="0.25">
      <c r="A943" s="5" t="str">
        <f>TrendSheetPrdData[[#This Row],[Population]]&amp;TrendSheetPrdData[[#This Row],[Cost Basis]]&amp;TrendSheetPrdData[[#This Row],[Period]]&amp;TrendSheetPrdData[[#This Row],[Trend]]</f>
        <v>CHESAPEAKE EMPLOYEEAllowed2017-01-01Chronic Disease Management - Cost</v>
      </c>
      <c r="B943" t="s">
        <v>90</v>
      </c>
      <c r="C943" t="s">
        <v>90</v>
      </c>
      <c r="D943" t="s">
        <v>91</v>
      </c>
      <c r="E943" s="1" t="s">
        <v>103</v>
      </c>
      <c r="F943" t="s">
        <v>93</v>
      </c>
      <c r="G943" t="s">
        <v>28</v>
      </c>
      <c r="H943">
        <v>17</v>
      </c>
      <c r="I943">
        <v>829293</v>
      </c>
    </row>
    <row r="944" spans="1:9" x14ac:dyDescent="0.25">
      <c r="A944" s="5" t="str">
        <f>TrendSheetPrdData[[#This Row],[Population]]&amp;TrendSheetPrdData[[#This Row],[Cost Basis]]&amp;TrendSheetPrdData[[#This Row],[Period]]&amp;TrendSheetPrdData[[#This Row],[Trend]]</f>
        <v>CHESAPEAKE EMPLOYEEAllowed2017-02-01Chronic Disease Management - Cost</v>
      </c>
      <c r="B944" t="s">
        <v>90</v>
      </c>
      <c r="C944" t="s">
        <v>90</v>
      </c>
      <c r="D944" t="s">
        <v>91</v>
      </c>
      <c r="E944" s="1" t="s">
        <v>104</v>
      </c>
      <c r="F944" t="s">
        <v>106</v>
      </c>
      <c r="G944" t="s">
        <v>28</v>
      </c>
      <c r="H944">
        <v>17</v>
      </c>
      <c r="I944">
        <v>887084</v>
      </c>
    </row>
    <row r="945" spans="1:9" x14ac:dyDescent="0.25">
      <c r="A945" s="5" t="str">
        <f>TrendSheetPrdData[[#This Row],[Population]]&amp;TrendSheetPrdData[[#This Row],[Cost Basis]]&amp;TrendSheetPrdData[[#This Row],[Period]]&amp;TrendSheetPrdData[[#This Row],[Trend]]</f>
        <v>CHESAPEAKE EMPLOYEEAllowed2017-03-01Chronic Disease Management - Cost</v>
      </c>
      <c r="B945" t="s">
        <v>90</v>
      </c>
      <c r="C945" t="s">
        <v>90</v>
      </c>
      <c r="D945" t="s">
        <v>91</v>
      </c>
      <c r="E945" s="1" t="s">
        <v>105</v>
      </c>
      <c r="F945" t="s">
        <v>106</v>
      </c>
      <c r="G945" t="s">
        <v>28</v>
      </c>
      <c r="H945">
        <v>17</v>
      </c>
      <c r="I945">
        <v>981975</v>
      </c>
    </row>
    <row r="946" spans="1:9" x14ac:dyDescent="0.25">
      <c r="A946" s="5" t="str">
        <f>TrendSheetPrdData[[#This Row],[Population]]&amp;TrendSheetPrdData[[#This Row],[Cost Basis]]&amp;TrendSheetPrdData[[#This Row],[Period]]&amp;TrendSheetPrdData[[#This Row],[Trend]]</f>
        <v>CHESAPEAKE EMPLOYEEAllowed2017-04-01Chronic Disease Management - Cost</v>
      </c>
      <c r="B946" t="s">
        <v>90</v>
      </c>
      <c r="C946" t="s">
        <v>90</v>
      </c>
      <c r="D946" t="s">
        <v>91</v>
      </c>
      <c r="E946" s="1" t="s">
        <v>107</v>
      </c>
      <c r="F946" t="s">
        <v>106</v>
      </c>
      <c r="G946" t="s">
        <v>28</v>
      </c>
      <c r="H946">
        <v>17</v>
      </c>
      <c r="I946">
        <v>453523</v>
      </c>
    </row>
    <row r="947" spans="1:9" x14ac:dyDescent="0.25">
      <c r="A947" s="5" t="str">
        <f>TrendSheetPrdData[[#This Row],[Population]]&amp;TrendSheetPrdData[[#This Row],[Cost Basis]]&amp;TrendSheetPrdData[[#This Row],[Period]]&amp;TrendSheetPrdData[[#This Row],[Trend]]</f>
        <v>CHESAPEAKE EMPLOYEEAllowed2016-02-01Chronic Disease Management - Members</v>
      </c>
      <c r="B947" t="s">
        <v>90</v>
      </c>
      <c r="C947" t="s">
        <v>90</v>
      </c>
      <c r="D947" t="s">
        <v>91</v>
      </c>
      <c r="E947" s="1" t="s">
        <v>133</v>
      </c>
      <c r="F947" t="s">
        <v>93</v>
      </c>
      <c r="G947" t="s">
        <v>29</v>
      </c>
      <c r="H947">
        <v>18</v>
      </c>
      <c r="I947">
        <v>374.01</v>
      </c>
    </row>
    <row r="948" spans="1:9" x14ac:dyDescent="0.25">
      <c r="A948" s="5" t="str">
        <f>TrendSheetPrdData[[#This Row],[Population]]&amp;TrendSheetPrdData[[#This Row],[Cost Basis]]&amp;TrendSheetPrdData[[#This Row],[Period]]&amp;TrendSheetPrdData[[#This Row],[Trend]]</f>
        <v>CHESAPEAKE EMPLOYEEAllowed2016-03-01Chronic Disease Management - Members</v>
      </c>
      <c r="B948" t="s">
        <v>90</v>
      </c>
      <c r="C948" t="s">
        <v>90</v>
      </c>
      <c r="D948" t="s">
        <v>91</v>
      </c>
      <c r="E948" s="1" t="s">
        <v>92</v>
      </c>
      <c r="F948" t="s">
        <v>93</v>
      </c>
      <c r="G948" t="s">
        <v>29</v>
      </c>
      <c r="H948">
        <v>18</v>
      </c>
      <c r="I948">
        <v>372.14</v>
      </c>
    </row>
    <row r="949" spans="1:9" x14ac:dyDescent="0.25">
      <c r="A949" s="5" t="str">
        <f>TrendSheetPrdData[[#This Row],[Population]]&amp;TrendSheetPrdData[[#This Row],[Cost Basis]]&amp;TrendSheetPrdData[[#This Row],[Period]]&amp;TrendSheetPrdData[[#This Row],[Trend]]</f>
        <v>CHESAPEAKE EMPLOYEEAllowed2016-04-01Chronic Disease Management - Members</v>
      </c>
      <c r="B949" t="s">
        <v>90</v>
      </c>
      <c r="C949" t="s">
        <v>90</v>
      </c>
      <c r="D949" t="s">
        <v>91</v>
      </c>
      <c r="E949" s="1" t="s">
        <v>94</v>
      </c>
      <c r="F949" t="s">
        <v>93</v>
      </c>
      <c r="G949" t="s">
        <v>29</v>
      </c>
      <c r="H949">
        <v>18</v>
      </c>
      <c r="I949">
        <v>380.74</v>
      </c>
    </row>
    <row r="950" spans="1:9" x14ac:dyDescent="0.25">
      <c r="A950" s="5" t="str">
        <f>TrendSheetPrdData[[#This Row],[Population]]&amp;TrendSheetPrdData[[#This Row],[Cost Basis]]&amp;TrendSheetPrdData[[#This Row],[Period]]&amp;TrendSheetPrdData[[#This Row],[Trend]]</f>
        <v>CHESAPEAKE EMPLOYEEAllowed2016-05-01Chronic Disease Management - Members</v>
      </c>
      <c r="B950" t="s">
        <v>90</v>
      </c>
      <c r="C950" t="s">
        <v>90</v>
      </c>
      <c r="D950" t="s">
        <v>91</v>
      </c>
      <c r="E950" s="1" t="s">
        <v>95</v>
      </c>
      <c r="F950" t="s">
        <v>93</v>
      </c>
      <c r="G950" t="s">
        <v>29</v>
      </c>
      <c r="H950">
        <v>18</v>
      </c>
      <c r="I950">
        <v>379.05</v>
      </c>
    </row>
    <row r="951" spans="1:9" x14ac:dyDescent="0.25">
      <c r="A951" s="5" t="str">
        <f>TrendSheetPrdData[[#This Row],[Population]]&amp;TrendSheetPrdData[[#This Row],[Cost Basis]]&amp;TrendSheetPrdData[[#This Row],[Period]]&amp;TrendSheetPrdData[[#This Row],[Trend]]</f>
        <v>CHESAPEAKE EMPLOYEEAllowed2016-06-01Chronic Disease Management - Members</v>
      </c>
      <c r="B951" t="s">
        <v>90</v>
      </c>
      <c r="C951" t="s">
        <v>90</v>
      </c>
      <c r="D951" t="s">
        <v>91</v>
      </c>
      <c r="E951" s="1" t="s">
        <v>96</v>
      </c>
      <c r="F951" t="s">
        <v>93</v>
      </c>
      <c r="G951" t="s">
        <v>29</v>
      </c>
      <c r="H951">
        <v>18</v>
      </c>
      <c r="I951">
        <v>384.76</v>
      </c>
    </row>
    <row r="952" spans="1:9" x14ac:dyDescent="0.25">
      <c r="A952" s="5" t="str">
        <f>TrendSheetPrdData[[#This Row],[Population]]&amp;TrendSheetPrdData[[#This Row],[Cost Basis]]&amp;TrendSheetPrdData[[#This Row],[Period]]&amp;TrendSheetPrdData[[#This Row],[Trend]]</f>
        <v>CHESAPEAKE EMPLOYEEAllowed2016-07-01Chronic Disease Management - Members</v>
      </c>
      <c r="B952" t="s">
        <v>90</v>
      </c>
      <c r="C952" t="s">
        <v>90</v>
      </c>
      <c r="D952" t="s">
        <v>91</v>
      </c>
      <c r="E952" s="1" t="s">
        <v>97</v>
      </c>
      <c r="F952" t="s">
        <v>93</v>
      </c>
      <c r="G952" t="s">
        <v>29</v>
      </c>
      <c r="H952">
        <v>18</v>
      </c>
      <c r="I952">
        <v>385.49</v>
      </c>
    </row>
    <row r="953" spans="1:9" x14ac:dyDescent="0.25">
      <c r="A953" s="5" t="str">
        <f>TrendSheetPrdData[[#This Row],[Population]]&amp;TrendSheetPrdData[[#This Row],[Cost Basis]]&amp;TrendSheetPrdData[[#This Row],[Period]]&amp;TrendSheetPrdData[[#This Row],[Trend]]</f>
        <v>CHESAPEAKE EMPLOYEEAllowed2016-08-01Chronic Disease Management - Members</v>
      </c>
      <c r="B953" t="s">
        <v>90</v>
      </c>
      <c r="C953" t="s">
        <v>90</v>
      </c>
      <c r="D953" t="s">
        <v>91</v>
      </c>
      <c r="E953" s="1" t="s">
        <v>98</v>
      </c>
      <c r="F953" t="s">
        <v>93</v>
      </c>
      <c r="G953" t="s">
        <v>29</v>
      </c>
      <c r="H953">
        <v>18</v>
      </c>
      <c r="I953">
        <v>386.53</v>
      </c>
    </row>
    <row r="954" spans="1:9" x14ac:dyDescent="0.25">
      <c r="A954" s="5" t="str">
        <f>TrendSheetPrdData[[#This Row],[Population]]&amp;TrendSheetPrdData[[#This Row],[Cost Basis]]&amp;TrendSheetPrdData[[#This Row],[Period]]&amp;TrendSheetPrdData[[#This Row],[Trend]]</f>
        <v>CHESAPEAKE EMPLOYEEAllowed2016-09-01Chronic Disease Management - Members</v>
      </c>
      <c r="B954" t="s">
        <v>90</v>
      </c>
      <c r="C954" t="s">
        <v>90</v>
      </c>
      <c r="D954" t="s">
        <v>91</v>
      </c>
      <c r="E954" s="1" t="s">
        <v>99</v>
      </c>
      <c r="F954" t="s">
        <v>93</v>
      </c>
      <c r="G954" t="s">
        <v>29</v>
      </c>
      <c r="H954">
        <v>18</v>
      </c>
      <c r="I954">
        <v>381.74</v>
      </c>
    </row>
    <row r="955" spans="1:9" x14ac:dyDescent="0.25">
      <c r="A955" s="5" t="str">
        <f>TrendSheetPrdData[[#This Row],[Population]]&amp;TrendSheetPrdData[[#This Row],[Cost Basis]]&amp;TrendSheetPrdData[[#This Row],[Period]]&amp;TrendSheetPrdData[[#This Row],[Trend]]</f>
        <v>CHESAPEAKE EMPLOYEEAllowed2016-10-01Chronic Disease Management - Members</v>
      </c>
      <c r="B955" t="s">
        <v>90</v>
      </c>
      <c r="C955" t="s">
        <v>90</v>
      </c>
      <c r="D955" t="s">
        <v>91</v>
      </c>
      <c r="E955" s="1" t="s">
        <v>100</v>
      </c>
      <c r="F955" t="s">
        <v>93</v>
      </c>
      <c r="G955" t="s">
        <v>29</v>
      </c>
      <c r="H955">
        <v>18</v>
      </c>
      <c r="I955">
        <v>378.1</v>
      </c>
    </row>
    <row r="956" spans="1:9" x14ac:dyDescent="0.25">
      <c r="A956" s="5" t="str">
        <f>TrendSheetPrdData[[#This Row],[Population]]&amp;TrendSheetPrdData[[#This Row],[Cost Basis]]&amp;TrendSheetPrdData[[#This Row],[Period]]&amp;TrendSheetPrdData[[#This Row],[Trend]]</f>
        <v>CHESAPEAKE EMPLOYEEAllowed2016-11-01Chronic Disease Management - Members</v>
      </c>
      <c r="B956" t="s">
        <v>90</v>
      </c>
      <c r="C956" t="s">
        <v>90</v>
      </c>
      <c r="D956" t="s">
        <v>91</v>
      </c>
      <c r="E956" s="1" t="s">
        <v>101</v>
      </c>
      <c r="F956" t="s">
        <v>93</v>
      </c>
      <c r="G956" t="s">
        <v>29</v>
      </c>
      <c r="H956">
        <v>18</v>
      </c>
      <c r="I956">
        <v>380.63</v>
      </c>
    </row>
    <row r="957" spans="1:9" x14ac:dyDescent="0.25">
      <c r="A957" s="5" t="str">
        <f>TrendSheetPrdData[[#This Row],[Population]]&amp;TrendSheetPrdData[[#This Row],[Cost Basis]]&amp;TrendSheetPrdData[[#This Row],[Period]]&amp;TrendSheetPrdData[[#This Row],[Trend]]</f>
        <v>CHESAPEAKE EMPLOYEEAllowed2016-12-01Chronic Disease Management - Members</v>
      </c>
      <c r="B957" t="s">
        <v>90</v>
      </c>
      <c r="C957" t="s">
        <v>90</v>
      </c>
      <c r="D957" t="s">
        <v>91</v>
      </c>
      <c r="E957" s="1" t="s">
        <v>102</v>
      </c>
      <c r="F957" t="s">
        <v>93</v>
      </c>
      <c r="G957" t="s">
        <v>29</v>
      </c>
      <c r="H957">
        <v>18</v>
      </c>
      <c r="I957">
        <v>379.8</v>
      </c>
    </row>
    <row r="958" spans="1:9" x14ac:dyDescent="0.25">
      <c r="A958" s="5" t="str">
        <f>TrendSheetPrdData[[#This Row],[Population]]&amp;TrendSheetPrdData[[#This Row],[Cost Basis]]&amp;TrendSheetPrdData[[#This Row],[Period]]&amp;TrendSheetPrdData[[#This Row],[Trend]]</f>
        <v>CHESAPEAKE EMPLOYEEAllowed2017-01-01Chronic Disease Management - Members</v>
      </c>
      <c r="B958" t="s">
        <v>90</v>
      </c>
      <c r="C958" t="s">
        <v>90</v>
      </c>
      <c r="D958" t="s">
        <v>91</v>
      </c>
      <c r="E958" s="1" t="s">
        <v>103</v>
      </c>
      <c r="F958" t="s">
        <v>93</v>
      </c>
      <c r="G958" t="s">
        <v>29</v>
      </c>
      <c r="H958">
        <v>18</v>
      </c>
      <c r="I958">
        <v>367.95</v>
      </c>
    </row>
    <row r="959" spans="1:9" x14ac:dyDescent="0.25">
      <c r="A959" s="5" t="str">
        <f>TrendSheetPrdData[[#This Row],[Population]]&amp;TrendSheetPrdData[[#This Row],[Cost Basis]]&amp;TrendSheetPrdData[[#This Row],[Period]]&amp;TrendSheetPrdData[[#This Row],[Trend]]</f>
        <v>CHESAPEAKE EMPLOYEEAllowed2017-02-01Chronic Disease Management - Members</v>
      </c>
      <c r="B959" t="s">
        <v>90</v>
      </c>
      <c r="C959" t="s">
        <v>90</v>
      </c>
      <c r="D959" t="s">
        <v>91</v>
      </c>
      <c r="E959" s="1" t="s">
        <v>104</v>
      </c>
      <c r="F959" t="s">
        <v>106</v>
      </c>
      <c r="G959" t="s">
        <v>29</v>
      </c>
      <c r="H959">
        <v>18</v>
      </c>
      <c r="I959">
        <v>371.07</v>
      </c>
    </row>
    <row r="960" spans="1:9" x14ac:dyDescent="0.25">
      <c r="A960" s="5" t="str">
        <f>TrendSheetPrdData[[#This Row],[Population]]&amp;TrendSheetPrdData[[#This Row],[Cost Basis]]&amp;TrendSheetPrdData[[#This Row],[Period]]&amp;TrendSheetPrdData[[#This Row],[Trend]]</f>
        <v>CHESAPEAKE EMPLOYEEAllowed2017-03-01Chronic Disease Management - Members</v>
      </c>
      <c r="B960" t="s">
        <v>90</v>
      </c>
      <c r="C960" t="s">
        <v>90</v>
      </c>
      <c r="D960" t="s">
        <v>91</v>
      </c>
      <c r="E960" s="1" t="s">
        <v>105</v>
      </c>
      <c r="F960" t="s">
        <v>106</v>
      </c>
      <c r="G960" t="s">
        <v>29</v>
      </c>
      <c r="H960">
        <v>18</v>
      </c>
      <c r="I960">
        <v>372.72</v>
      </c>
    </row>
    <row r="961" spans="1:9" x14ac:dyDescent="0.25">
      <c r="A961" s="5" t="str">
        <f>TrendSheetPrdData[[#This Row],[Population]]&amp;TrendSheetPrdData[[#This Row],[Cost Basis]]&amp;TrendSheetPrdData[[#This Row],[Period]]&amp;TrendSheetPrdData[[#This Row],[Trend]]</f>
        <v>CHESAPEAKE EMPLOYEEAllowed2017-04-01Chronic Disease Management - Members</v>
      </c>
      <c r="B961" t="s">
        <v>90</v>
      </c>
      <c r="C961" t="s">
        <v>90</v>
      </c>
      <c r="D961" t="s">
        <v>91</v>
      </c>
      <c r="E961" s="1" t="s">
        <v>107</v>
      </c>
      <c r="F961" t="s">
        <v>106</v>
      </c>
      <c r="G961" t="s">
        <v>29</v>
      </c>
      <c r="H961">
        <v>18</v>
      </c>
      <c r="I961">
        <v>360.87</v>
      </c>
    </row>
    <row r="962" spans="1:9" x14ac:dyDescent="0.25">
      <c r="A962" s="5" t="str">
        <f>TrendSheetPrdData[[#This Row],[Population]]&amp;TrendSheetPrdData[[#This Row],[Cost Basis]]&amp;TrendSheetPrdData[[#This Row],[Period]]&amp;TrendSheetPrdData[[#This Row],[Trend]]</f>
        <v>CHESAPEAKE EMPLOYEEAllowed2016-02-01Inpatient Claim Count</v>
      </c>
      <c r="B962" t="s">
        <v>90</v>
      </c>
      <c r="C962" t="s">
        <v>90</v>
      </c>
      <c r="D962" t="s">
        <v>91</v>
      </c>
      <c r="E962" s="1" t="s">
        <v>133</v>
      </c>
      <c r="F962" t="s">
        <v>93</v>
      </c>
      <c r="G962" t="s">
        <v>30</v>
      </c>
      <c r="H962">
        <v>19</v>
      </c>
      <c r="I962">
        <v>108</v>
      </c>
    </row>
    <row r="963" spans="1:9" x14ac:dyDescent="0.25">
      <c r="A963" s="5" t="str">
        <f>TrendSheetPrdData[[#This Row],[Population]]&amp;TrendSheetPrdData[[#This Row],[Cost Basis]]&amp;TrendSheetPrdData[[#This Row],[Period]]&amp;TrendSheetPrdData[[#This Row],[Trend]]</f>
        <v>CHESAPEAKE EMPLOYEEAllowed2016-03-01Inpatient Claim Count</v>
      </c>
      <c r="B963" t="s">
        <v>90</v>
      </c>
      <c r="C963" t="s">
        <v>90</v>
      </c>
      <c r="D963" t="s">
        <v>91</v>
      </c>
      <c r="E963" s="1" t="s">
        <v>92</v>
      </c>
      <c r="F963" t="s">
        <v>93</v>
      </c>
      <c r="G963" t="s">
        <v>30</v>
      </c>
      <c r="H963">
        <v>19</v>
      </c>
      <c r="I963">
        <v>360</v>
      </c>
    </row>
    <row r="964" spans="1:9" x14ac:dyDescent="0.25">
      <c r="A964" s="5" t="str">
        <f>TrendSheetPrdData[[#This Row],[Population]]&amp;TrendSheetPrdData[[#This Row],[Cost Basis]]&amp;TrendSheetPrdData[[#This Row],[Period]]&amp;TrendSheetPrdData[[#This Row],[Trend]]</f>
        <v>CHESAPEAKE EMPLOYEEAllowed2016-04-01Inpatient Claim Count</v>
      </c>
      <c r="B964" t="s">
        <v>90</v>
      </c>
      <c r="C964" t="s">
        <v>90</v>
      </c>
      <c r="D964" t="s">
        <v>91</v>
      </c>
      <c r="E964" s="1" t="s">
        <v>94</v>
      </c>
      <c r="F964" t="s">
        <v>93</v>
      </c>
      <c r="G964" t="s">
        <v>30</v>
      </c>
      <c r="H964">
        <v>19</v>
      </c>
      <c r="I964">
        <v>335</v>
      </c>
    </row>
    <row r="965" spans="1:9" x14ac:dyDescent="0.25">
      <c r="A965" s="5" t="str">
        <f>TrendSheetPrdData[[#This Row],[Population]]&amp;TrendSheetPrdData[[#This Row],[Cost Basis]]&amp;TrendSheetPrdData[[#This Row],[Period]]&amp;TrendSheetPrdData[[#This Row],[Trend]]</f>
        <v>CHESAPEAKE EMPLOYEEAllowed2016-05-01Inpatient Claim Count</v>
      </c>
      <c r="B965" t="s">
        <v>90</v>
      </c>
      <c r="C965" t="s">
        <v>90</v>
      </c>
      <c r="D965" t="s">
        <v>91</v>
      </c>
      <c r="E965" s="1" t="s">
        <v>95</v>
      </c>
      <c r="F965" t="s">
        <v>93</v>
      </c>
      <c r="G965" t="s">
        <v>30</v>
      </c>
      <c r="H965">
        <v>19</v>
      </c>
      <c r="I965">
        <v>223</v>
      </c>
    </row>
    <row r="966" spans="1:9" x14ac:dyDescent="0.25">
      <c r="A966" s="5" t="str">
        <f>TrendSheetPrdData[[#This Row],[Population]]&amp;TrendSheetPrdData[[#This Row],[Cost Basis]]&amp;TrendSheetPrdData[[#This Row],[Period]]&amp;TrendSheetPrdData[[#This Row],[Trend]]</f>
        <v>CHESAPEAKE EMPLOYEEAllowed2016-06-01Inpatient Claim Count</v>
      </c>
      <c r="B966" t="s">
        <v>90</v>
      </c>
      <c r="C966" t="s">
        <v>90</v>
      </c>
      <c r="D966" t="s">
        <v>91</v>
      </c>
      <c r="E966" s="1" t="s">
        <v>96</v>
      </c>
      <c r="F966" t="s">
        <v>93</v>
      </c>
      <c r="G966" t="s">
        <v>30</v>
      </c>
      <c r="H966">
        <v>19</v>
      </c>
      <c r="I966">
        <v>372</v>
      </c>
    </row>
    <row r="967" spans="1:9" x14ac:dyDescent="0.25">
      <c r="A967" s="5" t="str">
        <f>TrendSheetPrdData[[#This Row],[Population]]&amp;TrendSheetPrdData[[#This Row],[Cost Basis]]&amp;TrendSheetPrdData[[#This Row],[Period]]&amp;TrendSheetPrdData[[#This Row],[Trend]]</f>
        <v>CHESAPEAKE EMPLOYEEAllowed2016-07-01Inpatient Claim Count</v>
      </c>
      <c r="B967" t="s">
        <v>90</v>
      </c>
      <c r="C967" t="s">
        <v>90</v>
      </c>
      <c r="D967" t="s">
        <v>91</v>
      </c>
      <c r="E967" s="1" t="s">
        <v>97</v>
      </c>
      <c r="F967" t="s">
        <v>93</v>
      </c>
      <c r="G967" t="s">
        <v>30</v>
      </c>
      <c r="H967">
        <v>19</v>
      </c>
      <c r="I967">
        <v>271</v>
      </c>
    </row>
    <row r="968" spans="1:9" x14ac:dyDescent="0.25">
      <c r="A968" s="5" t="str">
        <f>TrendSheetPrdData[[#This Row],[Population]]&amp;TrendSheetPrdData[[#This Row],[Cost Basis]]&amp;TrendSheetPrdData[[#This Row],[Period]]&amp;TrendSheetPrdData[[#This Row],[Trend]]</f>
        <v>CHESAPEAKE EMPLOYEEAllowed2016-08-01Inpatient Claim Count</v>
      </c>
      <c r="B968" t="s">
        <v>90</v>
      </c>
      <c r="C968" t="s">
        <v>90</v>
      </c>
      <c r="D968" t="s">
        <v>91</v>
      </c>
      <c r="E968" s="1" t="s">
        <v>98</v>
      </c>
      <c r="F968" t="s">
        <v>93</v>
      </c>
      <c r="G968" t="s">
        <v>30</v>
      </c>
      <c r="H968">
        <v>19</v>
      </c>
      <c r="I968">
        <v>277</v>
      </c>
    </row>
    <row r="969" spans="1:9" x14ac:dyDescent="0.25">
      <c r="A969" s="5" t="str">
        <f>TrendSheetPrdData[[#This Row],[Population]]&amp;TrendSheetPrdData[[#This Row],[Cost Basis]]&amp;TrendSheetPrdData[[#This Row],[Period]]&amp;TrendSheetPrdData[[#This Row],[Trend]]</f>
        <v>CHESAPEAKE EMPLOYEEAllowed2016-09-01Inpatient Claim Count</v>
      </c>
      <c r="B969" t="s">
        <v>90</v>
      </c>
      <c r="C969" t="s">
        <v>90</v>
      </c>
      <c r="D969" t="s">
        <v>91</v>
      </c>
      <c r="E969" s="1" t="s">
        <v>99</v>
      </c>
      <c r="F969" t="s">
        <v>93</v>
      </c>
      <c r="G969" t="s">
        <v>30</v>
      </c>
      <c r="H969">
        <v>19</v>
      </c>
      <c r="I969">
        <v>302</v>
      </c>
    </row>
    <row r="970" spans="1:9" x14ac:dyDescent="0.25">
      <c r="A970" s="5" t="str">
        <f>TrendSheetPrdData[[#This Row],[Population]]&amp;TrendSheetPrdData[[#This Row],[Cost Basis]]&amp;TrendSheetPrdData[[#This Row],[Period]]&amp;TrendSheetPrdData[[#This Row],[Trend]]</f>
        <v>CHESAPEAKE EMPLOYEEAllowed2016-10-01Inpatient Claim Count</v>
      </c>
      <c r="B970" t="s">
        <v>90</v>
      </c>
      <c r="C970" t="s">
        <v>90</v>
      </c>
      <c r="D970" t="s">
        <v>91</v>
      </c>
      <c r="E970" s="1" t="s">
        <v>100</v>
      </c>
      <c r="F970" t="s">
        <v>93</v>
      </c>
      <c r="G970" t="s">
        <v>30</v>
      </c>
      <c r="H970">
        <v>19</v>
      </c>
      <c r="I970">
        <v>787</v>
      </c>
    </row>
    <row r="971" spans="1:9" x14ac:dyDescent="0.25">
      <c r="A971" s="5" t="str">
        <f>TrendSheetPrdData[[#This Row],[Population]]&amp;TrendSheetPrdData[[#This Row],[Cost Basis]]&amp;TrendSheetPrdData[[#This Row],[Period]]&amp;TrendSheetPrdData[[#This Row],[Trend]]</f>
        <v>CHESAPEAKE EMPLOYEEAllowed2016-11-01Inpatient Claim Count</v>
      </c>
      <c r="B971" t="s">
        <v>90</v>
      </c>
      <c r="C971" t="s">
        <v>90</v>
      </c>
      <c r="D971" t="s">
        <v>91</v>
      </c>
      <c r="E971" s="1" t="s">
        <v>101</v>
      </c>
      <c r="F971" t="s">
        <v>93</v>
      </c>
      <c r="G971" t="s">
        <v>30</v>
      </c>
      <c r="H971">
        <v>19</v>
      </c>
      <c r="I971">
        <v>469</v>
      </c>
    </row>
    <row r="972" spans="1:9" x14ac:dyDescent="0.25">
      <c r="A972" s="5" t="str">
        <f>TrendSheetPrdData[[#This Row],[Population]]&amp;TrendSheetPrdData[[#This Row],[Cost Basis]]&amp;TrendSheetPrdData[[#This Row],[Period]]&amp;TrendSheetPrdData[[#This Row],[Trend]]</f>
        <v>CHESAPEAKE EMPLOYEEAllowed2016-12-01Inpatient Claim Count</v>
      </c>
      <c r="B972" t="s">
        <v>90</v>
      </c>
      <c r="C972" t="s">
        <v>90</v>
      </c>
      <c r="D972" t="s">
        <v>91</v>
      </c>
      <c r="E972" s="1" t="s">
        <v>102</v>
      </c>
      <c r="F972" t="s">
        <v>93</v>
      </c>
      <c r="G972" t="s">
        <v>30</v>
      </c>
      <c r="H972">
        <v>19</v>
      </c>
      <c r="I972">
        <v>138</v>
      </c>
    </row>
    <row r="973" spans="1:9" x14ac:dyDescent="0.25">
      <c r="A973" s="5" t="str">
        <f>TrendSheetPrdData[[#This Row],[Population]]&amp;TrendSheetPrdData[[#This Row],[Cost Basis]]&amp;TrendSheetPrdData[[#This Row],[Period]]&amp;TrendSheetPrdData[[#This Row],[Trend]]</f>
        <v>CHESAPEAKE EMPLOYEEAllowed2017-01-01Inpatient Claim Count</v>
      </c>
      <c r="B973" t="s">
        <v>90</v>
      </c>
      <c r="C973" t="s">
        <v>90</v>
      </c>
      <c r="D973" t="s">
        <v>91</v>
      </c>
      <c r="E973" s="1" t="s">
        <v>103</v>
      </c>
      <c r="F973" t="s">
        <v>93</v>
      </c>
      <c r="G973" t="s">
        <v>30</v>
      </c>
      <c r="H973">
        <v>19</v>
      </c>
      <c r="I973">
        <v>86</v>
      </c>
    </row>
    <row r="974" spans="1:9" x14ac:dyDescent="0.25">
      <c r="A974" s="5" t="str">
        <f>TrendSheetPrdData[[#This Row],[Population]]&amp;TrendSheetPrdData[[#This Row],[Cost Basis]]&amp;TrendSheetPrdData[[#This Row],[Period]]&amp;TrendSheetPrdData[[#This Row],[Trend]]</f>
        <v>CHESAPEAKE EMPLOYEEAllowed2017-02-01Inpatient Claim Count</v>
      </c>
      <c r="B974" t="s">
        <v>90</v>
      </c>
      <c r="C974" t="s">
        <v>90</v>
      </c>
      <c r="D974" t="s">
        <v>91</v>
      </c>
      <c r="E974" s="1" t="s">
        <v>104</v>
      </c>
      <c r="F974" t="s">
        <v>106</v>
      </c>
      <c r="G974" t="s">
        <v>30</v>
      </c>
      <c r="H974">
        <v>19</v>
      </c>
      <c r="I974">
        <v>175</v>
      </c>
    </row>
    <row r="975" spans="1:9" x14ac:dyDescent="0.25">
      <c r="A975" s="5" t="str">
        <f>TrendSheetPrdData[[#This Row],[Population]]&amp;TrendSheetPrdData[[#This Row],[Cost Basis]]&amp;TrendSheetPrdData[[#This Row],[Period]]&amp;TrendSheetPrdData[[#This Row],[Trend]]</f>
        <v>CHESAPEAKE EMPLOYEEAllowed2017-03-01Inpatient Claim Count</v>
      </c>
      <c r="B975" t="s">
        <v>90</v>
      </c>
      <c r="C975" t="s">
        <v>90</v>
      </c>
      <c r="D975" t="s">
        <v>91</v>
      </c>
      <c r="E975" s="1" t="s">
        <v>105</v>
      </c>
      <c r="F975" t="s">
        <v>106</v>
      </c>
      <c r="G975" t="s">
        <v>30</v>
      </c>
      <c r="H975">
        <v>19</v>
      </c>
      <c r="I975">
        <v>115</v>
      </c>
    </row>
    <row r="976" spans="1:9" x14ac:dyDescent="0.25">
      <c r="A976" s="5" t="str">
        <f>TrendSheetPrdData[[#This Row],[Population]]&amp;TrendSheetPrdData[[#This Row],[Cost Basis]]&amp;TrendSheetPrdData[[#This Row],[Period]]&amp;TrendSheetPrdData[[#This Row],[Trend]]</f>
        <v>CHESAPEAKE EMPLOYEEAllowed2017-04-01Inpatient Claim Count</v>
      </c>
      <c r="B976" t="s">
        <v>90</v>
      </c>
      <c r="C976" t="s">
        <v>90</v>
      </c>
      <c r="D976" t="s">
        <v>91</v>
      </c>
      <c r="E976" s="1" t="s">
        <v>107</v>
      </c>
      <c r="F976" t="s">
        <v>106</v>
      </c>
      <c r="G976" t="s">
        <v>30</v>
      </c>
      <c r="H976">
        <v>19</v>
      </c>
      <c r="I976">
        <v>43</v>
      </c>
    </row>
    <row r="977" spans="1:9" x14ac:dyDescent="0.25">
      <c r="A977" s="5" t="str">
        <f>TrendSheetPrdData[[#This Row],[Population]]&amp;TrendSheetPrdData[[#This Row],[Cost Basis]]&amp;TrendSheetPrdData[[#This Row],[Period]]&amp;TrendSheetPrdData[[#This Row],[Trend]]</f>
        <v>CHESAPEAKE EMPLOYEEAllowed2016-02-01Outpatient Claim Count</v>
      </c>
      <c r="B977" t="s">
        <v>90</v>
      </c>
      <c r="C977" t="s">
        <v>90</v>
      </c>
      <c r="D977" t="s">
        <v>91</v>
      </c>
      <c r="E977" s="1" t="s">
        <v>133</v>
      </c>
      <c r="F977" t="s">
        <v>93</v>
      </c>
      <c r="G977" t="s">
        <v>31</v>
      </c>
      <c r="H977">
        <v>20</v>
      </c>
      <c r="I977">
        <v>2072</v>
      </c>
    </row>
    <row r="978" spans="1:9" x14ac:dyDescent="0.25">
      <c r="A978" s="5" t="str">
        <f>TrendSheetPrdData[[#This Row],[Population]]&amp;TrendSheetPrdData[[#This Row],[Cost Basis]]&amp;TrendSheetPrdData[[#This Row],[Period]]&amp;TrendSheetPrdData[[#This Row],[Trend]]</f>
        <v>CHESAPEAKE EMPLOYEEAllowed2016-03-01Outpatient Claim Count</v>
      </c>
      <c r="B978" t="s">
        <v>90</v>
      </c>
      <c r="C978" t="s">
        <v>90</v>
      </c>
      <c r="D978" t="s">
        <v>91</v>
      </c>
      <c r="E978" s="1" t="s">
        <v>92</v>
      </c>
      <c r="F978" t="s">
        <v>93</v>
      </c>
      <c r="G978" t="s">
        <v>31</v>
      </c>
      <c r="H978">
        <v>20</v>
      </c>
      <c r="I978">
        <v>2992</v>
      </c>
    </row>
    <row r="979" spans="1:9" x14ac:dyDescent="0.25">
      <c r="A979" s="5" t="str">
        <f>TrendSheetPrdData[[#This Row],[Population]]&amp;TrendSheetPrdData[[#This Row],[Cost Basis]]&amp;TrendSheetPrdData[[#This Row],[Period]]&amp;TrendSheetPrdData[[#This Row],[Trend]]</f>
        <v>CHESAPEAKE EMPLOYEEAllowed2016-04-01Outpatient Claim Count</v>
      </c>
      <c r="B979" t="s">
        <v>90</v>
      </c>
      <c r="C979" t="s">
        <v>90</v>
      </c>
      <c r="D979" t="s">
        <v>91</v>
      </c>
      <c r="E979" s="1" t="s">
        <v>94</v>
      </c>
      <c r="F979" t="s">
        <v>93</v>
      </c>
      <c r="G979" t="s">
        <v>31</v>
      </c>
      <c r="H979">
        <v>20</v>
      </c>
      <c r="I979">
        <v>2889</v>
      </c>
    </row>
    <row r="980" spans="1:9" x14ac:dyDescent="0.25">
      <c r="A980" s="5" t="str">
        <f>TrendSheetPrdData[[#This Row],[Population]]&amp;TrendSheetPrdData[[#This Row],[Cost Basis]]&amp;TrendSheetPrdData[[#This Row],[Period]]&amp;TrendSheetPrdData[[#This Row],[Trend]]</f>
        <v>CHESAPEAKE EMPLOYEEAllowed2016-05-01Outpatient Claim Count</v>
      </c>
      <c r="B980" t="s">
        <v>90</v>
      </c>
      <c r="C980" t="s">
        <v>90</v>
      </c>
      <c r="D980" t="s">
        <v>91</v>
      </c>
      <c r="E980" s="1" t="s">
        <v>95</v>
      </c>
      <c r="F980" t="s">
        <v>93</v>
      </c>
      <c r="G980" t="s">
        <v>31</v>
      </c>
      <c r="H980">
        <v>20</v>
      </c>
      <c r="I980">
        <v>2728</v>
      </c>
    </row>
    <row r="981" spans="1:9" x14ac:dyDescent="0.25">
      <c r="A981" s="5" t="str">
        <f>TrendSheetPrdData[[#This Row],[Population]]&amp;TrendSheetPrdData[[#This Row],[Cost Basis]]&amp;TrendSheetPrdData[[#This Row],[Period]]&amp;TrendSheetPrdData[[#This Row],[Trend]]</f>
        <v>CHESAPEAKE EMPLOYEEAllowed2016-06-01Outpatient Claim Count</v>
      </c>
      <c r="B981" t="s">
        <v>90</v>
      </c>
      <c r="C981" t="s">
        <v>90</v>
      </c>
      <c r="D981" t="s">
        <v>91</v>
      </c>
      <c r="E981" s="1" t="s">
        <v>96</v>
      </c>
      <c r="F981" t="s">
        <v>93</v>
      </c>
      <c r="G981" t="s">
        <v>31</v>
      </c>
      <c r="H981">
        <v>20</v>
      </c>
      <c r="I981">
        <v>2636</v>
      </c>
    </row>
    <row r="982" spans="1:9" x14ac:dyDescent="0.25">
      <c r="A982" s="5" t="str">
        <f>TrendSheetPrdData[[#This Row],[Population]]&amp;TrendSheetPrdData[[#This Row],[Cost Basis]]&amp;TrendSheetPrdData[[#This Row],[Period]]&amp;TrendSheetPrdData[[#This Row],[Trend]]</f>
        <v>CHESAPEAKE EMPLOYEEAllowed2016-07-01Outpatient Claim Count</v>
      </c>
      <c r="B982" t="s">
        <v>90</v>
      </c>
      <c r="C982" t="s">
        <v>90</v>
      </c>
      <c r="D982" t="s">
        <v>91</v>
      </c>
      <c r="E982" s="1" t="s">
        <v>97</v>
      </c>
      <c r="F982" t="s">
        <v>93</v>
      </c>
      <c r="G982" t="s">
        <v>31</v>
      </c>
      <c r="H982">
        <v>20</v>
      </c>
      <c r="I982">
        <v>2250</v>
      </c>
    </row>
    <row r="983" spans="1:9" x14ac:dyDescent="0.25">
      <c r="A983" s="5" t="str">
        <f>TrendSheetPrdData[[#This Row],[Population]]&amp;TrendSheetPrdData[[#This Row],[Cost Basis]]&amp;TrendSheetPrdData[[#This Row],[Period]]&amp;TrendSheetPrdData[[#This Row],[Trend]]</f>
        <v>CHESAPEAKE EMPLOYEEAllowed2016-08-01Outpatient Claim Count</v>
      </c>
      <c r="B983" t="s">
        <v>90</v>
      </c>
      <c r="C983" t="s">
        <v>90</v>
      </c>
      <c r="D983" t="s">
        <v>91</v>
      </c>
      <c r="E983" s="1" t="s">
        <v>98</v>
      </c>
      <c r="F983" t="s">
        <v>93</v>
      </c>
      <c r="G983" t="s">
        <v>31</v>
      </c>
      <c r="H983">
        <v>20</v>
      </c>
      <c r="I983">
        <v>2124</v>
      </c>
    </row>
    <row r="984" spans="1:9" x14ac:dyDescent="0.25">
      <c r="A984" s="5" t="str">
        <f>TrendSheetPrdData[[#This Row],[Population]]&amp;TrendSheetPrdData[[#This Row],[Cost Basis]]&amp;TrendSheetPrdData[[#This Row],[Period]]&amp;TrendSheetPrdData[[#This Row],[Trend]]</f>
        <v>CHESAPEAKE EMPLOYEEAllowed2016-09-01Outpatient Claim Count</v>
      </c>
      <c r="B984" t="s">
        <v>90</v>
      </c>
      <c r="C984" t="s">
        <v>90</v>
      </c>
      <c r="D984" t="s">
        <v>91</v>
      </c>
      <c r="E984" s="1" t="s">
        <v>99</v>
      </c>
      <c r="F984" t="s">
        <v>93</v>
      </c>
      <c r="G984" t="s">
        <v>31</v>
      </c>
      <c r="H984">
        <v>20</v>
      </c>
      <c r="I984">
        <v>2028</v>
      </c>
    </row>
    <row r="985" spans="1:9" x14ac:dyDescent="0.25">
      <c r="A985" s="5" t="str">
        <f>TrendSheetPrdData[[#This Row],[Population]]&amp;TrendSheetPrdData[[#This Row],[Cost Basis]]&amp;TrendSheetPrdData[[#This Row],[Period]]&amp;TrendSheetPrdData[[#This Row],[Trend]]</f>
        <v>CHESAPEAKE EMPLOYEEAllowed2016-10-01Outpatient Claim Count</v>
      </c>
      <c r="B985" t="s">
        <v>90</v>
      </c>
      <c r="C985" t="s">
        <v>90</v>
      </c>
      <c r="D985" t="s">
        <v>91</v>
      </c>
      <c r="E985" s="1" t="s">
        <v>100</v>
      </c>
      <c r="F985" t="s">
        <v>93</v>
      </c>
      <c r="G985" t="s">
        <v>31</v>
      </c>
      <c r="H985">
        <v>20</v>
      </c>
      <c r="I985">
        <v>2262</v>
      </c>
    </row>
    <row r="986" spans="1:9" x14ac:dyDescent="0.25">
      <c r="A986" s="5" t="str">
        <f>TrendSheetPrdData[[#This Row],[Population]]&amp;TrendSheetPrdData[[#This Row],[Cost Basis]]&amp;TrendSheetPrdData[[#This Row],[Period]]&amp;TrendSheetPrdData[[#This Row],[Trend]]</f>
        <v>CHESAPEAKE EMPLOYEEAllowed2016-11-01Outpatient Claim Count</v>
      </c>
      <c r="B986" t="s">
        <v>90</v>
      </c>
      <c r="C986" t="s">
        <v>90</v>
      </c>
      <c r="D986" t="s">
        <v>91</v>
      </c>
      <c r="E986" s="1" t="s">
        <v>101</v>
      </c>
      <c r="F986" t="s">
        <v>93</v>
      </c>
      <c r="G986" t="s">
        <v>31</v>
      </c>
      <c r="H986">
        <v>20</v>
      </c>
      <c r="I986">
        <v>2700</v>
      </c>
    </row>
    <row r="987" spans="1:9" x14ac:dyDescent="0.25">
      <c r="A987" s="5" t="str">
        <f>TrendSheetPrdData[[#This Row],[Population]]&amp;TrendSheetPrdData[[#This Row],[Cost Basis]]&amp;TrendSheetPrdData[[#This Row],[Period]]&amp;TrendSheetPrdData[[#This Row],[Trend]]</f>
        <v>CHESAPEAKE EMPLOYEEAllowed2016-12-01Outpatient Claim Count</v>
      </c>
      <c r="B987" t="s">
        <v>90</v>
      </c>
      <c r="C987" t="s">
        <v>90</v>
      </c>
      <c r="D987" t="s">
        <v>91</v>
      </c>
      <c r="E987" s="1" t="s">
        <v>102</v>
      </c>
      <c r="F987" t="s">
        <v>93</v>
      </c>
      <c r="G987" t="s">
        <v>31</v>
      </c>
      <c r="H987">
        <v>20</v>
      </c>
      <c r="I987">
        <v>2601</v>
      </c>
    </row>
    <row r="988" spans="1:9" x14ac:dyDescent="0.25">
      <c r="A988" s="5" t="str">
        <f>TrendSheetPrdData[[#This Row],[Population]]&amp;TrendSheetPrdData[[#This Row],[Cost Basis]]&amp;TrendSheetPrdData[[#This Row],[Period]]&amp;TrendSheetPrdData[[#This Row],[Trend]]</f>
        <v>CHESAPEAKE EMPLOYEEAllowed2017-01-01Outpatient Claim Count</v>
      </c>
      <c r="B988" t="s">
        <v>90</v>
      </c>
      <c r="C988" t="s">
        <v>90</v>
      </c>
      <c r="D988" t="s">
        <v>91</v>
      </c>
      <c r="E988" s="1" t="s">
        <v>103</v>
      </c>
      <c r="F988" t="s">
        <v>93</v>
      </c>
      <c r="G988" t="s">
        <v>31</v>
      </c>
      <c r="H988">
        <v>20</v>
      </c>
      <c r="I988">
        <v>2258</v>
      </c>
    </row>
    <row r="989" spans="1:9" x14ac:dyDescent="0.25">
      <c r="A989" s="5" t="str">
        <f>TrendSheetPrdData[[#This Row],[Population]]&amp;TrendSheetPrdData[[#This Row],[Cost Basis]]&amp;TrendSheetPrdData[[#This Row],[Period]]&amp;TrendSheetPrdData[[#This Row],[Trend]]</f>
        <v>CHESAPEAKE EMPLOYEEAllowed2017-02-01Outpatient Claim Count</v>
      </c>
      <c r="B989" t="s">
        <v>90</v>
      </c>
      <c r="C989" t="s">
        <v>90</v>
      </c>
      <c r="D989" t="s">
        <v>91</v>
      </c>
      <c r="E989" s="1" t="s">
        <v>104</v>
      </c>
      <c r="F989" t="s">
        <v>106</v>
      </c>
      <c r="G989" t="s">
        <v>31</v>
      </c>
      <c r="H989">
        <v>20</v>
      </c>
      <c r="I989">
        <v>1805</v>
      </c>
    </row>
    <row r="990" spans="1:9" x14ac:dyDescent="0.25">
      <c r="A990" s="5" t="str">
        <f>TrendSheetPrdData[[#This Row],[Population]]&amp;TrendSheetPrdData[[#This Row],[Cost Basis]]&amp;TrendSheetPrdData[[#This Row],[Period]]&amp;TrendSheetPrdData[[#This Row],[Trend]]</f>
        <v>CHESAPEAKE EMPLOYEEAllowed2017-03-01Outpatient Claim Count</v>
      </c>
      <c r="B990" t="s">
        <v>90</v>
      </c>
      <c r="C990" t="s">
        <v>90</v>
      </c>
      <c r="D990" t="s">
        <v>91</v>
      </c>
      <c r="E990" s="1" t="s">
        <v>105</v>
      </c>
      <c r="F990" t="s">
        <v>106</v>
      </c>
      <c r="G990" t="s">
        <v>31</v>
      </c>
      <c r="H990">
        <v>20</v>
      </c>
      <c r="I990">
        <v>2133</v>
      </c>
    </row>
    <row r="991" spans="1:9" x14ac:dyDescent="0.25">
      <c r="A991" s="5" t="str">
        <f>TrendSheetPrdData[[#This Row],[Population]]&amp;TrendSheetPrdData[[#This Row],[Cost Basis]]&amp;TrendSheetPrdData[[#This Row],[Period]]&amp;TrendSheetPrdData[[#This Row],[Trend]]</f>
        <v>CHESAPEAKE EMPLOYEEAllowed2017-04-01Outpatient Claim Count</v>
      </c>
      <c r="B991" t="s">
        <v>90</v>
      </c>
      <c r="C991" t="s">
        <v>90</v>
      </c>
      <c r="D991" t="s">
        <v>91</v>
      </c>
      <c r="E991" s="1" t="s">
        <v>107</v>
      </c>
      <c r="F991" t="s">
        <v>106</v>
      </c>
      <c r="G991" t="s">
        <v>31</v>
      </c>
      <c r="H991">
        <v>20</v>
      </c>
      <c r="I991">
        <v>446</v>
      </c>
    </row>
    <row r="992" spans="1:9" x14ac:dyDescent="0.25">
      <c r="A992" s="5" t="str">
        <f>TrendSheetPrdData[[#This Row],[Population]]&amp;TrendSheetPrdData[[#This Row],[Cost Basis]]&amp;TrendSheetPrdData[[#This Row],[Period]]&amp;TrendSheetPrdData[[#This Row],[Trend]]</f>
        <v>CHESAPEAKE EMPLOYEEAllowed2016-02-01Professional Claim Count</v>
      </c>
      <c r="B992" t="s">
        <v>90</v>
      </c>
      <c r="C992" t="s">
        <v>90</v>
      </c>
      <c r="D992" t="s">
        <v>91</v>
      </c>
      <c r="E992" s="1" t="s">
        <v>133</v>
      </c>
      <c r="F992" t="s">
        <v>93</v>
      </c>
      <c r="G992" t="s">
        <v>32</v>
      </c>
      <c r="H992">
        <v>21</v>
      </c>
      <c r="I992">
        <v>3714</v>
      </c>
    </row>
    <row r="993" spans="1:9" x14ac:dyDescent="0.25">
      <c r="A993" s="5" t="str">
        <f>TrendSheetPrdData[[#This Row],[Population]]&amp;TrendSheetPrdData[[#This Row],[Cost Basis]]&amp;TrendSheetPrdData[[#This Row],[Period]]&amp;TrendSheetPrdData[[#This Row],[Trend]]</f>
        <v>CHESAPEAKE EMPLOYEEAllowed2016-03-01Professional Claim Count</v>
      </c>
      <c r="B993" t="s">
        <v>90</v>
      </c>
      <c r="C993" t="s">
        <v>90</v>
      </c>
      <c r="D993" t="s">
        <v>91</v>
      </c>
      <c r="E993" s="1" t="s">
        <v>92</v>
      </c>
      <c r="F993" t="s">
        <v>93</v>
      </c>
      <c r="G993" t="s">
        <v>32</v>
      </c>
      <c r="H993">
        <v>21</v>
      </c>
      <c r="I993">
        <v>4255</v>
      </c>
    </row>
    <row r="994" spans="1:9" x14ac:dyDescent="0.25">
      <c r="A994" s="5" t="str">
        <f>TrendSheetPrdData[[#This Row],[Population]]&amp;TrendSheetPrdData[[#This Row],[Cost Basis]]&amp;TrendSheetPrdData[[#This Row],[Period]]&amp;TrendSheetPrdData[[#This Row],[Trend]]</f>
        <v>CHESAPEAKE EMPLOYEEAllowed2016-04-01Professional Claim Count</v>
      </c>
      <c r="B994" t="s">
        <v>90</v>
      </c>
      <c r="C994" t="s">
        <v>90</v>
      </c>
      <c r="D994" t="s">
        <v>91</v>
      </c>
      <c r="E994" s="1" t="s">
        <v>94</v>
      </c>
      <c r="F994" t="s">
        <v>93</v>
      </c>
      <c r="G994" t="s">
        <v>32</v>
      </c>
      <c r="H994">
        <v>21</v>
      </c>
      <c r="I994">
        <v>3966</v>
      </c>
    </row>
    <row r="995" spans="1:9" x14ac:dyDescent="0.25">
      <c r="A995" s="5" t="str">
        <f>TrendSheetPrdData[[#This Row],[Population]]&amp;TrendSheetPrdData[[#This Row],[Cost Basis]]&amp;TrendSheetPrdData[[#This Row],[Period]]&amp;TrendSheetPrdData[[#This Row],[Trend]]</f>
        <v>CHESAPEAKE EMPLOYEEAllowed2016-05-01Professional Claim Count</v>
      </c>
      <c r="B995" t="s">
        <v>90</v>
      </c>
      <c r="C995" t="s">
        <v>90</v>
      </c>
      <c r="D995" t="s">
        <v>91</v>
      </c>
      <c r="E995" s="1" t="s">
        <v>95</v>
      </c>
      <c r="F995" t="s">
        <v>93</v>
      </c>
      <c r="G995" t="s">
        <v>32</v>
      </c>
      <c r="H995">
        <v>21</v>
      </c>
      <c r="I995">
        <v>3819</v>
      </c>
    </row>
    <row r="996" spans="1:9" x14ac:dyDescent="0.25">
      <c r="A996" s="5" t="str">
        <f>TrendSheetPrdData[[#This Row],[Population]]&amp;TrendSheetPrdData[[#This Row],[Cost Basis]]&amp;TrendSheetPrdData[[#This Row],[Period]]&amp;TrendSheetPrdData[[#This Row],[Trend]]</f>
        <v>CHESAPEAKE EMPLOYEEAllowed2016-06-01Professional Claim Count</v>
      </c>
      <c r="B996" t="s">
        <v>90</v>
      </c>
      <c r="C996" t="s">
        <v>90</v>
      </c>
      <c r="D996" t="s">
        <v>91</v>
      </c>
      <c r="E996" s="1" t="s">
        <v>96</v>
      </c>
      <c r="F996" t="s">
        <v>93</v>
      </c>
      <c r="G996" t="s">
        <v>32</v>
      </c>
      <c r="H996">
        <v>21</v>
      </c>
      <c r="I996">
        <v>4244</v>
      </c>
    </row>
    <row r="997" spans="1:9" x14ac:dyDescent="0.25">
      <c r="A997" s="5" t="str">
        <f>TrendSheetPrdData[[#This Row],[Population]]&amp;TrendSheetPrdData[[#This Row],[Cost Basis]]&amp;TrendSheetPrdData[[#This Row],[Period]]&amp;TrendSheetPrdData[[#This Row],[Trend]]</f>
        <v>CHESAPEAKE EMPLOYEEAllowed2016-07-01Professional Claim Count</v>
      </c>
      <c r="B997" t="s">
        <v>90</v>
      </c>
      <c r="C997" t="s">
        <v>90</v>
      </c>
      <c r="D997" t="s">
        <v>91</v>
      </c>
      <c r="E997" s="1" t="s">
        <v>97</v>
      </c>
      <c r="F997" t="s">
        <v>93</v>
      </c>
      <c r="G997" t="s">
        <v>32</v>
      </c>
      <c r="H997">
        <v>21</v>
      </c>
      <c r="I997">
        <v>3409</v>
      </c>
    </row>
    <row r="998" spans="1:9" x14ac:dyDescent="0.25">
      <c r="A998" s="5" t="str">
        <f>TrendSheetPrdData[[#This Row],[Population]]&amp;TrendSheetPrdData[[#This Row],[Cost Basis]]&amp;TrendSheetPrdData[[#This Row],[Period]]&amp;TrendSheetPrdData[[#This Row],[Trend]]</f>
        <v>CHESAPEAKE EMPLOYEEAllowed2016-08-01Professional Claim Count</v>
      </c>
      <c r="B998" t="s">
        <v>90</v>
      </c>
      <c r="C998" t="s">
        <v>90</v>
      </c>
      <c r="D998" t="s">
        <v>91</v>
      </c>
      <c r="E998" s="1" t="s">
        <v>98</v>
      </c>
      <c r="F998" t="s">
        <v>93</v>
      </c>
      <c r="G998" t="s">
        <v>32</v>
      </c>
      <c r="H998">
        <v>21</v>
      </c>
      <c r="I998">
        <v>3603</v>
      </c>
    </row>
    <row r="999" spans="1:9" x14ac:dyDescent="0.25">
      <c r="A999" s="5" t="str">
        <f>TrendSheetPrdData[[#This Row],[Population]]&amp;TrendSheetPrdData[[#This Row],[Cost Basis]]&amp;TrendSheetPrdData[[#This Row],[Period]]&amp;TrendSheetPrdData[[#This Row],[Trend]]</f>
        <v>CHESAPEAKE EMPLOYEEAllowed2016-09-01Professional Claim Count</v>
      </c>
      <c r="B999" t="s">
        <v>90</v>
      </c>
      <c r="C999" t="s">
        <v>90</v>
      </c>
      <c r="D999" t="s">
        <v>91</v>
      </c>
      <c r="E999" s="1" t="s">
        <v>99</v>
      </c>
      <c r="F999" t="s">
        <v>93</v>
      </c>
      <c r="G999" t="s">
        <v>32</v>
      </c>
      <c r="H999">
        <v>21</v>
      </c>
      <c r="I999">
        <v>3673</v>
      </c>
    </row>
    <row r="1000" spans="1:9" x14ac:dyDescent="0.25">
      <c r="A1000" s="5" t="str">
        <f>TrendSheetPrdData[[#This Row],[Population]]&amp;TrendSheetPrdData[[#This Row],[Cost Basis]]&amp;TrendSheetPrdData[[#This Row],[Period]]&amp;TrendSheetPrdData[[#This Row],[Trend]]</f>
        <v>CHESAPEAKE EMPLOYEEAllowed2016-10-01Professional Claim Count</v>
      </c>
      <c r="B1000" t="s">
        <v>90</v>
      </c>
      <c r="C1000" t="s">
        <v>90</v>
      </c>
      <c r="D1000" t="s">
        <v>91</v>
      </c>
      <c r="E1000" s="1" t="s">
        <v>100</v>
      </c>
      <c r="F1000" t="s">
        <v>93</v>
      </c>
      <c r="G1000" t="s">
        <v>32</v>
      </c>
      <c r="H1000">
        <v>21</v>
      </c>
      <c r="I1000">
        <v>4163</v>
      </c>
    </row>
    <row r="1001" spans="1:9" x14ac:dyDescent="0.25">
      <c r="A1001" s="5" t="str">
        <f>TrendSheetPrdData[[#This Row],[Population]]&amp;TrendSheetPrdData[[#This Row],[Cost Basis]]&amp;TrendSheetPrdData[[#This Row],[Period]]&amp;TrendSheetPrdData[[#This Row],[Trend]]</f>
        <v>CHESAPEAKE EMPLOYEEAllowed2016-11-01Professional Claim Count</v>
      </c>
      <c r="B1001" t="s">
        <v>90</v>
      </c>
      <c r="C1001" t="s">
        <v>90</v>
      </c>
      <c r="D1001" t="s">
        <v>91</v>
      </c>
      <c r="E1001" s="1" t="s">
        <v>101</v>
      </c>
      <c r="F1001" t="s">
        <v>93</v>
      </c>
      <c r="G1001" t="s">
        <v>32</v>
      </c>
      <c r="H1001">
        <v>21</v>
      </c>
      <c r="I1001">
        <v>3832</v>
      </c>
    </row>
    <row r="1002" spans="1:9" x14ac:dyDescent="0.25">
      <c r="A1002" s="5" t="str">
        <f>TrendSheetPrdData[[#This Row],[Population]]&amp;TrendSheetPrdData[[#This Row],[Cost Basis]]&amp;TrendSheetPrdData[[#This Row],[Period]]&amp;TrendSheetPrdData[[#This Row],[Trend]]</f>
        <v>CHESAPEAKE EMPLOYEEAllowed2016-12-01Professional Claim Count</v>
      </c>
      <c r="B1002" t="s">
        <v>90</v>
      </c>
      <c r="C1002" t="s">
        <v>90</v>
      </c>
      <c r="D1002" t="s">
        <v>91</v>
      </c>
      <c r="E1002" s="1" t="s">
        <v>102</v>
      </c>
      <c r="F1002" t="s">
        <v>93</v>
      </c>
      <c r="G1002" t="s">
        <v>32</v>
      </c>
      <c r="H1002">
        <v>21</v>
      </c>
      <c r="I1002">
        <v>3802</v>
      </c>
    </row>
    <row r="1003" spans="1:9" x14ac:dyDescent="0.25">
      <c r="A1003" s="5" t="str">
        <f>TrendSheetPrdData[[#This Row],[Population]]&amp;TrendSheetPrdData[[#This Row],[Cost Basis]]&amp;TrendSheetPrdData[[#This Row],[Period]]&amp;TrendSheetPrdData[[#This Row],[Trend]]</f>
        <v>CHESAPEAKE EMPLOYEEAllowed2017-01-01Professional Claim Count</v>
      </c>
      <c r="B1003" t="s">
        <v>90</v>
      </c>
      <c r="C1003" t="s">
        <v>90</v>
      </c>
      <c r="D1003" t="s">
        <v>91</v>
      </c>
      <c r="E1003" s="1" t="s">
        <v>103</v>
      </c>
      <c r="F1003" t="s">
        <v>93</v>
      </c>
      <c r="G1003" t="s">
        <v>32</v>
      </c>
      <c r="H1003">
        <v>21</v>
      </c>
      <c r="I1003">
        <v>3540</v>
      </c>
    </row>
    <row r="1004" spans="1:9" x14ac:dyDescent="0.25">
      <c r="A1004" s="5" t="str">
        <f>TrendSheetPrdData[[#This Row],[Population]]&amp;TrendSheetPrdData[[#This Row],[Cost Basis]]&amp;TrendSheetPrdData[[#This Row],[Period]]&amp;TrendSheetPrdData[[#This Row],[Trend]]</f>
        <v>CHESAPEAKE EMPLOYEEAllowed2017-02-01Professional Claim Count</v>
      </c>
      <c r="B1004" t="s">
        <v>90</v>
      </c>
      <c r="C1004" t="s">
        <v>90</v>
      </c>
      <c r="D1004" t="s">
        <v>91</v>
      </c>
      <c r="E1004" s="1" t="s">
        <v>104</v>
      </c>
      <c r="F1004" t="s">
        <v>106</v>
      </c>
      <c r="G1004" t="s">
        <v>32</v>
      </c>
      <c r="H1004">
        <v>21</v>
      </c>
      <c r="I1004">
        <v>3674</v>
      </c>
    </row>
    <row r="1005" spans="1:9" x14ac:dyDescent="0.25">
      <c r="A1005" s="5" t="str">
        <f>TrendSheetPrdData[[#This Row],[Population]]&amp;TrendSheetPrdData[[#This Row],[Cost Basis]]&amp;TrendSheetPrdData[[#This Row],[Period]]&amp;TrendSheetPrdData[[#This Row],[Trend]]</f>
        <v>CHESAPEAKE EMPLOYEEAllowed2017-03-01Professional Claim Count</v>
      </c>
      <c r="B1005" t="s">
        <v>90</v>
      </c>
      <c r="C1005" t="s">
        <v>90</v>
      </c>
      <c r="D1005" t="s">
        <v>91</v>
      </c>
      <c r="E1005" s="1" t="s">
        <v>105</v>
      </c>
      <c r="F1005" t="s">
        <v>106</v>
      </c>
      <c r="G1005" t="s">
        <v>32</v>
      </c>
      <c r="H1005">
        <v>21</v>
      </c>
      <c r="I1005">
        <v>4232</v>
      </c>
    </row>
    <row r="1006" spans="1:9" x14ac:dyDescent="0.25">
      <c r="A1006" s="5" t="str">
        <f>TrendSheetPrdData[[#This Row],[Population]]&amp;TrendSheetPrdData[[#This Row],[Cost Basis]]&amp;TrendSheetPrdData[[#This Row],[Period]]&amp;TrendSheetPrdData[[#This Row],[Trend]]</f>
        <v>CHESAPEAKE EMPLOYEEAllowed2017-04-01Professional Claim Count</v>
      </c>
      <c r="B1006" t="s">
        <v>90</v>
      </c>
      <c r="C1006" t="s">
        <v>90</v>
      </c>
      <c r="D1006" t="s">
        <v>91</v>
      </c>
      <c r="E1006" s="1" t="s">
        <v>107</v>
      </c>
      <c r="F1006" t="s">
        <v>106</v>
      </c>
      <c r="G1006" t="s">
        <v>32</v>
      </c>
      <c r="H1006">
        <v>21</v>
      </c>
      <c r="I1006">
        <v>1298</v>
      </c>
    </row>
    <row r="1007" spans="1:9" x14ac:dyDescent="0.25">
      <c r="A1007" s="5" t="str">
        <f>TrendSheetPrdData[[#This Row],[Population]]&amp;TrendSheetPrdData[[#This Row],[Cost Basis]]&amp;TrendSheetPrdData[[#This Row],[Period]]&amp;TrendSheetPrdData[[#This Row],[Trend]]</f>
        <v>CHESAPEAKE EMPLOYEEAllowed2016-02-01Ancillary Claim Count</v>
      </c>
      <c r="B1007" t="s">
        <v>90</v>
      </c>
      <c r="C1007" t="s">
        <v>90</v>
      </c>
      <c r="D1007" t="s">
        <v>91</v>
      </c>
      <c r="E1007" s="1" t="s">
        <v>133</v>
      </c>
      <c r="F1007" t="s">
        <v>93</v>
      </c>
      <c r="G1007" t="s">
        <v>33</v>
      </c>
      <c r="H1007">
        <v>22</v>
      </c>
      <c r="I1007">
        <v>176</v>
      </c>
    </row>
    <row r="1008" spans="1:9" x14ac:dyDescent="0.25">
      <c r="A1008" s="5" t="str">
        <f>TrendSheetPrdData[[#This Row],[Population]]&amp;TrendSheetPrdData[[#This Row],[Cost Basis]]&amp;TrendSheetPrdData[[#This Row],[Period]]&amp;TrendSheetPrdData[[#This Row],[Trend]]</f>
        <v>CHESAPEAKE EMPLOYEEAllowed2016-03-01Ancillary Claim Count</v>
      </c>
      <c r="B1008" t="s">
        <v>90</v>
      </c>
      <c r="C1008" t="s">
        <v>90</v>
      </c>
      <c r="D1008" t="s">
        <v>91</v>
      </c>
      <c r="E1008" s="1" t="s">
        <v>92</v>
      </c>
      <c r="F1008" t="s">
        <v>93</v>
      </c>
      <c r="G1008" t="s">
        <v>33</v>
      </c>
      <c r="H1008">
        <v>22</v>
      </c>
      <c r="I1008">
        <v>212</v>
      </c>
    </row>
    <row r="1009" spans="1:9" x14ac:dyDescent="0.25">
      <c r="A1009" s="5" t="str">
        <f>TrendSheetPrdData[[#This Row],[Population]]&amp;TrendSheetPrdData[[#This Row],[Cost Basis]]&amp;TrendSheetPrdData[[#This Row],[Period]]&amp;TrendSheetPrdData[[#This Row],[Trend]]</f>
        <v>CHESAPEAKE EMPLOYEEAllowed2016-04-01Ancillary Claim Count</v>
      </c>
      <c r="B1009" t="s">
        <v>90</v>
      </c>
      <c r="C1009" t="s">
        <v>90</v>
      </c>
      <c r="D1009" t="s">
        <v>91</v>
      </c>
      <c r="E1009" s="1" t="s">
        <v>94</v>
      </c>
      <c r="F1009" t="s">
        <v>93</v>
      </c>
      <c r="G1009" t="s">
        <v>33</v>
      </c>
      <c r="H1009">
        <v>22</v>
      </c>
      <c r="I1009">
        <v>183</v>
      </c>
    </row>
    <row r="1010" spans="1:9" x14ac:dyDescent="0.25">
      <c r="A1010" s="5" t="str">
        <f>TrendSheetPrdData[[#This Row],[Population]]&amp;TrendSheetPrdData[[#This Row],[Cost Basis]]&amp;TrendSheetPrdData[[#This Row],[Period]]&amp;TrendSheetPrdData[[#This Row],[Trend]]</f>
        <v>CHESAPEAKE EMPLOYEEAllowed2016-05-01Ancillary Claim Count</v>
      </c>
      <c r="B1010" t="s">
        <v>90</v>
      </c>
      <c r="C1010" t="s">
        <v>90</v>
      </c>
      <c r="D1010" t="s">
        <v>91</v>
      </c>
      <c r="E1010" s="1" t="s">
        <v>95</v>
      </c>
      <c r="F1010" t="s">
        <v>93</v>
      </c>
      <c r="G1010" t="s">
        <v>33</v>
      </c>
      <c r="H1010">
        <v>22</v>
      </c>
      <c r="I1010">
        <v>204</v>
      </c>
    </row>
    <row r="1011" spans="1:9" x14ac:dyDescent="0.25">
      <c r="A1011" s="5" t="str">
        <f>TrendSheetPrdData[[#This Row],[Population]]&amp;TrendSheetPrdData[[#This Row],[Cost Basis]]&amp;TrendSheetPrdData[[#This Row],[Period]]&amp;TrendSheetPrdData[[#This Row],[Trend]]</f>
        <v>CHESAPEAKE EMPLOYEEAllowed2016-06-01Ancillary Claim Count</v>
      </c>
      <c r="B1011" t="s">
        <v>90</v>
      </c>
      <c r="C1011" t="s">
        <v>90</v>
      </c>
      <c r="D1011" t="s">
        <v>91</v>
      </c>
      <c r="E1011" s="1" t="s">
        <v>96</v>
      </c>
      <c r="F1011" t="s">
        <v>93</v>
      </c>
      <c r="G1011" t="s">
        <v>33</v>
      </c>
      <c r="H1011">
        <v>22</v>
      </c>
      <c r="I1011">
        <v>233</v>
      </c>
    </row>
    <row r="1012" spans="1:9" x14ac:dyDescent="0.25">
      <c r="A1012" s="5" t="str">
        <f>TrendSheetPrdData[[#This Row],[Population]]&amp;TrendSheetPrdData[[#This Row],[Cost Basis]]&amp;TrendSheetPrdData[[#This Row],[Period]]&amp;TrendSheetPrdData[[#This Row],[Trend]]</f>
        <v>CHESAPEAKE EMPLOYEEAllowed2016-07-01Ancillary Claim Count</v>
      </c>
      <c r="B1012" t="s">
        <v>90</v>
      </c>
      <c r="C1012" t="s">
        <v>90</v>
      </c>
      <c r="D1012" t="s">
        <v>91</v>
      </c>
      <c r="E1012" s="1" t="s">
        <v>97</v>
      </c>
      <c r="F1012" t="s">
        <v>93</v>
      </c>
      <c r="G1012" t="s">
        <v>33</v>
      </c>
      <c r="H1012">
        <v>22</v>
      </c>
      <c r="I1012">
        <v>218</v>
      </c>
    </row>
    <row r="1013" spans="1:9" x14ac:dyDescent="0.25">
      <c r="A1013" s="5" t="str">
        <f>TrendSheetPrdData[[#This Row],[Population]]&amp;TrendSheetPrdData[[#This Row],[Cost Basis]]&amp;TrendSheetPrdData[[#This Row],[Period]]&amp;TrendSheetPrdData[[#This Row],[Trend]]</f>
        <v>CHESAPEAKE EMPLOYEEAllowed2016-08-01Ancillary Claim Count</v>
      </c>
      <c r="B1013" t="s">
        <v>90</v>
      </c>
      <c r="C1013" t="s">
        <v>90</v>
      </c>
      <c r="D1013" t="s">
        <v>91</v>
      </c>
      <c r="E1013" s="1" t="s">
        <v>98</v>
      </c>
      <c r="F1013" t="s">
        <v>93</v>
      </c>
      <c r="G1013" t="s">
        <v>33</v>
      </c>
      <c r="H1013">
        <v>22</v>
      </c>
      <c r="I1013">
        <v>321</v>
      </c>
    </row>
    <row r="1014" spans="1:9" x14ac:dyDescent="0.25">
      <c r="A1014" s="5" t="str">
        <f>TrendSheetPrdData[[#This Row],[Population]]&amp;TrendSheetPrdData[[#This Row],[Cost Basis]]&amp;TrendSheetPrdData[[#This Row],[Period]]&amp;TrendSheetPrdData[[#This Row],[Trend]]</f>
        <v>CHESAPEAKE EMPLOYEEAllowed2016-09-01Ancillary Claim Count</v>
      </c>
      <c r="B1014" t="s">
        <v>90</v>
      </c>
      <c r="C1014" t="s">
        <v>90</v>
      </c>
      <c r="D1014" t="s">
        <v>91</v>
      </c>
      <c r="E1014" s="1" t="s">
        <v>99</v>
      </c>
      <c r="F1014" t="s">
        <v>93</v>
      </c>
      <c r="G1014" t="s">
        <v>33</v>
      </c>
      <c r="H1014">
        <v>22</v>
      </c>
      <c r="I1014">
        <v>287</v>
      </c>
    </row>
    <row r="1015" spans="1:9" x14ac:dyDescent="0.25">
      <c r="A1015" s="5" t="str">
        <f>TrendSheetPrdData[[#This Row],[Population]]&amp;TrendSheetPrdData[[#This Row],[Cost Basis]]&amp;TrendSheetPrdData[[#This Row],[Period]]&amp;TrendSheetPrdData[[#This Row],[Trend]]</f>
        <v>CHESAPEAKE EMPLOYEEAllowed2016-10-01Ancillary Claim Count</v>
      </c>
      <c r="B1015" t="s">
        <v>90</v>
      </c>
      <c r="C1015" t="s">
        <v>90</v>
      </c>
      <c r="D1015" t="s">
        <v>91</v>
      </c>
      <c r="E1015" s="1" t="s">
        <v>100</v>
      </c>
      <c r="F1015" t="s">
        <v>93</v>
      </c>
      <c r="G1015" t="s">
        <v>33</v>
      </c>
      <c r="H1015">
        <v>22</v>
      </c>
      <c r="I1015">
        <v>368</v>
      </c>
    </row>
    <row r="1016" spans="1:9" x14ac:dyDescent="0.25">
      <c r="A1016" s="5" t="str">
        <f>TrendSheetPrdData[[#This Row],[Population]]&amp;TrendSheetPrdData[[#This Row],[Cost Basis]]&amp;TrendSheetPrdData[[#This Row],[Period]]&amp;TrendSheetPrdData[[#This Row],[Trend]]</f>
        <v>CHESAPEAKE EMPLOYEEAllowed2016-11-01Ancillary Claim Count</v>
      </c>
      <c r="B1016" t="s">
        <v>90</v>
      </c>
      <c r="C1016" t="s">
        <v>90</v>
      </c>
      <c r="D1016" t="s">
        <v>91</v>
      </c>
      <c r="E1016" s="1" t="s">
        <v>101</v>
      </c>
      <c r="F1016" t="s">
        <v>93</v>
      </c>
      <c r="G1016" t="s">
        <v>33</v>
      </c>
      <c r="H1016">
        <v>22</v>
      </c>
      <c r="I1016">
        <v>386</v>
      </c>
    </row>
    <row r="1017" spans="1:9" x14ac:dyDescent="0.25">
      <c r="A1017" s="5" t="str">
        <f>TrendSheetPrdData[[#This Row],[Population]]&amp;TrendSheetPrdData[[#This Row],[Cost Basis]]&amp;TrendSheetPrdData[[#This Row],[Period]]&amp;TrendSheetPrdData[[#This Row],[Trend]]</f>
        <v>CHESAPEAKE EMPLOYEEAllowed2016-12-01Ancillary Claim Count</v>
      </c>
      <c r="B1017" t="s">
        <v>90</v>
      </c>
      <c r="C1017" t="s">
        <v>90</v>
      </c>
      <c r="D1017" t="s">
        <v>91</v>
      </c>
      <c r="E1017" s="1" t="s">
        <v>102</v>
      </c>
      <c r="F1017" t="s">
        <v>93</v>
      </c>
      <c r="G1017" t="s">
        <v>33</v>
      </c>
      <c r="H1017">
        <v>22</v>
      </c>
      <c r="I1017">
        <v>304</v>
      </c>
    </row>
    <row r="1018" spans="1:9" x14ac:dyDescent="0.25">
      <c r="A1018" s="5" t="str">
        <f>TrendSheetPrdData[[#This Row],[Population]]&amp;TrendSheetPrdData[[#This Row],[Cost Basis]]&amp;TrendSheetPrdData[[#This Row],[Period]]&amp;TrendSheetPrdData[[#This Row],[Trend]]</f>
        <v>CHESAPEAKE EMPLOYEEAllowed2017-01-01Ancillary Claim Count</v>
      </c>
      <c r="B1018" t="s">
        <v>90</v>
      </c>
      <c r="C1018" t="s">
        <v>90</v>
      </c>
      <c r="D1018" t="s">
        <v>91</v>
      </c>
      <c r="E1018" s="1" t="s">
        <v>103</v>
      </c>
      <c r="F1018" t="s">
        <v>93</v>
      </c>
      <c r="G1018" t="s">
        <v>33</v>
      </c>
      <c r="H1018">
        <v>22</v>
      </c>
      <c r="I1018">
        <v>309</v>
      </c>
    </row>
    <row r="1019" spans="1:9" x14ac:dyDescent="0.25">
      <c r="A1019" s="5" t="str">
        <f>TrendSheetPrdData[[#This Row],[Population]]&amp;TrendSheetPrdData[[#This Row],[Cost Basis]]&amp;TrendSheetPrdData[[#This Row],[Period]]&amp;TrendSheetPrdData[[#This Row],[Trend]]</f>
        <v>CHESAPEAKE EMPLOYEEAllowed2017-02-01Ancillary Claim Count</v>
      </c>
      <c r="B1019" t="s">
        <v>90</v>
      </c>
      <c r="C1019" t="s">
        <v>90</v>
      </c>
      <c r="D1019" t="s">
        <v>91</v>
      </c>
      <c r="E1019" s="1" t="s">
        <v>104</v>
      </c>
      <c r="F1019" t="s">
        <v>106</v>
      </c>
      <c r="G1019" t="s">
        <v>33</v>
      </c>
      <c r="H1019">
        <v>22</v>
      </c>
      <c r="I1019">
        <v>323</v>
      </c>
    </row>
    <row r="1020" spans="1:9" x14ac:dyDescent="0.25">
      <c r="A1020" s="5" t="str">
        <f>TrendSheetPrdData[[#This Row],[Population]]&amp;TrendSheetPrdData[[#This Row],[Cost Basis]]&amp;TrendSheetPrdData[[#This Row],[Period]]&amp;TrendSheetPrdData[[#This Row],[Trend]]</f>
        <v>CHESAPEAKE EMPLOYEEAllowed2017-03-01Ancillary Claim Count</v>
      </c>
      <c r="B1020" t="s">
        <v>90</v>
      </c>
      <c r="C1020" t="s">
        <v>90</v>
      </c>
      <c r="D1020" t="s">
        <v>91</v>
      </c>
      <c r="E1020" s="1" t="s">
        <v>105</v>
      </c>
      <c r="F1020" t="s">
        <v>106</v>
      </c>
      <c r="G1020" t="s">
        <v>33</v>
      </c>
      <c r="H1020">
        <v>22</v>
      </c>
      <c r="I1020">
        <v>241</v>
      </c>
    </row>
    <row r="1021" spans="1:9" x14ac:dyDescent="0.25">
      <c r="A1021" s="5" t="str">
        <f>TrendSheetPrdData[[#This Row],[Population]]&amp;TrendSheetPrdData[[#This Row],[Cost Basis]]&amp;TrendSheetPrdData[[#This Row],[Period]]&amp;TrendSheetPrdData[[#This Row],[Trend]]</f>
        <v>CHESAPEAKE EMPLOYEEAllowed2017-04-01Ancillary Claim Count</v>
      </c>
      <c r="B1021" t="s">
        <v>90</v>
      </c>
      <c r="C1021" t="s">
        <v>90</v>
      </c>
      <c r="D1021" t="s">
        <v>91</v>
      </c>
      <c r="E1021" s="1" t="s">
        <v>107</v>
      </c>
      <c r="F1021" t="s">
        <v>106</v>
      </c>
      <c r="G1021" t="s">
        <v>33</v>
      </c>
      <c r="H1021">
        <v>22</v>
      </c>
      <c r="I1021">
        <v>85</v>
      </c>
    </row>
    <row r="1022" spans="1:9" x14ac:dyDescent="0.25">
      <c r="A1022" s="5" t="str">
        <f>TrendSheetPrdData[[#This Row],[Population]]&amp;TrendSheetPrdData[[#This Row],[Cost Basis]]&amp;TrendSheetPrdData[[#This Row],[Period]]&amp;TrendSheetPrdData[[#This Row],[Trend]]</f>
        <v>CHESAPEAKE EMPLOYEEAllowed2016-02-01Drug Claim Count</v>
      </c>
      <c r="B1022" t="s">
        <v>90</v>
      </c>
      <c r="C1022" t="s">
        <v>90</v>
      </c>
      <c r="D1022" t="s">
        <v>91</v>
      </c>
      <c r="E1022" s="1" t="s">
        <v>133</v>
      </c>
      <c r="F1022" t="s">
        <v>93</v>
      </c>
      <c r="G1022" t="s">
        <v>34</v>
      </c>
      <c r="H1022">
        <v>23</v>
      </c>
      <c r="I1022">
        <v>4303</v>
      </c>
    </row>
    <row r="1023" spans="1:9" x14ac:dyDescent="0.25">
      <c r="A1023" s="5" t="str">
        <f>TrendSheetPrdData[[#This Row],[Population]]&amp;TrendSheetPrdData[[#This Row],[Cost Basis]]&amp;TrendSheetPrdData[[#This Row],[Period]]&amp;TrendSheetPrdData[[#This Row],[Trend]]</f>
        <v>CHESAPEAKE EMPLOYEEAllowed2016-03-01Drug Claim Count</v>
      </c>
      <c r="B1023" t="s">
        <v>90</v>
      </c>
      <c r="C1023" t="s">
        <v>90</v>
      </c>
      <c r="D1023" t="s">
        <v>91</v>
      </c>
      <c r="E1023" s="1" t="s">
        <v>92</v>
      </c>
      <c r="F1023" t="s">
        <v>93</v>
      </c>
      <c r="G1023" t="s">
        <v>34</v>
      </c>
      <c r="H1023">
        <v>23</v>
      </c>
      <c r="I1023">
        <v>4529</v>
      </c>
    </row>
    <row r="1024" spans="1:9" x14ac:dyDescent="0.25">
      <c r="A1024" s="5" t="str">
        <f>TrendSheetPrdData[[#This Row],[Population]]&amp;TrendSheetPrdData[[#This Row],[Cost Basis]]&amp;TrendSheetPrdData[[#This Row],[Period]]&amp;TrendSheetPrdData[[#This Row],[Trend]]</f>
        <v>CHESAPEAKE EMPLOYEEAllowed2016-04-01Drug Claim Count</v>
      </c>
      <c r="B1024" t="s">
        <v>90</v>
      </c>
      <c r="C1024" t="s">
        <v>90</v>
      </c>
      <c r="D1024" t="s">
        <v>91</v>
      </c>
      <c r="E1024" s="1" t="s">
        <v>94</v>
      </c>
      <c r="F1024" t="s">
        <v>93</v>
      </c>
      <c r="G1024" t="s">
        <v>34</v>
      </c>
      <c r="H1024">
        <v>23</v>
      </c>
      <c r="I1024">
        <v>4099</v>
      </c>
    </row>
    <row r="1025" spans="1:9" x14ac:dyDescent="0.25">
      <c r="A1025" s="5" t="str">
        <f>TrendSheetPrdData[[#This Row],[Population]]&amp;TrendSheetPrdData[[#This Row],[Cost Basis]]&amp;TrendSheetPrdData[[#This Row],[Period]]&amp;TrendSheetPrdData[[#This Row],[Trend]]</f>
        <v>CHESAPEAKE EMPLOYEEAllowed2016-05-01Drug Claim Count</v>
      </c>
      <c r="B1025" t="s">
        <v>90</v>
      </c>
      <c r="C1025" t="s">
        <v>90</v>
      </c>
      <c r="D1025" t="s">
        <v>91</v>
      </c>
      <c r="E1025" s="1" t="s">
        <v>95</v>
      </c>
      <c r="F1025" t="s">
        <v>93</v>
      </c>
      <c r="G1025" t="s">
        <v>34</v>
      </c>
      <c r="H1025">
        <v>23</v>
      </c>
      <c r="I1025">
        <v>4095</v>
      </c>
    </row>
    <row r="1026" spans="1:9" x14ac:dyDescent="0.25">
      <c r="A1026" s="5" t="str">
        <f>TrendSheetPrdData[[#This Row],[Population]]&amp;TrendSheetPrdData[[#This Row],[Cost Basis]]&amp;TrendSheetPrdData[[#This Row],[Period]]&amp;TrendSheetPrdData[[#This Row],[Trend]]</f>
        <v>CHESAPEAKE EMPLOYEEAllowed2016-06-01Drug Claim Count</v>
      </c>
      <c r="B1026" t="s">
        <v>90</v>
      </c>
      <c r="C1026" t="s">
        <v>90</v>
      </c>
      <c r="D1026" t="s">
        <v>91</v>
      </c>
      <c r="E1026" s="1" t="s">
        <v>96</v>
      </c>
      <c r="F1026" t="s">
        <v>93</v>
      </c>
      <c r="G1026" t="s">
        <v>34</v>
      </c>
      <c r="H1026">
        <v>23</v>
      </c>
      <c r="I1026">
        <v>4096</v>
      </c>
    </row>
    <row r="1027" spans="1:9" x14ac:dyDescent="0.25">
      <c r="A1027" s="5" t="str">
        <f>TrendSheetPrdData[[#This Row],[Population]]&amp;TrendSheetPrdData[[#This Row],[Cost Basis]]&amp;TrendSheetPrdData[[#This Row],[Period]]&amp;TrendSheetPrdData[[#This Row],[Trend]]</f>
        <v>CHESAPEAKE EMPLOYEEAllowed2016-07-01Drug Claim Count</v>
      </c>
      <c r="B1027" t="s">
        <v>90</v>
      </c>
      <c r="C1027" t="s">
        <v>90</v>
      </c>
      <c r="D1027" t="s">
        <v>91</v>
      </c>
      <c r="E1027" s="1" t="s">
        <v>97</v>
      </c>
      <c r="F1027" t="s">
        <v>93</v>
      </c>
      <c r="G1027" t="s">
        <v>34</v>
      </c>
      <c r="H1027">
        <v>23</v>
      </c>
      <c r="I1027">
        <v>3653</v>
      </c>
    </row>
    <row r="1028" spans="1:9" x14ac:dyDescent="0.25">
      <c r="A1028" s="5" t="str">
        <f>TrendSheetPrdData[[#This Row],[Population]]&amp;TrendSheetPrdData[[#This Row],[Cost Basis]]&amp;TrendSheetPrdData[[#This Row],[Period]]&amp;TrendSheetPrdData[[#This Row],[Trend]]</f>
        <v>CHESAPEAKE EMPLOYEEAllowed2016-08-01Drug Claim Count</v>
      </c>
      <c r="B1028" t="s">
        <v>90</v>
      </c>
      <c r="C1028" t="s">
        <v>90</v>
      </c>
      <c r="D1028" t="s">
        <v>91</v>
      </c>
      <c r="E1028" s="1" t="s">
        <v>98</v>
      </c>
      <c r="F1028" t="s">
        <v>93</v>
      </c>
      <c r="G1028" t="s">
        <v>34</v>
      </c>
      <c r="H1028">
        <v>23</v>
      </c>
      <c r="I1028">
        <v>3957</v>
      </c>
    </row>
    <row r="1029" spans="1:9" x14ac:dyDescent="0.25">
      <c r="A1029" s="5" t="str">
        <f>TrendSheetPrdData[[#This Row],[Population]]&amp;TrendSheetPrdData[[#This Row],[Cost Basis]]&amp;TrendSheetPrdData[[#This Row],[Period]]&amp;TrendSheetPrdData[[#This Row],[Trend]]</f>
        <v>CHESAPEAKE EMPLOYEEAllowed2016-09-01Drug Claim Count</v>
      </c>
      <c r="B1029" t="s">
        <v>90</v>
      </c>
      <c r="C1029" t="s">
        <v>90</v>
      </c>
      <c r="D1029" t="s">
        <v>91</v>
      </c>
      <c r="E1029" s="1" t="s">
        <v>99</v>
      </c>
      <c r="F1029" t="s">
        <v>93</v>
      </c>
      <c r="G1029" t="s">
        <v>34</v>
      </c>
      <c r="H1029">
        <v>23</v>
      </c>
      <c r="I1029">
        <v>3845</v>
      </c>
    </row>
    <row r="1030" spans="1:9" x14ac:dyDescent="0.25">
      <c r="A1030" s="5" t="str">
        <f>TrendSheetPrdData[[#This Row],[Population]]&amp;TrendSheetPrdData[[#This Row],[Cost Basis]]&amp;TrendSheetPrdData[[#This Row],[Period]]&amp;TrendSheetPrdData[[#This Row],[Trend]]</f>
        <v>CHESAPEAKE EMPLOYEEAllowed2016-10-01Drug Claim Count</v>
      </c>
      <c r="B1030" t="s">
        <v>90</v>
      </c>
      <c r="C1030" t="s">
        <v>90</v>
      </c>
      <c r="D1030" t="s">
        <v>91</v>
      </c>
      <c r="E1030" s="1" t="s">
        <v>100</v>
      </c>
      <c r="F1030" t="s">
        <v>93</v>
      </c>
      <c r="G1030" t="s">
        <v>34</v>
      </c>
      <c r="H1030">
        <v>23</v>
      </c>
      <c r="I1030">
        <v>3944</v>
      </c>
    </row>
    <row r="1031" spans="1:9" x14ac:dyDescent="0.25">
      <c r="A1031" s="5" t="str">
        <f>TrendSheetPrdData[[#This Row],[Population]]&amp;TrendSheetPrdData[[#This Row],[Cost Basis]]&amp;TrendSheetPrdData[[#This Row],[Period]]&amp;TrendSheetPrdData[[#This Row],[Trend]]</f>
        <v>CHESAPEAKE EMPLOYEEAllowed2016-11-01Drug Claim Count</v>
      </c>
      <c r="B1031" t="s">
        <v>90</v>
      </c>
      <c r="C1031" t="s">
        <v>90</v>
      </c>
      <c r="D1031" t="s">
        <v>91</v>
      </c>
      <c r="E1031" s="1" t="s">
        <v>101</v>
      </c>
      <c r="F1031" t="s">
        <v>93</v>
      </c>
      <c r="G1031" t="s">
        <v>34</v>
      </c>
      <c r="H1031">
        <v>23</v>
      </c>
      <c r="I1031">
        <v>4135</v>
      </c>
    </row>
    <row r="1032" spans="1:9" x14ac:dyDescent="0.25">
      <c r="A1032" s="5" t="str">
        <f>TrendSheetPrdData[[#This Row],[Population]]&amp;TrendSheetPrdData[[#This Row],[Cost Basis]]&amp;TrendSheetPrdData[[#This Row],[Period]]&amp;TrendSheetPrdData[[#This Row],[Trend]]</f>
        <v>CHESAPEAKE EMPLOYEEAllowed2016-12-01Drug Claim Count</v>
      </c>
      <c r="B1032" t="s">
        <v>90</v>
      </c>
      <c r="C1032" t="s">
        <v>90</v>
      </c>
      <c r="D1032" t="s">
        <v>91</v>
      </c>
      <c r="E1032" s="1" t="s">
        <v>102</v>
      </c>
      <c r="F1032" t="s">
        <v>93</v>
      </c>
      <c r="G1032" t="s">
        <v>34</v>
      </c>
      <c r="H1032">
        <v>23</v>
      </c>
      <c r="I1032">
        <v>4400</v>
      </c>
    </row>
    <row r="1033" spans="1:9" x14ac:dyDescent="0.25">
      <c r="A1033" s="5" t="str">
        <f>TrendSheetPrdData[[#This Row],[Population]]&amp;TrendSheetPrdData[[#This Row],[Cost Basis]]&amp;TrendSheetPrdData[[#This Row],[Period]]&amp;TrendSheetPrdData[[#This Row],[Trend]]</f>
        <v>CHESAPEAKE EMPLOYEEAllowed2017-01-01Drug Claim Count</v>
      </c>
      <c r="B1033" t="s">
        <v>90</v>
      </c>
      <c r="C1033" t="s">
        <v>90</v>
      </c>
      <c r="D1033" t="s">
        <v>91</v>
      </c>
      <c r="E1033" s="1" t="s">
        <v>103</v>
      </c>
      <c r="F1033" t="s">
        <v>93</v>
      </c>
      <c r="G1033" t="s">
        <v>34</v>
      </c>
      <c r="H1033">
        <v>23</v>
      </c>
      <c r="I1033">
        <v>4346</v>
      </c>
    </row>
    <row r="1034" spans="1:9" x14ac:dyDescent="0.25">
      <c r="A1034" s="5" t="str">
        <f>TrendSheetPrdData[[#This Row],[Population]]&amp;TrendSheetPrdData[[#This Row],[Cost Basis]]&amp;TrendSheetPrdData[[#This Row],[Period]]&amp;TrendSheetPrdData[[#This Row],[Trend]]</f>
        <v>CHESAPEAKE EMPLOYEEAllowed2017-02-01Drug Claim Count</v>
      </c>
      <c r="B1034" t="s">
        <v>90</v>
      </c>
      <c r="C1034" t="s">
        <v>90</v>
      </c>
      <c r="D1034" t="s">
        <v>91</v>
      </c>
      <c r="E1034" s="1" t="s">
        <v>104</v>
      </c>
      <c r="F1034" t="s">
        <v>106</v>
      </c>
      <c r="G1034" t="s">
        <v>34</v>
      </c>
      <c r="H1034">
        <v>23</v>
      </c>
      <c r="I1034">
        <v>3952</v>
      </c>
    </row>
    <row r="1035" spans="1:9" x14ac:dyDescent="0.25">
      <c r="A1035" s="5" t="str">
        <f>TrendSheetPrdData[[#This Row],[Population]]&amp;TrendSheetPrdData[[#This Row],[Cost Basis]]&amp;TrendSheetPrdData[[#This Row],[Period]]&amp;TrendSheetPrdData[[#This Row],[Trend]]</f>
        <v>CHESAPEAKE EMPLOYEEAllowed2017-03-01Drug Claim Count</v>
      </c>
      <c r="B1035" t="s">
        <v>90</v>
      </c>
      <c r="C1035" t="s">
        <v>90</v>
      </c>
      <c r="D1035" t="s">
        <v>91</v>
      </c>
      <c r="E1035" s="1" t="s">
        <v>105</v>
      </c>
      <c r="F1035" t="s">
        <v>106</v>
      </c>
      <c r="G1035" t="s">
        <v>34</v>
      </c>
      <c r="H1035">
        <v>23</v>
      </c>
      <c r="I1035">
        <v>4498</v>
      </c>
    </row>
    <row r="1036" spans="1:9" x14ac:dyDescent="0.25">
      <c r="A1036" s="5" t="str">
        <f>TrendSheetPrdData[[#This Row],[Population]]&amp;TrendSheetPrdData[[#This Row],[Cost Basis]]&amp;TrendSheetPrdData[[#This Row],[Period]]&amp;TrendSheetPrdData[[#This Row],[Trend]]</f>
        <v>CHESAPEAKE EMPLOYEEAllowed2017-04-01Drug Claim Count</v>
      </c>
      <c r="B1036" t="s">
        <v>90</v>
      </c>
      <c r="C1036" t="s">
        <v>90</v>
      </c>
      <c r="D1036" t="s">
        <v>91</v>
      </c>
      <c r="E1036" s="1" t="s">
        <v>107</v>
      </c>
      <c r="F1036" t="s">
        <v>106</v>
      </c>
      <c r="G1036" t="s">
        <v>34</v>
      </c>
      <c r="H1036">
        <v>23</v>
      </c>
      <c r="I1036">
        <v>3147</v>
      </c>
    </row>
    <row r="1037" spans="1:9" x14ac:dyDescent="0.25">
      <c r="A1037" s="5" t="str">
        <f>TrendSheetPrdData[[#This Row],[Population]]&amp;TrendSheetPrdData[[#This Row],[Cost Basis]]&amp;TrendSheetPrdData[[#This Row],[Period]]&amp;TrendSheetPrdData[[#This Row],[Trend]]</f>
        <v>CHESAPEAKE EMPLOYEEPaid2016-02-01Medical PMPM</v>
      </c>
      <c r="B1037" t="s">
        <v>90</v>
      </c>
      <c r="C1037" t="s">
        <v>90</v>
      </c>
      <c r="D1037" t="s">
        <v>78</v>
      </c>
      <c r="E1037" s="1" t="s">
        <v>133</v>
      </c>
      <c r="F1037" t="s">
        <v>93</v>
      </c>
      <c r="G1037" t="s">
        <v>12</v>
      </c>
      <c r="H1037">
        <v>1</v>
      </c>
      <c r="I1037">
        <v>193.08</v>
      </c>
    </row>
    <row r="1038" spans="1:9" x14ac:dyDescent="0.25">
      <c r="A1038" s="5" t="str">
        <f>TrendSheetPrdData[[#This Row],[Population]]&amp;TrendSheetPrdData[[#This Row],[Cost Basis]]&amp;TrendSheetPrdData[[#This Row],[Period]]&amp;TrendSheetPrdData[[#This Row],[Trend]]</f>
        <v>CHESAPEAKE EMPLOYEEPaid2016-03-01Medical PMPM</v>
      </c>
      <c r="B1038" t="s">
        <v>90</v>
      </c>
      <c r="C1038" t="s">
        <v>90</v>
      </c>
      <c r="D1038" t="s">
        <v>78</v>
      </c>
      <c r="E1038" s="1" t="s">
        <v>92</v>
      </c>
      <c r="F1038" t="s">
        <v>93</v>
      </c>
      <c r="G1038" t="s">
        <v>12</v>
      </c>
      <c r="H1038">
        <v>1</v>
      </c>
      <c r="I1038">
        <v>307.04000000000002</v>
      </c>
    </row>
    <row r="1039" spans="1:9" x14ac:dyDescent="0.25">
      <c r="A1039" s="5" t="str">
        <f>TrendSheetPrdData[[#This Row],[Population]]&amp;TrendSheetPrdData[[#This Row],[Cost Basis]]&amp;TrendSheetPrdData[[#This Row],[Period]]&amp;TrendSheetPrdData[[#This Row],[Trend]]</f>
        <v>CHESAPEAKE EMPLOYEEPaid2016-04-01Medical PMPM</v>
      </c>
      <c r="B1039" t="s">
        <v>90</v>
      </c>
      <c r="C1039" t="s">
        <v>90</v>
      </c>
      <c r="D1039" t="s">
        <v>78</v>
      </c>
      <c r="E1039" s="1" t="s">
        <v>94</v>
      </c>
      <c r="F1039" t="s">
        <v>93</v>
      </c>
      <c r="G1039" t="s">
        <v>12</v>
      </c>
      <c r="H1039">
        <v>1</v>
      </c>
      <c r="I1039">
        <v>345.98</v>
      </c>
    </row>
    <row r="1040" spans="1:9" x14ac:dyDescent="0.25">
      <c r="A1040" s="5" t="str">
        <f>TrendSheetPrdData[[#This Row],[Population]]&amp;TrendSheetPrdData[[#This Row],[Cost Basis]]&amp;TrendSheetPrdData[[#This Row],[Period]]&amp;TrendSheetPrdData[[#This Row],[Trend]]</f>
        <v>CHESAPEAKE EMPLOYEEPaid2016-05-01Medical PMPM</v>
      </c>
      <c r="B1040" t="s">
        <v>90</v>
      </c>
      <c r="C1040" t="s">
        <v>90</v>
      </c>
      <c r="D1040" t="s">
        <v>78</v>
      </c>
      <c r="E1040" s="1" t="s">
        <v>95</v>
      </c>
      <c r="F1040" t="s">
        <v>93</v>
      </c>
      <c r="G1040" t="s">
        <v>12</v>
      </c>
      <c r="H1040">
        <v>1</v>
      </c>
      <c r="I1040">
        <v>336.21</v>
      </c>
    </row>
    <row r="1041" spans="1:9" x14ac:dyDescent="0.25">
      <c r="A1041" s="5" t="str">
        <f>TrendSheetPrdData[[#This Row],[Population]]&amp;TrendSheetPrdData[[#This Row],[Cost Basis]]&amp;TrendSheetPrdData[[#This Row],[Period]]&amp;TrendSheetPrdData[[#This Row],[Trend]]</f>
        <v>CHESAPEAKE EMPLOYEEPaid2016-06-01Medical PMPM</v>
      </c>
      <c r="B1041" t="s">
        <v>90</v>
      </c>
      <c r="C1041" t="s">
        <v>90</v>
      </c>
      <c r="D1041" t="s">
        <v>78</v>
      </c>
      <c r="E1041" s="1" t="s">
        <v>96</v>
      </c>
      <c r="F1041" t="s">
        <v>93</v>
      </c>
      <c r="G1041" t="s">
        <v>12</v>
      </c>
      <c r="H1041">
        <v>1</v>
      </c>
      <c r="I1041">
        <v>348.38</v>
      </c>
    </row>
    <row r="1042" spans="1:9" x14ac:dyDescent="0.25">
      <c r="A1042" s="5" t="str">
        <f>TrendSheetPrdData[[#This Row],[Population]]&amp;TrendSheetPrdData[[#This Row],[Cost Basis]]&amp;TrendSheetPrdData[[#This Row],[Period]]&amp;TrendSheetPrdData[[#This Row],[Trend]]</f>
        <v>CHESAPEAKE EMPLOYEEPaid2016-07-01Medical PMPM</v>
      </c>
      <c r="B1042" t="s">
        <v>90</v>
      </c>
      <c r="C1042" t="s">
        <v>90</v>
      </c>
      <c r="D1042" t="s">
        <v>78</v>
      </c>
      <c r="E1042" s="1" t="s">
        <v>97</v>
      </c>
      <c r="F1042" t="s">
        <v>93</v>
      </c>
      <c r="G1042" t="s">
        <v>12</v>
      </c>
      <c r="H1042">
        <v>1</v>
      </c>
      <c r="I1042">
        <v>336.1</v>
      </c>
    </row>
    <row r="1043" spans="1:9" x14ac:dyDescent="0.25">
      <c r="A1043" s="5" t="str">
        <f>TrendSheetPrdData[[#This Row],[Population]]&amp;TrendSheetPrdData[[#This Row],[Cost Basis]]&amp;TrendSheetPrdData[[#This Row],[Period]]&amp;TrendSheetPrdData[[#This Row],[Trend]]</f>
        <v>CHESAPEAKE EMPLOYEEPaid2016-08-01Medical PMPM</v>
      </c>
      <c r="B1043" t="s">
        <v>90</v>
      </c>
      <c r="C1043" t="s">
        <v>90</v>
      </c>
      <c r="D1043" t="s">
        <v>78</v>
      </c>
      <c r="E1043" s="1" t="s">
        <v>98</v>
      </c>
      <c r="F1043" t="s">
        <v>93</v>
      </c>
      <c r="G1043" t="s">
        <v>12</v>
      </c>
      <c r="H1043">
        <v>1</v>
      </c>
      <c r="I1043">
        <v>220.47</v>
      </c>
    </row>
    <row r="1044" spans="1:9" x14ac:dyDescent="0.25">
      <c r="A1044" s="5" t="str">
        <f>TrendSheetPrdData[[#This Row],[Population]]&amp;TrendSheetPrdData[[#This Row],[Cost Basis]]&amp;TrendSheetPrdData[[#This Row],[Period]]&amp;TrendSheetPrdData[[#This Row],[Trend]]</f>
        <v>CHESAPEAKE EMPLOYEEPaid2016-09-01Medical PMPM</v>
      </c>
      <c r="B1044" t="s">
        <v>90</v>
      </c>
      <c r="C1044" t="s">
        <v>90</v>
      </c>
      <c r="D1044" t="s">
        <v>78</v>
      </c>
      <c r="E1044" s="1" t="s">
        <v>99</v>
      </c>
      <c r="F1044" t="s">
        <v>93</v>
      </c>
      <c r="G1044" t="s">
        <v>12</v>
      </c>
      <c r="H1044">
        <v>1</v>
      </c>
      <c r="I1044">
        <v>232.97</v>
      </c>
    </row>
    <row r="1045" spans="1:9" x14ac:dyDescent="0.25">
      <c r="A1045" s="5" t="str">
        <f>TrendSheetPrdData[[#This Row],[Population]]&amp;TrendSheetPrdData[[#This Row],[Cost Basis]]&amp;TrendSheetPrdData[[#This Row],[Period]]&amp;TrendSheetPrdData[[#This Row],[Trend]]</f>
        <v>CHESAPEAKE EMPLOYEEPaid2016-10-01Medical PMPM</v>
      </c>
      <c r="B1045" t="s">
        <v>90</v>
      </c>
      <c r="C1045" t="s">
        <v>90</v>
      </c>
      <c r="D1045" t="s">
        <v>78</v>
      </c>
      <c r="E1045" s="1" t="s">
        <v>100</v>
      </c>
      <c r="F1045" t="s">
        <v>93</v>
      </c>
      <c r="G1045" t="s">
        <v>12</v>
      </c>
      <c r="H1045">
        <v>1</v>
      </c>
      <c r="I1045">
        <v>320.48</v>
      </c>
    </row>
    <row r="1046" spans="1:9" x14ac:dyDescent="0.25">
      <c r="A1046" s="5" t="str">
        <f>TrendSheetPrdData[[#This Row],[Population]]&amp;TrendSheetPrdData[[#This Row],[Cost Basis]]&amp;TrendSheetPrdData[[#This Row],[Period]]&amp;TrendSheetPrdData[[#This Row],[Trend]]</f>
        <v>CHESAPEAKE EMPLOYEEPaid2016-11-01Medical PMPM</v>
      </c>
      <c r="B1046" t="s">
        <v>90</v>
      </c>
      <c r="C1046" t="s">
        <v>90</v>
      </c>
      <c r="D1046" t="s">
        <v>78</v>
      </c>
      <c r="E1046" s="1" t="s">
        <v>101</v>
      </c>
      <c r="F1046" t="s">
        <v>93</v>
      </c>
      <c r="G1046" t="s">
        <v>12</v>
      </c>
      <c r="H1046">
        <v>1</v>
      </c>
      <c r="I1046">
        <v>263.97000000000003</v>
      </c>
    </row>
    <row r="1047" spans="1:9" x14ac:dyDescent="0.25">
      <c r="A1047" s="5" t="str">
        <f>TrendSheetPrdData[[#This Row],[Population]]&amp;TrendSheetPrdData[[#This Row],[Cost Basis]]&amp;TrendSheetPrdData[[#This Row],[Period]]&amp;TrendSheetPrdData[[#This Row],[Trend]]</f>
        <v>CHESAPEAKE EMPLOYEEPaid2016-12-01Medical PMPM</v>
      </c>
      <c r="B1047" t="s">
        <v>90</v>
      </c>
      <c r="C1047" t="s">
        <v>90</v>
      </c>
      <c r="D1047" t="s">
        <v>78</v>
      </c>
      <c r="E1047" s="1" t="s">
        <v>102</v>
      </c>
      <c r="F1047" t="s">
        <v>93</v>
      </c>
      <c r="G1047" t="s">
        <v>12</v>
      </c>
      <c r="H1047">
        <v>1</v>
      </c>
      <c r="I1047">
        <v>258.60000000000002</v>
      </c>
    </row>
    <row r="1048" spans="1:9" x14ac:dyDescent="0.25">
      <c r="A1048" s="5" t="str">
        <f>TrendSheetPrdData[[#This Row],[Population]]&amp;TrendSheetPrdData[[#This Row],[Cost Basis]]&amp;TrendSheetPrdData[[#This Row],[Period]]&amp;TrendSheetPrdData[[#This Row],[Trend]]</f>
        <v>CHESAPEAKE EMPLOYEEPaid2017-01-01Medical PMPM</v>
      </c>
      <c r="B1048" t="s">
        <v>90</v>
      </c>
      <c r="C1048" t="s">
        <v>90</v>
      </c>
      <c r="D1048" t="s">
        <v>78</v>
      </c>
      <c r="E1048" s="1" t="s">
        <v>103</v>
      </c>
      <c r="F1048" t="s">
        <v>93</v>
      </c>
      <c r="G1048" t="s">
        <v>12</v>
      </c>
      <c r="H1048">
        <v>1</v>
      </c>
      <c r="I1048">
        <v>174.63</v>
      </c>
    </row>
    <row r="1049" spans="1:9" x14ac:dyDescent="0.25">
      <c r="A1049" s="5" t="str">
        <f>TrendSheetPrdData[[#This Row],[Population]]&amp;TrendSheetPrdData[[#This Row],[Cost Basis]]&amp;TrendSheetPrdData[[#This Row],[Period]]&amp;TrendSheetPrdData[[#This Row],[Trend]]</f>
        <v>CHESAPEAKE EMPLOYEEPaid2017-02-01Medical PMPM</v>
      </c>
      <c r="B1049" t="s">
        <v>90</v>
      </c>
      <c r="C1049" t="s">
        <v>90</v>
      </c>
      <c r="D1049" t="s">
        <v>78</v>
      </c>
      <c r="E1049" s="1" t="s">
        <v>104</v>
      </c>
      <c r="F1049" t="s">
        <v>106</v>
      </c>
      <c r="G1049" t="s">
        <v>12</v>
      </c>
      <c r="H1049">
        <v>1</v>
      </c>
      <c r="I1049">
        <v>186.45</v>
      </c>
    </row>
    <row r="1050" spans="1:9" x14ac:dyDescent="0.25">
      <c r="A1050" s="5" t="str">
        <f>TrendSheetPrdData[[#This Row],[Population]]&amp;TrendSheetPrdData[[#This Row],[Cost Basis]]&amp;TrendSheetPrdData[[#This Row],[Period]]&amp;TrendSheetPrdData[[#This Row],[Trend]]</f>
        <v>CHESAPEAKE EMPLOYEEPaid2017-03-01Medical PMPM</v>
      </c>
      <c r="B1050" t="s">
        <v>90</v>
      </c>
      <c r="C1050" t="s">
        <v>90</v>
      </c>
      <c r="D1050" t="s">
        <v>78</v>
      </c>
      <c r="E1050" s="1" t="s">
        <v>105</v>
      </c>
      <c r="F1050" t="s">
        <v>106</v>
      </c>
      <c r="G1050" t="s">
        <v>12</v>
      </c>
      <c r="H1050">
        <v>1</v>
      </c>
      <c r="I1050">
        <v>206.1</v>
      </c>
    </row>
    <row r="1051" spans="1:9" x14ac:dyDescent="0.25">
      <c r="A1051" s="5" t="str">
        <f>TrendSheetPrdData[[#This Row],[Population]]&amp;TrendSheetPrdData[[#This Row],[Cost Basis]]&amp;TrendSheetPrdData[[#This Row],[Period]]&amp;TrendSheetPrdData[[#This Row],[Trend]]</f>
        <v>CHESAPEAKE EMPLOYEEPaid2017-04-01Medical PMPM</v>
      </c>
      <c r="B1051" t="s">
        <v>90</v>
      </c>
      <c r="C1051" t="s">
        <v>90</v>
      </c>
      <c r="D1051" t="s">
        <v>78</v>
      </c>
      <c r="E1051" s="1" t="s">
        <v>107</v>
      </c>
      <c r="F1051" t="s">
        <v>106</v>
      </c>
      <c r="G1051" t="s">
        <v>12</v>
      </c>
      <c r="H1051">
        <v>1</v>
      </c>
      <c r="I1051">
        <v>58.63</v>
      </c>
    </row>
    <row r="1052" spans="1:9" x14ac:dyDescent="0.25">
      <c r="A1052" s="5" t="str">
        <f>TrendSheetPrdData[[#This Row],[Population]]&amp;TrendSheetPrdData[[#This Row],[Cost Basis]]&amp;TrendSheetPrdData[[#This Row],[Period]]&amp;TrendSheetPrdData[[#This Row],[Trend]]</f>
        <v>CHESAPEAKE EMPLOYEEPaid2016-02-01Drug PMPM</v>
      </c>
      <c r="B1052" t="s">
        <v>90</v>
      </c>
      <c r="C1052" t="s">
        <v>90</v>
      </c>
      <c r="D1052" t="s">
        <v>78</v>
      </c>
      <c r="E1052" s="1" t="s">
        <v>133</v>
      </c>
      <c r="F1052" t="s">
        <v>93</v>
      </c>
      <c r="G1052" t="s">
        <v>13</v>
      </c>
      <c r="H1052">
        <v>2</v>
      </c>
      <c r="I1052">
        <v>96.92</v>
      </c>
    </row>
    <row r="1053" spans="1:9" x14ac:dyDescent="0.25">
      <c r="A1053" s="5" t="str">
        <f>TrendSheetPrdData[[#This Row],[Population]]&amp;TrendSheetPrdData[[#This Row],[Cost Basis]]&amp;TrendSheetPrdData[[#This Row],[Period]]&amp;TrendSheetPrdData[[#This Row],[Trend]]</f>
        <v>CHESAPEAKE EMPLOYEEPaid2016-03-01Drug PMPM</v>
      </c>
      <c r="B1053" t="s">
        <v>90</v>
      </c>
      <c r="C1053" t="s">
        <v>90</v>
      </c>
      <c r="D1053" t="s">
        <v>78</v>
      </c>
      <c r="E1053" s="1" t="s">
        <v>92</v>
      </c>
      <c r="F1053" t="s">
        <v>93</v>
      </c>
      <c r="G1053" t="s">
        <v>13</v>
      </c>
      <c r="H1053">
        <v>2</v>
      </c>
      <c r="I1053">
        <v>94.6</v>
      </c>
    </row>
    <row r="1054" spans="1:9" x14ac:dyDescent="0.25">
      <c r="A1054" s="5" t="str">
        <f>TrendSheetPrdData[[#This Row],[Population]]&amp;TrendSheetPrdData[[#This Row],[Cost Basis]]&amp;TrendSheetPrdData[[#This Row],[Period]]&amp;TrendSheetPrdData[[#This Row],[Trend]]</f>
        <v>CHESAPEAKE EMPLOYEEPaid2016-04-01Drug PMPM</v>
      </c>
      <c r="B1054" t="s">
        <v>90</v>
      </c>
      <c r="C1054" t="s">
        <v>90</v>
      </c>
      <c r="D1054" t="s">
        <v>78</v>
      </c>
      <c r="E1054" s="1" t="s">
        <v>94</v>
      </c>
      <c r="F1054" t="s">
        <v>93</v>
      </c>
      <c r="G1054" t="s">
        <v>13</v>
      </c>
      <c r="H1054">
        <v>2</v>
      </c>
      <c r="I1054">
        <v>130.82</v>
      </c>
    </row>
    <row r="1055" spans="1:9" x14ac:dyDescent="0.25">
      <c r="A1055" s="5" t="str">
        <f>TrendSheetPrdData[[#This Row],[Population]]&amp;TrendSheetPrdData[[#This Row],[Cost Basis]]&amp;TrendSheetPrdData[[#This Row],[Period]]&amp;TrendSheetPrdData[[#This Row],[Trend]]</f>
        <v>CHESAPEAKE EMPLOYEEPaid2016-05-01Drug PMPM</v>
      </c>
      <c r="B1055" t="s">
        <v>90</v>
      </c>
      <c r="C1055" t="s">
        <v>90</v>
      </c>
      <c r="D1055" t="s">
        <v>78</v>
      </c>
      <c r="E1055" s="1" t="s">
        <v>95</v>
      </c>
      <c r="F1055" t="s">
        <v>93</v>
      </c>
      <c r="G1055" t="s">
        <v>13</v>
      </c>
      <c r="H1055">
        <v>2</v>
      </c>
      <c r="I1055">
        <v>148.74</v>
      </c>
    </row>
    <row r="1056" spans="1:9" x14ac:dyDescent="0.25">
      <c r="A1056" s="5" t="str">
        <f>TrendSheetPrdData[[#This Row],[Population]]&amp;TrendSheetPrdData[[#This Row],[Cost Basis]]&amp;TrendSheetPrdData[[#This Row],[Period]]&amp;TrendSheetPrdData[[#This Row],[Trend]]</f>
        <v>CHESAPEAKE EMPLOYEEPaid2016-06-01Drug PMPM</v>
      </c>
      <c r="B1056" t="s">
        <v>90</v>
      </c>
      <c r="C1056" t="s">
        <v>90</v>
      </c>
      <c r="D1056" t="s">
        <v>78</v>
      </c>
      <c r="E1056" s="1" t="s">
        <v>96</v>
      </c>
      <c r="F1056" t="s">
        <v>93</v>
      </c>
      <c r="G1056" t="s">
        <v>13</v>
      </c>
      <c r="H1056">
        <v>2</v>
      </c>
      <c r="I1056">
        <v>114.78</v>
      </c>
    </row>
    <row r="1057" spans="1:9" x14ac:dyDescent="0.25">
      <c r="A1057" s="5" t="str">
        <f>TrendSheetPrdData[[#This Row],[Population]]&amp;TrendSheetPrdData[[#This Row],[Cost Basis]]&amp;TrendSheetPrdData[[#This Row],[Period]]&amp;TrendSheetPrdData[[#This Row],[Trend]]</f>
        <v>CHESAPEAKE EMPLOYEEPaid2016-07-01Drug PMPM</v>
      </c>
      <c r="B1057" t="s">
        <v>90</v>
      </c>
      <c r="C1057" t="s">
        <v>90</v>
      </c>
      <c r="D1057" t="s">
        <v>78</v>
      </c>
      <c r="E1057" s="1" t="s">
        <v>97</v>
      </c>
      <c r="F1057" t="s">
        <v>93</v>
      </c>
      <c r="G1057" t="s">
        <v>13</v>
      </c>
      <c r="H1057">
        <v>2</v>
      </c>
      <c r="I1057">
        <v>114.5</v>
      </c>
    </row>
    <row r="1058" spans="1:9" x14ac:dyDescent="0.25">
      <c r="A1058" s="5" t="str">
        <f>TrendSheetPrdData[[#This Row],[Population]]&amp;TrendSheetPrdData[[#This Row],[Cost Basis]]&amp;TrendSheetPrdData[[#This Row],[Period]]&amp;TrendSheetPrdData[[#This Row],[Trend]]</f>
        <v>CHESAPEAKE EMPLOYEEPaid2016-08-01Drug PMPM</v>
      </c>
      <c r="B1058" t="s">
        <v>90</v>
      </c>
      <c r="C1058" t="s">
        <v>90</v>
      </c>
      <c r="D1058" t="s">
        <v>78</v>
      </c>
      <c r="E1058" s="1" t="s">
        <v>98</v>
      </c>
      <c r="F1058" t="s">
        <v>93</v>
      </c>
      <c r="G1058" t="s">
        <v>13</v>
      </c>
      <c r="H1058">
        <v>2</v>
      </c>
      <c r="I1058">
        <v>117.56</v>
      </c>
    </row>
    <row r="1059" spans="1:9" x14ac:dyDescent="0.25">
      <c r="A1059" s="5" t="str">
        <f>TrendSheetPrdData[[#This Row],[Population]]&amp;TrendSheetPrdData[[#This Row],[Cost Basis]]&amp;TrendSheetPrdData[[#This Row],[Period]]&amp;TrendSheetPrdData[[#This Row],[Trend]]</f>
        <v>CHESAPEAKE EMPLOYEEPaid2016-09-01Drug PMPM</v>
      </c>
      <c r="B1059" t="s">
        <v>90</v>
      </c>
      <c r="C1059" t="s">
        <v>90</v>
      </c>
      <c r="D1059" t="s">
        <v>78</v>
      </c>
      <c r="E1059" s="1" t="s">
        <v>99</v>
      </c>
      <c r="F1059" t="s">
        <v>93</v>
      </c>
      <c r="G1059" t="s">
        <v>13</v>
      </c>
      <c r="H1059">
        <v>2</v>
      </c>
      <c r="I1059">
        <v>109.2</v>
      </c>
    </row>
    <row r="1060" spans="1:9" x14ac:dyDescent="0.25">
      <c r="A1060" s="5" t="str">
        <f>TrendSheetPrdData[[#This Row],[Population]]&amp;TrendSheetPrdData[[#This Row],[Cost Basis]]&amp;TrendSheetPrdData[[#This Row],[Period]]&amp;TrendSheetPrdData[[#This Row],[Trend]]</f>
        <v>CHESAPEAKE EMPLOYEEPaid2016-10-01Drug PMPM</v>
      </c>
      <c r="B1060" t="s">
        <v>90</v>
      </c>
      <c r="C1060" t="s">
        <v>90</v>
      </c>
      <c r="D1060" t="s">
        <v>78</v>
      </c>
      <c r="E1060" s="1" t="s">
        <v>100</v>
      </c>
      <c r="F1060" t="s">
        <v>93</v>
      </c>
      <c r="G1060" t="s">
        <v>13</v>
      </c>
      <c r="H1060">
        <v>2</v>
      </c>
      <c r="I1060">
        <v>111.19</v>
      </c>
    </row>
    <row r="1061" spans="1:9" x14ac:dyDescent="0.25">
      <c r="A1061" s="5" t="str">
        <f>TrendSheetPrdData[[#This Row],[Population]]&amp;TrendSheetPrdData[[#This Row],[Cost Basis]]&amp;TrendSheetPrdData[[#This Row],[Period]]&amp;TrendSheetPrdData[[#This Row],[Trend]]</f>
        <v>CHESAPEAKE EMPLOYEEPaid2016-11-01Drug PMPM</v>
      </c>
      <c r="B1061" t="s">
        <v>90</v>
      </c>
      <c r="C1061" t="s">
        <v>90</v>
      </c>
      <c r="D1061" t="s">
        <v>78</v>
      </c>
      <c r="E1061" s="1" t="s">
        <v>101</v>
      </c>
      <c r="F1061" t="s">
        <v>93</v>
      </c>
      <c r="G1061" t="s">
        <v>13</v>
      </c>
      <c r="H1061">
        <v>2</v>
      </c>
      <c r="I1061">
        <v>117.06</v>
      </c>
    </row>
    <row r="1062" spans="1:9" x14ac:dyDescent="0.25">
      <c r="A1062" s="5" t="str">
        <f>TrendSheetPrdData[[#This Row],[Population]]&amp;TrendSheetPrdData[[#This Row],[Cost Basis]]&amp;TrendSheetPrdData[[#This Row],[Period]]&amp;TrendSheetPrdData[[#This Row],[Trend]]</f>
        <v>CHESAPEAKE EMPLOYEEPaid2016-12-01Drug PMPM</v>
      </c>
      <c r="B1062" t="s">
        <v>90</v>
      </c>
      <c r="C1062" t="s">
        <v>90</v>
      </c>
      <c r="D1062" t="s">
        <v>78</v>
      </c>
      <c r="E1062" s="1" t="s">
        <v>102</v>
      </c>
      <c r="F1062" t="s">
        <v>93</v>
      </c>
      <c r="G1062" t="s">
        <v>13</v>
      </c>
      <c r="H1062">
        <v>2</v>
      </c>
      <c r="I1062">
        <v>125.27</v>
      </c>
    </row>
    <row r="1063" spans="1:9" x14ac:dyDescent="0.25">
      <c r="A1063" s="5" t="str">
        <f>TrendSheetPrdData[[#This Row],[Population]]&amp;TrendSheetPrdData[[#This Row],[Cost Basis]]&amp;TrendSheetPrdData[[#This Row],[Period]]&amp;TrendSheetPrdData[[#This Row],[Trend]]</f>
        <v>CHESAPEAKE EMPLOYEEPaid2017-01-01Drug PMPM</v>
      </c>
      <c r="B1063" t="s">
        <v>90</v>
      </c>
      <c r="C1063" t="s">
        <v>90</v>
      </c>
      <c r="D1063" t="s">
        <v>78</v>
      </c>
      <c r="E1063" s="1" t="s">
        <v>103</v>
      </c>
      <c r="F1063" t="s">
        <v>93</v>
      </c>
      <c r="G1063" t="s">
        <v>13</v>
      </c>
      <c r="H1063">
        <v>2</v>
      </c>
      <c r="I1063">
        <v>87.69</v>
      </c>
    </row>
    <row r="1064" spans="1:9" x14ac:dyDescent="0.25">
      <c r="A1064" s="5" t="str">
        <f>TrendSheetPrdData[[#This Row],[Population]]&amp;TrendSheetPrdData[[#This Row],[Cost Basis]]&amp;TrendSheetPrdData[[#This Row],[Period]]&amp;TrendSheetPrdData[[#This Row],[Trend]]</f>
        <v>CHESAPEAKE EMPLOYEEPaid2017-02-01Drug PMPM</v>
      </c>
      <c r="B1064" t="s">
        <v>90</v>
      </c>
      <c r="C1064" t="s">
        <v>90</v>
      </c>
      <c r="D1064" t="s">
        <v>78</v>
      </c>
      <c r="E1064" s="1" t="s">
        <v>104</v>
      </c>
      <c r="F1064" t="s">
        <v>106</v>
      </c>
      <c r="G1064" t="s">
        <v>13</v>
      </c>
      <c r="H1064">
        <v>2</v>
      </c>
      <c r="I1064">
        <v>108.92</v>
      </c>
    </row>
    <row r="1065" spans="1:9" x14ac:dyDescent="0.25">
      <c r="A1065" s="5" t="str">
        <f>TrendSheetPrdData[[#This Row],[Population]]&amp;TrendSheetPrdData[[#This Row],[Cost Basis]]&amp;TrendSheetPrdData[[#This Row],[Period]]&amp;TrendSheetPrdData[[#This Row],[Trend]]</f>
        <v>CHESAPEAKE EMPLOYEEPaid2017-03-01Drug PMPM</v>
      </c>
      <c r="B1065" t="s">
        <v>90</v>
      </c>
      <c r="C1065" t="s">
        <v>90</v>
      </c>
      <c r="D1065" t="s">
        <v>78</v>
      </c>
      <c r="E1065" s="1" t="s">
        <v>105</v>
      </c>
      <c r="F1065" t="s">
        <v>106</v>
      </c>
      <c r="G1065" t="s">
        <v>13</v>
      </c>
      <c r="H1065">
        <v>2</v>
      </c>
      <c r="I1065">
        <v>116.79</v>
      </c>
    </row>
    <row r="1066" spans="1:9" x14ac:dyDescent="0.25">
      <c r="A1066" s="5" t="str">
        <f>TrendSheetPrdData[[#This Row],[Population]]&amp;TrendSheetPrdData[[#This Row],[Cost Basis]]&amp;TrendSheetPrdData[[#This Row],[Period]]&amp;TrendSheetPrdData[[#This Row],[Trend]]</f>
        <v>CHESAPEAKE EMPLOYEEPaid2017-04-01Drug PMPM</v>
      </c>
      <c r="B1066" t="s">
        <v>90</v>
      </c>
      <c r="C1066" t="s">
        <v>90</v>
      </c>
      <c r="D1066" t="s">
        <v>78</v>
      </c>
      <c r="E1066" s="1" t="s">
        <v>107</v>
      </c>
      <c r="F1066" t="s">
        <v>106</v>
      </c>
      <c r="G1066" t="s">
        <v>13</v>
      </c>
      <c r="H1066">
        <v>2</v>
      </c>
      <c r="I1066">
        <v>87.21</v>
      </c>
    </row>
    <row r="1067" spans="1:9" x14ac:dyDescent="0.25">
      <c r="A1067" s="5" t="str">
        <f>TrendSheetPrdData[[#This Row],[Population]]&amp;TrendSheetPrdData[[#This Row],[Cost Basis]]&amp;TrendSheetPrdData[[#This Row],[Period]]&amp;TrendSheetPrdData[[#This Row],[Trend]]</f>
        <v>CHESAPEAKE EMPLOYEEPaid2016-02-01Overall PMPM</v>
      </c>
      <c r="B1067" t="s">
        <v>90</v>
      </c>
      <c r="C1067" t="s">
        <v>90</v>
      </c>
      <c r="D1067" t="s">
        <v>78</v>
      </c>
      <c r="E1067" s="1" t="s">
        <v>133</v>
      </c>
      <c r="F1067" t="s">
        <v>93</v>
      </c>
      <c r="G1067" t="s">
        <v>14</v>
      </c>
      <c r="H1067">
        <v>3</v>
      </c>
      <c r="I1067">
        <v>290</v>
      </c>
    </row>
    <row r="1068" spans="1:9" x14ac:dyDescent="0.25">
      <c r="A1068" s="5" t="str">
        <f>TrendSheetPrdData[[#This Row],[Population]]&amp;TrendSheetPrdData[[#This Row],[Cost Basis]]&amp;TrendSheetPrdData[[#This Row],[Period]]&amp;TrendSheetPrdData[[#This Row],[Trend]]</f>
        <v>CHESAPEAKE EMPLOYEEPaid2016-03-01Overall PMPM</v>
      </c>
      <c r="B1068" t="s">
        <v>90</v>
      </c>
      <c r="C1068" t="s">
        <v>90</v>
      </c>
      <c r="D1068" t="s">
        <v>78</v>
      </c>
      <c r="E1068" s="1" t="s">
        <v>92</v>
      </c>
      <c r="F1068" t="s">
        <v>93</v>
      </c>
      <c r="G1068" t="s">
        <v>14</v>
      </c>
      <c r="H1068">
        <v>3</v>
      </c>
      <c r="I1068">
        <v>401.64</v>
      </c>
    </row>
    <row r="1069" spans="1:9" x14ac:dyDescent="0.25">
      <c r="A1069" s="5" t="str">
        <f>TrendSheetPrdData[[#This Row],[Population]]&amp;TrendSheetPrdData[[#This Row],[Cost Basis]]&amp;TrendSheetPrdData[[#This Row],[Period]]&amp;TrendSheetPrdData[[#This Row],[Trend]]</f>
        <v>CHESAPEAKE EMPLOYEEPaid2016-04-01Overall PMPM</v>
      </c>
      <c r="B1069" t="s">
        <v>90</v>
      </c>
      <c r="C1069" t="s">
        <v>90</v>
      </c>
      <c r="D1069" t="s">
        <v>78</v>
      </c>
      <c r="E1069" s="1" t="s">
        <v>94</v>
      </c>
      <c r="F1069" t="s">
        <v>93</v>
      </c>
      <c r="G1069" t="s">
        <v>14</v>
      </c>
      <c r="H1069">
        <v>3</v>
      </c>
      <c r="I1069">
        <v>476.8</v>
      </c>
    </row>
    <row r="1070" spans="1:9" x14ac:dyDescent="0.25">
      <c r="A1070" s="5" t="str">
        <f>TrendSheetPrdData[[#This Row],[Population]]&amp;TrendSheetPrdData[[#This Row],[Cost Basis]]&amp;TrendSheetPrdData[[#This Row],[Period]]&amp;TrendSheetPrdData[[#This Row],[Trend]]</f>
        <v>CHESAPEAKE EMPLOYEEPaid2016-05-01Overall PMPM</v>
      </c>
      <c r="B1070" t="s">
        <v>90</v>
      </c>
      <c r="C1070" t="s">
        <v>90</v>
      </c>
      <c r="D1070" t="s">
        <v>78</v>
      </c>
      <c r="E1070" s="1" t="s">
        <v>95</v>
      </c>
      <c r="F1070" t="s">
        <v>93</v>
      </c>
      <c r="G1070" t="s">
        <v>14</v>
      </c>
      <c r="H1070">
        <v>3</v>
      </c>
      <c r="I1070">
        <v>484.95</v>
      </c>
    </row>
    <row r="1071" spans="1:9" x14ac:dyDescent="0.25">
      <c r="A1071" s="5" t="str">
        <f>TrendSheetPrdData[[#This Row],[Population]]&amp;TrendSheetPrdData[[#This Row],[Cost Basis]]&amp;TrendSheetPrdData[[#This Row],[Period]]&amp;TrendSheetPrdData[[#This Row],[Trend]]</f>
        <v>CHESAPEAKE EMPLOYEEPaid2016-06-01Overall PMPM</v>
      </c>
      <c r="B1071" t="s">
        <v>90</v>
      </c>
      <c r="C1071" t="s">
        <v>90</v>
      </c>
      <c r="D1071" t="s">
        <v>78</v>
      </c>
      <c r="E1071" s="1" t="s">
        <v>96</v>
      </c>
      <c r="F1071" t="s">
        <v>93</v>
      </c>
      <c r="G1071" t="s">
        <v>14</v>
      </c>
      <c r="H1071">
        <v>3</v>
      </c>
      <c r="I1071">
        <v>463.16</v>
      </c>
    </row>
    <row r="1072" spans="1:9" x14ac:dyDescent="0.25">
      <c r="A1072" s="5" t="str">
        <f>TrendSheetPrdData[[#This Row],[Population]]&amp;TrendSheetPrdData[[#This Row],[Cost Basis]]&amp;TrendSheetPrdData[[#This Row],[Period]]&amp;TrendSheetPrdData[[#This Row],[Trend]]</f>
        <v>CHESAPEAKE EMPLOYEEPaid2016-07-01Overall PMPM</v>
      </c>
      <c r="B1072" t="s">
        <v>90</v>
      </c>
      <c r="C1072" t="s">
        <v>90</v>
      </c>
      <c r="D1072" t="s">
        <v>78</v>
      </c>
      <c r="E1072" s="1" t="s">
        <v>97</v>
      </c>
      <c r="F1072" t="s">
        <v>93</v>
      </c>
      <c r="G1072" t="s">
        <v>14</v>
      </c>
      <c r="H1072">
        <v>3</v>
      </c>
      <c r="I1072">
        <v>450.6</v>
      </c>
    </row>
    <row r="1073" spans="1:9" x14ac:dyDescent="0.25">
      <c r="A1073" s="5" t="str">
        <f>TrendSheetPrdData[[#This Row],[Population]]&amp;TrendSheetPrdData[[#This Row],[Cost Basis]]&amp;TrendSheetPrdData[[#This Row],[Period]]&amp;TrendSheetPrdData[[#This Row],[Trend]]</f>
        <v>CHESAPEAKE EMPLOYEEPaid2016-08-01Overall PMPM</v>
      </c>
      <c r="B1073" t="s">
        <v>90</v>
      </c>
      <c r="C1073" t="s">
        <v>90</v>
      </c>
      <c r="D1073" t="s">
        <v>78</v>
      </c>
      <c r="E1073" s="1" t="s">
        <v>98</v>
      </c>
      <c r="F1073" t="s">
        <v>93</v>
      </c>
      <c r="G1073" t="s">
        <v>14</v>
      </c>
      <c r="H1073">
        <v>3</v>
      </c>
      <c r="I1073">
        <v>338.03</v>
      </c>
    </row>
    <row r="1074" spans="1:9" x14ac:dyDescent="0.25">
      <c r="A1074" s="5" t="str">
        <f>TrendSheetPrdData[[#This Row],[Population]]&amp;TrendSheetPrdData[[#This Row],[Cost Basis]]&amp;TrendSheetPrdData[[#This Row],[Period]]&amp;TrendSheetPrdData[[#This Row],[Trend]]</f>
        <v>CHESAPEAKE EMPLOYEEPaid2016-09-01Overall PMPM</v>
      </c>
      <c r="B1074" t="s">
        <v>90</v>
      </c>
      <c r="C1074" t="s">
        <v>90</v>
      </c>
      <c r="D1074" t="s">
        <v>78</v>
      </c>
      <c r="E1074" s="1" t="s">
        <v>99</v>
      </c>
      <c r="F1074" t="s">
        <v>93</v>
      </c>
      <c r="G1074" t="s">
        <v>14</v>
      </c>
      <c r="H1074">
        <v>3</v>
      </c>
      <c r="I1074">
        <v>342.17</v>
      </c>
    </row>
    <row r="1075" spans="1:9" x14ac:dyDescent="0.25">
      <c r="A1075" s="5" t="str">
        <f>TrendSheetPrdData[[#This Row],[Population]]&amp;TrendSheetPrdData[[#This Row],[Cost Basis]]&amp;TrendSheetPrdData[[#This Row],[Period]]&amp;TrendSheetPrdData[[#This Row],[Trend]]</f>
        <v>CHESAPEAKE EMPLOYEEPaid2016-10-01Overall PMPM</v>
      </c>
      <c r="B1075" t="s">
        <v>90</v>
      </c>
      <c r="C1075" t="s">
        <v>90</v>
      </c>
      <c r="D1075" t="s">
        <v>78</v>
      </c>
      <c r="E1075" s="1" t="s">
        <v>100</v>
      </c>
      <c r="F1075" t="s">
        <v>93</v>
      </c>
      <c r="G1075" t="s">
        <v>14</v>
      </c>
      <c r="H1075">
        <v>3</v>
      </c>
      <c r="I1075">
        <v>431.67</v>
      </c>
    </row>
    <row r="1076" spans="1:9" x14ac:dyDescent="0.25">
      <c r="A1076" s="5" t="str">
        <f>TrendSheetPrdData[[#This Row],[Population]]&amp;TrendSheetPrdData[[#This Row],[Cost Basis]]&amp;TrendSheetPrdData[[#This Row],[Period]]&amp;TrendSheetPrdData[[#This Row],[Trend]]</f>
        <v>CHESAPEAKE EMPLOYEEPaid2016-11-01Overall PMPM</v>
      </c>
      <c r="B1076" t="s">
        <v>90</v>
      </c>
      <c r="C1076" t="s">
        <v>90</v>
      </c>
      <c r="D1076" t="s">
        <v>78</v>
      </c>
      <c r="E1076" s="1" t="s">
        <v>101</v>
      </c>
      <c r="F1076" t="s">
        <v>93</v>
      </c>
      <c r="G1076" t="s">
        <v>14</v>
      </c>
      <c r="H1076">
        <v>3</v>
      </c>
      <c r="I1076">
        <v>381.03</v>
      </c>
    </row>
    <row r="1077" spans="1:9" x14ac:dyDescent="0.25">
      <c r="A1077" s="5" t="str">
        <f>TrendSheetPrdData[[#This Row],[Population]]&amp;TrendSheetPrdData[[#This Row],[Cost Basis]]&amp;TrendSheetPrdData[[#This Row],[Period]]&amp;TrendSheetPrdData[[#This Row],[Trend]]</f>
        <v>CHESAPEAKE EMPLOYEEPaid2016-12-01Overall PMPM</v>
      </c>
      <c r="B1077" t="s">
        <v>90</v>
      </c>
      <c r="C1077" t="s">
        <v>90</v>
      </c>
      <c r="D1077" t="s">
        <v>78</v>
      </c>
      <c r="E1077" s="1" t="s">
        <v>102</v>
      </c>
      <c r="F1077" t="s">
        <v>93</v>
      </c>
      <c r="G1077" t="s">
        <v>14</v>
      </c>
      <c r="H1077">
        <v>3</v>
      </c>
      <c r="I1077">
        <v>383.87</v>
      </c>
    </row>
    <row r="1078" spans="1:9" x14ac:dyDescent="0.25">
      <c r="A1078" s="5" t="str">
        <f>TrendSheetPrdData[[#This Row],[Population]]&amp;TrendSheetPrdData[[#This Row],[Cost Basis]]&amp;TrendSheetPrdData[[#This Row],[Period]]&amp;TrendSheetPrdData[[#This Row],[Trend]]</f>
        <v>CHESAPEAKE EMPLOYEEPaid2017-01-01Overall PMPM</v>
      </c>
      <c r="B1078" t="s">
        <v>90</v>
      </c>
      <c r="C1078" t="s">
        <v>90</v>
      </c>
      <c r="D1078" t="s">
        <v>78</v>
      </c>
      <c r="E1078" s="1" t="s">
        <v>103</v>
      </c>
      <c r="F1078" t="s">
        <v>93</v>
      </c>
      <c r="G1078" t="s">
        <v>14</v>
      </c>
      <c r="H1078">
        <v>3</v>
      </c>
      <c r="I1078">
        <v>262.32</v>
      </c>
    </row>
    <row r="1079" spans="1:9" x14ac:dyDescent="0.25">
      <c r="A1079" s="5" t="str">
        <f>TrendSheetPrdData[[#This Row],[Population]]&amp;TrendSheetPrdData[[#This Row],[Cost Basis]]&amp;TrendSheetPrdData[[#This Row],[Period]]&amp;TrendSheetPrdData[[#This Row],[Trend]]</f>
        <v>CHESAPEAKE EMPLOYEEPaid2017-02-01Overall PMPM</v>
      </c>
      <c r="B1079" t="s">
        <v>90</v>
      </c>
      <c r="C1079" t="s">
        <v>90</v>
      </c>
      <c r="D1079" t="s">
        <v>78</v>
      </c>
      <c r="E1079" s="1" t="s">
        <v>104</v>
      </c>
      <c r="F1079" t="s">
        <v>106</v>
      </c>
      <c r="G1079" t="s">
        <v>14</v>
      </c>
      <c r="H1079">
        <v>3</v>
      </c>
      <c r="I1079">
        <v>295.37</v>
      </c>
    </row>
    <row r="1080" spans="1:9" x14ac:dyDescent="0.25">
      <c r="A1080" s="5" t="str">
        <f>TrendSheetPrdData[[#This Row],[Population]]&amp;TrendSheetPrdData[[#This Row],[Cost Basis]]&amp;TrendSheetPrdData[[#This Row],[Period]]&amp;TrendSheetPrdData[[#This Row],[Trend]]</f>
        <v>CHESAPEAKE EMPLOYEEPaid2017-03-01Overall PMPM</v>
      </c>
      <c r="B1080" t="s">
        <v>90</v>
      </c>
      <c r="C1080" t="s">
        <v>90</v>
      </c>
      <c r="D1080" t="s">
        <v>78</v>
      </c>
      <c r="E1080" s="1" t="s">
        <v>105</v>
      </c>
      <c r="F1080" t="s">
        <v>106</v>
      </c>
      <c r="G1080" t="s">
        <v>14</v>
      </c>
      <c r="H1080">
        <v>3</v>
      </c>
      <c r="I1080">
        <v>322.89</v>
      </c>
    </row>
    <row r="1081" spans="1:9" x14ac:dyDescent="0.25">
      <c r="A1081" s="5" t="str">
        <f>TrendSheetPrdData[[#This Row],[Population]]&amp;TrendSheetPrdData[[#This Row],[Cost Basis]]&amp;TrendSheetPrdData[[#This Row],[Period]]&amp;TrendSheetPrdData[[#This Row],[Trend]]</f>
        <v>CHESAPEAKE EMPLOYEEPaid2017-04-01Overall PMPM</v>
      </c>
      <c r="B1081" t="s">
        <v>90</v>
      </c>
      <c r="C1081" t="s">
        <v>90</v>
      </c>
      <c r="D1081" t="s">
        <v>78</v>
      </c>
      <c r="E1081" s="1" t="s">
        <v>107</v>
      </c>
      <c r="F1081" t="s">
        <v>106</v>
      </c>
      <c r="G1081" t="s">
        <v>14</v>
      </c>
      <c r="H1081">
        <v>3</v>
      </c>
      <c r="I1081">
        <v>145.84</v>
      </c>
    </row>
    <row r="1082" spans="1:9" x14ac:dyDescent="0.25">
      <c r="A1082" s="5" t="str">
        <f>TrendSheetPrdData[[#This Row],[Population]]&amp;TrendSheetPrdData[[#This Row],[Cost Basis]]&amp;TrendSheetPrdData[[#This Row],[Period]]&amp;TrendSheetPrdData[[#This Row],[Trend]]</f>
        <v>CHESAPEAKE EMPLOYEEPaid2016-02-01Readmission Cost</v>
      </c>
      <c r="B1082" t="s">
        <v>90</v>
      </c>
      <c r="C1082" t="s">
        <v>90</v>
      </c>
      <c r="D1082" t="s">
        <v>78</v>
      </c>
      <c r="E1082" s="1" t="s">
        <v>133</v>
      </c>
      <c r="F1082" t="s">
        <v>93</v>
      </c>
      <c r="G1082" t="s">
        <v>15</v>
      </c>
      <c r="H1082">
        <v>4</v>
      </c>
      <c r="I1082">
        <v>0</v>
      </c>
    </row>
    <row r="1083" spans="1:9" x14ac:dyDescent="0.25">
      <c r="A1083" s="5" t="str">
        <f>TrendSheetPrdData[[#This Row],[Population]]&amp;TrendSheetPrdData[[#This Row],[Cost Basis]]&amp;TrendSheetPrdData[[#This Row],[Period]]&amp;TrendSheetPrdData[[#This Row],[Trend]]</f>
        <v>CHESAPEAKE EMPLOYEEPaid2016-03-01Readmission Cost</v>
      </c>
      <c r="B1083" t="s">
        <v>90</v>
      </c>
      <c r="C1083" t="s">
        <v>90</v>
      </c>
      <c r="D1083" t="s">
        <v>78</v>
      </c>
      <c r="E1083" s="1" t="s">
        <v>92</v>
      </c>
      <c r="F1083" t="s">
        <v>93</v>
      </c>
      <c r="G1083" t="s">
        <v>15</v>
      </c>
      <c r="H1083">
        <v>4</v>
      </c>
      <c r="I1083">
        <v>0</v>
      </c>
    </row>
    <row r="1084" spans="1:9" x14ac:dyDescent="0.25">
      <c r="A1084" s="5" t="str">
        <f>TrendSheetPrdData[[#This Row],[Population]]&amp;TrendSheetPrdData[[#This Row],[Cost Basis]]&amp;TrendSheetPrdData[[#This Row],[Period]]&amp;TrendSheetPrdData[[#This Row],[Trend]]</f>
        <v>CHESAPEAKE EMPLOYEEPaid2016-04-01Readmission Cost</v>
      </c>
      <c r="B1084" t="s">
        <v>90</v>
      </c>
      <c r="C1084" t="s">
        <v>90</v>
      </c>
      <c r="D1084" t="s">
        <v>78</v>
      </c>
      <c r="E1084" s="1" t="s">
        <v>94</v>
      </c>
      <c r="F1084" t="s">
        <v>93</v>
      </c>
      <c r="G1084" t="s">
        <v>15</v>
      </c>
      <c r="H1084">
        <v>4</v>
      </c>
      <c r="I1084">
        <v>0</v>
      </c>
    </row>
    <row r="1085" spans="1:9" x14ac:dyDescent="0.25">
      <c r="A1085" s="5" t="str">
        <f>TrendSheetPrdData[[#This Row],[Population]]&amp;TrendSheetPrdData[[#This Row],[Cost Basis]]&amp;TrendSheetPrdData[[#This Row],[Period]]&amp;TrendSheetPrdData[[#This Row],[Trend]]</f>
        <v>CHESAPEAKE EMPLOYEEPaid2016-05-01Readmission Cost</v>
      </c>
      <c r="B1085" t="s">
        <v>90</v>
      </c>
      <c r="C1085" t="s">
        <v>90</v>
      </c>
      <c r="D1085" t="s">
        <v>78</v>
      </c>
      <c r="E1085" s="1" t="s">
        <v>95</v>
      </c>
      <c r="F1085" t="s">
        <v>93</v>
      </c>
      <c r="G1085" t="s">
        <v>15</v>
      </c>
      <c r="H1085">
        <v>4</v>
      </c>
      <c r="I1085">
        <v>97429.01</v>
      </c>
    </row>
    <row r="1086" spans="1:9" x14ac:dyDescent="0.25">
      <c r="A1086" s="5" t="str">
        <f>TrendSheetPrdData[[#This Row],[Population]]&amp;TrendSheetPrdData[[#This Row],[Cost Basis]]&amp;TrendSheetPrdData[[#This Row],[Period]]&amp;TrendSheetPrdData[[#This Row],[Trend]]</f>
        <v>CHESAPEAKE EMPLOYEEPaid2016-06-01Readmission Cost</v>
      </c>
      <c r="B1086" t="s">
        <v>90</v>
      </c>
      <c r="C1086" t="s">
        <v>90</v>
      </c>
      <c r="D1086" t="s">
        <v>78</v>
      </c>
      <c r="E1086" s="1" t="s">
        <v>96</v>
      </c>
      <c r="F1086" t="s">
        <v>93</v>
      </c>
      <c r="G1086" t="s">
        <v>15</v>
      </c>
      <c r="H1086">
        <v>4</v>
      </c>
      <c r="I1086">
        <v>97596.95</v>
      </c>
    </row>
    <row r="1087" spans="1:9" x14ac:dyDescent="0.25">
      <c r="A1087" s="5" t="str">
        <f>TrendSheetPrdData[[#This Row],[Population]]&amp;TrendSheetPrdData[[#This Row],[Cost Basis]]&amp;TrendSheetPrdData[[#This Row],[Period]]&amp;TrendSheetPrdData[[#This Row],[Trend]]</f>
        <v>CHESAPEAKE EMPLOYEEPaid2016-07-01Readmission Cost</v>
      </c>
      <c r="B1087" t="s">
        <v>90</v>
      </c>
      <c r="C1087" t="s">
        <v>90</v>
      </c>
      <c r="D1087" t="s">
        <v>78</v>
      </c>
      <c r="E1087" s="1" t="s">
        <v>97</v>
      </c>
      <c r="F1087" t="s">
        <v>93</v>
      </c>
      <c r="G1087" t="s">
        <v>15</v>
      </c>
      <c r="H1087">
        <v>4</v>
      </c>
      <c r="I1087">
        <v>0</v>
      </c>
    </row>
    <row r="1088" spans="1:9" x14ac:dyDescent="0.25">
      <c r="A1088" s="5" t="str">
        <f>TrendSheetPrdData[[#This Row],[Population]]&amp;TrendSheetPrdData[[#This Row],[Cost Basis]]&amp;TrendSheetPrdData[[#This Row],[Period]]&amp;TrendSheetPrdData[[#This Row],[Trend]]</f>
        <v>CHESAPEAKE EMPLOYEEPaid2016-08-01Readmission Cost</v>
      </c>
      <c r="B1088" t="s">
        <v>90</v>
      </c>
      <c r="C1088" t="s">
        <v>90</v>
      </c>
      <c r="D1088" t="s">
        <v>78</v>
      </c>
      <c r="E1088" s="1" t="s">
        <v>98</v>
      </c>
      <c r="F1088" t="s">
        <v>93</v>
      </c>
      <c r="G1088" t="s">
        <v>15</v>
      </c>
      <c r="H1088">
        <v>4</v>
      </c>
      <c r="I1088">
        <v>0</v>
      </c>
    </row>
    <row r="1089" spans="1:9" x14ac:dyDescent="0.25">
      <c r="A1089" s="5" t="str">
        <f>TrendSheetPrdData[[#This Row],[Population]]&amp;TrendSheetPrdData[[#This Row],[Cost Basis]]&amp;TrendSheetPrdData[[#This Row],[Period]]&amp;TrendSheetPrdData[[#This Row],[Trend]]</f>
        <v>CHESAPEAKE EMPLOYEEPaid2016-09-01Readmission Cost</v>
      </c>
      <c r="B1089" t="s">
        <v>90</v>
      </c>
      <c r="C1089" t="s">
        <v>90</v>
      </c>
      <c r="D1089" t="s">
        <v>78</v>
      </c>
      <c r="E1089" s="1" t="s">
        <v>99</v>
      </c>
      <c r="F1089" t="s">
        <v>93</v>
      </c>
      <c r="G1089" t="s">
        <v>15</v>
      </c>
      <c r="H1089">
        <v>4</v>
      </c>
      <c r="I1089">
        <v>0</v>
      </c>
    </row>
    <row r="1090" spans="1:9" x14ac:dyDescent="0.25">
      <c r="A1090" s="5" t="str">
        <f>TrendSheetPrdData[[#This Row],[Population]]&amp;TrendSheetPrdData[[#This Row],[Cost Basis]]&amp;TrendSheetPrdData[[#This Row],[Period]]&amp;TrendSheetPrdData[[#This Row],[Trend]]</f>
        <v>CHESAPEAKE EMPLOYEEPaid2016-10-01Readmission Cost</v>
      </c>
      <c r="B1090" t="s">
        <v>90</v>
      </c>
      <c r="C1090" t="s">
        <v>90</v>
      </c>
      <c r="D1090" t="s">
        <v>78</v>
      </c>
      <c r="E1090" s="1" t="s">
        <v>100</v>
      </c>
      <c r="F1090" t="s">
        <v>93</v>
      </c>
      <c r="G1090" t="s">
        <v>15</v>
      </c>
      <c r="H1090">
        <v>4</v>
      </c>
      <c r="I1090">
        <v>0</v>
      </c>
    </row>
    <row r="1091" spans="1:9" x14ac:dyDescent="0.25">
      <c r="A1091" s="5" t="str">
        <f>TrendSheetPrdData[[#This Row],[Population]]&amp;TrendSheetPrdData[[#This Row],[Cost Basis]]&amp;TrendSheetPrdData[[#This Row],[Period]]&amp;TrendSheetPrdData[[#This Row],[Trend]]</f>
        <v>CHESAPEAKE EMPLOYEEPaid2016-11-01Readmission Cost</v>
      </c>
      <c r="B1091" t="s">
        <v>90</v>
      </c>
      <c r="C1091" t="s">
        <v>90</v>
      </c>
      <c r="D1091" t="s">
        <v>78</v>
      </c>
      <c r="E1091" s="1" t="s">
        <v>101</v>
      </c>
      <c r="F1091" t="s">
        <v>93</v>
      </c>
      <c r="G1091" t="s">
        <v>15</v>
      </c>
      <c r="H1091">
        <v>4</v>
      </c>
      <c r="I1091">
        <v>8289.39</v>
      </c>
    </row>
    <row r="1092" spans="1:9" x14ac:dyDescent="0.25">
      <c r="A1092" s="5" t="str">
        <f>TrendSheetPrdData[[#This Row],[Population]]&amp;TrendSheetPrdData[[#This Row],[Cost Basis]]&amp;TrendSheetPrdData[[#This Row],[Period]]&amp;TrendSheetPrdData[[#This Row],[Trend]]</f>
        <v>CHESAPEAKE EMPLOYEEPaid2016-12-01Readmission Cost</v>
      </c>
      <c r="B1092" t="s">
        <v>90</v>
      </c>
      <c r="C1092" t="s">
        <v>90</v>
      </c>
      <c r="D1092" t="s">
        <v>78</v>
      </c>
      <c r="E1092" s="1" t="s">
        <v>102</v>
      </c>
      <c r="F1092" t="s">
        <v>93</v>
      </c>
      <c r="G1092" t="s">
        <v>15</v>
      </c>
      <c r="H1092">
        <v>4</v>
      </c>
      <c r="I1092">
        <v>35188.57</v>
      </c>
    </row>
    <row r="1093" spans="1:9" x14ac:dyDescent="0.25">
      <c r="A1093" s="5" t="str">
        <f>TrendSheetPrdData[[#This Row],[Population]]&amp;TrendSheetPrdData[[#This Row],[Cost Basis]]&amp;TrendSheetPrdData[[#This Row],[Period]]&amp;TrendSheetPrdData[[#This Row],[Trend]]</f>
        <v>CHESAPEAKE EMPLOYEEPaid2017-01-01Readmission Cost</v>
      </c>
      <c r="B1093" t="s">
        <v>90</v>
      </c>
      <c r="C1093" t="s">
        <v>90</v>
      </c>
      <c r="D1093" t="s">
        <v>78</v>
      </c>
      <c r="E1093" s="1" t="s">
        <v>103</v>
      </c>
      <c r="F1093" t="s">
        <v>93</v>
      </c>
      <c r="G1093" t="s">
        <v>15</v>
      </c>
      <c r="H1093">
        <v>4</v>
      </c>
      <c r="I1093">
        <v>0</v>
      </c>
    </row>
    <row r="1094" spans="1:9" x14ac:dyDescent="0.25">
      <c r="A1094" s="5" t="str">
        <f>TrendSheetPrdData[[#This Row],[Population]]&amp;TrendSheetPrdData[[#This Row],[Cost Basis]]&amp;TrendSheetPrdData[[#This Row],[Period]]&amp;TrendSheetPrdData[[#This Row],[Trend]]</f>
        <v>CHESAPEAKE EMPLOYEEPaid2017-02-01Readmission Cost</v>
      </c>
      <c r="B1094" t="s">
        <v>90</v>
      </c>
      <c r="C1094" t="s">
        <v>90</v>
      </c>
      <c r="D1094" t="s">
        <v>78</v>
      </c>
      <c r="E1094" s="1" t="s">
        <v>104</v>
      </c>
      <c r="F1094" t="s">
        <v>106</v>
      </c>
      <c r="G1094" t="s">
        <v>15</v>
      </c>
      <c r="H1094">
        <v>4</v>
      </c>
      <c r="I1094">
        <v>384.7</v>
      </c>
    </row>
    <row r="1095" spans="1:9" x14ac:dyDescent="0.25">
      <c r="A1095" s="5" t="str">
        <f>TrendSheetPrdData[[#This Row],[Population]]&amp;TrendSheetPrdData[[#This Row],[Cost Basis]]&amp;TrendSheetPrdData[[#This Row],[Period]]&amp;TrendSheetPrdData[[#This Row],[Trend]]</f>
        <v>CHESAPEAKE EMPLOYEEPaid2017-03-01Readmission Cost</v>
      </c>
      <c r="B1095" t="s">
        <v>90</v>
      </c>
      <c r="C1095" t="s">
        <v>90</v>
      </c>
      <c r="D1095" t="s">
        <v>78</v>
      </c>
      <c r="E1095" s="1" t="s">
        <v>105</v>
      </c>
      <c r="F1095" t="s">
        <v>106</v>
      </c>
      <c r="G1095" t="s">
        <v>15</v>
      </c>
      <c r="H1095">
        <v>4</v>
      </c>
      <c r="I1095">
        <v>891.74</v>
      </c>
    </row>
    <row r="1096" spans="1:9" x14ac:dyDescent="0.25">
      <c r="A1096" s="5" t="str">
        <f>TrendSheetPrdData[[#This Row],[Population]]&amp;TrendSheetPrdData[[#This Row],[Cost Basis]]&amp;TrendSheetPrdData[[#This Row],[Period]]&amp;TrendSheetPrdData[[#This Row],[Trend]]</f>
        <v>CHESAPEAKE EMPLOYEEPaid2017-04-01Readmission Cost</v>
      </c>
      <c r="B1096" t="s">
        <v>90</v>
      </c>
      <c r="C1096" t="s">
        <v>90</v>
      </c>
      <c r="D1096" t="s">
        <v>78</v>
      </c>
      <c r="E1096" s="1" t="s">
        <v>107</v>
      </c>
      <c r="F1096" t="s">
        <v>106</v>
      </c>
      <c r="G1096" t="s">
        <v>15</v>
      </c>
      <c r="H1096">
        <v>4</v>
      </c>
      <c r="I1096">
        <v>0</v>
      </c>
    </row>
    <row r="1097" spans="1:9" x14ac:dyDescent="0.25">
      <c r="A1097" s="5" t="str">
        <f>TrendSheetPrdData[[#This Row],[Population]]&amp;TrendSheetPrdData[[#This Row],[Cost Basis]]&amp;TrendSheetPrdData[[#This Row],[Period]]&amp;TrendSheetPrdData[[#This Row],[Trend]]</f>
        <v>CHESAPEAKE EMPLOYEEPaid2016-02-01Readmission Quality</v>
      </c>
      <c r="B1097" t="s">
        <v>90</v>
      </c>
      <c r="C1097" t="s">
        <v>90</v>
      </c>
      <c r="D1097" t="s">
        <v>78</v>
      </c>
      <c r="E1097" s="1" t="s">
        <v>133</v>
      </c>
      <c r="F1097" t="s">
        <v>93</v>
      </c>
      <c r="G1097" t="s">
        <v>16</v>
      </c>
      <c r="H1097">
        <v>5</v>
      </c>
      <c r="I1097">
        <v>0</v>
      </c>
    </row>
    <row r="1098" spans="1:9" x14ac:dyDescent="0.25">
      <c r="A1098" s="5" t="str">
        <f>TrendSheetPrdData[[#This Row],[Population]]&amp;TrendSheetPrdData[[#This Row],[Cost Basis]]&amp;TrendSheetPrdData[[#This Row],[Period]]&amp;TrendSheetPrdData[[#This Row],[Trend]]</f>
        <v>CHESAPEAKE EMPLOYEEPaid2016-03-01Readmission Quality</v>
      </c>
      <c r="B1098" t="s">
        <v>90</v>
      </c>
      <c r="C1098" t="s">
        <v>90</v>
      </c>
      <c r="D1098" t="s">
        <v>78</v>
      </c>
      <c r="E1098" s="1" t="s">
        <v>92</v>
      </c>
      <c r="F1098" t="s">
        <v>93</v>
      </c>
      <c r="G1098" t="s">
        <v>16</v>
      </c>
      <c r="H1098">
        <v>5</v>
      </c>
      <c r="I1098">
        <v>0</v>
      </c>
    </row>
    <row r="1099" spans="1:9" x14ac:dyDescent="0.25">
      <c r="A1099" s="5" t="str">
        <f>TrendSheetPrdData[[#This Row],[Population]]&amp;TrendSheetPrdData[[#This Row],[Cost Basis]]&amp;TrendSheetPrdData[[#This Row],[Period]]&amp;TrendSheetPrdData[[#This Row],[Trend]]</f>
        <v>CHESAPEAKE EMPLOYEEPaid2016-04-01Readmission Quality</v>
      </c>
      <c r="B1099" t="s">
        <v>90</v>
      </c>
      <c r="C1099" t="s">
        <v>90</v>
      </c>
      <c r="D1099" t="s">
        <v>78</v>
      </c>
      <c r="E1099" s="1" t="s">
        <v>94</v>
      </c>
      <c r="F1099" t="s">
        <v>93</v>
      </c>
      <c r="G1099" t="s">
        <v>16</v>
      </c>
      <c r="H1099">
        <v>5</v>
      </c>
      <c r="I1099">
        <v>0</v>
      </c>
    </row>
    <row r="1100" spans="1:9" x14ac:dyDescent="0.25">
      <c r="A1100" s="5" t="str">
        <f>TrendSheetPrdData[[#This Row],[Population]]&amp;TrendSheetPrdData[[#This Row],[Cost Basis]]&amp;TrendSheetPrdData[[#This Row],[Period]]&amp;TrendSheetPrdData[[#This Row],[Trend]]</f>
        <v>CHESAPEAKE EMPLOYEEPaid2016-05-01Readmission Quality</v>
      </c>
      <c r="B1100" t="s">
        <v>90</v>
      </c>
      <c r="C1100" t="s">
        <v>90</v>
      </c>
      <c r="D1100" t="s">
        <v>78</v>
      </c>
      <c r="E1100" s="1" t="s">
        <v>95</v>
      </c>
      <c r="F1100" t="s">
        <v>93</v>
      </c>
      <c r="G1100" t="s">
        <v>16</v>
      </c>
      <c r="H1100">
        <v>5</v>
      </c>
      <c r="I1100">
        <v>3</v>
      </c>
    </row>
    <row r="1101" spans="1:9" x14ac:dyDescent="0.25">
      <c r="A1101" s="5" t="str">
        <f>TrendSheetPrdData[[#This Row],[Population]]&amp;TrendSheetPrdData[[#This Row],[Cost Basis]]&amp;TrendSheetPrdData[[#This Row],[Period]]&amp;TrendSheetPrdData[[#This Row],[Trend]]</f>
        <v>CHESAPEAKE EMPLOYEEPaid2016-06-01Readmission Quality</v>
      </c>
      <c r="B1101" t="s">
        <v>90</v>
      </c>
      <c r="C1101" t="s">
        <v>90</v>
      </c>
      <c r="D1101" t="s">
        <v>78</v>
      </c>
      <c r="E1101" s="1" t="s">
        <v>96</v>
      </c>
      <c r="F1101" t="s">
        <v>93</v>
      </c>
      <c r="G1101" t="s">
        <v>16</v>
      </c>
      <c r="H1101">
        <v>5</v>
      </c>
      <c r="I1101">
        <v>2</v>
      </c>
    </row>
    <row r="1102" spans="1:9" x14ac:dyDescent="0.25">
      <c r="A1102" s="5" t="str">
        <f>TrendSheetPrdData[[#This Row],[Population]]&amp;TrendSheetPrdData[[#This Row],[Cost Basis]]&amp;TrendSheetPrdData[[#This Row],[Period]]&amp;TrendSheetPrdData[[#This Row],[Trend]]</f>
        <v>CHESAPEAKE EMPLOYEEPaid2016-07-01Readmission Quality</v>
      </c>
      <c r="B1102" t="s">
        <v>90</v>
      </c>
      <c r="C1102" t="s">
        <v>90</v>
      </c>
      <c r="D1102" t="s">
        <v>78</v>
      </c>
      <c r="E1102" s="1" t="s">
        <v>97</v>
      </c>
      <c r="F1102" t="s">
        <v>93</v>
      </c>
      <c r="G1102" t="s">
        <v>16</v>
      </c>
      <c r="H1102">
        <v>5</v>
      </c>
      <c r="I1102">
        <v>0</v>
      </c>
    </row>
    <row r="1103" spans="1:9" x14ac:dyDescent="0.25">
      <c r="A1103" s="5" t="str">
        <f>TrendSheetPrdData[[#This Row],[Population]]&amp;TrendSheetPrdData[[#This Row],[Cost Basis]]&amp;TrendSheetPrdData[[#This Row],[Period]]&amp;TrendSheetPrdData[[#This Row],[Trend]]</f>
        <v>CHESAPEAKE EMPLOYEEPaid2016-08-01Readmission Quality</v>
      </c>
      <c r="B1103" t="s">
        <v>90</v>
      </c>
      <c r="C1103" t="s">
        <v>90</v>
      </c>
      <c r="D1103" t="s">
        <v>78</v>
      </c>
      <c r="E1103" s="1" t="s">
        <v>98</v>
      </c>
      <c r="F1103" t="s">
        <v>93</v>
      </c>
      <c r="G1103" t="s">
        <v>16</v>
      </c>
      <c r="H1103">
        <v>5</v>
      </c>
      <c r="I1103">
        <v>0</v>
      </c>
    </row>
    <row r="1104" spans="1:9" x14ac:dyDescent="0.25">
      <c r="A1104" s="5" t="str">
        <f>TrendSheetPrdData[[#This Row],[Population]]&amp;TrendSheetPrdData[[#This Row],[Cost Basis]]&amp;TrendSheetPrdData[[#This Row],[Period]]&amp;TrendSheetPrdData[[#This Row],[Trend]]</f>
        <v>CHESAPEAKE EMPLOYEEPaid2016-09-01Readmission Quality</v>
      </c>
      <c r="B1104" t="s">
        <v>90</v>
      </c>
      <c r="C1104" t="s">
        <v>90</v>
      </c>
      <c r="D1104" t="s">
        <v>78</v>
      </c>
      <c r="E1104" s="1" t="s">
        <v>99</v>
      </c>
      <c r="F1104" t="s">
        <v>93</v>
      </c>
      <c r="G1104" t="s">
        <v>16</v>
      </c>
      <c r="H1104">
        <v>5</v>
      </c>
      <c r="I1104">
        <v>0</v>
      </c>
    </row>
    <row r="1105" spans="1:9" x14ac:dyDescent="0.25">
      <c r="A1105" s="5" t="str">
        <f>TrendSheetPrdData[[#This Row],[Population]]&amp;TrendSheetPrdData[[#This Row],[Cost Basis]]&amp;TrendSheetPrdData[[#This Row],[Period]]&amp;TrendSheetPrdData[[#This Row],[Trend]]</f>
        <v>CHESAPEAKE EMPLOYEEPaid2016-10-01Readmission Quality</v>
      </c>
      <c r="B1105" t="s">
        <v>90</v>
      </c>
      <c r="C1105" t="s">
        <v>90</v>
      </c>
      <c r="D1105" t="s">
        <v>78</v>
      </c>
      <c r="E1105" s="1" t="s">
        <v>100</v>
      </c>
      <c r="F1105" t="s">
        <v>93</v>
      </c>
      <c r="G1105" t="s">
        <v>16</v>
      </c>
      <c r="H1105">
        <v>5</v>
      </c>
      <c r="I1105">
        <v>1</v>
      </c>
    </row>
    <row r="1106" spans="1:9" x14ac:dyDescent="0.25">
      <c r="A1106" s="5" t="str">
        <f>TrendSheetPrdData[[#This Row],[Population]]&amp;TrendSheetPrdData[[#This Row],[Cost Basis]]&amp;TrendSheetPrdData[[#This Row],[Period]]&amp;TrendSheetPrdData[[#This Row],[Trend]]</f>
        <v>CHESAPEAKE EMPLOYEEPaid2016-11-01Readmission Quality</v>
      </c>
      <c r="B1106" t="s">
        <v>90</v>
      </c>
      <c r="C1106" t="s">
        <v>90</v>
      </c>
      <c r="D1106" t="s">
        <v>78</v>
      </c>
      <c r="E1106" s="1" t="s">
        <v>101</v>
      </c>
      <c r="F1106" t="s">
        <v>93</v>
      </c>
      <c r="G1106" t="s">
        <v>16</v>
      </c>
      <c r="H1106">
        <v>5</v>
      </c>
      <c r="I1106">
        <v>1</v>
      </c>
    </row>
    <row r="1107" spans="1:9" x14ac:dyDescent="0.25">
      <c r="A1107" s="5" t="str">
        <f>TrendSheetPrdData[[#This Row],[Population]]&amp;TrendSheetPrdData[[#This Row],[Cost Basis]]&amp;TrendSheetPrdData[[#This Row],[Period]]&amp;TrendSheetPrdData[[#This Row],[Trend]]</f>
        <v>CHESAPEAKE EMPLOYEEPaid2016-12-01Readmission Quality</v>
      </c>
      <c r="B1107" t="s">
        <v>90</v>
      </c>
      <c r="C1107" t="s">
        <v>90</v>
      </c>
      <c r="D1107" t="s">
        <v>78</v>
      </c>
      <c r="E1107" s="1" t="s">
        <v>102</v>
      </c>
      <c r="F1107" t="s">
        <v>93</v>
      </c>
      <c r="G1107" t="s">
        <v>16</v>
      </c>
      <c r="H1107">
        <v>5</v>
      </c>
      <c r="I1107">
        <v>1</v>
      </c>
    </row>
    <row r="1108" spans="1:9" x14ac:dyDescent="0.25">
      <c r="A1108" s="5" t="str">
        <f>TrendSheetPrdData[[#This Row],[Population]]&amp;TrendSheetPrdData[[#This Row],[Cost Basis]]&amp;TrendSheetPrdData[[#This Row],[Period]]&amp;TrendSheetPrdData[[#This Row],[Trend]]</f>
        <v>CHESAPEAKE EMPLOYEEPaid2017-01-01Readmission Quality</v>
      </c>
      <c r="B1108" t="s">
        <v>90</v>
      </c>
      <c r="C1108" t="s">
        <v>90</v>
      </c>
      <c r="D1108" t="s">
        <v>78</v>
      </c>
      <c r="E1108" s="1" t="s">
        <v>103</v>
      </c>
      <c r="F1108" t="s">
        <v>93</v>
      </c>
      <c r="G1108" t="s">
        <v>16</v>
      </c>
      <c r="H1108">
        <v>5</v>
      </c>
      <c r="I1108">
        <v>0</v>
      </c>
    </row>
    <row r="1109" spans="1:9" x14ac:dyDescent="0.25">
      <c r="A1109" s="5" t="str">
        <f>TrendSheetPrdData[[#This Row],[Population]]&amp;TrendSheetPrdData[[#This Row],[Cost Basis]]&amp;TrendSheetPrdData[[#This Row],[Period]]&amp;TrendSheetPrdData[[#This Row],[Trend]]</f>
        <v>CHESAPEAKE EMPLOYEEPaid2017-02-01Readmission Quality</v>
      </c>
      <c r="B1109" t="s">
        <v>90</v>
      </c>
      <c r="C1109" t="s">
        <v>90</v>
      </c>
      <c r="D1109" t="s">
        <v>78</v>
      </c>
      <c r="E1109" s="1" t="s">
        <v>104</v>
      </c>
      <c r="F1109" t="s">
        <v>106</v>
      </c>
      <c r="G1109" t="s">
        <v>16</v>
      </c>
      <c r="H1109">
        <v>5</v>
      </c>
      <c r="I1109">
        <v>1</v>
      </c>
    </row>
    <row r="1110" spans="1:9" x14ac:dyDescent="0.25">
      <c r="A1110" s="5" t="str">
        <f>TrendSheetPrdData[[#This Row],[Population]]&amp;TrendSheetPrdData[[#This Row],[Cost Basis]]&amp;TrendSheetPrdData[[#This Row],[Period]]&amp;TrendSheetPrdData[[#This Row],[Trend]]</f>
        <v>CHESAPEAKE EMPLOYEEPaid2017-03-01Readmission Quality</v>
      </c>
      <c r="B1110" t="s">
        <v>90</v>
      </c>
      <c r="C1110" t="s">
        <v>90</v>
      </c>
      <c r="D1110" t="s">
        <v>78</v>
      </c>
      <c r="E1110" s="1" t="s">
        <v>105</v>
      </c>
      <c r="F1110" t="s">
        <v>106</v>
      </c>
      <c r="G1110" t="s">
        <v>16</v>
      </c>
      <c r="H1110">
        <v>5</v>
      </c>
      <c r="I1110">
        <v>2</v>
      </c>
    </row>
    <row r="1111" spans="1:9" x14ac:dyDescent="0.25">
      <c r="A1111" s="5" t="str">
        <f>TrendSheetPrdData[[#This Row],[Population]]&amp;TrendSheetPrdData[[#This Row],[Cost Basis]]&amp;TrendSheetPrdData[[#This Row],[Period]]&amp;TrendSheetPrdData[[#This Row],[Trend]]</f>
        <v>CHESAPEAKE EMPLOYEEPaid2017-04-01Readmission Quality</v>
      </c>
      <c r="B1111" t="s">
        <v>90</v>
      </c>
      <c r="C1111" t="s">
        <v>90</v>
      </c>
      <c r="D1111" t="s">
        <v>78</v>
      </c>
      <c r="E1111" s="1" t="s">
        <v>107</v>
      </c>
      <c r="F1111" t="s">
        <v>106</v>
      </c>
      <c r="G1111" t="s">
        <v>16</v>
      </c>
      <c r="H1111">
        <v>5</v>
      </c>
      <c r="I1111">
        <v>0</v>
      </c>
    </row>
    <row r="1112" spans="1:9" x14ac:dyDescent="0.25">
      <c r="A1112" s="5" t="str">
        <f>TrendSheetPrdData[[#This Row],[Population]]&amp;TrendSheetPrdData[[#This Row],[Cost Basis]]&amp;TrendSheetPrdData[[#This Row],[Period]]&amp;TrendSheetPrdData[[#This Row],[Trend]]</f>
        <v>CHESAPEAKE EMPLOYEEPaid2016-02-01Avoidable Admission Cost</v>
      </c>
      <c r="B1112" t="s">
        <v>90</v>
      </c>
      <c r="C1112" t="s">
        <v>90</v>
      </c>
      <c r="D1112" t="s">
        <v>78</v>
      </c>
      <c r="E1112" s="1" t="s">
        <v>133</v>
      </c>
      <c r="F1112" t="s">
        <v>93</v>
      </c>
      <c r="G1112" t="s">
        <v>17</v>
      </c>
      <c r="H1112">
        <v>6</v>
      </c>
      <c r="I1112">
        <v>0</v>
      </c>
    </row>
    <row r="1113" spans="1:9" x14ac:dyDescent="0.25">
      <c r="A1113" s="5" t="str">
        <f>TrendSheetPrdData[[#This Row],[Population]]&amp;TrendSheetPrdData[[#This Row],[Cost Basis]]&amp;TrendSheetPrdData[[#This Row],[Period]]&amp;TrendSheetPrdData[[#This Row],[Trend]]</f>
        <v>CHESAPEAKE EMPLOYEEPaid2016-03-01Avoidable Admission Cost</v>
      </c>
      <c r="B1113" t="s">
        <v>90</v>
      </c>
      <c r="C1113" t="s">
        <v>90</v>
      </c>
      <c r="D1113" t="s">
        <v>78</v>
      </c>
      <c r="E1113" s="1" t="s">
        <v>92</v>
      </c>
      <c r="F1113" t="s">
        <v>93</v>
      </c>
      <c r="G1113" t="s">
        <v>17</v>
      </c>
      <c r="H1113">
        <v>6</v>
      </c>
      <c r="I1113">
        <v>11993.27</v>
      </c>
    </row>
    <row r="1114" spans="1:9" x14ac:dyDescent="0.25">
      <c r="A1114" s="5" t="str">
        <f>TrendSheetPrdData[[#This Row],[Population]]&amp;TrendSheetPrdData[[#This Row],[Cost Basis]]&amp;TrendSheetPrdData[[#This Row],[Period]]&amp;TrendSheetPrdData[[#This Row],[Trend]]</f>
        <v>CHESAPEAKE EMPLOYEEPaid2016-04-01Avoidable Admission Cost</v>
      </c>
      <c r="B1114" t="s">
        <v>90</v>
      </c>
      <c r="C1114" t="s">
        <v>90</v>
      </c>
      <c r="D1114" t="s">
        <v>78</v>
      </c>
      <c r="E1114" s="1" t="s">
        <v>94</v>
      </c>
      <c r="F1114" t="s">
        <v>93</v>
      </c>
      <c r="G1114" t="s">
        <v>17</v>
      </c>
      <c r="H1114">
        <v>6</v>
      </c>
      <c r="I1114">
        <v>23478.6</v>
      </c>
    </row>
    <row r="1115" spans="1:9" x14ac:dyDescent="0.25">
      <c r="A1115" s="5" t="str">
        <f>TrendSheetPrdData[[#This Row],[Population]]&amp;TrendSheetPrdData[[#This Row],[Cost Basis]]&amp;TrendSheetPrdData[[#This Row],[Period]]&amp;TrendSheetPrdData[[#This Row],[Trend]]</f>
        <v>CHESAPEAKE EMPLOYEEPaid2016-05-01Avoidable Admission Cost</v>
      </c>
      <c r="B1115" t="s">
        <v>90</v>
      </c>
      <c r="C1115" t="s">
        <v>90</v>
      </c>
      <c r="D1115" t="s">
        <v>78</v>
      </c>
      <c r="E1115" s="1" t="s">
        <v>95</v>
      </c>
      <c r="F1115" t="s">
        <v>93</v>
      </c>
      <c r="G1115" t="s">
        <v>17</v>
      </c>
      <c r="H1115">
        <v>6</v>
      </c>
      <c r="I1115">
        <v>0</v>
      </c>
    </row>
    <row r="1116" spans="1:9" x14ac:dyDescent="0.25">
      <c r="A1116" s="5" t="str">
        <f>TrendSheetPrdData[[#This Row],[Population]]&amp;TrendSheetPrdData[[#This Row],[Cost Basis]]&amp;TrendSheetPrdData[[#This Row],[Period]]&amp;TrendSheetPrdData[[#This Row],[Trend]]</f>
        <v>CHESAPEAKE EMPLOYEEPaid2016-06-01Avoidable Admission Cost</v>
      </c>
      <c r="B1116" t="s">
        <v>90</v>
      </c>
      <c r="C1116" t="s">
        <v>90</v>
      </c>
      <c r="D1116" t="s">
        <v>78</v>
      </c>
      <c r="E1116" s="1" t="s">
        <v>96</v>
      </c>
      <c r="F1116" t="s">
        <v>93</v>
      </c>
      <c r="G1116" t="s">
        <v>17</v>
      </c>
      <c r="H1116">
        <v>6</v>
      </c>
      <c r="I1116">
        <v>0</v>
      </c>
    </row>
    <row r="1117" spans="1:9" x14ac:dyDescent="0.25">
      <c r="A1117" s="5" t="str">
        <f>TrendSheetPrdData[[#This Row],[Population]]&amp;TrendSheetPrdData[[#This Row],[Cost Basis]]&amp;TrendSheetPrdData[[#This Row],[Period]]&amp;TrendSheetPrdData[[#This Row],[Trend]]</f>
        <v>CHESAPEAKE EMPLOYEEPaid2016-07-01Avoidable Admission Cost</v>
      </c>
      <c r="B1117" t="s">
        <v>90</v>
      </c>
      <c r="C1117" t="s">
        <v>90</v>
      </c>
      <c r="D1117" t="s">
        <v>78</v>
      </c>
      <c r="E1117" s="1" t="s">
        <v>97</v>
      </c>
      <c r="F1117" t="s">
        <v>93</v>
      </c>
      <c r="G1117" t="s">
        <v>17</v>
      </c>
      <c r="H1117">
        <v>6</v>
      </c>
      <c r="I1117">
        <v>0</v>
      </c>
    </row>
    <row r="1118" spans="1:9" x14ac:dyDescent="0.25">
      <c r="A1118" s="5" t="str">
        <f>TrendSheetPrdData[[#This Row],[Population]]&amp;TrendSheetPrdData[[#This Row],[Cost Basis]]&amp;TrendSheetPrdData[[#This Row],[Period]]&amp;TrendSheetPrdData[[#This Row],[Trend]]</f>
        <v>CHESAPEAKE EMPLOYEEPaid2016-08-01Avoidable Admission Cost</v>
      </c>
      <c r="B1118" t="s">
        <v>90</v>
      </c>
      <c r="C1118" t="s">
        <v>90</v>
      </c>
      <c r="D1118" t="s">
        <v>78</v>
      </c>
      <c r="E1118" s="1" t="s">
        <v>98</v>
      </c>
      <c r="F1118" t="s">
        <v>93</v>
      </c>
      <c r="G1118" t="s">
        <v>17</v>
      </c>
      <c r="H1118">
        <v>6</v>
      </c>
      <c r="I1118">
        <v>0</v>
      </c>
    </row>
    <row r="1119" spans="1:9" x14ac:dyDescent="0.25">
      <c r="A1119" s="5" t="str">
        <f>TrendSheetPrdData[[#This Row],[Population]]&amp;TrendSheetPrdData[[#This Row],[Cost Basis]]&amp;TrendSheetPrdData[[#This Row],[Period]]&amp;TrendSheetPrdData[[#This Row],[Trend]]</f>
        <v>CHESAPEAKE EMPLOYEEPaid2016-09-01Avoidable Admission Cost</v>
      </c>
      <c r="B1119" t="s">
        <v>90</v>
      </c>
      <c r="C1119" t="s">
        <v>90</v>
      </c>
      <c r="D1119" t="s">
        <v>78</v>
      </c>
      <c r="E1119" s="1" t="s">
        <v>99</v>
      </c>
      <c r="F1119" t="s">
        <v>93</v>
      </c>
      <c r="G1119" t="s">
        <v>17</v>
      </c>
      <c r="H1119">
        <v>6</v>
      </c>
      <c r="I1119">
        <v>0</v>
      </c>
    </row>
    <row r="1120" spans="1:9" x14ac:dyDescent="0.25">
      <c r="A1120" s="5" t="str">
        <f>TrendSheetPrdData[[#This Row],[Population]]&amp;TrendSheetPrdData[[#This Row],[Cost Basis]]&amp;TrendSheetPrdData[[#This Row],[Period]]&amp;TrendSheetPrdData[[#This Row],[Trend]]</f>
        <v>CHESAPEAKE EMPLOYEEPaid2016-10-01Avoidable Admission Cost</v>
      </c>
      <c r="B1120" t="s">
        <v>90</v>
      </c>
      <c r="C1120" t="s">
        <v>90</v>
      </c>
      <c r="D1120" t="s">
        <v>78</v>
      </c>
      <c r="E1120" s="1" t="s">
        <v>100</v>
      </c>
      <c r="F1120" t="s">
        <v>93</v>
      </c>
      <c r="G1120" t="s">
        <v>17</v>
      </c>
      <c r="H1120">
        <v>6</v>
      </c>
      <c r="I1120">
        <v>0</v>
      </c>
    </row>
    <row r="1121" spans="1:9" x14ac:dyDescent="0.25">
      <c r="A1121" s="5" t="str">
        <f>TrendSheetPrdData[[#This Row],[Population]]&amp;TrendSheetPrdData[[#This Row],[Cost Basis]]&amp;TrendSheetPrdData[[#This Row],[Period]]&amp;TrendSheetPrdData[[#This Row],[Trend]]</f>
        <v>CHESAPEAKE EMPLOYEEPaid2016-11-01Avoidable Admission Cost</v>
      </c>
      <c r="B1121" t="s">
        <v>90</v>
      </c>
      <c r="C1121" t="s">
        <v>90</v>
      </c>
      <c r="D1121" t="s">
        <v>78</v>
      </c>
      <c r="E1121" s="1" t="s">
        <v>101</v>
      </c>
      <c r="F1121" t="s">
        <v>93</v>
      </c>
      <c r="G1121" t="s">
        <v>17</v>
      </c>
      <c r="H1121">
        <v>6</v>
      </c>
      <c r="I1121">
        <v>7961.74</v>
      </c>
    </row>
    <row r="1122" spans="1:9" x14ac:dyDescent="0.25">
      <c r="A1122" s="5" t="str">
        <f>TrendSheetPrdData[[#This Row],[Population]]&amp;TrendSheetPrdData[[#This Row],[Cost Basis]]&amp;TrendSheetPrdData[[#This Row],[Period]]&amp;TrendSheetPrdData[[#This Row],[Trend]]</f>
        <v>CHESAPEAKE EMPLOYEEPaid2016-12-01Avoidable Admission Cost</v>
      </c>
      <c r="B1122" t="s">
        <v>90</v>
      </c>
      <c r="C1122" t="s">
        <v>90</v>
      </c>
      <c r="D1122" t="s">
        <v>78</v>
      </c>
      <c r="E1122" s="1" t="s">
        <v>102</v>
      </c>
      <c r="F1122" t="s">
        <v>93</v>
      </c>
      <c r="G1122" t="s">
        <v>17</v>
      </c>
      <c r="H1122">
        <v>6</v>
      </c>
      <c r="I1122">
        <v>0</v>
      </c>
    </row>
    <row r="1123" spans="1:9" x14ac:dyDescent="0.25">
      <c r="A1123" s="5" t="str">
        <f>TrendSheetPrdData[[#This Row],[Population]]&amp;TrendSheetPrdData[[#This Row],[Cost Basis]]&amp;TrendSheetPrdData[[#This Row],[Period]]&amp;TrendSheetPrdData[[#This Row],[Trend]]</f>
        <v>CHESAPEAKE EMPLOYEEPaid2017-01-01Avoidable Admission Cost</v>
      </c>
      <c r="B1123" t="s">
        <v>90</v>
      </c>
      <c r="C1123" t="s">
        <v>90</v>
      </c>
      <c r="D1123" t="s">
        <v>78</v>
      </c>
      <c r="E1123" s="1" t="s">
        <v>103</v>
      </c>
      <c r="F1123" t="s">
        <v>93</v>
      </c>
      <c r="G1123" t="s">
        <v>17</v>
      </c>
      <c r="H1123">
        <v>6</v>
      </c>
      <c r="I1123">
        <v>0</v>
      </c>
    </row>
    <row r="1124" spans="1:9" x14ac:dyDescent="0.25">
      <c r="A1124" s="5" t="str">
        <f>TrendSheetPrdData[[#This Row],[Population]]&amp;TrendSheetPrdData[[#This Row],[Cost Basis]]&amp;TrendSheetPrdData[[#This Row],[Period]]&amp;TrendSheetPrdData[[#This Row],[Trend]]</f>
        <v>CHESAPEAKE EMPLOYEEPaid2017-02-01Avoidable Admission Cost</v>
      </c>
      <c r="B1124" t="s">
        <v>90</v>
      </c>
      <c r="C1124" t="s">
        <v>90</v>
      </c>
      <c r="D1124" t="s">
        <v>78</v>
      </c>
      <c r="E1124" s="1" t="s">
        <v>104</v>
      </c>
      <c r="F1124" t="s">
        <v>106</v>
      </c>
      <c r="G1124" t="s">
        <v>17</v>
      </c>
      <c r="H1124">
        <v>6</v>
      </c>
      <c r="I1124">
        <v>0</v>
      </c>
    </row>
    <row r="1125" spans="1:9" x14ac:dyDescent="0.25">
      <c r="A1125" s="5" t="str">
        <f>TrendSheetPrdData[[#This Row],[Population]]&amp;TrendSheetPrdData[[#This Row],[Cost Basis]]&amp;TrendSheetPrdData[[#This Row],[Period]]&amp;TrendSheetPrdData[[#This Row],[Trend]]</f>
        <v>CHESAPEAKE EMPLOYEEPaid2017-03-01Avoidable Admission Cost</v>
      </c>
      <c r="B1125" t="s">
        <v>90</v>
      </c>
      <c r="C1125" t="s">
        <v>90</v>
      </c>
      <c r="D1125" t="s">
        <v>78</v>
      </c>
      <c r="E1125" s="1" t="s">
        <v>105</v>
      </c>
      <c r="F1125" t="s">
        <v>106</v>
      </c>
      <c r="G1125" t="s">
        <v>17</v>
      </c>
      <c r="H1125">
        <v>6</v>
      </c>
      <c r="I1125">
        <v>0</v>
      </c>
    </row>
    <row r="1126" spans="1:9" x14ac:dyDescent="0.25">
      <c r="A1126" s="5" t="str">
        <f>TrendSheetPrdData[[#This Row],[Population]]&amp;TrendSheetPrdData[[#This Row],[Cost Basis]]&amp;TrendSheetPrdData[[#This Row],[Period]]&amp;TrendSheetPrdData[[#This Row],[Trend]]</f>
        <v>CHESAPEAKE EMPLOYEEPaid2017-04-01Avoidable Admission Cost</v>
      </c>
      <c r="B1126" t="s">
        <v>90</v>
      </c>
      <c r="C1126" t="s">
        <v>90</v>
      </c>
      <c r="D1126" t="s">
        <v>78</v>
      </c>
      <c r="E1126" s="1" t="s">
        <v>107</v>
      </c>
      <c r="F1126" t="s">
        <v>106</v>
      </c>
      <c r="G1126" t="s">
        <v>17</v>
      </c>
      <c r="H1126">
        <v>6</v>
      </c>
      <c r="I1126">
        <v>0</v>
      </c>
    </row>
    <row r="1127" spans="1:9" x14ac:dyDescent="0.25">
      <c r="A1127" s="5" t="str">
        <f>TrendSheetPrdData[[#This Row],[Population]]&amp;TrendSheetPrdData[[#This Row],[Cost Basis]]&amp;TrendSheetPrdData[[#This Row],[Period]]&amp;TrendSheetPrdData[[#This Row],[Trend]]</f>
        <v>CHESAPEAKE EMPLOYEEPaid2016-02-01Avoidable Admission Quality</v>
      </c>
      <c r="B1127" t="s">
        <v>90</v>
      </c>
      <c r="C1127" t="s">
        <v>90</v>
      </c>
      <c r="D1127" t="s">
        <v>78</v>
      </c>
      <c r="E1127" s="1" t="s">
        <v>133</v>
      </c>
      <c r="F1127" t="s">
        <v>93</v>
      </c>
      <c r="G1127" t="s">
        <v>18</v>
      </c>
      <c r="H1127">
        <v>7</v>
      </c>
      <c r="I1127">
        <v>0</v>
      </c>
    </row>
    <row r="1128" spans="1:9" x14ac:dyDescent="0.25">
      <c r="A1128" s="5" t="str">
        <f>TrendSheetPrdData[[#This Row],[Population]]&amp;TrendSheetPrdData[[#This Row],[Cost Basis]]&amp;TrendSheetPrdData[[#This Row],[Period]]&amp;TrendSheetPrdData[[#This Row],[Trend]]</f>
        <v>CHESAPEAKE EMPLOYEEPaid2016-03-01Avoidable Admission Quality</v>
      </c>
      <c r="B1128" t="s">
        <v>90</v>
      </c>
      <c r="C1128" t="s">
        <v>90</v>
      </c>
      <c r="D1128" t="s">
        <v>78</v>
      </c>
      <c r="E1128" s="1" t="s">
        <v>92</v>
      </c>
      <c r="F1128" t="s">
        <v>93</v>
      </c>
      <c r="G1128" t="s">
        <v>18</v>
      </c>
      <c r="H1128">
        <v>7</v>
      </c>
      <c r="I1128">
        <v>2</v>
      </c>
    </row>
    <row r="1129" spans="1:9" x14ac:dyDescent="0.25">
      <c r="A1129" s="5" t="str">
        <f>TrendSheetPrdData[[#This Row],[Population]]&amp;TrendSheetPrdData[[#This Row],[Cost Basis]]&amp;TrendSheetPrdData[[#This Row],[Period]]&amp;TrendSheetPrdData[[#This Row],[Trend]]</f>
        <v>CHESAPEAKE EMPLOYEEPaid2016-04-01Avoidable Admission Quality</v>
      </c>
      <c r="B1129" t="s">
        <v>90</v>
      </c>
      <c r="C1129" t="s">
        <v>90</v>
      </c>
      <c r="D1129" t="s">
        <v>78</v>
      </c>
      <c r="E1129" s="1" t="s">
        <v>94</v>
      </c>
      <c r="F1129" t="s">
        <v>93</v>
      </c>
      <c r="G1129" t="s">
        <v>18</v>
      </c>
      <c r="H1129">
        <v>7</v>
      </c>
      <c r="I1129">
        <v>1</v>
      </c>
    </row>
    <row r="1130" spans="1:9" x14ac:dyDescent="0.25">
      <c r="A1130" s="5" t="str">
        <f>TrendSheetPrdData[[#This Row],[Population]]&amp;TrendSheetPrdData[[#This Row],[Cost Basis]]&amp;TrendSheetPrdData[[#This Row],[Period]]&amp;TrendSheetPrdData[[#This Row],[Trend]]</f>
        <v>CHESAPEAKE EMPLOYEEPaid2016-05-01Avoidable Admission Quality</v>
      </c>
      <c r="B1130" t="s">
        <v>90</v>
      </c>
      <c r="C1130" t="s">
        <v>90</v>
      </c>
      <c r="D1130" t="s">
        <v>78</v>
      </c>
      <c r="E1130" s="1" t="s">
        <v>95</v>
      </c>
      <c r="F1130" t="s">
        <v>93</v>
      </c>
      <c r="G1130" t="s">
        <v>18</v>
      </c>
      <c r="H1130">
        <v>7</v>
      </c>
      <c r="I1130">
        <v>0</v>
      </c>
    </row>
    <row r="1131" spans="1:9" x14ac:dyDescent="0.25">
      <c r="A1131" s="5" t="str">
        <f>TrendSheetPrdData[[#This Row],[Population]]&amp;TrendSheetPrdData[[#This Row],[Cost Basis]]&amp;TrendSheetPrdData[[#This Row],[Period]]&amp;TrendSheetPrdData[[#This Row],[Trend]]</f>
        <v>CHESAPEAKE EMPLOYEEPaid2016-06-01Avoidable Admission Quality</v>
      </c>
      <c r="B1131" t="s">
        <v>90</v>
      </c>
      <c r="C1131" t="s">
        <v>90</v>
      </c>
      <c r="D1131" t="s">
        <v>78</v>
      </c>
      <c r="E1131" s="1" t="s">
        <v>96</v>
      </c>
      <c r="F1131" t="s">
        <v>93</v>
      </c>
      <c r="G1131" t="s">
        <v>18</v>
      </c>
      <c r="H1131">
        <v>7</v>
      </c>
      <c r="I1131">
        <v>0</v>
      </c>
    </row>
    <row r="1132" spans="1:9" x14ac:dyDescent="0.25">
      <c r="A1132" s="5" t="str">
        <f>TrendSheetPrdData[[#This Row],[Population]]&amp;TrendSheetPrdData[[#This Row],[Cost Basis]]&amp;TrendSheetPrdData[[#This Row],[Period]]&amp;TrendSheetPrdData[[#This Row],[Trend]]</f>
        <v>CHESAPEAKE EMPLOYEEPaid2016-07-01Avoidable Admission Quality</v>
      </c>
      <c r="B1132" t="s">
        <v>90</v>
      </c>
      <c r="C1132" t="s">
        <v>90</v>
      </c>
      <c r="D1132" t="s">
        <v>78</v>
      </c>
      <c r="E1132" s="1" t="s">
        <v>97</v>
      </c>
      <c r="F1132" t="s">
        <v>93</v>
      </c>
      <c r="G1132" t="s">
        <v>18</v>
      </c>
      <c r="H1132">
        <v>7</v>
      </c>
      <c r="I1132">
        <v>0</v>
      </c>
    </row>
    <row r="1133" spans="1:9" x14ac:dyDescent="0.25">
      <c r="A1133" s="5" t="str">
        <f>TrendSheetPrdData[[#This Row],[Population]]&amp;TrendSheetPrdData[[#This Row],[Cost Basis]]&amp;TrendSheetPrdData[[#This Row],[Period]]&amp;TrendSheetPrdData[[#This Row],[Trend]]</f>
        <v>CHESAPEAKE EMPLOYEEPaid2016-08-01Avoidable Admission Quality</v>
      </c>
      <c r="B1133" t="s">
        <v>90</v>
      </c>
      <c r="C1133" t="s">
        <v>90</v>
      </c>
      <c r="D1133" t="s">
        <v>78</v>
      </c>
      <c r="E1133" s="1" t="s">
        <v>98</v>
      </c>
      <c r="F1133" t="s">
        <v>93</v>
      </c>
      <c r="G1133" t="s">
        <v>18</v>
      </c>
      <c r="H1133">
        <v>7</v>
      </c>
      <c r="I1133">
        <v>0</v>
      </c>
    </row>
    <row r="1134" spans="1:9" x14ac:dyDescent="0.25">
      <c r="A1134" s="5" t="str">
        <f>TrendSheetPrdData[[#This Row],[Population]]&amp;TrendSheetPrdData[[#This Row],[Cost Basis]]&amp;TrendSheetPrdData[[#This Row],[Period]]&amp;TrendSheetPrdData[[#This Row],[Trend]]</f>
        <v>CHESAPEAKE EMPLOYEEPaid2016-09-01Avoidable Admission Quality</v>
      </c>
      <c r="B1134" t="s">
        <v>90</v>
      </c>
      <c r="C1134" t="s">
        <v>90</v>
      </c>
      <c r="D1134" t="s">
        <v>78</v>
      </c>
      <c r="E1134" s="1" t="s">
        <v>99</v>
      </c>
      <c r="F1134" t="s">
        <v>93</v>
      </c>
      <c r="G1134" t="s">
        <v>18</v>
      </c>
      <c r="H1134">
        <v>7</v>
      </c>
      <c r="I1134">
        <v>0</v>
      </c>
    </row>
    <row r="1135" spans="1:9" x14ac:dyDescent="0.25">
      <c r="A1135" s="5" t="str">
        <f>TrendSheetPrdData[[#This Row],[Population]]&amp;TrendSheetPrdData[[#This Row],[Cost Basis]]&amp;TrendSheetPrdData[[#This Row],[Period]]&amp;TrendSheetPrdData[[#This Row],[Trend]]</f>
        <v>CHESAPEAKE EMPLOYEEPaid2016-10-01Avoidable Admission Quality</v>
      </c>
      <c r="B1135" t="s">
        <v>90</v>
      </c>
      <c r="C1135" t="s">
        <v>90</v>
      </c>
      <c r="D1135" t="s">
        <v>78</v>
      </c>
      <c r="E1135" s="1" t="s">
        <v>100</v>
      </c>
      <c r="F1135" t="s">
        <v>93</v>
      </c>
      <c r="G1135" t="s">
        <v>18</v>
      </c>
      <c r="H1135">
        <v>7</v>
      </c>
      <c r="I1135">
        <v>0</v>
      </c>
    </row>
    <row r="1136" spans="1:9" x14ac:dyDescent="0.25">
      <c r="A1136" s="5" t="str">
        <f>TrendSheetPrdData[[#This Row],[Population]]&amp;TrendSheetPrdData[[#This Row],[Cost Basis]]&amp;TrendSheetPrdData[[#This Row],[Period]]&amp;TrendSheetPrdData[[#This Row],[Trend]]</f>
        <v>CHESAPEAKE EMPLOYEEPaid2016-11-01Avoidable Admission Quality</v>
      </c>
      <c r="B1136" t="s">
        <v>90</v>
      </c>
      <c r="C1136" t="s">
        <v>90</v>
      </c>
      <c r="D1136" t="s">
        <v>78</v>
      </c>
      <c r="E1136" s="1" t="s">
        <v>101</v>
      </c>
      <c r="F1136" t="s">
        <v>93</v>
      </c>
      <c r="G1136" t="s">
        <v>18</v>
      </c>
      <c r="H1136">
        <v>7</v>
      </c>
      <c r="I1136">
        <v>1</v>
      </c>
    </row>
    <row r="1137" spans="1:9" x14ac:dyDescent="0.25">
      <c r="A1137" s="5" t="str">
        <f>TrendSheetPrdData[[#This Row],[Population]]&amp;TrendSheetPrdData[[#This Row],[Cost Basis]]&amp;TrendSheetPrdData[[#This Row],[Period]]&amp;TrendSheetPrdData[[#This Row],[Trend]]</f>
        <v>CHESAPEAKE EMPLOYEEPaid2016-12-01Avoidable Admission Quality</v>
      </c>
      <c r="B1137" t="s">
        <v>90</v>
      </c>
      <c r="C1137" t="s">
        <v>90</v>
      </c>
      <c r="D1137" t="s">
        <v>78</v>
      </c>
      <c r="E1137" s="1" t="s">
        <v>102</v>
      </c>
      <c r="F1137" t="s">
        <v>93</v>
      </c>
      <c r="G1137" t="s">
        <v>18</v>
      </c>
      <c r="H1137">
        <v>7</v>
      </c>
      <c r="I1137">
        <v>0</v>
      </c>
    </row>
    <row r="1138" spans="1:9" x14ac:dyDescent="0.25">
      <c r="A1138" s="5" t="str">
        <f>TrendSheetPrdData[[#This Row],[Population]]&amp;TrendSheetPrdData[[#This Row],[Cost Basis]]&amp;TrendSheetPrdData[[#This Row],[Period]]&amp;TrendSheetPrdData[[#This Row],[Trend]]</f>
        <v>CHESAPEAKE EMPLOYEEPaid2017-01-01Avoidable Admission Quality</v>
      </c>
      <c r="B1138" t="s">
        <v>90</v>
      </c>
      <c r="C1138" t="s">
        <v>90</v>
      </c>
      <c r="D1138" t="s">
        <v>78</v>
      </c>
      <c r="E1138" s="1" t="s">
        <v>103</v>
      </c>
      <c r="F1138" t="s">
        <v>93</v>
      </c>
      <c r="G1138" t="s">
        <v>18</v>
      </c>
      <c r="H1138">
        <v>7</v>
      </c>
      <c r="I1138">
        <v>0</v>
      </c>
    </row>
    <row r="1139" spans="1:9" x14ac:dyDescent="0.25">
      <c r="A1139" s="5" t="str">
        <f>TrendSheetPrdData[[#This Row],[Population]]&amp;TrendSheetPrdData[[#This Row],[Cost Basis]]&amp;TrendSheetPrdData[[#This Row],[Period]]&amp;TrendSheetPrdData[[#This Row],[Trend]]</f>
        <v>CHESAPEAKE EMPLOYEEPaid2017-02-01Avoidable Admission Quality</v>
      </c>
      <c r="B1139" t="s">
        <v>90</v>
      </c>
      <c r="C1139" t="s">
        <v>90</v>
      </c>
      <c r="D1139" t="s">
        <v>78</v>
      </c>
      <c r="E1139" s="1" t="s">
        <v>104</v>
      </c>
      <c r="F1139" t="s">
        <v>106</v>
      </c>
      <c r="G1139" t="s">
        <v>18</v>
      </c>
      <c r="H1139">
        <v>7</v>
      </c>
      <c r="I1139">
        <v>0</v>
      </c>
    </row>
    <row r="1140" spans="1:9" x14ac:dyDescent="0.25">
      <c r="A1140" s="5" t="str">
        <f>TrendSheetPrdData[[#This Row],[Population]]&amp;TrendSheetPrdData[[#This Row],[Cost Basis]]&amp;TrendSheetPrdData[[#This Row],[Period]]&amp;TrendSheetPrdData[[#This Row],[Trend]]</f>
        <v>CHESAPEAKE EMPLOYEEPaid2017-03-01Avoidable Admission Quality</v>
      </c>
      <c r="B1140" t="s">
        <v>90</v>
      </c>
      <c r="C1140" t="s">
        <v>90</v>
      </c>
      <c r="D1140" t="s">
        <v>78</v>
      </c>
      <c r="E1140" s="1" t="s">
        <v>105</v>
      </c>
      <c r="F1140" t="s">
        <v>106</v>
      </c>
      <c r="G1140" t="s">
        <v>18</v>
      </c>
      <c r="H1140">
        <v>7</v>
      </c>
      <c r="I1140">
        <v>0</v>
      </c>
    </row>
    <row r="1141" spans="1:9" x14ac:dyDescent="0.25">
      <c r="A1141" s="5" t="str">
        <f>TrendSheetPrdData[[#This Row],[Population]]&amp;TrendSheetPrdData[[#This Row],[Cost Basis]]&amp;TrendSheetPrdData[[#This Row],[Period]]&amp;TrendSheetPrdData[[#This Row],[Trend]]</f>
        <v>CHESAPEAKE EMPLOYEEPaid2017-04-01Avoidable Admission Quality</v>
      </c>
      <c r="B1141" t="s">
        <v>90</v>
      </c>
      <c r="C1141" t="s">
        <v>90</v>
      </c>
      <c r="D1141" t="s">
        <v>78</v>
      </c>
      <c r="E1141" s="1" t="s">
        <v>107</v>
      </c>
      <c r="F1141" t="s">
        <v>106</v>
      </c>
      <c r="G1141" t="s">
        <v>18</v>
      </c>
      <c r="H1141">
        <v>7</v>
      </c>
      <c r="I1141">
        <v>0</v>
      </c>
    </row>
    <row r="1142" spans="1:9" x14ac:dyDescent="0.25">
      <c r="A1142" s="5" t="str">
        <f>TrendSheetPrdData[[#This Row],[Population]]&amp;TrendSheetPrdData[[#This Row],[Cost Basis]]&amp;TrendSheetPrdData[[#This Row],[Period]]&amp;TrendSheetPrdData[[#This Row],[Trend]]</f>
        <v>CHESAPEAKE EMPLOYEEPaid2016-02-01Outpatient Imaging Cost</v>
      </c>
      <c r="B1142" t="s">
        <v>90</v>
      </c>
      <c r="C1142" t="s">
        <v>90</v>
      </c>
      <c r="D1142" t="s">
        <v>78</v>
      </c>
      <c r="E1142" s="1" t="s">
        <v>133</v>
      </c>
      <c r="F1142" t="s">
        <v>93</v>
      </c>
      <c r="G1142" t="s">
        <v>19</v>
      </c>
      <c r="H1142">
        <v>8</v>
      </c>
      <c r="I1142">
        <v>29637.93</v>
      </c>
    </row>
    <row r="1143" spans="1:9" x14ac:dyDescent="0.25">
      <c r="A1143" s="5" t="str">
        <f>TrendSheetPrdData[[#This Row],[Population]]&amp;TrendSheetPrdData[[#This Row],[Cost Basis]]&amp;TrendSheetPrdData[[#This Row],[Period]]&amp;TrendSheetPrdData[[#This Row],[Trend]]</f>
        <v>CHESAPEAKE EMPLOYEEPaid2016-03-01Outpatient Imaging Cost</v>
      </c>
      <c r="B1143" t="s">
        <v>90</v>
      </c>
      <c r="C1143" t="s">
        <v>90</v>
      </c>
      <c r="D1143" t="s">
        <v>78</v>
      </c>
      <c r="E1143" s="1" t="s">
        <v>92</v>
      </c>
      <c r="F1143" t="s">
        <v>93</v>
      </c>
      <c r="G1143" t="s">
        <v>19</v>
      </c>
      <c r="H1143">
        <v>8</v>
      </c>
      <c r="I1143">
        <v>30500.07</v>
      </c>
    </row>
    <row r="1144" spans="1:9" x14ac:dyDescent="0.25">
      <c r="A1144" s="5" t="str">
        <f>TrendSheetPrdData[[#This Row],[Population]]&amp;TrendSheetPrdData[[#This Row],[Cost Basis]]&amp;TrendSheetPrdData[[#This Row],[Period]]&amp;TrendSheetPrdData[[#This Row],[Trend]]</f>
        <v>CHESAPEAKE EMPLOYEEPaid2016-04-01Outpatient Imaging Cost</v>
      </c>
      <c r="B1144" t="s">
        <v>90</v>
      </c>
      <c r="C1144" t="s">
        <v>90</v>
      </c>
      <c r="D1144" t="s">
        <v>78</v>
      </c>
      <c r="E1144" s="1" t="s">
        <v>94</v>
      </c>
      <c r="F1144" t="s">
        <v>93</v>
      </c>
      <c r="G1144" t="s">
        <v>19</v>
      </c>
      <c r="H1144">
        <v>8</v>
      </c>
      <c r="I1144">
        <v>25435.360000000001</v>
      </c>
    </row>
    <row r="1145" spans="1:9" x14ac:dyDescent="0.25">
      <c r="A1145" s="5" t="str">
        <f>TrendSheetPrdData[[#This Row],[Population]]&amp;TrendSheetPrdData[[#This Row],[Cost Basis]]&amp;TrendSheetPrdData[[#This Row],[Period]]&amp;TrendSheetPrdData[[#This Row],[Trend]]</f>
        <v>CHESAPEAKE EMPLOYEEPaid2016-05-01Outpatient Imaging Cost</v>
      </c>
      <c r="B1145" t="s">
        <v>90</v>
      </c>
      <c r="C1145" t="s">
        <v>90</v>
      </c>
      <c r="D1145" t="s">
        <v>78</v>
      </c>
      <c r="E1145" s="1" t="s">
        <v>95</v>
      </c>
      <c r="F1145" t="s">
        <v>93</v>
      </c>
      <c r="G1145" t="s">
        <v>19</v>
      </c>
      <c r="H1145">
        <v>8</v>
      </c>
      <c r="I1145">
        <v>34390.53</v>
      </c>
    </row>
    <row r="1146" spans="1:9" x14ac:dyDescent="0.25">
      <c r="A1146" s="5" t="str">
        <f>TrendSheetPrdData[[#This Row],[Population]]&amp;TrendSheetPrdData[[#This Row],[Cost Basis]]&amp;TrendSheetPrdData[[#This Row],[Period]]&amp;TrendSheetPrdData[[#This Row],[Trend]]</f>
        <v>CHESAPEAKE EMPLOYEEPaid2016-06-01Outpatient Imaging Cost</v>
      </c>
      <c r="B1146" t="s">
        <v>90</v>
      </c>
      <c r="C1146" t="s">
        <v>90</v>
      </c>
      <c r="D1146" t="s">
        <v>78</v>
      </c>
      <c r="E1146" s="1" t="s">
        <v>96</v>
      </c>
      <c r="F1146" t="s">
        <v>93</v>
      </c>
      <c r="G1146" t="s">
        <v>19</v>
      </c>
      <c r="H1146">
        <v>8</v>
      </c>
      <c r="I1146">
        <v>36334.29</v>
      </c>
    </row>
    <row r="1147" spans="1:9" x14ac:dyDescent="0.25">
      <c r="A1147" s="5" t="str">
        <f>TrendSheetPrdData[[#This Row],[Population]]&amp;TrendSheetPrdData[[#This Row],[Cost Basis]]&amp;TrendSheetPrdData[[#This Row],[Period]]&amp;TrendSheetPrdData[[#This Row],[Trend]]</f>
        <v>CHESAPEAKE EMPLOYEEPaid2016-07-01Outpatient Imaging Cost</v>
      </c>
      <c r="B1147" t="s">
        <v>90</v>
      </c>
      <c r="C1147" t="s">
        <v>90</v>
      </c>
      <c r="D1147" t="s">
        <v>78</v>
      </c>
      <c r="E1147" s="1" t="s">
        <v>97</v>
      </c>
      <c r="F1147" t="s">
        <v>93</v>
      </c>
      <c r="G1147" t="s">
        <v>19</v>
      </c>
      <c r="H1147">
        <v>8</v>
      </c>
      <c r="I1147">
        <v>31363.84</v>
      </c>
    </row>
    <row r="1148" spans="1:9" x14ac:dyDescent="0.25">
      <c r="A1148" s="5" t="str">
        <f>TrendSheetPrdData[[#This Row],[Population]]&amp;TrendSheetPrdData[[#This Row],[Cost Basis]]&amp;TrendSheetPrdData[[#This Row],[Period]]&amp;TrendSheetPrdData[[#This Row],[Trend]]</f>
        <v>CHESAPEAKE EMPLOYEEPaid2016-08-01Outpatient Imaging Cost</v>
      </c>
      <c r="B1148" t="s">
        <v>90</v>
      </c>
      <c r="C1148" t="s">
        <v>90</v>
      </c>
      <c r="D1148" t="s">
        <v>78</v>
      </c>
      <c r="E1148" s="1" t="s">
        <v>98</v>
      </c>
      <c r="F1148" t="s">
        <v>93</v>
      </c>
      <c r="G1148" t="s">
        <v>19</v>
      </c>
      <c r="H1148">
        <v>8</v>
      </c>
      <c r="I1148">
        <v>39548.89</v>
      </c>
    </row>
    <row r="1149" spans="1:9" x14ac:dyDescent="0.25">
      <c r="A1149" s="5" t="str">
        <f>TrendSheetPrdData[[#This Row],[Population]]&amp;TrendSheetPrdData[[#This Row],[Cost Basis]]&amp;TrendSheetPrdData[[#This Row],[Period]]&amp;TrendSheetPrdData[[#This Row],[Trend]]</f>
        <v>CHESAPEAKE EMPLOYEEPaid2016-09-01Outpatient Imaging Cost</v>
      </c>
      <c r="B1149" t="s">
        <v>90</v>
      </c>
      <c r="C1149" t="s">
        <v>90</v>
      </c>
      <c r="D1149" t="s">
        <v>78</v>
      </c>
      <c r="E1149" s="1" t="s">
        <v>99</v>
      </c>
      <c r="F1149" t="s">
        <v>93</v>
      </c>
      <c r="G1149" t="s">
        <v>19</v>
      </c>
      <c r="H1149">
        <v>8</v>
      </c>
      <c r="I1149">
        <v>14197.46</v>
      </c>
    </row>
    <row r="1150" spans="1:9" x14ac:dyDescent="0.25">
      <c r="A1150" s="5" t="str">
        <f>TrendSheetPrdData[[#This Row],[Population]]&amp;TrendSheetPrdData[[#This Row],[Cost Basis]]&amp;TrendSheetPrdData[[#This Row],[Period]]&amp;TrendSheetPrdData[[#This Row],[Trend]]</f>
        <v>CHESAPEAKE EMPLOYEEPaid2016-10-01Outpatient Imaging Cost</v>
      </c>
      <c r="B1150" t="s">
        <v>90</v>
      </c>
      <c r="C1150" t="s">
        <v>90</v>
      </c>
      <c r="D1150" t="s">
        <v>78</v>
      </c>
      <c r="E1150" s="1" t="s">
        <v>100</v>
      </c>
      <c r="F1150" t="s">
        <v>93</v>
      </c>
      <c r="G1150" t="s">
        <v>19</v>
      </c>
      <c r="H1150">
        <v>8</v>
      </c>
      <c r="I1150">
        <v>42128.15</v>
      </c>
    </row>
    <row r="1151" spans="1:9" x14ac:dyDescent="0.25">
      <c r="A1151" s="5" t="str">
        <f>TrendSheetPrdData[[#This Row],[Population]]&amp;TrendSheetPrdData[[#This Row],[Cost Basis]]&amp;TrendSheetPrdData[[#This Row],[Period]]&amp;TrendSheetPrdData[[#This Row],[Trend]]</f>
        <v>CHESAPEAKE EMPLOYEEPaid2016-11-01Outpatient Imaging Cost</v>
      </c>
      <c r="B1151" t="s">
        <v>90</v>
      </c>
      <c r="C1151" t="s">
        <v>90</v>
      </c>
      <c r="D1151" t="s">
        <v>78</v>
      </c>
      <c r="E1151" s="1" t="s">
        <v>101</v>
      </c>
      <c r="F1151" t="s">
        <v>93</v>
      </c>
      <c r="G1151" t="s">
        <v>19</v>
      </c>
      <c r="H1151">
        <v>8</v>
      </c>
      <c r="I1151">
        <v>52186.35</v>
      </c>
    </row>
    <row r="1152" spans="1:9" x14ac:dyDescent="0.25">
      <c r="A1152" s="5" t="str">
        <f>TrendSheetPrdData[[#This Row],[Population]]&amp;TrendSheetPrdData[[#This Row],[Cost Basis]]&amp;TrendSheetPrdData[[#This Row],[Period]]&amp;TrendSheetPrdData[[#This Row],[Trend]]</f>
        <v>CHESAPEAKE EMPLOYEEPaid2016-12-01Outpatient Imaging Cost</v>
      </c>
      <c r="B1152" t="s">
        <v>90</v>
      </c>
      <c r="C1152" t="s">
        <v>90</v>
      </c>
      <c r="D1152" t="s">
        <v>78</v>
      </c>
      <c r="E1152" s="1" t="s">
        <v>102</v>
      </c>
      <c r="F1152" t="s">
        <v>93</v>
      </c>
      <c r="G1152" t="s">
        <v>19</v>
      </c>
      <c r="H1152">
        <v>8</v>
      </c>
      <c r="I1152">
        <v>42853.87</v>
      </c>
    </row>
    <row r="1153" spans="1:9" x14ac:dyDescent="0.25">
      <c r="A1153" s="5" t="str">
        <f>TrendSheetPrdData[[#This Row],[Population]]&amp;TrendSheetPrdData[[#This Row],[Cost Basis]]&amp;TrendSheetPrdData[[#This Row],[Period]]&amp;TrendSheetPrdData[[#This Row],[Trend]]</f>
        <v>CHESAPEAKE EMPLOYEEPaid2017-01-01Outpatient Imaging Cost</v>
      </c>
      <c r="B1153" t="s">
        <v>90</v>
      </c>
      <c r="C1153" t="s">
        <v>90</v>
      </c>
      <c r="D1153" t="s">
        <v>78</v>
      </c>
      <c r="E1153" s="1" t="s">
        <v>103</v>
      </c>
      <c r="F1153" t="s">
        <v>93</v>
      </c>
      <c r="G1153" t="s">
        <v>19</v>
      </c>
      <c r="H1153">
        <v>8</v>
      </c>
      <c r="I1153">
        <v>22548.1</v>
      </c>
    </row>
    <row r="1154" spans="1:9" x14ac:dyDescent="0.25">
      <c r="A1154" s="5" t="str">
        <f>TrendSheetPrdData[[#This Row],[Population]]&amp;TrendSheetPrdData[[#This Row],[Cost Basis]]&amp;TrendSheetPrdData[[#This Row],[Period]]&amp;TrendSheetPrdData[[#This Row],[Trend]]</f>
        <v>CHESAPEAKE EMPLOYEEPaid2017-02-01Outpatient Imaging Cost</v>
      </c>
      <c r="B1154" t="s">
        <v>90</v>
      </c>
      <c r="C1154" t="s">
        <v>90</v>
      </c>
      <c r="D1154" t="s">
        <v>78</v>
      </c>
      <c r="E1154" s="1" t="s">
        <v>104</v>
      </c>
      <c r="F1154" t="s">
        <v>106</v>
      </c>
      <c r="G1154" t="s">
        <v>19</v>
      </c>
      <c r="H1154">
        <v>8</v>
      </c>
      <c r="I1154">
        <v>23617.53</v>
      </c>
    </row>
    <row r="1155" spans="1:9" x14ac:dyDescent="0.25">
      <c r="A1155" s="5" t="str">
        <f>TrendSheetPrdData[[#This Row],[Population]]&amp;TrendSheetPrdData[[#This Row],[Cost Basis]]&amp;TrendSheetPrdData[[#This Row],[Period]]&amp;TrendSheetPrdData[[#This Row],[Trend]]</f>
        <v>CHESAPEAKE EMPLOYEEPaid2017-03-01Outpatient Imaging Cost</v>
      </c>
      <c r="B1155" t="s">
        <v>90</v>
      </c>
      <c r="C1155" t="s">
        <v>90</v>
      </c>
      <c r="D1155" t="s">
        <v>78</v>
      </c>
      <c r="E1155" s="1" t="s">
        <v>105</v>
      </c>
      <c r="F1155" t="s">
        <v>106</v>
      </c>
      <c r="G1155" t="s">
        <v>19</v>
      </c>
      <c r="H1155">
        <v>8</v>
      </c>
      <c r="I1155">
        <v>27730.33</v>
      </c>
    </row>
    <row r="1156" spans="1:9" x14ac:dyDescent="0.25">
      <c r="A1156" s="5" t="str">
        <f>TrendSheetPrdData[[#This Row],[Population]]&amp;TrendSheetPrdData[[#This Row],[Cost Basis]]&amp;TrendSheetPrdData[[#This Row],[Period]]&amp;TrendSheetPrdData[[#This Row],[Trend]]</f>
        <v>CHESAPEAKE EMPLOYEEPaid2017-04-01Outpatient Imaging Cost</v>
      </c>
      <c r="B1156" t="s">
        <v>90</v>
      </c>
      <c r="C1156" t="s">
        <v>90</v>
      </c>
      <c r="D1156" t="s">
        <v>78</v>
      </c>
      <c r="E1156" s="1" t="s">
        <v>107</v>
      </c>
      <c r="F1156" t="s">
        <v>106</v>
      </c>
      <c r="G1156" t="s">
        <v>19</v>
      </c>
      <c r="H1156">
        <v>8</v>
      </c>
      <c r="I1156">
        <v>25424.59</v>
      </c>
    </row>
    <row r="1157" spans="1:9" x14ac:dyDescent="0.25">
      <c r="A1157" s="5" t="str">
        <f>TrendSheetPrdData[[#This Row],[Population]]&amp;TrendSheetPrdData[[#This Row],[Cost Basis]]&amp;TrendSheetPrdData[[#This Row],[Period]]&amp;TrendSheetPrdData[[#This Row],[Trend]]</f>
        <v>CHESAPEAKE EMPLOYEEPaid2016-02-01Hospiatl Outpatient MRIs per 1k</v>
      </c>
      <c r="B1157" t="s">
        <v>90</v>
      </c>
      <c r="C1157" t="s">
        <v>90</v>
      </c>
      <c r="D1157" t="s">
        <v>78</v>
      </c>
      <c r="E1157" s="1" t="s">
        <v>133</v>
      </c>
      <c r="F1157" t="s">
        <v>93</v>
      </c>
      <c r="G1157" t="s">
        <v>20</v>
      </c>
      <c r="H1157">
        <v>9</v>
      </c>
      <c r="I1157">
        <v>59</v>
      </c>
    </row>
    <row r="1158" spans="1:9" x14ac:dyDescent="0.25">
      <c r="A1158" s="5" t="str">
        <f>TrendSheetPrdData[[#This Row],[Population]]&amp;TrendSheetPrdData[[#This Row],[Cost Basis]]&amp;TrendSheetPrdData[[#This Row],[Period]]&amp;TrendSheetPrdData[[#This Row],[Trend]]</f>
        <v>CHESAPEAKE EMPLOYEEPaid2016-03-01Hospiatl Outpatient MRIs per 1k</v>
      </c>
      <c r="B1158" t="s">
        <v>90</v>
      </c>
      <c r="C1158" t="s">
        <v>90</v>
      </c>
      <c r="D1158" t="s">
        <v>78</v>
      </c>
      <c r="E1158" s="1" t="s">
        <v>92</v>
      </c>
      <c r="F1158" t="s">
        <v>93</v>
      </c>
      <c r="G1158" t="s">
        <v>20</v>
      </c>
      <c r="H1158">
        <v>9</v>
      </c>
      <c r="I1158">
        <v>50</v>
      </c>
    </row>
    <row r="1159" spans="1:9" x14ac:dyDescent="0.25">
      <c r="A1159" s="5" t="str">
        <f>TrendSheetPrdData[[#This Row],[Population]]&amp;TrendSheetPrdData[[#This Row],[Cost Basis]]&amp;TrendSheetPrdData[[#This Row],[Period]]&amp;TrendSheetPrdData[[#This Row],[Trend]]</f>
        <v>CHESAPEAKE EMPLOYEEPaid2016-04-01Hospiatl Outpatient MRIs per 1k</v>
      </c>
      <c r="B1159" t="s">
        <v>90</v>
      </c>
      <c r="C1159" t="s">
        <v>90</v>
      </c>
      <c r="D1159" t="s">
        <v>78</v>
      </c>
      <c r="E1159" s="1" t="s">
        <v>94</v>
      </c>
      <c r="F1159" t="s">
        <v>93</v>
      </c>
      <c r="G1159" t="s">
        <v>20</v>
      </c>
      <c r="H1159">
        <v>9</v>
      </c>
      <c r="I1159">
        <v>36</v>
      </c>
    </row>
    <row r="1160" spans="1:9" x14ac:dyDescent="0.25">
      <c r="A1160" s="5" t="str">
        <f>TrendSheetPrdData[[#This Row],[Population]]&amp;TrendSheetPrdData[[#This Row],[Cost Basis]]&amp;TrendSheetPrdData[[#This Row],[Period]]&amp;TrendSheetPrdData[[#This Row],[Trend]]</f>
        <v>CHESAPEAKE EMPLOYEEPaid2016-05-01Hospiatl Outpatient MRIs per 1k</v>
      </c>
      <c r="B1160" t="s">
        <v>90</v>
      </c>
      <c r="C1160" t="s">
        <v>90</v>
      </c>
      <c r="D1160" t="s">
        <v>78</v>
      </c>
      <c r="E1160" s="1" t="s">
        <v>95</v>
      </c>
      <c r="F1160" t="s">
        <v>93</v>
      </c>
      <c r="G1160" t="s">
        <v>20</v>
      </c>
      <c r="H1160">
        <v>9</v>
      </c>
      <c r="I1160">
        <v>58</v>
      </c>
    </row>
    <row r="1161" spans="1:9" x14ac:dyDescent="0.25">
      <c r="A1161" s="5" t="str">
        <f>TrendSheetPrdData[[#This Row],[Population]]&amp;TrendSheetPrdData[[#This Row],[Cost Basis]]&amp;TrendSheetPrdData[[#This Row],[Period]]&amp;TrendSheetPrdData[[#This Row],[Trend]]</f>
        <v>CHESAPEAKE EMPLOYEEPaid2016-06-01Hospiatl Outpatient MRIs per 1k</v>
      </c>
      <c r="B1161" t="s">
        <v>90</v>
      </c>
      <c r="C1161" t="s">
        <v>90</v>
      </c>
      <c r="D1161" t="s">
        <v>78</v>
      </c>
      <c r="E1161" s="1" t="s">
        <v>96</v>
      </c>
      <c r="F1161" t="s">
        <v>93</v>
      </c>
      <c r="G1161" t="s">
        <v>20</v>
      </c>
      <c r="H1161">
        <v>9</v>
      </c>
      <c r="I1161">
        <v>36</v>
      </c>
    </row>
    <row r="1162" spans="1:9" x14ac:dyDescent="0.25">
      <c r="A1162" s="5" t="str">
        <f>TrendSheetPrdData[[#This Row],[Population]]&amp;TrendSheetPrdData[[#This Row],[Cost Basis]]&amp;TrendSheetPrdData[[#This Row],[Period]]&amp;TrendSheetPrdData[[#This Row],[Trend]]</f>
        <v>CHESAPEAKE EMPLOYEEPaid2016-07-01Hospiatl Outpatient MRIs per 1k</v>
      </c>
      <c r="B1162" t="s">
        <v>90</v>
      </c>
      <c r="C1162" t="s">
        <v>90</v>
      </c>
      <c r="D1162" t="s">
        <v>78</v>
      </c>
      <c r="E1162" s="1" t="s">
        <v>97</v>
      </c>
      <c r="F1162" t="s">
        <v>93</v>
      </c>
      <c r="G1162" t="s">
        <v>20</v>
      </c>
      <c r="H1162">
        <v>9</v>
      </c>
      <c r="I1162">
        <v>44</v>
      </c>
    </row>
    <row r="1163" spans="1:9" x14ac:dyDescent="0.25">
      <c r="A1163" s="5" t="str">
        <f>TrendSheetPrdData[[#This Row],[Population]]&amp;TrendSheetPrdData[[#This Row],[Cost Basis]]&amp;TrendSheetPrdData[[#This Row],[Period]]&amp;TrendSheetPrdData[[#This Row],[Trend]]</f>
        <v>CHESAPEAKE EMPLOYEEPaid2016-08-01Hospiatl Outpatient MRIs per 1k</v>
      </c>
      <c r="B1163" t="s">
        <v>90</v>
      </c>
      <c r="C1163" t="s">
        <v>90</v>
      </c>
      <c r="D1163" t="s">
        <v>78</v>
      </c>
      <c r="E1163" s="1" t="s">
        <v>98</v>
      </c>
      <c r="F1163" t="s">
        <v>93</v>
      </c>
      <c r="G1163" t="s">
        <v>20</v>
      </c>
      <c r="H1163">
        <v>9</v>
      </c>
      <c r="I1163">
        <v>52</v>
      </c>
    </row>
    <row r="1164" spans="1:9" x14ac:dyDescent="0.25">
      <c r="A1164" s="5" t="str">
        <f>TrendSheetPrdData[[#This Row],[Population]]&amp;TrendSheetPrdData[[#This Row],[Cost Basis]]&amp;TrendSheetPrdData[[#This Row],[Period]]&amp;TrendSheetPrdData[[#This Row],[Trend]]</f>
        <v>CHESAPEAKE EMPLOYEEPaid2016-09-01Hospiatl Outpatient MRIs per 1k</v>
      </c>
      <c r="B1164" t="s">
        <v>90</v>
      </c>
      <c r="C1164" t="s">
        <v>90</v>
      </c>
      <c r="D1164" t="s">
        <v>78</v>
      </c>
      <c r="E1164" s="1" t="s">
        <v>99</v>
      </c>
      <c r="F1164" t="s">
        <v>93</v>
      </c>
      <c r="G1164" t="s">
        <v>20</v>
      </c>
      <c r="H1164">
        <v>9</v>
      </c>
      <c r="I1164">
        <v>17</v>
      </c>
    </row>
    <row r="1165" spans="1:9" x14ac:dyDescent="0.25">
      <c r="A1165" s="5" t="str">
        <f>TrendSheetPrdData[[#This Row],[Population]]&amp;TrendSheetPrdData[[#This Row],[Cost Basis]]&amp;TrendSheetPrdData[[#This Row],[Period]]&amp;TrendSheetPrdData[[#This Row],[Trend]]</f>
        <v>CHESAPEAKE EMPLOYEEPaid2016-10-01Hospiatl Outpatient MRIs per 1k</v>
      </c>
      <c r="B1165" t="s">
        <v>90</v>
      </c>
      <c r="C1165" t="s">
        <v>90</v>
      </c>
      <c r="D1165" t="s">
        <v>78</v>
      </c>
      <c r="E1165" s="1" t="s">
        <v>100</v>
      </c>
      <c r="F1165" t="s">
        <v>93</v>
      </c>
      <c r="G1165" t="s">
        <v>20</v>
      </c>
      <c r="H1165">
        <v>9</v>
      </c>
      <c r="I1165">
        <v>74</v>
      </c>
    </row>
    <row r="1166" spans="1:9" x14ac:dyDescent="0.25">
      <c r="A1166" s="5" t="str">
        <f>TrendSheetPrdData[[#This Row],[Population]]&amp;TrendSheetPrdData[[#This Row],[Cost Basis]]&amp;TrendSheetPrdData[[#This Row],[Period]]&amp;TrendSheetPrdData[[#This Row],[Trend]]</f>
        <v>CHESAPEAKE EMPLOYEEPaid2016-11-01Hospiatl Outpatient MRIs per 1k</v>
      </c>
      <c r="B1166" t="s">
        <v>90</v>
      </c>
      <c r="C1166" t="s">
        <v>90</v>
      </c>
      <c r="D1166" t="s">
        <v>78</v>
      </c>
      <c r="E1166" s="1" t="s">
        <v>101</v>
      </c>
      <c r="F1166" t="s">
        <v>93</v>
      </c>
      <c r="G1166" t="s">
        <v>20</v>
      </c>
      <c r="H1166">
        <v>9</v>
      </c>
      <c r="I1166">
        <v>65</v>
      </c>
    </row>
    <row r="1167" spans="1:9" x14ac:dyDescent="0.25">
      <c r="A1167" s="5" t="str">
        <f>TrendSheetPrdData[[#This Row],[Population]]&amp;TrendSheetPrdData[[#This Row],[Cost Basis]]&amp;TrendSheetPrdData[[#This Row],[Period]]&amp;TrendSheetPrdData[[#This Row],[Trend]]</f>
        <v>CHESAPEAKE EMPLOYEEPaid2016-12-01Hospiatl Outpatient MRIs per 1k</v>
      </c>
      <c r="B1167" t="s">
        <v>90</v>
      </c>
      <c r="C1167" t="s">
        <v>90</v>
      </c>
      <c r="D1167" t="s">
        <v>78</v>
      </c>
      <c r="E1167" s="1" t="s">
        <v>102</v>
      </c>
      <c r="F1167" t="s">
        <v>93</v>
      </c>
      <c r="G1167" t="s">
        <v>20</v>
      </c>
      <c r="H1167">
        <v>9</v>
      </c>
      <c r="I1167">
        <v>69</v>
      </c>
    </row>
    <row r="1168" spans="1:9" x14ac:dyDescent="0.25">
      <c r="A1168" s="5" t="str">
        <f>TrendSheetPrdData[[#This Row],[Population]]&amp;TrendSheetPrdData[[#This Row],[Cost Basis]]&amp;TrendSheetPrdData[[#This Row],[Period]]&amp;TrendSheetPrdData[[#This Row],[Trend]]</f>
        <v>CHESAPEAKE EMPLOYEEPaid2017-01-01Hospiatl Outpatient MRIs per 1k</v>
      </c>
      <c r="B1168" t="s">
        <v>90</v>
      </c>
      <c r="C1168" t="s">
        <v>90</v>
      </c>
      <c r="D1168" t="s">
        <v>78</v>
      </c>
      <c r="E1168" s="1" t="s">
        <v>103</v>
      </c>
      <c r="F1168" t="s">
        <v>93</v>
      </c>
      <c r="G1168" t="s">
        <v>20</v>
      </c>
      <c r="H1168">
        <v>9</v>
      </c>
      <c r="I1168">
        <v>27</v>
      </c>
    </row>
    <row r="1169" spans="1:9" x14ac:dyDescent="0.25">
      <c r="A1169" s="5" t="str">
        <f>TrendSheetPrdData[[#This Row],[Population]]&amp;TrendSheetPrdData[[#This Row],[Cost Basis]]&amp;TrendSheetPrdData[[#This Row],[Period]]&amp;TrendSheetPrdData[[#This Row],[Trend]]</f>
        <v>CHESAPEAKE EMPLOYEEPaid2017-02-01Hospiatl Outpatient MRIs per 1k</v>
      </c>
      <c r="B1169" t="s">
        <v>90</v>
      </c>
      <c r="C1169" t="s">
        <v>90</v>
      </c>
      <c r="D1169" t="s">
        <v>78</v>
      </c>
      <c r="E1169" s="1" t="s">
        <v>104</v>
      </c>
      <c r="F1169" t="s">
        <v>106</v>
      </c>
      <c r="G1169" t="s">
        <v>20</v>
      </c>
      <c r="H1169">
        <v>9</v>
      </c>
      <c r="I1169">
        <v>34</v>
      </c>
    </row>
    <row r="1170" spans="1:9" x14ac:dyDescent="0.25">
      <c r="A1170" s="5" t="str">
        <f>TrendSheetPrdData[[#This Row],[Population]]&amp;TrendSheetPrdData[[#This Row],[Cost Basis]]&amp;TrendSheetPrdData[[#This Row],[Period]]&amp;TrendSheetPrdData[[#This Row],[Trend]]</f>
        <v>CHESAPEAKE EMPLOYEEPaid2017-03-01Hospiatl Outpatient MRIs per 1k</v>
      </c>
      <c r="B1170" t="s">
        <v>90</v>
      </c>
      <c r="C1170" t="s">
        <v>90</v>
      </c>
      <c r="D1170" t="s">
        <v>78</v>
      </c>
      <c r="E1170" s="1" t="s">
        <v>105</v>
      </c>
      <c r="F1170" t="s">
        <v>106</v>
      </c>
      <c r="G1170" t="s">
        <v>20</v>
      </c>
      <c r="H1170">
        <v>9</v>
      </c>
      <c r="I1170">
        <v>26</v>
      </c>
    </row>
    <row r="1171" spans="1:9" x14ac:dyDescent="0.25">
      <c r="A1171" s="5" t="str">
        <f>TrendSheetPrdData[[#This Row],[Population]]&amp;TrendSheetPrdData[[#This Row],[Cost Basis]]&amp;TrendSheetPrdData[[#This Row],[Period]]&amp;TrendSheetPrdData[[#This Row],[Trend]]</f>
        <v>CHESAPEAKE EMPLOYEEPaid2017-04-01Hospiatl Outpatient MRIs per 1k</v>
      </c>
      <c r="B1171" t="s">
        <v>90</v>
      </c>
      <c r="C1171" t="s">
        <v>90</v>
      </c>
      <c r="D1171" t="s">
        <v>78</v>
      </c>
      <c r="E1171" s="1" t="s">
        <v>107</v>
      </c>
      <c r="F1171" t="s">
        <v>106</v>
      </c>
      <c r="G1171" t="s">
        <v>20</v>
      </c>
      <c r="H1171">
        <v>9</v>
      </c>
      <c r="I1171">
        <v>19</v>
      </c>
    </row>
    <row r="1172" spans="1:9" x14ac:dyDescent="0.25">
      <c r="A1172" s="5" t="str">
        <f>TrendSheetPrdData[[#This Row],[Population]]&amp;TrendSheetPrdData[[#This Row],[Cost Basis]]&amp;TrendSheetPrdData[[#This Row],[Period]]&amp;TrendSheetPrdData[[#This Row],[Trend]]</f>
        <v>CHESAPEAKE EMPLOYEEPaid2016-02-01Hospiatl Outpatient CTs per 1k</v>
      </c>
      <c r="B1172" t="s">
        <v>90</v>
      </c>
      <c r="C1172" t="s">
        <v>90</v>
      </c>
      <c r="D1172" t="s">
        <v>78</v>
      </c>
      <c r="E1172" s="1" t="s">
        <v>133</v>
      </c>
      <c r="F1172" t="s">
        <v>93</v>
      </c>
      <c r="G1172" t="s">
        <v>21</v>
      </c>
      <c r="H1172">
        <v>10</v>
      </c>
      <c r="I1172">
        <v>41</v>
      </c>
    </row>
    <row r="1173" spans="1:9" x14ac:dyDescent="0.25">
      <c r="A1173" s="5" t="str">
        <f>TrendSheetPrdData[[#This Row],[Population]]&amp;TrendSheetPrdData[[#This Row],[Cost Basis]]&amp;TrendSheetPrdData[[#This Row],[Period]]&amp;TrendSheetPrdData[[#This Row],[Trend]]</f>
        <v>CHESAPEAKE EMPLOYEEPaid2016-03-01Hospiatl Outpatient CTs per 1k</v>
      </c>
      <c r="B1173" t="s">
        <v>90</v>
      </c>
      <c r="C1173" t="s">
        <v>90</v>
      </c>
      <c r="D1173" t="s">
        <v>78</v>
      </c>
      <c r="E1173" s="1" t="s">
        <v>92</v>
      </c>
      <c r="F1173" t="s">
        <v>93</v>
      </c>
      <c r="G1173" t="s">
        <v>21</v>
      </c>
      <c r="H1173">
        <v>10</v>
      </c>
      <c r="I1173">
        <v>41</v>
      </c>
    </row>
    <row r="1174" spans="1:9" x14ac:dyDescent="0.25">
      <c r="A1174" s="5" t="str">
        <f>TrendSheetPrdData[[#This Row],[Population]]&amp;TrendSheetPrdData[[#This Row],[Cost Basis]]&amp;TrendSheetPrdData[[#This Row],[Period]]&amp;TrendSheetPrdData[[#This Row],[Trend]]</f>
        <v>CHESAPEAKE EMPLOYEEPaid2016-04-01Hospiatl Outpatient CTs per 1k</v>
      </c>
      <c r="B1174" t="s">
        <v>90</v>
      </c>
      <c r="C1174" t="s">
        <v>90</v>
      </c>
      <c r="D1174" t="s">
        <v>78</v>
      </c>
      <c r="E1174" s="1" t="s">
        <v>94</v>
      </c>
      <c r="F1174" t="s">
        <v>93</v>
      </c>
      <c r="G1174" t="s">
        <v>21</v>
      </c>
      <c r="H1174">
        <v>10</v>
      </c>
      <c r="I1174">
        <v>50</v>
      </c>
    </row>
    <row r="1175" spans="1:9" x14ac:dyDescent="0.25">
      <c r="A1175" s="5" t="str">
        <f>TrendSheetPrdData[[#This Row],[Population]]&amp;TrendSheetPrdData[[#This Row],[Cost Basis]]&amp;TrendSheetPrdData[[#This Row],[Period]]&amp;TrendSheetPrdData[[#This Row],[Trend]]</f>
        <v>CHESAPEAKE EMPLOYEEPaid2016-05-01Hospiatl Outpatient CTs per 1k</v>
      </c>
      <c r="B1175" t="s">
        <v>90</v>
      </c>
      <c r="C1175" t="s">
        <v>90</v>
      </c>
      <c r="D1175" t="s">
        <v>78</v>
      </c>
      <c r="E1175" s="1" t="s">
        <v>95</v>
      </c>
      <c r="F1175" t="s">
        <v>93</v>
      </c>
      <c r="G1175" t="s">
        <v>21</v>
      </c>
      <c r="H1175">
        <v>10</v>
      </c>
      <c r="I1175">
        <v>27</v>
      </c>
    </row>
    <row r="1176" spans="1:9" x14ac:dyDescent="0.25">
      <c r="A1176" s="5" t="str">
        <f>TrendSheetPrdData[[#This Row],[Population]]&amp;TrendSheetPrdData[[#This Row],[Cost Basis]]&amp;TrendSheetPrdData[[#This Row],[Period]]&amp;TrendSheetPrdData[[#This Row],[Trend]]</f>
        <v>CHESAPEAKE EMPLOYEEPaid2016-06-01Hospiatl Outpatient CTs per 1k</v>
      </c>
      <c r="B1176" t="s">
        <v>90</v>
      </c>
      <c r="C1176" t="s">
        <v>90</v>
      </c>
      <c r="D1176" t="s">
        <v>78</v>
      </c>
      <c r="E1176" s="1" t="s">
        <v>96</v>
      </c>
      <c r="F1176" t="s">
        <v>93</v>
      </c>
      <c r="G1176" t="s">
        <v>21</v>
      </c>
      <c r="H1176">
        <v>10</v>
      </c>
      <c r="I1176">
        <v>58</v>
      </c>
    </row>
    <row r="1177" spans="1:9" x14ac:dyDescent="0.25">
      <c r="A1177" s="5" t="str">
        <f>TrendSheetPrdData[[#This Row],[Population]]&amp;TrendSheetPrdData[[#This Row],[Cost Basis]]&amp;TrendSheetPrdData[[#This Row],[Period]]&amp;TrendSheetPrdData[[#This Row],[Trend]]</f>
        <v>CHESAPEAKE EMPLOYEEPaid2016-07-01Hospiatl Outpatient CTs per 1k</v>
      </c>
      <c r="B1177" t="s">
        <v>90</v>
      </c>
      <c r="C1177" t="s">
        <v>90</v>
      </c>
      <c r="D1177" t="s">
        <v>78</v>
      </c>
      <c r="E1177" s="1" t="s">
        <v>97</v>
      </c>
      <c r="F1177" t="s">
        <v>93</v>
      </c>
      <c r="G1177" t="s">
        <v>21</v>
      </c>
      <c r="H1177">
        <v>10</v>
      </c>
      <c r="I1177">
        <v>39</v>
      </c>
    </row>
    <row r="1178" spans="1:9" x14ac:dyDescent="0.25">
      <c r="A1178" s="5" t="str">
        <f>TrendSheetPrdData[[#This Row],[Population]]&amp;TrendSheetPrdData[[#This Row],[Cost Basis]]&amp;TrendSheetPrdData[[#This Row],[Period]]&amp;TrendSheetPrdData[[#This Row],[Trend]]</f>
        <v>CHESAPEAKE EMPLOYEEPaid2016-08-01Hospiatl Outpatient CTs per 1k</v>
      </c>
      <c r="B1178" t="s">
        <v>90</v>
      </c>
      <c r="C1178" t="s">
        <v>90</v>
      </c>
      <c r="D1178" t="s">
        <v>78</v>
      </c>
      <c r="E1178" s="1" t="s">
        <v>98</v>
      </c>
      <c r="F1178" t="s">
        <v>93</v>
      </c>
      <c r="G1178" t="s">
        <v>21</v>
      </c>
      <c r="H1178">
        <v>10</v>
      </c>
      <c r="I1178">
        <v>56</v>
      </c>
    </row>
    <row r="1179" spans="1:9" x14ac:dyDescent="0.25">
      <c r="A1179" s="5" t="str">
        <f>TrendSheetPrdData[[#This Row],[Population]]&amp;TrendSheetPrdData[[#This Row],[Cost Basis]]&amp;TrendSheetPrdData[[#This Row],[Period]]&amp;TrendSheetPrdData[[#This Row],[Trend]]</f>
        <v>CHESAPEAKE EMPLOYEEPaid2016-09-01Hospiatl Outpatient CTs per 1k</v>
      </c>
      <c r="B1179" t="s">
        <v>90</v>
      </c>
      <c r="C1179" t="s">
        <v>90</v>
      </c>
      <c r="D1179" t="s">
        <v>78</v>
      </c>
      <c r="E1179" s="1" t="s">
        <v>99</v>
      </c>
      <c r="F1179" t="s">
        <v>93</v>
      </c>
      <c r="G1179" t="s">
        <v>21</v>
      </c>
      <c r="H1179">
        <v>10</v>
      </c>
      <c r="I1179">
        <v>29</v>
      </c>
    </row>
    <row r="1180" spans="1:9" x14ac:dyDescent="0.25">
      <c r="A1180" s="5" t="str">
        <f>TrendSheetPrdData[[#This Row],[Population]]&amp;TrendSheetPrdData[[#This Row],[Cost Basis]]&amp;TrendSheetPrdData[[#This Row],[Period]]&amp;TrendSheetPrdData[[#This Row],[Trend]]</f>
        <v>CHESAPEAKE EMPLOYEEPaid2016-10-01Hospiatl Outpatient CTs per 1k</v>
      </c>
      <c r="B1180" t="s">
        <v>90</v>
      </c>
      <c r="C1180" t="s">
        <v>90</v>
      </c>
      <c r="D1180" t="s">
        <v>78</v>
      </c>
      <c r="E1180" s="1" t="s">
        <v>100</v>
      </c>
      <c r="F1180" t="s">
        <v>93</v>
      </c>
      <c r="G1180" t="s">
        <v>21</v>
      </c>
      <c r="H1180">
        <v>10</v>
      </c>
      <c r="I1180">
        <v>21</v>
      </c>
    </row>
    <row r="1181" spans="1:9" x14ac:dyDescent="0.25">
      <c r="A1181" s="5" t="str">
        <f>TrendSheetPrdData[[#This Row],[Population]]&amp;TrendSheetPrdData[[#This Row],[Cost Basis]]&amp;TrendSheetPrdData[[#This Row],[Period]]&amp;TrendSheetPrdData[[#This Row],[Trend]]</f>
        <v>CHESAPEAKE EMPLOYEEPaid2016-11-01Hospiatl Outpatient CTs per 1k</v>
      </c>
      <c r="B1181" t="s">
        <v>90</v>
      </c>
      <c r="C1181" t="s">
        <v>90</v>
      </c>
      <c r="D1181" t="s">
        <v>78</v>
      </c>
      <c r="E1181" s="1" t="s">
        <v>101</v>
      </c>
      <c r="F1181" t="s">
        <v>93</v>
      </c>
      <c r="G1181" t="s">
        <v>21</v>
      </c>
      <c r="H1181">
        <v>10</v>
      </c>
      <c r="I1181">
        <v>45</v>
      </c>
    </row>
    <row r="1182" spans="1:9" x14ac:dyDescent="0.25">
      <c r="A1182" s="5" t="str">
        <f>TrendSheetPrdData[[#This Row],[Population]]&amp;TrendSheetPrdData[[#This Row],[Cost Basis]]&amp;TrendSheetPrdData[[#This Row],[Period]]&amp;TrendSheetPrdData[[#This Row],[Trend]]</f>
        <v>CHESAPEAKE EMPLOYEEPaid2016-12-01Hospiatl Outpatient CTs per 1k</v>
      </c>
      <c r="B1182" t="s">
        <v>90</v>
      </c>
      <c r="C1182" t="s">
        <v>90</v>
      </c>
      <c r="D1182" t="s">
        <v>78</v>
      </c>
      <c r="E1182" s="1" t="s">
        <v>102</v>
      </c>
      <c r="F1182" t="s">
        <v>93</v>
      </c>
      <c r="G1182" t="s">
        <v>21</v>
      </c>
      <c r="H1182">
        <v>10</v>
      </c>
      <c r="I1182">
        <v>24</v>
      </c>
    </row>
    <row r="1183" spans="1:9" x14ac:dyDescent="0.25">
      <c r="A1183" s="5" t="str">
        <f>TrendSheetPrdData[[#This Row],[Population]]&amp;TrendSheetPrdData[[#This Row],[Cost Basis]]&amp;TrendSheetPrdData[[#This Row],[Period]]&amp;TrendSheetPrdData[[#This Row],[Trend]]</f>
        <v>CHESAPEAKE EMPLOYEEPaid2017-01-01Hospiatl Outpatient CTs per 1k</v>
      </c>
      <c r="B1183" t="s">
        <v>90</v>
      </c>
      <c r="C1183" t="s">
        <v>90</v>
      </c>
      <c r="D1183" t="s">
        <v>78</v>
      </c>
      <c r="E1183" s="1" t="s">
        <v>103</v>
      </c>
      <c r="F1183" t="s">
        <v>93</v>
      </c>
      <c r="G1183" t="s">
        <v>21</v>
      </c>
      <c r="H1183">
        <v>10</v>
      </c>
      <c r="I1183">
        <v>27</v>
      </c>
    </row>
    <row r="1184" spans="1:9" x14ac:dyDescent="0.25">
      <c r="A1184" s="5" t="str">
        <f>TrendSheetPrdData[[#This Row],[Population]]&amp;TrendSheetPrdData[[#This Row],[Cost Basis]]&amp;TrendSheetPrdData[[#This Row],[Period]]&amp;TrendSheetPrdData[[#This Row],[Trend]]</f>
        <v>CHESAPEAKE EMPLOYEEPaid2017-02-01Hospiatl Outpatient CTs per 1k</v>
      </c>
      <c r="B1184" t="s">
        <v>90</v>
      </c>
      <c r="C1184" t="s">
        <v>90</v>
      </c>
      <c r="D1184" t="s">
        <v>78</v>
      </c>
      <c r="E1184" s="1" t="s">
        <v>104</v>
      </c>
      <c r="F1184" t="s">
        <v>106</v>
      </c>
      <c r="G1184" t="s">
        <v>21</v>
      </c>
      <c r="H1184">
        <v>10</v>
      </c>
      <c r="I1184">
        <v>23</v>
      </c>
    </row>
    <row r="1185" spans="1:9" x14ac:dyDescent="0.25">
      <c r="A1185" s="5" t="str">
        <f>TrendSheetPrdData[[#This Row],[Population]]&amp;TrendSheetPrdData[[#This Row],[Cost Basis]]&amp;TrendSheetPrdData[[#This Row],[Period]]&amp;TrendSheetPrdData[[#This Row],[Trend]]</f>
        <v>CHESAPEAKE EMPLOYEEPaid2017-03-01Hospiatl Outpatient CTs per 1k</v>
      </c>
      <c r="B1185" t="s">
        <v>90</v>
      </c>
      <c r="C1185" t="s">
        <v>90</v>
      </c>
      <c r="D1185" t="s">
        <v>78</v>
      </c>
      <c r="E1185" s="1" t="s">
        <v>105</v>
      </c>
      <c r="F1185" t="s">
        <v>106</v>
      </c>
      <c r="G1185" t="s">
        <v>21</v>
      </c>
      <c r="H1185">
        <v>10</v>
      </c>
      <c r="I1185">
        <v>38</v>
      </c>
    </row>
    <row r="1186" spans="1:9" x14ac:dyDescent="0.25">
      <c r="A1186" s="5" t="str">
        <f>TrendSheetPrdData[[#This Row],[Population]]&amp;TrendSheetPrdData[[#This Row],[Cost Basis]]&amp;TrendSheetPrdData[[#This Row],[Period]]&amp;TrendSheetPrdData[[#This Row],[Trend]]</f>
        <v>CHESAPEAKE EMPLOYEEPaid2017-04-01Hospiatl Outpatient CTs per 1k</v>
      </c>
      <c r="B1186" t="s">
        <v>90</v>
      </c>
      <c r="C1186" t="s">
        <v>90</v>
      </c>
      <c r="D1186" t="s">
        <v>78</v>
      </c>
      <c r="E1186" s="1" t="s">
        <v>107</v>
      </c>
      <c r="F1186" t="s">
        <v>106</v>
      </c>
      <c r="G1186" t="s">
        <v>21</v>
      </c>
      <c r="H1186">
        <v>10</v>
      </c>
      <c r="I1186">
        <v>19</v>
      </c>
    </row>
    <row r="1187" spans="1:9" x14ac:dyDescent="0.25">
      <c r="A1187" s="5" t="str">
        <f>TrendSheetPrdData[[#This Row],[Population]]&amp;TrendSheetPrdData[[#This Row],[Cost Basis]]&amp;TrendSheetPrdData[[#This Row],[Period]]&amp;TrendSheetPrdData[[#This Row],[Trend]]</f>
        <v>CHESAPEAKE EMPLOYEEPaid2016-02-01Office Based MRIs per 1k</v>
      </c>
      <c r="B1187" t="s">
        <v>90</v>
      </c>
      <c r="C1187" t="s">
        <v>90</v>
      </c>
      <c r="D1187" t="s">
        <v>78</v>
      </c>
      <c r="E1187" s="1" t="s">
        <v>133</v>
      </c>
      <c r="F1187" t="s">
        <v>93</v>
      </c>
      <c r="G1187" t="s">
        <v>22</v>
      </c>
      <c r="H1187">
        <v>11</v>
      </c>
      <c r="I1187">
        <v>5</v>
      </c>
    </row>
    <row r="1188" spans="1:9" x14ac:dyDescent="0.25">
      <c r="A1188" s="5" t="str">
        <f>TrendSheetPrdData[[#This Row],[Population]]&amp;TrendSheetPrdData[[#This Row],[Cost Basis]]&amp;TrendSheetPrdData[[#This Row],[Period]]&amp;TrendSheetPrdData[[#This Row],[Trend]]</f>
        <v>CHESAPEAKE EMPLOYEEPaid2016-03-01Office Based MRIs per 1k</v>
      </c>
      <c r="B1188" t="s">
        <v>90</v>
      </c>
      <c r="C1188" t="s">
        <v>90</v>
      </c>
      <c r="D1188" t="s">
        <v>78</v>
      </c>
      <c r="E1188" s="1" t="s">
        <v>92</v>
      </c>
      <c r="F1188" t="s">
        <v>93</v>
      </c>
      <c r="G1188" t="s">
        <v>22</v>
      </c>
      <c r="H1188">
        <v>11</v>
      </c>
      <c r="I1188">
        <v>5</v>
      </c>
    </row>
    <row r="1189" spans="1:9" x14ac:dyDescent="0.25">
      <c r="A1189" s="5" t="str">
        <f>TrendSheetPrdData[[#This Row],[Population]]&amp;TrendSheetPrdData[[#This Row],[Cost Basis]]&amp;TrendSheetPrdData[[#This Row],[Period]]&amp;TrendSheetPrdData[[#This Row],[Trend]]</f>
        <v>CHESAPEAKE EMPLOYEEPaid2016-04-01Office Based MRIs per 1k</v>
      </c>
      <c r="B1189" t="s">
        <v>90</v>
      </c>
      <c r="C1189" t="s">
        <v>90</v>
      </c>
      <c r="D1189" t="s">
        <v>78</v>
      </c>
      <c r="E1189" s="1" t="s">
        <v>94</v>
      </c>
      <c r="F1189" t="s">
        <v>93</v>
      </c>
      <c r="G1189" t="s">
        <v>22</v>
      </c>
      <c r="H1189">
        <v>11</v>
      </c>
      <c r="I1189">
        <v>9</v>
      </c>
    </row>
    <row r="1190" spans="1:9" x14ac:dyDescent="0.25">
      <c r="A1190" s="5" t="str">
        <f>TrendSheetPrdData[[#This Row],[Population]]&amp;TrendSheetPrdData[[#This Row],[Cost Basis]]&amp;TrendSheetPrdData[[#This Row],[Period]]&amp;TrendSheetPrdData[[#This Row],[Trend]]</f>
        <v>CHESAPEAKE EMPLOYEEPaid2016-05-01Office Based MRIs per 1k</v>
      </c>
      <c r="B1190" t="s">
        <v>90</v>
      </c>
      <c r="C1190" t="s">
        <v>90</v>
      </c>
      <c r="D1190" t="s">
        <v>78</v>
      </c>
      <c r="E1190" s="1" t="s">
        <v>95</v>
      </c>
      <c r="F1190" t="s">
        <v>93</v>
      </c>
      <c r="G1190" t="s">
        <v>22</v>
      </c>
      <c r="H1190">
        <v>11</v>
      </c>
      <c r="I1190">
        <v>0</v>
      </c>
    </row>
    <row r="1191" spans="1:9" x14ac:dyDescent="0.25">
      <c r="A1191" s="5" t="str">
        <f>TrendSheetPrdData[[#This Row],[Population]]&amp;TrendSheetPrdData[[#This Row],[Cost Basis]]&amp;TrendSheetPrdData[[#This Row],[Period]]&amp;TrendSheetPrdData[[#This Row],[Trend]]</f>
        <v>CHESAPEAKE EMPLOYEEPaid2016-06-01Office Based MRIs per 1k</v>
      </c>
      <c r="B1191" t="s">
        <v>90</v>
      </c>
      <c r="C1191" t="s">
        <v>90</v>
      </c>
      <c r="D1191" t="s">
        <v>78</v>
      </c>
      <c r="E1191" s="1" t="s">
        <v>96</v>
      </c>
      <c r="F1191" t="s">
        <v>93</v>
      </c>
      <c r="G1191" t="s">
        <v>22</v>
      </c>
      <c r="H1191">
        <v>11</v>
      </c>
      <c r="I1191">
        <v>0</v>
      </c>
    </row>
    <row r="1192" spans="1:9" x14ac:dyDescent="0.25">
      <c r="A1192" s="5" t="str">
        <f>TrendSheetPrdData[[#This Row],[Population]]&amp;TrendSheetPrdData[[#This Row],[Cost Basis]]&amp;TrendSheetPrdData[[#This Row],[Period]]&amp;TrendSheetPrdData[[#This Row],[Trend]]</f>
        <v>CHESAPEAKE EMPLOYEEPaid2016-07-01Office Based MRIs per 1k</v>
      </c>
      <c r="B1192" t="s">
        <v>90</v>
      </c>
      <c r="C1192" t="s">
        <v>90</v>
      </c>
      <c r="D1192" t="s">
        <v>78</v>
      </c>
      <c r="E1192" s="1" t="s">
        <v>97</v>
      </c>
      <c r="F1192" t="s">
        <v>93</v>
      </c>
      <c r="G1192" t="s">
        <v>22</v>
      </c>
      <c r="H1192">
        <v>11</v>
      </c>
      <c r="I1192">
        <v>9</v>
      </c>
    </row>
    <row r="1193" spans="1:9" x14ac:dyDescent="0.25">
      <c r="A1193" s="5" t="str">
        <f>TrendSheetPrdData[[#This Row],[Population]]&amp;TrendSheetPrdData[[#This Row],[Cost Basis]]&amp;TrendSheetPrdData[[#This Row],[Period]]&amp;TrendSheetPrdData[[#This Row],[Trend]]</f>
        <v>CHESAPEAKE EMPLOYEEPaid2016-08-01Office Based MRIs per 1k</v>
      </c>
      <c r="B1193" t="s">
        <v>90</v>
      </c>
      <c r="C1193" t="s">
        <v>90</v>
      </c>
      <c r="D1193" t="s">
        <v>78</v>
      </c>
      <c r="E1193" s="1" t="s">
        <v>98</v>
      </c>
      <c r="F1193" t="s">
        <v>93</v>
      </c>
      <c r="G1193" t="s">
        <v>22</v>
      </c>
      <c r="H1193">
        <v>11</v>
      </c>
      <c r="I1193">
        <v>0</v>
      </c>
    </row>
    <row r="1194" spans="1:9" x14ac:dyDescent="0.25">
      <c r="A1194" s="5" t="str">
        <f>TrendSheetPrdData[[#This Row],[Population]]&amp;TrendSheetPrdData[[#This Row],[Cost Basis]]&amp;TrendSheetPrdData[[#This Row],[Period]]&amp;TrendSheetPrdData[[#This Row],[Trend]]</f>
        <v>CHESAPEAKE EMPLOYEEPaid2016-09-01Office Based MRIs per 1k</v>
      </c>
      <c r="B1194" t="s">
        <v>90</v>
      </c>
      <c r="C1194" t="s">
        <v>90</v>
      </c>
      <c r="D1194" t="s">
        <v>78</v>
      </c>
      <c r="E1194" s="1" t="s">
        <v>99</v>
      </c>
      <c r="F1194" t="s">
        <v>93</v>
      </c>
      <c r="G1194" t="s">
        <v>22</v>
      </c>
      <c r="H1194">
        <v>11</v>
      </c>
      <c r="I1194">
        <v>0</v>
      </c>
    </row>
    <row r="1195" spans="1:9" x14ac:dyDescent="0.25">
      <c r="A1195" s="5" t="str">
        <f>TrendSheetPrdData[[#This Row],[Population]]&amp;TrendSheetPrdData[[#This Row],[Cost Basis]]&amp;TrendSheetPrdData[[#This Row],[Period]]&amp;TrendSheetPrdData[[#This Row],[Trend]]</f>
        <v>CHESAPEAKE EMPLOYEEPaid2016-10-01Office Based MRIs per 1k</v>
      </c>
      <c r="B1195" t="s">
        <v>90</v>
      </c>
      <c r="C1195" t="s">
        <v>90</v>
      </c>
      <c r="D1195" t="s">
        <v>78</v>
      </c>
      <c r="E1195" s="1" t="s">
        <v>100</v>
      </c>
      <c r="F1195" t="s">
        <v>93</v>
      </c>
      <c r="G1195" t="s">
        <v>22</v>
      </c>
      <c r="H1195">
        <v>11</v>
      </c>
      <c r="I1195">
        <v>4</v>
      </c>
    </row>
    <row r="1196" spans="1:9" x14ac:dyDescent="0.25">
      <c r="A1196" s="5" t="str">
        <f>TrendSheetPrdData[[#This Row],[Population]]&amp;TrendSheetPrdData[[#This Row],[Cost Basis]]&amp;TrendSheetPrdData[[#This Row],[Period]]&amp;TrendSheetPrdData[[#This Row],[Trend]]</f>
        <v>CHESAPEAKE EMPLOYEEPaid2016-11-01Office Based MRIs per 1k</v>
      </c>
      <c r="B1196" t="s">
        <v>90</v>
      </c>
      <c r="C1196" t="s">
        <v>90</v>
      </c>
      <c r="D1196" t="s">
        <v>78</v>
      </c>
      <c r="E1196" s="1" t="s">
        <v>101</v>
      </c>
      <c r="F1196" t="s">
        <v>93</v>
      </c>
      <c r="G1196" t="s">
        <v>22</v>
      </c>
      <c r="H1196">
        <v>11</v>
      </c>
      <c r="I1196">
        <v>4</v>
      </c>
    </row>
    <row r="1197" spans="1:9" x14ac:dyDescent="0.25">
      <c r="A1197" s="5" t="str">
        <f>TrendSheetPrdData[[#This Row],[Population]]&amp;TrendSheetPrdData[[#This Row],[Cost Basis]]&amp;TrendSheetPrdData[[#This Row],[Period]]&amp;TrendSheetPrdData[[#This Row],[Trend]]</f>
        <v>CHESAPEAKE EMPLOYEEPaid2016-12-01Office Based MRIs per 1k</v>
      </c>
      <c r="B1197" t="s">
        <v>90</v>
      </c>
      <c r="C1197" t="s">
        <v>90</v>
      </c>
      <c r="D1197" t="s">
        <v>78</v>
      </c>
      <c r="E1197" s="1" t="s">
        <v>102</v>
      </c>
      <c r="F1197" t="s">
        <v>93</v>
      </c>
      <c r="G1197" t="s">
        <v>22</v>
      </c>
      <c r="H1197">
        <v>11</v>
      </c>
      <c r="I1197">
        <v>0</v>
      </c>
    </row>
    <row r="1198" spans="1:9" x14ac:dyDescent="0.25">
      <c r="A1198" s="5" t="str">
        <f>TrendSheetPrdData[[#This Row],[Population]]&amp;TrendSheetPrdData[[#This Row],[Cost Basis]]&amp;TrendSheetPrdData[[#This Row],[Period]]&amp;TrendSheetPrdData[[#This Row],[Trend]]</f>
        <v>CHESAPEAKE EMPLOYEEPaid2017-01-01Office Based MRIs per 1k</v>
      </c>
      <c r="B1198" t="s">
        <v>90</v>
      </c>
      <c r="C1198" t="s">
        <v>90</v>
      </c>
      <c r="D1198" t="s">
        <v>78</v>
      </c>
      <c r="E1198" s="1" t="s">
        <v>103</v>
      </c>
      <c r="F1198" t="s">
        <v>93</v>
      </c>
      <c r="G1198" t="s">
        <v>22</v>
      </c>
      <c r="H1198">
        <v>11</v>
      </c>
      <c r="I1198">
        <v>0</v>
      </c>
    </row>
    <row r="1199" spans="1:9" x14ac:dyDescent="0.25">
      <c r="A1199" s="5" t="str">
        <f>TrendSheetPrdData[[#This Row],[Population]]&amp;TrendSheetPrdData[[#This Row],[Cost Basis]]&amp;TrendSheetPrdData[[#This Row],[Period]]&amp;TrendSheetPrdData[[#This Row],[Trend]]</f>
        <v>CHESAPEAKE EMPLOYEEPaid2017-02-01Office Based MRIs per 1k</v>
      </c>
      <c r="B1199" t="s">
        <v>90</v>
      </c>
      <c r="C1199" t="s">
        <v>90</v>
      </c>
      <c r="D1199" t="s">
        <v>78</v>
      </c>
      <c r="E1199" s="1" t="s">
        <v>104</v>
      </c>
      <c r="F1199" t="s">
        <v>106</v>
      </c>
      <c r="G1199" t="s">
        <v>22</v>
      </c>
      <c r="H1199">
        <v>11</v>
      </c>
      <c r="I1199">
        <v>4</v>
      </c>
    </row>
    <row r="1200" spans="1:9" x14ac:dyDescent="0.25">
      <c r="A1200" s="5" t="str">
        <f>TrendSheetPrdData[[#This Row],[Population]]&amp;TrendSheetPrdData[[#This Row],[Cost Basis]]&amp;TrendSheetPrdData[[#This Row],[Period]]&amp;TrendSheetPrdData[[#This Row],[Trend]]</f>
        <v>CHESAPEAKE EMPLOYEEPaid2017-03-01Office Based MRIs per 1k</v>
      </c>
      <c r="B1200" t="s">
        <v>90</v>
      </c>
      <c r="C1200" t="s">
        <v>90</v>
      </c>
      <c r="D1200" t="s">
        <v>78</v>
      </c>
      <c r="E1200" s="1" t="s">
        <v>105</v>
      </c>
      <c r="F1200" t="s">
        <v>106</v>
      </c>
      <c r="G1200" t="s">
        <v>22</v>
      </c>
      <c r="H1200">
        <v>11</v>
      </c>
      <c r="I1200">
        <v>0</v>
      </c>
    </row>
    <row r="1201" spans="1:9" x14ac:dyDescent="0.25">
      <c r="A1201" s="5" t="str">
        <f>TrendSheetPrdData[[#This Row],[Population]]&amp;TrendSheetPrdData[[#This Row],[Cost Basis]]&amp;TrendSheetPrdData[[#This Row],[Period]]&amp;TrendSheetPrdData[[#This Row],[Trend]]</f>
        <v>CHESAPEAKE EMPLOYEEPaid2017-04-01Office Based MRIs per 1k</v>
      </c>
      <c r="B1201" t="s">
        <v>90</v>
      </c>
      <c r="C1201" t="s">
        <v>90</v>
      </c>
      <c r="D1201" t="s">
        <v>78</v>
      </c>
      <c r="E1201" s="1" t="s">
        <v>107</v>
      </c>
      <c r="F1201" t="s">
        <v>106</v>
      </c>
      <c r="G1201" t="s">
        <v>22</v>
      </c>
      <c r="H1201">
        <v>11</v>
      </c>
      <c r="I1201">
        <v>7</v>
      </c>
    </row>
    <row r="1202" spans="1:9" x14ac:dyDescent="0.25">
      <c r="A1202" s="5" t="str">
        <f>TrendSheetPrdData[[#This Row],[Population]]&amp;TrendSheetPrdData[[#This Row],[Cost Basis]]&amp;TrendSheetPrdData[[#This Row],[Period]]&amp;TrendSheetPrdData[[#This Row],[Trend]]</f>
        <v>CHESAPEAKE EMPLOYEEPaid2016-02-01Office Based CTs per 1k</v>
      </c>
      <c r="B1202" t="s">
        <v>90</v>
      </c>
      <c r="C1202" t="s">
        <v>90</v>
      </c>
      <c r="D1202" t="s">
        <v>78</v>
      </c>
      <c r="E1202" s="1" t="s">
        <v>133</v>
      </c>
      <c r="F1202" t="s">
        <v>93</v>
      </c>
      <c r="G1202" t="s">
        <v>23</v>
      </c>
      <c r="H1202">
        <v>12</v>
      </c>
      <c r="I1202">
        <v>5</v>
      </c>
    </row>
    <row r="1203" spans="1:9" x14ac:dyDescent="0.25">
      <c r="A1203" s="5" t="str">
        <f>TrendSheetPrdData[[#This Row],[Population]]&amp;TrendSheetPrdData[[#This Row],[Cost Basis]]&amp;TrendSheetPrdData[[#This Row],[Period]]&amp;TrendSheetPrdData[[#This Row],[Trend]]</f>
        <v>CHESAPEAKE EMPLOYEEPaid2016-03-01Office Based CTs per 1k</v>
      </c>
      <c r="B1203" t="s">
        <v>90</v>
      </c>
      <c r="C1203" t="s">
        <v>90</v>
      </c>
      <c r="D1203" t="s">
        <v>78</v>
      </c>
      <c r="E1203" s="1" t="s">
        <v>92</v>
      </c>
      <c r="F1203" t="s">
        <v>93</v>
      </c>
      <c r="G1203" t="s">
        <v>23</v>
      </c>
      <c r="H1203">
        <v>12</v>
      </c>
      <c r="I1203">
        <v>0</v>
      </c>
    </row>
    <row r="1204" spans="1:9" x14ac:dyDescent="0.25">
      <c r="A1204" s="5" t="str">
        <f>TrendSheetPrdData[[#This Row],[Population]]&amp;TrendSheetPrdData[[#This Row],[Cost Basis]]&amp;TrendSheetPrdData[[#This Row],[Period]]&amp;TrendSheetPrdData[[#This Row],[Trend]]</f>
        <v>CHESAPEAKE EMPLOYEEPaid2016-04-01Office Based CTs per 1k</v>
      </c>
      <c r="B1204" t="s">
        <v>90</v>
      </c>
      <c r="C1204" t="s">
        <v>90</v>
      </c>
      <c r="D1204" t="s">
        <v>78</v>
      </c>
      <c r="E1204" s="1" t="s">
        <v>94</v>
      </c>
      <c r="F1204" t="s">
        <v>93</v>
      </c>
      <c r="G1204" t="s">
        <v>23</v>
      </c>
      <c r="H1204">
        <v>12</v>
      </c>
      <c r="I1204">
        <v>0</v>
      </c>
    </row>
    <row r="1205" spans="1:9" x14ac:dyDescent="0.25">
      <c r="A1205" s="5" t="str">
        <f>TrendSheetPrdData[[#This Row],[Population]]&amp;TrendSheetPrdData[[#This Row],[Cost Basis]]&amp;TrendSheetPrdData[[#This Row],[Period]]&amp;TrendSheetPrdData[[#This Row],[Trend]]</f>
        <v>CHESAPEAKE EMPLOYEEPaid2016-05-01Office Based CTs per 1k</v>
      </c>
      <c r="B1205" t="s">
        <v>90</v>
      </c>
      <c r="C1205" t="s">
        <v>90</v>
      </c>
      <c r="D1205" t="s">
        <v>78</v>
      </c>
      <c r="E1205" s="1" t="s">
        <v>95</v>
      </c>
      <c r="F1205" t="s">
        <v>93</v>
      </c>
      <c r="G1205" t="s">
        <v>23</v>
      </c>
      <c r="H1205">
        <v>12</v>
      </c>
      <c r="I1205">
        <v>0</v>
      </c>
    </row>
    <row r="1206" spans="1:9" x14ac:dyDescent="0.25">
      <c r="A1206" s="5" t="str">
        <f>TrendSheetPrdData[[#This Row],[Population]]&amp;TrendSheetPrdData[[#This Row],[Cost Basis]]&amp;TrendSheetPrdData[[#This Row],[Period]]&amp;TrendSheetPrdData[[#This Row],[Trend]]</f>
        <v>CHESAPEAKE EMPLOYEEPaid2016-06-01Office Based CTs per 1k</v>
      </c>
      <c r="B1206" t="s">
        <v>90</v>
      </c>
      <c r="C1206" t="s">
        <v>90</v>
      </c>
      <c r="D1206" t="s">
        <v>78</v>
      </c>
      <c r="E1206" s="1" t="s">
        <v>96</v>
      </c>
      <c r="F1206" t="s">
        <v>93</v>
      </c>
      <c r="G1206" t="s">
        <v>23</v>
      </c>
      <c r="H1206">
        <v>12</v>
      </c>
      <c r="I1206">
        <v>13</v>
      </c>
    </row>
    <row r="1207" spans="1:9" x14ac:dyDescent="0.25">
      <c r="A1207" s="5" t="str">
        <f>TrendSheetPrdData[[#This Row],[Population]]&amp;TrendSheetPrdData[[#This Row],[Cost Basis]]&amp;TrendSheetPrdData[[#This Row],[Period]]&amp;TrendSheetPrdData[[#This Row],[Trend]]</f>
        <v>CHESAPEAKE EMPLOYEEPaid2016-07-01Office Based CTs per 1k</v>
      </c>
      <c r="B1207" t="s">
        <v>90</v>
      </c>
      <c r="C1207" t="s">
        <v>90</v>
      </c>
      <c r="D1207" t="s">
        <v>78</v>
      </c>
      <c r="E1207" s="1" t="s">
        <v>97</v>
      </c>
      <c r="F1207" t="s">
        <v>93</v>
      </c>
      <c r="G1207" t="s">
        <v>23</v>
      </c>
      <c r="H1207">
        <v>12</v>
      </c>
      <c r="I1207">
        <v>4</v>
      </c>
    </row>
    <row r="1208" spans="1:9" x14ac:dyDescent="0.25">
      <c r="A1208" s="5" t="str">
        <f>TrendSheetPrdData[[#This Row],[Population]]&amp;TrendSheetPrdData[[#This Row],[Cost Basis]]&amp;TrendSheetPrdData[[#This Row],[Period]]&amp;TrendSheetPrdData[[#This Row],[Trend]]</f>
        <v>CHESAPEAKE EMPLOYEEPaid2016-08-01Office Based CTs per 1k</v>
      </c>
      <c r="B1208" t="s">
        <v>90</v>
      </c>
      <c r="C1208" t="s">
        <v>90</v>
      </c>
      <c r="D1208" t="s">
        <v>78</v>
      </c>
      <c r="E1208" s="1" t="s">
        <v>98</v>
      </c>
      <c r="F1208" t="s">
        <v>93</v>
      </c>
      <c r="G1208" t="s">
        <v>23</v>
      </c>
      <c r="H1208">
        <v>12</v>
      </c>
      <c r="I1208">
        <v>4</v>
      </c>
    </row>
    <row r="1209" spans="1:9" x14ac:dyDescent="0.25">
      <c r="A1209" s="5" t="str">
        <f>TrendSheetPrdData[[#This Row],[Population]]&amp;TrendSheetPrdData[[#This Row],[Cost Basis]]&amp;TrendSheetPrdData[[#This Row],[Period]]&amp;TrendSheetPrdData[[#This Row],[Trend]]</f>
        <v>CHESAPEAKE EMPLOYEEPaid2016-09-01Office Based CTs per 1k</v>
      </c>
      <c r="B1209" t="s">
        <v>90</v>
      </c>
      <c r="C1209" t="s">
        <v>90</v>
      </c>
      <c r="D1209" t="s">
        <v>78</v>
      </c>
      <c r="E1209" s="1" t="s">
        <v>99</v>
      </c>
      <c r="F1209" t="s">
        <v>93</v>
      </c>
      <c r="G1209" t="s">
        <v>23</v>
      </c>
      <c r="H1209">
        <v>12</v>
      </c>
      <c r="I1209">
        <v>4</v>
      </c>
    </row>
    <row r="1210" spans="1:9" x14ac:dyDescent="0.25">
      <c r="A1210" s="5" t="str">
        <f>TrendSheetPrdData[[#This Row],[Population]]&amp;TrendSheetPrdData[[#This Row],[Cost Basis]]&amp;TrendSheetPrdData[[#This Row],[Period]]&amp;TrendSheetPrdData[[#This Row],[Trend]]</f>
        <v>CHESAPEAKE EMPLOYEEPaid2016-10-01Office Based CTs per 1k</v>
      </c>
      <c r="B1210" t="s">
        <v>90</v>
      </c>
      <c r="C1210" t="s">
        <v>90</v>
      </c>
      <c r="D1210" t="s">
        <v>78</v>
      </c>
      <c r="E1210" s="1" t="s">
        <v>100</v>
      </c>
      <c r="F1210" t="s">
        <v>93</v>
      </c>
      <c r="G1210" t="s">
        <v>23</v>
      </c>
      <c r="H1210">
        <v>12</v>
      </c>
      <c r="I1210">
        <v>0</v>
      </c>
    </row>
    <row r="1211" spans="1:9" x14ac:dyDescent="0.25">
      <c r="A1211" s="5" t="str">
        <f>TrendSheetPrdData[[#This Row],[Population]]&amp;TrendSheetPrdData[[#This Row],[Cost Basis]]&amp;TrendSheetPrdData[[#This Row],[Period]]&amp;TrendSheetPrdData[[#This Row],[Trend]]</f>
        <v>CHESAPEAKE EMPLOYEEPaid2016-11-01Office Based CTs per 1k</v>
      </c>
      <c r="B1211" t="s">
        <v>90</v>
      </c>
      <c r="C1211" t="s">
        <v>90</v>
      </c>
      <c r="D1211" t="s">
        <v>78</v>
      </c>
      <c r="E1211" s="1" t="s">
        <v>101</v>
      </c>
      <c r="F1211" t="s">
        <v>93</v>
      </c>
      <c r="G1211" t="s">
        <v>23</v>
      </c>
      <c r="H1211">
        <v>12</v>
      </c>
      <c r="I1211">
        <v>8</v>
      </c>
    </row>
    <row r="1212" spans="1:9" x14ac:dyDescent="0.25">
      <c r="A1212" s="5" t="str">
        <f>TrendSheetPrdData[[#This Row],[Population]]&amp;TrendSheetPrdData[[#This Row],[Cost Basis]]&amp;TrendSheetPrdData[[#This Row],[Period]]&amp;TrendSheetPrdData[[#This Row],[Trend]]</f>
        <v>CHESAPEAKE EMPLOYEEPaid2016-12-01Office Based CTs per 1k</v>
      </c>
      <c r="B1212" t="s">
        <v>90</v>
      </c>
      <c r="C1212" t="s">
        <v>90</v>
      </c>
      <c r="D1212" t="s">
        <v>78</v>
      </c>
      <c r="E1212" s="1" t="s">
        <v>102</v>
      </c>
      <c r="F1212" t="s">
        <v>93</v>
      </c>
      <c r="G1212" t="s">
        <v>23</v>
      </c>
      <c r="H1212">
        <v>12</v>
      </c>
      <c r="I1212">
        <v>0</v>
      </c>
    </row>
    <row r="1213" spans="1:9" x14ac:dyDescent="0.25">
      <c r="A1213" s="5" t="str">
        <f>TrendSheetPrdData[[#This Row],[Population]]&amp;TrendSheetPrdData[[#This Row],[Cost Basis]]&amp;TrendSheetPrdData[[#This Row],[Period]]&amp;TrendSheetPrdData[[#This Row],[Trend]]</f>
        <v>CHESAPEAKE EMPLOYEEPaid2017-01-01Office Based CTs per 1k</v>
      </c>
      <c r="B1213" t="s">
        <v>90</v>
      </c>
      <c r="C1213" t="s">
        <v>90</v>
      </c>
      <c r="D1213" t="s">
        <v>78</v>
      </c>
      <c r="E1213" s="1" t="s">
        <v>103</v>
      </c>
      <c r="F1213" t="s">
        <v>93</v>
      </c>
      <c r="G1213" t="s">
        <v>23</v>
      </c>
      <c r="H1213">
        <v>12</v>
      </c>
      <c r="I1213">
        <v>0</v>
      </c>
    </row>
    <row r="1214" spans="1:9" x14ac:dyDescent="0.25">
      <c r="A1214" s="5" t="str">
        <f>TrendSheetPrdData[[#This Row],[Population]]&amp;TrendSheetPrdData[[#This Row],[Cost Basis]]&amp;TrendSheetPrdData[[#This Row],[Period]]&amp;TrendSheetPrdData[[#This Row],[Trend]]</f>
        <v>CHESAPEAKE EMPLOYEEPaid2017-02-01Office Based CTs per 1k</v>
      </c>
      <c r="B1214" t="s">
        <v>90</v>
      </c>
      <c r="C1214" t="s">
        <v>90</v>
      </c>
      <c r="D1214" t="s">
        <v>78</v>
      </c>
      <c r="E1214" s="1" t="s">
        <v>104</v>
      </c>
      <c r="F1214" t="s">
        <v>106</v>
      </c>
      <c r="G1214" t="s">
        <v>23</v>
      </c>
      <c r="H1214">
        <v>12</v>
      </c>
      <c r="I1214">
        <v>4</v>
      </c>
    </row>
    <row r="1215" spans="1:9" x14ac:dyDescent="0.25">
      <c r="A1215" s="5" t="str">
        <f>TrendSheetPrdData[[#This Row],[Population]]&amp;TrendSheetPrdData[[#This Row],[Cost Basis]]&amp;TrendSheetPrdData[[#This Row],[Period]]&amp;TrendSheetPrdData[[#This Row],[Trend]]</f>
        <v>CHESAPEAKE EMPLOYEEPaid2017-03-01Office Based CTs per 1k</v>
      </c>
      <c r="B1215" t="s">
        <v>90</v>
      </c>
      <c r="C1215" t="s">
        <v>90</v>
      </c>
      <c r="D1215" t="s">
        <v>78</v>
      </c>
      <c r="E1215" s="1" t="s">
        <v>105</v>
      </c>
      <c r="F1215" t="s">
        <v>106</v>
      </c>
      <c r="G1215" t="s">
        <v>23</v>
      </c>
      <c r="H1215">
        <v>12</v>
      </c>
      <c r="I1215">
        <v>4</v>
      </c>
    </row>
    <row r="1216" spans="1:9" x14ac:dyDescent="0.25">
      <c r="A1216" s="5" t="str">
        <f>TrendSheetPrdData[[#This Row],[Population]]&amp;TrendSheetPrdData[[#This Row],[Cost Basis]]&amp;TrendSheetPrdData[[#This Row],[Period]]&amp;TrendSheetPrdData[[#This Row],[Trend]]</f>
        <v>CHESAPEAKE EMPLOYEEPaid2017-04-01Office Based CTs per 1k</v>
      </c>
      <c r="B1216" t="s">
        <v>90</v>
      </c>
      <c r="C1216" t="s">
        <v>90</v>
      </c>
      <c r="D1216" t="s">
        <v>78</v>
      </c>
      <c r="E1216" s="1" t="s">
        <v>107</v>
      </c>
      <c r="F1216" t="s">
        <v>106</v>
      </c>
      <c r="G1216" t="s">
        <v>23</v>
      </c>
      <c r="H1216">
        <v>12</v>
      </c>
      <c r="I1216">
        <v>0</v>
      </c>
    </row>
    <row r="1217" spans="1:9" x14ac:dyDescent="0.25">
      <c r="A1217" s="5" t="str">
        <f>TrendSheetPrdData[[#This Row],[Population]]&amp;TrendSheetPrdData[[#This Row],[Cost Basis]]&amp;TrendSheetPrdData[[#This Row],[Period]]&amp;TrendSheetPrdData[[#This Row],[Trend]]</f>
        <v>CHESAPEAKE EMPLOYEEPaid2016-02-01ED Cost</v>
      </c>
      <c r="B1217" t="s">
        <v>90</v>
      </c>
      <c r="C1217" t="s">
        <v>90</v>
      </c>
      <c r="D1217" t="s">
        <v>78</v>
      </c>
      <c r="E1217" s="1" t="s">
        <v>133</v>
      </c>
      <c r="F1217" t="s">
        <v>93</v>
      </c>
      <c r="G1217" t="s">
        <v>24</v>
      </c>
      <c r="H1217">
        <v>13</v>
      </c>
      <c r="I1217">
        <v>86352</v>
      </c>
    </row>
    <row r="1218" spans="1:9" x14ac:dyDescent="0.25">
      <c r="A1218" s="5" t="str">
        <f>TrendSheetPrdData[[#This Row],[Population]]&amp;TrendSheetPrdData[[#This Row],[Cost Basis]]&amp;TrendSheetPrdData[[#This Row],[Period]]&amp;TrendSheetPrdData[[#This Row],[Trend]]</f>
        <v>CHESAPEAKE EMPLOYEEPaid2016-03-01ED Cost</v>
      </c>
      <c r="B1218" t="s">
        <v>90</v>
      </c>
      <c r="C1218" t="s">
        <v>90</v>
      </c>
      <c r="D1218" t="s">
        <v>78</v>
      </c>
      <c r="E1218" s="1" t="s">
        <v>92</v>
      </c>
      <c r="F1218" t="s">
        <v>93</v>
      </c>
      <c r="G1218" t="s">
        <v>24</v>
      </c>
      <c r="H1218">
        <v>13</v>
      </c>
      <c r="I1218">
        <v>97489</v>
      </c>
    </row>
    <row r="1219" spans="1:9" x14ac:dyDescent="0.25">
      <c r="A1219" s="5" t="str">
        <f>TrendSheetPrdData[[#This Row],[Population]]&amp;TrendSheetPrdData[[#This Row],[Cost Basis]]&amp;TrendSheetPrdData[[#This Row],[Period]]&amp;TrendSheetPrdData[[#This Row],[Trend]]</f>
        <v>CHESAPEAKE EMPLOYEEPaid2016-04-01ED Cost</v>
      </c>
      <c r="B1219" t="s">
        <v>90</v>
      </c>
      <c r="C1219" t="s">
        <v>90</v>
      </c>
      <c r="D1219" t="s">
        <v>78</v>
      </c>
      <c r="E1219" s="1" t="s">
        <v>94</v>
      </c>
      <c r="F1219" t="s">
        <v>93</v>
      </c>
      <c r="G1219" t="s">
        <v>24</v>
      </c>
      <c r="H1219">
        <v>13</v>
      </c>
      <c r="I1219">
        <v>61184</v>
      </c>
    </row>
    <row r="1220" spans="1:9" x14ac:dyDescent="0.25">
      <c r="A1220" s="5" t="str">
        <f>TrendSheetPrdData[[#This Row],[Population]]&amp;TrendSheetPrdData[[#This Row],[Cost Basis]]&amp;TrendSheetPrdData[[#This Row],[Period]]&amp;TrendSheetPrdData[[#This Row],[Trend]]</f>
        <v>CHESAPEAKE EMPLOYEEPaid2016-05-01ED Cost</v>
      </c>
      <c r="B1220" t="s">
        <v>90</v>
      </c>
      <c r="C1220" t="s">
        <v>90</v>
      </c>
      <c r="D1220" t="s">
        <v>78</v>
      </c>
      <c r="E1220" s="1" t="s">
        <v>95</v>
      </c>
      <c r="F1220" t="s">
        <v>93</v>
      </c>
      <c r="G1220" t="s">
        <v>24</v>
      </c>
      <c r="H1220">
        <v>13</v>
      </c>
      <c r="I1220">
        <v>32770</v>
      </c>
    </row>
    <row r="1221" spans="1:9" x14ac:dyDescent="0.25">
      <c r="A1221" s="5" t="str">
        <f>TrendSheetPrdData[[#This Row],[Population]]&amp;TrendSheetPrdData[[#This Row],[Cost Basis]]&amp;TrendSheetPrdData[[#This Row],[Period]]&amp;TrendSheetPrdData[[#This Row],[Trend]]</f>
        <v>CHESAPEAKE EMPLOYEEPaid2016-06-01ED Cost</v>
      </c>
      <c r="B1221" t="s">
        <v>90</v>
      </c>
      <c r="C1221" t="s">
        <v>90</v>
      </c>
      <c r="D1221" t="s">
        <v>78</v>
      </c>
      <c r="E1221" s="1" t="s">
        <v>96</v>
      </c>
      <c r="F1221" t="s">
        <v>93</v>
      </c>
      <c r="G1221" t="s">
        <v>24</v>
      </c>
      <c r="H1221">
        <v>13</v>
      </c>
      <c r="I1221">
        <v>63949</v>
      </c>
    </row>
    <row r="1222" spans="1:9" x14ac:dyDescent="0.25">
      <c r="A1222" s="5" t="str">
        <f>TrendSheetPrdData[[#This Row],[Population]]&amp;TrendSheetPrdData[[#This Row],[Cost Basis]]&amp;TrendSheetPrdData[[#This Row],[Period]]&amp;TrendSheetPrdData[[#This Row],[Trend]]</f>
        <v>CHESAPEAKE EMPLOYEEPaid2016-07-01ED Cost</v>
      </c>
      <c r="B1222" t="s">
        <v>90</v>
      </c>
      <c r="C1222" t="s">
        <v>90</v>
      </c>
      <c r="D1222" t="s">
        <v>78</v>
      </c>
      <c r="E1222" s="1" t="s">
        <v>97</v>
      </c>
      <c r="F1222" t="s">
        <v>93</v>
      </c>
      <c r="G1222" t="s">
        <v>24</v>
      </c>
      <c r="H1222">
        <v>13</v>
      </c>
      <c r="I1222">
        <v>52063</v>
      </c>
    </row>
    <row r="1223" spans="1:9" x14ac:dyDescent="0.25">
      <c r="A1223" s="5" t="str">
        <f>TrendSheetPrdData[[#This Row],[Population]]&amp;TrendSheetPrdData[[#This Row],[Cost Basis]]&amp;TrendSheetPrdData[[#This Row],[Period]]&amp;TrendSheetPrdData[[#This Row],[Trend]]</f>
        <v>CHESAPEAKE EMPLOYEEPaid2016-08-01ED Cost</v>
      </c>
      <c r="B1223" t="s">
        <v>90</v>
      </c>
      <c r="C1223" t="s">
        <v>90</v>
      </c>
      <c r="D1223" t="s">
        <v>78</v>
      </c>
      <c r="E1223" s="1" t="s">
        <v>98</v>
      </c>
      <c r="F1223" t="s">
        <v>93</v>
      </c>
      <c r="G1223" t="s">
        <v>24</v>
      </c>
      <c r="H1223">
        <v>13</v>
      </c>
      <c r="I1223">
        <v>31105</v>
      </c>
    </row>
    <row r="1224" spans="1:9" x14ac:dyDescent="0.25">
      <c r="A1224" s="5" t="str">
        <f>TrendSheetPrdData[[#This Row],[Population]]&amp;TrendSheetPrdData[[#This Row],[Cost Basis]]&amp;TrendSheetPrdData[[#This Row],[Period]]&amp;TrendSheetPrdData[[#This Row],[Trend]]</f>
        <v>CHESAPEAKE EMPLOYEEPaid2016-09-01ED Cost</v>
      </c>
      <c r="B1224" t="s">
        <v>90</v>
      </c>
      <c r="C1224" t="s">
        <v>90</v>
      </c>
      <c r="D1224" t="s">
        <v>78</v>
      </c>
      <c r="E1224" s="1" t="s">
        <v>99</v>
      </c>
      <c r="F1224" t="s">
        <v>93</v>
      </c>
      <c r="G1224" t="s">
        <v>24</v>
      </c>
      <c r="H1224">
        <v>13</v>
      </c>
      <c r="I1224">
        <v>49726</v>
      </c>
    </row>
    <row r="1225" spans="1:9" x14ac:dyDescent="0.25">
      <c r="A1225" s="5" t="str">
        <f>TrendSheetPrdData[[#This Row],[Population]]&amp;TrendSheetPrdData[[#This Row],[Cost Basis]]&amp;TrendSheetPrdData[[#This Row],[Period]]&amp;TrendSheetPrdData[[#This Row],[Trend]]</f>
        <v>CHESAPEAKE EMPLOYEEPaid2016-10-01ED Cost</v>
      </c>
      <c r="B1225" t="s">
        <v>90</v>
      </c>
      <c r="C1225" t="s">
        <v>90</v>
      </c>
      <c r="D1225" t="s">
        <v>78</v>
      </c>
      <c r="E1225" s="1" t="s">
        <v>100</v>
      </c>
      <c r="F1225" t="s">
        <v>93</v>
      </c>
      <c r="G1225" t="s">
        <v>24</v>
      </c>
      <c r="H1225">
        <v>13</v>
      </c>
      <c r="I1225">
        <v>67087</v>
      </c>
    </row>
    <row r="1226" spans="1:9" x14ac:dyDescent="0.25">
      <c r="A1226" s="5" t="str">
        <f>TrendSheetPrdData[[#This Row],[Population]]&amp;TrendSheetPrdData[[#This Row],[Cost Basis]]&amp;TrendSheetPrdData[[#This Row],[Period]]&amp;TrendSheetPrdData[[#This Row],[Trend]]</f>
        <v>CHESAPEAKE EMPLOYEEPaid2016-11-01ED Cost</v>
      </c>
      <c r="B1226" t="s">
        <v>90</v>
      </c>
      <c r="C1226" t="s">
        <v>90</v>
      </c>
      <c r="D1226" t="s">
        <v>78</v>
      </c>
      <c r="E1226" s="1" t="s">
        <v>101</v>
      </c>
      <c r="F1226" t="s">
        <v>93</v>
      </c>
      <c r="G1226" t="s">
        <v>24</v>
      </c>
      <c r="H1226">
        <v>13</v>
      </c>
      <c r="I1226">
        <v>48889</v>
      </c>
    </row>
    <row r="1227" spans="1:9" x14ac:dyDescent="0.25">
      <c r="A1227" s="5" t="str">
        <f>TrendSheetPrdData[[#This Row],[Population]]&amp;TrendSheetPrdData[[#This Row],[Cost Basis]]&amp;TrendSheetPrdData[[#This Row],[Period]]&amp;TrendSheetPrdData[[#This Row],[Trend]]</f>
        <v>CHESAPEAKE EMPLOYEEPaid2016-12-01ED Cost</v>
      </c>
      <c r="B1227" t="s">
        <v>90</v>
      </c>
      <c r="C1227" t="s">
        <v>90</v>
      </c>
      <c r="D1227" t="s">
        <v>78</v>
      </c>
      <c r="E1227" s="1" t="s">
        <v>102</v>
      </c>
      <c r="F1227" t="s">
        <v>93</v>
      </c>
      <c r="G1227" t="s">
        <v>24</v>
      </c>
      <c r="H1227">
        <v>13</v>
      </c>
      <c r="I1227">
        <v>61018</v>
      </c>
    </row>
    <row r="1228" spans="1:9" x14ac:dyDescent="0.25">
      <c r="A1228" s="5" t="str">
        <f>TrendSheetPrdData[[#This Row],[Population]]&amp;TrendSheetPrdData[[#This Row],[Cost Basis]]&amp;TrendSheetPrdData[[#This Row],[Period]]&amp;TrendSheetPrdData[[#This Row],[Trend]]</f>
        <v>CHESAPEAKE EMPLOYEEPaid2017-01-01ED Cost</v>
      </c>
      <c r="B1228" t="s">
        <v>90</v>
      </c>
      <c r="C1228" t="s">
        <v>90</v>
      </c>
      <c r="D1228" t="s">
        <v>78</v>
      </c>
      <c r="E1228" s="1" t="s">
        <v>103</v>
      </c>
      <c r="F1228" t="s">
        <v>93</v>
      </c>
      <c r="G1228" t="s">
        <v>24</v>
      </c>
      <c r="H1228">
        <v>13</v>
      </c>
      <c r="I1228">
        <v>61309</v>
      </c>
    </row>
    <row r="1229" spans="1:9" x14ac:dyDescent="0.25">
      <c r="A1229" s="5" t="str">
        <f>TrendSheetPrdData[[#This Row],[Population]]&amp;TrendSheetPrdData[[#This Row],[Cost Basis]]&amp;TrendSheetPrdData[[#This Row],[Period]]&amp;TrendSheetPrdData[[#This Row],[Trend]]</f>
        <v>CHESAPEAKE EMPLOYEEPaid2017-02-01ED Cost</v>
      </c>
      <c r="B1229" t="s">
        <v>90</v>
      </c>
      <c r="C1229" t="s">
        <v>90</v>
      </c>
      <c r="D1229" t="s">
        <v>78</v>
      </c>
      <c r="E1229" s="1" t="s">
        <v>104</v>
      </c>
      <c r="F1229" t="s">
        <v>106</v>
      </c>
      <c r="G1229" t="s">
        <v>24</v>
      </c>
      <c r="H1229">
        <v>13</v>
      </c>
      <c r="I1229">
        <v>57796</v>
      </c>
    </row>
    <row r="1230" spans="1:9" x14ac:dyDescent="0.25">
      <c r="A1230" s="5" t="str">
        <f>TrendSheetPrdData[[#This Row],[Population]]&amp;TrendSheetPrdData[[#This Row],[Cost Basis]]&amp;TrendSheetPrdData[[#This Row],[Period]]&amp;TrendSheetPrdData[[#This Row],[Trend]]</f>
        <v>CHESAPEAKE EMPLOYEEPaid2017-03-01ED Cost</v>
      </c>
      <c r="B1230" t="s">
        <v>90</v>
      </c>
      <c r="C1230" t="s">
        <v>90</v>
      </c>
      <c r="D1230" t="s">
        <v>78</v>
      </c>
      <c r="E1230" s="1" t="s">
        <v>105</v>
      </c>
      <c r="F1230" t="s">
        <v>106</v>
      </c>
      <c r="G1230" t="s">
        <v>24</v>
      </c>
      <c r="H1230">
        <v>13</v>
      </c>
      <c r="I1230">
        <v>58974</v>
      </c>
    </row>
    <row r="1231" spans="1:9" x14ac:dyDescent="0.25">
      <c r="A1231" s="5" t="str">
        <f>TrendSheetPrdData[[#This Row],[Population]]&amp;TrendSheetPrdData[[#This Row],[Cost Basis]]&amp;TrendSheetPrdData[[#This Row],[Period]]&amp;TrendSheetPrdData[[#This Row],[Trend]]</f>
        <v>CHESAPEAKE EMPLOYEEPaid2017-04-01ED Cost</v>
      </c>
      <c r="B1231" t="s">
        <v>90</v>
      </c>
      <c r="C1231" t="s">
        <v>90</v>
      </c>
      <c r="D1231" t="s">
        <v>78</v>
      </c>
      <c r="E1231" s="1" t="s">
        <v>107</v>
      </c>
      <c r="F1231" t="s">
        <v>106</v>
      </c>
      <c r="G1231" t="s">
        <v>24</v>
      </c>
      <c r="H1231">
        <v>13</v>
      </c>
      <c r="I1231">
        <v>18929</v>
      </c>
    </row>
    <row r="1232" spans="1:9" x14ac:dyDescent="0.25">
      <c r="A1232" s="5" t="str">
        <f>TrendSheetPrdData[[#This Row],[Population]]&amp;TrendSheetPrdData[[#This Row],[Cost Basis]]&amp;TrendSheetPrdData[[#This Row],[Period]]&amp;TrendSheetPrdData[[#This Row],[Trend]]</f>
        <v>CHESAPEAKE EMPLOYEEPaid2016-02-01ED Utilization</v>
      </c>
      <c r="B1232" t="s">
        <v>90</v>
      </c>
      <c r="C1232" t="s">
        <v>90</v>
      </c>
      <c r="D1232" t="s">
        <v>78</v>
      </c>
      <c r="E1232" s="1" t="s">
        <v>133</v>
      </c>
      <c r="F1232" t="s">
        <v>93</v>
      </c>
      <c r="G1232" t="s">
        <v>25</v>
      </c>
      <c r="H1232">
        <v>14</v>
      </c>
      <c r="I1232">
        <v>255</v>
      </c>
    </row>
    <row r="1233" spans="1:9" x14ac:dyDescent="0.25">
      <c r="A1233" s="5" t="str">
        <f>TrendSheetPrdData[[#This Row],[Population]]&amp;TrendSheetPrdData[[#This Row],[Cost Basis]]&amp;TrendSheetPrdData[[#This Row],[Period]]&amp;TrendSheetPrdData[[#This Row],[Trend]]</f>
        <v>CHESAPEAKE EMPLOYEEPaid2016-03-01ED Utilization</v>
      </c>
      <c r="B1233" t="s">
        <v>90</v>
      </c>
      <c r="C1233" t="s">
        <v>90</v>
      </c>
      <c r="D1233" t="s">
        <v>78</v>
      </c>
      <c r="E1233" s="1" t="s">
        <v>92</v>
      </c>
      <c r="F1233" t="s">
        <v>93</v>
      </c>
      <c r="G1233" t="s">
        <v>25</v>
      </c>
      <c r="H1233">
        <v>14</v>
      </c>
      <c r="I1233">
        <v>266</v>
      </c>
    </row>
    <row r="1234" spans="1:9" x14ac:dyDescent="0.25">
      <c r="A1234" s="5" t="str">
        <f>TrendSheetPrdData[[#This Row],[Population]]&amp;TrendSheetPrdData[[#This Row],[Cost Basis]]&amp;TrendSheetPrdData[[#This Row],[Period]]&amp;TrendSheetPrdData[[#This Row],[Trend]]</f>
        <v>CHESAPEAKE EMPLOYEEPaid2016-04-01ED Utilization</v>
      </c>
      <c r="B1234" t="s">
        <v>90</v>
      </c>
      <c r="C1234" t="s">
        <v>90</v>
      </c>
      <c r="D1234" t="s">
        <v>78</v>
      </c>
      <c r="E1234" s="1" t="s">
        <v>94</v>
      </c>
      <c r="F1234" t="s">
        <v>93</v>
      </c>
      <c r="G1234" t="s">
        <v>25</v>
      </c>
      <c r="H1234">
        <v>14</v>
      </c>
      <c r="I1234">
        <v>244</v>
      </c>
    </row>
    <row r="1235" spans="1:9" x14ac:dyDescent="0.25">
      <c r="A1235" s="5" t="str">
        <f>TrendSheetPrdData[[#This Row],[Population]]&amp;TrendSheetPrdData[[#This Row],[Cost Basis]]&amp;TrendSheetPrdData[[#This Row],[Period]]&amp;TrendSheetPrdData[[#This Row],[Trend]]</f>
        <v>CHESAPEAKE EMPLOYEEPaid2016-05-01ED Utilization</v>
      </c>
      <c r="B1235" t="s">
        <v>90</v>
      </c>
      <c r="C1235" t="s">
        <v>90</v>
      </c>
      <c r="D1235" t="s">
        <v>78</v>
      </c>
      <c r="E1235" s="1" t="s">
        <v>95</v>
      </c>
      <c r="F1235" t="s">
        <v>93</v>
      </c>
      <c r="G1235" t="s">
        <v>25</v>
      </c>
      <c r="H1235">
        <v>14</v>
      </c>
      <c r="I1235">
        <v>183</v>
      </c>
    </row>
    <row r="1236" spans="1:9" x14ac:dyDescent="0.25">
      <c r="A1236" s="5" t="str">
        <f>TrendSheetPrdData[[#This Row],[Population]]&amp;TrendSheetPrdData[[#This Row],[Cost Basis]]&amp;TrendSheetPrdData[[#This Row],[Period]]&amp;TrendSheetPrdData[[#This Row],[Trend]]</f>
        <v>CHESAPEAKE EMPLOYEEPaid2016-06-01ED Utilization</v>
      </c>
      <c r="B1236" t="s">
        <v>90</v>
      </c>
      <c r="C1236" t="s">
        <v>90</v>
      </c>
      <c r="D1236" t="s">
        <v>78</v>
      </c>
      <c r="E1236" s="1" t="s">
        <v>96</v>
      </c>
      <c r="F1236" t="s">
        <v>93</v>
      </c>
      <c r="G1236" t="s">
        <v>25</v>
      </c>
      <c r="H1236">
        <v>14</v>
      </c>
      <c r="I1236">
        <v>222</v>
      </c>
    </row>
    <row r="1237" spans="1:9" x14ac:dyDescent="0.25">
      <c r="A1237" s="5" t="str">
        <f>TrendSheetPrdData[[#This Row],[Population]]&amp;TrendSheetPrdData[[#This Row],[Cost Basis]]&amp;TrendSheetPrdData[[#This Row],[Period]]&amp;TrendSheetPrdData[[#This Row],[Trend]]</f>
        <v>CHESAPEAKE EMPLOYEEPaid2016-07-01ED Utilization</v>
      </c>
      <c r="B1237" t="s">
        <v>90</v>
      </c>
      <c r="C1237" t="s">
        <v>90</v>
      </c>
      <c r="D1237" t="s">
        <v>78</v>
      </c>
      <c r="E1237" s="1" t="s">
        <v>97</v>
      </c>
      <c r="F1237" t="s">
        <v>93</v>
      </c>
      <c r="G1237" t="s">
        <v>25</v>
      </c>
      <c r="H1237">
        <v>14</v>
      </c>
      <c r="I1237">
        <v>228</v>
      </c>
    </row>
    <row r="1238" spans="1:9" x14ac:dyDescent="0.25">
      <c r="A1238" s="5" t="str">
        <f>TrendSheetPrdData[[#This Row],[Population]]&amp;TrendSheetPrdData[[#This Row],[Cost Basis]]&amp;TrendSheetPrdData[[#This Row],[Period]]&amp;TrendSheetPrdData[[#This Row],[Trend]]</f>
        <v>CHESAPEAKE EMPLOYEEPaid2016-08-01ED Utilization</v>
      </c>
      <c r="B1238" t="s">
        <v>90</v>
      </c>
      <c r="C1238" t="s">
        <v>90</v>
      </c>
      <c r="D1238" t="s">
        <v>78</v>
      </c>
      <c r="E1238" s="1" t="s">
        <v>98</v>
      </c>
      <c r="F1238" t="s">
        <v>93</v>
      </c>
      <c r="G1238" t="s">
        <v>25</v>
      </c>
      <c r="H1238">
        <v>14</v>
      </c>
      <c r="I1238">
        <v>169</v>
      </c>
    </row>
    <row r="1239" spans="1:9" x14ac:dyDescent="0.25">
      <c r="A1239" s="5" t="str">
        <f>TrendSheetPrdData[[#This Row],[Population]]&amp;TrendSheetPrdData[[#This Row],[Cost Basis]]&amp;TrendSheetPrdData[[#This Row],[Period]]&amp;TrendSheetPrdData[[#This Row],[Trend]]</f>
        <v>CHESAPEAKE EMPLOYEEPaid2016-09-01ED Utilization</v>
      </c>
      <c r="B1239" t="s">
        <v>90</v>
      </c>
      <c r="C1239" t="s">
        <v>90</v>
      </c>
      <c r="D1239" t="s">
        <v>78</v>
      </c>
      <c r="E1239" s="1" t="s">
        <v>99</v>
      </c>
      <c r="F1239" t="s">
        <v>93</v>
      </c>
      <c r="G1239" t="s">
        <v>25</v>
      </c>
      <c r="H1239">
        <v>14</v>
      </c>
      <c r="I1239">
        <v>147</v>
      </c>
    </row>
    <row r="1240" spans="1:9" x14ac:dyDescent="0.25">
      <c r="A1240" s="5" t="str">
        <f>TrendSheetPrdData[[#This Row],[Population]]&amp;TrendSheetPrdData[[#This Row],[Cost Basis]]&amp;TrendSheetPrdData[[#This Row],[Period]]&amp;TrendSheetPrdData[[#This Row],[Trend]]</f>
        <v>CHESAPEAKE EMPLOYEEPaid2016-10-01ED Utilization</v>
      </c>
      <c r="B1240" t="s">
        <v>90</v>
      </c>
      <c r="C1240" t="s">
        <v>90</v>
      </c>
      <c r="D1240" t="s">
        <v>78</v>
      </c>
      <c r="E1240" s="1" t="s">
        <v>100</v>
      </c>
      <c r="F1240" t="s">
        <v>93</v>
      </c>
      <c r="G1240" t="s">
        <v>25</v>
      </c>
      <c r="H1240">
        <v>14</v>
      </c>
      <c r="I1240">
        <v>202</v>
      </c>
    </row>
    <row r="1241" spans="1:9" x14ac:dyDescent="0.25">
      <c r="A1241" s="5" t="str">
        <f>TrendSheetPrdData[[#This Row],[Population]]&amp;TrendSheetPrdData[[#This Row],[Cost Basis]]&amp;TrendSheetPrdData[[#This Row],[Period]]&amp;TrendSheetPrdData[[#This Row],[Trend]]</f>
        <v>CHESAPEAKE EMPLOYEEPaid2016-11-01ED Utilization</v>
      </c>
      <c r="B1241" t="s">
        <v>90</v>
      </c>
      <c r="C1241" t="s">
        <v>90</v>
      </c>
      <c r="D1241" t="s">
        <v>78</v>
      </c>
      <c r="E1241" s="1" t="s">
        <v>101</v>
      </c>
      <c r="F1241" t="s">
        <v>93</v>
      </c>
      <c r="G1241" t="s">
        <v>25</v>
      </c>
      <c r="H1241">
        <v>14</v>
      </c>
      <c r="I1241">
        <v>201</v>
      </c>
    </row>
    <row r="1242" spans="1:9" x14ac:dyDescent="0.25">
      <c r="A1242" s="5" t="str">
        <f>TrendSheetPrdData[[#This Row],[Population]]&amp;TrendSheetPrdData[[#This Row],[Cost Basis]]&amp;TrendSheetPrdData[[#This Row],[Period]]&amp;TrendSheetPrdData[[#This Row],[Trend]]</f>
        <v>CHESAPEAKE EMPLOYEEPaid2016-12-01ED Utilization</v>
      </c>
      <c r="B1242" t="s">
        <v>90</v>
      </c>
      <c r="C1242" t="s">
        <v>90</v>
      </c>
      <c r="D1242" t="s">
        <v>78</v>
      </c>
      <c r="E1242" s="1" t="s">
        <v>102</v>
      </c>
      <c r="F1242" t="s">
        <v>93</v>
      </c>
      <c r="G1242" t="s">
        <v>25</v>
      </c>
      <c r="H1242">
        <v>14</v>
      </c>
      <c r="I1242">
        <v>186</v>
      </c>
    </row>
    <row r="1243" spans="1:9" x14ac:dyDescent="0.25">
      <c r="A1243" s="5" t="str">
        <f>TrendSheetPrdData[[#This Row],[Population]]&amp;TrendSheetPrdData[[#This Row],[Cost Basis]]&amp;TrendSheetPrdData[[#This Row],[Period]]&amp;TrendSheetPrdData[[#This Row],[Trend]]</f>
        <v>CHESAPEAKE EMPLOYEEPaid2017-01-01ED Utilization</v>
      </c>
      <c r="B1243" t="s">
        <v>90</v>
      </c>
      <c r="C1243" t="s">
        <v>90</v>
      </c>
      <c r="D1243" t="s">
        <v>78</v>
      </c>
      <c r="E1243" s="1" t="s">
        <v>103</v>
      </c>
      <c r="F1243" t="s">
        <v>93</v>
      </c>
      <c r="G1243" t="s">
        <v>25</v>
      </c>
      <c r="H1243">
        <v>14</v>
      </c>
      <c r="I1243">
        <v>169</v>
      </c>
    </row>
    <row r="1244" spans="1:9" x14ac:dyDescent="0.25">
      <c r="A1244" s="5" t="str">
        <f>TrendSheetPrdData[[#This Row],[Population]]&amp;TrendSheetPrdData[[#This Row],[Cost Basis]]&amp;TrendSheetPrdData[[#This Row],[Period]]&amp;TrendSheetPrdData[[#This Row],[Trend]]</f>
        <v>CHESAPEAKE EMPLOYEEPaid2017-02-01ED Utilization</v>
      </c>
      <c r="B1244" t="s">
        <v>90</v>
      </c>
      <c r="C1244" t="s">
        <v>90</v>
      </c>
      <c r="D1244" t="s">
        <v>78</v>
      </c>
      <c r="E1244" s="1" t="s">
        <v>104</v>
      </c>
      <c r="F1244" t="s">
        <v>106</v>
      </c>
      <c r="G1244" t="s">
        <v>25</v>
      </c>
      <c r="H1244">
        <v>14</v>
      </c>
      <c r="I1244">
        <v>137</v>
      </c>
    </row>
    <row r="1245" spans="1:9" x14ac:dyDescent="0.25">
      <c r="A1245" s="5" t="str">
        <f>TrendSheetPrdData[[#This Row],[Population]]&amp;TrendSheetPrdData[[#This Row],[Cost Basis]]&amp;TrendSheetPrdData[[#This Row],[Period]]&amp;TrendSheetPrdData[[#This Row],[Trend]]</f>
        <v>CHESAPEAKE EMPLOYEEPaid2017-03-01ED Utilization</v>
      </c>
      <c r="B1245" t="s">
        <v>90</v>
      </c>
      <c r="C1245" t="s">
        <v>90</v>
      </c>
      <c r="D1245" t="s">
        <v>78</v>
      </c>
      <c r="E1245" s="1" t="s">
        <v>105</v>
      </c>
      <c r="F1245" t="s">
        <v>106</v>
      </c>
      <c r="G1245" t="s">
        <v>25</v>
      </c>
      <c r="H1245">
        <v>14</v>
      </c>
      <c r="I1245">
        <v>246</v>
      </c>
    </row>
    <row r="1246" spans="1:9" x14ac:dyDescent="0.25">
      <c r="A1246" s="5" t="str">
        <f>TrendSheetPrdData[[#This Row],[Population]]&amp;TrendSheetPrdData[[#This Row],[Cost Basis]]&amp;TrendSheetPrdData[[#This Row],[Period]]&amp;TrendSheetPrdData[[#This Row],[Trend]]</f>
        <v>CHESAPEAKE EMPLOYEEPaid2017-04-01ED Utilization</v>
      </c>
      <c r="B1246" t="s">
        <v>90</v>
      </c>
      <c r="C1246" t="s">
        <v>90</v>
      </c>
      <c r="D1246" t="s">
        <v>78</v>
      </c>
      <c r="E1246" s="1" t="s">
        <v>107</v>
      </c>
      <c r="F1246" t="s">
        <v>106</v>
      </c>
      <c r="G1246" t="s">
        <v>25</v>
      </c>
      <c r="H1246">
        <v>14</v>
      </c>
      <c r="I1246">
        <v>63</v>
      </c>
    </row>
    <row r="1247" spans="1:9" x14ac:dyDescent="0.25">
      <c r="A1247" s="5" t="str">
        <f>TrendSheetPrdData[[#This Row],[Population]]&amp;TrendSheetPrdData[[#This Row],[Cost Basis]]&amp;TrendSheetPrdData[[#This Row],[Period]]&amp;TrendSheetPrdData[[#This Row],[Trend]]</f>
        <v>CHESAPEAKE EMPLOYEEPaid2016-02-01Drug - Generic Utilization Cost</v>
      </c>
      <c r="B1247" t="s">
        <v>90</v>
      </c>
      <c r="C1247" t="s">
        <v>90</v>
      </c>
      <c r="D1247" t="s">
        <v>78</v>
      </c>
      <c r="E1247" s="1" t="s">
        <v>133</v>
      </c>
      <c r="F1247" t="s">
        <v>93</v>
      </c>
      <c r="G1247" t="s">
        <v>26</v>
      </c>
      <c r="H1247">
        <v>15</v>
      </c>
      <c r="I1247">
        <v>255763</v>
      </c>
    </row>
    <row r="1248" spans="1:9" x14ac:dyDescent="0.25">
      <c r="A1248" s="5" t="str">
        <f>TrendSheetPrdData[[#This Row],[Population]]&amp;TrendSheetPrdData[[#This Row],[Cost Basis]]&amp;TrendSheetPrdData[[#This Row],[Period]]&amp;TrendSheetPrdData[[#This Row],[Trend]]</f>
        <v>CHESAPEAKE EMPLOYEEPaid2016-03-01Drug - Generic Utilization Cost</v>
      </c>
      <c r="B1248" t="s">
        <v>90</v>
      </c>
      <c r="C1248" t="s">
        <v>90</v>
      </c>
      <c r="D1248" t="s">
        <v>78</v>
      </c>
      <c r="E1248" s="1" t="s">
        <v>92</v>
      </c>
      <c r="F1248" t="s">
        <v>93</v>
      </c>
      <c r="G1248" t="s">
        <v>26</v>
      </c>
      <c r="H1248">
        <v>15</v>
      </c>
      <c r="I1248">
        <v>251915</v>
      </c>
    </row>
    <row r="1249" spans="1:9" x14ac:dyDescent="0.25">
      <c r="A1249" s="5" t="str">
        <f>TrendSheetPrdData[[#This Row],[Population]]&amp;TrendSheetPrdData[[#This Row],[Cost Basis]]&amp;TrendSheetPrdData[[#This Row],[Period]]&amp;TrendSheetPrdData[[#This Row],[Trend]]</f>
        <v>CHESAPEAKE EMPLOYEEPaid2016-04-01Drug - Generic Utilization Cost</v>
      </c>
      <c r="B1249" t="s">
        <v>90</v>
      </c>
      <c r="C1249" t="s">
        <v>90</v>
      </c>
      <c r="D1249" t="s">
        <v>78</v>
      </c>
      <c r="E1249" s="1" t="s">
        <v>94</v>
      </c>
      <c r="F1249" t="s">
        <v>93</v>
      </c>
      <c r="G1249" t="s">
        <v>26</v>
      </c>
      <c r="H1249">
        <v>15</v>
      </c>
      <c r="I1249">
        <v>347725</v>
      </c>
    </row>
    <row r="1250" spans="1:9" x14ac:dyDescent="0.25">
      <c r="A1250" s="5" t="str">
        <f>TrendSheetPrdData[[#This Row],[Population]]&amp;TrendSheetPrdData[[#This Row],[Cost Basis]]&amp;TrendSheetPrdData[[#This Row],[Period]]&amp;TrendSheetPrdData[[#This Row],[Trend]]</f>
        <v>CHESAPEAKE EMPLOYEEPaid2016-05-01Drug - Generic Utilization Cost</v>
      </c>
      <c r="B1250" t="s">
        <v>90</v>
      </c>
      <c r="C1250" t="s">
        <v>90</v>
      </c>
      <c r="D1250" t="s">
        <v>78</v>
      </c>
      <c r="E1250" s="1" t="s">
        <v>95</v>
      </c>
      <c r="F1250" t="s">
        <v>93</v>
      </c>
      <c r="G1250" t="s">
        <v>26</v>
      </c>
      <c r="H1250">
        <v>15</v>
      </c>
      <c r="I1250">
        <v>399080</v>
      </c>
    </row>
    <row r="1251" spans="1:9" x14ac:dyDescent="0.25">
      <c r="A1251" s="5" t="str">
        <f>TrendSheetPrdData[[#This Row],[Population]]&amp;TrendSheetPrdData[[#This Row],[Cost Basis]]&amp;TrendSheetPrdData[[#This Row],[Period]]&amp;TrendSheetPrdData[[#This Row],[Trend]]</f>
        <v>CHESAPEAKE EMPLOYEEPaid2016-06-01Drug - Generic Utilization Cost</v>
      </c>
      <c r="B1251" t="s">
        <v>90</v>
      </c>
      <c r="C1251" t="s">
        <v>90</v>
      </c>
      <c r="D1251" t="s">
        <v>78</v>
      </c>
      <c r="E1251" s="1" t="s">
        <v>96</v>
      </c>
      <c r="F1251" t="s">
        <v>93</v>
      </c>
      <c r="G1251" t="s">
        <v>26</v>
      </c>
      <c r="H1251">
        <v>15</v>
      </c>
      <c r="I1251">
        <v>310259</v>
      </c>
    </row>
    <row r="1252" spans="1:9" x14ac:dyDescent="0.25">
      <c r="A1252" s="5" t="str">
        <f>TrendSheetPrdData[[#This Row],[Population]]&amp;TrendSheetPrdData[[#This Row],[Cost Basis]]&amp;TrendSheetPrdData[[#This Row],[Period]]&amp;TrendSheetPrdData[[#This Row],[Trend]]</f>
        <v>CHESAPEAKE EMPLOYEEPaid2016-07-01Drug - Generic Utilization Cost</v>
      </c>
      <c r="B1252" t="s">
        <v>90</v>
      </c>
      <c r="C1252" t="s">
        <v>90</v>
      </c>
      <c r="D1252" t="s">
        <v>78</v>
      </c>
      <c r="E1252" s="1" t="s">
        <v>97</v>
      </c>
      <c r="F1252" t="s">
        <v>93</v>
      </c>
      <c r="G1252" t="s">
        <v>26</v>
      </c>
      <c r="H1252">
        <v>15</v>
      </c>
      <c r="I1252">
        <v>313970</v>
      </c>
    </row>
    <row r="1253" spans="1:9" x14ac:dyDescent="0.25">
      <c r="A1253" s="5" t="str">
        <f>TrendSheetPrdData[[#This Row],[Population]]&amp;TrendSheetPrdData[[#This Row],[Cost Basis]]&amp;TrendSheetPrdData[[#This Row],[Period]]&amp;TrendSheetPrdData[[#This Row],[Trend]]</f>
        <v>CHESAPEAKE EMPLOYEEPaid2016-08-01Drug - Generic Utilization Cost</v>
      </c>
      <c r="B1253" t="s">
        <v>90</v>
      </c>
      <c r="C1253" t="s">
        <v>90</v>
      </c>
      <c r="D1253" t="s">
        <v>78</v>
      </c>
      <c r="E1253" s="1" t="s">
        <v>98</v>
      </c>
      <c r="F1253" t="s">
        <v>93</v>
      </c>
      <c r="G1253" t="s">
        <v>26</v>
      </c>
      <c r="H1253">
        <v>15</v>
      </c>
      <c r="I1253">
        <v>326336</v>
      </c>
    </row>
    <row r="1254" spans="1:9" x14ac:dyDescent="0.25">
      <c r="A1254" s="5" t="str">
        <f>TrendSheetPrdData[[#This Row],[Population]]&amp;TrendSheetPrdData[[#This Row],[Cost Basis]]&amp;TrendSheetPrdData[[#This Row],[Period]]&amp;TrendSheetPrdData[[#This Row],[Trend]]</f>
        <v>CHESAPEAKE EMPLOYEEPaid2016-09-01Drug - Generic Utilization Cost</v>
      </c>
      <c r="B1254" t="s">
        <v>90</v>
      </c>
      <c r="C1254" t="s">
        <v>90</v>
      </c>
      <c r="D1254" t="s">
        <v>78</v>
      </c>
      <c r="E1254" s="1" t="s">
        <v>99</v>
      </c>
      <c r="F1254" t="s">
        <v>93</v>
      </c>
      <c r="G1254" t="s">
        <v>26</v>
      </c>
      <c r="H1254">
        <v>15</v>
      </c>
      <c r="I1254">
        <v>312102</v>
      </c>
    </row>
    <row r="1255" spans="1:9" x14ac:dyDescent="0.25">
      <c r="A1255" s="5" t="str">
        <f>TrendSheetPrdData[[#This Row],[Population]]&amp;TrendSheetPrdData[[#This Row],[Cost Basis]]&amp;TrendSheetPrdData[[#This Row],[Period]]&amp;TrendSheetPrdData[[#This Row],[Trend]]</f>
        <v>CHESAPEAKE EMPLOYEEPaid2016-10-01Drug - Generic Utilization Cost</v>
      </c>
      <c r="B1255" t="s">
        <v>90</v>
      </c>
      <c r="C1255" t="s">
        <v>90</v>
      </c>
      <c r="D1255" t="s">
        <v>78</v>
      </c>
      <c r="E1255" s="1" t="s">
        <v>100</v>
      </c>
      <c r="F1255" t="s">
        <v>93</v>
      </c>
      <c r="G1255" t="s">
        <v>26</v>
      </c>
      <c r="H1255">
        <v>15</v>
      </c>
      <c r="I1255">
        <v>322884</v>
      </c>
    </row>
    <row r="1256" spans="1:9" x14ac:dyDescent="0.25">
      <c r="A1256" s="5" t="str">
        <f>TrendSheetPrdData[[#This Row],[Population]]&amp;TrendSheetPrdData[[#This Row],[Cost Basis]]&amp;TrendSheetPrdData[[#This Row],[Period]]&amp;TrendSheetPrdData[[#This Row],[Trend]]</f>
        <v>CHESAPEAKE EMPLOYEEPaid2016-11-01Drug - Generic Utilization Cost</v>
      </c>
      <c r="B1256" t="s">
        <v>90</v>
      </c>
      <c r="C1256" t="s">
        <v>90</v>
      </c>
      <c r="D1256" t="s">
        <v>78</v>
      </c>
      <c r="E1256" s="1" t="s">
        <v>101</v>
      </c>
      <c r="F1256" t="s">
        <v>93</v>
      </c>
      <c r="G1256" t="s">
        <v>26</v>
      </c>
      <c r="H1256">
        <v>15</v>
      </c>
      <c r="I1256">
        <v>343213</v>
      </c>
    </row>
    <row r="1257" spans="1:9" x14ac:dyDescent="0.25">
      <c r="A1257" s="5" t="str">
        <f>TrendSheetPrdData[[#This Row],[Population]]&amp;TrendSheetPrdData[[#This Row],[Cost Basis]]&amp;TrendSheetPrdData[[#This Row],[Period]]&amp;TrendSheetPrdData[[#This Row],[Trend]]</f>
        <v>CHESAPEAKE EMPLOYEEPaid2016-12-01Drug - Generic Utilization Cost</v>
      </c>
      <c r="B1257" t="s">
        <v>90</v>
      </c>
      <c r="C1257" t="s">
        <v>90</v>
      </c>
      <c r="D1257" t="s">
        <v>78</v>
      </c>
      <c r="E1257" s="1" t="s">
        <v>102</v>
      </c>
      <c r="F1257" t="s">
        <v>93</v>
      </c>
      <c r="G1257" t="s">
        <v>26</v>
      </c>
      <c r="H1257">
        <v>15</v>
      </c>
      <c r="I1257">
        <v>372060</v>
      </c>
    </row>
    <row r="1258" spans="1:9" x14ac:dyDescent="0.25">
      <c r="A1258" s="5" t="str">
        <f>TrendSheetPrdData[[#This Row],[Population]]&amp;TrendSheetPrdData[[#This Row],[Cost Basis]]&amp;TrendSheetPrdData[[#This Row],[Period]]&amp;TrendSheetPrdData[[#This Row],[Trend]]</f>
        <v>CHESAPEAKE EMPLOYEEPaid2017-01-01Drug - Generic Utilization Cost</v>
      </c>
      <c r="B1258" t="s">
        <v>90</v>
      </c>
      <c r="C1258" t="s">
        <v>90</v>
      </c>
      <c r="D1258" t="s">
        <v>78</v>
      </c>
      <c r="E1258" s="1" t="s">
        <v>103</v>
      </c>
      <c r="F1258" t="s">
        <v>93</v>
      </c>
      <c r="G1258" t="s">
        <v>26</v>
      </c>
      <c r="H1258">
        <v>15</v>
      </c>
      <c r="I1258">
        <v>273580</v>
      </c>
    </row>
    <row r="1259" spans="1:9" x14ac:dyDescent="0.25">
      <c r="A1259" s="5" t="str">
        <f>TrendSheetPrdData[[#This Row],[Population]]&amp;TrendSheetPrdData[[#This Row],[Cost Basis]]&amp;TrendSheetPrdData[[#This Row],[Period]]&amp;TrendSheetPrdData[[#This Row],[Trend]]</f>
        <v>CHESAPEAKE EMPLOYEEPaid2017-02-01Drug - Generic Utilization Cost</v>
      </c>
      <c r="B1259" t="s">
        <v>90</v>
      </c>
      <c r="C1259" t="s">
        <v>90</v>
      </c>
      <c r="D1259" t="s">
        <v>78</v>
      </c>
      <c r="E1259" s="1" t="s">
        <v>104</v>
      </c>
      <c r="F1259" t="s">
        <v>106</v>
      </c>
      <c r="G1259" t="s">
        <v>26</v>
      </c>
      <c r="H1259">
        <v>15</v>
      </c>
      <c r="I1259">
        <v>342561</v>
      </c>
    </row>
    <row r="1260" spans="1:9" x14ac:dyDescent="0.25">
      <c r="A1260" s="5" t="str">
        <f>TrendSheetPrdData[[#This Row],[Population]]&amp;TrendSheetPrdData[[#This Row],[Cost Basis]]&amp;TrendSheetPrdData[[#This Row],[Period]]&amp;TrendSheetPrdData[[#This Row],[Trend]]</f>
        <v>CHESAPEAKE EMPLOYEEPaid2017-03-01Drug - Generic Utilization Cost</v>
      </c>
      <c r="B1260" t="s">
        <v>90</v>
      </c>
      <c r="C1260" t="s">
        <v>90</v>
      </c>
      <c r="D1260" t="s">
        <v>78</v>
      </c>
      <c r="E1260" s="1" t="s">
        <v>105</v>
      </c>
      <c r="F1260" t="s">
        <v>106</v>
      </c>
      <c r="G1260" t="s">
        <v>26</v>
      </c>
      <c r="H1260">
        <v>15</v>
      </c>
      <c r="I1260">
        <v>370696</v>
      </c>
    </row>
    <row r="1261" spans="1:9" x14ac:dyDescent="0.25">
      <c r="A1261" s="5" t="str">
        <f>TrendSheetPrdData[[#This Row],[Population]]&amp;TrendSheetPrdData[[#This Row],[Cost Basis]]&amp;TrendSheetPrdData[[#This Row],[Period]]&amp;TrendSheetPrdData[[#This Row],[Trend]]</f>
        <v>CHESAPEAKE EMPLOYEEPaid2017-04-01Drug - Generic Utilization Cost</v>
      </c>
      <c r="B1261" t="s">
        <v>90</v>
      </c>
      <c r="C1261" t="s">
        <v>90</v>
      </c>
      <c r="D1261" t="s">
        <v>78</v>
      </c>
      <c r="E1261" s="1" t="s">
        <v>107</v>
      </c>
      <c r="F1261" t="s">
        <v>106</v>
      </c>
      <c r="G1261" t="s">
        <v>26</v>
      </c>
      <c r="H1261">
        <v>15</v>
      </c>
      <c r="I1261">
        <v>280811</v>
      </c>
    </row>
    <row r="1262" spans="1:9" x14ac:dyDescent="0.25">
      <c r="A1262" s="5" t="str">
        <f>TrendSheetPrdData[[#This Row],[Population]]&amp;TrendSheetPrdData[[#This Row],[Cost Basis]]&amp;TrendSheetPrdData[[#This Row],[Period]]&amp;TrendSheetPrdData[[#This Row],[Trend]]</f>
        <v>CHESAPEAKE EMPLOYEEPaid2016-02-01Drug - Generic Utilization</v>
      </c>
      <c r="B1262" t="s">
        <v>90</v>
      </c>
      <c r="C1262" t="s">
        <v>90</v>
      </c>
      <c r="D1262" t="s">
        <v>78</v>
      </c>
      <c r="E1262" s="1" t="s">
        <v>133</v>
      </c>
      <c r="F1262" t="s">
        <v>93</v>
      </c>
      <c r="G1262" t="s">
        <v>27</v>
      </c>
      <c r="H1262">
        <v>16</v>
      </c>
      <c r="I1262">
        <v>0.75</v>
      </c>
    </row>
    <row r="1263" spans="1:9" x14ac:dyDescent="0.25">
      <c r="A1263" s="5" t="str">
        <f>TrendSheetPrdData[[#This Row],[Population]]&amp;TrendSheetPrdData[[#This Row],[Cost Basis]]&amp;TrendSheetPrdData[[#This Row],[Period]]&amp;TrendSheetPrdData[[#This Row],[Trend]]</f>
        <v>CHESAPEAKE EMPLOYEEPaid2016-03-01Drug - Generic Utilization</v>
      </c>
      <c r="B1263" t="s">
        <v>90</v>
      </c>
      <c r="C1263" t="s">
        <v>90</v>
      </c>
      <c r="D1263" t="s">
        <v>78</v>
      </c>
      <c r="E1263" s="1" t="s">
        <v>92</v>
      </c>
      <c r="F1263" t="s">
        <v>93</v>
      </c>
      <c r="G1263" t="s">
        <v>27</v>
      </c>
      <c r="H1263">
        <v>16</v>
      </c>
      <c r="I1263">
        <v>0.76</v>
      </c>
    </row>
    <row r="1264" spans="1:9" x14ac:dyDescent="0.25">
      <c r="A1264" s="5" t="str">
        <f>TrendSheetPrdData[[#This Row],[Population]]&amp;TrendSheetPrdData[[#This Row],[Cost Basis]]&amp;TrendSheetPrdData[[#This Row],[Period]]&amp;TrendSheetPrdData[[#This Row],[Trend]]</f>
        <v>CHESAPEAKE EMPLOYEEPaid2016-04-01Drug - Generic Utilization</v>
      </c>
      <c r="B1264" t="s">
        <v>90</v>
      </c>
      <c r="C1264" t="s">
        <v>90</v>
      </c>
      <c r="D1264" t="s">
        <v>78</v>
      </c>
      <c r="E1264" s="1" t="s">
        <v>94</v>
      </c>
      <c r="F1264" t="s">
        <v>93</v>
      </c>
      <c r="G1264" t="s">
        <v>27</v>
      </c>
      <c r="H1264">
        <v>16</v>
      </c>
      <c r="I1264">
        <v>0.78</v>
      </c>
    </row>
    <row r="1265" spans="1:9" x14ac:dyDescent="0.25">
      <c r="A1265" s="5" t="str">
        <f>TrendSheetPrdData[[#This Row],[Population]]&amp;TrendSheetPrdData[[#This Row],[Cost Basis]]&amp;TrendSheetPrdData[[#This Row],[Period]]&amp;TrendSheetPrdData[[#This Row],[Trend]]</f>
        <v>CHESAPEAKE EMPLOYEEPaid2016-05-01Drug - Generic Utilization</v>
      </c>
      <c r="B1265" t="s">
        <v>90</v>
      </c>
      <c r="C1265" t="s">
        <v>90</v>
      </c>
      <c r="D1265" t="s">
        <v>78</v>
      </c>
      <c r="E1265" s="1" t="s">
        <v>95</v>
      </c>
      <c r="F1265" t="s">
        <v>93</v>
      </c>
      <c r="G1265" t="s">
        <v>27</v>
      </c>
      <c r="H1265">
        <v>16</v>
      </c>
      <c r="I1265">
        <v>0.8</v>
      </c>
    </row>
    <row r="1266" spans="1:9" x14ac:dyDescent="0.25">
      <c r="A1266" s="5" t="str">
        <f>TrendSheetPrdData[[#This Row],[Population]]&amp;TrendSheetPrdData[[#This Row],[Cost Basis]]&amp;TrendSheetPrdData[[#This Row],[Period]]&amp;TrendSheetPrdData[[#This Row],[Trend]]</f>
        <v>CHESAPEAKE EMPLOYEEPaid2016-06-01Drug - Generic Utilization</v>
      </c>
      <c r="B1266" t="s">
        <v>90</v>
      </c>
      <c r="C1266" t="s">
        <v>90</v>
      </c>
      <c r="D1266" t="s">
        <v>78</v>
      </c>
      <c r="E1266" s="1" t="s">
        <v>96</v>
      </c>
      <c r="F1266" t="s">
        <v>93</v>
      </c>
      <c r="G1266" t="s">
        <v>27</v>
      </c>
      <c r="H1266">
        <v>16</v>
      </c>
      <c r="I1266">
        <v>0.8</v>
      </c>
    </row>
    <row r="1267" spans="1:9" x14ac:dyDescent="0.25">
      <c r="A1267" s="5" t="str">
        <f>TrendSheetPrdData[[#This Row],[Population]]&amp;TrendSheetPrdData[[#This Row],[Cost Basis]]&amp;TrendSheetPrdData[[#This Row],[Period]]&amp;TrendSheetPrdData[[#This Row],[Trend]]</f>
        <v>CHESAPEAKE EMPLOYEEPaid2016-07-01Drug - Generic Utilization</v>
      </c>
      <c r="B1267" t="s">
        <v>90</v>
      </c>
      <c r="C1267" t="s">
        <v>90</v>
      </c>
      <c r="D1267" t="s">
        <v>78</v>
      </c>
      <c r="E1267" s="1" t="s">
        <v>97</v>
      </c>
      <c r="F1267" t="s">
        <v>93</v>
      </c>
      <c r="G1267" t="s">
        <v>27</v>
      </c>
      <c r="H1267">
        <v>16</v>
      </c>
      <c r="I1267">
        <v>0.79</v>
      </c>
    </row>
    <row r="1268" spans="1:9" x14ac:dyDescent="0.25">
      <c r="A1268" s="5" t="str">
        <f>TrendSheetPrdData[[#This Row],[Population]]&amp;TrendSheetPrdData[[#This Row],[Cost Basis]]&amp;TrendSheetPrdData[[#This Row],[Period]]&amp;TrendSheetPrdData[[#This Row],[Trend]]</f>
        <v>CHESAPEAKE EMPLOYEEPaid2016-08-01Drug - Generic Utilization</v>
      </c>
      <c r="B1268" t="s">
        <v>90</v>
      </c>
      <c r="C1268" t="s">
        <v>90</v>
      </c>
      <c r="D1268" t="s">
        <v>78</v>
      </c>
      <c r="E1268" s="1" t="s">
        <v>98</v>
      </c>
      <c r="F1268" t="s">
        <v>93</v>
      </c>
      <c r="G1268" t="s">
        <v>27</v>
      </c>
      <c r="H1268">
        <v>16</v>
      </c>
      <c r="I1268">
        <v>0.81</v>
      </c>
    </row>
    <row r="1269" spans="1:9" x14ac:dyDescent="0.25">
      <c r="A1269" s="5" t="str">
        <f>TrendSheetPrdData[[#This Row],[Population]]&amp;TrendSheetPrdData[[#This Row],[Cost Basis]]&amp;TrendSheetPrdData[[#This Row],[Period]]&amp;TrendSheetPrdData[[#This Row],[Trend]]</f>
        <v>CHESAPEAKE EMPLOYEEPaid2016-09-01Drug - Generic Utilization</v>
      </c>
      <c r="B1269" t="s">
        <v>90</v>
      </c>
      <c r="C1269" t="s">
        <v>90</v>
      </c>
      <c r="D1269" t="s">
        <v>78</v>
      </c>
      <c r="E1269" s="1" t="s">
        <v>99</v>
      </c>
      <c r="F1269" t="s">
        <v>93</v>
      </c>
      <c r="G1269" t="s">
        <v>27</v>
      </c>
      <c r="H1269">
        <v>16</v>
      </c>
      <c r="I1269">
        <v>0.8</v>
      </c>
    </row>
    <row r="1270" spans="1:9" x14ac:dyDescent="0.25">
      <c r="A1270" s="5" t="str">
        <f>TrendSheetPrdData[[#This Row],[Population]]&amp;TrendSheetPrdData[[#This Row],[Cost Basis]]&amp;TrendSheetPrdData[[#This Row],[Period]]&amp;TrendSheetPrdData[[#This Row],[Trend]]</f>
        <v>CHESAPEAKE EMPLOYEEPaid2016-10-01Drug - Generic Utilization</v>
      </c>
      <c r="B1270" t="s">
        <v>90</v>
      </c>
      <c r="C1270" t="s">
        <v>90</v>
      </c>
      <c r="D1270" t="s">
        <v>78</v>
      </c>
      <c r="E1270" s="1" t="s">
        <v>100</v>
      </c>
      <c r="F1270" t="s">
        <v>93</v>
      </c>
      <c r="G1270" t="s">
        <v>27</v>
      </c>
      <c r="H1270">
        <v>16</v>
      </c>
      <c r="I1270">
        <v>0.79</v>
      </c>
    </row>
    <row r="1271" spans="1:9" x14ac:dyDescent="0.25">
      <c r="A1271" s="5" t="str">
        <f>TrendSheetPrdData[[#This Row],[Population]]&amp;TrendSheetPrdData[[#This Row],[Cost Basis]]&amp;TrendSheetPrdData[[#This Row],[Period]]&amp;TrendSheetPrdData[[#This Row],[Trend]]</f>
        <v>CHESAPEAKE EMPLOYEEPaid2016-11-01Drug - Generic Utilization</v>
      </c>
      <c r="B1271" t="s">
        <v>90</v>
      </c>
      <c r="C1271" t="s">
        <v>90</v>
      </c>
      <c r="D1271" t="s">
        <v>78</v>
      </c>
      <c r="E1271" s="1" t="s">
        <v>101</v>
      </c>
      <c r="F1271" t="s">
        <v>93</v>
      </c>
      <c r="G1271" t="s">
        <v>27</v>
      </c>
      <c r="H1271">
        <v>16</v>
      </c>
      <c r="I1271">
        <v>0.79</v>
      </c>
    </row>
    <row r="1272" spans="1:9" x14ac:dyDescent="0.25">
      <c r="A1272" s="5" t="str">
        <f>TrendSheetPrdData[[#This Row],[Population]]&amp;TrendSheetPrdData[[#This Row],[Cost Basis]]&amp;TrendSheetPrdData[[#This Row],[Period]]&amp;TrendSheetPrdData[[#This Row],[Trend]]</f>
        <v>CHESAPEAKE EMPLOYEEPaid2016-12-01Drug - Generic Utilization</v>
      </c>
      <c r="B1272" t="s">
        <v>90</v>
      </c>
      <c r="C1272" t="s">
        <v>90</v>
      </c>
      <c r="D1272" t="s">
        <v>78</v>
      </c>
      <c r="E1272" s="1" t="s">
        <v>102</v>
      </c>
      <c r="F1272" t="s">
        <v>93</v>
      </c>
      <c r="G1272" t="s">
        <v>27</v>
      </c>
      <c r="H1272">
        <v>16</v>
      </c>
      <c r="I1272">
        <v>0.82</v>
      </c>
    </row>
    <row r="1273" spans="1:9" x14ac:dyDescent="0.25">
      <c r="A1273" s="5" t="str">
        <f>TrendSheetPrdData[[#This Row],[Population]]&amp;TrendSheetPrdData[[#This Row],[Cost Basis]]&amp;TrendSheetPrdData[[#This Row],[Period]]&amp;TrendSheetPrdData[[#This Row],[Trend]]</f>
        <v>CHESAPEAKE EMPLOYEEPaid2017-01-01Drug - Generic Utilization</v>
      </c>
      <c r="B1273" t="s">
        <v>90</v>
      </c>
      <c r="C1273" t="s">
        <v>90</v>
      </c>
      <c r="D1273" t="s">
        <v>78</v>
      </c>
      <c r="E1273" s="1" t="s">
        <v>103</v>
      </c>
      <c r="F1273" t="s">
        <v>93</v>
      </c>
      <c r="G1273" t="s">
        <v>27</v>
      </c>
      <c r="H1273">
        <v>16</v>
      </c>
      <c r="I1273">
        <v>0.79</v>
      </c>
    </row>
    <row r="1274" spans="1:9" x14ac:dyDescent="0.25">
      <c r="A1274" s="5" t="str">
        <f>TrendSheetPrdData[[#This Row],[Population]]&amp;TrendSheetPrdData[[#This Row],[Cost Basis]]&amp;TrendSheetPrdData[[#This Row],[Period]]&amp;TrendSheetPrdData[[#This Row],[Trend]]</f>
        <v>CHESAPEAKE EMPLOYEEPaid2017-02-01Drug - Generic Utilization</v>
      </c>
      <c r="B1274" t="s">
        <v>90</v>
      </c>
      <c r="C1274" t="s">
        <v>90</v>
      </c>
      <c r="D1274" t="s">
        <v>78</v>
      </c>
      <c r="E1274" s="1" t="s">
        <v>104</v>
      </c>
      <c r="F1274" t="s">
        <v>106</v>
      </c>
      <c r="G1274" t="s">
        <v>27</v>
      </c>
      <c r="H1274">
        <v>16</v>
      </c>
      <c r="I1274">
        <v>0.79</v>
      </c>
    </row>
    <row r="1275" spans="1:9" x14ac:dyDescent="0.25">
      <c r="A1275" s="5" t="str">
        <f>TrendSheetPrdData[[#This Row],[Population]]&amp;TrendSheetPrdData[[#This Row],[Cost Basis]]&amp;TrendSheetPrdData[[#This Row],[Period]]&amp;TrendSheetPrdData[[#This Row],[Trend]]</f>
        <v>CHESAPEAKE EMPLOYEEPaid2017-03-01Drug - Generic Utilization</v>
      </c>
      <c r="B1275" t="s">
        <v>90</v>
      </c>
      <c r="C1275" t="s">
        <v>90</v>
      </c>
      <c r="D1275" t="s">
        <v>78</v>
      </c>
      <c r="E1275" s="1" t="s">
        <v>105</v>
      </c>
      <c r="F1275" t="s">
        <v>106</v>
      </c>
      <c r="G1275" t="s">
        <v>27</v>
      </c>
      <c r="H1275">
        <v>16</v>
      </c>
      <c r="I1275">
        <v>0.82</v>
      </c>
    </row>
    <row r="1276" spans="1:9" x14ac:dyDescent="0.25">
      <c r="A1276" s="5" t="str">
        <f>TrendSheetPrdData[[#This Row],[Population]]&amp;TrendSheetPrdData[[#This Row],[Cost Basis]]&amp;TrendSheetPrdData[[#This Row],[Period]]&amp;TrendSheetPrdData[[#This Row],[Trend]]</f>
        <v>CHESAPEAKE EMPLOYEEPaid2017-04-01Drug - Generic Utilization</v>
      </c>
      <c r="B1276" t="s">
        <v>90</v>
      </c>
      <c r="C1276" t="s">
        <v>90</v>
      </c>
      <c r="D1276" t="s">
        <v>78</v>
      </c>
      <c r="E1276" s="1" t="s">
        <v>107</v>
      </c>
      <c r="F1276" t="s">
        <v>106</v>
      </c>
      <c r="G1276" t="s">
        <v>27</v>
      </c>
      <c r="H1276">
        <v>16</v>
      </c>
      <c r="I1276">
        <v>0.82</v>
      </c>
    </row>
    <row r="1277" spans="1:9" x14ac:dyDescent="0.25">
      <c r="A1277" s="5" t="str">
        <f>TrendSheetPrdData[[#This Row],[Population]]&amp;TrendSheetPrdData[[#This Row],[Cost Basis]]&amp;TrendSheetPrdData[[#This Row],[Period]]&amp;TrendSheetPrdData[[#This Row],[Trend]]</f>
        <v>CHESAPEAKE EMPLOYEEPaid2016-02-01Chronic Disease Management - Cost</v>
      </c>
      <c r="B1277" t="s">
        <v>90</v>
      </c>
      <c r="C1277" t="s">
        <v>90</v>
      </c>
      <c r="D1277" t="s">
        <v>78</v>
      </c>
      <c r="E1277" s="1" t="s">
        <v>133</v>
      </c>
      <c r="F1277" t="s">
        <v>93</v>
      </c>
      <c r="G1277" t="s">
        <v>28</v>
      </c>
      <c r="H1277">
        <v>17</v>
      </c>
      <c r="I1277">
        <v>478405</v>
      </c>
    </row>
    <row r="1278" spans="1:9" x14ac:dyDescent="0.25">
      <c r="A1278" s="5" t="str">
        <f>TrendSheetPrdData[[#This Row],[Population]]&amp;TrendSheetPrdData[[#This Row],[Cost Basis]]&amp;TrendSheetPrdData[[#This Row],[Period]]&amp;TrendSheetPrdData[[#This Row],[Trend]]</f>
        <v>CHESAPEAKE EMPLOYEEPaid2016-03-01Chronic Disease Management - Cost</v>
      </c>
      <c r="B1278" t="s">
        <v>90</v>
      </c>
      <c r="C1278" t="s">
        <v>90</v>
      </c>
      <c r="D1278" t="s">
        <v>78</v>
      </c>
      <c r="E1278" s="1" t="s">
        <v>92</v>
      </c>
      <c r="F1278" t="s">
        <v>93</v>
      </c>
      <c r="G1278" t="s">
        <v>28</v>
      </c>
      <c r="H1278">
        <v>17</v>
      </c>
      <c r="I1278">
        <v>828829</v>
      </c>
    </row>
    <row r="1279" spans="1:9" x14ac:dyDescent="0.25">
      <c r="A1279" s="5" t="str">
        <f>TrendSheetPrdData[[#This Row],[Population]]&amp;TrendSheetPrdData[[#This Row],[Cost Basis]]&amp;TrendSheetPrdData[[#This Row],[Period]]&amp;TrendSheetPrdData[[#This Row],[Trend]]</f>
        <v>CHESAPEAKE EMPLOYEEPaid2016-04-01Chronic Disease Management - Cost</v>
      </c>
      <c r="B1279" t="s">
        <v>90</v>
      </c>
      <c r="C1279" t="s">
        <v>90</v>
      </c>
      <c r="D1279" t="s">
        <v>78</v>
      </c>
      <c r="E1279" s="1" t="s">
        <v>94</v>
      </c>
      <c r="F1279" t="s">
        <v>93</v>
      </c>
      <c r="G1279" t="s">
        <v>28</v>
      </c>
      <c r="H1279">
        <v>17</v>
      </c>
      <c r="I1279">
        <v>764824</v>
      </c>
    </row>
    <row r="1280" spans="1:9" x14ac:dyDescent="0.25">
      <c r="A1280" s="5" t="str">
        <f>TrendSheetPrdData[[#This Row],[Population]]&amp;TrendSheetPrdData[[#This Row],[Cost Basis]]&amp;TrendSheetPrdData[[#This Row],[Period]]&amp;TrendSheetPrdData[[#This Row],[Trend]]</f>
        <v>CHESAPEAKE EMPLOYEEPaid2016-05-01Chronic Disease Management - Cost</v>
      </c>
      <c r="B1280" t="s">
        <v>90</v>
      </c>
      <c r="C1280" t="s">
        <v>90</v>
      </c>
      <c r="D1280" t="s">
        <v>78</v>
      </c>
      <c r="E1280" s="1" t="s">
        <v>95</v>
      </c>
      <c r="F1280" t="s">
        <v>93</v>
      </c>
      <c r="G1280" t="s">
        <v>28</v>
      </c>
      <c r="H1280">
        <v>17</v>
      </c>
      <c r="I1280">
        <v>996146</v>
      </c>
    </row>
    <row r="1281" spans="1:9" x14ac:dyDescent="0.25">
      <c r="A1281" s="5" t="str">
        <f>TrendSheetPrdData[[#This Row],[Population]]&amp;TrendSheetPrdData[[#This Row],[Cost Basis]]&amp;TrendSheetPrdData[[#This Row],[Period]]&amp;TrendSheetPrdData[[#This Row],[Trend]]</f>
        <v>CHESAPEAKE EMPLOYEEPaid2016-06-01Chronic Disease Management - Cost</v>
      </c>
      <c r="B1281" t="s">
        <v>90</v>
      </c>
      <c r="C1281" t="s">
        <v>90</v>
      </c>
      <c r="D1281" t="s">
        <v>78</v>
      </c>
      <c r="E1281" s="1" t="s">
        <v>96</v>
      </c>
      <c r="F1281" t="s">
        <v>93</v>
      </c>
      <c r="G1281" t="s">
        <v>28</v>
      </c>
      <c r="H1281">
        <v>17</v>
      </c>
      <c r="I1281">
        <v>979028</v>
      </c>
    </row>
    <row r="1282" spans="1:9" x14ac:dyDescent="0.25">
      <c r="A1282" s="5" t="str">
        <f>TrendSheetPrdData[[#This Row],[Population]]&amp;TrendSheetPrdData[[#This Row],[Cost Basis]]&amp;TrendSheetPrdData[[#This Row],[Period]]&amp;TrendSheetPrdData[[#This Row],[Trend]]</f>
        <v>CHESAPEAKE EMPLOYEEPaid2016-07-01Chronic Disease Management - Cost</v>
      </c>
      <c r="B1282" t="s">
        <v>90</v>
      </c>
      <c r="C1282" t="s">
        <v>90</v>
      </c>
      <c r="D1282" t="s">
        <v>78</v>
      </c>
      <c r="E1282" s="1" t="s">
        <v>97</v>
      </c>
      <c r="F1282" t="s">
        <v>93</v>
      </c>
      <c r="G1282" t="s">
        <v>28</v>
      </c>
      <c r="H1282">
        <v>17</v>
      </c>
      <c r="I1282">
        <v>1037740</v>
      </c>
    </row>
    <row r="1283" spans="1:9" x14ac:dyDescent="0.25">
      <c r="A1283" s="5" t="str">
        <f>TrendSheetPrdData[[#This Row],[Population]]&amp;TrendSheetPrdData[[#This Row],[Cost Basis]]&amp;TrendSheetPrdData[[#This Row],[Period]]&amp;TrendSheetPrdData[[#This Row],[Trend]]</f>
        <v>CHESAPEAKE EMPLOYEEPaid2016-08-01Chronic Disease Management - Cost</v>
      </c>
      <c r="B1283" t="s">
        <v>90</v>
      </c>
      <c r="C1283" t="s">
        <v>90</v>
      </c>
      <c r="D1283" t="s">
        <v>78</v>
      </c>
      <c r="E1283" s="1" t="s">
        <v>98</v>
      </c>
      <c r="F1283" t="s">
        <v>93</v>
      </c>
      <c r="G1283" t="s">
        <v>28</v>
      </c>
      <c r="H1283">
        <v>17</v>
      </c>
      <c r="I1283">
        <v>739936</v>
      </c>
    </row>
    <row r="1284" spans="1:9" x14ac:dyDescent="0.25">
      <c r="A1284" s="5" t="str">
        <f>TrendSheetPrdData[[#This Row],[Population]]&amp;TrendSheetPrdData[[#This Row],[Cost Basis]]&amp;TrendSheetPrdData[[#This Row],[Period]]&amp;TrendSheetPrdData[[#This Row],[Trend]]</f>
        <v>CHESAPEAKE EMPLOYEEPaid2016-09-01Chronic Disease Management - Cost</v>
      </c>
      <c r="B1284" t="s">
        <v>90</v>
      </c>
      <c r="C1284" t="s">
        <v>90</v>
      </c>
      <c r="D1284" t="s">
        <v>78</v>
      </c>
      <c r="E1284" s="1" t="s">
        <v>99</v>
      </c>
      <c r="F1284" t="s">
        <v>93</v>
      </c>
      <c r="G1284" t="s">
        <v>28</v>
      </c>
      <c r="H1284">
        <v>17</v>
      </c>
      <c r="I1284">
        <v>804650</v>
      </c>
    </row>
    <row r="1285" spans="1:9" x14ac:dyDescent="0.25">
      <c r="A1285" s="5" t="str">
        <f>TrendSheetPrdData[[#This Row],[Population]]&amp;TrendSheetPrdData[[#This Row],[Cost Basis]]&amp;TrendSheetPrdData[[#This Row],[Period]]&amp;TrendSheetPrdData[[#This Row],[Trend]]</f>
        <v>CHESAPEAKE EMPLOYEEPaid2016-10-01Chronic Disease Management - Cost</v>
      </c>
      <c r="B1285" t="s">
        <v>90</v>
      </c>
      <c r="C1285" t="s">
        <v>90</v>
      </c>
      <c r="D1285" t="s">
        <v>78</v>
      </c>
      <c r="E1285" s="1" t="s">
        <v>100</v>
      </c>
      <c r="F1285" t="s">
        <v>93</v>
      </c>
      <c r="G1285" t="s">
        <v>28</v>
      </c>
      <c r="H1285">
        <v>17</v>
      </c>
      <c r="I1285">
        <v>960451</v>
      </c>
    </row>
    <row r="1286" spans="1:9" x14ac:dyDescent="0.25">
      <c r="A1286" s="5" t="str">
        <f>TrendSheetPrdData[[#This Row],[Population]]&amp;TrendSheetPrdData[[#This Row],[Cost Basis]]&amp;TrendSheetPrdData[[#This Row],[Period]]&amp;TrendSheetPrdData[[#This Row],[Trend]]</f>
        <v>CHESAPEAKE EMPLOYEEPaid2016-11-01Chronic Disease Management - Cost</v>
      </c>
      <c r="B1286" t="s">
        <v>90</v>
      </c>
      <c r="C1286" t="s">
        <v>90</v>
      </c>
      <c r="D1286" t="s">
        <v>78</v>
      </c>
      <c r="E1286" s="1" t="s">
        <v>101</v>
      </c>
      <c r="F1286" t="s">
        <v>93</v>
      </c>
      <c r="G1286" t="s">
        <v>28</v>
      </c>
      <c r="H1286">
        <v>17</v>
      </c>
      <c r="I1286">
        <v>888575</v>
      </c>
    </row>
    <row r="1287" spans="1:9" x14ac:dyDescent="0.25">
      <c r="A1287" s="5" t="str">
        <f>TrendSheetPrdData[[#This Row],[Population]]&amp;TrendSheetPrdData[[#This Row],[Cost Basis]]&amp;TrendSheetPrdData[[#This Row],[Period]]&amp;TrendSheetPrdData[[#This Row],[Trend]]</f>
        <v>CHESAPEAKE EMPLOYEEPaid2016-12-01Chronic Disease Management - Cost</v>
      </c>
      <c r="B1287" t="s">
        <v>90</v>
      </c>
      <c r="C1287" t="s">
        <v>90</v>
      </c>
      <c r="D1287" t="s">
        <v>78</v>
      </c>
      <c r="E1287" s="1" t="s">
        <v>102</v>
      </c>
      <c r="F1287" t="s">
        <v>93</v>
      </c>
      <c r="G1287" t="s">
        <v>28</v>
      </c>
      <c r="H1287">
        <v>17</v>
      </c>
      <c r="I1287">
        <v>886853</v>
      </c>
    </row>
    <row r="1288" spans="1:9" x14ac:dyDescent="0.25">
      <c r="A1288" s="5" t="str">
        <f>TrendSheetPrdData[[#This Row],[Population]]&amp;TrendSheetPrdData[[#This Row],[Cost Basis]]&amp;TrendSheetPrdData[[#This Row],[Period]]&amp;TrendSheetPrdData[[#This Row],[Trend]]</f>
        <v>CHESAPEAKE EMPLOYEEPaid2017-01-01Chronic Disease Management - Cost</v>
      </c>
      <c r="B1288" t="s">
        <v>90</v>
      </c>
      <c r="C1288" t="s">
        <v>90</v>
      </c>
      <c r="D1288" t="s">
        <v>78</v>
      </c>
      <c r="E1288" s="1" t="s">
        <v>103</v>
      </c>
      <c r="F1288" t="s">
        <v>93</v>
      </c>
      <c r="G1288" t="s">
        <v>28</v>
      </c>
      <c r="H1288">
        <v>17</v>
      </c>
      <c r="I1288">
        <v>640216</v>
      </c>
    </row>
    <row r="1289" spans="1:9" x14ac:dyDescent="0.25">
      <c r="A1289" s="5" t="str">
        <f>TrendSheetPrdData[[#This Row],[Population]]&amp;TrendSheetPrdData[[#This Row],[Cost Basis]]&amp;TrendSheetPrdData[[#This Row],[Period]]&amp;TrendSheetPrdData[[#This Row],[Trend]]</f>
        <v>CHESAPEAKE EMPLOYEEPaid2017-02-01Chronic Disease Management - Cost</v>
      </c>
      <c r="B1289" t="s">
        <v>90</v>
      </c>
      <c r="C1289" t="s">
        <v>90</v>
      </c>
      <c r="D1289" t="s">
        <v>78</v>
      </c>
      <c r="E1289" s="1" t="s">
        <v>104</v>
      </c>
      <c r="F1289" t="s">
        <v>106</v>
      </c>
      <c r="G1289" t="s">
        <v>28</v>
      </c>
      <c r="H1289">
        <v>17</v>
      </c>
      <c r="I1289">
        <v>736835</v>
      </c>
    </row>
    <row r="1290" spans="1:9" x14ac:dyDescent="0.25">
      <c r="A1290" s="5" t="str">
        <f>TrendSheetPrdData[[#This Row],[Population]]&amp;TrendSheetPrdData[[#This Row],[Cost Basis]]&amp;TrendSheetPrdData[[#This Row],[Period]]&amp;TrendSheetPrdData[[#This Row],[Trend]]</f>
        <v>CHESAPEAKE EMPLOYEEPaid2017-03-01Chronic Disease Management - Cost</v>
      </c>
      <c r="B1290" t="s">
        <v>90</v>
      </c>
      <c r="C1290" t="s">
        <v>90</v>
      </c>
      <c r="D1290" t="s">
        <v>78</v>
      </c>
      <c r="E1290" s="1" t="s">
        <v>105</v>
      </c>
      <c r="F1290" t="s">
        <v>106</v>
      </c>
      <c r="G1290" t="s">
        <v>28</v>
      </c>
      <c r="H1290">
        <v>17</v>
      </c>
      <c r="I1290">
        <v>812736</v>
      </c>
    </row>
    <row r="1291" spans="1:9" x14ac:dyDescent="0.25">
      <c r="A1291" s="5" t="str">
        <f>TrendSheetPrdData[[#This Row],[Population]]&amp;TrendSheetPrdData[[#This Row],[Cost Basis]]&amp;TrendSheetPrdData[[#This Row],[Period]]&amp;TrendSheetPrdData[[#This Row],[Trend]]</f>
        <v>CHESAPEAKE EMPLOYEEPaid2017-04-01Chronic Disease Management - Cost</v>
      </c>
      <c r="B1291" t="s">
        <v>90</v>
      </c>
      <c r="C1291" t="s">
        <v>90</v>
      </c>
      <c r="D1291" t="s">
        <v>78</v>
      </c>
      <c r="E1291" s="1" t="s">
        <v>107</v>
      </c>
      <c r="F1291" t="s">
        <v>106</v>
      </c>
      <c r="G1291" t="s">
        <v>28</v>
      </c>
      <c r="H1291">
        <v>17</v>
      </c>
      <c r="I1291">
        <v>390577</v>
      </c>
    </row>
    <row r="1292" spans="1:9" x14ac:dyDescent="0.25">
      <c r="A1292" s="5" t="str">
        <f>TrendSheetPrdData[[#This Row],[Population]]&amp;TrendSheetPrdData[[#This Row],[Cost Basis]]&amp;TrendSheetPrdData[[#This Row],[Period]]&amp;TrendSheetPrdData[[#This Row],[Trend]]</f>
        <v>CHESAPEAKE EMPLOYEEPaid2016-02-01Chronic Disease Management - Members</v>
      </c>
      <c r="B1292" t="s">
        <v>90</v>
      </c>
      <c r="C1292" t="s">
        <v>90</v>
      </c>
      <c r="D1292" t="s">
        <v>78</v>
      </c>
      <c r="E1292" s="1" t="s">
        <v>133</v>
      </c>
      <c r="F1292" t="s">
        <v>93</v>
      </c>
      <c r="G1292" t="s">
        <v>29</v>
      </c>
      <c r="H1292">
        <v>18</v>
      </c>
      <c r="I1292">
        <v>374.01</v>
      </c>
    </row>
    <row r="1293" spans="1:9" x14ac:dyDescent="0.25">
      <c r="A1293" s="5" t="str">
        <f>TrendSheetPrdData[[#This Row],[Population]]&amp;TrendSheetPrdData[[#This Row],[Cost Basis]]&amp;TrendSheetPrdData[[#This Row],[Period]]&amp;TrendSheetPrdData[[#This Row],[Trend]]</f>
        <v>CHESAPEAKE EMPLOYEEPaid2016-03-01Chronic Disease Management - Members</v>
      </c>
      <c r="B1293" t="s">
        <v>90</v>
      </c>
      <c r="C1293" t="s">
        <v>90</v>
      </c>
      <c r="D1293" t="s">
        <v>78</v>
      </c>
      <c r="E1293" s="1" t="s">
        <v>92</v>
      </c>
      <c r="F1293" t="s">
        <v>93</v>
      </c>
      <c r="G1293" t="s">
        <v>29</v>
      </c>
      <c r="H1293">
        <v>18</v>
      </c>
      <c r="I1293">
        <v>372.14</v>
      </c>
    </row>
    <row r="1294" spans="1:9" x14ac:dyDescent="0.25">
      <c r="A1294" s="5" t="str">
        <f>TrendSheetPrdData[[#This Row],[Population]]&amp;TrendSheetPrdData[[#This Row],[Cost Basis]]&amp;TrendSheetPrdData[[#This Row],[Period]]&amp;TrendSheetPrdData[[#This Row],[Trend]]</f>
        <v>CHESAPEAKE EMPLOYEEPaid2016-04-01Chronic Disease Management - Members</v>
      </c>
      <c r="B1294" t="s">
        <v>90</v>
      </c>
      <c r="C1294" t="s">
        <v>90</v>
      </c>
      <c r="D1294" t="s">
        <v>78</v>
      </c>
      <c r="E1294" s="1" t="s">
        <v>94</v>
      </c>
      <c r="F1294" t="s">
        <v>93</v>
      </c>
      <c r="G1294" t="s">
        <v>29</v>
      </c>
      <c r="H1294">
        <v>18</v>
      </c>
      <c r="I1294">
        <v>380.74</v>
      </c>
    </row>
    <row r="1295" spans="1:9" x14ac:dyDescent="0.25">
      <c r="A1295" s="5" t="str">
        <f>TrendSheetPrdData[[#This Row],[Population]]&amp;TrendSheetPrdData[[#This Row],[Cost Basis]]&amp;TrendSheetPrdData[[#This Row],[Period]]&amp;TrendSheetPrdData[[#This Row],[Trend]]</f>
        <v>CHESAPEAKE EMPLOYEEPaid2016-05-01Chronic Disease Management - Members</v>
      </c>
      <c r="B1295" t="s">
        <v>90</v>
      </c>
      <c r="C1295" t="s">
        <v>90</v>
      </c>
      <c r="D1295" t="s">
        <v>78</v>
      </c>
      <c r="E1295" s="1" t="s">
        <v>95</v>
      </c>
      <c r="F1295" t="s">
        <v>93</v>
      </c>
      <c r="G1295" t="s">
        <v>29</v>
      </c>
      <c r="H1295">
        <v>18</v>
      </c>
      <c r="I1295">
        <v>379.05</v>
      </c>
    </row>
    <row r="1296" spans="1:9" x14ac:dyDescent="0.25">
      <c r="A1296" s="5" t="str">
        <f>TrendSheetPrdData[[#This Row],[Population]]&amp;TrendSheetPrdData[[#This Row],[Cost Basis]]&amp;TrendSheetPrdData[[#This Row],[Period]]&amp;TrendSheetPrdData[[#This Row],[Trend]]</f>
        <v>CHESAPEAKE EMPLOYEEPaid2016-06-01Chronic Disease Management - Members</v>
      </c>
      <c r="B1296" t="s">
        <v>90</v>
      </c>
      <c r="C1296" t="s">
        <v>90</v>
      </c>
      <c r="D1296" t="s">
        <v>78</v>
      </c>
      <c r="E1296" s="1" t="s">
        <v>96</v>
      </c>
      <c r="F1296" t="s">
        <v>93</v>
      </c>
      <c r="G1296" t="s">
        <v>29</v>
      </c>
      <c r="H1296">
        <v>18</v>
      </c>
      <c r="I1296">
        <v>384.76</v>
      </c>
    </row>
    <row r="1297" spans="1:9" x14ac:dyDescent="0.25">
      <c r="A1297" s="5" t="str">
        <f>TrendSheetPrdData[[#This Row],[Population]]&amp;TrendSheetPrdData[[#This Row],[Cost Basis]]&amp;TrendSheetPrdData[[#This Row],[Period]]&amp;TrendSheetPrdData[[#This Row],[Trend]]</f>
        <v>CHESAPEAKE EMPLOYEEPaid2016-07-01Chronic Disease Management - Members</v>
      </c>
      <c r="B1297" t="s">
        <v>90</v>
      </c>
      <c r="C1297" t="s">
        <v>90</v>
      </c>
      <c r="D1297" t="s">
        <v>78</v>
      </c>
      <c r="E1297" s="1" t="s">
        <v>97</v>
      </c>
      <c r="F1297" t="s">
        <v>93</v>
      </c>
      <c r="G1297" t="s">
        <v>29</v>
      </c>
      <c r="H1297">
        <v>18</v>
      </c>
      <c r="I1297">
        <v>385.49</v>
      </c>
    </row>
    <row r="1298" spans="1:9" x14ac:dyDescent="0.25">
      <c r="A1298" s="5" t="str">
        <f>TrendSheetPrdData[[#This Row],[Population]]&amp;TrendSheetPrdData[[#This Row],[Cost Basis]]&amp;TrendSheetPrdData[[#This Row],[Period]]&amp;TrendSheetPrdData[[#This Row],[Trend]]</f>
        <v>CHESAPEAKE EMPLOYEEPaid2016-08-01Chronic Disease Management - Members</v>
      </c>
      <c r="B1298" t="s">
        <v>90</v>
      </c>
      <c r="C1298" t="s">
        <v>90</v>
      </c>
      <c r="D1298" t="s">
        <v>78</v>
      </c>
      <c r="E1298" s="1" t="s">
        <v>98</v>
      </c>
      <c r="F1298" t="s">
        <v>93</v>
      </c>
      <c r="G1298" t="s">
        <v>29</v>
      </c>
      <c r="H1298">
        <v>18</v>
      </c>
      <c r="I1298">
        <v>386.53</v>
      </c>
    </row>
    <row r="1299" spans="1:9" x14ac:dyDescent="0.25">
      <c r="A1299" s="5" t="str">
        <f>TrendSheetPrdData[[#This Row],[Population]]&amp;TrendSheetPrdData[[#This Row],[Cost Basis]]&amp;TrendSheetPrdData[[#This Row],[Period]]&amp;TrendSheetPrdData[[#This Row],[Trend]]</f>
        <v>CHESAPEAKE EMPLOYEEPaid2016-09-01Chronic Disease Management - Members</v>
      </c>
      <c r="B1299" t="s">
        <v>90</v>
      </c>
      <c r="C1299" t="s">
        <v>90</v>
      </c>
      <c r="D1299" t="s">
        <v>78</v>
      </c>
      <c r="E1299" s="1" t="s">
        <v>99</v>
      </c>
      <c r="F1299" t="s">
        <v>93</v>
      </c>
      <c r="G1299" t="s">
        <v>29</v>
      </c>
      <c r="H1299">
        <v>18</v>
      </c>
      <c r="I1299">
        <v>381.74</v>
      </c>
    </row>
    <row r="1300" spans="1:9" x14ac:dyDescent="0.25">
      <c r="A1300" s="5" t="str">
        <f>TrendSheetPrdData[[#This Row],[Population]]&amp;TrendSheetPrdData[[#This Row],[Cost Basis]]&amp;TrendSheetPrdData[[#This Row],[Period]]&amp;TrendSheetPrdData[[#This Row],[Trend]]</f>
        <v>CHESAPEAKE EMPLOYEEPaid2016-10-01Chronic Disease Management - Members</v>
      </c>
      <c r="B1300" t="s">
        <v>90</v>
      </c>
      <c r="C1300" t="s">
        <v>90</v>
      </c>
      <c r="D1300" t="s">
        <v>78</v>
      </c>
      <c r="E1300" s="1" t="s">
        <v>100</v>
      </c>
      <c r="F1300" t="s">
        <v>93</v>
      </c>
      <c r="G1300" t="s">
        <v>29</v>
      </c>
      <c r="H1300">
        <v>18</v>
      </c>
      <c r="I1300">
        <v>378.1</v>
      </c>
    </row>
    <row r="1301" spans="1:9" x14ac:dyDescent="0.25">
      <c r="A1301" s="5" t="str">
        <f>TrendSheetPrdData[[#This Row],[Population]]&amp;TrendSheetPrdData[[#This Row],[Cost Basis]]&amp;TrendSheetPrdData[[#This Row],[Period]]&amp;TrendSheetPrdData[[#This Row],[Trend]]</f>
        <v>CHESAPEAKE EMPLOYEEPaid2016-11-01Chronic Disease Management - Members</v>
      </c>
      <c r="B1301" t="s">
        <v>90</v>
      </c>
      <c r="C1301" t="s">
        <v>90</v>
      </c>
      <c r="D1301" t="s">
        <v>78</v>
      </c>
      <c r="E1301" s="1" t="s">
        <v>101</v>
      </c>
      <c r="F1301" t="s">
        <v>93</v>
      </c>
      <c r="G1301" t="s">
        <v>29</v>
      </c>
      <c r="H1301">
        <v>18</v>
      </c>
      <c r="I1301">
        <v>380.63</v>
      </c>
    </row>
    <row r="1302" spans="1:9" x14ac:dyDescent="0.25">
      <c r="A1302" s="5" t="str">
        <f>TrendSheetPrdData[[#This Row],[Population]]&amp;TrendSheetPrdData[[#This Row],[Cost Basis]]&amp;TrendSheetPrdData[[#This Row],[Period]]&amp;TrendSheetPrdData[[#This Row],[Trend]]</f>
        <v>CHESAPEAKE EMPLOYEEPaid2016-12-01Chronic Disease Management - Members</v>
      </c>
      <c r="B1302" t="s">
        <v>90</v>
      </c>
      <c r="C1302" t="s">
        <v>90</v>
      </c>
      <c r="D1302" t="s">
        <v>78</v>
      </c>
      <c r="E1302" s="1" t="s">
        <v>102</v>
      </c>
      <c r="F1302" t="s">
        <v>93</v>
      </c>
      <c r="G1302" t="s">
        <v>29</v>
      </c>
      <c r="H1302">
        <v>18</v>
      </c>
      <c r="I1302">
        <v>379.8</v>
      </c>
    </row>
    <row r="1303" spans="1:9" x14ac:dyDescent="0.25">
      <c r="A1303" s="5" t="str">
        <f>TrendSheetPrdData[[#This Row],[Population]]&amp;TrendSheetPrdData[[#This Row],[Cost Basis]]&amp;TrendSheetPrdData[[#This Row],[Period]]&amp;TrendSheetPrdData[[#This Row],[Trend]]</f>
        <v>CHESAPEAKE EMPLOYEEPaid2017-01-01Chronic Disease Management - Members</v>
      </c>
      <c r="B1303" t="s">
        <v>90</v>
      </c>
      <c r="C1303" t="s">
        <v>90</v>
      </c>
      <c r="D1303" t="s">
        <v>78</v>
      </c>
      <c r="E1303" s="1" t="s">
        <v>103</v>
      </c>
      <c r="F1303" t="s">
        <v>93</v>
      </c>
      <c r="G1303" t="s">
        <v>29</v>
      </c>
      <c r="H1303">
        <v>18</v>
      </c>
      <c r="I1303">
        <v>367.95</v>
      </c>
    </row>
    <row r="1304" spans="1:9" x14ac:dyDescent="0.25">
      <c r="A1304" s="5" t="str">
        <f>TrendSheetPrdData[[#This Row],[Population]]&amp;TrendSheetPrdData[[#This Row],[Cost Basis]]&amp;TrendSheetPrdData[[#This Row],[Period]]&amp;TrendSheetPrdData[[#This Row],[Trend]]</f>
        <v>CHESAPEAKE EMPLOYEEPaid2017-02-01Chronic Disease Management - Members</v>
      </c>
      <c r="B1304" t="s">
        <v>90</v>
      </c>
      <c r="C1304" t="s">
        <v>90</v>
      </c>
      <c r="D1304" t="s">
        <v>78</v>
      </c>
      <c r="E1304" s="1" t="s">
        <v>104</v>
      </c>
      <c r="F1304" t="s">
        <v>106</v>
      </c>
      <c r="G1304" t="s">
        <v>29</v>
      </c>
      <c r="H1304">
        <v>18</v>
      </c>
      <c r="I1304">
        <v>371.07</v>
      </c>
    </row>
    <row r="1305" spans="1:9" x14ac:dyDescent="0.25">
      <c r="A1305" s="5" t="str">
        <f>TrendSheetPrdData[[#This Row],[Population]]&amp;TrendSheetPrdData[[#This Row],[Cost Basis]]&amp;TrendSheetPrdData[[#This Row],[Period]]&amp;TrendSheetPrdData[[#This Row],[Trend]]</f>
        <v>CHESAPEAKE EMPLOYEEPaid2017-03-01Chronic Disease Management - Members</v>
      </c>
      <c r="B1305" t="s">
        <v>90</v>
      </c>
      <c r="C1305" t="s">
        <v>90</v>
      </c>
      <c r="D1305" t="s">
        <v>78</v>
      </c>
      <c r="E1305" s="1" t="s">
        <v>105</v>
      </c>
      <c r="F1305" t="s">
        <v>106</v>
      </c>
      <c r="G1305" t="s">
        <v>29</v>
      </c>
      <c r="H1305">
        <v>18</v>
      </c>
      <c r="I1305">
        <v>372.72</v>
      </c>
    </row>
    <row r="1306" spans="1:9" x14ac:dyDescent="0.25">
      <c r="A1306" s="5" t="str">
        <f>TrendSheetPrdData[[#This Row],[Population]]&amp;TrendSheetPrdData[[#This Row],[Cost Basis]]&amp;TrendSheetPrdData[[#This Row],[Period]]&amp;TrendSheetPrdData[[#This Row],[Trend]]</f>
        <v>CHESAPEAKE EMPLOYEEPaid2017-04-01Chronic Disease Management - Members</v>
      </c>
      <c r="B1306" t="s">
        <v>90</v>
      </c>
      <c r="C1306" t="s">
        <v>90</v>
      </c>
      <c r="D1306" t="s">
        <v>78</v>
      </c>
      <c r="E1306" s="1" t="s">
        <v>107</v>
      </c>
      <c r="F1306" t="s">
        <v>106</v>
      </c>
      <c r="G1306" t="s">
        <v>29</v>
      </c>
      <c r="H1306">
        <v>18</v>
      </c>
      <c r="I1306">
        <v>360.87</v>
      </c>
    </row>
    <row r="1307" spans="1:9" x14ac:dyDescent="0.25">
      <c r="A1307" s="5" t="str">
        <f>TrendSheetPrdData[[#This Row],[Population]]&amp;TrendSheetPrdData[[#This Row],[Cost Basis]]&amp;TrendSheetPrdData[[#This Row],[Period]]&amp;TrendSheetPrdData[[#This Row],[Trend]]</f>
        <v>CHESAPEAKE EMPLOYEEPaid2016-02-01Inpatient Claim Count</v>
      </c>
      <c r="B1307" t="s">
        <v>90</v>
      </c>
      <c r="C1307" t="s">
        <v>90</v>
      </c>
      <c r="D1307" t="s">
        <v>78</v>
      </c>
      <c r="E1307" s="1" t="s">
        <v>133</v>
      </c>
      <c r="F1307" t="s">
        <v>93</v>
      </c>
      <c r="G1307" t="s">
        <v>30</v>
      </c>
      <c r="H1307">
        <v>19</v>
      </c>
      <c r="I1307">
        <v>108</v>
      </c>
    </row>
    <row r="1308" spans="1:9" x14ac:dyDescent="0.25">
      <c r="A1308" s="5" t="str">
        <f>TrendSheetPrdData[[#This Row],[Population]]&amp;TrendSheetPrdData[[#This Row],[Cost Basis]]&amp;TrendSheetPrdData[[#This Row],[Period]]&amp;TrendSheetPrdData[[#This Row],[Trend]]</f>
        <v>CHESAPEAKE EMPLOYEEPaid2016-03-01Inpatient Claim Count</v>
      </c>
      <c r="B1308" t="s">
        <v>90</v>
      </c>
      <c r="C1308" t="s">
        <v>90</v>
      </c>
      <c r="D1308" t="s">
        <v>78</v>
      </c>
      <c r="E1308" s="1" t="s">
        <v>92</v>
      </c>
      <c r="F1308" t="s">
        <v>93</v>
      </c>
      <c r="G1308" t="s">
        <v>30</v>
      </c>
      <c r="H1308">
        <v>19</v>
      </c>
      <c r="I1308">
        <v>360</v>
      </c>
    </row>
    <row r="1309" spans="1:9" x14ac:dyDescent="0.25">
      <c r="A1309" s="5" t="str">
        <f>TrendSheetPrdData[[#This Row],[Population]]&amp;TrendSheetPrdData[[#This Row],[Cost Basis]]&amp;TrendSheetPrdData[[#This Row],[Period]]&amp;TrendSheetPrdData[[#This Row],[Trend]]</f>
        <v>CHESAPEAKE EMPLOYEEPaid2016-04-01Inpatient Claim Count</v>
      </c>
      <c r="B1309" t="s">
        <v>90</v>
      </c>
      <c r="C1309" t="s">
        <v>90</v>
      </c>
      <c r="D1309" t="s">
        <v>78</v>
      </c>
      <c r="E1309" s="1" t="s">
        <v>94</v>
      </c>
      <c r="F1309" t="s">
        <v>93</v>
      </c>
      <c r="G1309" t="s">
        <v>30</v>
      </c>
      <c r="H1309">
        <v>19</v>
      </c>
      <c r="I1309">
        <v>335</v>
      </c>
    </row>
    <row r="1310" spans="1:9" x14ac:dyDescent="0.25">
      <c r="A1310" s="5" t="str">
        <f>TrendSheetPrdData[[#This Row],[Population]]&amp;TrendSheetPrdData[[#This Row],[Cost Basis]]&amp;TrendSheetPrdData[[#This Row],[Period]]&amp;TrendSheetPrdData[[#This Row],[Trend]]</f>
        <v>CHESAPEAKE EMPLOYEEPaid2016-05-01Inpatient Claim Count</v>
      </c>
      <c r="B1310" t="s">
        <v>90</v>
      </c>
      <c r="C1310" t="s">
        <v>90</v>
      </c>
      <c r="D1310" t="s">
        <v>78</v>
      </c>
      <c r="E1310" s="1" t="s">
        <v>95</v>
      </c>
      <c r="F1310" t="s">
        <v>93</v>
      </c>
      <c r="G1310" t="s">
        <v>30</v>
      </c>
      <c r="H1310">
        <v>19</v>
      </c>
      <c r="I1310">
        <v>223</v>
      </c>
    </row>
    <row r="1311" spans="1:9" x14ac:dyDescent="0.25">
      <c r="A1311" s="5" t="str">
        <f>TrendSheetPrdData[[#This Row],[Population]]&amp;TrendSheetPrdData[[#This Row],[Cost Basis]]&amp;TrendSheetPrdData[[#This Row],[Period]]&amp;TrendSheetPrdData[[#This Row],[Trend]]</f>
        <v>CHESAPEAKE EMPLOYEEPaid2016-06-01Inpatient Claim Count</v>
      </c>
      <c r="B1311" t="s">
        <v>90</v>
      </c>
      <c r="C1311" t="s">
        <v>90</v>
      </c>
      <c r="D1311" t="s">
        <v>78</v>
      </c>
      <c r="E1311" s="1" t="s">
        <v>96</v>
      </c>
      <c r="F1311" t="s">
        <v>93</v>
      </c>
      <c r="G1311" t="s">
        <v>30</v>
      </c>
      <c r="H1311">
        <v>19</v>
      </c>
      <c r="I1311">
        <v>372</v>
      </c>
    </row>
    <row r="1312" spans="1:9" x14ac:dyDescent="0.25">
      <c r="A1312" s="5" t="str">
        <f>TrendSheetPrdData[[#This Row],[Population]]&amp;TrendSheetPrdData[[#This Row],[Cost Basis]]&amp;TrendSheetPrdData[[#This Row],[Period]]&amp;TrendSheetPrdData[[#This Row],[Trend]]</f>
        <v>CHESAPEAKE EMPLOYEEPaid2016-07-01Inpatient Claim Count</v>
      </c>
      <c r="B1312" t="s">
        <v>90</v>
      </c>
      <c r="C1312" t="s">
        <v>90</v>
      </c>
      <c r="D1312" t="s">
        <v>78</v>
      </c>
      <c r="E1312" s="1" t="s">
        <v>97</v>
      </c>
      <c r="F1312" t="s">
        <v>93</v>
      </c>
      <c r="G1312" t="s">
        <v>30</v>
      </c>
      <c r="H1312">
        <v>19</v>
      </c>
      <c r="I1312">
        <v>271</v>
      </c>
    </row>
    <row r="1313" spans="1:9" x14ac:dyDescent="0.25">
      <c r="A1313" s="5" t="str">
        <f>TrendSheetPrdData[[#This Row],[Population]]&amp;TrendSheetPrdData[[#This Row],[Cost Basis]]&amp;TrendSheetPrdData[[#This Row],[Period]]&amp;TrendSheetPrdData[[#This Row],[Trend]]</f>
        <v>CHESAPEAKE EMPLOYEEPaid2016-08-01Inpatient Claim Count</v>
      </c>
      <c r="B1313" t="s">
        <v>90</v>
      </c>
      <c r="C1313" t="s">
        <v>90</v>
      </c>
      <c r="D1313" t="s">
        <v>78</v>
      </c>
      <c r="E1313" s="1" t="s">
        <v>98</v>
      </c>
      <c r="F1313" t="s">
        <v>93</v>
      </c>
      <c r="G1313" t="s">
        <v>30</v>
      </c>
      <c r="H1313">
        <v>19</v>
      </c>
      <c r="I1313">
        <v>277</v>
      </c>
    </row>
    <row r="1314" spans="1:9" x14ac:dyDescent="0.25">
      <c r="A1314" s="5" t="str">
        <f>TrendSheetPrdData[[#This Row],[Population]]&amp;TrendSheetPrdData[[#This Row],[Cost Basis]]&amp;TrendSheetPrdData[[#This Row],[Period]]&amp;TrendSheetPrdData[[#This Row],[Trend]]</f>
        <v>CHESAPEAKE EMPLOYEEPaid2016-09-01Inpatient Claim Count</v>
      </c>
      <c r="B1314" t="s">
        <v>90</v>
      </c>
      <c r="C1314" t="s">
        <v>90</v>
      </c>
      <c r="D1314" t="s">
        <v>78</v>
      </c>
      <c r="E1314" s="1" t="s">
        <v>99</v>
      </c>
      <c r="F1314" t="s">
        <v>93</v>
      </c>
      <c r="G1314" t="s">
        <v>30</v>
      </c>
      <c r="H1314">
        <v>19</v>
      </c>
      <c r="I1314">
        <v>302</v>
      </c>
    </row>
    <row r="1315" spans="1:9" x14ac:dyDescent="0.25">
      <c r="A1315" s="5" t="str">
        <f>TrendSheetPrdData[[#This Row],[Population]]&amp;TrendSheetPrdData[[#This Row],[Cost Basis]]&amp;TrendSheetPrdData[[#This Row],[Period]]&amp;TrendSheetPrdData[[#This Row],[Trend]]</f>
        <v>CHESAPEAKE EMPLOYEEPaid2016-10-01Inpatient Claim Count</v>
      </c>
      <c r="B1315" t="s">
        <v>90</v>
      </c>
      <c r="C1315" t="s">
        <v>90</v>
      </c>
      <c r="D1315" t="s">
        <v>78</v>
      </c>
      <c r="E1315" s="1" t="s">
        <v>100</v>
      </c>
      <c r="F1315" t="s">
        <v>93</v>
      </c>
      <c r="G1315" t="s">
        <v>30</v>
      </c>
      <c r="H1315">
        <v>19</v>
      </c>
      <c r="I1315">
        <v>787</v>
      </c>
    </row>
    <row r="1316" spans="1:9" x14ac:dyDescent="0.25">
      <c r="A1316" s="5" t="str">
        <f>TrendSheetPrdData[[#This Row],[Population]]&amp;TrendSheetPrdData[[#This Row],[Cost Basis]]&amp;TrendSheetPrdData[[#This Row],[Period]]&amp;TrendSheetPrdData[[#This Row],[Trend]]</f>
        <v>CHESAPEAKE EMPLOYEEPaid2016-11-01Inpatient Claim Count</v>
      </c>
      <c r="B1316" t="s">
        <v>90</v>
      </c>
      <c r="C1316" t="s">
        <v>90</v>
      </c>
      <c r="D1316" t="s">
        <v>78</v>
      </c>
      <c r="E1316" s="1" t="s">
        <v>101</v>
      </c>
      <c r="F1316" t="s">
        <v>93</v>
      </c>
      <c r="G1316" t="s">
        <v>30</v>
      </c>
      <c r="H1316">
        <v>19</v>
      </c>
      <c r="I1316">
        <v>469</v>
      </c>
    </row>
    <row r="1317" spans="1:9" x14ac:dyDescent="0.25">
      <c r="A1317" s="5" t="str">
        <f>TrendSheetPrdData[[#This Row],[Population]]&amp;TrendSheetPrdData[[#This Row],[Cost Basis]]&amp;TrendSheetPrdData[[#This Row],[Period]]&amp;TrendSheetPrdData[[#This Row],[Trend]]</f>
        <v>CHESAPEAKE EMPLOYEEPaid2016-12-01Inpatient Claim Count</v>
      </c>
      <c r="B1317" t="s">
        <v>90</v>
      </c>
      <c r="C1317" t="s">
        <v>90</v>
      </c>
      <c r="D1317" t="s">
        <v>78</v>
      </c>
      <c r="E1317" s="1" t="s">
        <v>102</v>
      </c>
      <c r="F1317" t="s">
        <v>93</v>
      </c>
      <c r="G1317" t="s">
        <v>30</v>
      </c>
      <c r="H1317">
        <v>19</v>
      </c>
      <c r="I1317">
        <v>138</v>
      </c>
    </row>
    <row r="1318" spans="1:9" x14ac:dyDescent="0.25">
      <c r="A1318" s="5" t="str">
        <f>TrendSheetPrdData[[#This Row],[Population]]&amp;TrendSheetPrdData[[#This Row],[Cost Basis]]&amp;TrendSheetPrdData[[#This Row],[Period]]&amp;TrendSheetPrdData[[#This Row],[Trend]]</f>
        <v>CHESAPEAKE EMPLOYEEPaid2017-01-01Inpatient Claim Count</v>
      </c>
      <c r="B1318" t="s">
        <v>90</v>
      </c>
      <c r="C1318" t="s">
        <v>90</v>
      </c>
      <c r="D1318" t="s">
        <v>78</v>
      </c>
      <c r="E1318" s="1" t="s">
        <v>103</v>
      </c>
      <c r="F1318" t="s">
        <v>93</v>
      </c>
      <c r="G1318" t="s">
        <v>30</v>
      </c>
      <c r="H1318">
        <v>19</v>
      </c>
      <c r="I1318">
        <v>86</v>
      </c>
    </row>
    <row r="1319" spans="1:9" x14ac:dyDescent="0.25">
      <c r="A1319" s="5" t="str">
        <f>TrendSheetPrdData[[#This Row],[Population]]&amp;TrendSheetPrdData[[#This Row],[Cost Basis]]&amp;TrendSheetPrdData[[#This Row],[Period]]&amp;TrendSheetPrdData[[#This Row],[Trend]]</f>
        <v>CHESAPEAKE EMPLOYEEPaid2017-02-01Inpatient Claim Count</v>
      </c>
      <c r="B1319" t="s">
        <v>90</v>
      </c>
      <c r="C1319" t="s">
        <v>90</v>
      </c>
      <c r="D1319" t="s">
        <v>78</v>
      </c>
      <c r="E1319" s="1" t="s">
        <v>104</v>
      </c>
      <c r="F1319" t="s">
        <v>106</v>
      </c>
      <c r="G1319" t="s">
        <v>30</v>
      </c>
      <c r="H1319">
        <v>19</v>
      </c>
      <c r="I1319">
        <v>175</v>
      </c>
    </row>
    <row r="1320" spans="1:9" x14ac:dyDescent="0.25">
      <c r="A1320" s="5" t="str">
        <f>TrendSheetPrdData[[#This Row],[Population]]&amp;TrendSheetPrdData[[#This Row],[Cost Basis]]&amp;TrendSheetPrdData[[#This Row],[Period]]&amp;TrendSheetPrdData[[#This Row],[Trend]]</f>
        <v>CHESAPEAKE EMPLOYEEPaid2017-03-01Inpatient Claim Count</v>
      </c>
      <c r="B1320" t="s">
        <v>90</v>
      </c>
      <c r="C1320" t="s">
        <v>90</v>
      </c>
      <c r="D1320" t="s">
        <v>78</v>
      </c>
      <c r="E1320" s="1" t="s">
        <v>105</v>
      </c>
      <c r="F1320" t="s">
        <v>106</v>
      </c>
      <c r="G1320" t="s">
        <v>30</v>
      </c>
      <c r="H1320">
        <v>19</v>
      </c>
      <c r="I1320">
        <v>115</v>
      </c>
    </row>
    <row r="1321" spans="1:9" x14ac:dyDescent="0.25">
      <c r="A1321" s="5" t="str">
        <f>TrendSheetPrdData[[#This Row],[Population]]&amp;TrendSheetPrdData[[#This Row],[Cost Basis]]&amp;TrendSheetPrdData[[#This Row],[Period]]&amp;TrendSheetPrdData[[#This Row],[Trend]]</f>
        <v>CHESAPEAKE EMPLOYEEPaid2017-04-01Inpatient Claim Count</v>
      </c>
      <c r="B1321" t="s">
        <v>90</v>
      </c>
      <c r="C1321" t="s">
        <v>90</v>
      </c>
      <c r="D1321" t="s">
        <v>78</v>
      </c>
      <c r="E1321" s="1" t="s">
        <v>107</v>
      </c>
      <c r="F1321" t="s">
        <v>106</v>
      </c>
      <c r="G1321" t="s">
        <v>30</v>
      </c>
      <c r="H1321">
        <v>19</v>
      </c>
      <c r="I1321">
        <v>43</v>
      </c>
    </row>
    <row r="1322" spans="1:9" x14ac:dyDescent="0.25">
      <c r="A1322" s="5" t="str">
        <f>TrendSheetPrdData[[#This Row],[Population]]&amp;TrendSheetPrdData[[#This Row],[Cost Basis]]&amp;TrendSheetPrdData[[#This Row],[Period]]&amp;TrendSheetPrdData[[#This Row],[Trend]]</f>
        <v>CHESAPEAKE EMPLOYEEPaid2016-02-01Outpatient Claim Count</v>
      </c>
      <c r="B1322" t="s">
        <v>90</v>
      </c>
      <c r="C1322" t="s">
        <v>90</v>
      </c>
      <c r="D1322" t="s">
        <v>78</v>
      </c>
      <c r="E1322" s="1" t="s">
        <v>133</v>
      </c>
      <c r="F1322" t="s">
        <v>93</v>
      </c>
      <c r="G1322" t="s">
        <v>31</v>
      </c>
      <c r="H1322">
        <v>20</v>
      </c>
      <c r="I1322">
        <v>2072</v>
      </c>
    </row>
    <row r="1323" spans="1:9" x14ac:dyDescent="0.25">
      <c r="A1323" s="5" t="str">
        <f>TrendSheetPrdData[[#This Row],[Population]]&amp;TrendSheetPrdData[[#This Row],[Cost Basis]]&amp;TrendSheetPrdData[[#This Row],[Period]]&amp;TrendSheetPrdData[[#This Row],[Trend]]</f>
        <v>CHESAPEAKE EMPLOYEEPaid2016-03-01Outpatient Claim Count</v>
      </c>
      <c r="B1323" t="s">
        <v>90</v>
      </c>
      <c r="C1323" t="s">
        <v>90</v>
      </c>
      <c r="D1323" t="s">
        <v>78</v>
      </c>
      <c r="E1323" s="1" t="s">
        <v>92</v>
      </c>
      <c r="F1323" t="s">
        <v>93</v>
      </c>
      <c r="G1323" t="s">
        <v>31</v>
      </c>
      <c r="H1323">
        <v>20</v>
      </c>
      <c r="I1323">
        <v>2992</v>
      </c>
    </row>
    <row r="1324" spans="1:9" x14ac:dyDescent="0.25">
      <c r="A1324" s="5" t="str">
        <f>TrendSheetPrdData[[#This Row],[Population]]&amp;TrendSheetPrdData[[#This Row],[Cost Basis]]&amp;TrendSheetPrdData[[#This Row],[Period]]&amp;TrendSheetPrdData[[#This Row],[Trend]]</f>
        <v>CHESAPEAKE EMPLOYEEPaid2016-04-01Outpatient Claim Count</v>
      </c>
      <c r="B1324" t="s">
        <v>90</v>
      </c>
      <c r="C1324" t="s">
        <v>90</v>
      </c>
      <c r="D1324" t="s">
        <v>78</v>
      </c>
      <c r="E1324" s="1" t="s">
        <v>94</v>
      </c>
      <c r="F1324" t="s">
        <v>93</v>
      </c>
      <c r="G1324" t="s">
        <v>31</v>
      </c>
      <c r="H1324">
        <v>20</v>
      </c>
      <c r="I1324">
        <v>2889</v>
      </c>
    </row>
    <row r="1325" spans="1:9" x14ac:dyDescent="0.25">
      <c r="A1325" s="5" t="str">
        <f>TrendSheetPrdData[[#This Row],[Population]]&amp;TrendSheetPrdData[[#This Row],[Cost Basis]]&amp;TrendSheetPrdData[[#This Row],[Period]]&amp;TrendSheetPrdData[[#This Row],[Trend]]</f>
        <v>CHESAPEAKE EMPLOYEEPaid2016-05-01Outpatient Claim Count</v>
      </c>
      <c r="B1325" t="s">
        <v>90</v>
      </c>
      <c r="C1325" t="s">
        <v>90</v>
      </c>
      <c r="D1325" t="s">
        <v>78</v>
      </c>
      <c r="E1325" s="1" t="s">
        <v>95</v>
      </c>
      <c r="F1325" t="s">
        <v>93</v>
      </c>
      <c r="G1325" t="s">
        <v>31</v>
      </c>
      <c r="H1325">
        <v>20</v>
      </c>
      <c r="I1325">
        <v>2728</v>
      </c>
    </row>
    <row r="1326" spans="1:9" x14ac:dyDescent="0.25">
      <c r="A1326" s="5" t="str">
        <f>TrendSheetPrdData[[#This Row],[Population]]&amp;TrendSheetPrdData[[#This Row],[Cost Basis]]&amp;TrendSheetPrdData[[#This Row],[Period]]&amp;TrendSheetPrdData[[#This Row],[Trend]]</f>
        <v>CHESAPEAKE EMPLOYEEPaid2016-06-01Outpatient Claim Count</v>
      </c>
      <c r="B1326" t="s">
        <v>90</v>
      </c>
      <c r="C1326" t="s">
        <v>90</v>
      </c>
      <c r="D1326" t="s">
        <v>78</v>
      </c>
      <c r="E1326" s="1" t="s">
        <v>96</v>
      </c>
      <c r="F1326" t="s">
        <v>93</v>
      </c>
      <c r="G1326" t="s">
        <v>31</v>
      </c>
      <c r="H1326">
        <v>20</v>
      </c>
      <c r="I1326">
        <v>2636</v>
      </c>
    </row>
    <row r="1327" spans="1:9" x14ac:dyDescent="0.25">
      <c r="A1327" s="5" t="str">
        <f>TrendSheetPrdData[[#This Row],[Population]]&amp;TrendSheetPrdData[[#This Row],[Cost Basis]]&amp;TrendSheetPrdData[[#This Row],[Period]]&amp;TrendSheetPrdData[[#This Row],[Trend]]</f>
        <v>CHESAPEAKE EMPLOYEEPaid2016-07-01Outpatient Claim Count</v>
      </c>
      <c r="B1327" t="s">
        <v>90</v>
      </c>
      <c r="C1327" t="s">
        <v>90</v>
      </c>
      <c r="D1327" t="s">
        <v>78</v>
      </c>
      <c r="E1327" s="1" t="s">
        <v>97</v>
      </c>
      <c r="F1327" t="s">
        <v>93</v>
      </c>
      <c r="G1327" t="s">
        <v>31</v>
      </c>
      <c r="H1327">
        <v>20</v>
      </c>
      <c r="I1327">
        <v>2250</v>
      </c>
    </row>
    <row r="1328" spans="1:9" x14ac:dyDescent="0.25">
      <c r="A1328" s="5" t="str">
        <f>TrendSheetPrdData[[#This Row],[Population]]&amp;TrendSheetPrdData[[#This Row],[Cost Basis]]&amp;TrendSheetPrdData[[#This Row],[Period]]&amp;TrendSheetPrdData[[#This Row],[Trend]]</f>
        <v>CHESAPEAKE EMPLOYEEPaid2016-08-01Outpatient Claim Count</v>
      </c>
      <c r="B1328" t="s">
        <v>90</v>
      </c>
      <c r="C1328" t="s">
        <v>90</v>
      </c>
      <c r="D1328" t="s">
        <v>78</v>
      </c>
      <c r="E1328" s="1" t="s">
        <v>98</v>
      </c>
      <c r="F1328" t="s">
        <v>93</v>
      </c>
      <c r="G1328" t="s">
        <v>31</v>
      </c>
      <c r="H1328">
        <v>20</v>
      </c>
      <c r="I1328">
        <v>2124</v>
      </c>
    </row>
    <row r="1329" spans="1:9" x14ac:dyDescent="0.25">
      <c r="A1329" s="5" t="str">
        <f>TrendSheetPrdData[[#This Row],[Population]]&amp;TrendSheetPrdData[[#This Row],[Cost Basis]]&amp;TrendSheetPrdData[[#This Row],[Period]]&amp;TrendSheetPrdData[[#This Row],[Trend]]</f>
        <v>CHESAPEAKE EMPLOYEEPaid2016-09-01Outpatient Claim Count</v>
      </c>
      <c r="B1329" t="s">
        <v>90</v>
      </c>
      <c r="C1329" t="s">
        <v>90</v>
      </c>
      <c r="D1329" t="s">
        <v>78</v>
      </c>
      <c r="E1329" s="1" t="s">
        <v>99</v>
      </c>
      <c r="F1329" t="s">
        <v>93</v>
      </c>
      <c r="G1329" t="s">
        <v>31</v>
      </c>
      <c r="H1329">
        <v>20</v>
      </c>
      <c r="I1329">
        <v>2028</v>
      </c>
    </row>
    <row r="1330" spans="1:9" x14ac:dyDescent="0.25">
      <c r="A1330" s="5" t="str">
        <f>TrendSheetPrdData[[#This Row],[Population]]&amp;TrendSheetPrdData[[#This Row],[Cost Basis]]&amp;TrendSheetPrdData[[#This Row],[Period]]&amp;TrendSheetPrdData[[#This Row],[Trend]]</f>
        <v>CHESAPEAKE EMPLOYEEPaid2016-10-01Outpatient Claim Count</v>
      </c>
      <c r="B1330" t="s">
        <v>90</v>
      </c>
      <c r="C1330" t="s">
        <v>90</v>
      </c>
      <c r="D1330" t="s">
        <v>78</v>
      </c>
      <c r="E1330" s="1" t="s">
        <v>100</v>
      </c>
      <c r="F1330" t="s">
        <v>93</v>
      </c>
      <c r="G1330" t="s">
        <v>31</v>
      </c>
      <c r="H1330">
        <v>20</v>
      </c>
      <c r="I1330">
        <v>2262</v>
      </c>
    </row>
    <row r="1331" spans="1:9" x14ac:dyDescent="0.25">
      <c r="A1331" s="5" t="str">
        <f>TrendSheetPrdData[[#This Row],[Population]]&amp;TrendSheetPrdData[[#This Row],[Cost Basis]]&amp;TrendSheetPrdData[[#This Row],[Period]]&amp;TrendSheetPrdData[[#This Row],[Trend]]</f>
        <v>CHESAPEAKE EMPLOYEEPaid2016-11-01Outpatient Claim Count</v>
      </c>
      <c r="B1331" t="s">
        <v>90</v>
      </c>
      <c r="C1331" t="s">
        <v>90</v>
      </c>
      <c r="D1331" t="s">
        <v>78</v>
      </c>
      <c r="E1331" s="1" t="s">
        <v>101</v>
      </c>
      <c r="F1331" t="s">
        <v>93</v>
      </c>
      <c r="G1331" t="s">
        <v>31</v>
      </c>
      <c r="H1331">
        <v>20</v>
      </c>
      <c r="I1331">
        <v>2700</v>
      </c>
    </row>
    <row r="1332" spans="1:9" x14ac:dyDescent="0.25">
      <c r="A1332" s="5" t="str">
        <f>TrendSheetPrdData[[#This Row],[Population]]&amp;TrendSheetPrdData[[#This Row],[Cost Basis]]&amp;TrendSheetPrdData[[#This Row],[Period]]&amp;TrendSheetPrdData[[#This Row],[Trend]]</f>
        <v>CHESAPEAKE EMPLOYEEPaid2016-12-01Outpatient Claim Count</v>
      </c>
      <c r="B1332" t="s">
        <v>90</v>
      </c>
      <c r="C1332" t="s">
        <v>90</v>
      </c>
      <c r="D1332" t="s">
        <v>78</v>
      </c>
      <c r="E1332" s="1" t="s">
        <v>102</v>
      </c>
      <c r="F1332" t="s">
        <v>93</v>
      </c>
      <c r="G1332" t="s">
        <v>31</v>
      </c>
      <c r="H1332">
        <v>20</v>
      </c>
      <c r="I1332">
        <v>2601</v>
      </c>
    </row>
    <row r="1333" spans="1:9" x14ac:dyDescent="0.25">
      <c r="A1333" s="5" t="str">
        <f>TrendSheetPrdData[[#This Row],[Population]]&amp;TrendSheetPrdData[[#This Row],[Cost Basis]]&amp;TrendSheetPrdData[[#This Row],[Period]]&amp;TrendSheetPrdData[[#This Row],[Trend]]</f>
        <v>CHESAPEAKE EMPLOYEEPaid2017-01-01Outpatient Claim Count</v>
      </c>
      <c r="B1333" t="s">
        <v>90</v>
      </c>
      <c r="C1333" t="s">
        <v>90</v>
      </c>
      <c r="D1333" t="s">
        <v>78</v>
      </c>
      <c r="E1333" s="1" t="s">
        <v>103</v>
      </c>
      <c r="F1333" t="s">
        <v>93</v>
      </c>
      <c r="G1333" t="s">
        <v>31</v>
      </c>
      <c r="H1333">
        <v>20</v>
      </c>
      <c r="I1333">
        <v>2258</v>
      </c>
    </row>
    <row r="1334" spans="1:9" x14ac:dyDescent="0.25">
      <c r="A1334" s="5" t="str">
        <f>TrendSheetPrdData[[#This Row],[Population]]&amp;TrendSheetPrdData[[#This Row],[Cost Basis]]&amp;TrendSheetPrdData[[#This Row],[Period]]&amp;TrendSheetPrdData[[#This Row],[Trend]]</f>
        <v>CHESAPEAKE EMPLOYEEPaid2017-02-01Outpatient Claim Count</v>
      </c>
      <c r="B1334" t="s">
        <v>90</v>
      </c>
      <c r="C1334" t="s">
        <v>90</v>
      </c>
      <c r="D1334" t="s">
        <v>78</v>
      </c>
      <c r="E1334" s="1" t="s">
        <v>104</v>
      </c>
      <c r="F1334" t="s">
        <v>106</v>
      </c>
      <c r="G1334" t="s">
        <v>31</v>
      </c>
      <c r="H1334">
        <v>20</v>
      </c>
      <c r="I1334">
        <v>1805</v>
      </c>
    </row>
    <row r="1335" spans="1:9" x14ac:dyDescent="0.25">
      <c r="A1335" s="5" t="str">
        <f>TrendSheetPrdData[[#This Row],[Population]]&amp;TrendSheetPrdData[[#This Row],[Cost Basis]]&amp;TrendSheetPrdData[[#This Row],[Period]]&amp;TrendSheetPrdData[[#This Row],[Trend]]</f>
        <v>CHESAPEAKE EMPLOYEEPaid2017-03-01Outpatient Claim Count</v>
      </c>
      <c r="B1335" t="s">
        <v>90</v>
      </c>
      <c r="C1335" t="s">
        <v>90</v>
      </c>
      <c r="D1335" t="s">
        <v>78</v>
      </c>
      <c r="E1335" s="1" t="s">
        <v>105</v>
      </c>
      <c r="F1335" t="s">
        <v>106</v>
      </c>
      <c r="G1335" t="s">
        <v>31</v>
      </c>
      <c r="H1335">
        <v>20</v>
      </c>
      <c r="I1335">
        <v>2133</v>
      </c>
    </row>
    <row r="1336" spans="1:9" x14ac:dyDescent="0.25">
      <c r="A1336" s="5" t="str">
        <f>TrendSheetPrdData[[#This Row],[Population]]&amp;TrendSheetPrdData[[#This Row],[Cost Basis]]&amp;TrendSheetPrdData[[#This Row],[Period]]&amp;TrendSheetPrdData[[#This Row],[Trend]]</f>
        <v>CHESAPEAKE EMPLOYEEPaid2017-04-01Outpatient Claim Count</v>
      </c>
      <c r="B1336" t="s">
        <v>90</v>
      </c>
      <c r="C1336" t="s">
        <v>90</v>
      </c>
      <c r="D1336" t="s">
        <v>78</v>
      </c>
      <c r="E1336" s="1" t="s">
        <v>107</v>
      </c>
      <c r="F1336" t="s">
        <v>106</v>
      </c>
      <c r="G1336" t="s">
        <v>31</v>
      </c>
      <c r="H1336">
        <v>20</v>
      </c>
      <c r="I1336">
        <v>446</v>
      </c>
    </row>
    <row r="1337" spans="1:9" x14ac:dyDescent="0.25">
      <c r="A1337" s="5" t="str">
        <f>TrendSheetPrdData[[#This Row],[Population]]&amp;TrendSheetPrdData[[#This Row],[Cost Basis]]&amp;TrendSheetPrdData[[#This Row],[Period]]&amp;TrendSheetPrdData[[#This Row],[Trend]]</f>
        <v>CHESAPEAKE EMPLOYEEPaid2016-02-01Professional Claim Count</v>
      </c>
      <c r="B1337" t="s">
        <v>90</v>
      </c>
      <c r="C1337" t="s">
        <v>90</v>
      </c>
      <c r="D1337" t="s">
        <v>78</v>
      </c>
      <c r="E1337" s="1" t="s">
        <v>133</v>
      </c>
      <c r="F1337" t="s">
        <v>93</v>
      </c>
      <c r="G1337" t="s">
        <v>32</v>
      </c>
      <c r="H1337">
        <v>21</v>
      </c>
      <c r="I1337">
        <v>3714</v>
      </c>
    </row>
    <row r="1338" spans="1:9" x14ac:dyDescent="0.25">
      <c r="A1338" s="5" t="str">
        <f>TrendSheetPrdData[[#This Row],[Population]]&amp;TrendSheetPrdData[[#This Row],[Cost Basis]]&amp;TrendSheetPrdData[[#This Row],[Period]]&amp;TrendSheetPrdData[[#This Row],[Trend]]</f>
        <v>CHESAPEAKE EMPLOYEEPaid2016-03-01Professional Claim Count</v>
      </c>
      <c r="B1338" t="s">
        <v>90</v>
      </c>
      <c r="C1338" t="s">
        <v>90</v>
      </c>
      <c r="D1338" t="s">
        <v>78</v>
      </c>
      <c r="E1338" s="1" t="s">
        <v>92</v>
      </c>
      <c r="F1338" t="s">
        <v>93</v>
      </c>
      <c r="G1338" t="s">
        <v>32</v>
      </c>
      <c r="H1338">
        <v>21</v>
      </c>
      <c r="I1338">
        <v>4255</v>
      </c>
    </row>
    <row r="1339" spans="1:9" x14ac:dyDescent="0.25">
      <c r="A1339" s="5" t="str">
        <f>TrendSheetPrdData[[#This Row],[Population]]&amp;TrendSheetPrdData[[#This Row],[Cost Basis]]&amp;TrendSheetPrdData[[#This Row],[Period]]&amp;TrendSheetPrdData[[#This Row],[Trend]]</f>
        <v>CHESAPEAKE EMPLOYEEPaid2016-04-01Professional Claim Count</v>
      </c>
      <c r="B1339" t="s">
        <v>90</v>
      </c>
      <c r="C1339" t="s">
        <v>90</v>
      </c>
      <c r="D1339" t="s">
        <v>78</v>
      </c>
      <c r="E1339" s="1" t="s">
        <v>94</v>
      </c>
      <c r="F1339" t="s">
        <v>93</v>
      </c>
      <c r="G1339" t="s">
        <v>32</v>
      </c>
      <c r="H1339">
        <v>21</v>
      </c>
      <c r="I1339">
        <v>3966</v>
      </c>
    </row>
    <row r="1340" spans="1:9" x14ac:dyDescent="0.25">
      <c r="A1340" s="5" t="str">
        <f>TrendSheetPrdData[[#This Row],[Population]]&amp;TrendSheetPrdData[[#This Row],[Cost Basis]]&amp;TrendSheetPrdData[[#This Row],[Period]]&amp;TrendSheetPrdData[[#This Row],[Trend]]</f>
        <v>CHESAPEAKE EMPLOYEEPaid2016-05-01Professional Claim Count</v>
      </c>
      <c r="B1340" t="s">
        <v>90</v>
      </c>
      <c r="C1340" t="s">
        <v>90</v>
      </c>
      <c r="D1340" t="s">
        <v>78</v>
      </c>
      <c r="E1340" s="1" t="s">
        <v>95</v>
      </c>
      <c r="F1340" t="s">
        <v>93</v>
      </c>
      <c r="G1340" t="s">
        <v>32</v>
      </c>
      <c r="H1340">
        <v>21</v>
      </c>
      <c r="I1340">
        <v>3819</v>
      </c>
    </row>
    <row r="1341" spans="1:9" x14ac:dyDescent="0.25">
      <c r="A1341" s="5" t="str">
        <f>TrendSheetPrdData[[#This Row],[Population]]&amp;TrendSheetPrdData[[#This Row],[Cost Basis]]&amp;TrendSheetPrdData[[#This Row],[Period]]&amp;TrendSheetPrdData[[#This Row],[Trend]]</f>
        <v>CHESAPEAKE EMPLOYEEPaid2016-06-01Professional Claim Count</v>
      </c>
      <c r="B1341" t="s">
        <v>90</v>
      </c>
      <c r="C1341" t="s">
        <v>90</v>
      </c>
      <c r="D1341" t="s">
        <v>78</v>
      </c>
      <c r="E1341" s="1" t="s">
        <v>96</v>
      </c>
      <c r="F1341" t="s">
        <v>93</v>
      </c>
      <c r="G1341" t="s">
        <v>32</v>
      </c>
      <c r="H1341">
        <v>21</v>
      </c>
      <c r="I1341">
        <v>4244</v>
      </c>
    </row>
    <row r="1342" spans="1:9" x14ac:dyDescent="0.25">
      <c r="A1342" s="5" t="str">
        <f>TrendSheetPrdData[[#This Row],[Population]]&amp;TrendSheetPrdData[[#This Row],[Cost Basis]]&amp;TrendSheetPrdData[[#This Row],[Period]]&amp;TrendSheetPrdData[[#This Row],[Trend]]</f>
        <v>CHESAPEAKE EMPLOYEEPaid2016-07-01Professional Claim Count</v>
      </c>
      <c r="B1342" t="s">
        <v>90</v>
      </c>
      <c r="C1342" t="s">
        <v>90</v>
      </c>
      <c r="D1342" t="s">
        <v>78</v>
      </c>
      <c r="E1342" s="1" t="s">
        <v>97</v>
      </c>
      <c r="F1342" t="s">
        <v>93</v>
      </c>
      <c r="G1342" t="s">
        <v>32</v>
      </c>
      <c r="H1342">
        <v>21</v>
      </c>
      <c r="I1342">
        <v>3409</v>
      </c>
    </row>
    <row r="1343" spans="1:9" x14ac:dyDescent="0.25">
      <c r="A1343" s="5" t="str">
        <f>TrendSheetPrdData[[#This Row],[Population]]&amp;TrendSheetPrdData[[#This Row],[Cost Basis]]&amp;TrendSheetPrdData[[#This Row],[Period]]&amp;TrendSheetPrdData[[#This Row],[Trend]]</f>
        <v>CHESAPEAKE EMPLOYEEPaid2016-08-01Professional Claim Count</v>
      </c>
      <c r="B1343" t="s">
        <v>90</v>
      </c>
      <c r="C1343" t="s">
        <v>90</v>
      </c>
      <c r="D1343" t="s">
        <v>78</v>
      </c>
      <c r="E1343" s="1" t="s">
        <v>98</v>
      </c>
      <c r="F1343" t="s">
        <v>93</v>
      </c>
      <c r="G1343" t="s">
        <v>32</v>
      </c>
      <c r="H1343">
        <v>21</v>
      </c>
      <c r="I1343">
        <v>3603</v>
      </c>
    </row>
    <row r="1344" spans="1:9" x14ac:dyDescent="0.25">
      <c r="A1344" s="5" t="str">
        <f>TrendSheetPrdData[[#This Row],[Population]]&amp;TrendSheetPrdData[[#This Row],[Cost Basis]]&amp;TrendSheetPrdData[[#This Row],[Period]]&amp;TrendSheetPrdData[[#This Row],[Trend]]</f>
        <v>CHESAPEAKE EMPLOYEEPaid2016-09-01Professional Claim Count</v>
      </c>
      <c r="B1344" t="s">
        <v>90</v>
      </c>
      <c r="C1344" t="s">
        <v>90</v>
      </c>
      <c r="D1344" t="s">
        <v>78</v>
      </c>
      <c r="E1344" s="1" t="s">
        <v>99</v>
      </c>
      <c r="F1344" t="s">
        <v>93</v>
      </c>
      <c r="G1344" t="s">
        <v>32</v>
      </c>
      <c r="H1344">
        <v>21</v>
      </c>
      <c r="I1344">
        <v>3673</v>
      </c>
    </row>
    <row r="1345" spans="1:9" x14ac:dyDescent="0.25">
      <c r="A1345" s="5" t="str">
        <f>TrendSheetPrdData[[#This Row],[Population]]&amp;TrendSheetPrdData[[#This Row],[Cost Basis]]&amp;TrendSheetPrdData[[#This Row],[Period]]&amp;TrendSheetPrdData[[#This Row],[Trend]]</f>
        <v>CHESAPEAKE EMPLOYEEPaid2016-10-01Professional Claim Count</v>
      </c>
      <c r="B1345" t="s">
        <v>90</v>
      </c>
      <c r="C1345" t="s">
        <v>90</v>
      </c>
      <c r="D1345" t="s">
        <v>78</v>
      </c>
      <c r="E1345" s="1" t="s">
        <v>100</v>
      </c>
      <c r="F1345" t="s">
        <v>93</v>
      </c>
      <c r="G1345" t="s">
        <v>32</v>
      </c>
      <c r="H1345">
        <v>21</v>
      </c>
      <c r="I1345">
        <v>4163</v>
      </c>
    </row>
    <row r="1346" spans="1:9" x14ac:dyDescent="0.25">
      <c r="A1346" s="5" t="str">
        <f>TrendSheetPrdData[[#This Row],[Population]]&amp;TrendSheetPrdData[[#This Row],[Cost Basis]]&amp;TrendSheetPrdData[[#This Row],[Period]]&amp;TrendSheetPrdData[[#This Row],[Trend]]</f>
        <v>CHESAPEAKE EMPLOYEEPaid2016-11-01Professional Claim Count</v>
      </c>
      <c r="B1346" t="s">
        <v>90</v>
      </c>
      <c r="C1346" t="s">
        <v>90</v>
      </c>
      <c r="D1346" t="s">
        <v>78</v>
      </c>
      <c r="E1346" s="1" t="s">
        <v>101</v>
      </c>
      <c r="F1346" t="s">
        <v>93</v>
      </c>
      <c r="G1346" t="s">
        <v>32</v>
      </c>
      <c r="H1346">
        <v>21</v>
      </c>
      <c r="I1346">
        <v>3832</v>
      </c>
    </row>
    <row r="1347" spans="1:9" x14ac:dyDescent="0.25">
      <c r="A1347" s="5" t="str">
        <f>TrendSheetPrdData[[#This Row],[Population]]&amp;TrendSheetPrdData[[#This Row],[Cost Basis]]&amp;TrendSheetPrdData[[#This Row],[Period]]&amp;TrendSheetPrdData[[#This Row],[Trend]]</f>
        <v>CHESAPEAKE EMPLOYEEPaid2016-12-01Professional Claim Count</v>
      </c>
      <c r="B1347" t="s">
        <v>90</v>
      </c>
      <c r="C1347" t="s">
        <v>90</v>
      </c>
      <c r="D1347" t="s">
        <v>78</v>
      </c>
      <c r="E1347" s="1" t="s">
        <v>102</v>
      </c>
      <c r="F1347" t="s">
        <v>93</v>
      </c>
      <c r="G1347" t="s">
        <v>32</v>
      </c>
      <c r="H1347">
        <v>21</v>
      </c>
      <c r="I1347">
        <v>3802</v>
      </c>
    </row>
    <row r="1348" spans="1:9" x14ac:dyDescent="0.25">
      <c r="A1348" s="5" t="str">
        <f>TrendSheetPrdData[[#This Row],[Population]]&amp;TrendSheetPrdData[[#This Row],[Cost Basis]]&amp;TrendSheetPrdData[[#This Row],[Period]]&amp;TrendSheetPrdData[[#This Row],[Trend]]</f>
        <v>CHESAPEAKE EMPLOYEEPaid2017-01-01Professional Claim Count</v>
      </c>
      <c r="B1348" t="s">
        <v>90</v>
      </c>
      <c r="C1348" t="s">
        <v>90</v>
      </c>
      <c r="D1348" t="s">
        <v>78</v>
      </c>
      <c r="E1348" s="1" t="s">
        <v>103</v>
      </c>
      <c r="F1348" t="s">
        <v>93</v>
      </c>
      <c r="G1348" t="s">
        <v>32</v>
      </c>
      <c r="H1348">
        <v>21</v>
      </c>
      <c r="I1348">
        <v>3540</v>
      </c>
    </row>
    <row r="1349" spans="1:9" x14ac:dyDescent="0.25">
      <c r="A1349" s="5" t="str">
        <f>TrendSheetPrdData[[#This Row],[Population]]&amp;TrendSheetPrdData[[#This Row],[Cost Basis]]&amp;TrendSheetPrdData[[#This Row],[Period]]&amp;TrendSheetPrdData[[#This Row],[Trend]]</f>
        <v>CHESAPEAKE EMPLOYEEPaid2017-02-01Professional Claim Count</v>
      </c>
      <c r="B1349" t="s">
        <v>90</v>
      </c>
      <c r="C1349" t="s">
        <v>90</v>
      </c>
      <c r="D1349" t="s">
        <v>78</v>
      </c>
      <c r="E1349" s="1" t="s">
        <v>104</v>
      </c>
      <c r="F1349" t="s">
        <v>106</v>
      </c>
      <c r="G1349" t="s">
        <v>32</v>
      </c>
      <c r="H1349">
        <v>21</v>
      </c>
      <c r="I1349">
        <v>3674</v>
      </c>
    </row>
    <row r="1350" spans="1:9" x14ac:dyDescent="0.25">
      <c r="A1350" s="5" t="str">
        <f>TrendSheetPrdData[[#This Row],[Population]]&amp;TrendSheetPrdData[[#This Row],[Cost Basis]]&amp;TrendSheetPrdData[[#This Row],[Period]]&amp;TrendSheetPrdData[[#This Row],[Trend]]</f>
        <v>CHESAPEAKE EMPLOYEEPaid2017-03-01Professional Claim Count</v>
      </c>
      <c r="B1350" t="s">
        <v>90</v>
      </c>
      <c r="C1350" t="s">
        <v>90</v>
      </c>
      <c r="D1350" t="s">
        <v>78</v>
      </c>
      <c r="E1350" s="1" t="s">
        <v>105</v>
      </c>
      <c r="F1350" t="s">
        <v>106</v>
      </c>
      <c r="G1350" t="s">
        <v>32</v>
      </c>
      <c r="H1350">
        <v>21</v>
      </c>
      <c r="I1350">
        <v>4232</v>
      </c>
    </row>
    <row r="1351" spans="1:9" x14ac:dyDescent="0.25">
      <c r="A1351" s="5" t="str">
        <f>TrendSheetPrdData[[#This Row],[Population]]&amp;TrendSheetPrdData[[#This Row],[Cost Basis]]&amp;TrendSheetPrdData[[#This Row],[Period]]&amp;TrendSheetPrdData[[#This Row],[Trend]]</f>
        <v>CHESAPEAKE EMPLOYEEPaid2017-04-01Professional Claim Count</v>
      </c>
      <c r="B1351" t="s">
        <v>90</v>
      </c>
      <c r="C1351" t="s">
        <v>90</v>
      </c>
      <c r="D1351" t="s">
        <v>78</v>
      </c>
      <c r="E1351" s="1" t="s">
        <v>107</v>
      </c>
      <c r="F1351" t="s">
        <v>106</v>
      </c>
      <c r="G1351" t="s">
        <v>32</v>
      </c>
      <c r="H1351">
        <v>21</v>
      </c>
      <c r="I1351">
        <v>1298</v>
      </c>
    </row>
    <row r="1352" spans="1:9" x14ac:dyDescent="0.25">
      <c r="A1352" s="5" t="str">
        <f>TrendSheetPrdData[[#This Row],[Population]]&amp;TrendSheetPrdData[[#This Row],[Cost Basis]]&amp;TrendSheetPrdData[[#This Row],[Period]]&amp;TrendSheetPrdData[[#This Row],[Trend]]</f>
        <v>CHESAPEAKE EMPLOYEEPaid2016-02-01Ancillary Claim Count</v>
      </c>
      <c r="B1352" t="s">
        <v>90</v>
      </c>
      <c r="C1352" t="s">
        <v>90</v>
      </c>
      <c r="D1352" t="s">
        <v>78</v>
      </c>
      <c r="E1352" s="1" t="s">
        <v>133</v>
      </c>
      <c r="F1352" t="s">
        <v>93</v>
      </c>
      <c r="G1352" t="s">
        <v>33</v>
      </c>
      <c r="H1352">
        <v>22</v>
      </c>
      <c r="I1352">
        <v>176</v>
      </c>
    </row>
    <row r="1353" spans="1:9" x14ac:dyDescent="0.25">
      <c r="A1353" s="5" t="str">
        <f>TrendSheetPrdData[[#This Row],[Population]]&amp;TrendSheetPrdData[[#This Row],[Cost Basis]]&amp;TrendSheetPrdData[[#This Row],[Period]]&amp;TrendSheetPrdData[[#This Row],[Trend]]</f>
        <v>CHESAPEAKE EMPLOYEEPaid2016-03-01Ancillary Claim Count</v>
      </c>
      <c r="B1353" t="s">
        <v>90</v>
      </c>
      <c r="C1353" t="s">
        <v>90</v>
      </c>
      <c r="D1353" t="s">
        <v>78</v>
      </c>
      <c r="E1353" s="1" t="s">
        <v>92</v>
      </c>
      <c r="F1353" t="s">
        <v>93</v>
      </c>
      <c r="G1353" t="s">
        <v>33</v>
      </c>
      <c r="H1353">
        <v>22</v>
      </c>
      <c r="I1353">
        <v>212</v>
      </c>
    </row>
    <row r="1354" spans="1:9" x14ac:dyDescent="0.25">
      <c r="A1354" s="5" t="str">
        <f>TrendSheetPrdData[[#This Row],[Population]]&amp;TrendSheetPrdData[[#This Row],[Cost Basis]]&amp;TrendSheetPrdData[[#This Row],[Period]]&amp;TrendSheetPrdData[[#This Row],[Trend]]</f>
        <v>CHESAPEAKE EMPLOYEEPaid2016-04-01Ancillary Claim Count</v>
      </c>
      <c r="B1354" t="s">
        <v>90</v>
      </c>
      <c r="C1354" t="s">
        <v>90</v>
      </c>
      <c r="D1354" t="s">
        <v>78</v>
      </c>
      <c r="E1354" s="1" t="s">
        <v>94</v>
      </c>
      <c r="F1354" t="s">
        <v>93</v>
      </c>
      <c r="G1354" t="s">
        <v>33</v>
      </c>
      <c r="H1354">
        <v>22</v>
      </c>
      <c r="I1354">
        <v>183</v>
      </c>
    </row>
    <row r="1355" spans="1:9" x14ac:dyDescent="0.25">
      <c r="A1355" s="5" t="str">
        <f>TrendSheetPrdData[[#This Row],[Population]]&amp;TrendSheetPrdData[[#This Row],[Cost Basis]]&amp;TrendSheetPrdData[[#This Row],[Period]]&amp;TrendSheetPrdData[[#This Row],[Trend]]</f>
        <v>CHESAPEAKE EMPLOYEEPaid2016-05-01Ancillary Claim Count</v>
      </c>
      <c r="B1355" t="s">
        <v>90</v>
      </c>
      <c r="C1355" t="s">
        <v>90</v>
      </c>
      <c r="D1355" t="s">
        <v>78</v>
      </c>
      <c r="E1355" s="1" t="s">
        <v>95</v>
      </c>
      <c r="F1355" t="s">
        <v>93</v>
      </c>
      <c r="G1355" t="s">
        <v>33</v>
      </c>
      <c r="H1355">
        <v>22</v>
      </c>
      <c r="I1355">
        <v>204</v>
      </c>
    </row>
    <row r="1356" spans="1:9" x14ac:dyDescent="0.25">
      <c r="A1356" s="5" t="str">
        <f>TrendSheetPrdData[[#This Row],[Population]]&amp;TrendSheetPrdData[[#This Row],[Cost Basis]]&amp;TrendSheetPrdData[[#This Row],[Period]]&amp;TrendSheetPrdData[[#This Row],[Trend]]</f>
        <v>CHESAPEAKE EMPLOYEEPaid2016-06-01Ancillary Claim Count</v>
      </c>
      <c r="B1356" t="s">
        <v>90</v>
      </c>
      <c r="C1356" t="s">
        <v>90</v>
      </c>
      <c r="D1356" t="s">
        <v>78</v>
      </c>
      <c r="E1356" s="1" t="s">
        <v>96</v>
      </c>
      <c r="F1356" t="s">
        <v>93</v>
      </c>
      <c r="G1356" t="s">
        <v>33</v>
      </c>
      <c r="H1356">
        <v>22</v>
      </c>
      <c r="I1356">
        <v>233</v>
      </c>
    </row>
    <row r="1357" spans="1:9" x14ac:dyDescent="0.25">
      <c r="A1357" s="5" t="str">
        <f>TrendSheetPrdData[[#This Row],[Population]]&amp;TrendSheetPrdData[[#This Row],[Cost Basis]]&amp;TrendSheetPrdData[[#This Row],[Period]]&amp;TrendSheetPrdData[[#This Row],[Trend]]</f>
        <v>CHESAPEAKE EMPLOYEEPaid2016-07-01Ancillary Claim Count</v>
      </c>
      <c r="B1357" t="s">
        <v>90</v>
      </c>
      <c r="C1357" t="s">
        <v>90</v>
      </c>
      <c r="D1357" t="s">
        <v>78</v>
      </c>
      <c r="E1357" s="1" t="s">
        <v>97</v>
      </c>
      <c r="F1357" t="s">
        <v>93</v>
      </c>
      <c r="G1357" t="s">
        <v>33</v>
      </c>
      <c r="H1357">
        <v>22</v>
      </c>
      <c r="I1357">
        <v>218</v>
      </c>
    </row>
    <row r="1358" spans="1:9" x14ac:dyDescent="0.25">
      <c r="A1358" s="5" t="str">
        <f>TrendSheetPrdData[[#This Row],[Population]]&amp;TrendSheetPrdData[[#This Row],[Cost Basis]]&amp;TrendSheetPrdData[[#This Row],[Period]]&amp;TrendSheetPrdData[[#This Row],[Trend]]</f>
        <v>CHESAPEAKE EMPLOYEEPaid2016-08-01Ancillary Claim Count</v>
      </c>
      <c r="B1358" t="s">
        <v>90</v>
      </c>
      <c r="C1358" t="s">
        <v>90</v>
      </c>
      <c r="D1358" t="s">
        <v>78</v>
      </c>
      <c r="E1358" s="1" t="s">
        <v>98</v>
      </c>
      <c r="F1358" t="s">
        <v>93</v>
      </c>
      <c r="G1358" t="s">
        <v>33</v>
      </c>
      <c r="H1358">
        <v>22</v>
      </c>
      <c r="I1358">
        <v>321</v>
      </c>
    </row>
    <row r="1359" spans="1:9" x14ac:dyDescent="0.25">
      <c r="A1359" s="5" t="str">
        <f>TrendSheetPrdData[[#This Row],[Population]]&amp;TrendSheetPrdData[[#This Row],[Cost Basis]]&amp;TrendSheetPrdData[[#This Row],[Period]]&amp;TrendSheetPrdData[[#This Row],[Trend]]</f>
        <v>CHESAPEAKE EMPLOYEEPaid2016-09-01Ancillary Claim Count</v>
      </c>
      <c r="B1359" t="s">
        <v>90</v>
      </c>
      <c r="C1359" t="s">
        <v>90</v>
      </c>
      <c r="D1359" t="s">
        <v>78</v>
      </c>
      <c r="E1359" s="1" t="s">
        <v>99</v>
      </c>
      <c r="F1359" t="s">
        <v>93</v>
      </c>
      <c r="G1359" t="s">
        <v>33</v>
      </c>
      <c r="H1359">
        <v>22</v>
      </c>
      <c r="I1359">
        <v>287</v>
      </c>
    </row>
    <row r="1360" spans="1:9" x14ac:dyDescent="0.25">
      <c r="A1360" s="5" t="str">
        <f>TrendSheetPrdData[[#This Row],[Population]]&amp;TrendSheetPrdData[[#This Row],[Cost Basis]]&amp;TrendSheetPrdData[[#This Row],[Period]]&amp;TrendSheetPrdData[[#This Row],[Trend]]</f>
        <v>CHESAPEAKE EMPLOYEEPaid2016-10-01Ancillary Claim Count</v>
      </c>
      <c r="B1360" t="s">
        <v>90</v>
      </c>
      <c r="C1360" t="s">
        <v>90</v>
      </c>
      <c r="D1360" t="s">
        <v>78</v>
      </c>
      <c r="E1360" s="1" t="s">
        <v>100</v>
      </c>
      <c r="F1360" t="s">
        <v>93</v>
      </c>
      <c r="G1360" t="s">
        <v>33</v>
      </c>
      <c r="H1360">
        <v>22</v>
      </c>
      <c r="I1360">
        <v>368</v>
      </c>
    </row>
    <row r="1361" spans="1:9" x14ac:dyDescent="0.25">
      <c r="A1361" s="5" t="str">
        <f>TrendSheetPrdData[[#This Row],[Population]]&amp;TrendSheetPrdData[[#This Row],[Cost Basis]]&amp;TrendSheetPrdData[[#This Row],[Period]]&amp;TrendSheetPrdData[[#This Row],[Trend]]</f>
        <v>CHESAPEAKE EMPLOYEEPaid2016-11-01Ancillary Claim Count</v>
      </c>
      <c r="B1361" t="s">
        <v>90</v>
      </c>
      <c r="C1361" t="s">
        <v>90</v>
      </c>
      <c r="D1361" t="s">
        <v>78</v>
      </c>
      <c r="E1361" s="1" t="s">
        <v>101</v>
      </c>
      <c r="F1361" t="s">
        <v>93</v>
      </c>
      <c r="G1361" t="s">
        <v>33</v>
      </c>
      <c r="H1361">
        <v>22</v>
      </c>
      <c r="I1361">
        <v>386</v>
      </c>
    </row>
    <row r="1362" spans="1:9" x14ac:dyDescent="0.25">
      <c r="A1362" s="5" t="str">
        <f>TrendSheetPrdData[[#This Row],[Population]]&amp;TrendSheetPrdData[[#This Row],[Cost Basis]]&amp;TrendSheetPrdData[[#This Row],[Period]]&amp;TrendSheetPrdData[[#This Row],[Trend]]</f>
        <v>CHESAPEAKE EMPLOYEEPaid2016-12-01Ancillary Claim Count</v>
      </c>
      <c r="B1362" t="s">
        <v>90</v>
      </c>
      <c r="C1362" t="s">
        <v>90</v>
      </c>
      <c r="D1362" t="s">
        <v>78</v>
      </c>
      <c r="E1362" s="1" t="s">
        <v>102</v>
      </c>
      <c r="F1362" t="s">
        <v>93</v>
      </c>
      <c r="G1362" t="s">
        <v>33</v>
      </c>
      <c r="H1362">
        <v>22</v>
      </c>
      <c r="I1362">
        <v>304</v>
      </c>
    </row>
    <row r="1363" spans="1:9" x14ac:dyDescent="0.25">
      <c r="A1363" s="5" t="str">
        <f>TrendSheetPrdData[[#This Row],[Population]]&amp;TrendSheetPrdData[[#This Row],[Cost Basis]]&amp;TrendSheetPrdData[[#This Row],[Period]]&amp;TrendSheetPrdData[[#This Row],[Trend]]</f>
        <v>CHESAPEAKE EMPLOYEEPaid2017-01-01Ancillary Claim Count</v>
      </c>
      <c r="B1363" t="s">
        <v>90</v>
      </c>
      <c r="C1363" t="s">
        <v>90</v>
      </c>
      <c r="D1363" t="s">
        <v>78</v>
      </c>
      <c r="E1363" s="1" t="s">
        <v>103</v>
      </c>
      <c r="F1363" t="s">
        <v>93</v>
      </c>
      <c r="G1363" t="s">
        <v>33</v>
      </c>
      <c r="H1363">
        <v>22</v>
      </c>
      <c r="I1363">
        <v>309</v>
      </c>
    </row>
    <row r="1364" spans="1:9" x14ac:dyDescent="0.25">
      <c r="A1364" s="5" t="str">
        <f>TrendSheetPrdData[[#This Row],[Population]]&amp;TrendSheetPrdData[[#This Row],[Cost Basis]]&amp;TrendSheetPrdData[[#This Row],[Period]]&amp;TrendSheetPrdData[[#This Row],[Trend]]</f>
        <v>CHESAPEAKE EMPLOYEEPaid2017-02-01Ancillary Claim Count</v>
      </c>
      <c r="B1364" t="s">
        <v>90</v>
      </c>
      <c r="C1364" t="s">
        <v>90</v>
      </c>
      <c r="D1364" t="s">
        <v>78</v>
      </c>
      <c r="E1364" s="1" t="s">
        <v>104</v>
      </c>
      <c r="F1364" t="s">
        <v>106</v>
      </c>
      <c r="G1364" t="s">
        <v>33</v>
      </c>
      <c r="H1364">
        <v>22</v>
      </c>
      <c r="I1364">
        <v>323</v>
      </c>
    </row>
    <row r="1365" spans="1:9" x14ac:dyDescent="0.25">
      <c r="A1365" s="5" t="str">
        <f>TrendSheetPrdData[[#This Row],[Population]]&amp;TrendSheetPrdData[[#This Row],[Cost Basis]]&amp;TrendSheetPrdData[[#This Row],[Period]]&amp;TrendSheetPrdData[[#This Row],[Trend]]</f>
        <v>CHESAPEAKE EMPLOYEEPaid2017-03-01Ancillary Claim Count</v>
      </c>
      <c r="B1365" t="s">
        <v>90</v>
      </c>
      <c r="C1365" t="s">
        <v>90</v>
      </c>
      <c r="D1365" t="s">
        <v>78</v>
      </c>
      <c r="E1365" s="1" t="s">
        <v>105</v>
      </c>
      <c r="F1365" t="s">
        <v>106</v>
      </c>
      <c r="G1365" t="s">
        <v>33</v>
      </c>
      <c r="H1365">
        <v>22</v>
      </c>
      <c r="I1365">
        <v>241</v>
      </c>
    </row>
    <row r="1366" spans="1:9" x14ac:dyDescent="0.25">
      <c r="A1366" s="5" t="str">
        <f>TrendSheetPrdData[[#This Row],[Population]]&amp;TrendSheetPrdData[[#This Row],[Cost Basis]]&amp;TrendSheetPrdData[[#This Row],[Period]]&amp;TrendSheetPrdData[[#This Row],[Trend]]</f>
        <v>CHESAPEAKE EMPLOYEEPaid2017-04-01Ancillary Claim Count</v>
      </c>
      <c r="B1366" t="s">
        <v>90</v>
      </c>
      <c r="C1366" t="s">
        <v>90</v>
      </c>
      <c r="D1366" t="s">
        <v>78</v>
      </c>
      <c r="E1366" s="1" t="s">
        <v>107</v>
      </c>
      <c r="F1366" t="s">
        <v>106</v>
      </c>
      <c r="G1366" t="s">
        <v>33</v>
      </c>
      <c r="H1366">
        <v>22</v>
      </c>
      <c r="I1366">
        <v>85</v>
      </c>
    </row>
    <row r="1367" spans="1:9" x14ac:dyDescent="0.25">
      <c r="A1367" s="5" t="str">
        <f>TrendSheetPrdData[[#This Row],[Population]]&amp;TrendSheetPrdData[[#This Row],[Cost Basis]]&amp;TrendSheetPrdData[[#This Row],[Period]]&amp;TrendSheetPrdData[[#This Row],[Trend]]</f>
        <v>CHESAPEAKE EMPLOYEEPaid2016-02-01Drug Claim Count</v>
      </c>
      <c r="B1367" t="s">
        <v>90</v>
      </c>
      <c r="C1367" t="s">
        <v>90</v>
      </c>
      <c r="D1367" t="s">
        <v>78</v>
      </c>
      <c r="E1367" s="1" t="s">
        <v>133</v>
      </c>
      <c r="F1367" t="s">
        <v>93</v>
      </c>
      <c r="G1367" t="s">
        <v>34</v>
      </c>
      <c r="H1367">
        <v>23</v>
      </c>
      <c r="I1367">
        <v>4303</v>
      </c>
    </row>
    <row r="1368" spans="1:9" x14ac:dyDescent="0.25">
      <c r="A1368" s="5" t="str">
        <f>TrendSheetPrdData[[#This Row],[Population]]&amp;TrendSheetPrdData[[#This Row],[Cost Basis]]&amp;TrendSheetPrdData[[#This Row],[Period]]&amp;TrendSheetPrdData[[#This Row],[Trend]]</f>
        <v>CHESAPEAKE EMPLOYEEPaid2016-03-01Drug Claim Count</v>
      </c>
      <c r="B1368" t="s">
        <v>90</v>
      </c>
      <c r="C1368" t="s">
        <v>90</v>
      </c>
      <c r="D1368" t="s">
        <v>78</v>
      </c>
      <c r="E1368" s="1" t="s">
        <v>92</v>
      </c>
      <c r="F1368" t="s">
        <v>93</v>
      </c>
      <c r="G1368" t="s">
        <v>34</v>
      </c>
      <c r="H1368">
        <v>23</v>
      </c>
      <c r="I1368">
        <v>4529</v>
      </c>
    </row>
    <row r="1369" spans="1:9" x14ac:dyDescent="0.25">
      <c r="A1369" s="5" t="str">
        <f>TrendSheetPrdData[[#This Row],[Population]]&amp;TrendSheetPrdData[[#This Row],[Cost Basis]]&amp;TrendSheetPrdData[[#This Row],[Period]]&amp;TrendSheetPrdData[[#This Row],[Trend]]</f>
        <v>CHESAPEAKE EMPLOYEEPaid2016-04-01Drug Claim Count</v>
      </c>
      <c r="B1369" t="s">
        <v>90</v>
      </c>
      <c r="C1369" t="s">
        <v>90</v>
      </c>
      <c r="D1369" t="s">
        <v>78</v>
      </c>
      <c r="E1369" s="1" t="s">
        <v>94</v>
      </c>
      <c r="F1369" t="s">
        <v>93</v>
      </c>
      <c r="G1369" t="s">
        <v>34</v>
      </c>
      <c r="H1369">
        <v>23</v>
      </c>
      <c r="I1369">
        <v>4099</v>
      </c>
    </row>
    <row r="1370" spans="1:9" x14ac:dyDescent="0.25">
      <c r="A1370" s="5" t="str">
        <f>TrendSheetPrdData[[#This Row],[Population]]&amp;TrendSheetPrdData[[#This Row],[Cost Basis]]&amp;TrendSheetPrdData[[#This Row],[Period]]&amp;TrendSheetPrdData[[#This Row],[Trend]]</f>
        <v>CHESAPEAKE EMPLOYEEPaid2016-05-01Drug Claim Count</v>
      </c>
      <c r="B1370" t="s">
        <v>90</v>
      </c>
      <c r="C1370" t="s">
        <v>90</v>
      </c>
      <c r="D1370" t="s">
        <v>78</v>
      </c>
      <c r="E1370" s="1" t="s">
        <v>95</v>
      </c>
      <c r="F1370" t="s">
        <v>93</v>
      </c>
      <c r="G1370" t="s">
        <v>34</v>
      </c>
      <c r="H1370">
        <v>23</v>
      </c>
      <c r="I1370">
        <v>4095</v>
      </c>
    </row>
    <row r="1371" spans="1:9" x14ac:dyDescent="0.25">
      <c r="A1371" s="5" t="str">
        <f>TrendSheetPrdData[[#This Row],[Population]]&amp;TrendSheetPrdData[[#This Row],[Cost Basis]]&amp;TrendSheetPrdData[[#This Row],[Period]]&amp;TrendSheetPrdData[[#This Row],[Trend]]</f>
        <v>CHESAPEAKE EMPLOYEEPaid2016-06-01Drug Claim Count</v>
      </c>
      <c r="B1371" t="s">
        <v>90</v>
      </c>
      <c r="C1371" t="s">
        <v>90</v>
      </c>
      <c r="D1371" t="s">
        <v>78</v>
      </c>
      <c r="E1371" s="1" t="s">
        <v>96</v>
      </c>
      <c r="F1371" t="s">
        <v>93</v>
      </c>
      <c r="G1371" t="s">
        <v>34</v>
      </c>
      <c r="H1371">
        <v>23</v>
      </c>
      <c r="I1371">
        <v>4096</v>
      </c>
    </row>
    <row r="1372" spans="1:9" x14ac:dyDescent="0.25">
      <c r="A1372" s="5" t="str">
        <f>TrendSheetPrdData[[#This Row],[Population]]&amp;TrendSheetPrdData[[#This Row],[Cost Basis]]&amp;TrendSheetPrdData[[#This Row],[Period]]&amp;TrendSheetPrdData[[#This Row],[Trend]]</f>
        <v>CHESAPEAKE EMPLOYEEPaid2016-07-01Drug Claim Count</v>
      </c>
      <c r="B1372" t="s">
        <v>90</v>
      </c>
      <c r="C1372" t="s">
        <v>90</v>
      </c>
      <c r="D1372" t="s">
        <v>78</v>
      </c>
      <c r="E1372" s="1" t="s">
        <v>97</v>
      </c>
      <c r="F1372" t="s">
        <v>93</v>
      </c>
      <c r="G1372" t="s">
        <v>34</v>
      </c>
      <c r="H1372">
        <v>23</v>
      </c>
      <c r="I1372">
        <v>3653</v>
      </c>
    </row>
    <row r="1373" spans="1:9" x14ac:dyDescent="0.25">
      <c r="A1373" s="5" t="str">
        <f>TrendSheetPrdData[[#This Row],[Population]]&amp;TrendSheetPrdData[[#This Row],[Cost Basis]]&amp;TrendSheetPrdData[[#This Row],[Period]]&amp;TrendSheetPrdData[[#This Row],[Trend]]</f>
        <v>CHESAPEAKE EMPLOYEEPaid2016-08-01Drug Claim Count</v>
      </c>
      <c r="B1373" t="s">
        <v>90</v>
      </c>
      <c r="C1373" t="s">
        <v>90</v>
      </c>
      <c r="D1373" t="s">
        <v>78</v>
      </c>
      <c r="E1373" s="1" t="s">
        <v>98</v>
      </c>
      <c r="F1373" t="s">
        <v>93</v>
      </c>
      <c r="G1373" t="s">
        <v>34</v>
      </c>
      <c r="H1373">
        <v>23</v>
      </c>
      <c r="I1373">
        <v>3957</v>
      </c>
    </row>
    <row r="1374" spans="1:9" x14ac:dyDescent="0.25">
      <c r="A1374" s="5" t="str">
        <f>TrendSheetPrdData[[#This Row],[Population]]&amp;TrendSheetPrdData[[#This Row],[Cost Basis]]&amp;TrendSheetPrdData[[#This Row],[Period]]&amp;TrendSheetPrdData[[#This Row],[Trend]]</f>
        <v>CHESAPEAKE EMPLOYEEPaid2016-09-01Drug Claim Count</v>
      </c>
      <c r="B1374" t="s">
        <v>90</v>
      </c>
      <c r="C1374" t="s">
        <v>90</v>
      </c>
      <c r="D1374" t="s">
        <v>78</v>
      </c>
      <c r="E1374" s="1" t="s">
        <v>99</v>
      </c>
      <c r="F1374" t="s">
        <v>93</v>
      </c>
      <c r="G1374" t="s">
        <v>34</v>
      </c>
      <c r="H1374">
        <v>23</v>
      </c>
      <c r="I1374">
        <v>3845</v>
      </c>
    </row>
    <row r="1375" spans="1:9" x14ac:dyDescent="0.25">
      <c r="A1375" s="5" t="str">
        <f>TrendSheetPrdData[[#This Row],[Population]]&amp;TrendSheetPrdData[[#This Row],[Cost Basis]]&amp;TrendSheetPrdData[[#This Row],[Period]]&amp;TrendSheetPrdData[[#This Row],[Trend]]</f>
        <v>CHESAPEAKE EMPLOYEEPaid2016-10-01Drug Claim Count</v>
      </c>
      <c r="B1375" t="s">
        <v>90</v>
      </c>
      <c r="C1375" t="s">
        <v>90</v>
      </c>
      <c r="D1375" t="s">
        <v>78</v>
      </c>
      <c r="E1375" s="1" t="s">
        <v>100</v>
      </c>
      <c r="F1375" t="s">
        <v>93</v>
      </c>
      <c r="G1375" t="s">
        <v>34</v>
      </c>
      <c r="H1375">
        <v>23</v>
      </c>
      <c r="I1375">
        <v>3944</v>
      </c>
    </row>
    <row r="1376" spans="1:9" x14ac:dyDescent="0.25">
      <c r="A1376" s="5" t="str">
        <f>TrendSheetPrdData[[#This Row],[Population]]&amp;TrendSheetPrdData[[#This Row],[Cost Basis]]&amp;TrendSheetPrdData[[#This Row],[Period]]&amp;TrendSheetPrdData[[#This Row],[Trend]]</f>
        <v>CHESAPEAKE EMPLOYEEPaid2016-11-01Drug Claim Count</v>
      </c>
      <c r="B1376" t="s">
        <v>90</v>
      </c>
      <c r="C1376" t="s">
        <v>90</v>
      </c>
      <c r="D1376" t="s">
        <v>78</v>
      </c>
      <c r="E1376" s="1" t="s">
        <v>101</v>
      </c>
      <c r="F1376" t="s">
        <v>93</v>
      </c>
      <c r="G1376" t="s">
        <v>34</v>
      </c>
      <c r="H1376">
        <v>23</v>
      </c>
      <c r="I1376">
        <v>4135</v>
      </c>
    </row>
    <row r="1377" spans="1:9" x14ac:dyDescent="0.25">
      <c r="A1377" s="5" t="str">
        <f>TrendSheetPrdData[[#This Row],[Population]]&amp;TrendSheetPrdData[[#This Row],[Cost Basis]]&amp;TrendSheetPrdData[[#This Row],[Period]]&amp;TrendSheetPrdData[[#This Row],[Trend]]</f>
        <v>CHESAPEAKE EMPLOYEEPaid2016-12-01Drug Claim Count</v>
      </c>
      <c r="B1377" t="s">
        <v>90</v>
      </c>
      <c r="C1377" t="s">
        <v>90</v>
      </c>
      <c r="D1377" t="s">
        <v>78</v>
      </c>
      <c r="E1377" s="1" t="s">
        <v>102</v>
      </c>
      <c r="F1377" t="s">
        <v>93</v>
      </c>
      <c r="G1377" t="s">
        <v>34</v>
      </c>
      <c r="H1377">
        <v>23</v>
      </c>
      <c r="I1377">
        <v>4400</v>
      </c>
    </row>
    <row r="1378" spans="1:9" x14ac:dyDescent="0.25">
      <c r="A1378" s="5" t="str">
        <f>TrendSheetPrdData[[#This Row],[Population]]&amp;TrendSheetPrdData[[#This Row],[Cost Basis]]&amp;TrendSheetPrdData[[#This Row],[Period]]&amp;TrendSheetPrdData[[#This Row],[Trend]]</f>
        <v>CHESAPEAKE EMPLOYEEPaid2017-01-01Drug Claim Count</v>
      </c>
      <c r="B1378" t="s">
        <v>90</v>
      </c>
      <c r="C1378" t="s">
        <v>90</v>
      </c>
      <c r="D1378" t="s">
        <v>78</v>
      </c>
      <c r="E1378" s="1" t="s">
        <v>103</v>
      </c>
      <c r="F1378" t="s">
        <v>93</v>
      </c>
      <c r="G1378" t="s">
        <v>34</v>
      </c>
      <c r="H1378">
        <v>23</v>
      </c>
      <c r="I1378">
        <v>4346</v>
      </c>
    </row>
    <row r="1379" spans="1:9" x14ac:dyDescent="0.25">
      <c r="A1379" s="5" t="str">
        <f>TrendSheetPrdData[[#This Row],[Population]]&amp;TrendSheetPrdData[[#This Row],[Cost Basis]]&amp;TrendSheetPrdData[[#This Row],[Period]]&amp;TrendSheetPrdData[[#This Row],[Trend]]</f>
        <v>CHESAPEAKE EMPLOYEEPaid2017-02-01Drug Claim Count</v>
      </c>
      <c r="B1379" t="s">
        <v>90</v>
      </c>
      <c r="C1379" t="s">
        <v>90</v>
      </c>
      <c r="D1379" t="s">
        <v>78</v>
      </c>
      <c r="E1379" s="1" t="s">
        <v>104</v>
      </c>
      <c r="F1379" t="s">
        <v>106</v>
      </c>
      <c r="G1379" t="s">
        <v>34</v>
      </c>
      <c r="H1379">
        <v>23</v>
      </c>
      <c r="I1379">
        <v>3952</v>
      </c>
    </row>
    <row r="1380" spans="1:9" x14ac:dyDescent="0.25">
      <c r="A1380" s="5" t="str">
        <f>TrendSheetPrdData[[#This Row],[Population]]&amp;TrendSheetPrdData[[#This Row],[Cost Basis]]&amp;TrendSheetPrdData[[#This Row],[Period]]&amp;TrendSheetPrdData[[#This Row],[Trend]]</f>
        <v>CHESAPEAKE EMPLOYEEPaid2017-03-01Drug Claim Count</v>
      </c>
      <c r="B1380" t="s">
        <v>90</v>
      </c>
      <c r="C1380" t="s">
        <v>90</v>
      </c>
      <c r="D1380" t="s">
        <v>78</v>
      </c>
      <c r="E1380" s="1" t="s">
        <v>105</v>
      </c>
      <c r="F1380" t="s">
        <v>106</v>
      </c>
      <c r="G1380" t="s">
        <v>34</v>
      </c>
      <c r="H1380">
        <v>23</v>
      </c>
      <c r="I1380">
        <v>4498</v>
      </c>
    </row>
    <row r="1381" spans="1:9" x14ac:dyDescent="0.25">
      <c r="A1381" s="5" t="str">
        <f>TrendSheetPrdData[[#This Row],[Population]]&amp;TrendSheetPrdData[[#This Row],[Cost Basis]]&amp;TrendSheetPrdData[[#This Row],[Period]]&amp;TrendSheetPrdData[[#This Row],[Trend]]</f>
        <v>CHESAPEAKE EMPLOYEEPaid2017-04-01Drug Claim Count</v>
      </c>
      <c r="B1381" t="s">
        <v>90</v>
      </c>
      <c r="C1381" t="s">
        <v>90</v>
      </c>
      <c r="D1381" t="s">
        <v>78</v>
      </c>
      <c r="E1381" s="1" t="s">
        <v>107</v>
      </c>
      <c r="F1381" t="s">
        <v>106</v>
      </c>
      <c r="G1381" t="s">
        <v>34</v>
      </c>
      <c r="H1381">
        <v>23</v>
      </c>
      <c r="I1381">
        <v>3147</v>
      </c>
    </row>
    <row r="1382" spans="1:9" x14ac:dyDescent="0.25">
      <c r="A1382" s="5" t="str">
        <f>TrendSheetPrdData[[#This Row],[Population]]&amp;TrendSheetPrdData[[#This Row],[Cost Basis]]&amp;TrendSheetPrdData[[#This Row],[Period]]&amp;TrendSheetPrdData[[#This Row],[Trend]]</f>
        <v>MSSP_ATTRIBUTEDAllowed2015-10-01Medical PMPM</v>
      </c>
      <c r="B1382" t="s">
        <v>128</v>
      </c>
      <c r="C1382" t="s">
        <v>128</v>
      </c>
      <c r="D1382" t="s">
        <v>91</v>
      </c>
      <c r="E1382" s="1" t="s">
        <v>134</v>
      </c>
      <c r="F1382" t="s">
        <v>93</v>
      </c>
      <c r="G1382" t="s">
        <v>12</v>
      </c>
      <c r="H1382">
        <v>1</v>
      </c>
      <c r="I1382">
        <v>845.91</v>
      </c>
    </row>
    <row r="1383" spans="1:9" x14ac:dyDescent="0.25">
      <c r="A1383" s="5" t="str">
        <f>TrendSheetPrdData[[#This Row],[Population]]&amp;TrendSheetPrdData[[#This Row],[Cost Basis]]&amp;TrendSheetPrdData[[#This Row],[Period]]&amp;TrendSheetPrdData[[#This Row],[Trend]]</f>
        <v>MSSP_ATTRIBUTEDAllowed2015-11-01Medical PMPM</v>
      </c>
      <c r="B1383" t="s">
        <v>128</v>
      </c>
      <c r="C1383" t="s">
        <v>128</v>
      </c>
      <c r="D1383" t="s">
        <v>91</v>
      </c>
      <c r="E1383" s="1" t="s">
        <v>130</v>
      </c>
      <c r="F1383" t="s">
        <v>93</v>
      </c>
      <c r="G1383" t="s">
        <v>12</v>
      </c>
      <c r="H1383">
        <v>1</v>
      </c>
      <c r="I1383">
        <v>834.53</v>
      </c>
    </row>
    <row r="1384" spans="1:9" x14ac:dyDescent="0.25">
      <c r="A1384" s="5" t="str">
        <f>TrendSheetPrdData[[#This Row],[Population]]&amp;TrendSheetPrdData[[#This Row],[Cost Basis]]&amp;TrendSheetPrdData[[#This Row],[Period]]&amp;TrendSheetPrdData[[#This Row],[Trend]]</f>
        <v>MSSP_ATTRIBUTEDAllowed2015-12-01Medical PMPM</v>
      </c>
      <c r="B1384" t="s">
        <v>128</v>
      </c>
      <c r="C1384" t="s">
        <v>128</v>
      </c>
      <c r="D1384" t="s">
        <v>91</v>
      </c>
      <c r="E1384" s="1" t="s">
        <v>131</v>
      </c>
      <c r="F1384" t="s">
        <v>93</v>
      </c>
      <c r="G1384" t="s">
        <v>12</v>
      </c>
      <c r="H1384">
        <v>1</v>
      </c>
      <c r="I1384">
        <v>881.3</v>
      </c>
    </row>
    <row r="1385" spans="1:9" x14ac:dyDescent="0.25">
      <c r="A1385" s="5" t="str">
        <f>TrendSheetPrdData[[#This Row],[Population]]&amp;TrendSheetPrdData[[#This Row],[Cost Basis]]&amp;TrendSheetPrdData[[#This Row],[Period]]&amp;TrendSheetPrdData[[#This Row],[Trend]]</f>
        <v>MSSP_ATTRIBUTEDAllowed2016-01-01Medical PMPM</v>
      </c>
      <c r="B1385" t="s">
        <v>128</v>
      </c>
      <c r="C1385" t="s">
        <v>128</v>
      </c>
      <c r="D1385" t="s">
        <v>91</v>
      </c>
      <c r="E1385" s="1" t="s">
        <v>132</v>
      </c>
      <c r="F1385" t="s">
        <v>93</v>
      </c>
      <c r="G1385" t="s">
        <v>12</v>
      </c>
      <c r="H1385">
        <v>1</v>
      </c>
      <c r="I1385">
        <v>871.46</v>
      </c>
    </row>
    <row r="1386" spans="1:9" x14ac:dyDescent="0.25">
      <c r="A1386" s="5" t="str">
        <f>TrendSheetPrdData[[#This Row],[Population]]&amp;TrendSheetPrdData[[#This Row],[Cost Basis]]&amp;TrendSheetPrdData[[#This Row],[Period]]&amp;TrendSheetPrdData[[#This Row],[Trend]]</f>
        <v>MSSP_ATTRIBUTEDAllowed2016-02-01Medical PMPM</v>
      </c>
      <c r="B1386" t="s">
        <v>128</v>
      </c>
      <c r="C1386" t="s">
        <v>128</v>
      </c>
      <c r="D1386" t="s">
        <v>91</v>
      </c>
      <c r="E1386" s="1" t="s">
        <v>133</v>
      </c>
      <c r="F1386" t="s">
        <v>93</v>
      </c>
      <c r="G1386" t="s">
        <v>12</v>
      </c>
      <c r="H1386">
        <v>1</v>
      </c>
      <c r="I1386">
        <v>921.18</v>
      </c>
    </row>
    <row r="1387" spans="1:9" x14ac:dyDescent="0.25">
      <c r="A1387" s="5" t="str">
        <f>TrendSheetPrdData[[#This Row],[Population]]&amp;TrendSheetPrdData[[#This Row],[Cost Basis]]&amp;TrendSheetPrdData[[#This Row],[Period]]&amp;TrendSheetPrdData[[#This Row],[Trend]]</f>
        <v>MSSP_ATTRIBUTEDAllowed2016-03-01Medical PMPM</v>
      </c>
      <c r="B1387" t="s">
        <v>128</v>
      </c>
      <c r="C1387" t="s">
        <v>128</v>
      </c>
      <c r="D1387" t="s">
        <v>91</v>
      </c>
      <c r="E1387" s="1" t="s">
        <v>92</v>
      </c>
      <c r="F1387" t="s">
        <v>93</v>
      </c>
      <c r="G1387" t="s">
        <v>12</v>
      </c>
      <c r="H1387">
        <v>1</v>
      </c>
      <c r="I1387">
        <v>992.12</v>
      </c>
    </row>
    <row r="1388" spans="1:9" x14ac:dyDescent="0.25">
      <c r="A1388" s="5" t="str">
        <f>TrendSheetPrdData[[#This Row],[Population]]&amp;TrendSheetPrdData[[#This Row],[Cost Basis]]&amp;TrendSheetPrdData[[#This Row],[Period]]&amp;TrendSheetPrdData[[#This Row],[Trend]]</f>
        <v>MSSP_ATTRIBUTEDAllowed2016-04-01Medical PMPM</v>
      </c>
      <c r="B1388" t="s">
        <v>128</v>
      </c>
      <c r="C1388" t="s">
        <v>128</v>
      </c>
      <c r="D1388" t="s">
        <v>91</v>
      </c>
      <c r="E1388" s="1" t="s">
        <v>94</v>
      </c>
      <c r="F1388" t="s">
        <v>93</v>
      </c>
      <c r="G1388" t="s">
        <v>12</v>
      </c>
      <c r="H1388">
        <v>1</v>
      </c>
      <c r="I1388">
        <v>935.46</v>
      </c>
    </row>
    <row r="1389" spans="1:9" x14ac:dyDescent="0.25">
      <c r="A1389" s="5" t="str">
        <f>TrendSheetPrdData[[#This Row],[Population]]&amp;TrendSheetPrdData[[#This Row],[Cost Basis]]&amp;TrendSheetPrdData[[#This Row],[Period]]&amp;TrendSheetPrdData[[#This Row],[Trend]]</f>
        <v>MSSP_ATTRIBUTEDAllowed2016-05-01Medical PMPM</v>
      </c>
      <c r="B1389" t="s">
        <v>128</v>
      </c>
      <c r="C1389" t="s">
        <v>128</v>
      </c>
      <c r="D1389" t="s">
        <v>91</v>
      </c>
      <c r="E1389" s="1" t="s">
        <v>95</v>
      </c>
      <c r="F1389" t="s">
        <v>93</v>
      </c>
      <c r="G1389" t="s">
        <v>12</v>
      </c>
      <c r="H1389">
        <v>1</v>
      </c>
      <c r="I1389">
        <v>962.57</v>
      </c>
    </row>
    <row r="1390" spans="1:9" x14ac:dyDescent="0.25">
      <c r="A1390" s="5" t="str">
        <f>TrendSheetPrdData[[#This Row],[Population]]&amp;TrendSheetPrdData[[#This Row],[Cost Basis]]&amp;TrendSheetPrdData[[#This Row],[Period]]&amp;TrendSheetPrdData[[#This Row],[Trend]]</f>
        <v>MSSP_ATTRIBUTEDAllowed2016-06-01Medical PMPM</v>
      </c>
      <c r="B1390" t="s">
        <v>128</v>
      </c>
      <c r="C1390" t="s">
        <v>128</v>
      </c>
      <c r="D1390" t="s">
        <v>91</v>
      </c>
      <c r="E1390" s="1" t="s">
        <v>96</v>
      </c>
      <c r="F1390" t="s">
        <v>93</v>
      </c>
      <c r="G1390" t="s">
        <v>12</v>
      </c>
      <c r="H1390">
        <v>1</v>
      </c>
      <c r="I1390">
        <v>969.76</v>
      </c>
    </row>
    <row r="1391" spans="1:9" x14ac:dyDescent="0.25">
      <c r="A1391" s="5" t="str">
        <f>TrendSheetPrdData[[#This Row],[Population]]&amp;TrendSheetPrdData[[#This Row],[Cost Basis]]&amp;TrendSheetPrdData[[#This Row],[Period]]&amp;TrendSheetPrdData[[#This Row],[Trend]]</f>
        <v>MSSP_ATTRIBUTEDAllowed2016-07-01Medical PMPM</v>
      </c>
      <c r="B1391" t="s">
        <v>128</v>
      </c>
      <c r="C1391" t="s">
        <v>128</v>
      </c>
      <c r="D1391" t="s">
        <v>91</v>
      </c>
      <c r="E1391" s="1" t="s">
        <v>97</v>
      </c>
      <c r="F1391" t="s">
        <v>93</v>
      </c>
      <c r="G1391" t="s">
        <v>12</v>
      </c>
      <c r="H1391">
        <v>1</v>
      </c>
      <c r="I1391">
        <v>913.98</v>
      </c>
    </row>
    <row r="1392" spans="1:9" x14ac:dyDescent="0.25">
      <c r="A1392" s="5" t="str">
        <f>TrendSheetPrdData[[#This Row],[Population]]&amp;TrendSheetPrdData[[#This Row],[Cost Basis]]&amp;TrendSheetPrdData[[#This Row],[Period]]&amp;TrendSheetPrdData[[#This Row],[Trend]]</f>
        <v>MSSP_ATTRIBUTEDAllowed2016-08-01Medical PMPM</v>
      </c>
      <c r="B1392" t="s">
        <v>128</v>
      </c>
      <c r="C1392" t="s">
        <v>128</v>
      </c>
      <c r="D1392" t="s">
        <v>91</v>
      </c>
      <c r="E1392" s="1" t="s">
        <v>98</v>
      </c>
      <c r="F1392" t="s">
        <v>93</v>
      </c>
      <c r="G1392" t="s">
        <v>12</v>
      </c>
      <c r="H1392">
        <v>1</v>
      </c>
      <c r="I1392">
        <v>975.49</v>
      </c>
    </row>
    <row r="1393" spans="1:9" x14ac:dyDescent="0.25">
      <c r="A1393" s="5" t="str">
        <f>TrendSheetPrdData[[#This Row],[Population]]&amp;TrendSheetPrdData[[#This Row],[Cost Basis]]&amp;TrendSheetPrdData[[#This Row],[Period]]&amp;TrendSheetPrdData[[#This Row],[Trend]]</f>
        <v>MSSP_ATTRIBUTEDAllowed2016-09-01Medical PMPM</v>
      </c>
      <c r="B1393" t="s">
        <v>128</v>
      </c>
      <c r="C1393" t="s">
        <v>128</v>
      </c>
      <c r="D1393" t="s">
        <v>91</v>
      </c>
      <c r="E1393" s="1" t="s">
        <v>99</v>
      </c>
      <c r="F1393" t="s">
        <v>93</v>
      </c>
      <c r="G1393" t="s">
        <v>12</v>
      </c>
      <c r="H1393">
        <v>1</v>
      </c>
      <c r="I1393">
        <v>967.78</v>
      </c>
    </row>
    <row r="1394" spans="1:9" x14ac:dyDescent="0.25">
      <c r="A1394" s="5" t="str">
        <f>TrendSheetPrdData[[#This Row],[Population]]&amp;TrendSheetPrdData[[#This Row],[Cost Basis]]&amp;TrendSheetPrdData[[#This Row],[Period]]&amp;TrendSheetPrdData[[#This Row],[Trend]]</f>
        <v>MSSP_ATTRIBUTEDAllowed2016-10-01Medical PMPM</v>
      </c>
      <c r="B1394" t="s">
        <v>128</v>
      </c>
      <c r="C1394" t="s">
        <v>128</v>
      </c>
      <c r="D1394" t="s">
        <v>91</v>
      </c>
      <c r="E1394" s="1" t="s">
        <v>100</v>
      </c>
      <c r="F1394" t="s">
        <v>106</v>
      </c>
      <c r="G1394" t="s">
        <v>12</v>
      </c>
      <c r="H1394">
        <v>1</v>
      </c>
      <c r="I1394">
        <v>958.09</v>
      </c>
    </row>
    <row r="1395" spans="1:9" x14ac:dyDescent="0.25">
      <c r="A1395" s="5" t="str">
        <f>TrendSheetPrdData[[#This Row],[Population]]&amp;TrendSheetPrdData[[#This Row],[Cost Basis]]&amp;TrendSheetPrdData[[#This Row],[Period]]&amp;TrendSheetPrdData[[#This Row],[Trend]]</f>
        <v>MSSP_ATTRIBUTEDAllowed2016-11-01Medical PMPM</v>
      </c>
      <c r="B1395" t="s">
        <v>128</v>
      </c>
      <c r="C1395" t="s">
        <v>128</v>
      </c>
      <c r="D1395" t="s">
        <v>91</v>
      </c>
      <c r="E1395" s="1" t="s">
        <v>101</v>
      </c>
      <c r="F1395" t="s">
        <v>106</v>
      </c>
      <c r="G1395" t="s">
        <v>12</v>
      </c>
      <c r="H1395">
        <v>1</v>
      </c>
      <c r="I1395">
        <v>830.9</v>
      </c>
    </row>
    <row r="1396" spans="1:9" x14ac:dyDescent="0.25">
      <c r="A1396" s="5" t="str">
        <f>TrendSheetPrdData[[#This Row],[Population]]&amp;TrendSheetPrdData[[#This Row],[Cost Basis]]&amp;TrendSheetPrdData[[#This Row],[Period]]&amp;TrendSheetPrdData[[#This Row],[Trend]]</f>
        <v>MSSP_ATTRIBUTEDAllowed2016-12-01Medical PMPM</v>
      </c>
      <c r="B1396" t="s">
        <v>128</v>
      </c>
      <c r="C1396" t="s">
        <v>128</v>
      </c>
      <c r="D1396" t="s">
        <v>91</v>
      </c>
      <c r="E1396" s="1" t="s">
        <v>102</v>
      </c>
      <c r="F1396" t="s">
        <v>106</v>
      </c>
      <c r="G1396" t="s">
        <v>12</v>
      </c>
      <c r="H1396">
        <v>1</v>
      </c>
      <c r="I1396">
        <v>205.89</v>
      </c>
    </row>
    <row r="1397" spans="1:9" x14ac:dyDescent="0.25">
      <c r="A1397" s="5" t="str">
        <f>TrendSheetPrdData[[#This Row],[Population]]&amp;TrendSheetPrdData[[#This Row],[Cost Basis]]&amp;TrendSheetPrdData[[#This Row],[Period]]&amp;TrendSheetPrdData[[#This Row],[Trend]]</f>
        <v>MSSP_ATTRIBUTEDAllowed2015-10-01Drug PMPM</v>
      </c>
      <c r="B1397" t="s">
        <v>128</v>
      </c>
      <c r="C1397" t="s">
        <v>128</v>
      </c>
      <c r="D1397" t="s">
        <v>91</v>
      </c>
      <c r="E1397" s="1" t="s">
        <v>134</v>
      </c>
      <c r="F1397" t="s">
        <v>93</v>
      </c>
      <c r="G1397" t="s">
        <v>13</v>
      </c>
      <c r="H1397">
        <v>2</v>
      </c>
      <c r="I1397">
        <v>97.34</v>
      </c>
    </row>
    <row r="1398" spans="1:9" x14ac:dyDescent="0.25">
      <c r="A1398" s="5" t="str">
        <f>TrendSheetPrdData[[#This Row],[Population]]&amp;TrendSheetPrdData[[#This Row],[Cost Basis]]&amp;TrendSheetPrdData[[#This Row],[Period]]&amp;TrendSheetPrdData[[#This Row],[Trend]]</f>
        <v>MSSP_ATTRIBUTEDAllowed2015-11-01Drug PMPM</v>
      </c>
      <c r="B1398" t="s">
        <v>128</v>
      </c>
      <c r="C1398" t="s">
        <v>128</v>
      </c>
      <c r="D1398" t="s">
        <v>91</v>
      </c>
      <c r="E1398" s="1" t="s">
        <v>130</v>
      </c>
      <c r="F1398" t="s">
        <v>93</v>
      </c>
      <c r="G1398" t="s">
        <v>13</v>
      </c>
      <c r="H1398">
        <v>2</v>
      </c>
      <c r="I1398">
        <v>81.06</v>
      </c>
    </row>
    <row r="1399" spans="1:9" x14ac:dyDescent="0.25">
      <c r="A1399" s="5" t="str">
        <f>TrendSheetPrdData[[#This Row],[Population]]&amp;TrendSheetPrdData[[#This Row],[Cost Basis]]&amp;TrendSheetPrdData[[#This Row],[Period]]&amp;TrendSheetPrdData[[#This Row],[Trend]]</f>
        <v>MSSP_ATTRIBUTEDAllowed2015-12-01Drug PMPM</v>
      </c>
      <c r="B1399" t="s">
        <v>128</v>
      </c>
      <c r="C1399" t="s">
        <v>128</v>
      </c>
      <c r="D1399" t="s">
        <v>91</v>
      </c>
      <c r="E1399" s="1" t="s">
        <v>131</v>
      </c>
      <c r="F1399" t="s">
        <v>93</v>
      </c>
      <c r="G1399" t="s">
        <v>13</v>
      </c>
      <c r="H1399">
        <v>2</v>
      </c>
      <c r="I1399">
        <v>55.31</v>
      </c>
    </row>
    <row r="1400" spans="1:9" x14ac:dyDescent="0.25">
      <c r="A1400" s="5" t="str">
        <f>TrendSheetPrdData[[#This Row],[Population]]&amp;TrendSheetPrdData[[#This Row],[Cost Basis]]&amp;TrendSheetPrdData[[#This Row],[Period]]&amp;TrendSheetPrdData[[#This Row],[Trend]]</f>
        <v>MSSP_ATTRIBUTEDAllowed2016-01-01Drug PMPM</v>
      </c>
      <c r="B1400" t="s">
        <v>128</v>
      </c>
      <c r="C1400" t="s">
        <v>128</v>
      </c>
      <c r="D1400" t="s">
        <v>91</v>
      </c>
      <c r="E1400" s="1" t="s">
        <v>132</v>
      </c>
      <c r="F1400" t="s">
        <v>93</v>
      </c>
      <c r="G1400" t="s">
        <v>13</v>
      </c>
      <c r="H1400">
        <v>2</v>
      </c>
      <c r="I1400">
        <v>79.33</v>
      </c>
    </row>
    <row r="1401" spans="1:9" x14ac:dyDescent="0.25">
      <c r="A1401" s="5" t="str">
        <f>TrendSheetPrdData[[#This Row],[Population]]&amp;TrendSheetPrdData[[#This Row],[Cost Basis]]&amp;TrendSheetPrdData[[#This Row],[Period]]&amp;TrendSheetPrdData[[#This Row],[Trend]]</f>
        <v>MSSP_ATTRIBUTEDAllowed2016-02-01Drug PMPM</v>
      </c>
      <c r="B1401" t="s">
        <v>128</v>
      </c>
      <c r="C1401" t="s">
        <v>128</v>
      </c>
      <c r="D1401" t="s">
        <v>91</v>
      </c>
      <c r="E1401" s="1" t="s">
        <v>133</v>
      </c>
      <c r="F1401" t="s">
        <v>93</v>
      </c>
      <c r="G1401" t="s">
        <v>13</v>
      </c>
      <c r="H1401">
        <v>2</v>
      </c>
      <c r="I1401">
        <v>68.010000000000005</v>
      </c>
    </row>
    <row r="1402" spans="1:9" x14ac:dyDescent="0.25">
      <c r="A1402" s="5" t="str">
        <f>TrendSheetPrdData[[#This Row],[Population]]&amp;TrendSheetPrdData[[#This Row],[Cost Basis]]&amp;TrendSheetPrdData[[#This Row],[Period]]&amp;TrendSheetPrdData[[#This Row],[Trend]]</f>
        <v>MSSP_ATTRIBUTEDAllowed2016-03-01Drug PMPM</v>
      </c>
      <c r="B1402" t="s">
        <v>128</v>
      </c>
      <c r="C1402" t="s">
        <v>128</v>
      </c>
      <c r="D1402" t="s">
        <v>91</v>
      </c>
      <c r="E1402" s="1" t="s">
        <v>92</v>
      </c>
      <c r="F1402" t="s">
        <v>93</v>
      </c>
      <c r="G1402" t="s">
        <v>13</v>
      </c>
      <c r="H1402">
        <v>2</v>
      </c>
      <c r="I1402">
        <v>67.63</v>
      </c>
    </row>
    <row r="1403" spans="1:9" x14ac:dyDescent="0.25">
      <c r="A1403" s="5" t="str">
        <f>TrendSheetPrdData[[#This Row],[Population]]&amp;TrendSheetPrdData[[#This Row],[Cost Basis]]&amp;TrendSheetPrdData[[#This Row],[Period]]&amp;TrendSheetPrdData[[#This Row],[Trend]]</f>
        <v>MSSP_ATTRIBUTEDAllowed2016-04-01Drug PMPM</v>
      </c>
      <c r="B1403" t="s">
        <v>128</v>
      </c>
      <c r="C1403" t="s">
        <v>128</v>
      </c>
      <c r="D1403" t="s">
        <v>91</v>
      </c>
      <c r="E1403" s="1" t="s">
        <v>94</v>
      </c>
      <c r="F1403" t="s">
        <v>93</v>
      </c>
      <c r="G1403" t="s">
        <v>13</v>
      </c>
      <c r="H1403">
        <v>2</v>
      </c>
      <c r="I1403">
        <v>60.76</v>
      </c>
    </row>
    <row r="1404" spans="1:9" x14ac:dyDescent="0.25">
      <c r="A1404" s="5" t="str">
        <f>TrendSheetPrdData[[#This Row],[Population]]&amp;TrendSheetPrdData[[#This Row],[Cost Basis]]&amp;TrendSheetPrdData[[#This Row],[Period]]&amp;TrendSheetPrdData[[#This Row],[Trend]]</f>
        <v>MSSP_ATTRIBUTEDAllowed2016-05-01Drug PMPM</v>
      </c>
      <c r="B1404" t="s">
        <v>128</v>
      </c>
      <c r="C1404" t="s">
        <v>128</v>
      </c>
      <c r="D1404" t="s">
        <v>91</v>
      </c>
      <c r="E1404" s="1" t="s">
        <v>95</v>
      </c>
      <c r="F1404" t="s">
        <v>93</v>
      </c>
      <c r="G1404" t="s">
        <v>13</v>
      </c>
      <c r="H1404">
        <v>2</v>
      </c>
      <c r="I1404">
        <v>62.64</v>
      </c>
    </row>
    <row r="1405" spans="1:9" x14ac:dyDescent="0.25">
      <c r="A1405" s="5" t="str">
        <f>TrendSheetPrdData[[#This Row],[Population]]&amp;TrendSheetPrdData[[#This Row],[Cost Basis]]&amp;TrendSheetPrdData[[#This Row],[Period]]&amp;TrendSheetPrdData[[#This Row],[Trend]]</f>
        <v>MSSP_ATTRIBUTEDAllowed2016-06-01Drug PMPM</v>
      </c>
      <c r="B1405" t="s">
        <v>128</v>
      </c>
      <c r="C1405" t="s">
        <v>128</v>
      </c>
      <c r="D1405" t="s">
        <v>91</v>
      </c>
      <c r="E1405" s="1" t="s">
        <v>96</v>
      </c>
      <c r="F1405" t="s">
        <v>93</v>
      </c>
      <c r="G1405" t="s">
        <v>13</v>
      </c>
      <c r="H1405">
        <v>2</v>
      </c>
      <c r="I1405">
        <v>61.83</v>
      </c>
    </row>
    <row r="1406" spans="1:9" x14ac:dyDescent="0.25">
      <c r="A1406" s="5" t="str">
        <f>TrendSheetPrdData[[#This Row],[Population]]&amp;TrendSheetPrdData[[#This Row],[Cost Basis]]&amp;TrendSheetPrdData[[#This Row],[Period]]&amp;TrendSheetPrdData[[#This Row],[Trend]]</f>
        <v>MSSP_ATTRIBUTEDAllowed2016-07-01Drug PMPM</v>
      </c>
      <c r="B1406" t="s">
        <v>128</v>
      </c>
      <c r="C1406" t="s">
        <v>128</v>
      </c>
      <c r="D1406" t="s">
        <v>91</v>
      </c>
      <c r="E1406" s="1" t="s">
        <v>97</v>
      </c>
      <c r="F1406" t="s">
        <v>93</v>
      </c>
      <c r="G1406" t="s">
        <v>13</v>
      </c>
      <c r="H1406">
        <v>2</v>
      </c>
      <c r="I1406">
        <v>58.72</v>
      </c>
    </row>
    <row r="1407" spans="1:9" x14ac:dyDescent="0.25">
      <c r="A1407" s="5" t="str">
        <f>TrendSheetPrdData[[#This Row],[Population]]&amp;TrendSheetPrdData[[#This Row],[Cost Basis]]&amp;TrendSheetPrdData[[#This Row],[Period]]&amp;TrendSheetPrdData[[#This Row],[Trend]]</f>
        <v>MSSP_ATTRIBUTEDAllowed2016-08-01Drug PMPM</v>
      </c>
      <c r="B1407" t="s">
        <v>128</v>
      </c>
      <c r="C1407" t="s">
        <v>128</v>
      </c>
      <c r="D1407" t="s">
        <v>91</v>
      </c>
      <c r="E1407" s="1" t="s">
        <v>98</v>
      </c>
      <c r="F1407" t="s">
        <v>93</v>
      </c>
      <c r="G1407" t="s">
        <v>13</v>
      </c>
      <c r="H1407">
        <v>2</v>
      </c>
      <c r="I1407">
        <v>60.27</v>
      </c>
    </row>
    <row r="1408" spans="1:9" x14ac:dyDescent="0.25">
      <c r="A1408" s="5" t="str">
        <f>TrendSheetPrdData[[#This Row],[Population]]&amp;TrendSheetPrdData[[#This Row],[Cost Basis]]&amp;TrendSheetPrdData[[#This Row],[Period]]&amp;TrendSheetPrdData[[#This Row],[Trend]]</f>
        <v>MSSP_ATTRIBUTEDAllowed2016-09-01Drug PMPM</v>
      </c>
      <c r="B1408" t="s">
        <v>128</v>
      </c>
      <c r="C1408" t="s">
        <v>128</v>
      </c>
      <c r="D1408" t="s">
        <v>91</v>
      </c>
      <c r="E1408" s="1" t="s">
        <v>99</v>
      </c>
      <c r="F1408" t="s">
        <v>93</v>
      </c>
      <c r="G1408" t="s">
        <v>13</v>
      </c>
      <c r="H1408">
        <v>2</v>
      </c>
      <c r="I1408">
        <v>55.29</v>
      </c>
    </row>
    <row r="1409" spans="1:9" x14ac:dyDescent="0.25">
      <c r="A1409" s="5" t="str">
        <f>TrendSheetPrdData[[#This Row],[Population]]&amp;TrendSheetPrdData[[#This Row],[Cost Basis]]&amp;TrendSheetPrdData[[#This Row],[Period]]&amp;TrendSheetPrdData[[#This Row],[Trend]]</f>
        <v>MSSP_ATTRIBUTEDAllowed2016-10-01Drug PMPM</v>
      </c>
      <c r="B1409" t="s">
        <v>128</v>
      </c>
      <c r="C1409" t="s">
        <v>128</v>
      </c>
      <c r="D1409" t="s">
        <v>91</v>
      </c>
      <c r="E1409" s="1" t="s">
        <v>100</v>
      </c>
      <c r="F1409" t="s">
        <v>106</v>
      </c>
      <c r="G1409" t="s">
        <v>13</v>
      </c>
      <c r="H1409">
        <v>2</v>
      </c>
      <c r="I1409">
        <v>53.01</v>
      </c>
    </row>
    <row r="1410" spans="1:9" x14ac:dyDescent="0.25">
      <c r="A1410" s="5" t="str">
        <f>TrendSheetPrdData[[#This Row],[Population]]&amp;TrendSheetPrdData[[#This Row],[Cost Basis]]&amp;TrendSheetPrdData[[#This Row],[Period]]&amp;TrendSheetPrdData[[#This Row],[Trend]]</f>
        <v>MSSP_ATTRIBUTEDAllowed2016-11-01Drug PMPM</v>
      </c>
      <c r="B1410" t="s">
        <v>128</v>
      </c>
      <c r="C1410" t="s">
        <v>128</v>
      </c>
      <c r="D1410" t="s">
        <v>91</v>
      </c>
      <c r="E1410" s="1" t="s">
        <v>101</v>
      </c>
      <c r="F1410" t="s">
        <v>106</v>
      </c>
      <c r="G1410" t="s">
        <v>13</v>
      </c>
      <c r="H1410">
        <v>2</v>
      </c>
      <c r="I1410">
        <v>49.79</v>
      </c>
    </row>
    <row r="1411" spans="1:9" x14ac:dyDescent="0.25">
      <c r="A1411" s="5" t="str">
        <f>TrendSheetPrdData[[#This Row],[Population]]&amp;TrendSheetPrdData[[#This Row],[Cost Basis]]&amp;TrendSheetPrdData[[#This Row],[Period]]&amp;TrendSheetPrdData[[#This Row],[Trend]]</f>
        <v>MSSP_ATTRIBUTEDAllowed2016-12-01Drug PMPM</v>
      </c>
      <c r="B1411" t="s">
        <v>128</v>
      </c>
      <c r="C1411" t="s">
        <v>128</v>
      </c>
      <c r="D1411" t="s">
        <v>91</v>
      </c>
      <c r="E1411" s="1" t="s">
        <v>102</v>
      </c>
      <c r="F1411" t="s">
        <v>106</v>
      </c>
      <c r="G1411" t="s">
        <v>13</v>
      </c>
      <c r="H1411">
        <v>2</v>
      </c>
      <c r="I1411">
        <v>33.33</v>
      </c>
    </row>
    <row r="1412" spans="1:9" x14ac:dyDescent="0.25">
      <c r="A1412" s="5" t="str">
        <f>TrendSheetPrdData[[#This Row],[Population]]&amp;TrendSheetPrdData[[#This Row],[Cost Basis]]&amp;TrendSheetPrdData[[#This Row],[Period]]&amp;TrendSheetPrdData[[#This Row],[Trend]]</f>
        <v>MSSP_ATTRIBUTEDAllowed2015-10-01Overall PMPM</v>
      </c>
      <c r="B1412" t="s">
        <v>128</v>
      </c>
      <c r="C1412" t="s">
        <v>128</v>
      </c>
      <c r="D1412" t="s">
        <v>91</v>
      </c>
      <c r="E1412" s="1" t="s">
        <v>134</v>
      </c>
      <c r="F1412" t="s">
        <v>93</v>
      </c>
      <c r="G1412" t="s">
        <v>14</v>
      </c>
      <c r="H1412">
        <v>3</v>
      </c>
      <c r="I1412">
        <v>943.25</v>
      </c>
    </row>
    <row r="1413" spans="1:9" x14ac:dyDescent="0.25">
      <c r="A1413" s="5" t="str">
        <f>TrendSheetPrdData[[#This Row],[Population]]&amp;TrendSheetPrdData[[#This Row],[Cost Basis]]&amp;TrendSheetPrdData[[#This Row],[Period]]&amp;TrendSheetPrdData[[#This Row],[Trend]]</f>
        <v>MSSP_ATTRIBUTEDAllowed2015-11-01Overall PMPM</v>
      </c>
      <c r="B1413" t="s">
        <v>128</v>
      </c>
      <c r="C1413" t="s">
        <v>128</v>
      </c>
      <c r="D1413" t="s">
        <v>91</v>
      </c>
      <c r="E1413" s="1" t="s">
        <v>130</v>
      </c>
      <c r="F1413" t="s">
        <v>93</v>
      </c>
      <c r="G1413" t="s">
        <v>14</v>
      </c>
      <c r="H1413">
        <v>3</v>
      </c>
      <c r="I1413">
        <v>915.59</v>
      </c>
    </row>
    <row r="1414" spans="1:9" x14ac:dyDescent="0.25">
      <c r="A1414" s="5" t="str">
        <f>TrendSheetPrdData[[#This Row],[Population]]&amp;TrendSheetPrdData[[#This Row],[Cost Basis]]&amp;TrendSheetPrdData[[#This Row],[Period]]&amp;TrendSheetPrdData[[#This Row],[Trend]]</f>
        <v>MSSP_ATTRIBUTEDAllowed2015-12-01Overall PMPM</v>
      </c>
      <c r="B1414" t="s">
        <v>128</v>
      </c>
      <c r="C1414" t="s">
        <v>128</v>
      </c>
      <c r="D1414" t="s">
        <v>91</v>
      </c>
      <c r="E1414" s="1" t="s">
        <v>131</v>
      </c>
      <c r="F1414" t="s">
        <v>93</v>
      </c>
      <c r="G1414" t="s">
        <v>14</v>
      </c>
      <c r="H1414">
        <v>3</v>
      </c>
      <c r="I1414">
        <v>936.61</v>
      </c>
    </row>
    <row r="1415" spans="1:9" x14ac:dyDescent="0.25">
      <c r="A1415" s="5" t="str">
        <f>TrendSheetPrdData[[#This Row],[Population]]&amp;TrendSheetPrdData[[#This Row],[Cost Basis]]&amp;TrendSheetPrdData[[#This Row],[Period]]&amp;TrendSheetPrdData[[#This Row],[Trend]]</f>
        <v>MSSP_ATTRIBUTEDAllowed2016-01-01Overall PMPM</v>
      </c>
      <c r="B1415" t="s">
        <v>128</v>
      </c>
      <c r="C1415" t="s">
        <v>128</v>
      </c>
      <c r="D1415" t="s">
        <v>91</v>
      </c>
      <c r="E1415" s="1" t="s">
        <v>132</v>
      </c>
      <c r="F1415" t="s">
        <v>93</v>
      </c>
      <c r="G1415" t="s">
        <v>14</v>
      </c>
      <c r="H1415">
        <v>3</v>
      </c>
      <c r="I1415">
        <v>950.79</v>
      </c>
    </row>
    <row r="1416" spans="1:9" x14ac:dyDescent="0.25">
      <c r="A1416" s="5" t="str">
        <f>TrendSheetPrdData[[#This Row],[Population]]&amp;TrendSheetPrdData[[#This Row],[Cost Basis]]&amp;TrendSheetPrdData[[#This Row],[Period]]&amp;TrendSheetPrdData[[#This Row],[Trend]]</f>
        <v>MSSP_ATTRIBUTEDAllowed2016-02-01Overall PMPM</v>
      </c>
      <c r="B1416" t="s">
        <v>128</v>
      </c>
      <c r="C1416" t="s">
        <v>128</v>
      </c>
      <c r="D1416" t="s">
        <v>91</v>
      </c>
      <c r="E1416" s="1" t="s">
        <v>133</v>
      </c>
      <c r="F1416" t="s">
        <v>93</v>
      </c>
      <c r="G1416" t="s">
        <v>14</v>
      </c>
      <c r="H1416">
        <v>3</v>
      </c>
      <c r="I1416">
        <v>989.19</v>
      </c>
    </row>
    <row r="1417" spans="1:9" x14ac:dyDescent="0.25">
      <c r="A1417" s="5" t="str">
        <f>TrendSheetPrdData[[#This Row],[Population]]&amp;TrendSheetPrdData[[#This Row],[Cost Basis]]&amp;TrendSheetPrdData[[#This Row],[Period]]&amp;TrendSheetPrdData[[#This Row],[Trend]]</f>
        <v>MSSP_ATTRIBUTEDAllowed2016-03-01Overall PMPM</v>
      </c>
      <c r="B1417" t="s">
        <v>128</v>
      </c>
      <c r="C1417" t="s">
        <v>128</v>
      </c>
      <c r="D1417" t="s">
        <v>91</v>
      </c>
      <c r="E1417" s="1" t="s">
        <v>92</v>
      </c>
      <c r="F1417" t="s">
        <v>93</v>
      </c>
      <c r="G1417" t="s">
        <v>14</v>
      </c>
      <c r="H1417">
        <v>3</v>
      </c>
      <c r="I1417">
        <v>1059.75</v>
      </c>
    </row>
    <row r="1418" spans="1:9" x14ac:dyDescent="0.25">
      <c r="A1418" s="5" t="str">
        <f>TrendSheetPrdData[[#This Row],[Population]]&amp;TrendSheetPrdData[[#This Row],[Cost Basis]]&amp;TrendSheetPrdData[[#This Row],[Period]]&amp;TrendSheetPrdData[[#This Row],[Trend]]</f>
        <v>MSSP_ATTRIBUTEDAllowed2016-04-01Overall PMPM</v>
      </c>
      <c r="B1418" t="s">
        <v>128</v>
      </c>
      <c r="C1418" t="s">
        <v>128</v>
      </c>
      <c r="D1418" t="s">
        <v>91</v>
      </c>
      <c r="E1418" s="1" t="s">
        <v>94</v>
      </c>
      <c r="F1418" t="s">
        <v>93</v>
      </c>
      <c r="G1418" t="s">
        <v>14</v>
      </c>
      <c r="H1418">
        <v>3</v>
      </c>
      <c r="I1418">
        <v>996.22</v>
      </c>
    </row>
    <row r="1419" spans="1:9" x14ac:dyDescent="0.25">
      <c r="A1419" s="5" t="str">
        <f>TrendSheetPrdData[[#This Row],[Population]]&amp;TrendSheetPrdData[[#This Row],[Cost Basis]]&amp;TrendSheetPrdData[[#This Row],[Period]]&amp;TrendSheetPrdData[[#This Row],[Trend]]</f>
        <v>MSSP_ATTRIBUTEDAllowed2016-05-01Overall PMPM</v>
      </c>
      <c r="B1419" t="s">
        <v>128</v>
      </c>
      <c r="C1419" t="s">
        <v>128</v>
      </c>
      <c r="D1419" t="s">
        <v>91</v>
      </c>
      <c r="E1419" s="1" t="s">
        <v>95</v>
      </c>
      <c r="F1419" t="s">
        <v>93</v>
      </c>
      <c r="G1419" t="s">
        <v>14</v>
      </c>
      <c r="H1419">
        <v>3</v>
      </c>
      <c r="I1419">
        <v>1025.21</v>
      </c>
    </row>
    <row r="1420" spans="1:9" x14ac:dyDescent="0.25">
      <c r="A1420" s="5" t="str">
        <f>TrendSheetPrdData[[#This Row],[Population]]&amp;TrendSheetPrdData[[#This Row],[Cost Basis]]&amp;TrendSheetPrdData[[#This Row],[Period]]&amp;TrendSheetPrdData[[#This Row],[Trend]]</f>
        <v>MSSP_ATTRIBUTEDAllowed2016-06-01Overall PMPM</v>
      </c>
      <c r="B1420" t="s">
        <v>128</v>
      </c>
      <c r="C1420" t="s">
        <v>128</v>
      </c>
      <c r="D1420" t="s">
        <v>91</v>
      </c>
      <c r="E1420" s="1" t="s">
        <v>96</v>
      </c>
      <c r="F1420" t="s">
        <v>93</v>
      </c>
      <c r="G1420" t="s">
        <v>14</v>
      </c>
      <c r="H1420">
        <v>3</v>
      </c>
      <c r="I1420">
        <v>1031.5899999999999</v>
      </c>
    </row>
    <row r="1421" spans="1:9" x14ac:dyDescent="0.25">
      <c r="A1421" s="5" t="str">
        <f>TrendSheetPrdData[[#This Row],[Population]]&amp;TrendSheetPrdData[[#This Row],[Cost Basis]]&amp;TrendSheetPrdData[[#This Row],[Period]]&amp;TrendSheetPrdData[[#This Row],[Trend]]</f>
        <v>MSSP_ATTRIBUTEDAllowed2016-07-01Overall PMPM</v>
      </c>
      <c r="B1421" t="s">
        <v>128</v>
      </c>
      <c r="C1421" t="s">
        <v>128</v>
      </c>
      <c r="D1421" t="s">
        <v>91</v>
      </c>
      <c r="E1421" s="1" t="s">
        <v>97</v>
      </c>
      <c r="F1421" t="s">
        <v>93</v>
      </c>
      <c r="G1421" t="s">
        <v>14</v>
      </c>
      <c r="H1421">
        <v>3</v>
      </c>
      <c r="I1421">
        <v>972.7</v>
      </c>
    </row>
    <row r="1422" spans="1:9" x14ac:dyDescent="0.25">
      <c r="A1422" s="5" t="str">
        <f>TrendSheetPrdData[[#This Row],[Population]]&amp;TrendSheetPrdData[[#This Row],[Cost Basis]]&amp;TrendSheetPrdData[[#This Row],[Period]]&amp;TrendSheetPrdData[[#This Row],[Trend]]</f>
        <v>MSSP_ATTRIBUTEDAllowed2016-08-01Overall PMPM</v>
      </c>
      <c r="B1422" t="s">
        <v>128</v>
      </c>
      <c r="C1422" t="s">
        <v>128</v>
      </c>
      <c r="D1422" t="s">
        <v>91</v>
      </c>
      <c r="E1422" s="1" t="s">
        <v>98</v>
      </c>
      <c r="F1422" t="s">
        <v>93</v>
      </c>
      <c r="G1422" t="s">
        <v>14</v>
      </c>
      <c r="H1422">
        <v>3</v>
      </c>
      <c r="I1422">
        <v>1035.76</v>
      </c>
    </row>
    <row r="1423" spans="1:9" x14ac:dyDescent="0.25">
      <c r="A1423" s="5" t="str">
        <f>TrendSheetPrdData[[#This Row],[Population]]&amp;TrendSheetPrdData[[#This Row],[Cost Basis]]&amp;TrendSheetPrdData[[#This Row],[Period]]&amp;TrendSheetPrdData[[#This Row],[Trend]]</f>
        <v>MSSP_ATTRIBUTEDAllowed2016-09-01Overall PMPM</v>
      </c>
      <c r="B1423" t="s">
        <v>128</v>
      </c>
      <c r="C1423" t="s">
        <v>128</v>
      </c>
      <c r="D1423" t="s">
        <v>91</v>
      </c>
      <c r="E1423" s="1" t="s">
        <v>99</v>
      </c>
      <c r="F1423" t="s">
        <v>93</v>
      </c>
      <c r="G1423" t="s">
        <v>14</v>
      </c>
      <c r="H1423">
        <v>3</v>
      </c>
      <c r="I1423">
        <v>1023.07</v>
      </c>
    </row>
    <row r="1424" spans="1:9" x14ac:dyDescent="0.25">
      <c r="A1424" s="5" t="str">
        <f>TrendSheetPrdData[[#This Row],[Population]]&amp;TrendSheetPrdData[[#This Row],[Cost Basis]]&amp;TrendSheetPrdData[[#This Row],[Period]]&amp;TrendSheetPrdData[[#This Row],[Trend]]</f>
        <v>MSSP_ATTRIBUTEDAllowed2016-10-01Overall PMPM</v>
      </c>
      <c r="B1424" t="s">
        <v>128</v>
      </c>
      <c r="C1424" t="s">
        <v>128</v>
      </c>
      <c r="D1424" t="s">
        <v>91</v>
      </c>
      <c r="E1424" s="1" t="s">
        <v>100</v>
      </c>
      <c r="F1424" t="s">
        <v>106</v>
      </c>
      <c r="G1424" t="s">
        <v>14</v>
      </c>
      <c r="H1424">
        <v>3</v>
      </c>
      <c r="I1424">
        <v>1011.1</v>
      </c>
    </row>
    <row r="1425" spans="1:9" x14ac:dyDescent="0.25">
      <c r="A1425" s="5" t="str">
        <f>TrendSheetPrdData[[#This Row],[Population]]&amp;TrendSheetPrdData[[#This Row],[Cost Basis]]&amp;TrendSheetPrdData[[#This Row],[Period]]&amp;TrendSheetPrdData[[#This Row],[Trend]]</f>
        <v>MSSP_ATTRIBUTEDAllowed2016-11-01Overall PMPM</v>
      </c>
      <c r="B1425" t="s">
        <v>128</v>
      </c>
      <c r="C1425" t="s">
        <v>128</v>
      </c>
      <c r="D1425" t="s">
        <v>91</v>
      </c>
      <c r="E1425" s="1" t="s">
        <v>101</v>
      </c>
      <c r="F1425" t="s">
        <v>106</v>
      </c>
      <c r="G1425" t="s">
        <v>14</v>
      </c>
      <c r="H1425">
        <v>3</v>
      </c>
      <c r="I1425">
        <v>880.69</v>
      </c>
    </row>
    <row r="1426" spans="1:9" x14ac:dyDescent="0.25">
      <c r="A1426" s="5" t="str">
        <f>TrendSheetPrdData[[#This Row],[Population]]&amp;TrendSheetPrdData[[#This Row],[Cost Basis]]&amp;TrendSheetPrdData[[#This Row],[Period]]&amp;TrendSheetPrdData[[#This Row],[Trend]]</f>
        <v>MSSP_ATTRIBUTEDAllowed2016-12-01Overall PMPM</v>
      </c>
      <c r="B1426" t="s">
        <v>128</v>
      </c>
      <c r="C1426" t="s">
        <v>128</v>
      </c>
      <c r="D1426" t="s">
        <v>91</v>
      </c>
      <c r="E1426" s="1" t="s">
        <v>102</v>
      </c>
      <c r="F1426" t="s">
        <v>106</v>
      </c>
      <c r="G1426" t="s">
        <v>14</v>
      </c>
      <c r="H1426">
        <v>3</v>
      </c>
      <c r="I1426">
        <v>239.22</v>
      </c>
    </row>
    <row r="1427" spans="1:9" x14ac:dyDescent="0.25">
      <c r="A1427" s="5" t="str">
        <f>TrendSheetPrdData[[#This Row],[Population]]&amp;TrendSheetPrdData[[#This Row],[Cost Basis]]&amp;TrendSheetPrdData[[#This Row],[Period]]&amp;TrendSheetPrdData[[#This Row],[Trend]]</f>
        <v>MSSP_ATTRIBUTEDAllowed2015-10-01Readmission Cost</v>
      </c>
      <c r="B1427" t="s">
        <v>128</v>
      </c>
      <c r="C1427" t="s">
        <v>128</v>
      </c>
      <c r="D1427" t="s">
        <v>91</v>
      </c>
      <c r="E1427" s="1" t="s">
        <v>134</v>
      </c>
      <c r="F1427" t="s">
        <v>93</v>
      </c>
      <c r="G1427" t="s">
        <v>15</v>
      </c>
      <c r="H1427">
        <v>4</v>
      </c>
      <c r="I1427">
        <v>477844.95</v>
      </c>
    </row>
    <row r="1428" spans="1:9" x14ac:dyDescent="0.25">
      <c r="A1428" s="5" t="str">
        <f>TrendSheetPrdData[[#This Row],[Population]]&amp;TrendSheetPrdData[[#This Row],[Cost Basis]]&amp;TrendSheetPrdData[[#This Row],[Period]]&amp;TrendSheetPrdData[[#This Row],[Trend]]</f>
        <v>MSSP_ATTRIBUTEDAllowed2015-11-01Readmission Cost</v>
      </c>
      <c r="B1428" t="s">
        <v>128</v>
      </c>
      <c r="C1428" t="s">
        <v>128</v>
      </c>
      <c r="D1428" t="s">
        <v>91</v>
      </c>
      <c r="E1428" s="1" t="s">
        <v>130</v>
      </c>
      <c r="F1428" t="s">
        <v>93</v>
      </c>
      <c r="G1428" t="s">
        <v>15</v>
      </c>
      <c r="H1428">
        <v>4</v>
      </c>
      <c r="I1428">
        <v>325206.62</v>
      </c>
    </row>
    <row r="1429" spans="1:9" x14ac:dyDescent="0.25">
      <c r="A1429" s="5" t="str">
        <f>TrendSheetPrdData[[#This Row],[Population]]&amp;TrendSheetPrdData[[#This Row],[Cost Basis]]&amp;TrendSheetPrdData[[#This Row],[Period]]&amp;TrendSheetPrdData[[#This Row],[Trend]]</f>
        <v>MSSP_ATTRIBUTEDAllowed2015-12-01Readmission Cost</v>
      </c>
      <c r="B1429" t="s">
        <v>128</v>
      </c>
      <c r="C1429" t="s">
        <v>128</v>
      </c>
      <c r="D1429" t="s">
        <v>91</v>
      </c>
      <c r="E1429" s="1" t="s">
        <v>131</v>
      </c>
      <c r="F1429" t="s">
        <v>93</v>
      </c>
      <c r="G1429" t="s">
        <v>15</v>
      </c>
      <c r="H1429">
        <v>4</v>
      </c>
      <c r="I1429">
        <v>957824.8</v>
      </c>
    </row>
    <row r="1430" spans="1:9" x14ac:dyDescent="0.25">
      <c r="A1430" s="5" t="str">
        <f>TrendSheetPrdData[[#This Row],[Population]]&amp;TrendSheetPrdData[[#This Row],[Cost Basis]]&amp;TrendSheetPrdData[[#This Row],[Period]]&amp;TrendSheetPrdData[[#This Row],[Trend]]</f>
        <v>MSSP_ATTRIBUTEDAllowed2016-01-01Readmission Cost</v>
      </c>
      <c r="B1430" t="s">
        <v>128</v>
      </c>
      <c r="C1430" t="s">
        <v>128</v>
      </c>
      <c r="D1430" t="s">
        <v>91</v>
      </c>
      <c r="E1430" s="1" t="s">
        <v>132</v>
      </c>
      <c r="F1430" t="s">
        <v>93</v>
      </c>
      <c r="G1430" t="s">
        <v>15</v>
      </c>
      <c r="H1430">
        <v>4</v>
      </c>
      <c r="I1430">
        <v>749885.5</v>
      </c>
    </row>
    <row r="1431" spans="1:9" x14ac:dyDescent="0.25">
      <c r="A1431" s="5" t="str">
        <f>TrendSheetPrdData[[#This Row],[Population]]&amp;TrendSheetPrdData[[#This Row],[Cost Basis]]&amp;TrendSheetPrdData[[#This Row],[Period]]&amp;TrendSheetPrdData[[#This Row],[Trend]]</f>
        <v>MSSP_ATTRIBUTEDAllowed2016-02-01Readmission Cost</v>
      </c>
      <c r="B1431" t="s">
        <v>128</v>
      </c>
      <c r="C1431" t="s">
        <v>128</v>
      </c>
      <c r="D1431" t="s">
        <v>91</v>
      </c>
      <c r="E1431" s="1" t="s">
        <v>133</v>
      </c>
      <c r="F1431" t="s">
        <v>93</v>
      </c>
      <c r="G1431" t="s">
        <v>15</v>
      </c>
      <c r="H1431">
        <v>4</v>
      </c>
      <c r="I1431">
        <v>607595.59</v>
      </c>
    </row>
    <row r="1432" spans="1:9" x14ac:dyDescent="0.25">
      <c r="A1432" s="5" t="str">
        <f>TrendSheetPrdData[[#This Row],[Population]]&amp;TrendSheetPrdData[[#This Row],[Cost Basis]]&amp;TrendSheetPrdData[[#This Row],[Period]]&amp;TrendSheetPrdData[[#This Row],[Trend]]</f>
        <v>MSSP_ATTRIBUTEDAllowed2016-03-01Readmission Cost</v>
      </c>
      <c r="B1432" t="s">
        <v>128</v>
      </c>
      <c r="C1432" t="s">
        <v>128</v>
      </c>
      <c r="D1432" t="s">
        <v>91</v>
      </c>
      <c r="E1432" s="1" t="s">
        <v>92</v>
      </c>
      <c r="F1432" t="s">
        <v>93</v>
      </c>
      <c r="G1432" t="s">
        <v>15</v>
      </c>
      <c r="H1432">
        <v>4</v>
      </c>
      <c r="I1432">
        <v>583492.19999999995</v>
      </c>
    </row>
    <row r="1433" spans="1:9" x14ac:dyDescent="0.25">
      <c r="A1433" s="5" t="str">
        <f>TrendSheetPrdData[[#This Row],[Population]]&amp;TrendSheetPrdData[[#This Row],[Cost Basis]]&amp;TrendSheetPrdData[[#This Row],[Period]]&amp;TrendSheetPrdData[[#This Row],[Trend]]</f>
        <v>MSSP_ATTRIBUTEDAllowed2016-04-01Readmission Cost</v>
      </c>
      <c r="B1433" t="s">
        <v>128</v>
      </c>
      <c r="C1433" t="s">
        <v>128</v>
      </c>
      <c r="D1433" t="s">
        <v>91</v>
      </c>
      <c r="E1433" s="1" t="s">
        <v>94</v>
      </c>
      <c r="F1433" t="s">
        <v>93</v>
      </c>
      <c r="G1433" t="s">
        <v>15</v>
      </c>
      <c r="H1433">
        <v>4</v>
      </c>
      <c r="I1433">
        <v>710569.37</v>
      </c>
    </row>
    <row r="1434" spans="1:9" x14ac:dyDescent="0.25">
      <c r="A1434" s="5" t="str">
        <f>TrendSheetPrdData[[#This Row],[Population]]&amp;TrendSheetPrdData[[#This Row],[Cost Basis]]&amp;TrendSheetPrdData[[#This Row],[Period]]&amp;TrendSheetPrdData[[#This Row],[Trend]]</f>
        <v>MSSP_ATTRIBUTEDAllowed2016-05-01Readmission Cost</v>
      </c>
      <c r="B1434" t="s">
        <v>128</v>
      </c>
      <c r="C1434" t="s">
        <v>128</v>
      </c>
      <c r="D1434" t="s">
        <v>91</v>
      </c>
      <c r="E1434" s="1" t="s">
        <v>95</v>
      </c>
      <c r="F1434" t="s">
        <v>93</v>
      </c>
      <c r="G1434" t="s">
        <v>15</v>
      </c>
      <c r="H1434">
        <v>4</v>
      </c>
      <c r="I1434">
        <v>619636.31999999995</v>
      </c>
    </row>
    <row r="1435" spans="1:9" x14ac:dyDescent="0.25">
      <c r="A1435" s="5" t="str">
        <f>TrendSheetPrdData[[#This Row],[Population]]&amp;TrendSheetPrdData[[#This Row],[Cost Basis]]&amp;TrendSheetPrdData[[#This Row],[Period]]&amp;TrendSheetPrdData[[#This Row],[Trend]]</f>
        <v>MSSP_ATTRIBUTEDAllowed2016-06-01Readmission Cost</v>
      </c>
      <c r="B1435" t="s">
        <v>128</v>
      </c>
      <c r="C1435" t="s">
        <v>128</v>
      </c>
      <c r="D1435" t="s">
        <v>91</v>
      </c>
      <c r="E1435" s="1" t="s">
        <v>96</v>
      </c>
      <c r="F1435" t="s">
        <v>93</v>
      </c>
      <c r="G1435" t="s">
        <v>15</v>
      </c>
      <c r="H1435">
        <v>4</v>
      </c>
      <c r="I1435">
        <v>669555.9</v>
      </c>
    </row>
    <row r="1436" spans="1:9" x14ac:dyDescent="0.25">
      <c r="A1436" s="5" t="str">
        <f>TrendSheetPrdData[[#This Row],[Population]]&amp;TrendSheetPrdData[[#This Row],[Cost Basis]]&amp;TrendSheetPrdData[[#This Row],[Period]]&amp;TrendSheetPrdData[[#This Row],[Trend]]</f>
        <v>MSSP_ATTRIBUTEDAllowed2016-07-01Readmission Cost</v>
      </c>
      <c r="B1436" t="s">
        <v>128</v>
      </c>
      <c r="C1436" t="s">
        <v>128</v>
      </c>
      <c r="D1436" t="s">
        <v>91</v>
      </c>
      <c r="E1436" s="1" t="s">
        <v>97</v>
      </c>
      <c r="F1436" t="s">
        <v>93</v>
      </c>
      <c r="G1436" t="s">
        <v>15</v>
      </c>
      <c r="H1436">
        <v>4</v>
      </c>
      <c r="I1436">
        <v>670877.76</v>
      </c>
    </row>
    <row r="1437" spans="1:9" x14ac:dyDescent="0.25">
      <c r="A1437" s="5" t="str">
        <f>TrendSheetPrdData[[#This Row],[Population]]&amp;TrendSheetPrdData[[#This Row],[Cost Basis]]&amp;TrendSheetPrdData[[#This Row],[Period]]&amp;TrendSheetPrdData[[#This Row],[Trend]]</f>
        <v>MSSP_ATTRIBUTEDAllowed2016-08-01Readmission Cost</v>
      </c>
      <c r="B1437" t="s">
        <v>128</v>
      </c>
      <c r="C1437" t="s">
        <v>128</v>
      </c>
      <c r="D1437" t="s">
        <v>91</v>
      </c>
      <c r="E1437" s="1" t="s">
        <v>98</v>
      </c>
      <c r="F1437" t="s">
        <v>93</v>
      </c>
      <c r="G1437" t="s">
        <v>15</v>
      </c>
      <c r="H1437">
        <v>4</v>
      </c>
      <c r="I1437">
        <v>955574.17</v>
      </c>
    </row>
    <row r="1438" spans="1:9" x14ac:dyDescent="0.25">
      <c r="A1438" s="5" t="str">
        <f>TrendSheetPrdData[[#This Row],[Population]]&amp;TrendSheetPrdData[[#This Row],[Cost Basis]]&amp;TrendSheetPrdData[[#This Row],[Period]]&amp;TrendSheetPrdData[[#This Row],[Trend]]</f>
        <v>MSSP_ATTRIBUTEDAllowed2016-09-01Readmission Cost</v>
      </c>
      <c r="B1438" t="s">
        <v>128</v>
      </c>
      <c r="C1438" t="s">
        <v>128</v>
      </c>
      <c r="D1438" t="s">
        <v>91</v>
      </c>
      <c r="E1438" s="1" t="s">
        <v>99</v>
      </c>
      <c r="F1438" t="s">
        <v>93</v>
      </c>
      <c r="G1438" t="s">
        <v>15</v>
      </c>
      <c r="H1438">
        <v>4</v>
      </c>
      <c r="I1438">
        <v>655313.24</v>
      </c>
    </row>
    <row r="1439" spans="1:9" x14ac:dyDescent="0.25">
      <c r="A1439" s="5" t="str">
        <f>TrendSheetPrdData[[#This Row],[Population]]&amp;TrendSheetPrdData[[#This Row],[Cost Basis]]&amp;TrendSheetPrdData[[#This Row],[Period]]&amp;TrendSheetPrdData[[#This Row],[Trend]]</f>
        <v>MSSP_ATTRIBUTEDAllowed2016-10-01Readmission Cost</v>
      </c>
      <c r="B1439" t="s">
        <v>128</v>
      </c>
      <c r="C1439" t="s">
        <v>128</v>
      </c>
      <c r="D1439" t="s">
        <v>91</v>
      </c>
      <c r="E1439" s="1" t="s">
        <v>100</v>
      </c>
      <c r="F1439" t="s">
        <v>106</v>
      </c>
      <c r="G1439" t="s">
        <v>15</v>
      </c>
      <c r="H1439">
        <v>4</v>
      </c>
      <c r="I1439">
        <v>419338.36</v>
      </c>
    </row>
    <row r="1440" spans="1:9" x14ac:dyDescent="0.25">
      <c r="A1440" s="5" t="str">
        <f>TrendSheetPrdData[[#This Row],[Population]]&amp;TrendSheetPrdData[[#This Row],[Cost Basis]]&amp;TrendSheetPrdData[[#This Row],[Period]]&amp;TrendSheetPrdData[[#This Row],[Trend]]</f>
        <v>MSSP_ATTRIBUTEDAllowed2016-11-01Readmission Cost</v>
      </c>
      <c r="B1440" t="s">
        <v>128</v>
      </c>
      <c r="C1440" t="s">
        <v>128</v>
      </c>
      <c r="D1440" t="s">
        <v>91</v>
      </c>
      <c r="E1440" s="1" t="s">
        <v>101</v>
      </c>
      <c r="F1440" t="s">
        <v>106</v>
      </c>
      <c r="G1440" t="s">
        <v>15</v>
      </c>
      <c r="H1440">
        <v>4</v>
      </c>
      <c r="I1440">
        <v>320666.2</v>
      </c>
    </row>
    <row r="1441" spans="1:9" x14ac:dyDescent="0.25">
      <c r="A1441" s="5" t="str">
        <f>TrendSheetPrdData[[#This Row],[Population]]&amp;TrendSheetPrdData[[#This Row],[Cost Basis]]&amp;TrendSheetPrdData[[#This Row],[Period]]&amp;TrendSheetPrdData[[#This Row],[Trend]]</f>
        <v>MSSP_ATTRIBUTEDAllowed2016-12-01Readmission Cost</v>
      </c>
      <c r="B1441" t="s">
        <v>128</v>
      </c>
      <c r="C1441" t="s">
        <v>128</v>
      </c>
      <c r="D1441" t="s">
        <v>91</v>
      </c>
      <c r="E1441" s="1" t="s">
        <v>102</v>
      </c>
      <c r="F1441" t="s">
        <v>106</v>
      </c>
      <c r="G1441" t="s">
        <v>15</v>
      </c>
      <c r="H1441">
        <v>4</v>
      </c>
      <c r="I1441">
        <v>42748.26</v>
      </c>
    </row>
    <row r="1442" spans="1:9" x14ac:dyDescent="0.25">
      <c r="A1442" s="5" t="str">
        <f>TrendSheetPrdData[[#This Row],[Population]]&amp;TrendSheetPrdData[[#This Row],[Cost Basis]]&amp;TrendSheetPrdData[[#This Row],[Period]]&amp;TrendSheetPrdData[[#This Row],[Trend]]</f>
        <v>MSSP_ATTRIBUTEDAllowed2015-10-01Readmission Quality</v>
      </c>
      <c r="B1442" t="s">
        <v>128</v>
      </c>
      <c r="C1442" t="s">
        <v>128</v>
      </c>
      <c r="D1442" t="s">
        <v>91</v>
      </c>
      <c r="E1442" s="1" t="s">
        <v>134</v>
      </c>
      <c r="F1442" t="s">
        <v>93</v>
      </c>
      <c r="G1442" t="s">
        <v>16</v>
      </c>
      <c r="H1442">
        <v>5</v>
      </c>
      <c r="I1442">
        <v>49</v>
      </c>
    </row>
    <row r="1443" spans="1:9" x14ac:dyDescent="0.25">
      <c r="A1443" s="5" t="str">
        <f>TrendSheetPrdData[[#This Row],[Population]]&amp;TrendSheetPrdData[[#This Row],[Cost Basis]]&amp;TrendSheetPrdData[[#This Row],[Period]]&amp;TrendSheetPrdData[[#This Row],[Trend]]</f>
        <v>MSSP_ATTRIBUTEDAllowed2015-11-01Readmission Quality</v>
      </c>
      <c r="B1443" t="s">
        <v>128</v>
      </c>
      <c r="C1443" t="s">
        <v>128</v>
      </c>
      <c r="D1443" t="s">
        <v>91</v>
      </c>
      <c r="E1443" s="1" t="s">
        <v>130</v>
      </c>
      <c r="F1443" t="s">
        <v>93</v>
      </c>
      <c r="G1443" t="s">
        <v>16</v>
      </c>
      <c r="H1443">
        <v>5</v>
      </c>
      <c r="I1443">
        <v>36</v>
      </c>
    </row>
    <row r="1444" spans="1:9" x14ac:dyDescent="0.25">
      <c r="A1444" s="5" t="str">
        <f>TrendSheetPrdData[[#This Row],[Population]]&amp;TrendSheetPrdData[[#This Row],[Cost Basis]]&amp;TrendSheetPrdData[[#This Row],[Period]]&amp;TrendSheetPrdData[[#This Row],[Trend]]</f>
        <v>MSSP_ATTRIBUTEDAllowed2015-12-01Readmission Quality</v>
      </c>
      <c r="B1444" t="s">
        <v>128</v>
      </c>
      <c r="C1444" t="s">
        <v>128</v>
      </c>
      <c r="D1444" t="s">
        <v>91</v>
      </c>
      <c r="E1444" s="1" t="s">
        <v>131</v>
      </c>
      <c r="F1444" t="s">
        <v>93</v>
      </c>
      <c r="G1444" t="s">
        <v>16</v>
      </c>
      <c r="H1444">
        <v>5</v>
      </c>
      <c r="I1444">
        <v>71</v>
      </c>
    </row>
    <row r="1445" spans="1:9" x14ac:dyDescent="0.25">
      <c r="A1445" s="5" t="str">
        <f>TrendSheetPrdData[[#This Row],[Population]]&amp;TrendSheetPrdData[[#This Row],[Cost Basis]]&amp;TrendSheetPrdData[[#This Row],[Period]]&amp;TrendSheetPrdData[[#This Row],[Trend]]</f>
        <v>MSSP_ATTRIBUTEDAllowed2016-01-01Readmission Quality</v>
      </c>
      <c r="B1445" t="s">
        <v>128</v>
      </c>
      <c r="C1445" t="s">
        <v>128</v>
      </c>
      <c r="D1445" t="s">
        <v>91</v>
      </c>
      <c r="E1445" s="1" t="s">
        <v>132</v>
      </c>
      <c r="F1445" t="s">
        <v>93</v>
      </c>
      <c r="G1445" t="s">
        <v>16</v>
      </c>
      <c r="H1445">
        <v>5</v>
      </c>
      <c r="I1445">
        <v>59</v>
      </c>
    </row>
    <row r="1446" spans="1:9" x14ac:dyDescent="0.25">
      <c r="A1446" s="5" t="str">
        <f>TrendSheetPrdData[[#This Row],[Population]]&amp;TrendSheetPrdData[[#This Row],[Cost Basis]]&amp;TrendSheetPrdData[[#This Row],[Period]]&amp;TrendSheetPrdData[[#This Row],[Trend]]</f>
        <v>MSSP_ATTRIBUTEDAllowed2016-02-01Readmission Quality</v>
      </c>
      <c r="B1446" t="s">
        <v>128</v>
      </c>
      <c r="C1446" t="s">
        <v>128</v>
      </c>
      <c r="D1446" t="s">
        <v>91</v>
      </c>
      <c r="E1446" s="1" t="s">
        <v>133</v>
      </c>
      <c r="F1446" t="s">
        <v>93</v>
      </c>
      <c r="G1446" t="s">
        <v>16</v>
      </c>
      <c r="H1446">
        <v>5</v>
      </c>
      <c r="I1446">
        <v>50</v>
      </c>
    </row>
    <row r="1447" spans="1:9" x14ac:dyDescent="0.25">
      <c r="A1447" s="5" t="str">
        <f>TrendSheetPrdData[[#This Row],[Population]]&amp;TrendSheetPrdData[[#This Row],[Cost Basis]]&amp;TrendSheetPrdData[[#This Row],[Period]]&amp;TrendSheetPrdData[[#This Row],[Trend]]</f>
        <v>MSSP_ATTRIBUTEDAllowed2016-03-01Readmission Quality</v>
      </c>
      <c r="B1447" t="s">
        <v>128</v>
      </c>
      <c r="C1447" t="s">
        <v>128</v>
      </c>
      <c r="D1447" t="s">
        <v>91</v>
      </c>
      <c r="E1447" s="1" t="s">
        <v>92</v>
      </c>
      <c r="F1447" t="s">
        <v>93</v>
      </c>
      <c r="G1447" t="s">
        <v>16</v>
      </c>
      <c r="H1447">
        <v>5</v>
      </c>
      <c r="I1447">
        <v>53</v>
      </c>
    </row>
    <row r="1448" spans="1:9" x14ac:dyDescent="0.25">
      <c r="A1448" s="5" t="str">
        <f>TrendSheetPrdData[[#This Row],[Population]]&amp;TrendSheetPrdData[[#This Row],[Cost Basis]]&amp;TrendSheetPrdData[[#This Row],[Period]]&amp;TrendSheetPrdData[[#This Row],[Trend]]</f>
        <v>MSSP_ATTRIBUTEDAllowed2016-04-01Readmission Quality</v>
      </c>
      <c r="B1448" t="s">
        <v>128</v>
      </c>
      <c r="C1448" t="s">
        <v>128</v>
      </c>
      <c r="D1448" t="s">
        <v>91</v>
      </c>
      <c r="E1448" s="1" t="s">
        <v>94</v>
      </c>
      <c r="F1448" t="s">
        <v>93</v>
      </c>
      <c r="G1448" t="s">
        <v>16</v>
      </c>
      <c r="H1448">
        <v>5</v>
      </c>
      <c r="I1448">
        <v>56</v>
      </c>
    </row>
    <row r="1449" spans="1:9" x14ac:dyDescent="0.25">
      <c r="A1449" s="5" t="str">
        <f>TrendSheetPrdData[[#This Row],[Population]]&amp;TrendSheetPrdData[[#This Row],[Cost Basis]]&amp;TrendSheetPrdData[[#This Row],[Period]]&amp;TrendSheetPrdData[[#This Row],[Trend]]</f>
        <v>MSSP_ATTRIBUTEDAllowed2016-05-01Readmission Quality</v>
      </c>
      <c r="B1449" t="s">
        <v>128</v>
      </c>
      <c r="C1449" t="s">
        <v>128</v>
      </c>
      <c r="D1449" t="s">
        <v>91</v>
      </c>
      <c r="E1449" s="1" t="s">
        <v>95</v>
      </c>
      <c r="F1449" t="s">
        <v>93</v>
      </c>
      <c r="G1449" t="s">
        <v>16</v>
      </c>
      <c r="H1449">
        <v>5</v>
      </c>
      <c r="I1449">
        <v>54</v>
      </c>
    </row>
    <row r="1450" spans="1:9" x14ac:dyDescent="0.25">
      <c r="A1450" s="5" t="str">
        <f>TrendSheetPrdData[[#This Row],[Population]]&amp;TrendSheetPrdData[[#This Row],[Cost Basis]]&amp;TrendSheetPrdData[[#This Row],[Period]]&amp;TrendSheetPrdData[[#This Row],[Trend]]</f>
        <v>MSSP_ATTRIBUTEDAllowed2016-06-01Readmission Quality</v>
      </c>
      <c r="B1450" t="s">
        <v>128</v>
      </c>
      <c r="C1450" t="s">
        <v>128</v>
      </c>
      <c r="D1450" t="s">
        <v>91</v>
      </c>
      <c r="E1450" s="1" t="s">
        <v>96</v>
      </c>
      <c r="F1450" t="s">
        <v>93</v>
      </c>
      <c r="G1450" t="s">
        <v>16</v>
      </c>
      <c r="H1450">
        <v>5</v>
      </c>
      <c r="I1450">
        <v>58</v>
      </c>
    </row>
    <row r="1451" spans="1:9" x14ac:dyDescent="0.25">
      <c r="A1451" s="5" t="str">
        <f>TrendSheetPrdData[[#This Row],[Population]]&amp;TrendSheetPrdData[[#This Row],[Cost Basis]]&amp;TrendSheetPrdData[[#This Row],[Period]]&amp;TrendSheetPrdData[[#This Row],[Trend]]</f>
        <v>MSSP_ATTRIBUTEDAllowed2016-07-01Readmission Quality</v>
      </c>
      <c r="B1451" t="s">
        <v>128</v>
      </c>
      <c r="C1451" t="s">
        <v>128</v>
      </c>
      <c r="D1451" t="s">
        <v>91</v>
      </c>
      <c r="E1451" s="1" t="s">
        <v>97</v>
      </c>
      <c r="F1451" t="s">
        <v>93</v>
      </c>
      <c r="G1451" t="s">
        <v>16</v>
      </c>
      <c r="H1451">
        <v>5</v>
      </c>
      <c r="I1451">
        <v>59</v>
      </c>
    </row>
    <row r="1452" spans="1:9" x14ac:dyDescent="0.25">
      <c r="A1452" s="5" t="str">
        <f>TrendSheetPrdData[[#This Row],[Population]]&amp;TrendSheetPrdData[[#This Row],[Cost Basis]]&amp;TrendSheetPrdData[[#This Row],[Period]]&amp;TrendSheetPrdData[[#This Row],[Trend]]</f>
        <v>MSSP_ATTRIBUTEDAllowed2016-08-01Readmission Quality</v>
      </c>
      <c r="B1452" t="s">
        <v>128</v>
      </c>
      <c r="C1452" t="s">
        <v>128</v>
      </c>
      <c r="D1452" t="s">
        <v>91</v>
      </c>
      <c r="E1452" s="1" t="s">
        <v>98</v>
      </c>
      <c r="F1452" t="s">
        <v>93</v>
      </c>
      <c r="G1452" t="s">
        <v>16</v>
      </c>
      <c r="H1452">
        <v>5</v>
      </c>
      <c r="I1452">
        <v>71</v>
      </c>
    </row>
    <row r="1453" spans="1:9" x14ac:dyDescent="0.25">
      <c r="A1453" s="5" t="str">
        <f>TrendSheetPrdData[[#This Row],[Population]]&amp;TrendSheetPrdData[[#This Row],[Cost Basis]]&amp;TrendSheetPrdData[[#This Row],[Period]]&amp;TrendSheetPrdData[[#This Row],[Trend]]</f>
        <v>MSSP_ATTRIBUTEDAllowed2016-09-01Readmission Quality</v>
      </c>
      <c r="B1453" t="s">
        <v>128</v>
      </c>
      <c r="C1453" t="s">
        <v>128</v>
      </c>
      <c r="D1453" t="s">
        <v>91</v>
      </c>
      <c r="E1453" s="1" t="s">
        <v>99</v>
      </c>
      <c r="F1453" t="s">
        <v>93</v>
      </c>
      <c r="G1453" t="s">
        <v>16</v>
      </c>
      <c r="H1453">
        <v>5</v>
      </c>
      <c r="I1453">
        <v>56</v>
      </c>
    </row>
    <row r="1454" spans="1:9" x14ac:dyDescent="0.25">
      <c r="A1454" s="5" t="str">
        <f>TrendSheetPrdData[[#This Row],[Population]]&amp;TrendSheetPrdData[[#This Row],[Cost Basis]]&amp;TrendSheetPrdData[[#This Row],[Period]]&amp;TrendSheetPrdData[[#This Row],[Trend]]</f>
        <v>MSSP_ATTRIBUTEDAllowed2016-10-01Readmission Quality</v>
      </c>
      <c r="B1454" t="s">
        <v>128</v>
      </c>
      <c r="C1454" t="s">
        <v>128</v>
      </c>
      <c r="D1454" t="s">
        <v>91</v>
      </c>
      <c r="E1454" s="1" t="s">
        <v>100</v>
      </c>
      <c r="F1454" t="s">
        <v>106</v>
      </c>
      <c r="G1454" t="s">
        <v>16</v>
      </c>
      <c r="H1454">
        <v>5</v>
      </c>
      <c r="I1454">
        <v>40</v>
      </c>
    </row>
    <row r="1455" spans="1:9" x14ac:dyDescent="0.25">
      <c r="A1455" s="5" t="str">
        <f>TrendSheetPrdData[[#This Row],[Population]]&amp;TrendSheetPrdData[[#This Row],[Cost Basis]]&amp;TrendSheetPrdData[[#This Row],[Period]]&amp;TrendSheetPrdData[[#This Row],[Trend]]</f>
        <v>MSSP_ATTRIBUTEDAllowed2016-11-01Readmission Quality</v>
      </c>
      <c r="B1455" t="s">
        <v>128</v>
      </c>
      <c r="C1455" t="s">
        <v>128</v>
      </c>
      <c r="D1455" t="s">
        <v>91</v>
      </c>
      <c r="E1455" s="1" t="s">
        <v>101</v>
      </c>
      <c r="F1455" t="s">
        <v>106</v>
      </c>
      <c r="G1455" t="s">
        <v>16</v>
      </c>
      <c r="H1455">
        <v>5</v>
      </c>
      <c r="I1455">
        <v>28</v>
      </c>
    </row>
    <row r="1456" spans="1:9" x14ac:dyDescent="0.25">
      <c r="A1456" s="5" t="str">
        <f>TrendSheetPrdData[[#This Row],[Population]]&amp;TrendSheetPrdData[[#This Row],[Cost Basis]]&amp;TrendSheetPrdData[[#This Row],[Period]]&amp;TrendSheetPrdData[[#This Row],[Trend]]</f>
        <v>MSSP_ATTRIBUTEDAllowed2016-12-01Readmission Quality</v>
      </c>
      <c r="B1456" t="s">
        <v>128</v>
      </c>
      <c r="C1456" t="s">
        <v>128</v>
      </c>
      <c r="D1456" t="s">
        <v>91</v>
      </c>
      <c r="E1456" s="1" t="s">
        <v>102</v>
      </c>
      <c r="F1456" t="s">
        <v>106</v>
      </c>
      <c r="G1456" t="s">
        <v>16</v>
      </c>
      <c r="H1456">
        <v>5</v>
      </c>
      <c r="I1456">
        <v>1</v>
      </c>
    </row>
    <row r="1457" spans="1:9" x14ac:dyDescent="0.25">
      <c r="A1457" s="5" t="str">
        <f>TrendSheetPrdData[[#This Row],[Population]]&amp;TrendSheetPrdData[[#This Row],[Cost Basis]]&amp;TrendSheetPrdData[[#This Row],[Period]]&amp;TrendSheetPrdData[[#This Row],[Trend]]</f>
        <v>MSSP_ATTRIBUTEDAllowed2015-10-01Avoidable Admission Cost</v>
      </c>
      <c r="B1457" t="s">
        <v>128</v>
      </c>
      <c r="C1457" t="s">
        <v>128</v>
      </c>
      <c r="D1457" t="s">
        <v>91</v>
      </c>
      <c r="E1457" s="1" t="s">
        <v>134</v>
      </c>
      <c r="F1457" t="s">
        <v>93</v>
      </c>
      <c r="G1457" t="s">
        <v>17</v>
      </c>
      <c r="H1457">
        <v>6</v>
      </c>
      <c r="I1457">
        <v>423519.07</v>
      </c>
    </row>
    <row r="1458" spans="1:9" x14ac:dyDescent="0.25">
      <c r="A1458" s="5" t="str">
        <f>TrendSheetPrdData[[#This Row],[Population]]&amp;TrendSheetPrdData[[#This Row],[Cost Basis]]&amp;TrendSheetPrdData[[#This Row],[Period]]&amp;TrendSheetPrdData[[#This Row],[Trend]]</f>
        <v>MSSP_ATTRIBUTEDAllowed2015-11-01Avoidable Admission Cost</v>
      </c>
      <c r="B1458" t="s">
        <v>128</v>
      </c>
      <c r="C1458" t="s">
        <v>128</v>
      </c>
      <c r="D1458" t="s">
        <v>91</v>
      </c>
      <c r="E1458" s="1" t="s">
        <v>130</v>
      </c>
      <c r="F1458" t="s">
        <v>93</v>
      </c>
      <c r="G1458" t="s">
        <v>17</v>
      </c>
      <c r="H1458">
        <v>6</v>
      </c>
      <c r="I1458">
        <v>655842.85</v>
      </c>
    </row>
    <row r="1459" spans="1:9" x14ac:dyDescent="0.25">
      <c r="A1459" s="5" t="str">
        <f>TrendSheetPrdData[[#This Row],[Population]]&amp;TrendSheetPrdData[[#This Row],[Cost Basis]]&amp;TrendSheetPrdData[[#This Row],[Period]]&amp;TrendSheetPrdData[[#This Row],[Trend]]</f>
        <v>MSSP_ATTRIBUTEDAllowed2015-12-01Avoidable Admission Cost</v>
      </c>
      <c r="B1459" t="s">
        <v>128</v>
      </c>
      <c r="C1459" t="s">
        <v>128</v>
      </c>
      <c r="D1459" t="s">
        <v>91</v>
      </c>
      <c r="E1459" s="1" t="s">
        <v>131</v>
      </c>
      <c r="F1459" t="s">
        <v>93</v>
      </c>
      <c r="G1459" t="s">
        <v>17</v>
      </c>
      <c r="H1459">
        <v>6</v>
      </c>
      <c r="I1459">
        <v>717168.61</v>
      </c>
    </row>
    <row r="1460" spans="1:9" x14ac:dyDescent="0.25">
      <c r="A1460" s="5" t="str">
        <f>TrendSheetPrdData[[#This Row],[Population]]&amp;TrendSheetPrdData[[#This Row],[Cost Basis]]&amp;TrendSheetPrdData[[#This Row],[Period]]&amp;TrendSheetPrdData[[#This Row],[Trend]]</f>
        <v>MSSP_ATTRIBUTEDAllowed2016-01-01Avoidable Admission Cost</v>
      </c>
      <c r="B1460" t="s">
        <v>128</v>
      </c>
      <c r="C1460" t="s">
        <v>128</v>
      </c>
      <c r="D1460" t="s">
        <v>91</v>
      </c>
      <c r="E1460" s="1" t="s">
        <v>132</v>
      </c>
      <c r="F1460" t="s">
        <v>93</v>
      </c>
      <c r="G1460" t="s">
        <v>17</v>
      </c>
      <c r="H1460">
        <v>6</v>
      </c>
      <c r="I1460">
        <v>777421.84</v>
      </c>
    </row>
    <row r="1461" spans="1:9" x14ac:dyDescent="0.25">
      <c r="A1461" s="5" t="str">
        <f>TrendSheetPrdData[[#This Row],[Population]]&amp;TrendSheetPrdData[[#This Row],[Cost Basis]]&amp;TrendSheetPrdData[[#This Row],[Period]]&amp;TrendSheetPrdData[[#This Row],[Trend]]</f>
        <v>MSSP_ATTRIBUTEDAllowed2016-02-01Avoidable Admission Cost</v>
      </c>
      <c r="B1461" t="s">
        <v>128</v>
      </c>
      <c r="C1461" t="s">
        <v>128</v>
      </c>
      <c r="D1461" t="s">
        <v>91</v>
      </c>
      <c r="E1461" s="1" t="s">
        <v>133</v>
      </c>
      <c r="F1461" t="s">
        <v>93</v>
      </c>
      <c r="G1461" t="s">
        <v>17</v>
      </c>
      <c r="H1461">
        <v>6</v>
      </c>
      <c r="I1461">
        <v>612853.09</v>
      </c>
    </row>
    <row r="1462" spans="1:9" x14ac:dyDescent="0.25">
      <c r="A1462" s="5" t="str">
        <f>TrendSheetPrdData[[#This Row],[Population]]&amp;TrendSheetPrdData[[#This Row],[Cost Basis]]&amp;TrendSheetPrdData[[#This Row],[Period]]&amp;TrendSheetPrdData[[#This Row],[Trend]]</f>
        <v>MSSP_ATTRIBUTEDAllowed2016-03-01Avoidable Admission Cost</v>
      </c>
      <c r="B1462" t="s">
        <v>128</v>
      </c>
      <c r="C1462" t="s">
        <v>128</v>
      </c>
      <c r="D1462" t="s">
        <v>91</v>
      </c>
      <c r="E1462" s="1" t="s">
        <v>92</v>
      </c>
      <c r="F1462" t="s">
        <v>93</v>
      </c>
      <c r="G1462" t="s">
        <v>17</v>
      </c>
      <c r="H1462">
        <v>6</v>
      </c>
      <c r="I1462">
        <v>913177.23</v>
      </c>
    </row>
    <row r="1463" spans="1:9" x14ac:dyDescent="0.25">
      <c r="A1463" s="5" t="str">
        <f>TrendSheetPrdData[[#This Row],[Population]]&amp;TrendSheetPrdData[[#This Row],[Cost Basis]]&amp;TrendSheetPrdData[[#This Row],[Period]]&amp;TrendSheetPrdData[[#This Row],[Trend]]</f>
        <v>MSSP_ATTRIBUTEDAllowed2016-04-01Avoidable Admission Cost</v>
      </c>
      <c r="B1463" t="s">
        <v>128</v>
      </c>
      <c r="C1463" t="s">
        <v>128</v>
      </c>
      <c r="D1463" t="s">
        <v>91</v>
      </c>
      <c r="E1463" s="1" t="s">
        <v>94</v>
      </c>
      <c r="F1463" t="s">
        <v>93</v>
      </c>
      <c r="G1463" t="s">
        <v>17</v>
      </c>
      <c r="H1463">
        <v>6</v>
      </c>
      <c r="I1463">
        <v>742008.43</v>
      </c>
    </row>
    <row r="1464" spans="1:9" x14ac:dyDescent="0.25">
      <c r="A1464" s="5" t="str">
        <f>TrendSheetPrdData[[#This Row],[Population]]&amp;TrendSheetPrdData[[#This Row],[Cost Basis]]&amp;TrendSheetPrdData[[#This Row],[Period]]&amp;TrendSheetPrdData[[#This Row],[Trend]]</f>
        <v>MSSP_ATTRIBUTEDAllowed2016-05-01Avoidable Admission Cost</v>
      </c>
      <c r="B1464" t="s">
        <v>128</v>
      </c>
      <c r="C1464" t="s">
        <v>128</v>
      </c>
      <c r="D1464" t="s">
        <v>91</v>
      </c>
      <c r="E1464" s="1" t="s">
        <v>95</v>
      </c>
      <c r="F1464" t="s">
        <v>93</v>
      </c>
      <c r="G1464" t="s">
        <v>17</v>
      </c>
      <c r="H1464">
        <v>6</v>
      </c>
      <c r="I1464">
        <v>556369.17000000004</v>
      </c>
    </row>
    <row r="1465" spans="1:9" x14ac:dyDescent="0.25">
      <c r="A1465" s="5" t="str">
        <f>TrendSheetPrdData[[#This Row],[Population]]&amp;TrendSheetPrdData[[#This Row],[Cost Basis]]&amp;TrendSheetPrdData[[#This Row],[Period]]&amp;TrendSheetPrdData[[#This Row],[Trend]]</f>
        <v>MSSP_ATTRIBUTEDAllowed2016-06-01Avoidable Admission Cost</v>
      </c>
      <c r="B1465" t="s">
        <v>128</v>
      </c>
      <c r="C1465" t="s">
        <v>128</v>
      </c>
      <c r="D1465" t="s">
        <v>91</v>
      </c>
      <c r="E1465" s="1" t="s">
        <v>96</v>
      </c>
      <c r="F1465" t="s">
        <v>93</v>
      </c>
      <c r="G1465" t="s">
        <v>17</v>
      </c>
      <c r="H1465">
        <v>6</v>
      </c>
      <c r="I1465">
        <v>494332.79</v>
      </c>
    </row>
    <row r="1466" spans="1:9" x14ac:dyDescent="0.25">
      <c r="A1466" s="5" t="str">
        <f>TrendSheetPrdData[[#This Row],[Population]]&amp;TrendSheetPrdData[[#This Row],[Cost Basis]]&amp;TrendSheetPrdData[[#This Row],[Period]]&amp;TrendSheetPrdData[[#This Row],[Trend]]</f>
        <v>MSSP_ATTRIBUTEDAllowed2016-07-01Avoidable Admission Cost</v>
      </c>
      <c r="B1466" t="s">
        <v>128</v>
      </c>
      <c r="C1466" t="s">
        <v>128</v>
      </c>
      <c r="D1466" t="s">
        <v>91</v>
      </c>
      <c r="E1466" s="1" t="s">
        <v>97</v>
      </c>
      <c r="F1466" t="s">
        <v>93</v>
      </c>
      <c r="G1466" t="s">
        <v>17</v>
      </c>
      <c r="H1466">
        <v>6</v>
      </c>
      <c r="I1466">
        <v>615523.79</v>
      </c>
    </row>
    <row r="1467" spans="1:9" x14ac:dyDescent="0.25">
      <c r="A1467" s="5" t="str">
        <f>TrendSheetPrdData[[#This Row],[Population]]&amp;TrendSheetPrdData[[#This Row],[Cost Basis]]&amp;TrendSheetPrdData[[#This Row],[Period]]&amp;TrendSheetPrdData[[#This Row],[Trend]]</f>
        <v>MSSP_ATTRIBUTEDAllowed2016-08-01Avoidable Admission Cost</v>
      </c>
      <c r="B1467" t="s">
        <v>128</v>
      </c>
      <c r="C1467" t="s">
        <v>128</v>
      </c>
      <c r="D1467" t="s">
        <v>91</v>
      </c>
      <c r="E1467" s="1" t="s">
        <v>98</v>
      </c>
      <c r="F1467" t="s">
        <v>93</v>
      </c>
      <c r="G1467" t="s">
        <v>17</v>
      </c>
      <c r="H1467">
        <v>6</v>
      </c>
      <c r="I1467">
        <v>587478.93000000005</v>
      </c>
    </row>
    <row r="1468" spans="1:9" x14ac:dyDescent="0.25">
      <c r="A1468" s="5" t="str">
        <f>TrendSheetPrdData[[#This Row],[Population]]&amp;TrendSheetPrdData[[#This Row],[Cost Basis]]&amp;TrendSheetPrdData[[#This Row],[Period]]&amp;TrendSheetPrdData[[#This Row],[Trend]]</f>
        <v>MSSP_ATTRIBUTEDAllowed2016-09-01Avoidable Admission Cost</v>
      </c>
      <c r="B1468" t="s">
        <v>128</v>
      </c>
      <c r="C1468" t="s">
        <v>128</v>
      </c>
      <c r="D1468" t="s">
        <v>91</v>
      </c>
      <c r="E1468" s="1" t="s">
        <v>99</v>
      </c>
      <c r="F1468" t="s">
        <v>93</v>
      </c>
      <c r="G1468" t="s">
        <v>17</v>
      </c>
      <c r="H1468">
        <v>6</v>
      </c>
      <c r="I1468">
        <v>608176.87</v>
      </c>
    </row>
    <row r="1469" spans="1:9" x14ac:dyDescent="0.25">
      <c r="A1469" s="5" t="str">
        <f>TrendSheetPrdData[[#This Row],[Population]]&amp;TrendSheetPrdData[[#This Row],[Cost Basis]]&amp;TrendSheetPrdData[[#This Row],[Period]]&amp;TrendSheetPrdData[[#This Row],[Trend]]</f>
        <v>MSSP_ATTRIBUTEDAllowed2016-10-01Avoidable Admission Cost</v>
      </c>
      <c r="B1469" t="s">
        <v>128</v>
      </c>
      <c r="C1469" t="s">
        <v>128</v>
      </c>
      <c r="D1469" t="s">
        <v>91</v>
      </c>
      <c r="E1469" s="1" t="s">
        <v>100</v>
      </c>
      <c r="F1469" t="s">
        <v>106</v>
      </c>
      <c r="G1469" t="s">
        <v>17</v>
      </c>
      <c r="H1469">
        <v>6</v>
      </c>
      <c r="I1469">
        <v>511675</v>
      </c>
    </row>
    <row r="1470" spans="1:9" x14ac:dyDescent="0.25">
      <c r="A1470" s="5" t="str">
        <f>TrendSheetPrdData[[#This Row],[Population]]&amp;TrendSheetPrdData[[#This Row],[Cost Basis]]&amp;TrendSheetPrdData[[#This Row],[Period]]&amp;TrendSheetPrdData[[#This Row],[Trend]]</f>
        <v>MSSP_ATTRIBUTEDAllowed2016-11-01Avoidable Admission Cost</v>
      </c>
      <c r="B1470" t="s">
        <v>128</v>
      </c>
      <c r="C1470" t="s">
        <v>128</v>
      </c>
      <c r="D1470" t="s">
        <v>91</v>
      </c>
      <c r="E1470" s="1" t="s">
        <v>101</v>
      </c>
      <c r="F1470" t="s">
        <v>106</v>
      </c>
      <c r="G1470" t="s">
        <v>17</v>
      </c>
      <c r="H1470">
        <v>6</v>
      </c>
      <c r="I1470">
        <v>611081.24</v>
      </c>
    </row>
    <row r="1471" spans="1:9" x14ac:dyDescent="0.25">
      <c r="A1471" s="5" t="str">
        <f>TrendSheetPrdData[[#This Row],[Population]]&amp;TrendSheetPrdData[[#This Row],[Cost Basis]]&amp;TrendSheetPrdData[[#This Row],[Period]]&amp;TrendSheetPrdData[[#This Row],[Trend]]</f>
        <v>MSSP_ATTRIBUTEDAllowed2016-12-01Avoidable Admission Cost</v>
      </c>
      <c r="B1471" t="s">
        <v>128</v>
      </c>
      <c r="C1471" t="s">
        <v>128</v>
      </c>
      <c r="D1471" t="s">
        <v>91</v>
      </c>
      <c r="E1471" s="1" t="s">
        <v>102</v>
      </c>
      <c r="F1471" t="s">
        <v>106</v>
      </c>
      <c r="G1471" t="s">
        <v>17</v>
      </c>
      <c r="H1471">
        <v>6</v>
      </c>
      <c r="I1471">
        <v>112022.61</v>
      </c>
    </row>
    <row r="1472" spans="1:9" x14ac:dyDescent="0.25">
      <c r="A1472" s="5" t="str">
        <f>TrendSheetPrdData[[#This Row],[Population]]&amp;TrendSheetPrdData[[#This Row],[Cost Basis]]&amp;TrendSheetPrdData[[#This Row],[Period]]&amp;TrendSheetPrdData[[#This Row],[Trend]]</f>
        <v>MSSP_ATTRIBUTEDAllowed2015-10-01Avoidable Admission Quality</v>
      </c>
      <c r="B1472" t="s">
        <v>128</v>
      </c>
      <c r="C1472" t="s">
        <v>128</v>
      </c>
      <c r="D1472" t="s">
        <v>91</v>
      </c>
      <c r="E1472" s="1" t="s">
        <v>134</v>
      </c>
      <c r="F1472" t="s">
        <v>93</v>
      </c>
      <c r="G1472" t="s">
        <v>18</v>
      </c>
      <c r="H1472">
        <v>7</v>
      </c>
      <c r="I1472">
        <v>83</v>
      </c>
    </row>
    <row r="1473" spans="1:9" x14ac:dyDescent="0.25">
      <c r="A1473" s="5" t="str">
        <f>TrendSheetPrdData[[#This Row],[Population]]&amp;TrendSheetPrdData[[#This Row],[Cost Basis]]&amp;TrendSheetPrdData[[#This Row],[Period]]&amp;TrendSheetPrdData[[#This Row],[Trend]]</f>
        <v>MSSP_ATTRIBUTEDAllowed2015-11-01Avoidable Admission Quality</v>
      </c>
      <c r="B1473" t="s">
        <v>128</v>
      </c>
      <c r="C1473" t="s">
        <v>128</v>
      </c>
      <c r="D1473" t="s">
        <v>91</v>
      </c>
      <c r="E1473" s="1" t="s">
        <v>130</v>
      </c>
      <c r="F1473" t="s">
        <v>93</v>
      </c>
      <c r="G1473" t="s">
        <v>18</v>
      </c>
      <c r="H1473">
        <v>7</v>
      </c>
      <c r="I1473">
        <v>61</v>
      </c>
    </row>
    <row r="1474" spans="1:9" x14ac:dyDescent="0.25">
      <c r="A1474" s="5" t="str">
        <f>TrendSheetPrdData[[#This Row],[Population]]&amp;TrendSheetPrdData[[#This Row],[Cost Basis]]&amp;TrendSheetPrdData[[#This Row],[Period]]&amp;TrendSheetPrdData[[#This Row],[Trend]]</f>
        <v>MSSP_ATTRIBUTEDAllowed2015-12-01Avoidable Admission Quality</v>
      </c>
      <c r="B1474" t="s">
        <v>128</v>
      </c>
      <c r="C1474" t="s">
        <v>128</v>
      </c>
      <c r="D1474" t="s">
        <v>91</v>
      </c>
      <c r="E1474" s="1" t="s">
        <v>131</v>
      </c>
      <c r="F1474" t="s">
        <v>93</v>
      </c>
      <c r="G1474" t="s">
        <v>18</v>
      </c>
      <c r="H1474">
        <v>7</v>
      </c>
      <c r="I1474">
        <v>85</v>
      </c>
    </row>
    <row r="1475" spans="1:9" x14ac:dyDescent="0.25">
      <c r="A1475" s="5" t="str">
        <f>TrendSheetPrdData[[#This Row],[Population]]&amp;TrendSheetPrdData[[#This Row],[Cost Basis]]&amp;TrendSheetPrdData[[#This Row],[Period]]&amp;TrendSheetPrdData[[#This Row],[Trend]]</f>
        <v>MSSP_ATTRIBUTEDAllowed2016-01-01Avoidable Admission Quality</v>
      </c>
      <c r="B1475" t="s">
        <v>128</v>
      </c>
      <c r="C1475" t="s">
        <v>128</v>
      </c>
      <c r="D1475" t="s">
        <v>91</v>
      </c>
      <c r="E1475" s="1" t="s">
        <v>132</v>
      </c>
      <c r="F1475" t="s">
        <v>93</v>
      </c>
      <c r="G1475" t="s">
        <v>18</v>
      </c>
      <c r="H1475">
        <v>7</v>
      </c>
      <c r="I1475">
        <v>103</v>
      </c>
    </row>
    <row r="1476" spans="1:9" x14ac:dyDescent="0.25">
      <c r="A1476" s="5" t="str">
        <f>TrendSheetPrdData[[#This Row],[Population]]&amp;TrendSheetPrdData[[#This Row],[Cost Basis]]&amp;TrendSheetPrdData[[#This Row],[Period]]&amp;TrendSheetPrdData[[#This Row],[Trend]]</f>
        <v>MSSP_ATTRIBUTEDAllowed2016-02-01Avoidable Admission Quality</v>
      </c>
      <c r="B1476" t="s">
        <v>128</v>
      </c>
      <c r="C1476" t="s">
        <v>128</v>
      </c>
      <c r="D1476" t="s">
        <v>91</v>
      </c>
      <c r="E1476" s="1" t="s">
        <v>133</v>
      </c>
      <c r="F1476" t="s">
        <v>93</v>
      </c>
      <c r="G1476" t="s">
        <v>18</v>
      </c>
      <c r="H1476">
        <v>7</v>
      </c>
      <c r="I1476">
        <v>81</v>
      </c>
    </row>
    <row r="1477" spans="1:9" x14ac:dyDescent="0.25">
      <c r="A1477" s="5" t="str">
        <f>TrendSheetPrdData[[#This Row],[Population]]&amp;TrendSheetPrdData[[#This Row],[Cost Basis]]&amp;TrendSheetPrdData[[#This Row],[Period]]&amp;TrendSheetPrdData[[#This Row],[Trend]]</f>
        <v>MSSP_ATTRIBUTEDAllowed2016-03-01Avoidable Admission Quality</v>
      </c>
      <c r="B1477" t="s">
        <v>128</v>
      </c>
      <c r="C1477" t="s">
        <v>128</v>
      </c>
      <c r="D1477" t="s">
        <v>91</v>
      </c>
      <c r="E1477" s="1" t="s">
        <v>92</v>
      </c>
      <c r="F1477" t="s">
        <v>93</v>
      </c>
      <c r="G1477" t="s">
        <v>18</v>
      </c>
      <c r="H1477">
        <v>7</v>
      </c>
      <c r="I1477">
        <v>95</v>
      </c>
    </row>
    <row r="1478" spans="1:9" x14ac:dyDescent="0.25">
      <c r="A1478" s="5" t="str">
        <f>TrendSheetPrdData[[#This Row],[Population]]&amp;TrendSheetPrdData[[#This Row],[Cost Basis]]&amp;TrendSheetPrdData[[#This Row],[Period]]&amp;TrendSheetPrdData[[#This Row],[Trend]]</f>
        <v>MSSP_ATTRIBUTEDAllowed2016-04-01Avoidable Admission Quality</v>
      </c>
      <c r="B1478" t="s">
        <v>128</v>
      </c>
      <c r="C1478" t="s">
        <v>128</v>
      </c>
      <c r="D1478" t="s">
        <v>91</v>
      </c>
      <c r="E1478" s="1" t="s">
        <v>94</v>
      </c>
      <c r="F1478" t="s">
        <v>93</v>
      </c>
      <c r="G1478" t="s">
        <v>18</v>
      </c>
      <c r="H1478">
        <v>7</v>
      </c>
      <c r="I1478">
        <v>89</v>
      </c>
    </row>
    <row r="1479" spans="1:9" x14ac:dyDescent="0.25">
      <c r="A1479" s="5" t="str">
        <f>TrendSheetPrdData[[#This Row],[Population]]&amp;TrendSheetPrdData[[#This Row],[Cost Basis]]&amp;TrendSheetPrdData[[#This Row],[Period]]&amp;TrendSheetPrdData[[#This Row],[Trend]]</f>
        <v>MSSP_ATTRIBUTEDAllowed2016-05-01Avoidable Admission Quality</v>
      </c>
      <c r="B1479" t="s">
        <v>128</v>
      </c>
      <c r="C1479" t="s">
        <v>128</v>
      </c>
      <c r="D1479" t="s">
        <v>91</v>
      </c>
      <c r="E1479" s="1" t="s">
        <v>95</v>
      </c>
      <c r="F1479" t="s">
        <v>93</v>
      </c>
      <c r="G1479" t="s">
        <v>18</v>
      </c>
      <c r="H1479">
        <v>7</v>
      </c>
      <c r="I1479">
        <v>77</v>
      </c>
    </row>
    <row r="1480" spans="1:9" x14ac:dyDescent="0.25">
      <c r="A1480" s="5" t="str">
        <f>TrendSheetPrdData[[#This Row],[Population]]&amp;TrendSheetPrdData[[#This Row],[Cost Basis]]&amp;TrendSheetPrdData[[#This Row],[Period]]&amp;TrendSheetPrdData[[#This Row],[Trend]]</f>
        <v>MSSP_ATTRIBUTEDAllowed2016-06-01Avoidable Admission Quality</v>
      </c>
      <c r="B1480" t="s">
        <v>128</v>
      </c>
      <c r="C1480" t="s">
        <v>128</v>
      </c>
      <c r="D1480" t="s">
        <v>91</v>
      </c>
      <c r="E1480" s="1" t="s">
        <v>96</v>
      </c>
      <c r="F1480" t="s">
        <v>93</v>
      </c>
      <c r="G1480" t="s">
        <v>18</v>
      </c>
      <c r="H1480">
        <v>7</v>
      </c>
      <c r="I1480">
        <v>61</v>
      </c>
    </row>
    <row r="1481" spans="1:9" x14ac:dyDescent="0.25">
      <c r="A1481" s="5" t="str">
        <f>TrendSheetPrdData[[#This Row],[Population]]&amp;TrendSheetPrdData[[#This Row],[Cost Basis]]&amp;TrendSheetPrdData[[#This Row],[Period]]&amp;TrendSheetPrdData[[#This Row],[Trend]]</f>
        <v>MSSP_ATTRIBUTEDAllowed2016-07-01Avoidable Admission Quality</v>
      </c>
      <c r="B1481" t="s">
        <v>128</v>
      </c>
      <c r="C1481" t="s">
        <v>128</v>
      </c>
      <c r="D1481" t="s">
        <v>91</v>
      </c>
      <c r="E1481" s="1" t="s">
        <v>97</v>
      </c>
      <c r="F1481" t="s">
        <v>93</v>
      </c>
      <c r="G1481" t="s">
        <v>18</v>
      </c>
      <c r="H1481">
        <v>7</v>
      </c>
      <c r="I1481">
        <v>79</v>
      </c>
    </row>
    <row r="1482" spans="1:9" x14ac:dyDescent="0.25">
      <c r="A1482" s="5" t="str">
        <f>TrendSheetPrdData[[#This Row],[Population]]&amp;TrendSheetPrdData[[#This Row],[Cost Basis]]&amp;TrendSheetPrdData[[#This Row],[Period]]&amp;TrendSheetPrdData[[#This Row],[Trend]]</f>
        <v>MSSP_ATTRIBUTEDAllowed2016-08-01Avoidable Admission Quality</v>
      </c>
      <c r="B1482" t="s">
        <v>128</v>
      </c>
      <c r="C1482" t="s">
        <v>128</v>
      </c>
      <c r="D1482" t="s">
        <v>91</v>
      </c>
      <c r="E1482" s="1" t="s">
        <v>98</v>
      </c>
      <c r="F1482" t="s">
        <v>93</v>
      </c>
      <c r="G1482" t="s">
        <v>18</v>
      </c>
      <c r="H1482">
        <v>7</v>
      </c>
      <c r="I1482">
        <v>74</v>
      </c>
    </row>
    <row r="1483" spans="1:9" x14ac:dyDescent="0.25">
      <c r="A1483" s="5" t="str">
        <f>TrendSheetPrdData[[#This Row],[Population]]&amp;TrendSheetPrdData[[#This Row],[Cost Basis]]&amp;TrendSheetPrdData[[#This Row],[Period]]&amp;TrendSheetPrdData[[#This Row],[Trend]]</f>
        <v>MSSP_ATTRIBUTEDAllowed2016-09-01Avoidable Admission Quality</v>
      </c>
      <c r="B1483" t="s">
        <v>128</v>
      </c>
      <c r="C1483" t="s">
        <v>128</v>
      </c>
      <c r="D1483" t="s">
        <v>91</v>
      </c>
      <c r="E1483" s="1" t="s">
        <v>99</v>
      </c>
      <c r="F1483" t="s">
        <v>93</v>
      </c>
      <c r="G1483" t="s">
        <v>18</v>
      </c>
      <c r="H1483">
        <v>7</v>
      </c>
      <c r="I1483">
        <v>74</v>
      </c>
    </row>
    <row r="1484" spans="1:9" x14ac:dyDescent="0.25">
      <c r="A1484" s="5" t="str">
        <f>TrendSheetPrdData[[#This Row],[Population]]&amp;TrendSheetPrdData[[#This Row],[Cost Basis]]&amp;TrendSheetPrdData[[#This Row],[Period]]&amp;TrendSheetPrdData[[#This Row],[Trend]]</f>
        <v>MSSP_ATTRIBUTEDAllowed2016-10-01Avoidable Admission Quality</v>
      </c>
      <c r="B1484" t="s">
        <v>128</v>
      </c>
      <c r="C1484" t="s">
        <v>128</v>
      </c>
      <c r="D1484" t="s">
        <v>91</v>
      </c>
      <c r="E1484" s="1" t="s">
        <v>100</v>
      </c>
      <c r="F1484" t="s">
        <v>106</v>
      </c>
      <c r="G1484" t="s">
        <v>18</v>
      </c>
      <c r="H1484">
        <v>7</v>
      </c>
      <c r="I1484">
        <v>69</v>
      </c>
    </row>
    <row r="1485" spans="1:9" x14ac:dyDescent="0.25">
      <c r="A1485" s="5" t="str">
        <f>TrendSheetPrdData[[#This Row],[Population]]&amp;TrendSheetPrdData[[#This Row],[Cost Basis]]&amp;TrendSheetPrdData[[#This Row],[Period]]&amp;TrendSheetPrdData[[#This Row],[Trend]]</f>
        <v>MSSP_ATTRIBUTEDAllowed2016-11-01Avoidable Admission Quality</v>
      </c>
      <c r="B1485" t="s">
        <v>128</v>
      </c>
      <c r="C1485" t="s">
        <v>128</v>
      </c>
      <c r="D1485" t="s">
        <v>91</v>
      </c>
      <c r="E1485" s="1" t="s">
        <v>101</v>
      </c>
      <c r="F1485" t="s">
        <v>106</v>
      </c>
      <c r="G1485" t="s">
        <v>18</v>
      </c>
      <c r="H1485">
        <v>7</v>
      </c>
      <c r="I1485">
        <v>71</v>
      </c>
    </row>
    <row r="1486" spans="1:9" x14ac:dyDescent="0.25">
      <c r="A1486" s="5" t="str">
        <f>TrendSheetPrdData[[#This Row],[Population]]&amp;TrendSheetPrdData[[#This Row],[Cost Basis]]&amp;TrendSheetPrdData[[#This Row],[Period]]&amp;TrendSheetPrdData[[#This Row],[Trend]]</f>
        <v>MSSP_ATTRIBUTEDAllowed2016-12-01Avoidable Admission Quality</v>
      </c>
      <c r="B1486" t="s">
        <v>128</v>
      </c>
      <c r="C1486" t="s">
        <v>128</v>
      </c>
      <c r="D1486" t="s">
        <v>91</v>
      </c>
      <c r="E1486" s="1" t="s">
        <v>102</v>
      </c>
      <c r="F1486" t="s">
        <v>106</v>
      </c>
      <c r="G1486" t="s">
        <v>18</v>
      </c>
      <c r="H1486">
        <v>7</v>
      </c>
      <c r="I1486">
        <v>15</v>
      </c>
    </row>
    <row r="1487" spans="1:9" x14ac:dyDescent="0.25">
      <c r="A1487" s="5" t="str">
        <f>TrendSheetPrdData[[#This Row],[Population]]&amp;TrendSheetPrdData[[#This Row],[Cost Basis]]&amp;TrendSheetPrdData[[#This Row],[Period]]&amp;TrendSheetPrdData[[#This Row],[Trend]]</f>
        <v>MSSP_ATTRIBUTEDAllowed2015-10-01Outpatient Imaging Cost</v>
      </c>
      <c r="B1487" t="s">
        <v>128</v>
      </c>
      <c r="C1487" t="s">
        <v>128</v>
      </c>
      <c r="D1487" t="s">
        <v>91</v>
      </c>
      <c r="E1487" s="1" t="s">
        <v>134</v>
      </c>
      <c r="F1487" t="s">
        <v>93</v>
      </c>
      <c r="G1487" t="s">
        <v>19</v>
      </c>
      <c r="H1487">
        <v>8</v>
      </c>
      <c r="I1487">
        <v>128358.18</v>
      </c>
    </row>
    <row r="1488" spans="1:9" x14ac:dyDescent="0.25">
      <c r="A1488" s="5" t="str">
        <f>TrendSheetPrdData[[#This Row],[Population]]&amp;TrendSheetPrdData[[#This Row],[Cost Basis]]&amp;TrendSheetPrdData[[#This Row],[Period]]&amp;TrendSheetPrdData[[#This Row],[Trend]]</f>
        <v>MSSP_ATTRIBUTEDAllowed2015-11-01Outpatient Imaging Cost</v>
      </c>
      <c r="B1488" t="s">
        <v>128</v>
      </c>
      <c r="C1488" t="s">
        <v>128</v>
      </c>
      <c r="D1488" t="s">
        <v>91</v>
      </c>
      <c r="E1488" s="1" t="s">
        <v>130</v>
      </c>
      <c r="F1488" t="s">
        <v>93</v>
      </c>
      <c r="G1488" t="s">
        <v>19</v>
      </c>
      <c r="H1488">
        <v>8</v>
      </c>
      <c r="I1488">
        <v>118744.56</v>
      </c>
    </row>
    <row r="1489" spans="1:9" x14ac:dyDescent="0.25">
      <c r="A1489" s="5" t="str">
        <f>TrendSheetPrdData[[#This Row],[Population]]&amp;TrendSheetPrdData[[#This Row],[Cost Basis]]&amp;TrendSheetPrdData[[#This Row],[Period]]&amp;TrendSheetPrdData[[#This Row],[Trend]]</f>
        <v>MSSP_ATTRIBUTEDAllowed2015-12-01Outpatient Imaging Cost</v>
      </c>
      <c r="B1489" t="s">
        <v>128</v>
      </c>
      <c r="C1489" t="s">
        <v>128</v>
      </c>
      <c r="D1489" t="s">
        <v>91</v>
      </c>
      <c r="E1489" s="1" t="s">
        <v>131</v>
      </c>
      <c r="F1489" t="s">
        <v>93</v>
      </c>
      <c r="G1489" t="s">
        <v>19</v>
      </c>
      <c r="H1489">
        <v>8</v>
      </c>
      <c r="I1489">
        <v>116840.96000000001</v>
      </c>
    </row>
    <row r="1490" spans="1:9" x14ac:dyDescent="0.25">
      <c r="A1490" s="5" t="str">
        <f>TrendSheetPrdData[[#This Row],[Population]]&amp;TrendSheetPrdData[[#This Row],[Cost Basis]]&amp;TrendSheetPrdData[[#This Row],[Period]]&amp;TrendSheetPrdData[[#This Row],[Trend]]</f>
        <v>MSSP_ATTRIBUTEDAllowed2016-01-01Outpatient Imaging Cost</v>
      </c>
      <c r="B1490" t="s">
        <v>128</v>
      </c>
      <c r="C1490" t="s">
        <v>128</v>
      </c>
      <c r="D1490" t="s">
        <v>91</v>
      </c>
      <c r="E1490" s="1" t="s">
        <v>132</v>
      </c>
      <c r="F1490" t="s">
        <v>93</v>
      </c>
      <c r="G1490" t="s">
        <v>19</v>
      </c>
      <c r="H1490">
        <v>8</v>
      </c>
      <c r="I1490">
        <v>97133.99</v>
      </c>
    </row>
    <row r="1491" spans="1:9" x14ac:dyDescent="0.25">
      <c r="A1491" s="5" t="str">
        <f>TrendSheetPrdData[[#This Row],[Population]]&amp;TrendSheetPrdData[[#This Row],[Cost Basis]]&amp;TrendSheetPrdData[[#This Row],[Period]]&amp;TrendSheetPrdData[[#This Row],[Trend]]</f>
        <v>MSSP_ATTRIBUTEDAllowed2016-02-01Outpatient Imaging Cost</v>
      </c>
      <c r="B1491" t="s">
        <v>128</v>
      </c>
      <c r="C1491" t="s">
        <v>128</v>
      </c>
      <c r="D1491" t="s">
        <v>91</v>
      </c>
      <c r="E1491" s="1" t="s">
        <v>133</v>
      </c>
      <c r="F1491" t="s">
        <v>93</v>
      </c>
      <c r="G1491" t="s">
        <v>19</v>
      </c>
      <c r="H1491">
        <v>8</v>
      </c>
      <c r="I1491">
        <v>119561.17</v>
      </c>
    </row>
    <row r="1492" spans="1:9" x14ac:dyDescent="0.25">
      <c r="A1492" s="5" t="str">
        <f>TrendSheetPrdData[[#This Row],[Population]]&amp;TrendSheetPrdData[[#This Row],[Cost Basis]]&amp;TrendSheetPrdData[[#This Row],[Period]]&amp;TrendSheetPrdData[[#This Row],[Trend]]</f>
        <v>MSSP_ATTRIBUTEDAllowed2016-03-01Outpatient Imaging Cost</v>
      </c>
      <c r="B1492" t="s">
        <v>128</v>
      </c>
      <c r="C1492" t="s">
        <v>128</v>
      </c>
      <c r="D1492" t="s">
        <v>91</v>
      </c>
      <c r="E1492" s="1" t="s">
        <v>92</v>
      </c>
      <c r="F1492" t="s">
        <v>93</v>
      </c>
      <c r="G1492" t="s">
        <v>19</v>
      </c>
      <c r="H1492">
        <v>8</v>
      </c>
      <c r="I1492">
        <v>123944</v>
      </c>
    </row>
    <row r="1493" spans="1:9" x14ac:dyDescent="0.25">
      <c r="A1493" s="5" t="str">
        <f>TrendSheetPrdData[[#This Row],[Population]]&amp;TrendSheetPrdData[[#This Row],[Cost Basis]]&amp;TrendSheetPrdData[[#This Row],[Period]]&amp;TrendSheetPrdData[[#This Row],[Trend]]</f>
        <v>MSSP_ATTRIBUTEDAllowed2016-04-01Outpatient Imaging Cost</v>
      </c>
      <c r="B1493" t="s">
        <v>128</v>
      </c>
      <c r="C1493" t="s">
        <v>128</v>
      </c>
      <c r="D1493" t="s">
        <v>91</v>
      </c>
      <c r="E1493" s="1" t="s">
        <v>94</v>
      </c>
      <c r="F1493" t="s">
        <v>93</v>
      </c>
      <c r="G1493" t="s">
        <v>19</v>
      </c>
      <c r="H1493">
        <v>8</v>
      </c>
      <c r="I1493">
        <v>118295.9</v>
      </c>
    </row>
    <row r="1494" spans="1:9" x14ac:dyDescent="0.25">
      <c r="A1494" s="5" t="str">
        <f>TrendSheetPrdData[[#This Row],[Population]]&amp;TrendSheetPrdData[[#This Row],[Cost Basis]]&amp;TrendSheetPrdData[[#This Row],[Period]]&amp;TrendSheetPrdData[[#This Row],[Trend]]</f>
        <v>MSSP_ATTRIBUTEDAllowed2016-05-01Outpatient Imaging Cost</v>
      </c>
      <c r="B1494" t="s">
        <v>128</v>
      </c>
      <c r="C1494" t="s">
        <v>128</v>
      </c>
      <c r="D1494" t="s">
        <v>91</v>
      </c>
      <c r="E1494" s="1" t="s">
        <v>95</v>
      </c>
      <c r="F1494" t="s">
        <v>93</v>
      </c>
      <c r="G1494" t="s">
        <v>19</v>
      </c>
      <c r="H1494">
        <v>8</v>
      </c>
      <c r="I1494">
        <v>115512.74</v>
      </c>
    </row>
    <row r="1495" spans="1:9" x14ac:dyDescent="0.25">
      <c r="A1495" s="5" t="str">
        <f>TrendSheetPrdData[[#This Row],[Population]]&amp;TrendSheetPrdData[[#This Row],[Cost Basis]]&amp;TrendSheetPrdData[[#This Row],[Period]]&amp;TrendSheetPrdData[[#This Row],[Trend]]</f>
        <v>MSSP_ATTRIBUTEDAllowed2016-06-01Outpatient Imaging Cost</v>
      </c>
      <c r="B1495" t="s">
        <v>128</v>
      </c>
      <c r="C1495" t="s">
        <v>128</v>
      </c>
      <c r="D1495" t="s">
        <v>91</v>
      </c>
      <c r="E1495" s="1" t="s">
        <v>96</v>
      </c>
      <c r="F1495" t="s">
        <v>93</v>
      </c>
      <c r="G1495" t="s">
        <v>19</v>
      </c>
      <c r="H1495">
        <v>8</v>
      </c>
      <c r="I1495">
        <v>120933.72</v>
      </c>
    </row>
    <row r="1496" spans="1:9" x14ac:dyDescent="0.25">
      <c r="A1496" s="5" t="str">
        <f>TrendSheetPrdData[[#This Row],[Population]]&amp;TrendSheetPrdData[[#This Row],[Cost Basis]]&amp;TrendSheetPrdData[[#This Row],[Period]]&amp;TrendSheetPrdData[[#This Row],[Trend]]</f>
        <v>MSSP_ATTRIBUTEDAllowed2016-07-01Outpatient Imaging Cost</v>
      </c>
      <c r="B1496" t="s">
        <v>128</v>
      </c>
      <c r="C1496" t="s">
        <v>128</v>
      </c>
      <c r="D1496" t="s">
        <v>91</v>
      </c>
      <c r="E1496" s="1" t="s">
        <v>97</v>
      </c>
      <c r="F1496" t="s">
        <v>93</v>
      </c>
      <c r="G1496" t="s">
        <v>19</v>
      </c>
      <c r="H1496">
        <v>8</v>
      </c>
      <c r="I1496">
        <v>110068.74</v>
      </c>
    </row>
    <row r="1497" spans="1:9" x14ac:dyDescent="0.25">
      <c r="A1497" s="5" t="str">
        <f>TrendSheetPrdData[[#This Row],[Population]]&amp;TrendSheetPrdData[[#This Row],[Cost Basis]]&amp;TrendSheetPrdData[[#This Row],[Period]]&amp;TrendSheetPrdData[[#This Row],[Trend]]</f>
        <v>MSSP_ATTRIBUTEDAllowed2016-08-01Outpatient Imaging Cost</v>
      </c>
      <c r="B1497" t="s">
        <v>128</v>
      </c>
      <c r="C1497" t="s">
        <v>128</v>
      </c>
      <c r="D1497" t="s">
        <v>91</v>
      </c>
      <c r="E1497" s="1" t="s">
        <v>98</v>
      </c>
      <c r="F1497" t="s">
        <v>93</v>
      </c>
      <c r="G1497" t="s">
        <v>19</v>
      </c>
      <c r="H1497">
        <v>8</v>
      </c>
      <c r="I1497">
        <v>114428.9</v>
      </c>
    </row>
    <row r="1498" spans="1:9" x14ac:dyDescent="0.25">
      <c r="A1498" s="5" t="str">
        <f>TrendSheetPrdData[[#This Row],[Population]]&amp;TrendSheetPrdData[[#This Row],[Cost Basis]]&amp;TrendSheetPrdData[[#This Row],[Period]]&amp;TrendSheetPrdData[[#This Row],[Trend]]</f>
        <v>MSSP_ATTRIBUTEDAllowed2016-09-01Outpatient Imaging Cost</v>
      </c>
      <c r="B1498" t="s">
        <v>128</v>
      </c>
      <c r="C1498" t="s">
        <v>128</v>
      </c>
      <c r="D1498" t="s">
        <v>91</v>
      </c>
      <c r="E1498" s="1" t="s">
        <v>99</v>
      </c>
      <c r="F1498" t="s">
        <v>93</v>
      </c>
      <c r="G1498" t="s">
        <v>19</v>
      </c>
      <c r="H1498">
        <v>8</v>
      </c>
      <c r="I1498">
        <v>116505.19</v>
      </c>
    </row>
    <row r="1499" spans="1:9" x14ac:dyDescent="0.25">
      <c r="A1499" s="5" t="str">
        <f>TrendSheetPrdData[[#This Row],[Population]]&amp;TrendSheetPrdData[[#This Row],[Cost Basis]]&amp;TrendSheetPrdData[[#This Row],[Period]]&amp;TrendSheetPrdData[[#This Row],[Trend]]</f>
        <v>MSSP_ATTRIBUTEDAllowed2016-10-01Outpatient Imaging Cost</v>
      </c>
      <c r="B1499" t="s">
        <v>128</v>
      </c>
      <c r="C1499" t="s">
        <v>128</v>
      </c>
      <c r="D1499" t="s">
        <v>91</v>
      </c>
      <c r="E1499" s="1" t="s">
        <v>100</v>
      </c>
      <c r="F1499" t="s">
        <v>106</v>
      </c>
      <c r="G1499" t="s">
        <v>19</v>
      </c>
      <c r="H1499">
        <v>8</v>
      </c>
      <c r="I1499">
        <v>95374.05</v>
      </c>
    </row>
    <row r="1500" spans="1:9" x14ac:dyDescent="0.25">
      <c r="A1500" s="5" t="str">
        <f>TrendSheetPrdData[[#This Row],[Population]]&amp;TrendSheetPrdData[[#This Row],[Cost Basis]]&amp;TrendSheetPrdData[[#This Row],[Period]]&amp;TrendSheetPrdData[[#This Row],[Trend]]</f>
        <v>MSSP_ATTRIBUTEDAllowed2016-11-01Outpatient Imaging Cost</v>
      </c>
      <c r="B1500" t="s">
        <v>128</v>
      </c>
      <c r="C1500" t="s">
        <v>128</v>
      </c>
      <c r="D1500" t="s">
        <v>91</v>
      </c>
      <c r="E1500" s="1" t="s">
        <v>101</v>
      </c>
      <c r="F1500" t="s">
        <v>106</v>
      </c>
      <c r="G1500" t="s">
        <v>19</v>
      </c>
      <c r="H1500">
        <v>8</v>
      </c>
      <c r="I1500">
        <v>101035.42</v>
      </c>
    </row>
    <row r="1501" spans="1:9" x14ac:dyDescent="0.25">
      <c r="A1501" s="5" t="str">
        <f>TrendSheetPrdData[[#This Row],[Population]]&amp;TrendSheetPrdData[[#This Row],[Cost Basis]]&amp;TrendSheetPrdData[[#This Row],[Period]]&amp;TrendSheetPrdData[[#This Row],[Trend]]</f>
        <v>MSSP_ATTRIBUTEDAllowed2016-12-01Outpatient Imaging Cost</v>
      </c>
      <c r="B1501" t="s">
        <v>128</v>
      </c>
      <c r="C1501" t="s">
        <v>128</v>
      </c>
      <c r="D1501" t="s">
        <v>91</v>
      </c>
      <c r="E1501" s="1" t="s">
        <v>102</v>
      </c>
      <c r="F1501" t="s">
        <v>106</v>
      </c>
      <c r="G1501" t="s">
        <v>19</v>
      </c>
      <c r="H1501">
        <v>8</v>
      </c>
      <c r="I1501">
        <v>33979.919999999998</v>
      </c>
    </row>
    <row r="1502" spans="1:9" x14ac:dyDescent="0.25">
      <c r="A1502" s="5" t="str">
        <f>TrendSheetPrdData[[#This Row],[Population]]&amp;TrendSheetPrdData[[#This Row],[Cost Basis]]&amp;TrendSheetPrdData[[#This Row],[Period]]&amp;TrendSheetPrdData[[#This Row],[Trend]]</f>
        <v>MSSP_ATTRIBUTEDAllowed2015-10-01Hospiatl Outpatient MRIs per 1k</v>
      </c>
      <c r="B1502" t="s">
        <v>128</v>
      </c>
      <c r="C1502" t="s">
        <v>128</v>
      </c>
      <c r="D1502" t="s">
        <v>91</v>
      </c>
      <c r="E1502" s="1" t="s">
        <v>134</v>
      </c>
      <c r="F1502" t="s">
        <v>93</v>
      </c>
      <c r="G1502" t="s">
        <v>20</v>
      </c>
      <c r="H1502">
        <v>9</v>
      </c>
      <c r="I1502">
        <v>113</v>
      </c>
    </row>
    <row r="1503" spans="1:9" x14ac:dyDescent="0.25">
      <c r="A1503" s="5" t="str">
        <f>TrendSheetPrdData[[#This Row],[Population]]&amp;TrendSheetPrdData[[#This Row],[Cost Basis]]&amp;TrendSheetPrdData[[#This Row],[Period]]&amp;TrendSheetPrdData[[#This Row],[Trend]]</f>
        <v>MSSP_ATTRIBUTEDAllowed2015-11-01Hospiatl Outpatient MRIs per 1k</v>
      </c>
      <c r="B1503" t="s">
        <v>128</v>
      </c>
      <c r="C1503" t="s">
        <v>128</v>
      </c>
      <c r="D1503" t="s">
        <v>91</v>
      </c>
      <c r="E1503" s="1" t="s">
        <v>130</v>
      </c>
      <c r="F1503" t="s">
        <v>93</v>
      </c>
      <c r="G1503" t="s">
        <v>20</v>
      </c>
      <c r="H1503">
        <v>9</v>
      </c>
      <c r="I1503">
        <v>109</v>
      </c>
    </row>
    <row r="1504" spans="1:9" x14ac:dyDescent="0.25">
      <c r="A1504" s="5" t="str">
        <f>TrendSheetPrdData[[#This Row],[Population]]&amp;TrendSheetPrdData[[#This Row],[Cost Basis]]&amp;TrendSheetPrdData[[#This Row],[Period]]&amp;TrendSheetPrdData[[#This Row],[Trend]]</f>
        <v>MSSP_ATTRIBUTEDAllowed2015-12-01Hospiatl Outpatient MRIs per 1k</v>
      </c>
      <c r="B1504" t="s">
        <v>128</v>
      </c>
      <c r="C1504" t="s">
        <v>128</v>
      </c>
      <c r="D1504" t="s">
        <v>91</v>
      </c>
      <c r="E1504" s="1" t="s">
        <v>131</v>
      </c>
      <c r="F1504" t="s">
        <v>93</v>
      </c>
      <c r="G1504" t="s">
        <v>20</v>
      </c>
      <c r="H1504">
        <v>9</v>
      </c>
      <c r="I1504">
        <v>119</v>
      </c>
    </row>
    <row r="1505" spans="1:9" x14ac:dyDescent="0.25">
      <c r="A1505" s="5" t="str">
        <f>TrendSheetPrdData[[#This Row],[Population]]&amp;TrendSheetPrdData[[#This Row],[Cost Basis]]&amp;TrendSheetPrdData[[#This Row],[Period]]&amp;TrendSheetPrdData[[#This Row],[Trend]]</f>
        <v>MSSP_ATTRIBUTEDAllowed2016-01-01Hospiatl Outpatient MRIs per 1k</v>
      </c>
      <c r="B1505" t="s">
        <v>128</v>
      </c>
      <c r="C1505" t="s">
        <v>128</v>
      </c>
      <c r="D1505" t="s">
        <v>91</v>
      </c>
      <c r="E1505" s="1" t="s">
        <v>132</v>
      </c>
      <c r="F1505" t="s">
        <v>93</v>
      </c>
      <c r="G1505" t="s">
        <v>20</v>
      </c>
      <c r="H1505">
        <v>9</v>
      </c>
      <c r="I1505">
        <v>116</v>
      </c>
    </row>
    <row r="1506" spans="1:9" x14ac:dyDescent="0.25">
      <c r="A1506" s="5" t="str">
        <f>TrendSheetPrdData[[#This Row],[Population]]&amp;TrendSheetPrdData[[#This Row],[Cost Basis]]&amp;TrendSheetPrdData[[#This Row],[Period]]&amp;TrendSheetPrdData[[#This Row],[Trend]]</f>
        <v>MSSP_ATTRIBUTEDAllowed2016-02-01Hospiatl Outpatient MRIs per 1k</v>
      </c>
      <c r="B1506" t="s">
        <v>128</v>
      </c>
      <c r="C1506" t="s">
        <v>128</v>
      </c>
      <c r="D1506" t="s">
        <v>91</v>
      </c>
      <c r="E1506" s="1" t="s">
        <v>133</v>
      </c>
      <c r="F1506" t="s">
        <v>93</v>
      </c>
      <c r="G1506" t="s">
        <v>20</v>
      </c>
      <c r="H1506">
        <v>9</v>
      </c>
      <c r="I1506">
        <v>140</v>
      </c>
    </row>
    <row r="1507" spans="1:9" x14ac:dyDescent="0.25">
      <c r="A1507" s="5" t="str">
        <f>TrendSheetPrdData[[#This Row],[Population]]&amp;TrendSheetPrdData[[#This Row],[Cost Basis]]&amp;TrendSheetPrdData[[#This Row],[Period]]&amp;TrendSheetPrdData[[#This Row],[Trend]]</f>
        <v>MSSP_ATTRIBUTEDAllowed2016-03-01Hospiatl Outpatient MRIs per 1k</v>
      </c>
      <c r="B1507" t="s">
        <v>128</v>
      </c>
      <c r="C1507" t="s">
        <v>128</v>
      </c>
      <c r="D1507" t="s">
        <v>91</v>
      </c>
      <c r="E1507" s="1" t="s">
        <v>92</v>
      </c>
      <c r="F1507" t="s">
        <v>93</v>
      </c>
      <c r="G1507" t="s">
        <v>20</v>
      </c>
      <c r="H1507">
        <v>9</v>
      </c>
      <c r="I1507">
        <v>126</v>
      </c>
    </row>
    <row r="1508" spans="1:9" x14ac:dyDescent="0.25">
      <c r="A1508" s="5" t="str">
        <f>TrendSheetPrdData[[#This Row],[Population]]&amp;TrendSheetPrdData[[#This Row],[Cost Basis]]&amp;TrendSheetPrdData[[#This Row],[Period]]&amp;TrendSheetPrdData[[#This Row],[Trend]]</f>
        <v>MSSP_ATTRIBUTEDAllowed2016-04-01Hospiatl Outpatient MRIs per 1k</v>
      </c>
      <c r="B1508" t="s">
        <v>128</v>
      </c>
      <c r="C1508" t="s">
        <v>128</v>
      </c>
      <c r="D1508" t="s">
        <v>91</v>
      </c>
      <c r="E1508" s="1" t="s">
        <v>94</v>
      </c>
      <c r="F1508" t="s">
        <v>93</v>
      </c>
      <c r="G1508" t="s">
        <v>20</v>
      </c>
      <c r="H1508">
        <v>9</v>
      </c>
      <c r="I1508">
        <v>130</v>
      </c>
    </row>
    <row r="1509" spans="1:9" x14ac:dyDescent="0.25">
      <c r="A1509" s="5" t="str">
        <f>TrendSheetPrdData[[#This Row],[Population]]&amp;TrendSheetPrdData[[#This Row],[Cost Basis]]&amp;TrendSheetPrdData[[#This Row],[Period]]&amp;TrendSheetPrdData[[#This Row],[Trend]]</f>
        <v>MSSP_ATTRIBUTEDAllowed2016-05-01Hospiatl Outpatient MRIs per 1k</v>
      </c>
      <c r="B1509" t="s">
        <v>128</v>
      </c>
      <c r="C1509" t="s">
        <v>128</v>
      </c>
      <c r="D1509" t="s">
        <v>91</v>
      </c>
      <c r="E1509" s="1" t="s">
        <v>95</v>
      </c>
      <c r="F1509" t="s">
        <v>93</v>
      </c>
      <c r="G1509" t="s">
        <v>20</v>
      </c>
      <c r="H1509">
        <v>9</v>
      </c>
      <c r="I1509">
        <v>118</v>
      </c>
    </row>
    <row r="1510" spans="1:9" x14ac:dyDescent="0.25">
      <c r="A1510" s="5" t="str">
        <f>TrendSheetPrdData[[#This Row],[Population]]&amp;TrendSheetPrdData[[#This Row],[Cost Basis]]&amp;TrendSheetPrdData[[#This Row],[Period]]&amp;TrendSheetPrdData[[#This Row],[Trend]]</f>
        <v>MSSP_ATTRIBUTEDAllowed2016-06-01Hospiatl Outpatient MRIs per 1k</v>
      </c>
      <c r="B1510" t="s">
        <v>128</v>
      </c>
      <c r="C1510" t="s">
        <v>128</v>
      </c>
      <c r="D1510" t="s">
        <v>91</v>
      </c>
      <c r="E1510" s="1" t="s">
        <v>96</v>
      </c>
      <c r="F1510" t="s">
        <v>93</v>
      </c>
      <c r="G1510" t="s">
        <v>20</v>
      </c>
      <c r="H1510">
        <v>9</v>
      </c>
      <c r="I1510">
        <v>125</v>
      </c>
    </row>
    <row r="1511" spans="1:9" x14ac:dyDescent="0.25">
      <c r="A1511" s="5" t="str">
        <f>TrendSheetPrdData[[#This Row],[Population]]&amp;TrendSheetPrdData[[#This Row],[Cost Basis]]&amp;TrendSheetPrdData[[#This Row],[Period]]&amp;TrendSheetPrdData[[#This Row],[Trend]]</f>
        <v>MSSP_ATTRIBUTEDAllowed2016-07-01Hospiatl Outpatient MRIs per 1k</v>
      </c>
      <c r="B1511" t="s">
        <v>128</v>
      </c>
      <c r="C1511" t="s">
        <v>128</v>
      </c>
      <c r="D1511" t="s">
        <v>91</v>
      </c>
      <c r="E1511" s="1" t="s">
        <v>97</v>
      </c>
      <c r="F1511" t="s">
        <v>93</v>
      </c>
      <c r="G1511" t="s">
        <v>20</v>
      </c>
      <c r="H1511">
        <v>9</v>
      </c>
      <c r="I1511">
        <v>117</v>
      </c>
    </row>
    <row r="1512" spans="1:9" x14ac:dyDescent="0.25">
      <c r="A1512" s="5" t="str">
        <f>TrendSheetPrdData[[#This Row],[Population]]&amp;TrendSheetPrdData[[#This Row],[Cost Basis]]&amp;TrendSheetPrdData[[#This Row],[Period]]&amp;TrendSheetPrdData[[#This Row],[Trend]]</f>
        <v>MSSP_ATTRIBUTEDAllowed2016-08-01Hospiatl Outpatient MRIs per 1k</v>
      </c>
      <c r="B1512" t="s">
        <v>128</v>
      </c>
      <c r="C1512" t="s">
        <v>128</v>
      </c>
      <c r="D1512" t="s">
        <v>91</v>
      </c>
      <c r="E1512" s="1" t="s">
        <v>98</v>
      </c>
      <c r="F1512" t="s">
        <v>93</v>
      </c>
      <c r="G1512" t="s">
        <v>20</v>
      </c>
      <c r="H1512">
        <v>9</v>
      </c>
      <c r="I1512">
        <v>136</v>
      </c>
    </row>
    <row r="1513" spans="1:9" x14ac:dyDescent="0.25">
      <c r="A1513" s="5" t="str">
        <f>TrendSheetPrdData[[#This Row],[Population]]&amp;TrendSheetPrdData[[#This Row],[Cost Basis]]&amp;TrendSheetPrdData[[#This Row],[Period]]&amp;TrendSheetPrdData[[#This Row],[Trend]]</f>
        <v>MSSP_ATTRIBUTEDAllowed2016-09-01Hospiatl Outpatient MRIs per 1k</v>
      </c>
      <c r="B1513" t="s">
        <v>128</v>
      </c>
      <c r="C1513" t="s">
        <v>128</v>
      </c>
      <c r="D1513" t="s">
        <v>91</v>
      </c>
      <c r="E1513" s="1" t="s">
        <v>99</v>
      </c>
      <c r="F1513" t="s">
        <v>93</v>
      </c>
      <c r="G1513" t="s">
        <v>20</v>
      </c>
      <c r="H1513">
        <v>9</v>
      </c>
      <c r="I1513">
        <v>138</v>
      </c>
    </row>
    <row r="1514" spans="1:9" x14ac:dyDescent="0.25">
      <c r="A1514" s="5" t="str">
        <f>TrendSheetPrdData[[#This Row],[Population]]&amp;TrendSheetPrdData[[#This Row],[Cost Basis]]&amp;TrendSheetPrdData[[#This Row],[Period]]&amp;TrendSheetPrdData[[#This Row],[Trend]]</f>
        <v>MSSP_ATTRIBUTEDAllowed2016-10-01Hospiatl Outpatient MRIs per 1k</v>
      </c>
      <c r="B1514" t="s">
        <v>128</v>
      </c>
      <c r="C1514" t="s">
        <v>128</v>
      </c>
      <c r="D1514" t="s">
        <v>91</v>
      </c>
      <c r="E1514" s="1" t="s">
        <v>100</v>
      </c>
      <c r="F1514" t="s">
        <v>106</v>
      </c>
      <c r="G1514" t="s">
        <v>20</v>
      </c>
      <c r="H1514">
        <v>9</v>
      </c>
      <c r="I1514">
        <v>120</v>
      </c>
    </row>
    <row r="1515" spans="1:9" x14ac:dyDescent="0.25">
      <c r="A1515" s="5" t="str">
        <f>TrendSheetPrdData[[#This Row],[Population]]&amp;TrendSheetPrdData[[#This Row],[Cost Basis]]&amp;TrendSheetPrdData[[#This Row],[Period]]&amp;TrendSheetPrdData[[#This Row],[Trend]]</f>
        <v>MSSP_ATTRIBUTEDAllowed2016-11-01Hospiatl Outpatient MRIs per 1k</v>
      </c>
      <c r="B1515" t="s">
        <v>128</v>
      </c>
      <c r="C1515" t="s">
        <v>128</v>
      </c>
      <c r="D1515" t="s">
        <v>91</v>
      </c>
      <c r="E1515" s="1" t="s">
        <v>101</v>
      </c>
      <c r="F1515" t="s">
        <v>106</v>
      </c>
      <c r="G1515" t="s">
        <v>20</v>
      </c>
      <c r="H1515">
        <v>9</v>
      </c>
      <c r="I1515">
        <v>111</v>
      </c>
    </row>
    <row r="1516" spans="1:9" x14ac:dyDescent="0.25">
      <c r="A1516" s="5" t="str">
        <f>TrendSheetPrdData[[#This Row],[Population]]&amp;TrendSheetPrdData[[#This Row],[Cost Basis]]&amp;TrendSheetPrdData[[#This Row],[Period]]&amp;TrendSheetPrdData[[#This Row],[Trend]]</f>
        <v>MSSP_ATTRIBUTEDAllowed2016-12-01Hospiatl Outpatient MRIs per 1k</v>
      </c>
      <c r="B1516" t="s">
        <v>128</v>
      </c>
      <c r="C1516" t="s">
        <v>128</v>
      </c>
      <c r="D1516" t="s">
        <v>91</v>
      </c>
      <c r="E1516" s="1" t="s">
        <v>102</v>
      </c>
      <c r="F1516" t="s">
        <v>106</v>
      </c>
      <c r="G1516" t="s">
        <v>20</v>
      </c>
      <c r="H1516">
        <v>9</v>
      </c>
      <c r="I1516">
        <v>46</v>
      </c>
    </row>
    <row r="1517" spans="1:9" x14ac:dyDescent="0.25">
      <c r="A1517" s="5" t="str">
        <f>TrendSheetPrdData[[#This Row],[Population]]&amp;TrendSheetPrdData[[#This Row],[Cost Basis]]&amp;TrendSheetPrdData[[#This Row],[Period]]&amp;TrendSheetPrdData[[#This Row],[Trend]]</f>
        <v>MSSP_ATTRIBUTEDAllowed2015-10-01Hospiatl Outpatient CTs per 1k</v>
      </c>
      <c r="B1517" t="s">
        <v>128</v>
      </c>
      <c r="C1517" t="s">
        <v>128</v>
      </c>
      <c r="D1517" t="s">
        <v>91</v>
      </c>
      <c r="E1517" s="1" t="s">
        <v>134</v>
      </c>
      <c r="F1517" t="s">
        <v>93</v>
      </c>
      <c r="G1517" t="s">
        <v>21</v>
      </c>
      <c r="H1517">
        <v>10</v>
      </c>
      <c r="I1517">
        <v>197</v>
      </c>
    </row>
    <row r="1518" spans="1:9" x14ac:dyDescent="0.25">
      <c r="A1518" s="5" t="str">
        <f>TrendSheetPrdData[[#This Row],[Population]]&amp;TrendSheetPrdData[[#This Row],[Cost Basis]]&amp;TrendSheetPrdData[[#This Row],[Period]]&amp;TrendSheetPrdData[[#This Row],[Trend]]</f>
        <v>MSSP_ATTRIBUTEDAllowed2015-11-01Hospiatl Outpatient CTs per 1k</v>
      </c>
      <c r="B1518" t="s">
        <v>128</v>
      </c>
      <c r="C1518" t="s">
        <v>128</v>
      </c>
      <c r="D1518" t="s">
        <v>91</v>
      </c>
      <c r="E1518" s="1" t="s">
        <v>130</v>
      </c>
      <c r="F1518" t="s">
        <v>93</v>
      </c>
      <c r="G1518" t="s">
        <v>21</v>
      </c>
      <c r="H1518">
        <v>10</v>
      </c>
      <c r="I1518">
        <v>191</v>
      </c>
    </row>
    <row r="1519" spans="1:9" x14ac:dyDescent="0.25">
      <c r="A1519" s="5" t="str">
        <f>TrendSheetPrdData[[#This Row],[Population]]&amp;TrendSheetPrdData[[#This Row],[Cost Basis]]&amp;TrendSheetPrdData[[#This Row],[Period]]&amp;TrendSheetPrdData[[#This Row],[Trend]]</f>
        <v>MSSP_ATTRIBUTEDAllowed2015-12-01Hospiatl Outpatient CTs per 1k</v>
      </c>
      <c r="B1519" t="s">
        <v>128</v>
      </c>
      <c r="C1519" t="s">
        <v>128</v>
      </c>
      <c r="D1519" t="s">
        <v>91</v>
      </c>
      <c r="E1519" s="1" t="s">
        <v>131</v>
      </c>
      <c r="F1519" t="s">
        <v>93</v>
      </c>
      <c r="G1519" t="s">
        <v>21</v>
      </c>
      <c r="H1519">
        <v>10</v>
      </c>
      <c r="I1519">
        <v>182</v>
      </c>
    </row>
    <row r="1520" spans="1:9" x14ac:dyDescent="0.25">
      <c r="A1520" s="5" t="str">
        <f>TrendSheetPrdData[[#This Row],[Population]]&amp;TrendSheetPrdData[[#This Row],[Cost Basis]]&amp;TrendSheetPrdData[[#This Row],[Period]]&amp;TrendSheetPrdData[[#This Row],[Trend]]</f>
        <v>MSSP_ATTRIBUTEDAllowed2016-01-01Hospiatl Outpatient CTs per 1k</v>
      </c>
      <c r="B1520" t="s">
        <v>128</v>
      </c>
      <c r="C1520" t="s">
        <v>128</v>
      </c>
      <c r="D1520" t="s">
        <v>91</v>
      </c>
      <c r="E1520" s="1" t="s">
        <v>132</v>
      </c>
      <c r="F1520" t="s">
        <v>93</v>
      </c>
      <c r="G1520" t="s">
        <v>21</v>
      </c>
      <c r="H1520">
        <v>10</v>
      </c>
      <c r="I1520">
        <v>174</v>
      </c>
    </row>
    <row r="1521" spans="1:9" x14ac:dyDescent="0.25">
      <c r="A1521" s="5" t="str">
        <f>TrendSheetPrdData[[#This Row],[Population]]&amp;TrendSheetPrdData[[#This Row],[Cost Basis]]&amp;TrendSheetPrdData[[#This Row],[Period]]&amp;TrendSheetPrdData[[#This Row],[Trend]]</f>
        <v>MSSP_ATTRIBUTEDAllowed2016-02-01Hospiatl Outpatient CTs per 1k</v>
      </c>
      <c r="B1521" t="s">
        <v>128</v>
      </c>
      <c r="C1521" t="s">
        <v>128</v>
      </c>
      <c r="D1521" t="s">
        <v>91</v>
      </c>
      <c r="E1521" s="1" t="s">
        <v>133</v>
      </c>
      <c r="F1521" t="s">
        <v>93</v>
      </c>
      <c r="G1521" t="s">
        <v>21</v>
      </c>
      <c r="H1521">
        <v>10</v>
      </c>
      <c r="I1521">
        <v>196</v>
      </c>
    </row>
    <row r="1522" spans="1:9" x14ac:dyDescent="0.25">
      <c r="A1522" s="5" t="str">
        <f>TrendSheetPrdData[[#This Row],[Population]]&amp;TrendSheetPrdData[[#This Row],[Cost Basis]]&amp;TrendSheetPrdData[[#This Row],[Period]]&amp;TrendSheetPrdData[[#This Row],[Trend]]</f>
        <v>MSSP_ATTRIBUTEDAllowed2016-03-01Hospiatl Outpatient CTs per 1k</v>
      </c>
      <c r="B1522" t="s">
        <v>128</v>
      </c>
      <c r="C1522" t="s">
        <v>128</v>
      </c>
      <c r="D1522" t="s">
        <v>91</v>
      </c>
      <c r="E1522" s="1" t="s">
        <v>92</v>
      </c>
      <c r="F1522" t="s">
        <v>93</v>
      </c>
      <c r="G1522" t="s">
        <v>21</v>
      </c>
      <c r="H1522">
        <v>10</v>
      </c>
      <c r="I1522">
        <v>226</v>
      </c>
    </row>
    <row r="1523" spans="1:9" x14ac:dyDescent="0.25">
      <c r="A1523" s="5" t="str">
        <f>TrendSheetPrdData[[#This Row],[Population]]&amp;TrendSheetPrdData[[#This Row],[Cost Basis]]&amp;TrendSheetPrdData[[#This Row],[Period]]&amp;TrendSheetPrdData[[#This Row],[Trend]]</f>
        <v>MSSP_ATTRIBUTEDAllowed2016-04-01Hospiatl Outpatient CTs per 1k</v>
      </c>
      <c r="B1523" t="s">
        <v>128</v>
      </c>
      <c r="C1523" t="s">
        <v>128</v>
      </c>
      <c r="D1523" t="s">
        <v>91</v>
      </c>
      <c r="E1523" s="1" t="s">
        <v>94</v>
      </c>
      <c r="F1523" t="s">
        <v>93</v>
      </c>
      <c r="G1523" t="s">
        <v>21</v>
      </c>
      <c r="H1523">
        <v>10</v>
      </c>
      <c r="I1523">
        <v>208</v>
      </c>
    </row>
    <row r="1524" spans="1:9" x14ac:dyDescent="0.25">
      <c r="A1524" s="5" t="str">
        <f>TrendSheetPrdData[[#This Row],[Population]]&amp;TrendSheetPrdData[[#This Row],[Cost Basis]]&amp;TrendSheetPrdData[[#This Row],[Period]]&amp;TrendSheetPrdData[[#This Row],[Trend]]</f>
        <v>MSSP_ATTRIBUTEDAllowed2016-05-01Hospiatl Outpatient CTs per 1k</v>
      </c>
      <c r="B1524" t="s">
        <v>128</v>
      </c>
      <c r="C1524" t="s">
        <v>128</v>
      </c>
      <c r="D1524" t="s">
        <v>91</v>
      </c>
      <c r="E1524" s="1" t="s">
        <v>95</v>
      </c>
      <c r="F1524" t="s">
        <v>93</v>
      </c>
      <c r="G1524" t="s">
        <v>21</v>
      </c>
      <c r="H1524">
        <v>10</v>
      </c>
      <c r="I1524">
        <v>192</v>
      </c>
    </row>
    <row r="1525" spans="1:9" x14ac:dyDescent="0.25">
      <c r="A1525" s="5" t="str">
        <f>TrendSheetPrdData[[#This Row],[Population]]&amp;TrendSheetPrdData[[#This Row],[Cost Basis]]&amp;TrendSheetPrdData[[#This Row],[Period]]&amp;TrendSheetPrdData[[#This Row],[Trend]]</f>
        <v>MSSP_ATTRIBUTEDAllowed2016-06-01Hospiatl Outpatient CTs per 1k</v>
      </c>
      <c r="B1525" t="s">
        <v>128</v>
      </c>
      <c r="C1525" t="s">
        <v>128</v>
      </c>
      <c r="D1525" t="s">
        <v>91</v>
      </c>
      <c r="E1525" s="1" t="s">
        <v>96</v>
      </c>
      <c r="F1525" t="s">
        <v>93</v>
      </c>
      <c r="G1525" t="s">
        <v>21</v>
      </c>
      <c r="H1525">
        <v>10</v>
      </c>
      <c r="I1525">
        <v>202</v>
      </c>
    </row>
    <row r="1526" spans="1:9" x14ac:dyDescent="0.25">
      <c r="A1526" s="5" t="str">
        <f>TrendSheetPrdData[[#This Row],[Population]]&amp;TrendSheetPrdData[[#This Row],[Cost Basis]]&amp;TrendSheetPrdData[[#This Row],[Period]]&amp;TrendSheetPrdData[[#This Row],[Trend]]</f>
        <v>MSSP_ATTRIBUTEDAllowed2016-07-01Hospiatl Outpatient CTs per 1k</v>
      </c>
      <c r="B1526" t="s">
        <v>128</v>
      </c>
      <c r="C1526" t="s">
        <v>128</v>
      </c>
      <c r="D1526" t="s">
        <v>91</v>
      </c>
      <c r="E1526" s="1" t="s">
        <v>97</v>
      </c>
      <c r="F1526" t="s">
        <v>93</v>
      </c>
      <c r="G1526" t="s">
        <v>21</v>
      </c>
      <c r="H1526">
        <v>10</v>
      </c>
      <c r="I1526">
        <v>200</v>
      </c>
    </row>
    <row r="1527" spans="1:9" x14ac:dyDescent="0.25">
      <c r="A1527" s="5" t="str">
        <f>TrendSheetPrdData[[#This Row],[Population]]&amp;TrendSheetPrdData[[#This Row],[Cost Basis]]&amp;TrendSheetPrdData[[#This Row],[Period]]&amp;TrendSheetPrdData[[#This Row],[Trend]]</f>
        <v>MSSP_ATTRIBUTEDAllowed2016-08-01Hospiatl Outpatient CTs per 1k</v>
      </c>
      <c r="B1527" t="s">
        <v>128</v>
      </c>
      <c r="C1527" t="s">
        <v>128</v>
      </c>
      <c r="D1527" t="s">
        <v>91</v>
      </c>
      <c r="E1527" s="1" t="s">
        <v>98</v>
      </c>
      <c r="F1527" t="s">
        <v>93</v>
      </c>
      <c r="G1527" t="s">
        <v>21</v>
      </c>
      <c r="H1527">
        <v>10</v>
      </c>
      <c r="I1527">
        <v>203</v>
      </c>
    </row>
    <row r="1528" spans="1:9" x14ac:dyDescent="0.25">
      <c r="A1528" s="5" t="str">
        <f>TrendSheetPrdData[[#This Row],[Population]]&amp;TrendSheetPrdData[[#This Row],[Cost Basis]]&amp;TrendSheetPrdData[[#This Row],[Period]]&amp;TrendSheetPrdData[[#This Row],[Trend]]</f>
        <v>MSSP_ATTRIBUTEDAllowed2016-09-01Hospiatl Outpatient CTs per 1k</v>
      </c>
      <c r="B1528" t="s">
        <v>128</v>
      </c>
      <c r="C1528" t="s">
        <v>128</v>
      </c>
      <c r="D1528" t="s">
        <v>91</v>
      </c>
      <c r="E1528" s="1" t="s">
        <v>99</v>
      </c>
      <c r="F1528" t="s">
        <v>93</v>
      </c>
      <c r="G1528" t="s">
        <v>21</v>
      </c>
      <c r="H1528">
        <v>10</v>
      </c>
      <c r="I1528">
        <v>204</v>
      </c>
    </row>
    <row r="1529" spans="1:9" x14ac:dyDescent="0.25">
      <c r="A1529" s="5" t="str">
        <f>TrendSheetPrdData[[#This Row],[Population]]&amp;TrendSheetPrdData[[#This Row],[Cost Basis]]&amp;TrendSheetPrdData[[#This Row],[Period]]&amp;TrendSheetPrdData[[#This Row],[Trend]]</f>
        <v>MSSP_ATTRIBUTEDAllowed2016-10-01Hospiatl Outpatient CTs per 1k</v>
      </c>
      <c r="B1529" t="s">
        <v>128</v>
      </c>
      <c r="C1529" t="s">
        <v>128</v>
      </c>
      <c r="D1529" t="s">
        <v>91</v>
      </c>
      <c r="E1529" s="1" t="s">
        <v>100</v>
      </c>
      <c r="F1529" t="s">
        <v>106</v>
      </c>
      <c r="G1529" t="s">
        <v>21</v>
      </c>
      <c r="H1529">
        <v>10</v>
      </c>
      <c r="I1529">
        <v>183</v>
      </c>
    </row>
    <row r="1530" spans="1:9" x14ac:dyDescent="0.25">
      <c r="A1530" s="5" t="str">
        <f>TrendSheetPrdData[[#This Row],[Population]]&amp;TrendSheetPrdData[[#This Row],[Cost Basis]]&amp;TrendSheetPrdData[[#This Row],[Period]]&amp;TrendSheetPrdData[[#This Row],[Trend]]</f>
        <v>MSSP_ATTRIBUTEDAllowed2016-11-01Hospiatl Outpatient CTs per 1k</v>
      </c>
      <c r="B1530" t="s">
        <v>128</v>
      </c>
      <c r="C1530" t="s">
        <v>128</v>
      </c>
      <c r="D1530" t="s">
        <v>91</v>
      </c>
      <c r="E1530" s="1" t="s">
        <v>101</v>
      </c>
      <c r="F1530" t="s">
        <v>106</v>
      </c>
      <c r="G1530" t="s">
        <v>21</v>
      </c>
      <c r="H1530">
        <v>10</v>
      </c>
      <c r="I1530">
        <v>205</v>
      </c>
    </row>
    <row r="1531" spans="1:9" x14ac:dyDescent="0.25">
      <c r="A1531" s="5" t="str">
        <f>TrendSheetPrdData[[#This Row],[Population]]&amp;TrendSheetPrdData[[#This Row],[Cost Basis]]&amp;TrendSheetPrdData[[#This Row],[Period]]&amp;TrendSheetPrdData[[#This Row],[Trend]]</f>
        <v>MSSP_ATTRIBUTEDAllowed2016-12-01Hospiatl Outpatient CTs per 1k</v>
      </c>
      <c r="B1531" t="s">
        <v>128</v>
      </c>
      <c r="C1531" t="s">
        <v>128</v>
      </c>
      <c r="D1531" t="s">
        <v>91</v>
      </c>
      <c r="E1531" s="1" t="s">
        <v>102</v>
      </c>
      <c r="F1531" t="s">
        <v>106</v>
      </c>
      <c r="G1531" t="s">
        <v>21</v>
      </c>
      <c r="H1531">
        <v>10</v>
      </c>
      <c r="I1531">
        <v>57</v>
      </c>
    </row>
    <row r="1532" spans="1:9" x14ac:dyDescent="0.25">
      <c r="A1532" s="5" t="str">
        <f>TrendSheetPrdData[[#This Row],[Population]]&amp;TrendSheetPrdData[[#This Row],[Cost Basis]]&amp;TrendSheetPrdData[[#This Row],[Period]]&amp;TrendSheetPrdData[[#This Row],[Trend]]</f>
        <v>MSSP_ATTRIBUTEDAllowed2015-10-01Office Based MRIs per 1k</v>
      </c>
      <c r="B1532" t="s">
        <v>128</v>
      </c>
      <c r="C1532" t="s">
        <v>128</v>
      </c>
      <c r="D1532" t="s">
        <v>91</v>
      </c>
      <c r="E1532" s="1" t="s">
        <v>134</v>
      </c>
      <c r="F1532" t="s">
        <v>93</v>
      </c>
      <c r="G1532" t="s">
        <v>22</v>
      </c>
      <c r="H1532">
        <v>11</v>
      </c>
      <c r="I1532">
        <v>21</v>
      </c>
    </row>
    <row r="1533" spans="1:9" x14ac:dyDescent="0.25">
      <c r="A1533" s="5" t="str">
        <f>TrendSheetPrdData[[#This Row],[Population]]&amp;TrendSheetPrdData[[#This Row],[Cost Basis]]&amp;TrendSheetPrdData[[#This Row],[Period]]&amp;TrendSheetPrdData[[#This Row],[Trend]]</f>
        <v>MSSP_ATTRIBUTEDAllowed2015-11-01Office Based MRIs per 1k</v>
      </c>
      <c r="B1533" t="s">
        <v>128</v>
      </c>
      <c r="C1533" t="s">
        <v>128</v>
      </c>
      <c r="D1533" t="s">
        <v>91</v>
      </c>
      <c r="E1533" s="1" t="s">
        <v>130</v>
      </c>
      <c r="F1533" t="s">
        <v>93</v>
      </c>
      <c r="G1533" t="s">
        <v>22</v>
      </c>
      <c r="H1533">
        <v>11</v>
      </c>
      <c r="I1533">
        <v>14</v>
      </c>
    </row>
    <row r="1534" spans="1:9" x14ac:dyDescent="0.25">
      <c r="A1534" s="5" t="str">
        <f>TrendSheetPrdData[[#This Row],[Population]]&amp;TrendSheetPrdData[[#This Row],[Cost Basis]]&amp;TrendSheetPrdData[[#This Row],[Period]]&amp;TrendSheetPrdData[[#This Row],[Trend]]</f>
        <v>MSSP_ATTRIBUTEDAllowed2015-12-01Office Based MRIs per 1k</v>
      </c>
      <c r="B1534" t="s">
        <v>128</v>
      </c>
      <c r="C1534" t="s">
        <v>128</v>
      </c>
      <c r="D1534" t="s">
        <v>91</v>
      </c>
      <c r="E1534" s="1" t="s">
        <v>131</v>
      </c>
      <c r="F1534" t="s">
        <v>93</v>
      </c>
      <c r="G1534" t="s">
        <v>22</v>
      </c>
      <c r="H1534">
        <v>11</v>
      </c>
      <c r="I1534">
        <v>22</v>
      </c>
    </row>
    <row r="1535" spans="1:9" x14ac:dyDescent="0.25">
      <c r="A1535" s="5" t="str">
        <f>TrendSheetPrdData[[#This Row],[Population]]&amp;TrendSheetPrdData[[#This Row],[Cost Basis]]&amp;TrendSheetPrdData[[#This Row],[Period]]&amp;TrendSheetPrdData[[#This Row],[Trend]]</f>
        <v>MSSP_ATTRIBUTEDAllowed2016-01-01Office Based MRIs per 1k</v>
      </c>
      <c r="B1535" t="s">
        <v>128</v>
      </c>
      <c r="C1535" t="s">
        <v>128</v>
      </c>
      <c r="D1535" t="s">
        <v>91</v>
      </c>
      <c r="E1535" s="1" t="s">
        <v>132</v>
      </c>
      <c r="F1535" t="s">
        <v>93</v>
      </c>
      <c r="G1535" t="s">
        <v>22</v>
      </c>
      <c r="H1535">
        <v>11</v>
      </c>
      <c r="I1535">
        <v>21</v>
      </c>
    </row>
    <row r="1536" spans="1:9" x14ac:dyDescent="0.25">
      <c r="A1536" s="5" t="str">
        <f>TrendSheetPrdData[[#This Row],[Population]]&amp;TrendSheetPrdData[[#This Row],[Cost Basis]]&amp;TrendSheetPrdData[[#This Row],[Period]]&amp;TrendSheetPrdData[[#This Row],[Trend]]</f>
        <v>MSSP_ATTRIBUTEDAllowed2016-02-01Office Based MRIs per 1k</v>
      </c>
      <c r="B1536" t="s">
        <v>128</v>
      </c>
      <c r="C1536" t="s">
        <v>128</v>
      </c>
      <c r="D1536" t="s">
        <v>91</v>
      </c>
      <c r="E1536" s="1" t="s">
        <v>133</v>
      </c>
      <c r="F1536" t="s">
        <v>93</v>
      </c>
      <c r="G1536" t="s">
        <v>22</v>
      </c>
      <c r="H1536">
        <v>11</v>
      </c>
      <c r="I1536">
        <v>16</v>
      </c>
    </row>
    <row r="1537" spans="1:9" x14ac:dyDescent="0.25">
      <c r="A1537" s="5" t="str">
        <f>TrendSheetPrdData[[#This Row],[Population]]&amp;TrendSheetPrdData[[#This Row],[Cost Basis]]&amp;TrendSheetPrdData[[#This Row],[Period]]&amp;TrendSheetPrdData[[#This Row],[Trend]]</f>
        <v>MSSP_ATTRIBUTEDAllowed2016-03-01Office Based MRIs per 1k</v>
      </c>
      <c r="B1537" t="s">
        <v>128</v>
      </c>
      <c r="C1537" t="s">
        <v>128</v>
      </c>
      <c r="D1537" t="s">
        <v>91</v>
      </c>
      <c r="E1537" s="1" t="s">
        <v>92</v>
      </c>
      <c r="F1537" t="s">
        <v>93</v>
      </c>
      <c r="G1537" t="s">
        <v>22</v>
      </c>
      <c r="H1537">
        <v>11</v>
      </c>
      <c r="I1537">
        <v>19</v>
      </c>
    </row>
    <row r="1538" spans="1:9" x14ac:dyDescent="0.25">
      <c r="A1538" s="5" t="str">
        <f>TrendSheetPrdData[[#This Row],[Population]]&amp;TrendSheetPrdData[[#This Row],[Cost Basis]]&amp;TrendSheetPrdData[[#This Row],[Period]]&amp;TrendSheetPrdData[[#This Row],[Trend]]</f>
        <v>MSSP_ATTRIBUTEDAllowed2016-04-01Office Based MRIs per 1k</v>
      </c>
      <c r="B1538" t="s">
        <v>128</v>
      </c>
      <c r="C1538" t="s">
        <v>128</v>
      </c>
      <c r="D1538" t="s">
        <v>91</v>
      </c>
      <c r="E1538" s="1" t="s">
        <v>94</v>
      </c>
      <c r="F1538" t="s">
        <v>93</v>
      </c>
      <c r="G1538" t="s">
        <v>22</v>
      </c>
      <c r="H1538">
        <v>11</v>
      </c>
      <c r="I1538">
        <v>19</v>
      </c>
    </row>
    <row r="1539" spans="1:9" x14ac:dyDescent="0.25">
      <c r="A1539" s="5" t="str">
        <f>TrendSheetPrdData[[#This Row],[Population]]&amp;TrendSheetPrdData[[#This Row],[Cost Basis]]&amp;TrendSheetPrdData[[#This Row],[Period]]&amp;TrendSheetPrdData[[#This Row],[Trend]]</f>
        <v>MSSP_ATTRIBUTEDAllowed2016-05-01Office Based MRIs per 1k</v>
      </c>
      <c r="B1539" t="s">
        <v>128</v>
      </c>
      <c r="C1539" t="s">
        <v>128</v>
      </c>
      <c r="D1539" t="s">
        <v>91</v>
      </c>
      <c r="E1539" s="1" t="s">
        <v>95</v>
      </c>
      <c r="F1539" t="s">
        <v>93</v>
      </c>
      <c r="G1539" t="s">
        <v>22</v>
      </c>
      <c r="H1539">
        <v>11</v>
      </c>
      <c r="I1539">
        <v>25</v>
      </c>
    </row>
    <row r="1540" spans="1:9" x14ac:dyDescent="0.25">
      <c r="A1540" s="5" t="str">
        <f>TrendSheetPrdData[[#This Row],[Population]]&amp;TrendSheetPrdData[[#This Row],[Cost Basis]]&amp;TrendSheetPrdData[[#This Row],[Period]]&amp;TrendSheetPrdData[[#This Row],[Trend]]</f>
        <v>MSSP_ATTRIBUTEDAllowed2016-06-01Office Based MRIs per 1k</v>
      </c>
      <c r="B1540" t="s">
        <v>128</v>
      </c>
      <c r="C1540" t="s">
        <v>128</v>
      </c>
      <c r="D1540" t="s">
        <v>91</v>
      </c>
      <c r="E1540" s="1" t="s">
        <v>96</v>
      </c>
      <c r="F1540" t="s">
        <v>93</v>
      </c>
      <c r="G1540" t="s">
        <v>22</v>
      </c>
      <c r="H1540">
        <v>11</v>
      </c>
      <c r="I1540">
        <v>29</v>
      </c>
    </row>
    <row r="1541" spans="1:9" x14ac:dyDescent="0.25">
      <c r="A1541" s="5" t="str">
        <f>TrendSheetPrdData[[#This Row],[Population]]&amp;TrendSheetPrdData[[#This Row],[Cost Basis]]&amp;TrendSheetPrdData[[#This Row],[Period]]&amp;TrendSheetPrdData[[#This Row],[Trend]]</f>
        <v>MSSP_ATTRIBUTEDAllowed2016-07-01Office Based MRIs per 1k</v>
      </c>
      <c r="B1541" t="s">
        <v>128</v>
      </c>
      <c r="C1541" t="s">
        <v>128</v>
      </c>
      <c r="D1541" t="s">
        <v>91</v>
      </c>
      <c r="E1541" s="1" t="s">
        <v>97</v>
      </c>
      <c r="F1541" t="s">
        <v>93</v>
      </c>
      <c r="G1541" t="s">
        <v>22</v>
      </c>
      <c r="H1541">
        <v>11</v>
      </c>
      <c r="I1541">
        <v>14</v>
      </c>
    </row>
    <row r="1542" spans="1:9" x14ac:dyDescent="0.25">
      <c r="A1542" s="5" t="str">
        <f>TrendSheetPrdData[[#This Row],[Population]]&amp;TrendSheetPrdData[[#This Row],[Cost Basis]]&amp;TrendSheetPrdData[[#This Row],[Period]]&amp;TrendSheetPrdData[[#This Row],[Trend]]</f>
        <v>MSSP_ATTRIBUTEDAllowed2016-08-01Office Based MRIs per 1k</v>
      </c>
      <c r="B1542" t="s">
        <v>128</v>
      </c>
      <c r="C1542" t="s">
        <v>128</v>
      </c>
      <c r="D1542" t="s">
        <v>91</v>
      </c>
      <c r="E1542" s="1" t="s">
        <v>98</v>
      </c>
      <c r="F1542" t="s">
        <v>93</v>
      </c>
      <c r="G1542" t="s">
        <v>22</v>
      </c>
      <c r="H1542">
        <v>11</v>
      </c>
      <c r="I1542">
        <v>20</v>
      </c>
    </row>
    <row r="1543" spans="1:9" x14ac:dyDescent="0.25">
      <c r="A1543" s="5" t="str">
        <f>TrendSheetPrdData[[#This Row],[Population]]&amp;TrendSheetPrdData[[#This Row],[Cost Basis]]&amp;TrendSheetPrdData[[#This Row],[Period]]&amp;TrendSheetPrdData[[#This Row],[Trend]]</f>
        <v>MSSP_ATTRIBUTEDAllowed2016-09-01Office Based MRIs per 1k</v>
      </c>
      <c r="B1543" t="s">
        <v>128</v>
      </c>
      <c r="C1543" t="s">
        <v>128</v>
      </c>
      <c r="D1543" t="s">
        <v>91</v>
      </c>
      <c r="E1543" s="1" t="s">
        <v>99</v>
      </c>
      <c r="F1543" t="s">
        <v>93</v>
      </c>
      <c r="G1543" t="s">
        <v>22</v>
      </c>
      <c r="H1543">
        <v>11</v>
      </c>
      <c r="I1543">
        <v>12</v>
      </c>
    </row>
    <row r="1544" spans="1:9" x14ac:dyDescent="0.25">
      <c r="A1544" s="5" t="str">
        <f>TrendSheetPrdData[[#This Row],[Population]]&amp;TrendSheetPrdData[[#This Row],[Cost Basis]]&amp;TrendSheetPrdData[[#This Row],[Period]]&amp;TrendSheetPrdData[[#This Row],[Trend]]</f>
        <v>MSSP_ATTRIBUTEDAllowed2016-10-01Office Based MRIs per 1k</v>
      </c>
      <c r="B1544" t="s">
        <v>128</v>
      </c>
      <c r="C1544" t="s">
        <v>128</v>
      </c>
      <c r="D1544" t="s">
        <v>91</v>
      </c>
      <c r="E1544" s="1" t="s">
        <v>100</v>
      </c>
      <c r="F1544" t="s">
        <v>106</v>
      </c>
      <c r="G1544" t="s">
        <v>22</v>
      </c>
      <c r="H1544">
        <v>11</v>
      </c>
      <c r="I1544">
        <v>5</v>
      </c>
    </row>
    <row r="1545" spans="1:9" x14ac:dyDescent="0.25">
      <c r="A1545" s="5" t="str">
        <f>TrendSheetPrdData[[#This Row],[Population]]&amp;TrendSheetPrdData[[#This Row],[Cost Basis]]&amp;TrendSheetPrdData[[#This Row],[Period]]&amp;TrendSheetPrdData[[#This Row],[Trend]]</f>
        <v>MSSP_ATTRIBUTEDAllowed2016-11-01Office Based MRIs per 1k</v>
      </c>
      <c r="B1545" t="s">
        <v>128</v>
      </c>
      <c r="C1545" t="s">
        <v>128</v>
      </c>
      <c r="D1545" t="s">
        <v>91</v>
      </c>
      <c r="E1545" s="1" t="s">
        <v>101</v>
      </c>
      <c r="F1545" t="s">
        <v>106</v>
      </c>
      <c r="G1545" t="s">
        <v>22</v>
      </c>
      <c r="H1545">
        <v>11</v>
      </c>
      <c r="I1545">
        <v>10</v>
      </c>
    </row>
    <row r="1546" spans="1:9" x14ac:dyDescent="0.25">
      <c r="A1546" s="5" t="str">
        <f>TrendSheetPrdData[[#This Row],[Population]]&amp;TrendSheetPrdData[[#This Row],[Cost Basis]]&amp;TrendSheetPrdData[[#This Row],[Period]]&amp;TrendSheetPrdData[[#This Row],[Trend]]</f>
        <v>MSSP_ATTRIBUTEDAllowed2016-12-01Office Based MRIs per 1k</v>
      </c>
      <c r="B1546" t="s">
        <v>128</v>
      </c>
      <c r="C1546" t="s">
        <v>128</v>
      </c>
      <c r="D1546" t="s">
        <v>91</v>
      </c>
      <c r="E1546" s="1" t="s">
        <v>102</v>
      </c>
      <c r="F1546" t="s">
        <v>106</v>
      </c>
      <c r="G1546" t="s">
        <v>22</v>
      </c>
      <c r="H1546">
        <v>11</v>
      </c>
      <c r="I1546">
        <v>9</v>
      </c>
    </row>
    <row r="1547" spans="1:9" x14ac:dyDescent="0.25">
      <c r="A1547" s="5" t="str">
        <f>TrendSheetPrdData[[#This Row],[Population]]&amp;TrendSheetPrdData[[#This Row],[Cost Basis]]&amp;TrendSheetPrdData[[#This Row],[Period]]&amp;TrendSheetPrdData[[#This Row],[Trend]]</f>
        <v>MSSP_ATTRIBUTEDAllowed2015-10-01Office Based CTs per 1k</v>
      </c>
      <c r="B1547" t="s">
        <v>128</v>
      </c>
      <c r="C1547" t="s">
        <v>128</v>
      </c>
      <c r="D1547" t="s">
        <v>91</v>
      </c>
      <c r="E1547" s="1" t="s">
        <v>134</v>
      </c>
      <c r="F1547" t="s">
        <v>93</v>
      </c>
      <c r="G1547" t="s">
        <v>23</v>
      </c>
      <c r="H1547">
        <v>12</v>
      </c>
      <c r="I1547">
        <v>4</v>
      </c>
    </row>
    <row r="1548" spans="1:9" x14ac:dyDescent="0.25">
      <c r="A1548" s="5" t="str">
        <f>TrendSheetPrdData[[#This Row],[Population]]&amp;TrendSheetPrdData[[#This Row],[Cost Basis]]&amp;TrendSheetPrdData[[#This Row],[Period]]&amp;TrendSheetPrdData[[#This Row],[Trend]]</f>
        <v>MSSP_ATTRIBUTEDAllowed2015-11-01Office Based CTs per 1k</v>
      </c>
      <c r="B1548" t="s">
        <v>128</v>
      </c>
      <c r="C1548" t="s">
        <v>128</v>
      </c>
      <c r="D1548" t="s">
        <v>91</v>
      </c>
      <c r="E1548" s="1" t="s">
        <v>130</v>
      </c>
      <c r="F1548" t="s">
        <v>93</v>
      </c>
      <c r="G1548" t="s">
        <v>23</v>
      </c>
      <c r="H1548">
        <v>12</v>
      </c>
      <c r="I1548">
        <v>2</v>
      </c>
    </row>
    <row r="1549" spans="1:9" x14ac:dyDescent="0.25">
      <c r="A1549" s="5" t="str">
        <f>TrendSheetPrdData[[#This Row],[Population]]&amp;TrendSheetPrdData[[#This Row],[Cost Basis]]&amp;TrendSheetPrdData[[#This Row],[Period]]&amp;TrendSheetPrdData[[#This Row],[Trend]]</f>
        <v>MSSP_ATTRIBUTEDAllowed2015-12-01Office Based CTs per 1k</v>
      </c>
      <c r="B1549" t="s">
        <v>128</v>
      </c>
      <c r="C1549" t="s">
        <v>128</v>
      </c>
      <c r="D1549" t="s">
        <v>91</v>
      </c>
      <c r="E1549" s="1" t="s">
        <v>131</v>
      </c>
      <c r="F1549" t="s">
        <v>93</v>
      </c>
      <c r="G1549" t="s">
        <v>23</v>
      </c>
      <c r="H1549">
        <v>12</v>
      </c>
      <c r="I1549">
        <v>3</v>
      </c>
    </row>
    <row r="1550" spans="1:9" x14ac:dyDescent="0.25">
      <c r="A1550" s="5" t="str">
        <f>TrendSheetPrdData[[#This Row],[Population]]&amp;TrendSheetPrdData[[#This Row],[Cost Basis]]&amp;TrendSheetPrdData[[#This Row],[Period]]&amp;TrendSheetPrdData[[#This Row],[Trend]]</f>
        <v>MSSP_ATTRIBUTEDAllowed2016-01-01Office Based CTs per 1k</v>
      </c>
      <c r="B1550" t="s">
        <v>128</v>
      </c>
      <c r="C1550" t="s">
        <v>128</v>
      </c>
      <c r="D1550" t="s">
        <v>91</v>
      </c>
      <c r="E1550" s="1" t="s">
        <v>132</v>
      </c>
      <c r="F1550" t="s">
        <v>93</v>
      </c>
      <c r="G1550" t="s">
        <v>23</v>
      </c>
      <c r="H1550">
        <v>12</v>
      </c>
      <c r="I1550">
        <v>1</v>
      </c>
    </row>
    <row r="1551" spans="1:9" x14ac:dyDescent="0.25">
      <c r="A1551" s="5" t="str">
        <f>TrendSheetPrdData[[#This Row],[Population]]&amp;TrendSheetPrdData[[#This Row],[Cost Basis]]&amp;TrendSheetPrdData[[#This Row],[Period]]&amp;TrendSheetPrdData[[#This Row],[Trend]]</f>
        <v>MSSP_ATTRIBUTEDAllowed2016-02-01Office Based CTs per 1k</v>
      </c>
      <c r="B1551" t="s">
        <v>128</v>
      </c>
      <c r="C1551" t="s">
        <v>128</v>
      </c>
      <c r="D1551" t="s">
        <v>91</v>
      </c>
      <c r="E1551" s="1" t="s">
        <v>133</v>
      </c>
      <c r="F1551" t="s">
        <v>93</v>
      </c>
      <c r="G1551" t="s">
        <v>23</v>
      </c>
      <c r="H1551">
        <v>12</v>
      </c>
      <c r="I1551">
        <v>4</v>
      </c>
    </row>
    <row r="1552" spans="1:9" x14ac:dyDescent="0.25">
      <c r="A1552" s="5" t="str">
        <f>TrendSheetPrdData[[#This Row],[Population]]&amp;TrendSheetPrdData[[#This Row],[Cost Basis]]&amp;TrendSheetPrdData[[#This Row],[Period]]&amp;TrendSheetPrdData[[#This Row],[Trend]]</f>
        <v>MSSP_ATTRIBUTEDAllowed2016-03-01Office Based CTs per 1k</v>
      </c>
      <c r="B1552" t="s">
        <v>128</v>
      </c>
      <c r="C1552" t="s">
        <v>128</v>
      </c>
      <c r="D1552" t="s">
        <v>91</v>
      </c>
      <c r="E1552" s="1" t="s">
        <v>92</v>
      </c>
      <c r="F1552" t="s">
        <v>93</v>
      </c>
      <c r="G1552" t="s">
        <v>23</v>
      </c>
      <c r="H1552">
        <v>12</v>
      </c>
      <c r="I1552">
        <v>1</v>
      </c>
    </row>
    <row r="1553" spans="1:9" x14ac:dyDescent="0.25">
      <c r="A1553" s="5" t="str">
        <f>TrendSheetPrdData[[#This Row],[Population]]&amp;TrendSheetPrdData[[#This Row],[Cost Basis]]&amp;TrendSheetPrdData[[#This Row],[Period]]&amp;TrendSheetPrdData[[#This Row],[Trend]]</f>
        <v>MSSP_ATTRIBUTEDAllowed2016-04-01Office Based CTs per 1k</v>
      </c>
      <c r="B1553" t="s">
        <v>128</v>
      </c>
      <c r="C1553" t="s">
        <v>128</v>
      </c>
      <c r="D1553" t="s">
        <v>91</v>
      </c>
      <c r="E1553" s="1" t="s">
        <v>94</v>
      </c>
      <c r="F1553" t="s">
        <v>93</v>
      </c>
      <c r="G1553" t="s">
        <v>23</v>
      </c>
      <c r="H1553">
        <v>12</v>
      </c>
      <c r="I1553">
        <v>0</v>
      </c>
    </row>
    <row r="1554" spans="1:9" x14ac:dyDescent="0.25">
      <c r="A1554" s="5" t="str">
        <f>TrendSheetPrdData[[#This Row],[Population]]&amp;TrendSheetPrdData[[#This Row],[Cost Basis]]&amp;TrendSheetPrdData[[#This Row],[Period]]&amp;TrendSheetPrdData[[#This Row],[Trend]]</f>
        <v>MSSP_ATTRIBUTEDAllowed2016-05-01Office Based CTs per 1k</v>
      </c>
      <c r="B1554" t="s">
        <v>128</v>
      </c>
      <c r="C1554" t="s">
        <v>128</v>
      </c>
      <c r="D1554" t="s">
        <v>91</v>
      </c>
      <c r="E1554" s="1" t="s">
        <v>95</v>
      </c>
      <c r="F1554" t="s">
        <v>93</v>
      </c>
      <c r="G1554" t="s">
        <v>23</v>
      </c>
      <c r="H1554">
        <v>12</v>
      </c>
      <c r="I1554">
        <v>5</v>
      </c>
    </row>
    <row r="1555" spans="1:9" x14ac:dyDescent="0.25">
      <c r="A1555" s="5" t="str">
        <f>TrendSheetPrdData[[#This Row],[Population]]&amp;TrendSheetPrdData[[#This Row],[Cost Basis]]&amp;TrendSheetPrdData[[#This Row],[Period]]&amp;TrendSheetPrdData[[#This Row],[Trend]]</f>
        <v>MSSP_ATTRIBUTEDAllowed2016-06-01Office Based CTs per 1k</v>
      </c>
      <c r="B1555" t="s">
        <v>128</v>
      </c>
      <c r="C1555" t="s">
        <v>128</v>
      </c>
      <c r="D1555" t="s">
        <v>91</v>
      </c>
      <c r="E1555" s="1" t="s">
        <v>96</v>
      </c>
      <c r="F1555" t="s">
        <v>93</v>
      </c>
      <c r="G1555" t="s">
        <v>23</v>
      </c>
      <c r="H1555">
        <v>12</v>
      </c>
      <c r="I1555">
        <v>2</v>
      </c>
    </row>
    <row r="1556" spans="1:9" x14ac:dyDescent="0.25">
      <c r="A1556" s="5" t="str">
        <f>TrendSheetPrdData[[#This Row],[Population]]&amp;TrendSheetPrdData[[#This Row],[Cost Basis]]&amp;TrendSheetPrdData[[#This Row],[Period]]&amp;TrendSheetPrdData[[#This Row],[Trend]]</f>
        <v>MSSP_ATTRIBUTEDAllowed2016-07-01Office Based CTs per 1k</v>
      </c>
      <c r="B1556" t="s">
        <v>128</v>
      </c>
      <c r="C1556" t="s">
        <v>128</v>
      </c>
      <c r="D1556" t="s">
        <v>91</v>
      </c>
      <c r="E1556" s="1" t="s">
        <v>97</v>
      </c>
      <c r="F1556" t="s">
        <v>93</v>
      </c>
      <c r="G1556" t="s">
        <v>23</v>
      </c>
      <c r="H1556">
        <v>12</v>
      </c>
      <c r="I1556">
        <v>1</v>
      </c>
    </row>
    <row r="1557" spans="1:9" x14ac:dyDescent="0.25">
      <c r="A1557" s="5" t="str">
        <f>TrendSheetPrdData[[#This Row],[Population]]&amp;TrendSheetPrdData[[#This Row],[Cost Basis]]&amp;TrendSheetPrdData[[#This Row],[Period]]&amp;TrendSheetPrdData[[#This Row],[Trend]]</f>
        <v>MSSP_ATTRIBUTEDAllowed2016-08-01Office Based CTs per 1k</v>
      </c>
      <c r="B1557" t="s">
        <v>128</v>
      </c>
      <c r="C1557" t="s">
        <v>128</v>
      </c>
      <c r="D1557" t="s">
        <v>91</v>
      </c>
      <c r="E1557" s="1" t="s">
        <v>98</v>
      </c>
      <c r="F1557" t="s">
        <v>93</v>
      </c>
      <c r="G1557" t="s">
        <v>23</v>
      </c>
      <c r="H1557">
        <v>12</v>
      </c>
      <c r="I1557">
        <v>3</v>
      </c>
    </row>
    <row r="1558" spans="1:9" x14ac:dyDescent="0.25">
      <c r="A1558" s="5" t="str">
        <f>TrendSheetPrdData[[#This Row],[Population]]&amp;TrendSheetPrdData[[#This Row],[Cost Basis]]&amp;TrendSheetPrdData[[#This Row],[Period]]&amp;TrendSheetPrdData[[#This Row],[Trend]]</f>
        <v>MSSP_ATTRIBUTEDAllowed2016-09-01Office Based CTs per 1k</v>
      </c>
      <c r="B1558" t="s">
        <v>128</v>
      </c>
      <c r="C1558" t="s">
        <v>128</v>
      </c>
      <c r="D1558" t="s">
        <v>91</v>
      </c>
      <c r="E1558" s="1" t="s">
        <v>99</v>
      </c>
      <c r="F1558" t="s">
        <v>93</v>
      </c>
      <c r="G1558" t="s">
        <v>23</v>
      </c>
      <c r="H1558">
        <v>12</v>
      </c>
      <c r="I1558">
        <v>0</v>
      </c>
    </row>
    <row r="1559" spans="1:9" x14ac:dyDescent="0.25">
      <c r="A1559" s="5" t="str">
        <f>TrendSheetPrdData[[#This Row],[Population]]&amp;TrendSheetPrdData[[#This Row],[Cost Basis]]&amp;TrendSheetPrdData[[#This Row],[Period]]&amp;TrendSheetPrdData[[#This Row],[Trend]]</f>
        <v>MSSP_ATTRIBUTEDAllowed2016-10-01Office Based CTs per 1k</v>
      </c>
      <c r="B1559" t="s">
        <v>128</v>
      </c>
      <c r="C1559" t="s">
        <v>128</v>
      </c>
      <c r="D1559" t="s">
        <v>91</v>
      </c>
      <c r="E1559" s="1" t="s">
        <v>100</v>
      </c>
      <c r="F1559" t="s">
        <v>106</v>
      </c>
      <c r="G1559" t="s">
        <v>23</v>
      </c>
      <c r="H1559">
        <v>12</v>
      </c>
      <c r="I1559">
        <v>1</v>
      </c>
    </row>
    <row r="1560" spans="1:9" x14ac:dyDescent="0.25">
      <c r="A1560" s="5" t="str">
        <f>TrendSheetPrdData[[#This Row],[Population]]&amp;TrendSheetPrdData[[#This Row],[Cost Basis]]&amp;TrendSheetPrdData[[#This Row],[Period]]&amp;TrendSheetPrdData[[#This Row],[Trend]]</f>
        <v>MSSP_ATTRIBUTEDAllowed2016-11-01Office Based CTs per 1k</v>
      </c>
      <c r="B1560" t="s">
        <v>128</v>
      </c>
      <c r="C1560" t="s">
        <v>128</v>
      </c>
      <c r="D1560" t="s">
        <v>91</v>
      </c>
      <c r="E1560" s="1" t="s">
        <v>101</v>
      </c>
      <c r="F1560" t="s">
        <v>106</v>
      </c>
      <c r="G1560" t="s">
        <v>23</v>
      </c>
      <c r="H1560">
        <v>12</v>
      </c>
      <c r="I1560">
        <v>2</v>
      </c>
    </row>
    <row r="1561" spans="1:9" x14ac:dyDescent="0.25">
      <c r="A1561" s="5" t="str">
        <f>TrendSheetPrdData[[#This Row],[Population]]&amp;TrendSheetPrdData[[#This Row],[Cost Basis]]&amp;TrendSheetPrdData[[#This Row],[Period]]&amp;TrendSheetPrdData[[#This Row],[Trend]]</f>
        <v>MSSP_ATTRIBUTEDAllowed2016-12-01Office Based CTs per 1k</v>
      </c>
      <c r="B1561" t="s">
        <v>128</v>
      </c>
      <c r="C1561" t="s">
        <v>128</v>
      </c>
      <c r="D1561" t="s">
        <v>91</v>
      </c>
      <c r="E1561" s="1" t="s">
        <v>102</v>
      </c>
      <c r="F1561" t="s">
        <v>106</v>
      </c>
      <c r="G1561" t="s">
        <v>23</v>
      </c>
      <c r="H1561">
        <v>12</v>
      </c>
      <c r="I1561">
        <v>1</v>
      </c>
    </row>
    <row r="1562" spans="1:9" x14ac:dyDescent="0.25">
      <c r="A1562" s="5" t="str">
        <f>TrendSheetPrdData[[#This Row],[Population]]&amp;TrendSheetPrdData[[#This Row],[Cost Basis]]&amp;TrendSheetPrdData[[#This Row],[Period]]&amp;TrendSheetPrdData[[#This Row],[Trend]]</f>
        <v>MSSP_ATTRIBUTEDAllowed2015-10-01ED Cost</v>
      </c>
      <c r="B1562" t="s">
        <v>128</v>
      </c>
      <c r="C1562" t="s">
        <v>128</v>
      </c>
      <c r="D1562" t="s">
        <v>91</v>
      </c>
      <c r="E1562" s="1" t="s">
        <v>134</v>
      </c>
      <c r="F1562" t="s">
        <v>93</v>
      </c>
      <c r="G1562" t="s">
        <v>24</v>
      </c>
      <c r="H1562">
        <v>13</v>
      </c>
      <c r="I1562">
        <v>337328</v>
      </c>
    </row>
    <row r="1563" spans="1:9" x14ac:dyDescent="0.25">
      <c r="A1563" s="5" t="str">
        <f>TrendSheetPrdData[[#This Row],[Population]]&amp;TrendSheetPrdData[[#This Row],[Cost Basis]]&amp;TrendSheetPrdData[[#This Row],[Period]]&amp;TrendSheetPrdData[[#This Row],[Trend]]</f>
        <v>MSSP_ATTRIBUTEDAllowed2015-11-01ED Cost</v>
      </c>
      <c r="B1563" t="s">
        <v>128</v>
      </c>
      <c r="C1563" t="s">
        <v>128</v>
      </c>
      <c r="D1563" t="s">
        <v>91</v>
      </c>
      <c r="E1563" s="1" t="s">
        <v>130</v>
      </c>
      <c r="F1563" t="s">
        <v>93</v>
      </c>
      <c r="G1563" t="s">
        <v>24</v>
      </c>
      <c r="H1563">
        <v>13</v>
      </c>
      <c r="I1563">
        <v>340526</v>
      </c>
    </row>
    <row r="1564" spans="1:9" x14ac:dyDescent="0.25">
      <c r="A1564" s="5" t="str">
        <f>TrendSheetPrdData[[#This Row],[Population]]&amp;TrendSheetPrdData[[#This Row],[Cost Basis]]&amp;TrendSheetPrdData[[#This Row],[Period]]&amp;TrendSheetPrdData[[#This Row],[Trend]]</f>
        <v>MSSP_ATTRIBUTEDAllowed2015-12-01ED Cost</v>
      </c>
      <c r="B1564" t="s">
        <v>128</v>
      </c>
      <c r="C1564" t="s">
        <v>128</v>
      </c>
      <c r="D1564" t="s">
        <v>91</v>
      </c>
      <c r="E1564" s="1" t="s">
        <v>131</v>
      </c>
      <c r="F1564" t="s">
        <v>93</v>
      </c>
      <c r="G1564" t="s">
        <v>24</v>
      </c>
      <c r="H1564">
        <v>13</v>
      </c>
      <c r="I1564">
        <v>356227</v>
      </c>
    </row>
    <row r="1565" spans="1:9" x14ac:dyDescent="0.25">
      <c r="A1565" s="5" t="str">
        <f>TrendSheetPrdData[[#This Row],[Population]]&amp;TrendSheetPrdData[[#This Row],[Cost Basis]]&amp;TrendSheetPrdData[[#This Row],[Period]]&amp;TrendSheetPrdData[[#This Row],[Trend]]</f>
        <v>MSSP_ATTRIBUTEDAllowed2016-01-01ED Cost</v>
      </c>
      <c r="B1565" t="s">
        <v>128</v>
      </c>
      <c r="C1565" t="s">
        <v>128</v>
      </c>
      <c r="D1565" t="s">
        <v>91</v>
      </c>
      <c r="E1565" s="1" t="s">
        <v>132</v>
      </c>
      <c r="F1565" t="s">
        <v>93</v>
      </c>
      <c r="G1565" t="s">
        <v>24</v>
      </c>
      <c r="H1565">
        <v>13</v>
      </c>
      <c r="I1565">
        <v>326573</v>
      </c>
    </row>
    <row r="1566" spans="1:9" x14ac:dyDescent="0.25">
      <c r="A1566" s="5" t="str">
        <f>TrendSheetPrdData[[#This Row],[Population]]&amp;TrendSheetPrdData[[#This Row],[Cost Basis]]&amp;TrendSheetPrdData[[#This Row],[Period]]&amp;TrendSheetPrdData[[#This Row],[Trend]]</f>
        <v>MSSP_ATTRIBUTEDAllowed2016-02-01ED Cost</v>
      </c>
      <c r="B1566" t="s">
        <v>128</v>
      </c>
      <c r="C1566" t="s">
        <v>128</v>
      </c>
      <c r="D1566" t="s">
        <v>91</v>
      </c>
      <c r="E1566" s="1" t="s">
        <v>133</v>
      </c>
      <c r="F1566" t="s">
        <v>93</v>
      </c>
      <c r="G1566" t="s">
        <v>24</v>
      </c>
      <c r="H1566">
        <v>13</v>
      </c>
      <c r="I1566">
        <v>307891</v>
      </c>
    </row>
    <row r="1567" spans="1:9" x14ac:dyDescent="0.25">
      <c r="A1567" s="5" t="str">
        <f>TrendSheetPrdData[[#This Row],[Population]]&amp;TrendSheetPrdData[[#This Row],[Cost Basis]]&amp;TrendSheetPrdData[[#This Row],[Period]]&amp;TrendSheetPrdData[[#This Row],[Trend]]</f>
        <v>MSSP_ATTRIBUTEDAllowed2016-03-01ED Cost</v>
      </c>
      <c r="B1567" t="s">
        <v>128</v>
      </c>
      <c r="C1567" t="s">
        <v>128</v>
      </c>
      <c r="D1567" t="s">
        <v>91</v>
      </c>
      <c r="E1567" s="1" t="s">
        <v>92</v>
      </c>
      <c r="F1567" t="s">
        <v>93</v>
      </c>
      <c r="G1567" t="s">
        <v>24</v>
      </c>
      <c r="H1567">
        <v>13</v>
      </c>
      <c r="I1567">
        <v>351638</v>
      </c>
    </row>
    <row r="1568" spans="1:9" x14ac:dyDescent="0.25">
      <c r="A1568" s="5" t="str">
        <f>TrendSheetPrdData[[#This Row],[Population]]&amp;TrendSheetPrdData[[#This Row],[Cost Basis]]&amp;TrendSheetPrdData[[#This Row],[Period]]&amp;TrendSheetPrdData[[#This Row],[Trend]]</f>
        <v>MSSP_ATTRIBUTEDAllowed2016-04-01ED Cost</v>
      </c>
      <c r="B1568" t="s">
        <v>128</v>
      </c>
      <c r="C1568" t="s">
        <v>128</v>
      </c>
      <c r="D1568" t="s">
        <v>91</v>
      </c>
      <c r="E1568" s="1" t="s">
        <v>94</v>
      </c>
      <c r="F1568" t="s">
        <v>93</v>
      </c>
      <c r="G1568" t="s">
        <v>24</v>
      </c>
      <c r="H1568">
        <v>13</v>
      </c>
      <c r="I1568">
        <v>334664</v>
      </c>
    </row>
    <row r="1569" spans="1:9" x14ac:dyDescent="0.25">
      <c r="A1569" s="5" t="str">
        <f>TrendSheetPrdData[[#This Row],[Population]]&amp;TrendSheetPrdData[[#This Row],[Cost Basis]]&amp;TrendSheetPrdData[[#This Row],[Period]]&amp;TrendSheetPrdData[[#This Row],[Trend]]</f>
        <v>MSSP_ATTRIBUTEDAllowed2016-05-01ED Cost</v>
      </c>
      <c r="B1569" t="s">
        <v>128</v>
      </c>
      <c r="C1569" t="s">
        <v>128</v>
      </c>
      <c r="D1569" t="s">
        <v>91</v>
      </c>
      <c r="E1569" s="1" t="s">
        <v>95</v>
      </c>
      <c r="F1569" t="s">
        <v>93</v>
      </c>
      <c r="G1569" t="s">
        <v>24</v>
      </c>
      <c r="H1569">
        <v>13</v>
      </c>
      <c r="I1569">
        <v>350172</v>
      </c>
    </row>
    <row r="1570" spans="1:9" x14ac:dyDescent="0.25">
      <c r="A1570" s="5" t="str">
        <f>TrendSheetPrdData[[#This Row],[Population]]&amp;TrendSheetPrdData[[#This Row],[Cost Basis]]&amp;TrendSheetPrdData[[#This Row],[Period]]&amp;TrendSheetPrdData[[#This Row],[Trend]]</f>
        <v>MSSP_ATTRIBUTEDAllowed2016-06-01ED Cost</v>
      </c>
      <c r="B1570" t="s">
        <v>128</v>
      </c>
      <c r="C1570" t="s">
        <v>128</v>
      </c>
      <c r="D1570" t="s">
        <v>91</v>
      </c>
      <c r="E1570" s="1" t="s">
        <v>96</v>
      </c>
      <c r="F1570" t="s">
        <v>93</v>
      </c>
      <c r="G1570" t="s">
        <v>24</v>
      </c>
      <c r="H1570">
        <v>13</v>
      </c>
      <c r="I1570">
        <v>352617</v>
      </c>
    </row>
    <row r="1571" spans="1:9" x14ac:dyDescent="0.25">
      <c r="A1571" s="5" t="str">
        <f>TrendSheetPrdData[[#This Row],[Population]]&amp;TrendSheetPrdData[[#This Row],[Cost Basis]]&amp;TrendSheetPrdData[[#This Row],[Period]]&amp;TrendSheetPrdData[[#This Row],[Trend]]</f>
        <v>MSSP_ATTRIBUTEDAllowed2016-07-01ED Cost</v>
      </c>
      <c r="B1571" t="s">
        <v>128</v>
      </c>
      <c r="C1571" t="s">
        <v>128</v>
      </c>
      <c r="D1571" t="s">
        <v>91</v>
      </c>
      <c r="E1571" s="1" t="s">
        <v>97</v>
      </c>
      <c r="F1571" t="s">
        <v>93</v>
      </c>
      <c r="G1571" t="s">
        <v>24</v>
      </c>
      <c r="H1571">
        <v>13</v>
      </c>
      <c r="I1571">
        <v>345584</v>
      </c>
    </row>
    <row r="1572" spans="1:9" x14ac:dyDescent="0.25">
      <c r="A1572" s="5" t="str">
        <f>TrendSheetPrdData[[#This Row],[Population]]&amp;TrendSheetPrdData[[#This Row],[Cost Basis]]&amp;TrendSheetPrdData[[#This Row],[Period]]&amp;TrendSheetPrdData[[#This Row],[Trend]]</f>
        <v>MSSP_ATTRIBUTEDAllowed2016-08-01ED Cost</v>
      </c>
      <c r="B1572" t="s">
        <v>128</v>
      </c>
      <c r="C1572" t="s">
        <v>128</v>
      </c>
      <c r="D1572" t="s">
        <v>91</v>
      </c>
      <c r="E1572" s="1" t="s">
        <v>98</v>
      </c>
      <c r="F1572" t="s">
        <v>93</v>
      </c>
      <c r="G1572" t="s">
        <v>24</v>
      </c>
      <c r="H1572">
        <v>13</v>
      </c>
      <c r="I1572">
        <v>364872</v>
      </c>
    </row>
    <row r="1573" spans="1:9" x14ac:dyDescent="0.25">
      <c r="A1573" s="5" t="str">
        <f>TrendSheetPrdData[[#This Row],[Population]]&amp;TrendSheetPrdData[[#This Row],[Cost Basis]]&amp;TrendSheetPrdData[[#This Row],[Period]]&amp;TrendSheetPrdData[[#This Row],[Trend]]</f>
        <v>MSSP_ATTRIBUTEDAllowed2016-09-01ED Cost</v>
      </c>
      <c r="B1573" t="s">
        <v>128</v>
      </c>
      <c r="C1573" t="s">
        <v>128</v>
      </c>
      <c r="D1573" t="s">
        <v>91</v>
      </c>
      <c r="E1573" s="1" t="s">
        <v>99</v>
      </c>
      <c r="F1573" t="s">
        <v>93</v>
      </c>
      <c r="G1573" t="s">
        <v>24</v>
      </c>
      <c r="H1573">
        <v>13</v>
      </c>
      <c r="I1573">
        <v>351463</v>
      </c>
    </row>
    <row r="1574" spans="1:9" x14ac:dyDescent="0.25">
      <c r="A1574" s="5" t="str">
        <f>TrendSheetPrdData[[#This Row],[Population]]&amp;TrendSheetPrdData[[#This Row],[Cost Basis]]&amp;TrendSheetPrdData[[#This Row],[Period]]&amp;TrendSheetPrdData[[#This Row],[Trend]]</f>
        <v>MSSP_ATTRIBUTEDAllowed2016-10-01ED Cost</v>
      </c>
      <c r="B1574" t="s">
        <v>128</v>
      </c>
      <c r="C1574" t="s">
        <v>128</v>
      </c>
      <c r="D1574" t="s">
        <v>91</v>
      </c>
      <c r="E1574" s="1" t="s">
        <v>100</v>
      </c>
      <c r="F1574" t="s">
        <v>106</v>
      </c>
      <c r="G1574" t="s">
        <v>24</v>
      </c>
      <c r="H1574">
        <v>13</v>
      </c>
      <c r="I1574">
        <v>335650</v>
      </c>
    </row>
    <row r="1575" spans="1:9" x14ac:dyDescent="0.25">
      <c r="A1575" s="5" t="str">
        <f>TrendSheetPrdData[[#This Row],[Population]]&amp;TrendSheetPrdData[[#This Row],[Cost Basis]]&amp;TrendSheetPrdData[[#This Row],[Period]]&amp;TrendSheetPrdData[[#This Row],[Trend]]</f>
        <v>MSSP_ATTRIBUTEDAllowed2016-11-01ED Cost</v>
      </c>
      <c r="B1575" t="s">
        <v>128</v>
      </c>
      <c r="C1575" t="s">
        <v>128</v>
      </c>
      <c r="D1575" t="s">
        <v>91</v>
      </c>
      <c r="E1575" s="1" t="s">
        <v>101</v>
      </c>
      <c r="F1575" t="s">
        <v>106</v>
      </c>
      <c r="G1575" t="s">
        <v>24</v>
      </c>
      <c r="H1575">
        <v>13</v>
      </c>
      <c r="I1575">
        <v>294400</v>
      </c>
    </row>
    <row r="1576" spans="1:9" x14ac:dyDescent="0.25">
      <c r="A1576" s="5" t="str">
        <f>TrendSheetPrdData[[#This Row],[Population]]&amp;TrendSheetPrdData[[#This Row],[Cost Basis]]&amp;TrendSheetPrdData[[#This Row],[Period]]&amp;TrendSheetPrdData[[#This Row],[Trend]]</f>
        <v>MSSP_ATTRIBUTEDAllowed2016-12-01ED Cost</v>
      </c>
      <c r="B1576" t="s">
        <v>128</v>
      </c>
      <c r="C1576" t="s">
        <v>128</v>
      </c>
      <c r="D1576" t="s">
        <v>91</v>
      </c>
      <c r="E1576" s="1" t="s">
        <v>102</v>
      </c>
      <c r="F1576" t="s">
        <v>106</v>
      </c>
      <c r="G1576" t="s">
        <v>24</v>
      </c>
      <c r="H1576">
        <v>13</v>
      </c>
      <c r="I1576">
        <v>83426</v>
      </c>
    </row>
    <row r="1577" spans="1:9" x14ac:dyDescent="0.25">
      <c r="A1577" s="5" t="str">
        <f>TrendSheetPrdData[[#This Row],[Population]]&amp;TrendSheetPrdData[[#This Row],[Cost Basis]]&amp;TrendSheetPrdData[[#This Row],[Period]]&amp;TrendSheetPrdData[[#This Row],[Trend]]</f>
        <v>MSSP_ATTRIBUTEDAllowed2015-10-01ED Utilization</v>
      </c>
      <c r="B1577" t="s">
        <v>128</v>
      </c>
      <c r="C1577" t="s">
        <v>128</v>
      </c>
      <c r="D1577" t="s">
        <v>91</v>
      </c>
      <c r="E1577" s="1" t="s">
        <v>134</v>
      </c>
      <c r="F1577" t="s">
        <v>93</v>
      </c>
      <c r="G1577" t="s">
        <v>25</v>
      </c>
      <c r="H1577">
        <v>14</v>
      </c>
      <c r="I1577">
        <v>444</v>
      </c>
    </row>
    <row r="1578" spans="1:9" x14ac:dyDescent="0.25">
      <c r="A1578" s="5" t="str">
        <f>TrendSheetPrdData[[#This Row],[Population]]&amp;TrendSheetPrdData[[#This Row],[Cost Basis]]&amp;TrendSheetPrdData[[#This Row],[Period]]&amp;TrendSheetPrdData[[#This Row],[Trend]]</f>
        <v>MSSP_ATTRIBUTEDAllowed2015-11-01ED Utilization</v>
      </c>
      <c r="B1578" t="s">
        <v>128</v>
      </c>
      <c r="C1578" t="s">
        <v>128</v>
      </c>
      <c r="D1578" t="s">
        <v>91</v>
      </c>
      <c r="E1578" s="1" t="s">
        <v>130</v>
      </c>
      <c r="F1578" t="s">
        <v>93</v>
      </c>
      <c r="G1578" t="s">
        <v>25</v>
      </c>
      <c r="H1578">
        <v>14</v>
      </c>
      <c r="I1578">
        <v>453</v>
      </c>
    </row>
    <row r="1579" spans="1:9" x14ac:dyDescent="0.25">
      <c r="A1579" s="5" t="str">
        <f>TrendSheetPrdData[[#This Row],[Population]]&amp;TrendSheetPrdData[[#This Row],[Cost Basis]]&amp;TrendSheetPrdData[[#This Row],[Period]]&amp;TrendSheetPrdData[[#This Row],[Trend]]</f>
        <v>MSSP_ATTRIBUTEDAllowed2015-12-01ED Utilization</v>
      </c>
      <c r="B1579" t="s">
        <v>128</v>
      </c>
      <c r="C1579" t="s">
        <v>128</v>
      </c>
      <c r="D1579" t="s">
        <v>91</v>
      </c>
      <c r="E1579" s="1" t="s">
        <v>131</v>
      </c>
      <c r="F1579" t="s">
        <v>93</v>
      </c>
      <c r="G1579" t="s">
        <v>25</v>
      </c>
      <c r="H1579">
        <v>14</v>
      </c>
      <c r="I1579">
        <v>492</v>
      </c>
    </row>
    <row r="1580" spans="1:9" x14ac:dyDescent="0.25">
      <c r="A1580" s="5" t="str">
        <f>TrendSheetPrdData[[#This Row],[Population]]&amp;TrendSheetPrdData[[#This Row],[Cost Basis]]&amp;TrendSheetPrdData[[#This Row],[Period]]&amp;TrendSheetPrdData[[#This Row],[Trend]]</f>
        <v>MSSP_ATTRIBUTEDAllowed2016-01-01ED Utilization</v>
      </c>
      <c r="B1580" t="s">
        <v>128</v>
      </c>
      <c r="C1580" t="s">
        <v>128</v>
      </c>
      <c r="D1580" t="s">
        <v>91</v>
      </c>
      <c r="E1580" s="1" t="s">
        <v>132</v>
      </c>
      <c r="F1580" t="s">
        <v>93</v>
      </c>
      <c r="G1580" t="s">
        <v>25</v>
      </c>
      <c r="H1580">
        <v>14</v>
      </c>
      <c r="I1580">
        <v>471</v>
      </c>
    </row>
    <row r="1581" spans="1:9" x14ac:dyDescent="0.25">
      <c r="A1581" s="5" t="str">
        <f>TrendSheetPrdData[[#This Row],[Population]]&amp;TrendSheetPrdData[[#This Row],[Cost Basis]]&amp;TrendSheetPrdData[[#This Row],[Period]]&amp;TrendSheetPrdData[[#This Row],[Trend]]</f>
        <v>MSSP_ATTRIBUTEDAllowed2016-02-01ED Utilization</v>
      </c>
      <c r="B1581" t="s">
        <v>128</v>
      </c>
      <c r="C1581" t="s">
        <v>128</v>
      </c>
      <c r="D1581" t="s">
        <v>91</v>
      </c>
      <c r="E1581" s="1" t="s">
        <v>133</v>
      </c>
      <c r="F1581" t="s">
        <v>93</v>
      </c>
      <c r="G1581" t="s">
        <v>25</v>
      </c>
      <c r="H1581">
        <v>14</v>
      </c>
      <c r="I1581">
        <v>437</v>
      </c>
    </row>
    <row r="1582" spans="1:9" x14ac:dyDescent="0.25">
      <c r="A1582" s="5" t="str">
        <f>TrendSheetPrdData[[#This Row],[Population]]&amp;TrendSheetPrdData[[#This Row],[Cost Basis]]&amp;TrendSheetPrdData[[#This Row],[Period]]&amp;TrendSheetPrdData[[#This Row],[Trend]]</f>
        <v>MSSP_ATTRIBUTEDAllowed2016-03-01ED Utilization</v>
      </c>
      <c r="B1582" t="s">
        <v>128</v>
      </c>
      <c r="C1582" t="s">
        <v>128</v>
      </c>
      <c r="D1582" t="s">
        <v>91</v>
      </c>
      <c r="E1582" s="1" t="s">
        <v>92</v>
      </c>
      <c r="F1582" t="s">
        <v>93</v>
      </c>
      <c r="G1582" t="s">
        <v>25</v>
      </c>
      <c r="H1582">
        <v>14</v>
      </c>
      <c r="I1582">
        <v>471</v>
      </c>
    </row>
    <row r="1583" spans="1:9" x14ac:dyDescent="0.25">
      <c r="A1583" s="5" t="str">
        <f>TrendSheetPrdData[[#This Row],[Population]]&amp;TrendSheetPrdData[[#This Row],[Cost Basis]]&amp;TrendSheetPrdData[[#This Row],[Period]]&amp;TrendSheetPrdData[[#This Row],[Trend]]</f>
        <v>MSSP_ATTRIBUTEDAllowed2016-04-01ED Utilization</v>
      </c>
      <c r="B1583" t="s">
        <v>128</v>
      </c>
      <c r="C1583" t="s">
        <v>128</v>
      </c>
      <c r="D1583" t="s">
        <v>91</v>
      </c>
      <c r="E1583" s="1" t="s">
        <v>94</v>
      </c>
      <c r="F1583" t="s">
        <v>93</v>
      </c>
      <c r="G1583" t="s">
        <v>25</v>
      </c>
      <c r="H1583">
        <v>14</v>
      </c>
      <c r="I1583">
        <v>491</v>
      </c>
    </row>
    <row r="1584" spans="1:9" x14ac:dyDescent="0.25">
      <c r="A1584" s="5" t="str">
        <f>TrendSheetPrdData[[#This Row],[Population]]&amp;TrendSheetPrdData[[#This Row],[Cost Basis]]&amp;TrendSheetPrdData[[#This Row],[Period]]&amp;TrendSheetPrdData[[#This Row],[Trend]]</f>
        <v>MSSP_ATTRIBUTEDAllowed2016-05-01ED Utilization</v>
      </c>
      <c r="B1584" t="s">
        <v>128</v>
      </c>
      <c r="C1584" t="s">
        <v>128</v>
      </c>
      <c r="D1584" t="s">
        <v>91</v>
      </c>
      <c r="E1584" s="1" t="s">
        <v>95</v>
      </c>
      <c r="F1584" t="s">
        <v>93</v>
      </c>
      <c r="G1584" t="s">
        <v>25</v>
      </c>
      <c r="H1584">
        <v>14</v>
      </c>
      <c r="I1584">
        <v>505</v>
      </c>
    </row>
    <row r="1585" spans="1:9" x14ac:dyDescent="0.25">
      <c r="A1585" s="5" t="str">
        <f>TrendSheetPrdData[[#This Row],[Population]]&amp;TrendSheetPrdData[[#This Row],[Cost Basis]]&amp;TrendSheetPrdData[[#This Row],[Period]]&amp;TrendSheetPrdData[[#This Row],[Trend]]</f>
        <v>MSSP_ATTRIBUTEDAllowed2016-06-01ED Utilization</v>
      </c>
      <c r="B1585" t="s">
        <v>128</v>
      </c>
      <c r="C1585" t="s">
        <v>128</v>
      </c>
      <c r="D1585" t="s">
        <v>91</v>
      </c>
      <c r="E1585" s="1" t="s">
        <v>96</v>
      </c>
      <c r="F1585" t="s">
        <v>93</v>
      </c>
      <c r="G1585" t="s">
        <v>25</v>
      </c>
      <c r="H1585">
        <v>14</v>
      </c>
      <c r="I1585">
        <v>477</v>
      </c>
    </row>
    <row r="1586" spans="1:9" x14ac:dyDescent="0.25">
      <c r="A1586" s="5" t="str">
        <f>TrendSheetPrdData[[#This Row],[Population]]&amp;TrendSheetPrdData[[#This Row],[Cost Basis]]&amp;TrendSheetPrdData[[#This Row],[Period]]&amp;TrendSheetPrdData[[#This Row],[Trend]]</f>
        <v>MSSP_ATTRIBUTEDAllowed2016-07-01ED Utilization</v>
      </c>
      <c r="B1586" t="s">
        <v>128</v>
      </c>
      <c r="C1586" t="s">
        <v>128</v>
      </c>
      <c r="D1586" t="s">
        <v>91</v>
      </c>
      <c r="E1586" s="1" t="s">
        <v>97</v>
      </c>
      <c r="F1586" t="s">
        <v>93</v>
      </c>
      <c r="G1586" t="s">
        <v>25</v>
      </c>
      <c r="H1586">
        <v>14</v>
      </c>
      <c r="I1586">
        <v>515</v>
      </c>
    </row>
    <row r="1587" spans="1:9" x14ac:dyDescent="0.25">
      <c r="A1587" s="5" t="str">
        <f>TrendSheetPrdData[[#This Row],[Population]]&amp;TrendSheetPrdData[[#This Row],[Cost Basis]]&amp;TrendSheetPrdData[[#This Row],[Period]]&amp;TrendSheetPrdData[[#This Row],[Trend]]</f>
        <v>MSSP_ATTRIBUTEDAllowed2016-08-01ED Utilization</v>
      </c>
      <c r="B1587" t="s">
        <v>128</v>
      </c>
      <c r="C1587" t="s">
        <v>128</v>
      </c>
      <c r="D1587" t="s">
        <v>91</v>
      </c>
      <c r="E1587" s="1" t="s">
        <v>98</v>
      </c>
      <c r="F1587" t="s">
        <v>93</v>
      </c>
      <c r="G1587" t="s">
        <v>25</v>
      </c>
      <c r="H1587">
        <v>14</v>
      </c>
      <c r="I1587">
        <v>516</v>
      </c>
    </row>
    <row r="1588" spans="1:9" x14ac:dyDescent="0.25">
      <c r="A1588" s="5" t="str">
        <f>TrendSheetPrdData[[#This Row],[Population]]&amp;TrendSheetPrdData[[#This Row],[Cost Basis]]&amp;TrendSheetPrdData[[#This Row],[Period]]&amp;TrendSheetPrdData[[#This Row],[Trend]]</f>
        <v>MSSP_ATTRIBUTEDAllowed2016-09-01ED Utilization</v>
      </c>
      <c r="B1588" t="s">
        <v>128</v>
      </c>
      <c r="C1588" t="s">
        <v>128</v>
      </c>
      <c r="D1588" t="s">
        <v>91</v>
      </c>
      <c r="E1588" s="1" t="s">
        <v>99</v>
      </c>
      <c r="F1588" t="s">
        <v>93</v>
      </c>
      <c r="G1588" t="s">
        <v>25</v>
      </c>
      <c r="H1588">
        <v>14</v>
      </c>
      <c r="I1588">
        <v>475</v>
      </c>
    </row>
    <row r="1589" spans="1:9" x14ac:dyDescent="0.25">
      <c r="A1589" s="5" t="str">
        <f>TrendSheetPrdData[[#This Row],[Population]]&amp;TrendSheetPrdData[[#This Row],[Cost Basis]]&amp;TrendSheetPrdData[[#This Row],[Period]]&amp;TrendSheetPrdData[[#This Row],[Trend]]</f>
        <v>MSSP_ATTRIBUTEDAllowed2016-10-01ED Utilization</v>
      </c>
      <c r="B1589" t="s">
        <v>128</v>
      </c>
      <c r="C1589" t="s">
        <v>128</v>
      </c>
      <c r="D1589" t="s">
        <v>91</v>
      </c>
      <c r="E1589" s="1" t="s">
        <v>100</v>
      </c>
      <c r="F1589" t="s">
        <v>106</v>
      </c>
      <c r="G1589" t="s">
        <v>25</v>
      </c>
      <c r="H1589">
        <v>14</v>
      </c>
      <c r="I1589">
        <v>484</v>
      </c>
    </row>
    <row r="1590" spans="1:9" x14ac:dyDescent="0.25">
      <c r="A1590" s="5" t="str">
        <f>TrendSheetPrdData[[#This Row],[Population]]&amp;TrendSheetPrdData[[#This Row],[Cost Basis]]&amp;TrendSheetPrdData[[#This Row],[Period]]&amp;TrendSheetPrdData[[#This Row],[Trend]]</f>
        <v>MSSP_ATTRIBUTEDAllowed2016-11-01ED Utilization</v>
      </c>
      <c r="B1590" t="s">
        <v>128</v>
      </c>
      <c r="C1590" t="s">
        <v>128</v>
      </c>
      <c r="D1590" t="s">
        <v>91</v>
      </c>
      <c r="E1590" s="1" t="s">
        <v>101</v>
      </c>
      <c r="F1590" t="s">
        <v>106</v>
      </c>
      <c r="G1590" t="s">
        <v>25</v>
      </c>
      <c r="H1590">
        <v>14</v>
      </c>
      <c r="I1590">
        <v>465</v>
      </c>
    </row>
    <row r="1591" spans="1:9" x14ac:dyDescent="0.25">
      <c r="A1591" s="5" t="str">
        <f>TrendSheetPrdData[[#This Row],[Population]]&amp;TrendSheetPrdData[[#This Row],[Cost Basis]]&amp;TrendSheetPrdData[[#This Row],[Period]]&amp;TrendSheetPrdData[[#This Row],[Trend]]</f>
        <v>MSSP_ATTRIBUTEDAllowed2016-12-01ED Utilization</v>
      </c>
      <c r="B1591" t="s">
        <v>128</v>
      </c>
      <c r="C1591" t="s">
        <v>128</v>
      </c>
      <c r="D1591" t="s">
        <v>91</v>
      </c>
      <c r="E1591" s="1" t="s">
        <v>102</v>
      </c>
      <c r="F1591" t="s">
        <v>106</v>
      </c>
      <c r="G1591" t="s">
        <v>25</v>
      </c>
      <c r="H1591">
        <v>14</v>
      </c>
      <c r="I1591">
        <v>148</v>
      </c>
    </row>
    <row r="1592" spans="1:9" x14ac:dyDescent="0.25">
      <c r="A1592" s="5" t="str">
        <f>TrendSheetPrdData[[#This Row],[Population]]&amp;TrendSheetPrdData[[#This Row],[Cost Basis]]&amp;TrendSheetPrdData[[#This Row],[Period]]&amp;TrendSheetPrdData[[#This Row],[Trend]]</f>
        <v>MSSP_ATTRIBUTEDAllowed2015-10-01Drug - Generic Utilization Cost</v>
      </c>
      <c r="B1592" t="s">
        <v>128</v>
      </c>
      <c r="C1592" t="s">
        <v>128</v>
      </c>
      <c r="D1592" t="s">
        <v>91</v>
      </c>
      <c r="E1592" s="1" t="s">
        <v>134</v>
      </c>
      <c r="F1592" t="s">
        <v>93</v>
      </c>
      <c r="G1592" t="s">
        <v>26</v>
      </c>
      <c r="H1592">
        <v>15</v>
      </c>
      <c r="I1592">
        <v>1811144</v>
      </c>
    </row>
    <row r="1593" spans="1:9" x14ac:dyDescent="0.25">
      <c r="A1593" s="5" t="str">
        <f>TrendSheetPrdData[[#This Row],[Population]]&amp;TrendSheetPrdData[[#This Row],[Cost Basis]]&amp;TrendSheetPrdData[[#This Row],[Period]]&amp;TrendSheetPrdData[[#This Row],[Trend]]</f>
        <v>MSSP_ATTRIBUTEDAllowed2015-11-01Drug - Generic Utilization Cost</v>
      </c>
      <c r="B1593" t="s">
        <v>128</v>
      </c>
      <c r="C1593" t="s">
        <v>128</v>
      </c>
      <c r="D1593" t="s">
        <v>91</v>
      </c>
      <c r="E1593" s="1" t="s">
        <v>130</v>
      </c>
      <c r="F1593" t="s">
        <v>93</v>
      </c>
      <c r="G1593" t="s">
        <v>26</v>
      </c>
      <c r="H1593">
        <v>15</v>
      </c>
      <c r="I1593">
        <v>1512380</v>
      </c>
    </row>
    <row r="1594" spans="1:9" x14ac:dyDescent="0.25">
      <c r="A1594" s="5" t="str">
        <f>TrendSheetPrdData[[#This Row],[Population]]&amp;TrendSheetPrdData[[#This Row],[Cost Basis]]&amp;TrendSheetPrdData[[#This Row],[Period]]&amp;TrendSheetPrdData[[#This Row],[Trend]]</f>
        <v>MSSP_ATTRIBUTEDAllowed2015-12-01Drug - Generic Utilization Cost</v>
      </c>
      <c r="B1594" t="s">
        <v>128</v>
      </c>
      <c r="C1594" t="s">
        <v>128</v>
      </c>
      <c r="D1594" t="s">
        <v>91</v>
      </c>
      <c r="E1594" s="1" t="s">
        <v>131</v>
      </c>
      <c r="F1594" t="s">
        <v>93</v>
      </c>
      <c r="G1594" t="s">
        <v>26</v>
      </c>
      <c r="H1594">
        <v>15</v>
      </c>
      <c r="I1594">
        <v>1034861</v>
      </c>
    </row>
    <row r="1595" spans="1:9" x14ac:dyDescent="0.25">
      <c r="A1595" s="5" t="str">
        <f>TrendSheetPrdData[[#This Row],[Population]]&amp;TrendSheetPrdData[[#This Row],[Cost Basis]]&amp;TrendSheetPrdData[[#This Row],[Period]]&amp;TrendSheetPrdData[[#This Row],[Trend]]</f>
        <v>MSSP_ATTRIBUTEDAllowed2016-01-01Drug - Generic Utilization Cost</v>
      </c>
      <c r="B1595" t="s">
        <v>128</v>
      </c>
      <c r="C1595" t="s">
        <v>128</v>
      </c>
      <c r="D1595" t="s">
        <v>91</v>
      </c>
      <c r="E1595" s="1" t="s">
        <v>132</v>
      </c>
      <c r="F1595" t="s">
        <v>93</v>
      </c>
      <c r="G1595" t="s">
        <v>26</v>
      </c>
      <c r="H1595">
        <v>15</v>
      </c>
      <c r="I1595">
        <v>1485149</v>
      </c>
    </row>
    <row r="1596" spans="1:9" x14ac:dyDescent="0.25">
      <c r="A1596" s="5" t="str">
        <f>TrendSheetPrdData[[#This Row],[Population]]&amp;TrendSheetPrdData[[#This Row],[Cost Basis]]&amp;TrendSheetPrdData[[#This Row],[Period]]&amp;TrendSheetPrdData[[#This Row],[Trend]]</f>
        <v>MSSP_ATTRIBUTEDAllowed2016-02-01Drug - Generic Utilization Cost</v>
      </c>
      <c r="B1596" t="s">
        <v>128</v>
      </c>
      <c r="C1596" t="s">
        <v>128</v>
      </c>
      <c r="D1596" t="s">
        <v>91</v>
      </c>
      <c r="E1596" s="1" t="s">
        <v>133</v>
      </c>
      <c r="F1596" t="s">
        <v>93</v>
      </c>
      <c r="G1596" t="s">
        <v>26</v>
      </c>
      <c r="H1596">
        <v>15</v>
      </c>
      <c r="I1596">
        <v>1275522</v>
      </c>
    </row>
    <row r="1597" spans="1:9" x14ac:dyDescent="0.25">
      <c r="A1597" s="5" t="str">
        <f>TrendSheetPrdData[[#This Row],[Population]]&amp;TrendSheetPrdData[[#This Row],[Cost Basis]]&amp;TrendSheetPrdData[[#This Row],[Period]]&amp;TrendSheetPrdData[[#This Row],[Trend]]</f>
        <v>MSSP_ATTRIBUTEDAllowed2016-03-01Drug - Generic Utilization Cost</v>
      </c>
      <c r="B1597" t="s">
        <v>128</v>
      </c>
      <c r="C1597" t="s">
        <v>128</v>
      </c>
      <c r="D1597" t="s">
        <v>91</v>
      </c>
      <c r="E1597" s="1" t="s">
        <v>92</v>
      </c>
      <c r="F1597" t="s">
        <v>93</v>
      </c>
      <c r="G1597" t="s">
        <v>26</v>
      </c>
      <c r="H1597">
        <v>15</v>
      </c>
      <c r="I1597">
        <v>1267730</v>
      </c>
    </row>
    <row r="1598" spans="1:9" x14ac:dyDescent="0.25">
      <c r="A1598" s="5" t="str">
        <f>TrendSheetPrdData[[#This Row],[Population]]&amp;TrendSheetPrdData[[#This Row],[Cost Basis]]&amp;TrendSheetPrdData[[#This Row],[Period]]&amp;TrendSheetPrdData[[#This Row],[Trend]]</f>
        <v>MSSP_ATTRIBUTEDAllowed2016-04-01Drug - Generic Utilization Cost</v>
      </c>
      <c r="B1598" t="s">
        <v>128</v>
      </c>
      <c r="C1598" t="s">
        <v>128</v>
      </c>
      <c r="D1598" t="s">
        <v>91</v>
      </c>
      <c r="E1598" s="1" t="s">
        <v>94</v>
      </c>
      <c r="F1598" t="s">
        <v>93</v>
      </c>
      <c r="G1598" t="s">
        <v>26</v>
      </c>
      <c r="H1598">
        <v>15</v>
      </c>
      <c r="I1598">
        <v>1136536</v>
      </c>
    </row>
    <row r="1599" spans="1:9" x14ac:dyDescent="0.25">
      <c r="A1599" s="5" t="str">
        <f>TrendSheetPrdData[[#This Row],[Population]]&amp;TrendSheetPrdData[[#This Row],[Cost Basis]]&amp;TrendSheetPrdData[[#This Row],[Period]]&amp;TrendSheetPrdData[[#This Row],[Trend]]</f>
        <v>MSSP_ATTRIBUTEDAllowed2016-05-01Drug - Generic Utilization Cost</v>
      </c>
      <c r="B1599" t="s">
        <v>128</v>
      </c>
      <c r="C1599" t="s">
        <v>128</v>
      </c>
      <c r="D1599" t="s">
        <v>91</v>
      </c>
      <c r="E1599" s="1" t="s">
        <v>95</v>
      </c>
      <c r="F1599" t="s">
        <v>93</v>
      </c>
      <c r="G1599" t="s">
        <v>26</v>
      </c>
      <c r="H1599">
        <v>15</v>
      </c>
      <c r="I1599">
        <v>1168334</v>
      </c>
    </row>
    <row r="1600" spans="1:9" x14ac:dyDescent="0.25">
      <c r="A1600" s="5" t="str">
        <f>TrendSheetPrdData[[#This Row],[Population]]&amp;TrendSheetPrdData[[#This Row],[Cost Basis]]&amp;TrendSheetPrdData[[#This Row],[Period]]&amp;TrendSheetPrdData[[#This Row],[Trend]]</f>
        <v>MSSP_ATTRIBUTEDAllowed2016-06-01Drug - Generic Utilization Cost</v>
      </c>
      <c r="B1600" t="s">
        <v>128</v>
      </c>
      <c r="C1600" t="s">
        <v>128</v>
      </c>
      <c r="D1600" t="s">
        <v>91</v>
      </c>
      <c r="E1600" s="1" t="s">
        <v>96</v>
      </c>
      <c r="F1600" t="s">
        <v>93</v>
      </c>
      <c r="G1600" t="s">
        <v>26</v>
      </c>
      <c r="H1600">
        <v>15</v>
      </c>
      <c r="I1600">
        <v>1148742</v>
      </c>
    </row>
    <row r="1601" spans="1:9" x14ac:dyDescent="0.25">
      <c r="A1601" s="5" t="str">
        <f>TrendSheetPrdData[[#This Row],[Population]]&amp;TrendSheetPrdData[[#This Row],[Cost Basis]]&amp;TrendSheetPrdData[[#This Row],[Period]]&amp;TrendSheetPrdData[[#This Row],[Trend]]</f>
        <v>MSSP_ATTRIBUTEDAllowed2016-07-01Drug - Generic Utilization Cost</v>
      </c>
      <c r="B1601" t="s">
        <v>128</v>
      </c>
      <c r="C1601" t="s">
        <v>128</v>
      </c>
      <c r="D1601" t="s">
        <v>91</v>
      </c>
      <c r="E1601" s="1" t="s">
        <v>97</v>
      </c>
      <c r="F1601" t="s">
        <v>93</v>
      </c>
      <c r="G1601" t="s">
        <v>26</v>
      </c>
      <c r="H1601">
        <v>15</v>
      </c>
      <c r="I1601">
        <v>1077785</v>
      </c>
    </row>
    <row r="1602" spans="1:9" x14ac:dyDescent="0.25">
      <c r="A1602" s="5" t="str">
        <f>TrendSheetPrdData[[#This Row],[Population]]&amp;TrendSheetPrdData[[#This Row],[Cost Basis]]&amp;TrendSheetPrdData[[#This Row],[Period]]&amp;TrendSheetPrdData[[#This Row],[Trend]]</f>
        <v>MSSP_ATTRIBUTEDAllowed2016-08-01Drug - Generic Utilization Cost</v>
      </c>
      <c r="B1602" t="s">
        <v>128</v>
      </c>
      <c r="C1602" t="s">
        <v>128</v>
      </c>
      <c r="D1602" t="s">
        <v>91</v>
      </c>
      <c r="E1602" s="1" t="s">
        <v>98</v>
      </c>
      <c r="F1602" t="s">
        <v>93</v>
      </c>
      <c r="G1602" t="s">
        <v>26</v>
      </c>
      <c r="H1602">
        <v>15</v>
      </c>
      <c r="I1602">
        <v>1103497</v>
      </c>
    </row>
    <row r="1603" spans="1:9" x14ac:dyDescent="0.25">
      <c r="A1603" s="5" t="str">
        <f>TrendSheetPrdData[[#This Row],[Population]]&amp;TrendSheetPrdData[[#This Row],[Cost Basis]]&amp;TrendSheetPrdData[[#This Row],[Period]]&amp;TrendSheetPrdData[[#This Row],[Trend]]</f>
        <v>MSSP_ATTRIBUTEDAllowed2016-09-01Drug - Generic Utilization Cost</v>
      </c>
      <c r="B1603" t="s">
        <v>128</v>
      </c>
      <c r="C1603" t="s">
        <v>128</v>
      </c>
      <c r="D1603" t="s">
        <v>91</v>
      </c>
      <c r="E1603" s="1" t="s">
        <v>99</v>
      </c>
      <c r="F1603" t="s">
        <v>93</v>
      </c>
      <c r="G1603" t="s">
        <v>26</v>
      </c>
      <c r="H1603">
        <v>15</v>
      </c>
      <c r="I1603">
        <v>1003504</v>
      </c>
    </row>
    <row r="1604" spans="1:9" x14ac:dyDescent="0.25">
      <c r="A1604" s="5" t="str">
        <f>TrendSheetPrdData[[#This Row],[Population]]&amp;TrendSheetPrdData[[#This Row],[Cost Basis]]&amp;TrendSheetPrdData[[#This Row],[Period]]&amp;TrendSheetPrdData[[#This Row],[Trend]]</f>
        <v>MSSP_ATTRIBUTEDAllowed2016-10-01Drug - Generic Utilization Cost</v>
      </c>
      <c r="B1604" t="s">
        <v>128</v>
      </c>
      <c r="C1604" t="s">
        <v>128</v>
      </c>
      <c r="D1604" t="s">
        <v>91</v>
      </c>
      <c r="E1604" s="1" t="s">
        <v>100</v>
      </c>
      <c r="F1604" t="s">
        <v>106</v>
      </c>
      <c r="G1604" t="s">
        <v>26</v>
      </c>
      <c r="H1604">
        <v>15</v>
      </c>
      <c r="I1604">
        <v>951118</v>
      </c>
    </row>
    <row r="1605" spans="1:9" x14ac:dyDescent="0.25">
      <c r="A1605" s="5" t="str">
        <f>TrendSheetPrdData[[#This Row],[Population]]&amp;TrendSheetPrdData[[#This Row],[Cost Basis]]&amp;TrendSheetPrdData[[#This Row],[Period]]&amp;TrendSheetPrdData[[#This Row],[Trend]]</f>
        <v>MSSP_ATTRIBUTEDAllowed2016-11-01Drug - Generic Utilization Cost</v>
      </c>
      <c r="B1605" t="s">
        <v>128</v>
      </c>
      <c r="C1605" t="s">
        <v>128</v>
      </c>
      <c r="D1605" t="s">
        <v>91</v>
      </c>
      <c r="E1605" s="1" t="s">
        <v>101</v>
      </c>
      <c r="F1605" t="s">
        <v>106</v>
      </c>
      <c r="G1605" t="s">
        <v>26</v>
      </c>
      <c r="H1605">
        <v>15</v>
      </c>
      <c r="I1605">
        <v>884564</v>
      </c>
    </row>
    <row r="1606" spans="1:9" x14ac:dyDescent="0.25">
      <c r="A1606" s="5" t="str">
        <f>TrendSheetPrdData[[#This Row],[Population]]&amp;TrendSheetPrdData[[#This Row],[Cost Basis]]&amp;TrendSheetPrdData[[#This Row],[Period]]&amp;TrendSheetPrdData[[#This Row],[Trend]]</f>
        <v>MSSP_ATTRIBUTEDAllowed2016-12-01Drug - Generic Utilization Cost</v>
      </c>
      <c r="B1606" t="s">
        <v>128</v>
      </c>
      <c r="C1606" t="s">
        <v>128</v>
      </c>
      <c r="D1606" t="s">
        <v>91</v>
      </c>
      <c r="E1606" s="1" t="s">
        <v>102</v>
      </c>
      <c r="F1606" t="s">
        <v>106</v>
      </c>
      <c r="G1606" t="s">
        <v>26</v>
      </c>
      <c r="H1606">
        <v>15</v>
      </c>
      <c r="I1606">
        <v>584588</v>
      </c>
    </row>
    <row r="1607" spans="1:9" x14ac:dyDescent="0.25">
      <c r="A1607" s="5" t="str">
        <f>TrendSheetPrdData[[#This Row],[Population]]&amp;TrendSheetPrdData[[#This Row],[Cost Basis]]&amp;TrendSheetPrdData[[#This Row],[Period]]&amp;TrendSheetPrdData[[#This Row],[Trend]]</f>
        <v>MSSP_ATTRIBUTEDAllowed2015-10-01Drug - Generic Utilization</v>
      </c>
      <c r="B1607" t="s">
        <v>128</v>
      </c>
      <c r="C1607" t="s">
        <v>128</v>
      </c>
      <c r="D1607" t="s">
        <v>91</v>
      </c>
      <c r="E1607" s="1" t="s">
        <v>134</v>
      </c>
      <c r="F1607" t="s">
        <v>93</v>
      </c>
      <c r="G1607" t="s">
        <v>27</v>
      </c>
      <c r="H1607">
        <v>16</v>
      </c>
      <c r="I1607">
        <v>0.85</v>
      </c>
    </row>
    <row r="1608" spans="1:9" x14ac:dyDescent="0.25">
      <c r="A1608" s="5" t="str">
        <f>TrendSheetPrdData[[#This Row],[Population]]&amp;TrendSheetPrdData[[#This Row],[Cost Basis]]&amp;TrendSheetPrdData[[#This Row],[Period]]&amp;TrendSheetPrdData[[#This Row],[Trend]]</f>
        <v>MSSP_ATTRIBUTEDAllowed2015-11-01Drug - Generic Utilization</v>
      </c>
      <c r="B1608" t="s">
        <v>128</v>
      </c>
      <c r="C1608" t="s">
        <v>128</v>
      </c>
      <c r="D1608" t="s">
        <v>91</v>
      </c>
      <c r="E1608" s="1" t="s">
        <v>130</v>
      </c>
      <c r="F1608" t="s">
        <v>93</v>
      </c>
      <c r="G1608" t="s">
        <v>27</v>
      </c>
      <c r="H1608">
        <v>16</v>
      </c>
      <c r="I1608">
        <v>0.84</v>
      </c>
    </row>
    <row r="1609" spans="1:9" x14ac:dyDescent="0.25">
      <c r="A1609" s="5" t="str">
        <f>TrendSheetPrdData[[#This Row],[Population]]&amp;TrendSheetPrdData[[#This Row],[Cost Basis]]&amp;TrendSheetPrdData[[#This Row],[Period]]&amp;TrendSheetPrdData[[#This Row],[Trend]]</f>
        <v>MSSP_ATTRIBUTEDAllowed2015-12-01Drug - Generic Utilization</v>
      </c>
      <c r="B1609" t="s">
        <v>128</v>
      </c>
      <c r="C1609" t="s">
        <v>128</v>
      </c>
      <c r="D1609" t="s">
        <v>91</v>
      </c>
      <c r="E1609" s="1" t="s">
        <v>131</v>
      </c>
      <c r="F1609" t="s">
        <v>93</v>
      </c>
      <c r="G1609" t="s">
        <v>27</v>
      </c>
      <c r="H1609">
        <v>16</v>
      </c>
      <c r="I1609">
        <v>0.84</v>
      </c>
    </row>
    <row r="1610" spans="1:9" x14ac:dyDescent="0.25">
      <c r="A1610" s="5" t="str">
        <f>TrendSheetPrdData[[#This Row],[Population]]&amp;TrendSheetPrdData[[#This Row],[Cost Basis]]&amp;TrendSheetPrdData[[#This Row],[Period]]&amp;TrendSheetPrdData[[#This Row],[Trend]]</f>
        <v>MSSP_ATTRIBUTEDAllowed2016-01-01Drug - Generic Utilization</v>
      </c>
      <c r="B1610" t="s">
        <v>128</v>
      </c>
      <c r="C1610" t="s">
        <v>128</v>
      </c>
      <c r="D1610" t="s">
        <v>91</v>
      </c>
      <c r="E1610" s="1" t="s">
        <v>132</v>
      </c>
      <c r="F1610" t="s">
        <v>93</v>
      </c>
      <c r="G1610" t="s">
        <v>27</v>
      </c>
      <c r="H1610">
        <v>16</v>
      </c>
      <c r="I1610">
        <v>0.85</v>
      </c>
    </row>
    <row r="1611" spans="1:9" x14ac:dyDescent="0.25">
      <c r="A1611" s="5" t="str">
        <f>TrendSheetPrdData[[#This Row],[Population]]&amp;TrendSheetPrdData[[#This Row],[Cost Basis]]&amp;TrendSheetPrdData[[#This Row],[Period]]&amp;TrendSheetPrdData[[#This Row],[Trend]]</f>
        <v>MSSP_ATTRIBUTEDAllowed2016-02-01Drug - Generic Utilization</v>
      </c>
      <c r="B1611" t="s">
        <v>128</v>
      </c>
      <c r="C1611" t="s">
        <v>128</v>
      </c>
      <c r="D1611" t="s">
        <v>91</v>
      </c>
      <c r="E1611" s="1" t="s">
        <v>133</v>
      </c>
      <c r="F1611" t="s">
        <v>93</v>
      </c>
      <c r="G1611" t="s">
        <v>27</v>
      </c>
      <c r="H1611">
        <v>16</v>
      </c>
      <c r="I1611">
        <v>0.84</v>
      </c>
    </row>
    <row r="1612" spans="1:9" x14ac:dyDescent="0.25">
      <c r="A1612" s="5" t="str">
        <f>TrendSheetPrdData[[#This Row],[Population]]&amp;TrendSheetPrdData[[#This Row],[Cost Basis]]&amp;TrendSheetPrdData[[#This Row],[Period]]&amp;TrendSheetPrdData[[#This Row],[Trend]]</f>
        <v>MSSP_ATTRIBUTEDAllowed2016-03-01Drug - Generic Utilization</v>
      </c>
      <c r="B1612" t="s">
        <v>128</v>
      </c>
      <c r="C1612" t="s">
        <v>128</v>
      </c>
      <c r="D1612" t="s">
        <v>91</v>
      </c>
      <c r="E1612" s="1" t="s">
        <v>92</v>
      </c>
      <c r="F1612" t="s">
        <v>93</v>
      </c>
      <c r="G1612" t="s">
        <v>27</v>
      </c>
      <c r="H1612">
        <v>16</v>
      </c>
      <c r="I1612">
        <v>0.85</v>
      </c>
    </row>
    <row r="1613" spans="1:9" x14ac:dyDescent="0.25">
      <c r="A1613" s="5" t="str">
        <f>TrendSheetPrdData[[#This Row],[Population]]&amp;TrendSheetPrdData[[#This Row],[Cost Basis]]&amp;TrendSheetPrdData[[#This Row],[Period]]&amp;TrendSheetPrdData[[#This Row],[Trend]]</f>
        <v>MSSP_ATTRIBUTEDAllowed2016-04-01Drug - Generic Utilization</v>
      </c>
      <c r="B1613" t="s">
        <v>128</v>
      </c>
      <c r="C1613" t="s">
        <v>128</v>
      </c>
      <c r="D1613" t="s">
        <v>91</v>
      </c>
      <c r="E1613" s="1" t="s">
        <v>94</v>
      </c>
      <c r="F1613" t="s">
        <v>93</v>
      </c>
      <c r="G1613" t="s">
        <v>27</v>
      </c>
      <c r="H1613">
        <v>16</v>
      </c>
      <c r="I1613">
        <v>0.85</v>
      </c>
    </row>
    <row r="1614" spans="1:9" x14ac:dyDescent="0.25">
      <c r="A1614" s="5" t="str">
        <f>TrendSheetPrdData[[#This Row],[Population]]&amp;TrendSheetPrdData[[#This Row],[Cost Basis]]&amp;TrendSheetPrdData[[#This Row],[Period]]&amp;TrendSheetPrdData[[#This Row],[Trend]]</f>
        <v>MSSP_ATTRIBUTEDAllowed2016-05-01Drug - Generic Utilization</v>
      </c>
      <c r="B1614" t="s">
        <v>128</v>
      </c>
      <c r="C1614" t="s">
        <v>128</v>
      </c>
      <c r="D1614" t="s">
        <v>91</v>
      </c>
      <c r="E1614" s="1" t="s">
        <v>95</v>
      </c>
      <c r="F1614" t="s">
        <v>93</v>
      </c>
      <c r="G1614" t="s">
        <v>27</v>
      </c>
      <c r="H1614">
        <v>16</v>
      </c>
      <c r="I1614">
        <v>0.85</v>
      </c>
    </row>
    <row r="1615" spans="1:9" x14ac:dyDescent="0.25">
      <c r="A1615" s="5" t="str">
        <f>TrendSheetPrdData[[#This Row],[Population]]&amp;TrendSheetPrdData[[#This Row],[Cost Basis]]&amp;TrendSheetPrdData[[#This Row],[Period]]&amp;TrendSheetPrdData[[#This Row],[Trend]]</f>
        <v>MSSP_ATTRIBUTEDAllowed2016-06-01Drug - Generic Utilization</v>
      </c>
      <c r="B1615" t="s">
        <v>128</v>
      </c>
      <c r="C1615" t="s">
        <v>128</v>
      </c>
      <c r="D1615" t="s">
        <v>91</v>
      </c>
      <c r="E1615" s="1" t="s">
        <v>96</v>
      </c>
      <c r="F1615" t="s">
        <v>93</v>
      </c>
      <c r="G1615" t="s">
        <v>27</v>
      </c>
      <c r="H1615">
        <v>16</v>
      </c>
      <c r="I1615">
        <v>0.85</v>
      </c>
    </row>
    <row r="1616" spans="1:9" x14ac:dyDescent="0.25">
      <c r="A1616" s="5" t="str">
        <f>TrendSheetPrdData[[#This Row],[Population]]&amp;TrendSheetPrdData[[#This Row],[Cost Basis]]&amp;TrendSheetPrdData[[#This Row],[Period]]&amp;TrendSheetPrdData[[#This Row],[Trend]]</f>
        <v>MSSP_ATTRIBUTEDAllowed2016-07-01Drug - Generic Utilization</v>
      </c>
      <c r="B1616" t="s">
        <v>128</v>
      </c>
      <c r="C1616" t="s">
        <v>128</v>
      </c>
      <c r="D1616" t="s">
        <v>91</v>
      </c>
      <c r="E1616" s="1" t="s">
        <v>97</v>
      </c>
      <c r="F1616" t="s">
        <v>93</v>
      </c>
      <c r="G1616" t="s">
        <v>27</v>
      </c>
      <c r="H1616">
        <v>16</v>
      </c>
      <c r="I1616">
        <v>0.86</v>
      </c>
    </row>
    <row r="1617" spans="1:9" x14ac:dyDescent="0.25">
      <c r="A1617" s="5" t="str">
        <f>TrendSheetPrdData[[#This Row],[Population]]&amp;TrendSheetPrdData[[#This Row],[Cost Basis]]&amp;TrendSheetPrdData[[#This Row],[Period]]&amp;TrendSheetPrdData[[#This Row],[Trend]]</f>
        <v>MSSP_ATTRIBUTEDAllowed2016-08-01Drug - Generic Utilization</v>
      </c>
      <c r="B1617" t="s">
        <v>128</v>
      </c>
      <c r="C1617" t="s">
        <v>128</v>
      </c>
      <c r="D1617" t="s">
        <v>91</v>
      </c>
      <c r="E1617" s="1" t="s">
        <v>98</v>
      </c>
      <c r="F1617" t="s">
        <v>93</v>
      </c>
      <c r="G1617" t="s">
        <v>27</v>
      </c>
      <c r="H1617">
        <v>16</v>
      </c>
      <c r="I1617">
        <v>0.86</v>
      </c>
    </row>
    <row r="1618" spans="1:9" x14ac:dyDescent="0.25">
      <c r="A1618" s="5" t="str">
        <f>TrendSheetPrdData[[#This Row],[Population]]&amp;TrendSheetPrdData[[#This Row],[Cost Basis]]&amp;TrendSheetPrdData[[#This Row],[Period]]&amp;TrendSheetPrdData[[#This Row],[Trend]]</f>
        <v>MSSP_ATTRIBUTEDAllowed2016-09-01Drug - Generic Utilization</v>
      </c>
      <c r="B1618" t="s">
        <v>128</v>
      </c>
      <c r="C1618" t="s">
        <v>128</v>
      </c>
      <c r="D1618" t="s">
        <v>91</v>
      </c>
      <c r="E1618" s="1" t="s">
        <v>99</v>
      </c>
      <c r="F1618" t="s">
        <v>93</v>
      </c>
      <c r="G1618" t="s">
        <v>27</v>
      </c>
      <c r="H1618">
        <v>16</v>
      </c>
      <c r="I1618">
        <v>0.86</v>
      </c>
    </row>
    <row r="1619" spans="1:9" x14ac:dyDescent="0.25">
      <c r="A1619" s="5" t="str">
        <f>TrendSheetPrdData[[#This Row],[Population]]&amp;TrendSheetPrdData[[#This Row],[Cost Basis]]&amp;TrendSheetPrdData[[#This Row],[Period]]&amp;TrendSheetPrdData[[#This Row],[Trend]]</f>
        <v>MSSP_ATTRIBUTEDAllowed2016-10-01Drug - Generic Utilization</v>
      </c>
      <c r="B1619" t="s">
        <v>128</v>
      </c>
      <c r="C1619" t="s">
        <v>128</v>
      </c>
      <c r="D1619" t="s">
        <v>91</v>
      </c>
      <c r="E1619" s="1" t="s">
        <v>100</v>
      </c>
      <c r="F1619" t="s">
        <v>106</v>
      </c>
      <c r="G1619" t="s">
        <v>27</v>
      </c>
      <c r="H1619">
        <v>16</v>
      </c>
      <c r="I1619">
        <v>0.87</v>
      </c>
    </row>
    <row r="1620" spans="1:9" x14ac:dyDescent="0.25">
      <c r="A1620" s="5" t="str">
        <f>TrendSheetPrdData[[#This Row],[Population]]&amp;TrendSheetPrdData[[#This Row],[Cost Basis]]&amp;TrendSheetPrdData[[#This Row],[Period]]&amp;TrendSheetPrdData[[#This Row],[Trend]]</f>
        <v>MSSP_ATTRIBUTEDAllowed2016-11-01Drug - Generic Utilization</v>
      </c>
      <c r="B1620" t="s">
        <v>128</v>
      </c>
      <c r="C1620" t="s">
        <v>128</v>
      </c>
      <c r="D1620" t="s">
        <v>91</v>
      </c>
      <c r="E1620" s="1" t="s">
        <v>101</v>
      </c>
      <c r="F1620" t="s">
        <v>106</v>
      </c>
      <c r="G1620" t="s">
        <v>27</v>
      </c>
      <c r="H1620">
        <v>16</v>
      </c>
      <c r="I1620">
        <v>0.86</v>
      </c>
    </row>
    <row r="1621" spans="1:9" x14ac:dyDescent="0.25">
      <c r="A1621" s="5" t="str">
        <f>TrendSheetPrdData[[#This Row],[Population]]&amp;TrendSheetPrdData[[#This Row],[Cost Basis]]&amp;TrendSheetPrdData[[#This Row],[Period]]&amp;TrendSheetPrdData[[#This Row],[Trend]]</f>
        <v>MSSP_ATTRIBUTEDAllowed2016-12-01Drug - Generic Utilization</v>
      </c>
      <c r="B1621" t="s">
        <v>128</v>
      </c>
      <c r="C1621" t="s">
        <v>128</v>
      </c>
      <c r="D1621" t="s">
        <v>91</v>
      </c>
      <c r="E1621" s="1" t="s">
        <v>102</v>
      </c>
      <c r="F1621" t="s">
        <v>106</v>
      </c>
      <c r="G1621" t="s">
        <v>27</v>
      </c>
      <c r="H1621">
        <v>16</v>
      </c>
      <c r="I1621">
        <v>0.87</v>
      </c>
    </row>
    <row r="1622" spans="1:9" x14ac:dyDescent="0.25">
      <c r="A1622" s="5" t="str">
        <f>TrendSheetPrdData[[#This Row],[Population]]&amp;TrendSheetPrdData[[#This Row],[Cost Basis]]&amp;TrendSheetPrdData[[#This Row],[Period]]&amp;TrendSheetPrdData[[#This Row],[Trend]]</f>
        <v>MSSP_ATTRIBUTEDAllowed2015-10-01Chronic Disease Management - Cost</v>
      </c>
      <c r="B1622" t="s">
        <v>128</v>
      </c>
      <c r="C1622" t="s">
        <v>128</v>
      </c>
      <c r="D1622" t="s">
        <v>91</v>
      </c>
      <c r="E1622" s="1" t="s">
        <v>134</v>
      </c>
      <c r="F1622" t="s">
        <v>93</v>
      </c>
      <c r="G1622" t="s">
        <v>28</v>
      </c>
      <c r="H1622">
        <v>17</v>
      </c>
      <c r="I1622">
        <v>17335330</v>
      </c>
    </row>
    <row r="1623" spans="1:9" x14ac:dyDescent="0.25">
      <c r="A1623" s="5" t="str">
        <f>TrendSheetPrdData[[#This Row],[Population]]&amp;TrendSheetPrdData[[#This Row],[Cost Basis]]&amp;TrendSheetPrdData[[#This Row],[Period]]&amp;TrendSheetPrdData[[#This Row],[Trend]]</f>
        <v>MSSP_ATTRIBUTEDAllowed2015-11-01Chronic Disease Management - Cost</v>
      </c>
      <c r="B1623" t="s">
        <v>128</v>
      </c>
      <c r="C1623" t="s">
        <v>128</v>
      </c>
      <c r="D1623" t="s">
        <v>91</v>
      </c>
      <c r="E1623" s="1" t="s">
        <v>130</v>
      </c>
      <c r="F1623" t="s">
        <v>93</v>
      </c>
      <c r="G1623" t="s">
        <v>28</v>
      </c>
      <c r="H1623">
        <v>17</v>
      </c>
      <c r="I1623">
        <v>16913315</v>
      </c>
    </row>
    <row r="1624" spans="1:9" x14ac:dyDescent="0.25">
      <c r="A1624" s="5" t="str">
        <f>TrendSheetPrdData[[#This Row],[Population]]&amp;TrendSheetPrdData[[#This Row],[Cost Basis]]&amp;TrendSheetPrdData[[#This Row],[Period]]&amp;TrendSheetPrdData[[#This Row],[Trend]]</f>
        <v>MSSP_ATTRIBUTEDAllowed2015-12-01Chronic Disease Management - Cost</v>
      </c>
      <c r="B1624" t="s">
        <v>128</v>
      </c>
      <c r="C1624" t="s">
        <v>128</v>
      </c>
      <c r="D1624" t="s">
        <v>91</v>
      </c>
      <c r="E1624" s="1" t="s">
        <v>131</v>
      </c>
      <c r="F1624" t="s">
        <v>93</v>
      </c>
      <c r="G1624" t="s">
        <v>28</v>
      </c>
      <c r="H1624">
        <v>17</v>
      </c>
      <c r="I1624">
        <v>17352526</v>
      </c>
    </row>
    <row r="1625" spans="1:9" x14ac:dyDescent="0.25">
      <c r="A1625" s="5" t="str">
        <f>TrendSheetPrdData[[#This Row],[Population]]&amp;TrendSheetPrdData[[#This Row],[Cost Basis]]&amp;TrendSheetPrdData[[#This Row],[Period]]&amp;TrendSheetPrdData[[#This Row],[Trend]]</f>
        <v>MSSP_ATTRIBUTEDAllowed2016-01-01Chronic Disease Management - Cost</v>
      </c>
      <c r="B1625" t="s">
        <v>128</v>
      </c>
      <c r="C1625" t="s">
        <v>128</v>
      </c>
      <c r="D1625" t="s">
        <v>91</v>
      </c>
      <c r="E1625" s="1" t="s">
        <v>132</v>
      </c>
      <c r="F1625" t="s">
        <v>93</v>
      </c>
      <c r="G1625" t="s">
        <v>28</v>
      </c>
      <c r="H1625">
        <v>17</v>
      </c>
      <c r="I1625">
        <v>17606519</v>
      </c>
    </row>
    <row r="1626" spans="1:9" x14ac:dyDescent="0.25">
      <c r="A1626" s="5" t="str">
        <f>TrendSheetPrdData[[#This Row],[Population]]&amp;TrendSheetPrdData[[#This Row],[Cost Basis]]&amp;TrendSheetPrdData[[#This Row],[Period]]&amp;TrendSheetPrdData[[#This Row],[Trend]]</f>
        <v>MSSP_ATTRIBUTEDAllowed2016-02-01Chronic Disease Management - Cost</v>
      </c>
      <c r="B1626" t="s">
        <v>128</v>
      </c>
      <c r="C1626" t="s">
        <v>128</v>
      </c>
      <c r="D1626" t="s">
        <v>91</v>
      </c>
      <c r="E1626" s="1" t="s">
        <v>133</v>
      </c>
      <c r="F1626" t="s">
        <v>93</v>
      </c>
      <c r="G1626" t="s">
        <v>28</v>
      </c>
      <c r="H1626">
        <v>17</v>
      </c>
      <c r="I1626">
        <v>18346680</v>
      </c>
    </row>
    <row r="1627" spans="1:9" x14ac:dyDescent="0.25">
      <c r="A1627" s="5" t="str">
        <f>TrendSheetPrdData[[#This Row],[Population]]&amp;TrendSheetPrdData[[#This Row],[Cost Basis]]&amp;TrendSheetPrdData[[#This Row],[Period]]&amp;TrendSheetPrdData[[#This Row],[Trend]]</f>
        <v>MSSP_ATTRIBUTEDAllowed2016-03-01Chronic Disease Management - Cost</v>
      </c>
      <c r="B1627" t="s">
        <v>128</v>
      </c>
      <c r="C1627" t="s">
        <v>128</v>
      </c>
      <c r="D1627" t="s">
        <v>91</v>
      </c>
      <c r="E1627" s="1" t="s">
        <v>92</v>
      </c>
      <c r="F1627" t="s">
        <v>93</v>
      </c>
      <c r="G1627" t="s">
        <v>28</v>
      </c>
      <c r="H1627">
        <v>17</v>
      </c>
      <c r="I1627">
        <v>19655982</v>
      </c>
    </row>
    <row r="1628" spans="1:9" x14ac:dyDescent="0.25">
      <c r="A1628" s="5" t="str">
        <f>TrendSheetPrdData[[#This Row],[Population]]&amp;TrendSheetPrdData[[#This Row],[Cost Basis]]&amp;TrendSheetPrdData[[#This Row],[Period]]&amp;TrendSheetPrdData[[#This Row],[Trend]]</f>
        <v>MSSP_ATTRIBUTEDAllowed2016-04-01Chronic Disease Management - Cost</v>
      </c>
      <c r="B1628" t="s">
        <v>128</v>
      </c>
      <c r="C1628" t="s">
        <v>128</v>
      </c>
      <c r="D1628" t="s">
        <v>91</v>
      </c>
      <c r="E1628" s="1" t="s">
        <v>94</v>
      </c>
      <c r="F1628" t="s">
        <v>93</v>
      </c>
      <c r="G1628" t="s">
        <v>28</v>
      </c>
      <c r="H1628">
        <v>17</v>
      </c>
      <c r="I1628">
        <v>18507544</v>
      </c>
    </row>
    <row r="1629" spans="1:9" x14ac:dyDescent="0.25">
      <c r="A1629" s="5" t="str">
        <f>TrendSheetPrdData[[#This Row],[Population]]&amp;TrendSheetPrdData[[#This Row],[Cost Basis]]&amp;TrendSheetPrdData[[#This Row],[Period]]&amp;TrendSheetPrdData[[#This Row],[Trend]]</f>
        <v>MSSP_ATTRIBUTEDAllowed2016-05-01Chronic Disease Management - Cost</v>
      </c>
      <c r="B1629" t="s">
        <v>128</v>
      </c>
      <c r="C1629" t="s">
        <v>128</v>
      </c>
      <c r="D1629" t="s">
        <v>91</v>
      </c>
      <c r="E1629" s="1" t="s">
        <v>95</v>
      </c>
      <c r="F1629" t="s">
        <v>93</v>
      </c>
      <c r="G1629" t="s">
        <v>28</v>
      </c>
      <c r="H1629">
        <v>17</v>
      </c>
      <c r="I1629">
        <v>18962622</v>
      </c>
    </row>
    <row r="1630" spans="1:9" x14ac:dyDescent="0.25">
      <c r="A1630" s="5" t="str">
        <f>TrendSheetPrdData[[#This Row],[Population]]&amp;TrendSheetPrdData[[#This Row],[Cost Basis]]&amp;TrendSheetPrdData[[#This Row],[Period]]&amp;TrendSheetPrdData[[#This Row],[Trend]]</f>
        <v>MSSP_ATTRIBUTEDAllowed2016-06-01Chronic Disease Management - Cost</v>
      </c>
      <c r="B1630" t="s">
        <v>128</v>
      </c>
      <c r="C1630" t="s">
        <v>128</v>
      </c>
      <c r="D1630" t="s">
        <v>91</v>
      </c>
      <c r="E1630" s="1" t="s">
        <v>96</v>
      </c>
      <c r="F1630" t="s">
        <v>93</v>
      </c>
      <c r="G1630" t="s">
        <v>28</v>
      </c>
      <c r="H1630">
        <v>17</v>
      </c>
      <c r="I1630">
        <v>19018331</v>
      </c>
    </row>
    <row r="1631" spans="1:9" x14ac:dyDescent="0.25">
      <c r="A1631" s="5" t="str">
        <f>TrendSheetPrdData[[#This Row],[Population]]&amp;TrendSheetPrdData[[#This Row],[Cost Basis]]&amp;TrendSheetPrdData[[#This Row],[Period]]&amp;TrendSheetPrdData[[#This Row],[Trend]]</f>
        <v>MSSP_ATTRIBUTEDAllowed2016-07-01Chronic Disease Management - Cost</v>
      </c>
      <c r="B1631" t="s">
        <v>128</v>
      </c>
      <c r="C1631" t="s">
        <v>128</v>
      </c>
      <c r="D1631" t="s">
        <v>91</v>
      </c>
      <c r="E1631" s="1" t="s">
        <v>97</v>
      </c>
      <c r="F1631" t="s">
        <v>93</v>
      </c>
      <c r="G1631" t="s">
        <v>28</v>
      </c>
      <c r="H1631">
        <v>17</v>
      </c>
      <c r="I1631">
        <v>17755929</v>
      </c>
    </row>
    <row r="1632" spans="1:9" x14ac:dyDescent="0.25">
      <c r="A1632" s="5" t="str">
        <f>TrendSheetPrdData[[#This Row],[Population]]&amp;TrendSheetPrdData[[#This Row],[Cost Basis]]&amp;TrendSheetPrdData[[#This Row],[Period]]&amp;TrendSheetPrdData[[#This Row],[Trend]]</f>
        <v>MSSP_ATTRIBUTEDAllowed2016-08-01Chronic Disease Management - Cost</v>
      </c>
      <c r="B1632" t="s">
        <v>128</v>
      </c>
      <c r="C1632" t="s">
        <v>128</v>
      </c>
      <c r="D1632" t="s">
        <v>91</v>
      </c>
      <c r="E1632" s="1" t="s">
        <v>98</v>
      </c>
      <c r="F1632" t="s">
        <v>93</v>
      </c>
      <c r="G1632" t="s">
        <v>28</v>
      </c>
      <c r="H1632">
        <v>17</v>
      </c>
      <c r="I1632">
        <v>18870513</v>
      </c>
    </row>
    <row r="1633" spans="1:9" x14ac:dyDescent="0.25">
      <c r="A1633" s="5" t="str">
        <f>TrendSheetPrdData[[#This Row],[Population]]&amp;TrendSheetPrdData[[#This Row],[Cost Basis]]&amp;TrendSheetPrdData[[#This Row],[Period]]&amp;TrendSheetPrdData[[#This Row],[Trend]]</f>
        <v>MSSP_ATTRIBUTEDAllowed2016-09-01Chronic Disease Management - Cost</v>
      </c>
      <c r="B1633" t="s">
        <v>128</v>
      </c>
      <c r="C1633" t="s">
        <v>128</v>
      </c>
      <c r="D1633" t="s">
        <v>91</v>
      </c>
      <c r="E1633" s="1" t="s">
        <v>99</v>
      </c>
      <c r="F1633" t="s">
        <v>93</v>
      </c>
      <c r="G1633" t="s">
        <v>28</v>
      </c>
      <c r="H1633">
        <v>17</v>
      </c>
      <c r="I1633">
        <v>18421378</v>
      </c>
    </row>
    <row r="1634" spans="1:9" x14ac:dyDescent="0.25">
      <c r="A1634" s="5" t="str">
        <f>TrendSheetPrdData[[#This Row],[Population]]&amp;TrendSheetPrdData[[#This Row],[Cost Basis]]&amp;TrendSheetPrdData[[#This Row],[Period]]&amp;TrendSheetPrdData[[#This Row],[Trend]]</f>
        <v>MSSP_ATTRIBUTEDAllowed2016-10-01Chronic Disease Management - Cost</v>
      </c>
      <c r="B1634" t="s">
        <v>128</v>
      </c>
      <c r="C1634" t="s">
        <v>128</v>
      </c>
      <c r="D1634" t="s">
        <v>91</v>
      </c>
      <c r="E1634" s="1" t="s">
        <v>100</v>
      </c>
      <c r="F1634" t="s">
        <v>106</v>
      </c>
      <c r="G1634" t="s">
        <v>28</v>
      </c>
      <c r="H1634">
        <v>17</v>
      </c>
      <c r="I1634">
        <v>17981246</v>
      </c>
    </row>
    <row r="1635" spans="1:9" x14ac:dyDescent="0.25">
      <c r="A1635" s="5" t="str">
        <f>TrendSheetPrdData[[#This Row],[Population]]&amp;TrendSheetPrdData[[#This Row],[Cost Basis]]&amp;TrendSheetPrdData[[#This Row],[Period]]&amp;TrendSheetPrdData[[#This Row],[Trend]]</f>
        <v>MSSP_ATTRIBUTEDAllowed2016-11-01Chronic Disease Management - Cost</v>
      </c>
      <c r="B1635" t="s">
        <v>128</v>
      </c>
      <c r="C1635" t="s">
        <v>128</v>
      </c>
      <c r="D1635" t="s">
        <v>91</v>
      </c>
      <c r="E1635" s="1" t="s">
        <v>101</v>
      </c>
      <c r="F1635" t="s">
        <v>106</v>
      </c>
      <c r="G1635" t="s">
        <v>28</v>
      </c>
      <c r="H1635">
        <v>17</v>
      </c>
      <c r="I1635">
        <v>15499309</v>
      </c>
    </row>
    <row r="1636" spans="1:9" x14ac:dyDescent="0.25">
      <c r="A1636" s="5" t="str">
        <f>TrendSheetPrdData[[#This Row],[Population]]&amp;TrendSheetPrdData[[#This Row],[Cost Basis]]&amp;TrendSheetPrdData[[#This Row],[Period]]&amp;TrendSheetPrdData[[#This Row],[Trend]]</f>
        <v>MSSP_ATTRIBUTEDAllowed2016-12-01Chronic Disease Management - Cost</v>
      </c>
      <c r="B1636" t="s">
        <v>128</v>
      </c>
      <c r="C1636" t="s">
        <v>128</v>
      </c>
      <c r="D1636" t="s">
        <v>91</v>
      </c>
      <c r="E1636" s="1" t="s">
        <v>102</v>
      </c>
      <c r="F1636" t="s">
        <v>106</v>
      </c>
      <c r="G1636" t="s">
        <v>28</v>
      </c>
      <c r="H1636">
        <v>17</v>
      </c>
      <c r="I1636">
        <v>4149196</v>
      </c>
    </row>
    <row r="1637" spans="1:9" x14ac:dyDescent="0.25">
      <c r="A1637" s="5" t="str">
        <f>TrendSheetPrdData[[#This Row],[Population]]&amp;TrendSheetPrdData[[#This Row],[Cost Basis]]&amp;TrendSheetPrdData[[#This Row],[Period]]&amp;TrendSheetPrdData[[#This Row],[Trend]]</f>
        <v>MSSP_ATTRIBUTEDAllowed2015-10-01Chronic Disease Management - Members</v>
      </c>
      <c r="B1637" t="s">
        <v>128</v>
      </c>
      <c r="C1637" t="s">
        <v>128</v>
      </c>
      <c r="D1637" t="s">
        <v>91</v>
      </c>
      <c r="E1637" s="1" t="s">
        <v>134</v>
      </c>
      <c r="F1637" t="s">
        <v>93</v>
      </c>
      <c r="G1637" t="s">
        <v>29</v>
      </c>
      <c r="H1637">
        <v>18</v>
      </c>
      <c r="I1637">
        <v>940.99</v>
      </c>
    </row>
    <row r="1638" spans="1:9" x14ac:dyDescent="0.25">
      <c r="A1638" s="5" t="str">
        <f>TrendSheetPrdData[[#This Row],[Population]]&amp;TrendSheetPrdData[[#This Row],[Cost Basis]]&amp;TrendSheetPrdData[[#This Row],[Period]]&amp;TrendSheetPrdData[[#This Row],[Trend]]</f>
        <v>MSSP_ATTRIBUTEDAllowed2015-11-01Chronic Disease Management - Members</v>
      </c>
      <c r="B1638" t="s">
        <v>128</v>
      </c>
      <c r="C1638" t="s">
        <v>128</v>
      </c>
      <c r="D1638" t="s">
        <v>91</v>
      </c>
      <c r="E1638" s="1" t="s">
        <v>130</v>
      </c>
      <c r="F1638" t="s">
        <v>93</v>
      </c>
      <c r="G1638" t="s">
        <v>29</v>
      </c>
      <c r="H1638">
        <v>18</v>
      </c>
      <c r="I1638">
        <v>943.72</v>
      </c>
    </row>
    <row r="1639" spans="1:9" x14ac:dyDescent="0.25">
      <c r="A1639" s="5" t="str">
        <f>TrendSheetPrdData[[#This Row],[Population]]&amp;TrendSheetPrdData[[#This Row],[Cost Basis]]&amp;TrendSheetPrdData[[#This Row],[Period]]&amp;TrendSheetPrdData[[#This Row],[Trend]]</f>
        <v>MSSP_ATTRIBUTEDAllowed2015-12-01Chronic Disease Management - Members</v>
      </c>
      <c r="B1639" t="s">
        <v>128</v>
      </c>
      <c r="C1639" t="s">
        <v>128</v>
      </c>
      <c r="D1639" t="s">
        <v>91</v>
      </c>
      <c r="E1639" s="1" t="s">
        <v>131</v>
      </c>
      <c r="F1639" t="s">
        <v>93</v>
      </c>
      <c r="G1639" t="s">
        <v>29</v>
      </c>
      <c r="H1639">
        <v>18</v>
      </c>
      <c r="I1639">
        <v>945.11</v>
      </c>
    </row>
    <row r="1640" spans="1:9" x14ac:dyDescent="0.25">
      <c r="A1640" s="5" t="str">
        <f>TrendSheetPrdData[[#This Row],[Population]]&amp;TrendSheetPrdData[[#This Row],[Cost Basis]]&amp;TrendSheetPrdData[[#This Row],[Period]]&amp;TrendSheetPrdData[[#This Row],[Trend]]</f>
        <v>MSSP_ATTRIBUTEDAllowed2016-01-01Chronic Disease Management - Members</v>
      </c>
      <c r="B1640" t="s">
        <v>128</v>
      </c>
      <c r="C1640" t="s">
        <v>128</v>
      </c>
      <c r="D1640" t="s">
        <v>91</v>
      </c>
      <c r="E1640" s="1" t="s">
        <v>132</v>
      </c>
      <c r="F1640" t="s">
        <v>93</v>
      </c>
      <c r="G1640" t="s">
        <v>29</v>
      </c>
      <c r="H1640">
        <v>18</v>
      </c>
      <c r="I1640">
        <v>947.76</v>
      </c>
    </row>
    <row r="1641" spans="1:9" x14ac:dyDescent="0.25">
      <c r="A1641" s="5" t="str">
        <f>TrendSheetPrdData[[#This Row],[Population]]&amp;TrendSheetPrdData[[#This Row],[Cost Basis]]&amp;TrendSheetPrdData[[#This Row],[Period]]&amp;TrendSheetPrdData[[#This Row],[Trend]]</f>
        <v>MSSP_ATTRIBUTEDAllowed2016-02-01Chronic Disease Management - Members</v>
      </c>
      <c r="B1641" t="s">
        <v>128</v>
      </c>
      <c r="C1641" t="s">
        <v>128</v>
      </c>
      <c r="D1641" t="s">
        <v>91</v>
      </c>
      <c r="E1641" s="1" t="s">
        <v>133</v>
      </c>
      <c r="F1641" t="s">
        <v>93</v>
      </c>
      <c r="G1641" t="s">
        <v>29</v>
      </c>
      <c r="H1641">
        <v>18</v>
      </c>
      <c r="I1641">
        <v>952.49</v>
      </c>
    </row>
    <row r="1642" spans="1:9" x14ac:dyDescent="0.25">
      <c r="A1642" s="5" t="str">
        <f>TrendSheetPrdData[[#This Row],[Population]]&amp;TrendSheetPrdData[[#This Row],[Cost Basis]]&amp;TrendSheetPrdData[[#This Row],[Period]]&amp;TrendSheetPrdData[[#This Row],[Trend]]</f>
        <v>MSSP_ATTRIBUTEDAllowed2016-03-01Chronic Disease Management - Members</v>
      </c>
      <c r="B1642" t="s">
        <v>128</v>
      </c>
      <c r="C1642" t="s">
        <v>128</v>
      </c>
      <c r="D1642" t="s">
        <v>91</v>
      </c>
      <c r="E1642" s="1" t="s">
        <v>92</v>
      </c>
      <c r="F1642" t="s">
        <v>93</v>
      </c>
      <c r="G1642" t="s">
        <v>29</v>
      </c>
      <c r="H1642">
        <v>18</v>
      </c>
      <c r="I1642">
        <v>954.07</v>
      </c>
    </row>
    <row r="1643" spans="1:9" x14ac:dyDescent="0.25">
      <c r="A1643" s="5" t="str">
        <f>TrendSheetPrdData[[#This Row],[Population]]&amp;TrendSheetPrdData[[#This Row],[Cost Basis]]&amp;TrendSheetPrdData[[#This Row],[Period]]&amp;TrendSheetPrdData[[#This Row],[Trend]]</f>
        <v>MSSP_ATTRIBUTEDAllowed2016-04-01Chronic Disease Management - Members</v>
      </c>
      <c r="B1643" t="s">
        <v>128</v>
      </c>
      <c r="C1643" t="s">
        <v>128</v>
      </c>
      <c r="D1643" t="s">
        <v>91</v>
      </c>
      <c r="E1643" s="1" t="s">
        <v>94</v>
      </c>
      <c r="F1643" t="s">
        <v>93</v>
      </c>
      <c r="G1643" t="s">
        <v>29</v>
      </c>
      <c r="H1643">
        <v>18</v>
      </c>
      <c r="I1643">
        <v>956.32</v>
      </c>
    </row>
    <row r="1644" spans="1:9" x14ac:dyDescent="0.25">
      <c r="A1644" s="5" t="str">
        <f>TrendSheetPrdData[[#This Row],[Population]]&amp;TrendSheetPrdData[[#This Row],[Cost Basis]]&amp;TrendSheetPrdData[[#This Row],[Period]]&amp;TrendSheetPrdData[[#This Row],[Trend]]</f>
        <v>MSSP_ATTRIBUTEDAllowed2016-05-01Chronic Disease Management - Members</v>
      </c>
      <c r="B1644" t="s">
        <v>128</v>
      </c>
      <c r="C1644" t="s">
        <v>128</v>
      </c>
      <c r="D1644" t="s">
        <v>91</v>
      </c>
      <c r="E1644" s="1" t="s">
        <v>95</v>
      </c>
      <c r="F1644" t="s">
        <v>93</v>
      </c>
      <c r="G1644" t="s">
        <v>29</v>
      </c>
      <c r="H1644">
        <v>18</v>
      </c>
      <c r="I1644">
        <v>958.18</v>
      </c>
    </row>
    <row r="1645" spans="1:9" x14ac:dyDescent="0.25">
      <c r="A1645" s="5" t="str">
        <f>TrendSheetPrdData[[#This Row],[Population]]&amp;TrendSheetPrdData[[#This Row],[Cost Basis]]&amp;TrendSheetPrdData[[#This Row],[Period]]&amp;TrendSheetPrdData[[#This Row],[Trend]]</f>
        <v>MSSP_ATTRIBUTEDAllowed2016-06-01Chronic Disease Management - Members</v>
      </c>
      <c r="B1645" t="s">
        <v>128</v>
      </c>
      <c r="C1645" t="s">
        <v>128</v>
      </c>
      <c r="D1645" t="s">
        <v>91</v>
      </c>
      <c r="E1645" s="1" t="s">
        <v>96</v>
      </c>
      <c r="F1645" t="s">
        <v>93</v>
      </c>
      <c r="G1645" t="s">
        <v>29</v>
      </c>
      <c r="H1645">
        <v>18</v>
      </c>
      <c r="I1645">
        <v>959.63</v>
      </c>
    </row>
    <row r="1646" spans="1:9" x14ac:dyDescent="0.25">
      <c r="A1646" s="5" t="str">
        <f>TrendSheetPrdData[[#This Row],[Population]]&amp;TrendSheetPrdData[[#This Row],[Cost Basis]]&amp;TrendSheetPrdData[[#This Row],[Period]]&amp;TrendSheetPrdData[[#This Row],[Trend]]</f>
        <v>MSSP_ATTRIBUTEDAllowed2016-07-01Chronic Disease Management - Members</v>
      </c>
      <c r="B1646" t="s">
        <v>128</v>
      </c>
      <c r="C1646" t="s">
        <v>128</v>
      </c>
      <c r="D1646" t="s">
        <v>91</v>
      </c>
      <c r="E1646" s="1" t="s">
        <v>97</v>
      </c>
      <c r="F1646" t="s">
        <v>93</v>
      </c>
      <c r="G1646" t="s">
        <v>29</v>
      </c>
      <c r="H1646">
        <v>18</v>
      </c>
      <c r="I1646">
        <v>961.43</v>
      </c>
    </row>
    <row r="1647" spans="1:9" x14ac:dyDescent="0.25">
      <c r="A1647" s="5" t="str">
        <f>TrendSheetPrdData[[#This Row],[Population]]&amp;TrendSheetPrdData[[#This Row],[Cost Basis]]&amp;TrendSheetPrdData[[#This Row],[Period]]&amp;TrendSheetPrdData[[#This Row],[Trend]]</f>
        <v>MSSP_ATTRIBUTEDAllowed2016-08-01Chronic Disease Management - Members</v>
      </c>
      <c r="B1647" t="s">
        <v>128</v>
      </c>
      <c r="C1647" t="s">
        <v>128</v>
      </c>
      <c r="D1647" t="s">
        <v>91</v>
      </c>
      <c r="E1647" s="1" t="s">
        <v>98</v>
      </c>
      <c r="F1647" t="s">
        <v>93</v>
      </c>
      <c r="G1647" t="s">
        <v>29</v>
      </c>
      <c r="H1647">
        <v>18</v>
      </c>
      <c r="I1647">
        <v>963.19</v>
      </c>
    </row>
    <row r="1648" spans="1:9" x14ac:dyDescent="0.25">
      <c r="A1648" s="5" t="str">
        <f>TrendSheetPrdData[[#This Row],[Population]]&amp;TrendSheetPrdData[[#This Row],[Cost Basis]]&amp;TrendSheetPrdData[[#This Row],[Period]]&amp;TrendSheetPrdData[[#This Row],[Trend]]</f>
        <v>MSSP_ATTRIBUTEDAllowed2016-09-01Chronic Disease Management - Members</v>
      </c>
      <c r="B1648" t="s">
        <v>128</v>
      </c>
      <c r="C1648" t="s">
        <v>128</v>
      </c>
      <c r="D1648" t="s">
        <v>91</v>
      </c>
      <c r="E1648" s="1" t="s">
        <v>99</v>
      </c>
      <c r="F1648" t="s">
        <v>93</v>
      </c>
      <c r="G1648" t="s">
        <v>29</v>
      </c>
      <c r="H1648">
        <v>18</v>
      </c>
      <c r="I1648">
        <v>963.08</v>
      </c>
    </row>
    <row r="1649" spans="1:9" x14ac:dyDescent="0.25">
      <c r="A1649" s="5" t="str">
        <f>TrendSheetPrdData[[#This Row],[Population]]&amp;TrendSheetPrdData[[#This Row],[Cost Basis]]&amp;TrendSheetPrdData[[#This Row],[Period]]&amp;TrendSheetPrdData[[#This Row],[Trend]]</f>
        <v>MSSP_ATTRIBUTEDAllowed2016-10-01Chronic Disease Management - Members</v>
      </c>
      <c r="B1649" t="s">
        <v>128</v>
      </c>
      <c r="C1649" t="s">
        <v>128</v>
      </c>
      <c r="D1649" t="s">
        <v>91</v>
      </c>
      <c r="E1649" s="1" t="s">
        <v>100</v>
      </c>
      <c r="F1649" t="s">
        <v>106</v>
      </c>
      <c r="G1649" t="s">
        <v>29</v>
      </c>
      <c r="H1649">
        <v>18</v>
      </c>
      <c r="I1649">
        <v>964.11</v>
      </c>
    </row>
    <row r="1650" spans="1:9" x14ac:dyDescent="0.25">
      <c r="A1650" s="5" t="str">
        <f>TrendSheetPrdData[[#This Row],[Population]]&amp;TrendSheetPrdData[[#This Row],[Cost Basis]]&amp;TrendSheetPrdData[[#This Row],[Period]]&amp;TrendSheetPrdData[[#This Row],[Trend]]</f>
        <v>MSSP_ATTRIBUTEDAllowed2016-11-01Chronic Disease Management - Members</v>
      </c>
      <c r="B1650" t="s">
        <v>128</v>
      </c>
      <c r="C1650" t="s">
        <v>128</v>
      </c>
      <c r="D1650" t="s">
        <v>91</v>
      </c>
      <c r="E1650" s="1" t="s">
        <v>101</v>
      </c>
      <c r="F1650" t="s">
        <v>106</v>
      </c>
      <c r="G1650" t="s">
        <v>29</v>
      </c>
      <c r="H1650">
        <v>18</v>
      </c>
      <c r="I1650">
        <v>964.43</v>
      </c>
    </row>
    <row r="1651" spans="1:9" x14ac:dyDescent="0.25">
      <c r="A1651" s="5" t="str">
        <f>TrendSheetPrdData[[#This Row],[Population]]&amp;TrendSheetPrdData[[#This Row],[Cost Basis]]&amp;TrendSheetPrdData[[#This Row],[Period]]&amp;TrendSheetPrdData[[#This Row],[Trend]]</f>
        <v>MSSP_ATTRIBUTEDAllowed2016-12-01Chronic Disease Management - Members</v>
      </c>
      <c r="B1651" t="s">
        <v>128</v>
      </c>
      <c r="C1651" t="s">
        <v>128</v>
      </c>
      <c r="D1651" t="s">
        <v>91</v>
      </c>
      <c r="E1651" s="1" t="s">
        <v>102</v>
      </c>
      <c r="F1651" t="s">
        <v>106</v>
      </c>
      <c r="G1651" t="s">
        <v>29</v>
      </c>
      <c r="H1651">
        <v>18</v>
      </c>
      <c r="I1651">
        <v>963.34</v>
      </c>
    </row>
    <row r="1652" spans="1:9" x14ac:dyDescent="0.25">
      <c r="A1652" s="5" t="str">
        <f>TrendSheetPrdData[[#This Row],[Population]]&amp;TrendSheetPrdData[[#This Row],[Cost Basis]]&amp;TrendSheetPrdData[[#This Row],[Period]]&amp;TrendSheetPrdData[[#This Row],[Trend]]</f>
        <v>MSSP_ATTRIBUTEDAllowed2015-10-01Inpatient Claim Count</v>
      </c>
      <c r="B1652" t="s">
        <v>128</v>
      </c>
      <c r="C1652" t="s">
        <v>128</v>
      </c>
      <c r="D1652" t="s">
        <v>91</v>
      </c>
      <c r="E1652" s="1" t="s">
        <v>134</v>
      </c>
      <c r="F1652" t="s">
        <v>93</v>
      </c>
      <c r="G1652" t="s">
        <v>30</v>
      </c>
      <c r="H1652">
        <v>19</v>
      </c>
      <c r="I1652">
        <v>8623</v>
      </c>
    </row>
    <row r="1653" spans="1:9" x14ac:dyDescent="0.25">
      <c r="A1653" s="5" t="str">
        <f>TrendSheetPrdData[[#This Row],[Population]]&amp;TrendSheetPrdData[[#This Row],[Cost Basis]]&amp;TrendSheetPrdData[[#This Row],[Period]]&amp;TrendSheetPrdData[[#This Row],[Trend]]</f>
        <v>MSSP_ATTRIBUTEDAllowed2015-11-01Inpatient Claim Count</v>
      </c>
      <c r="B1653" t="s">
        <v>128</v>
      </c>
      <c r="C1653" t="s">
        <v>128</v>
      </c>
      <c r="D1653" t="s">
        <v>91</v>
      </c>
      <c r="E1653" s="1" t="s">
        <v>130</v>
      </c>
      <c r="F1653" t="s">
        <v>93</v>
      </c>
      <c r="G1653" t="s">
        <v>30</v>
      </c>
      <c r="H1653">
        <v>19</v>
      </c>
      <c r="I1653">
        <v>7098</v>
      </c>
    </row>
    <row r="1654" spans="1:9" x14ac:dyDescent="0.25">
      <c r="A1654" s="5" t="str">
        <f>TrendSheetPrdData[[#This Row],[Population]]&amp;TrendSheetPrdData[[#This Row],[Cost Basis]]&amp;TrendSheetPrdData[[#This Row],[Period]]&amp;TrendSheetPrdData[[#This Row],[Trend]]</f>
        <v>MSSP_ATTRIBUTEDAllowed2015-12-01Inpatient Claim Count</v>
      </c>
      <c r="B1654" t="s">
        <v>128</v>
      </c>
      <c r="C1654" t="s">
        <v>128</v>
      </c>
      <c r="D1654" t="s">
        <v>91</v>
      </c>
      <c r="E1654" s="1" t="s">
        <v>131</v>
      </c>
      <c r="F1654" t="s">
        <v>93</v>
      </c>
      <c r="G1654" t="s">
        <v>30</v>
      </c>
      <c r="H1654">
        <v>19</v>
      </c>
      <c r="I1654">
        <v>10147</v>
      </c>
    </row>
    <row r="1655" spans="1:9" x14ac:dyDescent="0.25">
      <c r="A1655" s="5" t="str">
        <f>TrendSheetPrdData[[#This Row],[Population]]&amp;TrendSheetPrdData[[#This Row],[Cost Basis]]&amp;TrendSheetPrdData[[#This Row],[Period]]&amp;TrendSheetPrdData[[#This Row],[Trend]]</f>
        <v>MSSP_ATTRIBUTEDAllowed2016-01-01Inpatient Claim Count</v>
      </c>
      <c r="B1655" t="s">
        <v>128</v>
      </c>
      <c r="C1655" t="s">
        <v>128</v>
      </c>
      <c r="D1655" t="s">
        <v>91</v>
      </c>
      <c r="E1655" s="1" t="s">
        <v>132</v>
      </c>
      <c r="F1655" t="s">
        <v>93</v>
      </c>
      <c r="G1655" t="s">
        <v>30</v>
      </c>
      <c r="H1655">
        <v>19</v>
      </c>
      <c r="I1655">
        <v>22181</v>
      </c>
    </row>
    <row r="1656" spans="1:9" x14ac:dyDescent="0.25">
      <c r="A1656" s="5" t="str">
        <f>TrendSheetPrdData[[#This Row],[Population]]&amp;TrendSheetPrdData[[#This Row],[Cost Basis]]&amp;TrendSheetPrdData[[#This Row],[Period]]&amp;TrendSheetPrdData[[#This Row],[Trend]]</f>
        <v>MSSP_ATTRIBUTEDAllowed2016-02-01Inpatient Claim Count</v>
      </c>
      <c r="B1656" t="s">
        <v>128</v>
      </c>
      <c r="C1656" t="s">
        <v>128</v>
      </c>
      <c r="D1656" t="s">
        <v>91</v>
      </c>
      <c r="E1656" s="1" t="s">
        <v>133</v>
      </c>
      <c r="F1656" t="s">
        <v>93</v>
      </c>
      <c r="G1656" t="s">
        <v>30</v>
      </c>
      <c r="H1656">
        <v>19</v>
      </c>
      <c r="I1656">
        <v>21468</v>
      </c>
    </row>
    <row r="1657" spans="1:9" x14ac:dyDescent="0.25">
      <c r="A1657" s="5" t="str">
        <f>TrendSheetPrdData[[#This Row],[Population]]&amp;TrendSheetPrdData[[#This Row],[Cost Basis]]&amp;TrendSheetPrdData[[#This Row],[Period]]&amp;TrendSheetPrdData[[#This Row],[Trend]]</f>
        <v>MSSP_ATTRIBUTEDAllowed2016-03-01Inpatient Claim Count</v>
      </c>
      <c r="B1657" t="s">
        <v>128</v>
      </c>
      <c r="C1657" t="s">
        <v>128</v>
      </c>
      <c r="D1657" t="s">
        <v>91</v>
      </c>
      <c r="E1657" s="1" t="s">
        <v>92</v>
      </c>
      <c r="F1657" t="s">
        <v>93</v>
      </c>
      <c r="G1657" t="s">
        <v>30</v>
      </c>
      <c r="H1657">
        <v>19</v>
      </c>
      <c r="I1657">
        <v>21458</v>
      </c>
    </row>
    <row r="1658" spans="1:9" x14ac:dyDescent="0.25">
      <c r="A1658" s="5" t="str">
        <f>TrendSheetPrdData[[#This Row],[Population]]&amp;TrendSheetPrdData[[#This Row],[Cost Basis]]&amp;TrendSheetPrdData[[#This Row],[Period]]&amp;TrendSheetPrdData[[#This Row],[Trend]]</f>
        <v>MSSP_ATTRIBUTEDAllowed2016-04-01Inpatient Claim Count</v>
      </c>
      <c r="B1658" t="s">
        <v>128</v>
      </c>
      <c r="C1658" t="s">
        <v>128</v>
      </c>
      <c r="D1658" t="s">
        <v>91</v>
      </c>
      <c r="E1658" s="1" t="s">
        <v>94</v>
      </c>
      <c r="F1658" t="s">
        <v>93</v>
      </c>
      <c r="G1658" t="s">
        <v>30</v>
      </c>
      <c r="H1658">
        <v>19</v>
      </c>
      <c r="I1658">
        <v>9527</v>
      </c>
    </row>
    <row r="1659" spans="1:9" x14ac:dyDescent="0.25">
      <c r="A1659" s="5" t="str">
        <f>TrendSheetPrdData[[#This Row],[Population]]&amp;TrendSheetPrdData[[#This Row],[Cost Basis]]&amp;TrendSheetPrdData[[#This Row],[Period]]&amp;TrendSheetPrdData[[#This Row],[Trend]]</f>
        <v>MSSP_ATTRIBUTEDAllowed2016-05-01Inpatient Claim Count</v>
      </c>
      <c r="B1659" t="s">
        <v>128</v>
      </c>
      <c r="C1659" t="s">
        <v>128</v>
      </c>
      <c r="D1659" t="s">
        <v>91</v>
      </c>
      <c r="E1659" s="1" t="s">
        <v>95</v>
      </c>
      <c r="F1659" t="s">
        <v>93</v>
      </c>
      <c r="G1659" t="s">
        <v>30</v>
      </c>
      <c r="H1659">
        <v>19</v>
      </c>
      <c r="I1659">
        <v>9940</v>
      </c>
    </row>
    <row r="1660" spans="1:9" x14ac:dyDescent="0.25">
      <c r="A1660" s="5" t="str">
        <f>TrendSheetPrdData[[#This Row],[Population]]&amp;TrendSheetPrdData[[#This Row],[Cost Basis]]&amp;TrendSheetPrdData[[#This Row],[Period]]&amp;TrendSheetPrdData[[#This Row],[Trend]]</f>
        <v>MSSP_ATTRIBUTEDAllowed2016-06-01Inpatient Claim Count</v>
      </c>
      <c r="B1660" t="s">
        <v>128</v>
      </c>
      <c r="C1660" t="s">
        <v>128</v>
      </c>
      <c r="D1660" t="s">
        <v>91</v>
      </c>
      <c r="E1660" s="1" t="s">
        <v>96</v>
      </c>
      <c r="F1660" t="s">
        <v>93</v>
      </c>
      <c r="G1660" t="s">
        <v>30</v>
      </c>
      <c r="H1660">
        <v>19</v>
      </c>
      <c r="I1660">
        <v>9650</v>
      </c>
    </row>
    <row r="1661" spans="1:9" x14ac:dyDescent="0.25">
      <c r="A1661" s="5" t="str">
        <f>TrendSheetPrdData[[#This Row],[Population]]&amp;TrendSheetPrdData[[#This Row],[Cost Basis]]&amp;TrendSheetPrdData[[#This Row],[Period]]&amp;TrendSheetPrdData[[#This Row],[Trend]]</f>
        <v>MSSP_ATTRIBUTEDAllowed2016-07-01Inpatient Claim Count</v>
      </c>
      <c r="B1661" t="s">
        <v>128</v>
      </c>
      <c r="C1661" t="s">
        <v>128</v>
      </c>
      <c r="D1661" t="s">
        <v>91</v>
      </c>
      <c r="E1661" s="1" t="s">
        <v>97</v>
      </c>
      <c r="F1661" t="s">
        <v>93</v>
      </c>
      <c r="G1661" t="s">
        <v>30</v>
      </c>
      <c r="H1661">
        <v>19</v>
      </c>
      <c r="I1661">
        <v>9517</v>
      </c>
    </row>
    <row r="1662" spans="1:9" x14ac:dyDescent="0.25">
      <c r="A1662" s="5" t="str">
        <f>TrendSheetPrdData[[#This Row],[Population]]&amp;TrendSheetPrdData[[#This Row],[Cost Basis]]&amp;TrendSheetPrdData[[#This Row],[Period]]&amp;TrendSheetPrdData[[#This Row],[Trend]]</f>
        <v>MSSP_ATTRIBUTEDAllowed2016-08-01Inpatient Claim Count</v>
      </c>
      <c r="B1662" t="s">
        <v>128</v>
      </c>
      <c r="C1662" t="s">
        <v>128</v>
      </c>
      <c r="D1662" t="s">
        <v>91</v>
      </c>
      <c r="E1662" s="1" t="s">
        <v>98</v>
      </c>
      <c r="F1662" t="s">
        <v>93</v>
      </c>
      <c r="G1662" t="s">
        <v>30</v>
      </c>
      <c r="H1662">
        <v>19</v>
      </c>
      <c r="I1662">
        <v>10194</v>
      </c>
    </row>
    <row r="1663" spans="1:9" x14ac:dyDescent="0.25">
      <c r="A1663" s="5" t="str">
        <f>TrendSheetPrdData[[#This Row],[Population]]&amp;TrendSheetPrdData[[#This Row],[Cost Basis]]&amp;TrendSheetPrdData[[#This Row],[Period]]&amp;TrendSheetPrdData[[#This Row],[Trend]]</f>
        <v>MSSP_ATTRIBUTEDAllowed2016-09-01Inpatient Claim Count</v>
      </c>
      <c r="B1663" t="s">
        <v>128</v>
      </c>
      <c r="C1663" t="s">
        <v>128</v>
      </c>
      <c r="D1663" t="s">
        <v>91</v>
      </c>
      <c r="E1663" s="1" t="s">
        <v>99</v>
      </c>
      <c r="F1663" t="s">
        <v>93</v>
      </c>
      <c r="G1663" t="s">
        <v>30</v>
      </c>
      <c r="H1663">
        <v>19</v>
      </c>
      <c r="I1663">
        <v>8959</v>
      </c>
    </row>
    <row r="1664" spans="1:9" x14ac:dyDescent="0.25">
      <c r="A1664" s="5" t="str">
        <f>TrendSheetPrdData[[#This Row],[Population]]&amp;TrendSheetPrdData[[#This Row],[Cost Basis]]&amp;TrendSheetPrdData[[#This Row],[Period]]&amp;TrendSheetPrdData[[#This Row],[Trend]]</f>
        <v>MSSP_ATTRIBUTEDAllowed2016-10-01Inpatient Claim Count</v>
      </c>
      <c r="B1664" t="s">
        <v>128</v>
      </c>
      <c r="C1664" t="s">
        <v>128</v>
      </c>
      <c r="D1664" t="s">
        <v>91</v>
      </c>
      <c r="E1664" s="1" t="s">
        <v>100</v>
      </c>
      <c r="F1664" t="s">
        <v>106</v>
      </c>
      <c r="G1664" t="s">
        <v>30</v>
      </c>
      <c r="H1664">
        <v>19</v>
      </c>
      <c r="I1664">
        <v>8705</v>
      </c>
    </row>
    <row r="1665" spans="1:9" x14ac:dyDescent="0.25">
      <c r="A1665" s="5" t="str">
        <f>TrendSheetPrdData[[#This Row],[Population]]&amp;TrendSheetPrdData[[#This Row],[Cost Basis]]&amp;TrendSheetPrdData[[#This Row],[Period]]&amp;TrendSheetPrdData[[#This Row],[Trend]]</f>
        <v>MSSP_ATTRIBUTEDAllowed2016-11-01Inpatient Claim Count</v>
      </c>
      <c r="B1665" t="s">
        <v>128</v>
      </c>
      <c r="C1665" t="s">
        <v>128</v>
      </c>
      <c r="D1665" t="s">
        <v>91</v>
      </c>
      <c r="E1665" s="1" t="s">
        <v>101</v>
      </c>
      <c r="F1665" t="s">
        <v>106</v>
      </c>
      <c r="G1665" t="s">
        <v>30</v>
      </c>
      <c r="H1665">
        <v>19</v>
      </c>
      <c r="I1665">
        <v>7268</v>
      </c>
    </row>
    <row r="1666" spans="1:9" x14ac:dyDescent="0.25">
      <c r="A1666" s="5" t="str">
        <f>TrendSheetPrdData[[#This Row],[Population]]&amp;TrendSheetPrdData[[#This Row],[Cost Basis]]&amp;TrendSheetPrdData[[#This Row],[Period]]&amp;TrendSheetPrdData[[#This Row],[Trend]]</f>
        <v>MSSP_ATTRIBUTEDAllowed2016-12-01Inpatient Claim Count</v>
      </c>
      <c r="B1666" t="s">
        <v>128</v>
      </c>
      <c r="C1666" t="s">
        <v>128</v>
      </c>
      <c r="D1666" t="s">
        <v>91</v>
      </c>
      <c r="E1666" s="1" t="s">
        <v>102</v>
      </c>
      <c r="F1666" t="s">
        <v>106</v>
      </c>
      <c r="G1666" t="s">
        <v>30</v>
      </c>
      <c r="H1666">
        <v>19</v>
      </c>
      <c r="I1666">
        <v>1142</v>
      </c>
    </row>
    <row r="1667" spans="1:9" x14ac:dyDescent="0.25">
      <c r="A1667" s="5" t="str">
        <f>TrendSheetPrdData[[#This Row],[Population]]&amp;TrendSheetPrdData[[#This Row],[Cost Basis]]&amp;TrendSheetPrdData[[#This Row],[Period]]&amp;TrendSheetPrdData[[#This Row],[Trend]]</f>
        <v>MSSP_ATTRIBUTEDAllowed2015-10-01Outpatient Claim Count</v>
      </c>
      <c r="B1667" t="s">
        <v>128</v>
      </c>
      <c r="C1667" t="s">
        <v>128</v>
      </c>
      <c r="D1667" t="s">
        <v>91</v>
      </c>
      <c r="E1667" s="1" t="s">
        <v>134</v>
      </c>
      <c r="F1667" t="s">
        <v>93</v>
      </c>
      <c r="G1667" t="s">
        <v>31</v>
      </c>
      <c r="H1667">
        <v>20</v>
      </c>
      <c r="I1667">
        <v>51410</v>
      </c>
    </row>
    <row r="1668" spans="1:9" x14ac:dyDescent="0.25">
      <c r="A1668" s="5" t="str">
        <f>TrendSheetPrdData[[#This Row],[Population]]&amp;TrendSheetPrdData[[#This Row],[Cost Basis]]&amp;TrendSheetPrdData[[#This Row],[Period]]&amp;TrendSheetPrdData[[#This Row],[Trend]]</f>
        <v>MSSP_ATTRIBUTEDAllowed2015-11-01Outpatient Claim Count</v>
      </c>
      <c r="B1668" t="s">
        <v>128</v>
      </c>
      <c r="C1668" t="s">
        <v>128</v>
      </c>
      <c r="D1668" t="s">
        <v>91</v>
      </c>
      <c r="E1668" s="1" t="s">
        <v>130</v>
      </c>
      <c r="F1668" t="s">
        <v>93</v>
      </c>
      <c r="G1668" t="s">
        <v>31</v>
      </c>
      <c r="H1668">
        <v>20</v>
      </c>
      <c r="I1668">
        <v>46365</v>
      </c>
    </row>
    <row r="1669" spans="1:9" x14ac:dyDescent="0.25">
      <c r="A1669" s="5" t="str">
        <f>TrendSheetPrdData[[#This Row],[Population]]&amp;TrendSheetPrdData[[#This Row],[Cost Basis]]&amp;TrendSheetPrdData[[#This Row],[Period]]&amp;TrendSheetPrdData[[#This Row],[Trend]]</f>
        <v>MSSP_ATTRIBUTEDAllowed2015-12-01Outpatient Claim Count</v>
      </c>
      <c r="B1669" t="s">
        <v>128</v>
      </c>
      <c r="C1669" t="s">
        <v>128</v>
      </c>
      <c r="D1669" t="s">
        <v>91</v>
      </c>
      <c r="E1669" s="1" t="s">
        <v>131</v>
      </c>
      <c r="F1669" t="s">
        <v>93</v>
      </c>
      <c r="G1669" t="s">
        <v>31</v>
      </c>
      <c r="H1669">
        <v>20</v>
      </c>
      <c r="I1669">
        <v>47859</v>
      </c>
    </row>
    <row r="1670" spans="1:9" x14ac:dyDescent="0.25">
      <c r="A1670" s="5" t="str">
        <f>TrendSheetPrdData[[#This Row],[Population]]&amp;TrendSheetPrdData[[#This Row],[Cost Basis]]&amp;TrendSheetPrdData[[#This Row],[Period]]&amp;TrendSheetPrdData[[#This Row],[Trend]]</f>
        <v>MSSP_ATTRIBUTEDAllowed2016-01-01Outpatient Claim Count</v>
      </c>
      <c r="B1670" t="s">
        <v>128</v>
      </c>
      <c r="C1670" t="s">
        <v>128</v>
      </c>
      <c r="D1670" t="s">
        <v>91</v>
      </c>
      <c r="E1670" s="1" t="s">
        <v>132</v>
      </c>
      <c r="F1670" t="s">
        <v>93</v>
      </c>
      <c r="G1670" t="s">
        <v>31</v>
      </c>
      <c r="H1670">
        <v>20</v>
      </c>
      <c r="I1670">
        <v>48659</v>
      </c>
    </row>
    <row r="1671" spans="1:9" x14ac:dyDescent="0.25">
      <c r="A1671" s="5" t="str">
        <f>TrendSheetPrdData[[#This Row],[Population]]&amp;TrendSheetPrdData[[#This Row],[Cost Basis]]&amp;TrendSheetPrdData[[#This Row],[Period]]&amp;TrendSheetPrdData[[#This Row],[Trend]]</f>
        <v>MSSP_ATTRIBUTEDAllowed2016-02-01Outpatient Claim Count</v>
      </c>
      <c r="B1671" t="s">
        <v>128</v>
      </c>
      <c r="C1671" t="s">
        <v>128</v>
      </c>
      <c r="D1671" t="s">
        <v>91</v>
      </c>
      <c r="E1671" s="1" t="s">
        <v>133</v>
      </c>
      <c r="F1671" t="s">
        <v>93</v>
      </c>
      <c r="G1671" t="s">
        <v>31</v>
      </c>
      <c r="H1671">
        <v>20</v>
      </c>
      <c r="I1671">
        <v>48012</v>
      </c>
    </row>
    <row r="1672" spans="1:9" x14ac:dyDescent="0.25">
      <c r="A1672" s="5" t="str">
        <f>TrendSheetPrdData[[#This Row],[Population]]&amp;TrendSheetPrdData[[#This Row],[Cost Basis]]&amp;TrendSheetPrdData[[#This Row],[Period]]&amp;TrendSheetPrdData[[#This Row],[Trend]]</f>
        <v>MSSP_ATTRIBUTEDAllowed2016-03-01Outpatient Claim Count</v>
      </c>
      <c r="B1672" t="s">
        <v>128</v>
      </c>
      <c r="C1672" t="s">
        <v>128</v>
      </c>
      <c r="D1672" t="s">
        <v>91</v>
      </c>
      <c r="E1672" s="1" t="s">
        <v>92</v>
      </c>
      <c r="F1672" t="s">
        <v>93</v>
      </c>
      <c r="G1672" t="s">
        <v>31</v>
      </c>
      <c r="H1672">
        <v>20</v>
      </c>
      <c r="I1672">
        <v>53276</v>
      </c>
    </row>
    <row r="1673" spans="1:9" x14ac:dyDescent="0.25">
      <c r="A1673" s="5" t="str">
        <f>TrendSheetPrdData[[#This Row],[Population]]&amp;TrendSheetPrdData[[#This Row],[Cost Basis]]&amp;TrendSheetPrdData[[#This Row],[Period]]&amp;TrendSheetPrdData[[#This Row],[Trend]]</f>
        <v>MSSP_ATTRIBUTEDAllowed2016-04-01Outpatient Claim Count</v>
      </c>
      <c r="B1673" t="s">
        <v>128</v>
      </c>
      <c r="C1673" t="s">
        <v>128</v>
      </c>
      <c r="D1673" t="s">
        <v>91</v>
      </c>
      <c r="E1673" s="1" t="s">
        <v>94</v>
      </c>
      <c r="F1673" t="s">
        <v>93</v>
      </c>
      <c r="G1673" t="s">
        <v>31</v>
      </c>
      <c r="H1673">
        <v>20</v>
      </c>
      <c r="I1673">
        <v>50476</v>
      </c>
    </row>
    <row r="1674" spans="1:9" x14ac:dyDescent="0.25">
      <c r="A1674" s="5" t="str">
        <f>TrendSheetPrdData[[#This Row],[Population]]&amp;TrendSheetPrdData[[#This Row],[Cost Basis]]&amp;TrendSheetPrdData[[#This Row],[Period]]&amp;TrendSheetPrdData[[#This Row],[Trend]]</f>
        <v>MSSP_ATTRIBUTEDAllowed2016-05-01Outpatient Claim Count</v>
      </c>
      <c r="B1674" t="s">
        <v>128</v>
      </c>
      <c r="C1674" t="s">
        <v>128</v>
      </c>
      <c r="D1674" t="s">
        <v>91</v>
      </c>
      <c r="E1674" s="1" t="s">
        <v>95</v>
      </c>
      <c r="F1674" t="s">
        <v>93</v>
      </c>
      <c r="G1674" t="s">
        <v>31</v>
      </c>
      <c r="H1674">
        <v>20</v>
      </c>
      <c r="I1674">
        <v>50772</v>
      </c>
    </row>
    <row r="1675" spans="1:9" x14ac:dyDescent="0.25">
      <c r="A1675" s="5" t="str">
        <f>TrendSheetPrdData[[#This Row],[Population]]&amp;TrendSheetPrdData[[#This Row],[Cost Basis]]&amp;TrendSheetPrdData[[#This Row],[Period]]&amp;TrendSheetPrdData[[#This Row],[Trend]]</f>
        <v>MSSP_ATTRIBUTEDAllowed2016-06-01Outpatient Claim Count</v>
      </c>
      <c r="B1675" t="s">
        <v>128</v>
      </c>
      <c r="C1675" t="s">
        <v>128</v>
      </c>
      <c r="D1675" t="s">
        <v>91</v>
      </c>
      <c r="E1675" s="1" t="s">
        <v>96</v>
      </c>
      <c r="F1675" t="s">
        <v>93</v>
      </c>
      <c r="G1675" t="s">
        <v>31</v>
      </c>
      <c r="H1675">
        <v>20</v>
      </c>
      <c r="I1675">
        <v>50238</v>
      </c>
    </row>
    <row r="1676" spans="1:9" x14ac:dyDescent="0.25">
      <c r="A1676" s="5" t="str">
        <f>TrendSheetPrdData[[#This Row],[Population]]&amp;TrendSheetPrdData[[#This Row],[Cost Basis]]&amp;TrendSheetPrdData[[#This Row],[Period]]&amp;TrendSheetPrdData[[#This Row],[Trend]]</f>
        <v>MSSP_ATTRIBUTEDAllowed2016-07-01Outpatient Claim Count</v>
      </c>
      <c r="B1676" t="s">
        <v>128</v>
      </c>
      <c r="C1676" t="s">
        <v>128</v>
      </c>
      <c r="D1676" t="s">
        <v>91</v>
      </c>
      <c r="E1676" s="1" t="s">
        <v>97</v>
      </c>
      <c r="F1676" t="s">
        <v>93</v>
      </c>
      <c r="G1676" t="s">
        <v>31</v>
      </c>
      <c r="H1676">
        <v>20</v>
      </c>
      <c r="I1676">
        <v>46289</v>
      </c>
    </row>
    <row r="1677" spans="1:9" x14ac:dyDescent="0.25">
      <c r="A1677" s="5" t="str">
        <f>TrendSheetPrdData[[#This Row],[Population]]&amp;TrendSheetPrdData[[#This Row],[Cost Basis]]&amp;TrendSheetPrdData[[#This Row],[Period]]&amp;TrendSheetPrdData[[#This Row],[Trend]]</f>
        <v>MSSP_ATTRIBUTEDAllowed2016-08-01Outpatient Claim Count</v>
      </c>
      <c r="B1677" t="s">
        <v>128</v>
      </c>
      <c r="C1677" t="s">
        <v>128</v>
      </c>
      <c r="D1677" t="s">
        <v>91</v>
      </c>
      <c r="E1677" s="1" t="s">
        <v>98</v>
      </c>
      <c r="F1677" t="s">
        <v>93</v>
      </c>
      <c r="G1677" t="s">
        <v>31</v>
      </c>
      <c r="H1677">
        <v>20</v>
      </c>
      <c r="I1677">
        <v>50111</v>
      </c>
    </row>
    <row r="1678" spans="1:9" x14ac:dyDescent="0.25">
      <c r="A1678" s="5" t="str">
        <f>TrendSheetPrdData[[#This Row],[Population]]&amp;TrendSheetPrdData[[#This Row],[Cost Basis]]&amp;TrendSheetPrdData[[#This Row],[Period]]&amp;TrendSheetPrdData[[#This Row],[Trend]]</f>
        <v>MSSP_ATTRIBUTEDAllowed2016-09-01Outpatient Claim Count</v>
      </c>
      <c r="B1678" t="s">
        <v>128</v>
      </c>
      <c r="C1678" t="s">
        <v>128</v>
      </c>
      <c r="D1678" t="s">
        <v>91</v>
      </c>
      <c r="E1678" s="1" t="s">
        <v>99</v>
      </c>
      <c r="F1678" t="s">
        <v>93</v>
      </c>
      <c r="G1678" t="s">
        <v>31</v>
      </c>
      <c r="H1678">
        <v>20</v>
      </c>
      <c r="I1678">
        <v>48126</v>
      </c>
    </row>
    <row r="1679" spans="1:9" x14ac:dyDescent="0.25">
      <c r="A1679" s="5" t="str">
        <f>TrendSheetPrdData[[#This Row],[Population]]&amp;TrendSheetPrdData[[#This Row],[Cost Basis]]&amp;TrendSheetPrdData[[#This Row],[Period]]&amp;TrendSheetPrdData[[#This Row],[Trend]]</f>
        <v>MSSP_ATTRIBUTEDAllowed2016-10-01Outpatient Claim Count</v>
      </c>
      <c r="B1679" t="s">
        <v>128</v>
      </c>
      <c r="C1679" t="s">
        <v>128</v>
      </c>
      <c r="D1679" t="s">
        <v>91</v>
      </c>
      <c r="E1679" s="1" t="s">
        <v>100</v>
      </c>
      <c r="F1679" t="s">
        <v>106</v>
      </c>
      <c r="G1679" t="s">
        <v>31</v>
      </c>
      <c r="H1679">
        <v>20</v>
      </c>
      <c r="I1679">
        <v>42628</v>
      </c>
    </row>
    <row r="1680" spans="1:9" x14ac:dyDescent="0.25">
      <c r="A1680" s="5" t="str">
        <f>TrendSheetPrdData[[#This Row],[Population]]&amp;TrendSheetPrdData[[#This Row],[Cost Basis]]&amp;TrendSheetPrdData[[#This Row],[Period]]&amp;TrendSheetPrdData[[#This Row],[Trend]]</f>
        <v>MSSP_ATTRIBUTEDAllowed2016-11-01Outpatient Claim Count</v>
      </c>
      <c r="B1680" t="s">
        <v>128</v>
      </c>
      <c r="C1680" t="s">
        <v>128</v>
      </c>
      <c r="D1680" t="s">
        <v>91</v>
      </c>
      <c r="E1680" s="1" t="s">
        <v>101</v>
      </c>
      <c r="F1680" t="s">
        <v>106</v>
      </c>
      <c r="G1680" t="s">
        <v>31</v>
      </c>
      <c r="H1680">
        <v>20</v>
      </c>
      <c r="I1680">
        <v>38748</v>
      </c>
    </row>
    <row r="1681" spans="1:9" x14ac:dyDescent="0.25">
      <c r="A1681" s="5" t="str">
        <f>TrendSheetPrdData[[#This Row],[Population]]&amp;TrendSheetPrdData[[#This Row],[Cost Basis]]&amp;TrendSheetPrdData[[#This Row],[Period]]&amp;TrendSheetPrdData[[#This Row],[Trend]]</f>
        <v>MSSP_ATTRIBUTEDAllowed2016-12-01Outpatient Claim Count</v>
      </c>
      <c r="B1681" t="s">
        <v>128</v>
      </c>
      <c r="C1681" t="s">
        <v>128</v>
      </c>
      <c r="D1681" t="s">
        <v>91</v>
      </c>
      <c r="E1681" s="1" t="s">
        <v>102</v>
      </c>
      <c r="F1681" t="s">
        <v>106</v>
      </c>
      <c r="G1681" t="s">
        <v>31</v>
      </c>
      <c r="H1681">
        <v>20</v>
      </c>
      <c r="I1681">
        <v>6372</v>
      </c>
    </row>
    <row r="1682" spans="1:9" x14ac:dyDescent="0.25">
      <c r="A1682" s="5" t="str">
        <f>TrendSheetPrdData[[#This Row],[Population]]&amp;TrendSheetPrdData[[#This Row],[Cost Basis]]&amp;TrendSheetPrdData[[#This Row],[Period]]&amp;TrendSheetPrdData[[#This Row],[Trend]]</f>
        <v>MSSP_ATTRIBUTEDAllowed2015-10-01Professional Claim Count</v>
      </c>
      <c r="B1682" t="s">
        <v>128</v>
      </c>
      <c r="C1682" t="s">
        <v>128</v>
      </c>
      <c r="D1682" t="s">
        <v>91</v>
      </c>
      <c r="E1682" s="1" t="s">
        <v>134</v>
      </c>
      <c r="F1682" t="s">
        <v>93</v>
      </c>
      <c r="G1682" t="s">
        <v>32</v>
      </c>
      <c r="H1682">
        <v>21</v>
      </c>
      <c r="I1682">
        <v>152284</v>
      </c>
    </row>
    <row r="1683" spans="1:9" x14ac:dyDescent="0.25">
      <c r="A1683" s="5" t="str">
        <f>TrendSheetPrdData[[#This Row],[Population]]&amp;TrendSheetPrdData[[#This Row],[Cost Basis]]&amp;TrendSheetPrdData[[#This Row],[Period]]&amp;TrendSheetPrdData[[#This Row],[Trend]]</f>
        <v>MSSP_ATTRIBUTEDAllowed2015-11-01Professional Claim Count</v>
      </c>
      <c r="B1683" t="s">
        <v>128</v>
      </c>
      <c r="C1683" t="s">
        <v>128</v>
      </c>
      <c r="D1683" t="s">
        <v>91</v>
      </c>
      <c r="E1683" s="1" t="s">
        <v>130</v>
      </c>
      <c r="F1683" t="s">
        <v>93</v>
      </c>
      <c r="G1683" t="s">
        <v>32</v>
      </c>
      <c r="H1683">
        <v>21</v>
      </c>
      <c r="I1683">
        <v>126065</v>
      </c>
    </row>
    <row r="1684" spans="1:9" x14ac:dyDescent="0.25">
      <c r="A1684" s="5" t="str">
        <f>TrendSheetPrdData[[#This Row],[Population]]&amp;TrendSheetPrdData[[#This Row],[Cost Basis]]&amp;TrendSheetPrdData[[#This Row],[Period]]&amp;TrendSheetPrdData[[#This Row],[Trend]]</f>
        <v>MSSP_ATTRIBUTEDAllowed2015-12-01Professional Claim Count</v>
      </c>
      <c r="B1684" t="s">
        <v>128</v>
      </c>
      <c r="C1684" t="s">
        <v>128</v>
      </c>
      <c r="D1684" t="s">
        <v>91</v>
      </c>
      <c r="E1684" s="1" t="s">
        <v>131</v>
      </c>
      <c r="F1684" t="s">
        <v>93</v>
      </c>
      <c r="G1684" t="s">
        <v>32</v>
      </c>
      <c r="H1684">
        <v>21</v>
      </c>
      <c r="I1684">
        <v>128946</v>
      </c>
    </row>
    <row r="1685" spans="1:9" x14ac:dyDescent="0.25">
      <c r="A1685" s="5" t="str">
        <f>TrendSheetPrdData[[#This Row],[Population]]&amp;TrendSheetPrdData[[#This Row],[Cost Basis]]&amp;TrendSheetPrdData[[#This Row],[Period]]&amp;TrendSheetPrdData[[#This Row],[Trend]]</f>
        <v>MSSP_ATTRIBUTEDAllowed2016-01-01Professional Claim Count</v>
      </c>
      <c r="B1685" t="s">
        <v>128</v>
      </c>
      <c r="C1685" t="s">
        <v>128</v>
      </c>
      <c r="D1685" t="s">
        <v>91</v>
      </c>
      <c r="E1685" s="1" t="s">
        <v>132</v>
      </c>
      <c r="F1685" t="s">
        <v>93</v>
      </c>
      <c r="G1685" t="s">
        <v>32</v>
      </c>
      <c r="H1685">
        <v>21</v>
      </c>
      <c r="I1685">
        <v>102481</v>
      </c>
    </row>
    <row r="1686" spans="1:9" x14ac:dyDescent="0.25">
      <c r="A1686" s="5" t="str">
        <f>TrendSheetPrdData[[#This Row],[Population]]&amp;TrendSheetPrdData[[#This Row],[Cost Basis]]&amp;TrendSheetPrdData[[#This Row],[Period]]&amp;TrendSheetPrdData[[#This Row],[Trend]]</f>
        <v>MSSP_ATTRIBUTEDAllowed2016-02-01Professional Claim Count</v>
      </c>
      <c r="B1686" t="s">
        <v>128</v>
      </c>
      <c r="C1686" t="s">
        <v>128</v>
      </c>
      <c r="D1686" t="s">
        <v>91</v>
      </c>
      <c r="E1686" s="1" t="s">
        <v>133</v>
      </c>
      <c r="F1686" t="s">
        <v>93</v>
      </c>
      <c r="G1686" t="s">
        <v>32</v>
      </c>
      <c r="H1686">
        <v>21</v>
      </c>
      <c r="I1686">
        <v>100254</v>
      </c>
    </row>
    <row r="1687" spans="1:9" x14ac:dyDescent="0.25">
      <c r="A1687" s="5" t="str">
        <f>TrendSheetPrdData[[#This Row],[Population]]&amp;TrendSheetPrdData[[#This Row],[Cost Basis]]&amp;TrendSheetPrdData[[#This Row],[Period]]&amp;TrendSheetPrdData[[#This Row],[Trend]]</f>
        <v>MSSP_ATTRIBUTEDAllowed2016-03-01Professional Claim Count</v>
      </c>
      <c r="B1687" t="s">
        <v>128</v>
      </c>
      <c r="C1687" t="s">
        <v>128</v>
      </c>
      <c r="D1687" t="s">
        <v>91</v>
      </c>
      <c r="E1687" s="1" t="s">
        <v>92</v>
      </c>
      <c r="F1687" t="s">
        <v>93</v>
      </c>
      <c r="G1687" t="s">
        <v>32</v>
      </c>
      <c r="H1687">
        <v>21</v>
      </c>
      <c r="I1687">
        <v>101180</v>
      </c>
    </row>
    <row r="1688" spans="1:9" x14ac:dyDescent="0.25">
      <c r="A1688" s="5" t="str">
        <f>TrendSheetPrdData[[#This Row],[Population]]&amp;TrendSheetPrdData[[#This Row],[Cost Basis]]&amp;TrendSheetPrdData[[#This Row],[Period]]&amp;TrendSheetPrdData[[#This Row],[Trend]]</f>
        <v>MSSP_ATTRIBUTEDAllowed2016-04-01Professional Claim Count</v>
      </c>
      <c r="B1688" t="s">
        <v>128</v>
      </c>
      <c r="C1688" t="s">
        <v>128</v>
      </c>
      <c r="D1688" t="s">
        <v>91</v>
      </c>
      <c r="E1688" s="1" t="s">
        <v>94</v>
      </c>
      <c r="F1688" t="s">
        <v>93</v>
      </c>
      <c r="G1688" t="s">
        <v>32</v>
      </c>
      <c r="H1688">
        <v>21</v>
      </c>
      <c r="I1688">
        <v>92061</v>
      </c>
    </row>
    <row r="1689" spans="1:9" x14ac:dyDescent="0.25">
      <c r="A1689" s="5" t="str">
        <f>TrendSheetPrdData[[#This Row],[Population]]&amp;TrendSheetPrdData[[#This Row],[Cost Basis]]&amp;TrendSheetPrdData[[#This Row],[Period]]&amp;TrendSheetPrdData[[#This Row],[Trend]]</f>
        <v>MSSP_ATTRIBUTEDAllowed2016-05-01Professional Claim Count</v>
      </c>
      <c r="B1689" t="s">
        <v>128</v>
      </c>
      <c r="C1689" t="s">
        <v>128</v>
      </c>
      <c r="D1689" t="s">
        <v>91</v>
      </c>
      <c r="E1689" s="1" t="s">
        <v>95</v>
      </c>
      <c r="F1689" t="s">
        <v>93</v>
      </c>
      <c r="G1689" t="s">
        <v>32</v>
      </c>
      <c r="H1689">
        <v>21</v>
      </c>
      <c r="I1689">
        <v>92064</v>
      </c>
    </row>
    <row r="1690" spans="1:9" x14ac:dyDescent="0.25">
      <c r="A1690" s="5" t="str">
        <f>TrendSheetPrdData[[#This Row],[Population]]&amp;TrendSheetPrdData[[#This Row],[Cost Basis]]&amp;TrendSheetPrdData[[#This Row],[Period]]&amp;TrendSheetPrdData[[#This Row],[Trend]]</f>
        <v>MSSP_ATTRIBUTEDAllowed2016-06-01Professional Claim Count</v>
      </c>
      <c r="B1690" t="s">
        <v>128</v>
      </c>
      <c r="C1690" t="s">
        <v>128</v>
      </c>
      <c r="D1690" t="s">
        <v>91</v>
      </c>
      <c r="E1690" s="1" t="s">
        <v>96</v>
      </c>
      <c r="F1690" t="s">
        <v>93</v>
      </c>
      <c r="G1690" t="s">
        <v>32</v>
      </c>
      <c r="H1690">
        <v>21</v>
      </c>
      <c r="I1690">
        <v>92658</v>
      </c>
    </row>
    <row r="1691" spans="1:9" x14ac:dyDescent="0.25">
      <c r="A1691" s="5" t="str">
        <f>TrendSheetPrdData[[#This Row],[Population]]&amp;TrendSheetPrdData[[#This Row],[Cost Basis]]&amp;TrendSheetPrdData[[#This Row],[Period]]&amp;TrendSheetPrdData[[#This Row],[Trend]]</f>
        <v>MSSP_ATTRIBUTEDAllowed2016-07-01Professional Claim Count</v>
      </c>
      <c r="B1691" t="s">
        <v>128</v>
      </c>
      <c r="C1691" t="s">
        <v>128</v>
      </c>
      <c r="D1691" t="s">
        <v>91</v>
      </c>
      <c r="E1691" s="1" t="s">
        <v>97</v>
      </c>
      <c r="F1691" t="s">
        <v>93</v>
      </c>
      <c r="G1691" t="s">
        <v>32</v>
      </c>
      <c r="H1691">
        <v>21</v>
      </c>
      <c r="I1691">
        <v>84106</v>
      </c>
    </row>
    <row r="1692" spans="1:9" x14ac:dyDescent="0.25">
      <c r="A1692" s="5" t="str">
        <f>TrendSheetPrdData[[#This Row],[Population]]&amp;TrendSheetPrdData[[#This Row],[Cost Basis]]&amp;TrendSheetPrdData[[#This Row],[Period]]&amp;TrendSheetPrdData[[#This Row],[Trend]]</f>
        <v>MSSP_ATTRIBUTEDAllowed2016-08-01Professional Claim Count</v>
      </c>
      <c r="B1692" t="s">
        <v>128</v>
      </c>
      <c r="C1692" t="s">
        <v>128</v>
      </c>
      <c r="D1692" t="s">
        <v>91</v>
      </c>
      <c r="E1692" s="1" t="s">
        <v>98</v>
      </c>
      <c r="F1692" t="s">
        <v>93</v>
      </c>
      <c r="G1692" t="s">
        <v>32</v>
      </c>
      <c r="H1692">
        <v>21</v>
      </c>
      <c r="I1692">
        <v>93080</v>
      </c>
    </row>
    <row r="1693" spans="1:9" x14ac:dyDescent="0.25">
      <c r="A1693" s="5" t="str">
        <f>TrendSheetPrdData[[#This Row],[Population]]&amp;TrendSheetPrdData[[#This Row],[Cost Basis]]&amp;TrendSheetPrdData[[#This Row],[Period]]&amp;TrendSheetPrdData[[#This Row],[Trend]]</f>
        <v>MSSP_ATTRIBUTEDAllowed2016-09-01Professional Claim Count</v>
      </c>
      <c r="B1693" t="s">
        <v>128</v>
      </c>
      <c r="C1693" t="s">
        <v>128</v>
      </c>
      <c r="D1693" t="s">
        <v>91</v>
      </c>
      <c r="E1693" s="1" t="s">
        <v>99</v>
      </c>
      <c r="F1693" t="s">
        <v>93</v>
      </c>
      <c r="G1693" t="s">
        <v>32</v>
      </c>
      <c r="H1693">
        <v>21</v>
      </c>
      <c r="I1693">
        <v>91519</v>
      </c>
    </row>
    <row r="1694" spans="1:9" x14ac:dyDescent="0.25">
      <c r="A1694" s="5" t="str">
        <f>TrendSheetPrdData[[#This Row],[Population]]&amp;TrendSheetPrdData[[#This Row],[Cost Basis]]&amp;TrendSheetPrdData[[#This Row],[Period]]&amp;TrendSheetPrdData[[#This Row],[Trend]]</f>
        <v>MSSP_ATTRIBUTEDAllowed2016-10-01Professional Claim Count</v>
      </c>
      <c r="B1694" t="s">
        <v>128</v>
      </c>
      <c r="C1694" t="s">
        <v>128</v>
      </c>
      <c r="D1694" t="s">
        <v>91</v>
      </c>
      <c r="E1694" s="1" t="s">
        <v>100</v>
      </c>
      <c r="F1694" t="s">
        <v>106</v>
      </c>
      <c r="G1694" t="s">
        <v>32</v>
      </c>
      <c r="H1694">
        <v>21</v>
      </c>
      <c r="I1694">
        <v>91932</v>
      </c>
    </row>
    <row r="1695" spans="1:9" x14ac:dyDescent="0.25">
      <c r="A1695" s="5" t="str">
        <f>TrendSheetPrdData[[#This Row],[Population]]&amp;TrendSheetPrdData[[#This Row],[Cost Basis]]&amp;TrendSheetPrdData[[#This Row],[Period]]&amp;TrendSheetPrdData[[#This Row],[Trend]]</f>
        <v>MSSP_ATTRIBUTEDAllowed2016-11-01Professional Claim Count</v>
      </c>
      <c r="B1695" t="s">
        <v>128</v>
      </c>
      <c r="C1695" t="s">
        <v>128</v>
      </c>
      <c r="D1695" t="s">
        <v>91</v>
      </c>
      <c r="E1695" s="1" t="s">
        <v>101</v>
      </c>
      <c r="F1695" t="s">
        <v>106</v>
      </c>
      <c r="G1695" t="s">
        <v>32</v>
      </c>
      <c r="H1695">
        <v>21</v>
      </c>
      <c r="I1695">
        <v>83563</v>
      </c>
    </row>
    <row r="1696" spans="1:9" x14ac:dyDescent="0.25">
      <c r="A1696" s="5" t="str">
        <f>TrendSheetPrdData[[#This Row],[Population]]&amp;TrendSheetPrdData[[#This Row],[Cost Basis]]&amp;TrendSheetPrdData[[#This Row],[Period]]&amp;TrendSheetPrdData[[#This Row],[Trend]]</f>
        <v>MSSP_ATTRIBUTEDAllowed2016-12-01Professional Claim Count</v>
      </c>
      <c r="B1696" t="s">
        <v>128</v>
      </c>
      <c r="C1696" t="s">
        <v>128</v>
      </c>
      <c r="D1696" t="s">
        <v>91</v>
      </c>
      <c r="E1696" s="1" t="s">
        <v>102</v>
      </c>
      <c r="F1696" t="s">
        <v>106</v>
      </c>
      <c r="G1696" t="s">
        <v>32</v>
      </c>
      <c r="H1696">
        <v>21</v>
      </c>
      <c r="I1696">
        <v>31481</v>
      </c>
    </row>
    <row r="1697" spans="1:9" x14ac:dyDescent="0.25">
      <c r="A1697" s="5" t="str">
        <f>TrendSheetPrdData[[#This Row],[Population]]&amp;TrendSheetPrdData[[#This Row],[Cost Basis]]&amp;TrendSheetPrdData[[#This Row],[Period]]&amp;TrendSheetPrdData[[#This Row],[Trend]]</f>
        <v>MSSP_ATTRIBUTEDAllowed2015-10-01Ancillary Claim Count</v>
      </c>
      <c r="B1697" t="s">
        <v>128</v>
      </c>
      <c r="C1697" t="s">
        <v>128</v>
      </c>
      <c r="D1697" t="s">
        <v>91</v>
      </c>
      <c r="E1697" s="1" t="s">
        <v>134</v>
      </c>
      <c r="F1697" t="s">
        <v>93</v>
      </c>
      <c r="G1697" t="s">
        <v>33</v>
      </c>
      <c r="H1697">
        <v>22</v>
      </c>
      <c r="I1697">
        <v>31496</v>
      </c>
    </row>
    <row r="1698" spans="1:9" x14ac:dyDescent="0.25">
      <c r="A1698" s="5" t="str">
        <f>TrendSheetPrdData[[#This Row],[Population]]&amp;TrendSheetPrdData[[#This Row],[Cost Basis]]&amp;TrendSheetPrdData[[#This Row],[Period]]&amp;TrendSheetPrdData[[#This Row],[Trend]]</f>
        <v>MSSP_ATTRIBUTEDAllowed2015-11-01Ancillary Claim Count</v>
      </c>
      <c r="B1698" t="s">
        <v>128</v>
      </c>
      <c r="C1698" t="s">
        <v>128</v>
      </c>
      <c r="D1698" t="s">
        <v>91</v>
      </c>
      <c r="E1698" s="1" t="s">
        <v>130</v>
      </c>
      <c r="F1698" t="s">
        <v>93</v>
      </c>
      <c r="G1698" t="s">
        <v>33</v>
      </c>
      <c r="H1698">
        <v>22</v>
      </c>
      <c r="I1698">
        <v>30342</v>
      </c>
    </row>
    <row r="1699" spans="1:9" x14ac:dyDescent="0.25">
      <c r="A1699" s="5" t="str">
        <f>TrendSheetPrdData[[#This Row],[Population]]&amp;TrendSheetPrdData[[#This Row],[Cost Basis]]&amp;TrendSheetPrdData[[#This Row],[Period]]&amp;TrendSheetPrdData[[#This Row],[Trend]]</f>
        <v>MSSP_ATTRIBUTEDAllowed2015-12-01Ancillary Claim Count</v>
      </c>
      <c r="B1699" t="s">
        <v>128</v>
      </c>
      <c r="C1699" t="s">
        <v>128</v>
      </c>
      <c r="D1699" t="s">
        <v>91</v>
      </c>
      <c r="E1699" s="1" t="s">
        <v>131</v>
      </c>
      <c r="F1699" t="s">
        <v>93</v>
      </c>
      <c r="G1699" t="s">
        <v>33</v>
      </c>
      <c r="H1699">
        <v>22</v>
      </c>
      <c r="I1699">
        <v>31161</v>
      </c>
    </row>
    <row r="1700" spans="1:9" x14ac:dyDescent="0.25">
      <c r="A1700" s="5" t="str">
        <f>TrendSheetPrdData[[#This Row],[Population]]&amp;TrendSheetPrdData[[#This Row],[Cost Basis]]&amp;TrendSheetPrdData[[#This Row],[Period]]&amp;TrendSheetPrdData[[#This Row],[Trend]]</f>
        <v>MSSP_ATTRIBUTEDAllowed2016-01-01Ancillary Claim Count</v>
      </c>
      <c r="B1700" t="s">
        <v>128</v>
      </c>
      <c r="C1700" t="s">
        <v>128</v>
      </c>
      <c r="D1700" t="s">
        <v>91</v>
      </c>
      <c r="E1700" s="1" t="s">
        <v>132</v>
      </c>
      <c r="F1700" t="s">
        <v>93</v>
      </c>
      <c r="G1700" t="s">
        <v>33</v>
      </c>
      <c r="H1700">
        <v>22</v>
      </c>
      <c r="I1700">
        <v>29115</v>
      </c>
    </row>
    <row r="1701" spans="1:9" x14ac:dyDescent="0.25">
      <c r="A1701" s="5" t="str">
        <f>TrendSheetPrdData[[#This Row],[Population]]&amp;TrendSheetPrdData[[#This Row],[Cost Basis]]&amp;TrendSheetPrdData[[#This Row],[Period]]&amp;TrendSheetPrdData[[#This Row],[Trend]]</f>
        <v>MSSP_ATTRIBUTEDAllowed2016-02-01Ancillary Claim Count</v>
      </c>
      <c r="B1701" t="s">
        <v>128</v>
      </c>
      <c r="C1701" t="s">
        <v>128</v>
      </c>
      <c r="D1701" t="s">
        <v>91</v>
      </c>
      <c r="E1701" s="1" t="s">
        <v>133</v>
      </c>
      <c r="F1701" t="s">
        <v>93</v>
      </c>
      <c r="G1701" t="s">
        <v>33</v>
      </c>
      <c r="H1701">
        <v>22</v>
      </c>
      <c r="I1701">
        <v>30334</v>
      </c>
    </row>
    <row r="1702" spans="1:9" x14ac:dyDescent="0.25">
      <c r="A1702" s="5" t="str">
        <f>TrendSheetPrdData[[#This Row],[Population]]&amp;TrendSheetPrdData[[#This Row],[Cost Basis]]&amp;TrendSheetPrdData[[#This Row],[Period]]&amp;TrendSheetPrdData[[#This Row],[Trend]]</f>
        <v>MSSP_ATTRIBUTEDAllowed2016-03-01Ancillary Claim Count</v>
      </c>
      <c r="B1702" t="s">
        <v>128</v>
      </c>
      <c r="C1702" t="s">
        <v>128</v>
      </c>
      <c r="D1702" t="s">
        <v>91</v>
      </c>
      <c r="E1702" s="1" t="s">
        <v>92</v>
      </c>
      <c r="F1702" t="s">
        <v>93</v>
      </c>
      <c r="G1702" t="s">
        <v>33</v>
      </c>
      <c r="H1702">
        <v>22</v>
      </c>
      <c r="I1702">
        <v>34827</v>
      </c>
    </row>
    <row r="1703" spans="1:9" x14ac:dyDescent="0.25">
      <c r="A1703" s="5" t="str">
        <f>TrendSheetPrdData[[#This Row],[Population]]&amp;TrendSheetPrdData[[#This Row],[Cost Basis]]&amp;TrendSheetPrdData[[#This Row],[Period]]&amp;TrendSheetPrdData[[#This Row],[Trend]]</f>
        <v>MSSP_ATTRIBUTEDAllowed2016-04-01Ancillary Claim Count</v>
      </c>
      <c r="B1703" t="s">
        <v>128</v>
      </c>
      <c r="C1703" t="s">
        <v>128</v>
      </c>
      <c r="D1703" t="s">
        <v>91</v>
      </c>
      <c r="E1703" s="1" t="s">
        <v>94</v>
      </c>
      <c r="F1703" t="s">
        <v>93</v>
      </c>
      <c r="G1703" t="s">
        <v>33</v>
      </c>
      <c r="H1703">
        <v>22</v>
      </c>
      <c r="I1703">
        <v>31876</v>
      </c>
    </row>
    <row r="1704" spans="1:9" x14ac:dyDescent="0.25">
      <c r="A1704" s="5" t="str">
        <f>TrendSheetPrdData[[#This Row],[Population]]&amp;TrendSheetPrdData[[#This Row],[Cost Basis]]&amp;TrendSheetPrdData[[#This Row],[Period]]&amp;TrendSheetPrdData[[#This Row],[Trend]]</f>
        <v>MSSP_ATTRIBUTEDAllowed2016-05-01Ancillary Claim Count</v>
      </c>
      <c r="B1704" t="s">
        <v>128</v>
      </c>
      <c r="C1704" t="s">
        <v>128</v>
      </c>
      <c r="D1704" t="s">
        <v>91</v>
      </c>
      <c r="E1704" s="1" t="s">
        <v>95</v>
      </c>
      <c r="F1704" t="s">
        <v>93</v>
      </c>
      <c r="G1704" t="s">
        <v>33</v>
      </c>
      <c r="H1704">
        <v>22</v>
      </c>
      <c r="I1704">
        <v>29986</v>
      </c>
    </row>
    <row r="1705" spans="1:9" x14ac:dyDescent="0.25">
      <c r="A1705" s="5" t="str">
        <f>TrendSheetPrdData[[#This Row],[Population]]&amp;TrendSheetPrdData[[#This Row],[Cost Basis]]&amp;TrendSheetPrdData[[#This Row],[Period]]&amp;TrendSheetPrdData[[#This Row],[Trend]]</f>
        <v>MSSP_ATTRIBUTEDAllowed2016-06-01Ancillary Claim Count</v>
      </c>
      <c r="B1705" t="s">
        <v>128</v>
      </c>
      <c r="C1705" t="s">
        <v>128</v>
      </c>
      <c r="D1705" t="s">
        <v>91</v>
      </c>
      <c r="E1705" s="1" t="s">
        <v>96</v>
      </c>
      <c r="F1705" t="s">
        <v>93</v>
      </c>
      <c r="G1705" t="s">
        <v>33</v>
      </c>
      <c r="H1705">
        <v>22</v>
      </c>
      <c r="I1705">
        <v>29138</v>
      </c>
    </row>
    <row r="1706" spans="1:9" x14ac:dyDescent="0.25">
      <c r="A1706" s="5" t="str">
        <f>TrendSheetPrdData[[#This Row],[Population]]&amp;TrendSheetPrdData[[#This Row],[Cost Basis]]&amp;TrendSheetPrdData[[#This Row],[Period]]&amp;TrendSheetPrdData[[#This Row],[Trend]]</f>
        <v>MSSP_ATTRIBUTEDAllowed2016-07-01Ancillary Claim Count</v>
      </c>
      <c r="B1706" t="s">
        <v>128</v>
      </c>
      <c r="C1706" t="s">
        <v>128</v>
      </c>
      <c r="D1706" t="s">
        <v>91</v>
      </c>
      <c r="E1706" s="1" t="s">
        <v>97</v>
      </c>
      <c r="F1706" t="s">
        <v>93</v>
      </c>
      <c r="G1706" t="s">
        <v>33</v>
      </c>
      <c r="H1706">
        <v>22</v>
      </c>
      <c r="I1706">
        <v>27221</v>
      </c>
    </row>
    <row r="1707" spans="1:9" x14ac:dyDescent="0.25">
      <c r="A1707" s="5" t="str">
        <f>TrendSheetPrdData[[#This Row],[Population]]&amp;TrendSheetPrdData[[#This Row],[Cost Basis]]&amp;TrendSheetPrdData[[#This Row],[Period]]&amp;TrendSheetPrdData[[#This Row],[Trend]]</f>
        <v>MSSP_ATTRIBUTEDAllowed2016-08-01Ancillary Claim Count</v>
      </c>
      <c r="B1707" t="s">
        <v>128</v>
      </c>
      <c r="C1707" t="s">
        <v>128</v>
      </c>
      <c r="D1707" t="s">
        <v>91</v>
      </c>
      <c r="E1707" s="1" t="s">
        <v>98</v>
      </c>
      <c r="F1707" t="s">
        <v>93</v>
      </c>
      <c r="G1707" t="s">
        <v>33</v>
      </c>
      <c r="H1707">
        <v>22</v>
      </c>
      <c r="I1707">
        <v>29889</v>
      </c>
    </row>
    <row r="1708" spans="1:9" x14ac:dyDescent="0.25">
      <c r="A1708" s="5" t="str">
        <f>TrendSheetPrdData[[#This Row],[Population]]&amp;TrendSheetPrdData[[#This Row],[Cost Basis]]&amp;TrendSheetPrdData[[#This Row],[Period]]&amp;TrendSheetPrdData[[#This Row],[Trend]]</f>
        <v>MSSP_ATTRIBUTEDAllowed2016-09-01Ancillary Claim Count</v>
      </c>
      <c r="B1708" t="s">
        <v>128</v>
      </c>
      <c r="C1708" t="s">
        <v>128</v>
      </c>
      <c r="D1708" t="s">
        <v>91</v>
      </c>
      <c r="E1708" s="1" t="s">
        <v>99</v>
      </c>
      <c r="F1708" t="s">
        <v>93</v>
      </c>
      <c r="G1708" t="s">
        <v>33</v>
      </c>
      <c r="H1708">
        <v>22</v>
      </c>
      <c r="I1708">
        <v>25723</v>
      </c>
    </row>
    <row r="1709" spans="1:9" x14ac:dyDescent="0.25">
      <c r="A1709" s="5" t="str">
        <f>TrendSheetPrdData[[#This Row],[Population]]&amp;TrendSheetPrdData[[#This Row],[Cost Basis]]&amp;TrendSheetPrdData[[#This Row],[Period]]&amp;TrendSheetPrdData[[#This Row],[Trend]]</f>
        <v>MSSP_ATTRIBUTEDAllowed2016-10-01Ancillary Claim Count</v>
      </c>
      <c r="B1709" t="s">
        <v>128</v>
      </c>
      <c r="C1709" t="s">
        <v>128</v>
      </c>
      <c r="D1709" t="s">
        <v>91</v>
      </c>
      <c r="E1709" s="1" t="s">
        <v>100</v>
      </c>
      <c r="F1709" t="s">
        <v>106</v>
      </c>
      <c r="G1709" t="s">
        <v>33</v>
      </c>
      <c r="H1709">
        <v>22</v>
      </c>
      <c r="I1709">
        <v>24048</v>
      </c>
    </row>
    <row r="1710" spans="1:9" x14ac:dyDescent="0.25">
      <c r="A1710" s="5" t="str">
        <f>TrendSheetPrdData[[#This Row],[Population]]&amp;TrendSheetPrdData[[#This Row],[Cost Basis]]&amp;TrendSheetPrdData[[#This Row],[Period]]&amp;TrendSheetPrdData[[#This Row],[Trend]]</f>
        <v>MSSP_ATTRIBUTEDAllowed2016-11-01Ancillary Claim Count</v>
      </c>
      <c r="B1710" t="s">
        <v>128</v>
      </c>
      <c r="C1710" t="s">
        <v>128</v>
      </c>
      <c r="D1710" t="s">
        <v>91</v>
      </c>
      <c r="E1710" s="1" t="s">
        <v>101</v>
      </c>
      <c r="F1710" t="s">
        <v>106</v>
      </c>
      <c r="G1710" t="s">
        <v>33</v>
      </c>
      <c r="H1710">
        <v>22</v>
      </c>
      <c r="I1710">
        <v>19757</v>
      </c>
    </row>
    <row r="1711" spans="1:9" x14ac:dyDescent="0.25">
      <c r="A1711" s="5" t="str">
        <f>TrendSheetPrdData[[#This Row],[Population]]&amp;TrendSheetPrdData[[#This Row],[Cost Basis]]&amp;TrendSheetPrdData[[#This Row],[Period]]&amp;TrendSheetPrdData[[#This Row],[Trend]]</f>
        <v>MSSP_ATTRIBUTEDAllowed2016-12-01Ancillary Claim Count</v>
      </c>
      <c r="B1711" t="s">
        <v>128</v>
      </c>
      <c r="C1711" t="s">
        <v>128</v>
      </c>
      <c r="D1711" t="s">
        <v>91</v>
      </c>
      <c r="E1711" s="1" t="s">
        <v>102</v>
      </c>
      <c r="F1711" t="s">
        <v>106</v>
      </c>
      <c r="G1711" t="s">
        <v>33</v>
      </c>
      <c r="H1711">
        <v>22</v>
      </c>
      <c r="I1711">
        <v>6582</v>
      </c>
    </row>
    <row r="1712" spans="1:9" x14ac:dyDescent="0.25">
      <c r="A1712" s="5" t="str">
        <f>TrendSheetPrdData[[#This Row],[Population]]&amp;TrendSheetPrdData[[#This Row],[Cost Basis]]&amp;TrendSheetPrdData[[#This Row],[Period]]&amp;TrendSheetPrdData[[#This Row],[Trend]]</f>
        <v>MSSP_ATTRIBUTEDAllowed2015-10-01Drug Claim Count</v>
      </c>
      <c r="B1712" t="s">
        <v>128</v>
      </c>
      <c r="C1712" t="s">
        <v>128</v>
      </c>
      <c r="D1712" t="s">
        <v>91</v>
      </c>
      <c r="E1712" s="1" t="s">
        <v>134</v>
      </c>
      <c r="F1712" t="s">
        <v>93</v>
      </c>
      <c r="G1712" t="s">
        <v>34</v>
      </c>
      <c r="H1712">
        <v>23</v>
      </c>
      <c r="I1712">
        <v>64414</v>
      </c>
    </row>
    <row r="1713" spans="1:9" x14ac:dyDescent="0.25">
      <c r="A1713" s="5" t="str">
        <f>TrendSheetPrdData[[#This Row],[Population]]&amp;TrendSheetPrdData[[#This Row],[Cost Basis]]&amp;TrendSheetPrdData[[#This Row],[Period]]&amp;TrendSheetPrdData[[#This Row],[Trend]]</f>
        <v>MSSP_ATTRIBUTEDAllowed2015-11-01Drug Claim Count</v>
      </c>
      <c r="B1713" t="s">
        <v>128</v>
      </c>
      <c r="C1713" t="s">
        <v>128</v>
      </c>
      <c r="D1713" t="s">
        <v>91</v>
      </c>
      <c r="E1713" s="1" t="s">
        <v>130</v>
      </c>
      <c r="F1713" t="s">
        <v>93</v>
      </c>
      <c r="G1713" t="s">
        <v>34</v>
      </c>
      <c r="H1713">
        <v>23</v>
      </c>
      <c r="I1713">
        <v>53218</v>
      </c>
    </row>
    <row r="1714" spans="1:9" x14ac:dyDescent="0.25">
      <c r="A1714" s="5" t="str">
        <f>TrendSheetPrdData[[#This Row],[Population]]&amp;TrendSheetPrdData[[#This Row],[Cost Basis]]&amp;TrendSheetPrdData[[#This Row],[Period]]&amp;TrendSheetPrdData[[#This Row],[Trend]]</f>
        <v>MSSP_ATTRIBUTEDAllowed2015-12-01Drug Claim Count</v>
      </c>
      <c r="B1714" t="s">
        <v>128</v>
      </c>
      <c r="C1714" t="s">
        <v>128</v>
      </c>
      <c r="D1714" t="s">
        <v>91</v>
      </c>
      <c r="E1714" s="1" t="s">
        <v>131</v>
      </c>
      <c r="F1714" t="s">
        <v>93</v>
      </c>
      <c r="G1714" t="s">
        <v>34</v>
      </c>
      <c r="H1714">
        <v>23</v>
      </c>
      <c r="I1714">
        <v>37447</v>
      </c>
    </row>
    <row r="1715" spans="1:9" x14ac:dyDescent="0.25">
      <c r="A1715" s="5" t="str">
        <f>TrendSheetPrdData[[#This Row],[Population]]&amp;TrendSheetPrdData[[#This Row],[Cost Basis]]&amp;TrendSheetPrdData[[#This Row],[Period]]&amp;TrendSheetPrdData[[#This Row],[Trend]]</f>
        <v>MSSP_ATTRIBUTEDAllowed2016-01-01Drug Claim Count</v>
      </c>
      <c r="B1715" t="s">
        <v>128</v>
      </c>
      <c r="C1715" t="s">
        <v>128</v>
      </c>
      <c r="D1715" t="s">
        <v>91</v>
      </c>
      <c r="E1715" s="1" t="s">
        <v>132</v>
      </c>
      <c r="F1715" t="s">
        <v>93</v>
      </c>
      <c r="G1715" t="s">
        <v>34</v>
      </c>
      <c r="H1715">
        <v>23</v>
      </c>
      <c r="I1715">
        <v>44144</v>
      </c>
    </row>
    <row r="1716" spans="1:9" x14ac:dyDescent="0.25">
      <c r="A1716" s="5" t="str">
        <f>TrendSheetPrdData[[#This Row],[Population]]&amp;TrendSheetPrdData[[#This Row],[Cost Basis]]&amp;TrendSheetPrdData[[#This Row],[Period]]&amp;TrendSheetPrdData[[#This Row],[Trend]]</f>
        <v>MSSP_ATTRIBUTEDAllowed2016-02-01Drug Claim Count</v>
      </c>
      <c r="B1716" t="s">
        <v>128</v>
      </c>
      <c r="C1716" t="s">
        <v>128</v>
      </c>
      <c r="D1716" t="s">
        <v>91</v>
      </c>
      <c r="E1716" s="1" t="s">
        <v>133</v>
      </c>
      <c r="F1716" t="s">
        <v>93</v>
      </c>
      <c r="G1716" t="s">
        <v>34</v>
      </c>
      <c r="H1716">
        <v>23</v>
      </c>
      <c r="I1716">
        <v>41427</v>
      </c>
    </row>
    <row r="1717" spans="1:9" x14ac:dyDescent="0.25">
      <c r="A1717" s="5" t="str">
        <f>TrendSheetPrdData[[#This Row],[Population]]&amp;TrendSheetPrdData[[#This Row],[Cost Basis]]&amp;TrendSheetPrdData[[#This Row],[Period]]&amp;TrendSheetPrdData[[#This Row],[Trend]]</f>
        <v>MSSP_ATTRIBUTEDAllowed2016-03-01Drug Claim Count</v>
      </c>
      <c r="B1717" t="s">
        <v>128</v>
      </c>
      <c r="C1717" t="s">
        <v>128</v>
      </c>
      <c r="D1717" t="s">
        <v>91</v>
      </c>
      <c r="E1717" s="1" t="s">
        <v>92</v>
      </c>
      <c r="F1717" t="s">
        <v>93</v>
      </c>
      <c r="G1717" t="s">
        <v>34</v>
      </c>
      <c r="H1717">
        <v>23</v>
      </c>
      <c r="I1717">
        <v>42719</v>
      </c>
    </row>
    <row r="1718" spans="1:9" x14ac:dyDescent="0.25">
      <c r="A1718" s="5" t="str">
        <f>TrendSheetPrdData[[#This Row],[Population]]&amp;TrendSheetPrdData[[#This Row],[Cost Basis]]&amp;TrendSheetPrdData[[#This Row],[Period]]&amp;TrendSheetPrdData[[#This Row],[Trend]]</f>
        <v>MSSP_ATTRIBUTEDAllowed2016-04-01Drug Claim Count</v>
      </c>
      <c r="B1718" t="s">
        <v>128</v>
      </c>
      <c r="C1718" t="s">
        <v>128</v>
      </c>
      <c r="D1718" t="s">
        <v>91</v>
      </c>
      <c r="E1718" s="1" t="s">
        <v>94</v>
      </c>
      <c r="F1718" t="s">
        <v>93</v>
      </c>
      <c r="G1718" t="s">
        <v>34</v>
      </c>
      <c r="H1718">
        <v>23</v>
      </c>
      <c r="I1718">
        <v>38815</v>
      </c>
    </row>
    <row r="1719" spans="1:9" x14ac:dyDescent="0.25">
      <c r="A1719" s="5" t="str">
        <f>TrendSheetPrdData[[#This Row],[Population]]&amp;TrendSheetPrdData[[#This Row],[Cost Basis]]&amp;TrendSheetPrdData[[#This Row],[Period]]&amp;TrendSheetPrdData[[#This Row],[Trend]]</f>
        <v>MSSP_ATTRIBUTEDAllowed2016-05-01Drug Claim Count</v>
      </c>
      <c r="B1719" t="s">
        <v>128</v>
      </c>
      <c r="C1719" t="s">
        <v>128</v>
      </c>
      <c r="D1719" t="s">
        <v>91</v>
      </c>
      <c r="E1719" s="1" t="s">
        <v>95</v>
      </c>
      <c r="F1719" t="s">
        <v>93</v>
      </c>
      <c r="G1719" t="s">
        <v>34</v>
      </c>
      <c r="H1719">
        <v>23</v>
      </c>
      <c r="I1719">
        <v>39534</v>
      </c>
    </row>
    <row r="1720" spans="1:9" x14ac:dyDescent="0.25">
      <c r="A1720" s="5" t="str">
        <f>TrendSheetPrdData[[#This Row],[Population]]&amp;TrendSheetPrdData[[#This Row],[Cost Basis]]&amp;TrendSheetPrdData[[#This Row],[Period]]&amp;TrendSheetPrdData[[#This Row],[Trend]]</f>
        <v>MSSP_ATTRIBUTEDAllowed2016-06-01Drug Claim Count</v>
      </c>
      <c r="B1720" t="s">
        <v>128</v>
      </c>
      <c r="C1720" t="s">
        <v>128</v>
      </c>
      <c r="D1720" t="s">
        <v>91</v>
      </c>
      <c r="E1720" s="1" t="s">
        <v>96</v>
      </c>
      <c r="F1720" t="s">
        <v>93</v>
      </c>
      <c r="G1720" t="s">
        <v>34</v>
      </c>
      <c r="H1720">
        <v>23</v>
      </c>
      <c r="I1720">
        <v>38819</v>
      </c>
    </row>
    <row r="1721" spans="1:9" x14ac:dyDescent="0.25">
      <c r="A1721" s="5" t="str">
        <f>TrendSheetPrdData[[#This Row],[Population]]&amp;TrendSheetPrdData[[#This Row],[Cost Basis]]&amp;TrendSheetPrdData[[#This Row],[Period]]&amp;TrendSheetPrdData[[#This Row],[Trend]]</f>
        <v>MSSP_ATTRIBUTEDAllowed2016-07-01Drug Claim Count</v>
      </c>
      <c r="B1721" t="s">
        <v>128</v>
      </c>
      <c r="C1721" t="s">
        <v>128</v>
      </c>
      <c r="D1721" t="s">
        <v>91</v>
      </c>
      <c r="E1721" s="1" t="s">
        <v>97</v>
      </c>
      <c r="F1721" t="s">
        <v>93</v>
      </c>
      <c r="G1721" t="s">
        <v>34</v>
      </c>
      <c r="H1721">
        <v>23</v>
      </c>
      <c r="I1721">
        <v>36365</v>
      </c>
    </row>
    <row r="1722" spans="1:9" x14ac:dyDescent="0.25">
      <c r="A1722" s="5" t="str">
        <f>TrendSheetPrdData[[#This Row],[Population]]&amp;TrendSheetPrdData[[#This Row],[Cost Basis]]&amp;TrendSheetPrdData[[#This Row],[Period]]&amp;TrendSheetPrdData[[#This Row],[Trend]]</f>
        <v>MSSP_ATTRIBUTEDAllowed2016-08-01Drug Claim Count</v>
      </c>
      <c r="B1722" t="s">
        <v>128</v>
      </c>
      <c r="C1722" t="s">
        <v>128</v>
      </c>
      <c r="D1722" t="s">
        <v>91</v>
      </c>
      <c r="E1722" s="1" t="s">
        <v>98</v>
      </c>
      <c r="F1722" t="s">
        <v>93</v>
      </c>
      <c r="G1722" t="s">
        <v>34</v>
      </c>
      <c r="H1722">
        <v>23</v>
      </c>
      <c r="I1722">
        <v>37919</v>
      </c>
    </row>
    <row r="1723" spans="1:9" x14ac:dyDescent="0.25">
      <c r="A1723" s="5" t="str">
        <f>TrendSheetPrdData[[#This Row],[Population]]&amp;TrendSheetPrdData[[#This Row],[Cost Basis]]&amp;TrendSheetPrdData[[#This Row],[Period]]&amp;TrendSheetPrdData[[#This Row],[Trend]]</f>
        <v>MSSP_ATTRIBUTEDAllowed2016-09-01Drug Claim Count</v>
      </c>
      <c r="B1723" t="s">
        <v>128</v>
      </c>
      <c r="C1723" t="s">
        <v>128</v>
      </c>
      <c r="D1723" t="s">
        <v>91</v>
      </c>
      <c r="E1723" s="1" t="s">
        <v>99</v>
      </c>
      <c r="F1723" t="s">
        <v>93</v>
      </c>
      <c r="G1723" t="s">
        <v>34</v>
      </c>
      <c r="H1723">
        <v>23</v>
      </c>
      <c r="I1723">
        <v>34208</v>
      </c>
    </row>
    <row r="1724" spans="1:9" x14ac:dyDescent="0.25">
      <c r="A1724" s="5" t="str">
        <f>TrendSheetPrdData[[#This Row],[Population]]&amp;TrendSheetPrdData[[#This Row],[Cost Basis]]&amp;TrendSheetPrdData[[#This Row],[Period]]&amp;TrendSheetPrdData[[#This Row],[Trend]]</f>
        <v>MSSP_ATTRIBUTEDAllowed2016-10-01Drug Claim Count</v>
      </c>
      <c r="B1724" t="s">
        <v>128</v>
      </c>
      <c r="C1724" t="s">
        <v>128</v>
      </c>
      <c r="D1724" t="s">
        <v>91</v>
      </c>
      <c r="E1724" s="1" t="s">
        <v>100</v>
      </c>
      <c r="F1724" t="s">
        <v>106</v>
      </c>
      <c r="G1724" t="s">
        <v>34</v>
      </c>
      <c r="H1724">
        <v>23</v>
      </c>
      <c r="I1724">
        <v>33068</v>
      </c>
    </row>
    <row r="1725" spans="1:9" x14ac:dyDescent="0.25">
      <c r="A1725" s="5" t="str">
        <f>TrendSheetPrdData[[#This Row],[Population]]&amp;TrendSheetPrdData[[#This Row],[Cost Basis]]&amp;TrendSheetPrdData[[#This Row],[Period]]&amp;TrendSheetPrdData[[#This Row],[Trend]]</f>
        <v>MSSP_ATTRIBUTEDAllowed2016-11-01Drug Claim Count</v>
      </c>
      <c r="B1725" t="s">
        <v>128</v>
      </c>
      <c r="C1725" t="s">
        <v>128</v>
      </c>
      <c r="D1725" t="s">
        <v>91</v>
      </c>
      <c r="E1725" s="1" t="s">
        <v>101</v>
      </c>
      <c r="F1725" t="s">
        <v>106</v>
      </c>
      <c r="G1725" t="s">
        <v>34</v>
      </c>
      <c r="H1725">
        <v>23</v>
      </c>
      <c r="I1725">
        <v>31205</v>
      </c>
    </row>
    <row r="1726" spans="1:9" x14ac:dyDescent="0.25">
      <c r="A1726" s="5" t="str">
        <f>TrendSheetPrdData[[#This Row],[Population]]&amp;TrendSheetPrdData[[#This Row],[Cost Basis]]&amp;TrendSheetPrdData[[#This Row],[Period]]&amp;TrendSheetPrdData[[#This Row],[Trend]]</f>
        <v>MSSP_ATTRIBUTEDAllowed2016-12-01Drug Claim Count</v>
      </c>
      <c r="B1726" t="s">
        <v>128</v>
      </c>
      <c r="C1726" t="s">
        <v>128</v>
      </c>
      <c r="D1726" t="s">
        <v>91</v>
      </c>
      <c r="E1726" s="1" t="s">
        <v>102</v>
      </c>
      <c r="F1726" t="s">
        <v>106</v>
      </c>
      <c r="G1726" t="s">
        <v>34</v>
      </c>
      <c r="H1726">
        <v>23</v>
      </c>
      <c r="I1726">
        <v>20622</v>
      </c>
    </row>
    <row r="1727" spans="1:9" x14ac:dyDescent="0.25">
      <c r="A1727" s="5" t="str">
        <f>TrendSheetPrdData[[#This Row],[Population]]&amp;TrendSheetPrdData[[#This Row],[Cost Basis]]&amp;TrendSheetPrdData[[#This Row],[Period]]&amp;TrendSheetPrdData[[#This Row],[Trend]]</f>
        <v>MSSP_ATTRIBUTEDPaid2015-10-01Medical PMPM</v>
      </c>
      <c r="B1727" t="s">
        <v>128</v>
      </c>
      <c r="C1727" t="s">
        <v>128</v>
      </c>
      <c r="D1727" t="s">
        <v>78</v>
      </c>
      <c r="E1727" s="1" t="s">
        <v>134</v>
      </c>
      <c r="F1727" t="s">
        <v>93</v>
      </c>
      <c r="G1727" t="s">
        <v>12</v>
      </c>
      <c r="H1727">
        <v>1</v>
      </c>
      <c r="I1727">
        <v>687.16</v>
      </c>
    </row>
    <row r="1728" spans="1:9" x14ac:dyDescent="0.25">
      <c r="A1728" s="5" t="str">
        <f>TrendSheetPrdData[[#This Row],[Population]]&amp;TrendSheetPrdData[[#This Row],[Cost Basis]]&amp;TrendSheetPrdData[[#This Row],[Period]]&amp;TrendSheetPrdData[[#This Row],[Trend]]</f>
        <v>MSSP_ATTRIBUTEDPaid2015-11-01Medical PMPM</v>
      </c>
      <c r="B1728" t="s">
        <v>128</v>
      </c>
      <c r="C1728" t="s">
        <v>128</v>
      </c>
      <c r="D1728" t="s">
        <v>78</v>
      </c>
      <c r="E1728" s="1" t="s">
        <v>130</v>
      </c>
      <c r="F1728" t="s">
        <v>93</v>
      </c>
      <c r="G1728" t="s">
        <v>12</v>
      </c>
      <c r="H1728">
        <v>1</v>
      </c>
      <c r="I1728">
        <v>681.85</v>
      </c>
    </row>
    <row r="1729" spans="1:9" x14ac:dyDescent="0.25">
      <c r="A1729" s="5" t="str">
        <f>TrendSheetPrdData[[#This Row],[Population]]&amp;TrendSheetPrdData[[#This Row],[Cost Basis]]&amp;TrendSheetPrdData[[#This Row],[Period]]&amp;TrendSheetPrdData[[#This Row],[Trend]]</f>
        <v>MSSP_ATTRIBUTEDPaid2015-12-01Medical PMPM</v>
      </c>
      <c r="B1729" t="s">
        <v>128</v>
      </c>
      <c r="C1729" t="s">
        <v>128</v>
      </c>
      <c r="D1729" t="s">
        <v>78</v>
      </c>
      <c r="E1729" s="1" t="s">
        <v>131</v>
      </c>
      <c r="F1729" t="s">
        <v>93</v>
      </c>
      <c r="G1729" t="s">
        <v>12</v>
      </c>
      <c r="H1729">
        <v>1</v>
      </c>
      <c r="I1729">
        <v>722.9</v>
      </c>
    </row>
    <row r="1730" spans="1:9" x14ac:dyDescent="0.25">
      <c r="A1730" s="5" t="str">
        <f>TrendSheetPrdData[[#This Row],[Population]]&amp;TrendSheetPrdData[[#This Row],[Cost Basis]]&amp;TrendSheetPrdData[[#This Row],[Period]]&amp;TrendSheetPrdData[[#This Row],[Trend]]</f>
        <v>MSSP_ATTRIBUTEDPaid2016-01-01Medical PMPM</v>
      </c>
      <c r="B1730" t="s">
        <v>128</v>
      </c>
      <c r="C1730" t="s">
        <v>128</v>
      </c>
      <c r="D1730" t="s">
        <v>78</v>
      </c>
      <c r="E1730" s="1" t="s">
        <v>132</v>
      </c>
      <c r="F1730" t="s">
        <v>93</v>
      </c>
      <c r="G1730" t="s">
        <v>12</v>
      </c>
      <c r="H1730">
        <v>1</v>
      </c>
      <c r="I1730">
        <v>651.87</v>
      </c>
    </row>
    <row r="1731" spans="1:9" x14ac:dyDescent="0.25">
      <c r="A1731" s="5" t="str">
        <f>TrendSheetPrdData[[#This Row],[Population]]&amp;TrendSheetPrdData[[#This Row],[Cost Basis]]&amp;TrendSheetPrdData[[#This Row],[Period]]&amp;TrendSheetPrdData[[#This Row],[Trend]]</f>
        <v>MSSP_ATTRIBUTEDPaid2016-02-01Medical PMPM</v>
      </c>
      <c r="B1731" t="s">
        <v>128</v>
      </c>
      <c r="C1731" t="s">
        <v>128</v>
      </c>
      <c r="D1731" t="s">
        <v>78</v>
      </c>
      <c r="E1731" s="1" t="s">
        <v>133</v>
      </c>
      <c r="F1731" t="s">
        <v>93</v>
      </c>
      <c r="G1731" t="s">
        <v>12</v>
      </c>
      <c r="H1731">
        <v>1</v>
      </c>
      <c r="I1731">
        <v>735</v>
      </c>
    </row>
    <row r="1732" spans="1:9" x14ac:dyDescent="0.25">
      <c r="A1732" s="5" t="str">
        <f>TrendSheetPrdData[[#This Row],[Population]]&amp;TrendSheetPrdData[[#This Row],[Cost Basis]]&amp;TrendSheetPrdData[[#This Row],[Period]]&amp;TrendSheetPrdData[[#This Row],[Trend]]</f>
        <v>MSSP_ATTRIBUTEDPaid2016-03-01Medical PMPM</v>
      </c>
      <c r="B1732" t="s">
        <v>128</v>
      </c>
      <c r="C1732" t="s">
        <v>128</v>
      </c>
      <c r="D1732" t="s">
        <v>78</v>
      </c>
      <c r="E1732" s="1" t="s">
        <v>92</v>
      </c>
      <c r="F1732" t="s">
        <v>93</v>
      </c>
      <c r="G1732" t="s">
        <v>12</v>
      </c>
      <c r="H1732">
        <v>1</v>
      </c>
      <c r="I1732">
        <v>800.49</v>
      </c>
    </row>
    <row r="1733" spans="1:9" x14ac:dyDescent="0.25">
      <c r="A1733" s="5" t="str">
        <f>TrendSheetPrdData[[#This Row],[Population]]&amp;TrendSheetPrdData[[#This Row],[Cost Basis]]&amp;TrendSheetPrdData[[#This Row],[Period]]&amp;TrendSheetPrdData[[#This Row],[Trend]]</f>
        <v>MSSP_ATTRIBUTEDPaid2016-04-01Medical PMPM</v>
      </c>
      <c r="B1733" t="s">
        <v>128</v>
      </c>
      <c r="C1733" t="s">
        <v>128</v>
      </c>
      <c r="D1733" t="s">
        <v>78</v>
      </c>
      <c r="E1733" s="1" t="s">
        <v>94</v>
      </c>
      <c r="F1733" t="s">
        <v>93</v>
      </c>
      <c r="G1733" t="s">
        <v>12</v>
      </c>
      <c r="H1733">
        <v>1</v>
      </c>
      <c r="I1733">
        <v>759.73</v>
      </c>
    </row>
    <row r="1734" spans="1:9" x14ac:dyDescent="0.25">
      <c r="A1734" s="5" t="str">
        <f>TrendSheetPrdData[[#This Row],[Population]]&amp;TrendSheetPrdData[[#This Row],[Cost Basis]]&amp;TrendSheetPrdData[[#This Row],[Period]]&amp;TrendSheetPrdData[[#This Row],[Trend]]</f>
        <v>MSSP_ATTRIBUTEDPaid2016-05-01Medical PMPM</v>
      </c>
      <c r="B1734" t="s">
        <v>128</v>
      </c>
      <c r="C1734" t="s">
        <v>128</v>
      </c>
      <c r="D1734" t="s">
        <v>78</v>
      </c>
      <c r="E1734" s="1" t="s">
        <v>95</v>
      </c>
      <c r="F1734" t="s">
        <v>93</v>
      </c>
      <c r="G1734" t="s">
        <v>12</v>
      </c>
      <c r="H1734">
        <v>1</v>
      </c>
      <c r="I1734">
        <v>787.41</v>
      </c>
    </row>
    <row r="1735" spans="1:9" x14ac:dyDescent="0.25">
      <c r="A1735" s="5" t="str">
        <f>TrendSheetPrdData[[#This Row],[Population]]&amp;TrendSheetPrdData[[#This Row],[Cost Basis]]&amp;TrendSheetPrdData[[#This Row],[Period]]&amp;TrendSheetPrdData[[#This Row],[Trend]]</f>
        <v>MSSP_ATTRIBUTEDPaid2016-06-01Medical PMPM</v>
      </c>
      <c r="B1735" t="s">
        <v>128</v>
      </c>
      <c r="C1735" t="s">
        <v>128</v>
      </c>
      <c r="D1735" t="s">
        <v>78</v>
      </c>
      <c r="E1735" s="1" t="s">
        <v>96</v>
      </c>
      <c r="F1735" t="s">
        <v>93</v>
      </c>
      <c r="G1735" t="s">
        <v>12</v>
      </c>
      <c r="H1735">
        <v>1</v>
      </c>
      <c r="I1735">
        <v>793.96</v>
      </c>
    </row>
    <row r="1736" spans="1:9" x14ac:dyDescent="0.25">
      <c r="A1736" s="5" t="str">
        <f>TrendSheetPrdData[[#This Row],[Population]]&amp;TrendSheetPrdData[[#This Row],[Cost Basis]]&amp;TrendSheetPrdData[[#This Row],[Period]]&amp;TrendSheetPrdData[[#This Row],[Trend]]</f>
        <v>MSSP_ATTRIBUTEDPaid2016-07-01Medical PMPM</v>
      </c>
      <c r="B1736" t="s">
        <v>128</v>
      </c>
      <c r="C1736" t="s">
        <v>128</v>
      </c>
      <c r="D1736" t="s">
        <v>78</v>
      </c>
      <c r="E1736" s="1" t="s">
        <v>97</v>
      </c>
      <c r="F1736" t="s">
        <v>93</v>
      </c>
      <c r="G1736" t="s">
        <v>12</v>
      </c>
      <c r="H1736">
        <v>1</v>
      </c>
      <c r="I1736">
        <v>748.51</v>
      </c>
    </row>
    <row r="1737" spans="1:9" x14ac:dyDescent="0.25">
      <c r="A1737" s="5" t="str">
        <f>TrendSheetPrdData[[#This Row],[Population]]&amp;TrendSheetPrdData[[#This Row],[Cost Basis]]&amp;TrendSheetPrdData[[#This Row],[Period]]&amp;TrendSheetPrdData[[#This Row],[Trend]]</f>
        <v>MSSP_ATTRIBUTEDPaid2016-08-01Medical PMPM</v>
      </c>
      <c r="B1737" t="s">
        <v>128</v>
      </c>
      <c r="C1737" t="s">
        <v>128</v>
      </c>
      <c r="D1737" t="s">
        <v>78</v>
      </c>
      <c r="E1737" s="1" t="s">
        <v>98</v>
      </c>
      <c r="F1737" t="s">
        <v>93</v>
      </c>
      <c r="G1737" t="s">
        <v>12</v>
      </c>
      <c r="H1737">
        <v>1</v>
      </c>
      <c r="I1737">
        <v>799.75</v>
      </c>
    </row>
    <row r="1738" spans="1:9" x14ac:dyDescent="0.25">
      <c r="A1738" s="5" t="str">
        <f>TrendSheetPrdData[[#This Row],[Population]]&amp;TrendSheetPrdData[[#This Row],[Cost Basis]]&amp;TrendSheetPrdData[[#This Row],[Period]]&amp;TrendSheetPrdData[[#This Row],[Trend]]</f>
        <v>MSSP_ATTRIBUTEDPaid2016-09-01Medical PMPM</v>
      </c>
      <c r="B1738" t="s">
        <v>128</v>
      </c>
      <c r="C1738" t="s">
        <v>128</v>
      </c>
      <c r="D1738" t="s">
        <v>78</v>
      </c>
      <c r="E1738" s="1" t="s">
        <v>99</v>
      </c>
      <c r="F1738" t="s">
        <v>93</v>
      </c>
      <c r="G1738" t="s">
        <v>12</v>
      </c>
      <c r="H1738">
        <v>1</v>
      </c>
      <c r="I1738">
        <v>797.19</v>
      </c>
    </row>
    <row r="1739" spans="1:9" x14ac:dyDescent="0.25">
      <c r="A1739" s="5" t="str">
        <f>TrendSheetPrdData[[#This Row],[Population]]&amp;TrendSheetPrdData[[#This Row],[Cost Basis]]&amp;TrendSheetPrdData[[#This Row],[Period]]&amp;TrendSheetPrdData[[#This Row],[Trend]]</f>
        <v>MSSP_ATTRIBUTEDPaid2016-10-01Medical PMPM</v>
      </c>
      <c r="B1739" t="s">
        <v>128</v>
      </c>
      <c r="C1739" t="s">
        <v>128</v>
      </c>
      <c r="D1739" t="s">
        <v>78</v>
      </c>
      <c r="E1739" s="1" t="s">
        <v>100</v>
      </c>
      <c r="F1739" t="s">
        <v>106</v>
      </c>
      <c r="G1739" t="s">
        <v>12</v>
      </c>
      <c r="H1739">
        <v>1</v>
      </c>
      <c r="I1739">
        <v>790.76</v>
      </c>
    </row>
    <row r="1740" spans="1:9" x14ac:dyDescent="0.25">
      <c r="A1740" s="5" t="str">
        <f>TrendSheetPrdData[[#This Row],[Population]]&amp;TrendSheetPrdData[[#This Row],[Cost Basis]]&amp;TrendSheetPrdData[[#This Row],[Period]]&amp;TrendSheetPrdData[[#This Row],[Trend]]</f>
        <v>MSSP_ATTRIBUTEDPaid2016-11-01Medical PMPM</v>
      </c>
      <c r="B1740" t="s">
        <v>128</v>
      </c>
      <c r="C1740" t="s">
        <v>128</v>
      </c>
      <c r="D1740" t="s">
        <v>78</v>
      </c>
      <c r="E1740" s="1" t="s">
        <v>101</v>
      </c>
      <c r="F1740" t="s">
        <v>106</v>
      </c>
      <c r="G1740" t="s">
        <v>12</v>
      </c>
      <c r="H1740">
        <v>1</v>
      </c>
      <c r="I1740">
        <v>680.64</v>
      </c>
    </row>
    <row r="1741" spans="1:9" x14ac:dyDescent="0.25">
      <c r="A1741" s="5" t="str">
        <f>TrendSheetPrdData[[#This Row],[Population]]&amp;TrendSheetPrdData[[#This Row],[Cost Basis]]&amp;TrendSheetPrdData[[#This Row],[Period]]&amp;TrendSheetPrdData[[#This Row],[Trend]]</f>
        <v>MSSP_ATTRIBUTEDPaid2016-12-01Medical PMPM</v>
      </c>
      <c r="B1741" t="s">
        <v>128</v>
      </c>
      <c r="C1741" t="s">
        <v>128</v>
      </c>
      <c r="D1741" t="s">
        <v>78</v>
      </c>
      <c r="E1741" s="1" t="s">
        <v>102</v>
      </c>
      <c r="F1741" t="s">
        <v>106</v>
      </c>
      <c r="G1741" t="s">
        <v>12</v>
      </c>
      <c r="H1741">
        <v>1</v>
      </c>
      <c r="I1741">
        <v>168.25</v>
      </c>
    </row>
    <row r="1742" spans="1:9" x14ac:dyDescent="0.25">
      <c r="A1742" s="5" t="str">
        <f>TrendSheetPrdData[[#This Row],[Population]]&amp;TrendSheetPrdData[[#This Row],[Cost Basis]]&amp;TrendSheetPrdData[[#This Row],[Period]]&amp;TrendSheetPrdData[[#This Row],[Trend]]</f>
        <v>MSSP_ATTRIBUTEDPaid2015-10-01Drug PMPM</v>
      </c>
      <c r="B1742" t="s">
        <v>128</v>
      </c>
      <c r="C1742" t="s">
        <v>128</v>
      </c>
      <c r="D1742" t="s">
        <v>78</v>
      </c>
      <c r="E1742" s="1" t="s">
        <v>134</v>
      </c>
      <c r="F1742" t="s">
        <v>93</v>
      </c>
      <c r="G1742" t="s">
        <v>13</v>
      </c>
      <c r="H1742">
        <v>2</v>
      </c>
      <c r="I1742">
        <v>46.8</v>
      </c>
    </row>
    <row r="1743" spans="1:9" x14ac:dyDescent="0.25">
      <c r="A1743" s="5" t="str">
        <f>TrendSheetPrdData[[#This Row],[Population]]&amp;TrendSheetPrdData[[#This Row],[Cost Basis]]&amp;TrendSheetPrdData[[#This Row],[Period]]&amp;TrendSheetPrdData[[#This Row],[Trend]]</f>
        <v>MSSP_ATTRIBUTEDPaid2015-11-01Drug PMPM</v>
      </c>
      <c r="B1743" t="s">
        <v>128</v>
      </c>
      <c r="C1743" t="s">
        <v>128</v>
      </c>
      <c r="D1743" t="s">
        <v>78</v>
      </c>
      <c r="E1743" s="1" t="s">
        <v>130</v>
      </c>
      <c r="F1743" t="s">
        <v>93</v>
      </c>
      <c r="G1743" t="s">
        <v>13</v>
      </c>
      <c r="H1743">
        <v>2</v>
      </c>
      <c r="I1743">
        <v>39.33</v>
      </c>
    </row>
    <row r="1744" spans="1:9" x14ac:dyDescent="0.25">
      <c r="A1744" s="5" t="str">
        <f>TrendSheetPrdData[[#This Row],[Population]]&amp;TrendSheetPrdData[[#This Row],[Cost Basis]]&amp;TrendSheetPrdData[[#This Row],[Period]]&amp;TrendSheetPrdData[[#This Row],[Trend]]</f>
        <v>MSSP_ATTRIBUTEDPaid2015-12-01Drug PMPM</v>
      </c>
      <c r="B1744" t="s">
        <v>128</v>
      </c>
      <c r="C1744" t="s">
        <v>128</v>
      </c>
      <c r="D1744" t="s">
        <v>78</v>
      </c>
      <c r="E1744" s="1" t="s">
        <v>131</v>
      </c>
      <c r="F1744" t="s">
        <v>93</v>
      </c>
      <c r="G1744" t="s">
        <v>13</v>
      </c>
      <c r="H1744">
        <v>2</v>
      </c>
      <c r="I1744">
        <v>26</v>
      </c>
    </row>
    <row r="1745" spans="1:9" x14ac:dyDescent="0.25">
      <c r="A1745" s="5" t="str">
        <f>TrendSheetPrdData[[#This Row],[Population]]&amp;TrendSheetPrdData[[#This Row],[Cost Basis]]&amp;TrendSheetPrdData[[#This Row],[Period]]&amp;TrendSheetPrdData[[#This Row],[Trend]]</f>
        <v>MSSP_ATTRIBUTEDPaid2016-01-01Drug PMPM</v>
      </c>
      <c r="B1745" t="s">
        <v>128</v>
      </c>
      <c r="C1745" t="s">
        <v>128</v>
      </c>
      <c r="D1745" t="s">
        <v>78</v>
      </c>
      <c r="E1745" s="1" t="s">
        <v>132</v>
      </c>
      <c r="F1745" t="s">
        <v>93</v>
      </c>
      <c r="G1745" t="s">
        <v>13</v>
      </c>
      <c r="H1745">
        <v>2</v>
      </c>
      <c r="I1745">
        <v>44.78</v>
      </c>
    </row>
    <row r="1746" spans="1:9" x14ac:dyDescent="0.25">
      <c r="A1746" s="5" t="str">
        <f>TrendSheetPrdData[[#This Row],[Population]]&amp;TrendSheetPrdData[[#This Row],[Cost Basis]]&amp;TrendSheetPrdData[[#This Row],[Period]]&amp;TrendSheetPrdData[[#This Row],[Trend]]</f>
        <v>MSSP_ATTRIBUTEDPaid2016-02-01Drug PMPM</v>
      </c>
      <c r="B1746" t="s">
        <v>128</v>
      </c>
      <c r="C1746" t="s">
        <v>128</v>
      </c>
      <c r="D1746" t="s">
        <v>78</v>
      </c>
      <c r="E1746" s="1" t="s">
        <v>133</v>
      </c>
      <c r="F1746" t="s">
        <v>93</v>
      </c>
      <c r="G1746" t="s">
        <v>13</v>
      </c>
      <c r="H1746">
        <v>2</v>
      </c>
      <c r="I1746">
        <v>35.74</v>
      </c>
    </row>
    <row r="1747" spans="1:9" x14ac:dyDescent="0.25">
      <c r="A1747" s="5" t="str">
        <f>TrendSheetPrdData[[#This Row],[Population]]&amp;TrendSheetPrdData[[#This Row],[Cost Basis]]&amp;TrendSheetPrdData[[#This Row],[Period]]&amp;TrendSheetPrdData[[#This Row],[Trend]]</f>
        <v>MSSP_ATTRIBUTEDPaid2016-03-01Drug PMPM</v>
      </c>
      <c r="B1747" t="s">
        <v>128</v>
      </c>
      <c r="C1747" t="s">
        <v>128</v>
      </c>
      <c r="D1747" t="s">
        <v>78</v>
      </c>
      <c r="E1747" s="1" t="s">
        <v>92</v>
      </c>
      <c r="F1747" t="s">
        <v>93</v>
      </c>
      <c r="G1747" t="s">
        <v>13</v>
      </c>
      <c r="H1747">
        <v>2</v>
      </c>
      <c r="I1747">
        <v>34.32</v>
      </c>
    </row>
    <row r="1748" spans="1:9" x14ac:dyDescent="0.25">
      <c r="A1748" s="5" t="str">
        <f>TrendSheetPrdData[[#This Row],[Population]]&amp;TrendSheetPrdData[[#This Row],[Cost Basis]]&amp;TrendSheetPrdData[[#This Row],[Period]]&amp;TrendSheetPrdData[[#This Row],[Trend]]</f>
        <v>MSSP_ATTRIBUTEDPaid2016-04-01Drug PMPM</v>
      </c>
      <c r="B1748" t="s">
        <v>128</v>
      </c>
      <c r="C1748" t="s">
        <v>128</v>
      </c>
      <c r="D1748" t="s">
        <v>78</v>
      </c>
      <c r="E1748" s="1" t="s">
        <v>94</v>
      </c>
      <c r="F1748" t="s">
        <v>93</v>
      </c>
      <c r="G1748" t="s">
        <v>13</v>
      </c>
      <c r="H1748">
        <v>2</v>
      </c>
      <c r="I1748">
        <v>30.41</v>
      </c>
    </row>
    <row r="1749" spans="1:9" x14ac:dyDescent="0.25">
      <c r="A1749" s="5" t="str">
        <f>TrendSheetPrdData[[#This Row],[Population]]&amp;TrendSheetPrdData[[#This Row],[Cost Basis]]&amp;TrendSheetPrdData[[#This Row],[Period]]&amp;TrendSheetPrdData[[#This Row],[Trend]]</f>
        <v>MSSP_ATTRIBUTEDPaid2016-05-01Drug PMPM</v>
      </c>
      <c r="B1749" t="s">
        <v>128</v>
      </c>
      <c r="C1749" t="s">
        <v>128</v>
      </c>
      <c r="D1749" t="s">
        <v>78</v>
      </c>
      <c r="E1749" s="1" t="s">
        <v>95</v>
      </c>
      <c r="F1749" t="s">
        <v>93</v>
      </c>
      <c r="G1749" t="s">
        <v>13</v>
      </c>
      <c r="H1749">
        <v>2</v>
      </c>
      <c r="I1749">
        <v>31.6</v>
      </c>
    </row>
    <row r="1750" spans="1:9" x14ac:dyDescent="0.25">
      <c r="A1750" s="5" t="str">
        <f>TrendSheetPrdData[[#This Row],[Population]]&amp;TrendSheetPrdData[[#This Row],[Cost Basis]]&amp;TrendSheetPrdData[[#This Row],[Period]]&amp;TrendSheetPrdData[[#This Row],[Trend]]</f>
        <v>MSSP_ATTRIBUTEDPaid2016-06-01Drug PMPM</v>
      </c>
      <c r="B1750" t="s">
        <v>128</v>
      </c>
      <c r="C1750" t="s">
        <v>128</v>
      </c>
      <c r="D1750" t="s">
        <v>78</v>
      </c>
      <c r="E1750" s="1" t="s">
        <v>96</v>
      </c>
      <c r="F1750" t="s">
        <v>93</v>
      </c>
      <c r="G1750" t="s">
        <v>13</v>
      </c>
      <c r="H1750">
        <v>2</v>
      </c>
      <c r="I1750">
        <v>31.31</v>
      </c>
    </row>
    <row r="1751" spans="1:9" x14ac:dyDescent="0.25">
      <c r="A1751" s="5" t="str">
        <f>TrendSheetPrdData[[#This Row],[Population]]&amp;TrendSheetPrdData[[#This Row],[Cost Basis]]&amp;TrendSheetPrdData[[#This Row],[Period]]&amp;TrendSheetPrdData[[#This Row],[Trend]]</f>
        <v>MSSP_ATTRIBUTEDPaid2016-07-01Drug PMPM</v>
      </c>
      <c r="B1751" t="s">
        <v>128</v>
      </c>
      <c r="C1751" t="s">
        <v>128</v>
      </c>
      <c r="D1751" t="s">
        <v>78</v>
      </c>
      <c r="E1751" s="1" t="s">
        <v>97</v>
      </c>
      <c r="F1751" t="s">
        <v>93</v>
      </c>
      <c r="G1751" t="s">
        <v>13</v>
      </c>
      <c r="H1751">
        <v>2</v>
      </c>
      <c r="I1751">
        <v>29.77</v>
      </c>
    </row>
    <row r="1752" spans="1:9" x14ac:dyDescent="0.25">
      <c r="A1752" s="5" t="str">
        <f>TrendSheetPrdData[[#This Row],[Population]]&amp;TrendSheetPrdData[[#This Row],[Cost Basis]]&amp;TrendSheetPrdData[[#This Row],[Period]]&amp;TrendSheetPrdData[[#This Row],[Trend]]</f>
        <v>MSSP_ATTRIBUTEDPaid2016-08-01Drug PMPM</v>
      </c>
      <c r="B1752" t="s">
        <v>128</v>
      </c>
      <c r="C1752" t="s">
        <v>128</v>
      </c>
      <c r="D1752" t="s">
        <v>78</v>
      </c>
      <c r="E1752" s="1" t="s">
        <v>98</v>
      </c>
      <c r="F1752" t="s">
        <v>93</v>
      </c>
      <c r="G1752" t="s">
        <v>13</v>
      </c>
      <c r="H1752">
        <v>2</v>
      </c>
      <c r="I1752">
        <v>29.98</v>
      </c>
    </row>
    <row r="1753" spans="1:9" x14ac:dyDescent="0.25">
      <c r="A1753" s="5" t="str">
        <f>TrendSheetPrdData[[#This Row],[Population]]&amp;TrendSheetPrdData[[#This Row],[Cost Basis]]&amp;TrendSheetPrdData[[#This Row],[Period]]&amp;TrendSheetPrdData[[#This Row],[Trend]]</f>
        <v>MSSP_ATTRIBUTEDPaid2016-09-01Drug PMPM</v>
      </c>
      <c r="B1753" t="s">
        <v>128</v>
      </c>
      <c r="C1753" t="s">
        <v>128</v>
      </c>
      <c r="D1753" t="s">
        <v>78</v>
      </c>
      <c r="E1753" s="1" t="s">
        <v>99</v>
      </c>
      <c r="F1753" t="s">
        <v>93</v>
      </c>
      <c r="G1753" t="s">
        <v>13</v>
      </c>
      <c r="H1753">
        <v>2</v>
      </c>
      <c r="I1753">
        <v>27.6</v>
      </c>
    </row>
    <row r="1754" spans="1:9" x14ac:dyDescent="0.25">
      <c r="A1754" s="5" t="str">
        <f>TrendSheetPrdData[[#This Row],[Population]]&amp;TrendSheetPrdData[[#This Row],[Cost Basis]]&amp;TrendSheetPrdData[[#This Row],[Period]]&amp;TrendSheetPrdData[[#This Row],[Trend]]</f>
        <v>MSSP_ATTRIBUTEDPaid2016-10-01Drug PMPM</v>
      </c>
      <c r="B1754" t="s">
        <v>128</v>
      </c>
      <c r="C1754" t="s">
        <v>128</v>
      </c>
      <c r="D1754" t="s">
        <v>78</v>
      </c>
      <c r="E1754" s="1" t="s">
        <v>100</v>
      </c>
      <c r="F1754" t="s">
        <v>106</v>
      </c>
      <c r="G1754" t="s">
        <v>13</v>
      </c>
      <c r="H1754">
        <v>2</v>
      </c>
      <c r="I1754">
        <v>25.99</v>
      </c>
    </row>
    <row r="1755" spans="1:9" x14ac:dyDescent="0.25">
      <c r="A1755" s="5" t="str">
        <f>TrendSheetPrdData[[#This Row],[Population]]&amp;TrendSheetPrdData[[#This Row],[Cost Basis]]&amp;TrendSheetPrdData[[#This Row],[Period]]&amp;TrendSheetPrdData[[#This Row],[Trend]]</f>
        <v>MSSP_ATTRIBUTEDPaid2016-11-01Drug PMPM</v>
      </c>
      <c r="B1755" t="s">
        <v>128</v>
      </c>
      <c r="C1755" t="s">
        <v>128</v>
      </c>
      <c r="D1755" t="s">
        <v>78</v>
      </c>
      <c r="E1755" s="1" t="s">
        <v>101</v>
      </c>
      <c r="F1755" t="s">
        <v>106</v>
      </c>
      <c r="G1755" t="s">
        <v>13</v>
      </c>
      <c r="H1755">
        <v>2</v>
      </c>
      <c r="I1755">
        <v>24.11</v>
      </c>
    </row>
    <row r="1756" spans="1:9" x14ac:dyDescent="0.25">
      <c r="A1756" s="5" t="str">
        <f>TrendSheetPrdData[[#This Row],[Population]]&amp;TrendSheetPrdData[[#This Row],[Cost Basis]]&amp;TrendSheetPrdData[[#This Row],[Period]]&amp;TrendSheetPrdData[[#This Row],[Trend]]</f>
        <v>MSSP_ATTRIBUTEDPaid2016-12-01Drug PMPM</v>
      </c>
      <c r="B1756" t="s">
        <v>128</v>
      </c>
      <c r="C1756" t="s">
        <v>128</v>
      </c>
      <c r="D1756" t="s">
        <v>78</v>
      </c>
      <c r="E1756" s="1" t="s">
        <v>102</v>
      </c>
      <c r="F1756" t="s">
        <v>106</v>
      </c>
      <c r="G1756" t="s">
        <v>13</v>
      </c>
      <c r="H1756">
        <v>2</v>
      </c>
      <c r="I1756">
        <v>15.96</v>
      </c>
    </row>
    <row r="1757" spans="1:9" x14ac:dyDescent="0.25">
      <c r="A1757" s="5" t="str">
        <f>TrendSheetPrdData[[#This Row],[Population]]&amp;TrendSheetPrdData[[#This Row],[Cost Basis]]&amp;TrendSheetPrdData[[#This Row],[Period]]&amp;TrendSheetPrdData[[#This Row],[Trend]]</f>
        <v>MSSP_ATTRIBUTEDPaid2015-10-01Overall PMPM</v>
      </c>
      <c r="B1757" t="s">
        <v>128</v>
      </c>
      <c r="C1757" t="s">
        <v>128</v>
      </c>
      <c r="D1757" t="s">
        <v>78</v>
      </c>
      <c r="E1757" s="1" t="s">
        <v>134</v>
      </c>
      <c r="F1757" t="s">
        <v>93</v>
      </c>
      <c r="G1757" t="s">
        <v>14</v>
      </c>
      <c r="H1757">
        <v>3</v>
      </c>
      <c r="I1757">
        <v>733.96</v>
      </c>
    </row>
    <row r="1758" spans="1:9" x14ac:dyDescent="0.25">
      <c r="A1758" s="5" t="str">
        <f>TrendSheetPrdData[[#This Row],[Population]]&amp;TrendSheetPrdData[[#This Row],[Cost Basis]]&amp;TrendSheetPrdData[[#This Row],[Period]]&amp;TrendSheetPrdData[[#This Row],[Trend]]</f>
        <v>MSSP_ATTRIBUTEDPaid2015-11-01Overall PMPM</v>
      </c>
      <c r="B1758" t="s">
        <v>128</v>
      </c>
      <c r="C1758" t="s">
        <v>128</v>
      </c>
      <c r="D1758" t="s">
        <v>78</v>
      </c>
      <c r="E1758" s="1" t="s">
        <v>130</v>
      </c>
      <c r="F1758" t="s">
        <v>93</v>
      </c>
      <c r="G1758" t="s">
        <v>14</v>
      </c>
      <c r="H1758">
        <v>3</v>
      </c>
      <c r="I1758">
        <v>721.18</v>
      </c>
    </row>
    <row r="1759" spans="1:9" x14ac:dyDescent="0.25">
      <c r="A1759" s="5" t="str">
        <f>TrendSheetPrdData[[#This Row],[Population]]&amp;TrendSheetPrdData[[#This Row],[Cost Basis]]&amp;TrendSheetPrdData[[#This Row],[Period]]&amp;TrendSheetPrdData[[#This Row],[Trend]]</f>
        <v>MSSP_ATTRIBUTEDPaid2015-12-01Overall PMPM</v>
      </c>
      <c r="B1759" t="s">
        <v>128</v>
      </c>
      <c r="C1759" t="s">
        <v>128</v>
      </c>
      <c r="D1759" t="s">
        <v>78</v>
      </c>
      <c r="E1759" s="1" t="s">
        <v>131</v>
      </c>
      <c r="F1759" t="s">
        <v>93</v>
      </c>
      <c r="G1759" t="s">
        <v>14</v>
      </c>
      <c r="H1759">
        <v>3</v>
      </c>
      <c r="I1759">
        <v>748.9</v>
      </c>
    </row>
    <row r="1760" spans="1:9" x14ac:dyDescent="0.25">
      <c r="A1760" s="5" t="str">
        <f>TrendSheetPrdData[[#This Row],[Population]]&amp;TrendSheetPrdData[[#This Row],[Cost Basis]]&amp;TrendSheetPrdData[[#This Row],[Period]]&amp;TrendSheetPrdData[[#This Row],[Trend]]</f>
        <v>MSSP_ATTRIBUTEDPaid2016-01-01Overall PMPM</v>
      </c>
      <c r="B1760" t="s">
        <v>128</v>
      </c>
      <c r="C1760" t="s">
        <v>128</v>
      </c>
      <c r="D1760" t="s">
        <v>78</v>
      </c>
      <c r="E1760" s="1" t="s">
        <v>132</v>
      </c>
      <c r="F1760" t="s">
        <v>93</v>
      </c>
      <c r="G1760" t="s">
        <v>14</v>
      </c>
      <c r="H1760">
        <v>3</v>
      </c>
      <c r="I1760">
        <v>696.65</v>
      </c>
    </row>
    <row r="1761" spans="1:9" x14ac:dyDescent="0.25">
      <c r="A1761" s="5" t="str">
        <f>TrendSheetPrdData[[#This Row],[Population]]&amp;TrendSheetPrdData[[#This Row],[Cost Basis]]&amp;TrendSheetPrdData[[#This Row],[Period]]&amp;TrendSheetPrdData[[#This Row],[Trend]]</f>
        <v>MSSP_ATTRIBUTEDPaid2016-02-01Overall PMPM</v>
      </c>
      <c r="B1761" t="s">
        <v>128</v>
      </c>
      <c r="C1761" t="s">
        <v>128</v>
      </c>
      <c r="D1761" t="s">
        <v>78</v>
      </c>
      <c r="E1761" s="1" t="s">
        <v>133</v>
      </c>
      <c r="F1761" t="s">
        <v>93</v>
      </c>
      <c r="G1761" t="s">
        <v>14</v>
      </c>
      <c r="H1761">
        <v>3</v>
      </c>
      <c r="I1761">
        <v>770.74</v>
      </c>
    </row>
    <row r="1762" spans="1:9" x14ac:dyDescent="0.25">
      <c r="A1762" s="5" t="str">
        <f>TrendSheetPrdData[[#This Row],[Population]]&amp;TrendSheetPrdData[[#This Row],[Cost Basis]]&amp;TrendSheetPrdData[[#This Row],[Period]]&amp;TrendSheetPrdData[[#This Row],[Trend]]</f>
        <v>MSSP_ATTRIBUTEDPaid2016-03-01Overall PMPM</v>
      </c>
      <c r="B1762" t="s">
        <v>128</v>
      </c>
      <c r="C1762" t="s">
        <v>128</v>
      </c>
      <c r="D1762" t="s">
        <v>78</v>
      </c>
      <c r="E1762" s="1" t="s">
        <v>92</v>
      </c>
      <c r="F1762" t="s">
        <v>93</v>
      </c>
      <c r="G1762" t="s">
        <v>14</v>
      </c>
      <c r="H1762">
        <v>3</v>
      </c>
      <c r="I1762">
        <v>834.81</v>
      </c>
    </row>
    <row r="1763" spans="1:9" x14ac:dyDescent="0.25">
      <c r="A1763" s="5" t="str">
        <f>TrendSheetPrdData[[#This Row],[Population]]&amp;TrendSheetPrdData[[#This Row],[Cost Basis]]&amp;TrendSheetPrdData[[#This Row],[Period]]&amp;TrendSheetPrdData[[#This Row],[Trend]]</f>
        <v>MSSP_ATTRIBUTEDPaid2016-04-01Overall PMPM</v>
      </c>
      <c r="B1763" t="s">
        <v>128</v>
      </c>
      <c r="C1763" t="s">
        <v>128</v>
      </c>
      <c r="D1763" t="s">
        <v>78</v>
      </c>
      <c r="E1763" s="1" t="s">
        <v>94</v>
      </c>
      <c r="F1763" t="s">
        <v>93</v>
      </c>
      <c r="G1763" t="s">
        <v>14</v>
      </c>
      <c r="H1763">
        <v>3</v>
      </c>
      <c r="I1763">
        <v>790.14</v>
      </c>
    </row>
    <row r="1764" spans="1:9" x14ac:dyDescent="0.25">
      <c r="A1764" s="5" t="str">
        <f>TrendSheetPrdData[[#This Row],[Population]]&amp;TrendSheetPrdData[[#This Row],[Cost Basis]]&amp;TrendSheetPrdData[[#This Row],[Period]]&amp;TrendSheetPrdData[[#This Row],[Trend]]</f>
        <v>MSSP_ATTRIBUTEDPaid2016-05-01Overall PMPM</v>
      </c>
      <c r="B1764" t="s">
        <v>128</v>
      </c>
      <c r="C1764" t="s">
        <v>128</v>
      </c>
      <c r="D1764" t="s">
        <v>78</v>
      </c>
      <c r="E1764" s="1" t="s">
        <v>95</v>
      </c>
      <c r="F1764" t="s">
        <v>93</v>
      </c>
      <c r="G1764" t="s">
        <v>14</v>
      </c>
      <c r="H1764">
        <v>3</v>
      </c>
      <c r="I1764">
        <v>819.01</v>
      </c>
    </row>
    <row r="1765" spans="1:9" x14ac:dyDescent="0.25">
      <c r="A1765" s="5" t="str">
        <f>TrendSheetPrdData[[#This Row],[Population]]&amp;TrendSheetPrdData[[#This Row],[Cost Basis]]&amp;TrendSheetPrdData[[#This Row],[Period]]&amp;TrendSheetPrdData[[#This Row],[Trend]]</f>
        <v>MSSP_ATTRIBUTEDPaid2016-06-01Overall PMPM</v>
      </c>
      <c r="B1765" t="s">
        <v>128</v>
      </c>
      <c r="C1765" t="s">
        <v>128</v>
      </c>
      <c r="D1765" t="s">
        <v>78</v>
      </c>
      <c r="E1765" s="1" t="s">
        <v>96</v>
      </c>
      <c r="F1765" t="s">
        <v>93</v>
      </c>
      <c r="G1765" t="s">
        <v>14</v>
      </c>
      <c r="H1765">
        <v>3</v>
      </c>
      <c r="I1765">
        <v>825.27</v>
      </c>
    </row>
    <row r="1766" spans="1:9" x14ac:dyDescent="0.25">
      <c r="A1766" s="5" t="str">
        <f>TrendSheetPrdData[[#This Row],[Population]]&amp;TrendSheetPrdData[[#This Row],[Cost Basis]]&amp;TrendSheetPrdData[[#This Row],[Period]]&amp;TrendSheetPrdData[[#This Row],[Trend]]</f>
        <v>MSSP_ATTRIBUTEDPaid2016-07-01Overall PMPM</v>
      </c>
      <c r="B1766" t="s">
        <v>128</v>
      </c>
      <c r="C1766" t="s">
        <v>128</v>
      </c>
      <c r="D1766" t="s">
        <v>78</v>
      </c>
      <c r="E1766" s="1" t="s">
        <v>97</v>
      </c>
      <c r="F1766" t="s">
        <v>93</v>
      </c>
      <c r="G1766" t="s">
        <v>14</v>
      </c>
      <c r="H1766">
        <v>3</v>
      </c>
      <c r="I1766">
        <v>778.28</v>
      </c>
    </row>
    <row r="1767" spans="1:9" x14ac:dyDescent="0.25">
      <c r="A1767" s="5" t="str">
        <f>TrendSheetPrdData[[#This Row],[Population]]&amp;TrendSheetPrdData[[#This Row],[Cost Basis]]&amp;TrendSheetPrdData[[#This Row],[Period]]&amp;TrendSheetPrdData[[#This Row],[Trend]]</f>
        <v>MSSP_ATTRIBUTEDPaid2016-08-01Overall PMPM</v>
      </c>
      <c r="B1767" t="s">
        <v>128</v>
      </c>
      <c r="C1767" t="s">
        <v>128</v>
      </c>
      <c r="D1767" t="s">
        <v>78</v>
      </c>
      <c r="E1767" s="1" t="s">
        <v>98</v>
      </c>
      <c r="F1767" t="s">
        <v>93</v>
      </c>
      <c r="G1767" t="s">
        <v>14</v>
      </c>
      <c r="H1767">
        <v>3</v>
      </c>
      <c r="I1767">
        <v>829.73</v>
      </c>
    </row>
    <row r="1768" spans="1:9" x14ac:dyDescent="0.25">
      <c r="A1768" s="5" t="str">
        <f>TrendSheetPrdData[[#This Row],[Population]]&amp;TrendSheetPrdData[[#This Row],[Cost Basis]]&amp;TrendSheetPrdData[[#This Row],[Period]]&amp;TrendSheetPrdData[[#This Row],[Trend]]</f>
        <v>MSSP_ATTRIBUTEDPaid2016-09-01Overall PMPM</v>
      </c>
      <c r="B1768" t="s">
        <v>128</v>
      </c>
      <c r="C1768" t="s">
        <v>128</v>
      </c>
      <c r="D1768" t="s">
        <v>78</v>
      </c>
      <c r="E1768" s="1" t="s">
        <v>99</v>
      </c>
      <c r="F1768" t="s">
        <v>93</v>
      </c>
      <c r="G1768" t="s">
        <v>14</v>
      </c>
      <c r="H1768">
        <v>3</v>
      </c>
      <c r="I1768">
        <v>824.79</v>
      </c>
    </row>
    <row r="1769" spans="1:9" x14ac:dyDescent="0.25">
      <c r="A1769" s="5" t="str">
        <f>TrendSheetPrdData[[#This Row],[Population]]&amp;TrendSheetPrdData[[#This Row],[Cost Basis]]&amp;TrendSheetPrdData[[#This Row],[Period]]&amp;TrendSheetPrdData[[#This Row],[Trend]]</f>
        <v>MSSP_ATTRIBUTEDPaid2016-10-01Overall PMPM</v>
      </c>
      <c r="B1769" t="s">
        <v>128</v>
      </c>
      <c r="C1769" t="s">
        <v>128</v>
      </c>
      <c r="D1769" t="s">
        <v>78</v>
      </c>
      <c r="E1769" s="1" t="s">
        <v>100</v>
      </c>
      <c r="F1769" t="s">
        <v>106</v>
      </c>
      <c r="G1769" t="s">
        <v>14</v>
      </c>
      <c r="H1769">
        <v>3</v>
      </c>
      <c r="I1769">
        <v>816.75</v>
      </c>
    </row>
    <row r="1770" spans="1:9" x14ac:dyDescent="0.25">
      <c r="A1770" s="5" t="str">
        <f>TrendSheetPrdData[[#This Row],[Population]]&amp;TrendSheetPrdData[[#This Row],[Cost Basis]]&amp;TrendSheetPrdData[[#This Row],[Period]]&amp;TrendSheetPrdData[[#This Row],[Trend]]</f>
        <v>MSSP_ATTRIBUTEDPaid2016-11-01Overall PMPM</v>
      </c>
      <c r="B1770" t="s">
        <v>128</v>
      </c>
      <c r="C1770" t="s">
        <v>128</v>
      </c>
      <c r="D1770" t="s">
        <v>78</v>
      </c>
      <c r="E1770" s="1" t="s">
        <v>101</v>
      </c>
      <c r="F1770" t="s">
        <v>106</v>
      </c>
      <c r="G1770" t="s">
        <v>14</v>
      </c>
      <c r="H1770">
        <v>3</v>
      </c>
      <c r="I1770">
        <v>704.75</v>
      </c>
    </row>
    <row r="1771" spans="1:9" x14ac:dyDescent="0.25">
      <c r="A1771" s="5" t="str">
        <f>TrendSheetPrdData[[#This Row],[Population]]&amp;TrendSheetPrdData[[#This Row],[Cost Basis]]&amp;TrendSheetPrdData[[#This Row],[Period]]&amp;TrendSheetPrdData[[#This Row],[Trend]]</f>
        <v>MSSP_ATTRIBUTEDPaid2016-12-01Overall PMPM</v>
      </c>
      <c r="B1771" t="s">
        <v>128</v>
      </c>
      <c r="C1771" t="s">
        <v>128</v>
      </c>
      <c r="D1771" t="s">
        <v>78</v>
      </c>
      <c r="E1771" s="1" t="s">
        <v>102</v>
      </c>
      <c r="F1771" t="s">
        <v>106</v>
      </c>
      <c r="G1771" t="s">
        <v>14</v>
      </c>
      <c r="H1771">
        <v>3</v>
      </c>
      <c r="I1771">
        <v>184.21</v>
      </c>
    </row>
    <row r="1772" spans="1:9" x14ac:dyDescent="0.25">
      <c r="A1772" s="5" t="str">
        <f>TrendSheetPrdData[[#This Row],[Population]]&amp;TrendSheetPrdData[[#This Row],[Cost Basis]]&amp;TrendSheetPrdData[[#This Row],[Period]]&amp;TrendSheetPrdData[[#This Row],[Trend]]</f>
        <v>MSSP_ATTRIBUTEDPaid2015-10-01Readmission Cost</v>
      </c>
      <c r="B1772" t="s">
        <v>128</v>
      </c>
      <c r="C1772" t="s">
        <v>128</v>
      </c>
      <c r="D1772" t="s">
        <v>78</v>
      </c>
      <c r="E1772" s="1" t="s">
        <v>134</v>
      </c>
      <c r="F1772" t="s">
        <v>93</v>
      </c>
      <c r="G1772" t="s">
        <v>15</v>
      </c>
      <c r="H1772">
        <v>4</v>
      </c>
      <c r="I1772">
        <v>421775.02</v>
      </c>
    </row>
    <row r="1773" spans="1:9" x14ac:dyDescent="0.25">
      <c r="A1773" s="5" t="str">
        <f>TrendSheetPrdData[[#This Row],[Population]]&amp;TrendSheetPrdData[[#This Row],[Cost Basis]]&amp;TrendSheetPrdData[[#This Row],[Period]]&amp;TrendSheetPrdData[[#This Row],[Trend]]</f>
        <v>MSSP_ATTRIBUTEDPaid2015-11-01Readmission Cost</v>
      </c>
      <c r="B1773" t="s">
        <v>128</v>
      </c>
      <c r="C1773" t="s">
        <v>128</v>
      </c>
      <c r="D1773" t="s">
        <v>78</v>
      </c>
      <c r="E1773" s="1" t="s">
        <v>130</v>
      </c>
      <c r="F1773" t="s">
        <v>93</v>
      </c>
      <c r="G1773" t="s">
        <v>15</v>
      </c>
      <c r="H1773">
        <v>4</v>
      </c>
      <c r="I1773">
        <v>279818.46000000002</v>
      </c>
    </row>
    <row r="1774" spans="1:9" x14ac:dyDescent="0.25">
      <c r="A1774" s="5" t="str">
        <f>TrendSheetPrdData[[#This Row],[Population]]&amp;TrendSheetPrdData[[#This Row],[Cost Basis]]&amp;TrendSheetPrdData[[#This Row],[Period]]&amp;TrendSheetPrdData[[#This Row],[Trend]]</f>
        <v>MSSP_ATTRIBUTEDPaid2015-12-01Readmission Cost</v>
      </c>
      <c r="B1774" t="s">
        <v>128</v>
      </c>
      <c r="C1774" t="s">
        <v>128</v>
      </c>
      <c r="D1774" t="s">
        <v>78</v>
      </c>
      <c r="E1774" s="1" t="s">
        <v>131</v>
      </c>
      <c r="F1774" t="s">
        <v>93</v>
      </c>
      <c r="G1774" t="s">
        <v>15</v>
      </c>
      <c r="H1774">
        <v>4</v>
      </c>
      <c r="I1774">
        <v>867076.73</v>
      </c>
    </row>
    <row r="1775" spans="1:9" x14ac:dyDescent="0.25">
      <c r="A1775" s="5" t="str">
        <f>TrendSheetPrdData[[#This Row],[Population]]&amp;TrendSheetPrdData[[#This Row],[Cost Basis]]&amp;TrendSheetPrdData[[#This Row],[Period]]&amp;TrendSheetPrdData[[#This Row],[Trend]]</f>
        <v>MSSP_ATTRIBUTEDPaid2016-01-01Readmission Cost</v>
      </c>
      <c r="B1775" t="s">
        <v>128</v>
      </c>
      <c r="C1775" t="s">
        <v>128</v>
      </c>
      <c r="D1775" t="s">
        <v>78</v>
      </c>
      <c r="E1775" s="1" t="s">
        <v>132</v>
      </c>
      <c r="F1775" t="s">
        <v>93</v>
      </c>
      <c r="G1775" t="s">
        <v>15</v>
      </c>
      <c r="H1775">
        <v>4</v>
      </c>
      <c r="I1775">
        <v>673893.46</v>
      </c>
    </row>
    <row r="1776" spans="1:9" x14ac:dyDescent="0.25">
      <c r="A1776" s="5" t="str">
        <f>TrendSheetPrdData[[#This Row],[Population]]&amp;TrendSheetPrdData[[#This Row],[Cost Basis]]&amp;TrendSheetPrdData[[#This Row],[Period]]&amp;TrendSheetPrdData[[#This Row],[Trend]]</f>
        <v>MSSP_ATTRIBUTEDPaid2016-02-01Readmission Cost</v>
      </c>
      <c r="B1776" t="s">
        <v>128</v>
      </c>
      <c r="C1776" t="s">
        <v>128</v>
      </c>
      <c r="D1776" t="s">
        <v>78</v>
      </c>
      <c r="E1776" s="1" t="s">
        <v>133</v>
      </c>
      <c r="F1776" t="s">
        <v>93</v>
      </c>
      <c r="G1776" t="s">
        <v>15</v>
      </c>
      <c r="H1776">
        <v>4</v>
      </c>
      <c r="I1776">
        <v>543195.31999999995</v>
      </c>
    </row>
    <row r="1777" spans="1:9" x14ac:dyDescent="0.25">
      <c r="A1777" s="5" t="str">
        <f>TrendSheetPrdData[[#This Row],[Population]]&amp;TrendSheetPrdData[[#This Row],[Cost Basis]]&amp;TrendSheetPrdData[[#This Row],[Period]]&amp;TrendSheetPrdData[[#This Row],[Trend]]</f>
        <v>MSSP_ATTRIBUTEDPaid2016-03-01Readmission Cost</v>
      </c>
      <c r="B1777" t="s">
        <v>128</v>
      </c>
      <c r="C1777" t="s">
        <v>128</v>
      </c>
      <c r="D1777" t="s">
        <v>78</v>
      </c>
      <c r="E1777" s="1" t="s">
        <v>92</v>
      </c>
      <c r="F1777" t="s">
        <v>93</v>
      </c>
      <c r="G1777" t="s">
        <v>15</v>
      </c>
      <c r="H1777">
        <v>4</v>
      </c>
      <c r="I1777">
        <v>515228.3</v>
      </c>
    </row>
    <row r="1778" spans="1:9" x14ac:dyDescent="0.25">
      <c r="A1778" s="5" t="str">
        <f>TrendSheetPrdData[[#This Row],[Population]]&amp;TrendSheetPrdData[[#This Row],[Cost Basis]]&amp;TrendSheetPrdData[[#This Row],[Period]]&amp;TrendSheetPrdData[[#This Row],[Trend]]</f>
        <v>MSSP_ATTRIBUTEDPaid2016-04-01Readmission Cost</v>
      </c>
      <c r="B1778" t="s">
        <v>128</v>
      </c>
      <c r="C1778" t="s">
        <v>128</v>
      </c>
      <c r="D1778" t="s">
        <v>78</v>
      </c>
      <c r="E1778" s="1" t="s">
        <v>94</v>
      </c>
      <c r="F1778" t="s">
        <v>93</v>
      </c>
      <c r="G1778" t="s">
        <v>15</v>
      </c>
      <c r="H1778">
        <v>4</v>
      </c>
      <c r="I1778">
        <v>638441.07999999996</v>
      </c>
    </row>
    <row r="1779" spans="1:9" x14ac:dyDescent="0.25">
      <c r="A1779" s="5" t="str">
        <f>TrendSheetPrdData[[#This Row],[Population]]&amp;TrendSheetPrdData[[#This Row],[Cost Basis]]&amp;TrendSheetPrdData[[#This Row],[Period]]&amp;TrendSheetPrdData[[#This Row],[Trend]]</f>
        <v>MSSP_ATTRIBUTEDPaid2016-05-01Readmission Cost</v>
      </c>
      <c r="B1779" t="s">
        <v>128</v>
      </c>
      <c r="C1779" t="s">
        <v>128</v>
      </c>
      <c r="D1779" t="s">
        <v>78</v>
      </c>
      <c r="E1779" s="1" t="s">
        <v>95</v>
      </c>
      <c r="F1779" t="s">
        <v>93</v>
      </c>
      <c r="G1779" t="s">
        <v>15</v>
      </c>
      <c r="H1779">
        <v>4</v>
      </c>
      <c r="I1779">
        <v>550084.06999999995</v>
      </c>
    </row>
    <row r="1780" spans="1:9" x14ac:dyDescent="0.25">
      <c r="A1780" s="5" t="str">
        <f>TrendSheetPrdData[[#This Row],[Population]]&amp;TrendSheetPrdData[[#This Row],[Cost Basis]]&amp;TrendSheetPrdData[[#This Row],[Period]]&amp;TrendSheetPrdData[[#This Row],[Trend]]</f>
        <v>MSSP_ATTRIBUTEDPaid2016-06-01Readmission Cost</v>
      </c>
      <c r="B1780" t="s">
        <v>128</v>
      </c>
      <c r="C1780" t="s">
        <v>128</v>
      </c>
      <c r="D1780" t="s">
        <v>78</v>
      </c>
      <c r="E1780" s="1" t="s">
        <v>96</v>
      </c>
      <c r="F1780" t="s">
        <v>93</v>
      </c>
      <c r="G1780" t="s">
        <v>15</v>
      </c>
      <c r="H1780">
        <v>4</v>
      </c>
      <c r="I1780">
        <v>594851.93000000005</v>
      </c>
    </row>
    <row r="1781" spans="1:9" x14ac:dyDescent="0.25">
      <c r="A1781" s="5" t="str">
        <f>TrendSheetPrdData[[#This Row],[Population]]&amp;TrendSheetPrdData[[#This Row],[Cost Basis]]&amp;TrendSheetPrdData[[#This Row],[Period]]&amp;TrendSheetPrdData[[#This Row],[Trend]]</f>
        <v>MSSP_ATTRIBUTEDPaid2016-07-01Readmission Cost</v>
      </c>
      <c r="B1781" t="s">
        <v>128</v>
      </c>
      <c r="C1781" t="s">
        <v>128</v>
      </c>
      <c r="D1781" t="s">
        <v>78</v>
      </c>
      <c r="E1781" s="1" t="s">
        <v>97</v>
      </c>
      <c r="F1781" t="s">
        <v>93</v>
      </c>
      <c r="G1781" t="s">
        <v>15</v>
      </c>
      <c r="H1781">
        <v>4</v>
      </c>
      <c r="I1781">
        <v>594885.63</v>
      </c>
    </row>
    <row r="1782" spans="1:9" x14ac:dyDescent="0.25">
      <c r="A1782" s="5" t="str">
        <f>TrendSheetPrdData[[#This Row],[Population]]&amp;TrendSheetPrdData[[#This Row],[Cost Basis]]&amp;TrendSheetPrdData[[#This Row],[Period]]&amp;TrendSheetPrdData[[#This Row],[Trend]]</f>
        <v>MSSP_ATTRIBUTEDPaid2016-08-01Readmission Cost</v>
      </c>
      <c r="B1782" t="s">
        <v>128</v>
      </c>
      <c r="C1782" t="s">
        <v>128</v>
      </c>
      <c r="D1782" t="s">
        <v>78</v>
      </c>
      <c r="E1782" s="1" t="s">
        <v>98</v>
      </c>
      <c r="F1782" t="s">
        <v>93</v>
      </c>
      <c r="G1782" t="s">
        <v>15</v>
      </c>
      <c r="H1782">
        <v>4</v>
      </c>
      <c r="I1782">
        <v>864126.14</v>
      </c>
    </row>
    <row r="1783" spans="1:9" x14ac:dyDescent="0.25">
      <c r="A1783" s="5" t="str">
        <f>TrendSheetPrdData[[#This Row],[Population]]&amp;TrendSheetPrdData[[#This Row],[Cost Basis]]&amp;TrendSheetPrdData[[#This Row],[Period]]&amp;TrendSheetPrdData[[#This Row],[Trend]]</f>
        <v>MSSP_ATTRIBUTEDPaid2016-09-01Readmission Cost</v>
      </c>
      <c r="B1783" t="s">
        <v>128</v>
      </c>
      <c r="C1783" t="s">
        <v>128</v>
      </c>
      <c r="D1783" t="s">
        <v>78</v>
      </c>
      <c r="E1783" s="1" t="s">
        <v>99</v>
      </c>
      <c r="F1783" t="s">
        <v>93</v>
      </c>
      <c r="G1783" t="s">
        <v>15</v>
      </c>
      <c r="H1783">
        <v>4</v>
      </c>
      <c r="I1783">
        <v>583185.35</v>
      </c>
    </row>
    <row r="1784" spans="1:9" x14ac:dyDescent="0.25">
      <c r="A1784" s="5" t="str">
        <f>TrendSheetPrdData[[#This Row],[Population]]&amp;TrendSheetPrdData[[#This Row],[Cost Basis]]&amp;TrendSheetPrdData[[#This Row],[Period]]&amp;TrendSheetPrdData[[#This Row],[Trend]]</f>
        <v>MSSP_ATTRIBUTEDPaid2016-10-01Readmission Cost</v>
      </c>
      <c r="B1784" t="s">
        <v>128</v>
      </c>
      <c r="C1784" t="s">
        <v>128</v>
      </c>
      <c r="D1784" t="s">
        <v>78</v>
      </c>
      <c r="E1784" s="1" t="s">
        <v>100</v>
      </c>
      <c r="F1784" t="s">
        <v>106</v>
      </c>
      <c r="G1784" t="s">
        <v>15</v>
      </c>
      <c r="H1784">
        <v>4</v>
      </c>
      <c r="I1784">
        <v>367818.27</v>
      </c>
    </row>
    <row r="1785" spans="1:9" x14ac:dyDescent="0.25">
      <c r="A1785" s="5" t="str">
        <f>TrendSheetPrdData[[#This Row],[Population]]&amp;TrendSheetPrdData[[#This Row],[Cost Basis]]&amp;TrendSheetPrdData[[#This Row],[Period]]&amp;TrendSheetPrdData[[#This Row],[Trend]]</f>
        <v>MSSP_ATTRIBUTEDPaid2016-11-01Readmission Cost</v>
      </c>
      <c r="B1785" t="s">
        <v>128</v>
      </c>
      <c r="C1785" t="s">
        <v>128</v>
      </c>
      <c r="D1785" t="s">
        <v>78</v>
      </c>
      <c r="E1785" s="1" t="s">
        <v>101</v>
      </c>
      <c r="F1785" t="s">
        <v>106</v>
      </c>
      <c r="G1785" t="s">
        <v>15</v>
      </c>
      <c r="H1785">
        <v>4</v>
      </c>
      <c r="I1785">
        <v>284602.15000000002</v>
      </c>
    </row>
    <row r="1786" spans="1:9" x14ac:dyDescent="0.25">
      <c r="A1786" s="5" t="str">
        <f>TrendSheetPrdData[[#This Row],[Population]]&amp;TrendSheetPrdData[[#This Row],[Cost Basis]]&amp;TrendSheetPrdData[[#This Row],[Period]]&amp;TrendSheetPrdData[[#This Row],[Trend]]</f>
        <v>MSSP_ATTRIBUTEDPaid2016-12-01Readmission Cost</v>
      </c>
      <c r="B1786" t="s">
        <v>128</v>
      </c>
      <c r="C1786" t="s">
        <v>128</v>
      </c>
      <c r="D1786" t="s">
        <v>78</v>
      </c>
      <c r="E1786" s="1" t="s">
        <v>102</v>
      </c>
      <c r="F1786" t="s">
        <v>106</v>
      </c>
      <c r="G1786" t="s">
        <v>15</v>
      </c>
      <c r="H1786">
        <v>4</v>
      </c>
      <c r="I1786">
        <v>41460.269999999997</v>
      </c>
    </row>
    <row r="1787" spans="1:9" x14ac:dyDescent="0.25">
      <c r="A1787" s="5" t="str">
        <f>TrendSheetPrdData[[#This Row],[Population]]&amp;TrendSheetPrdData[[#This Row],[Cost Basis]]&amp;TrendSheetPrdData[[#This Row],[Period]]&amp;TrendSheetPrdData[[#This Row],[Trend]]</f>
        <v>MSSP_ATTRIBUTEDPaid2015-10-01Readmission Quality</v>
      </c>
      <c r="B1787" t="s">
        <v>128</v>
      </c>
      <c r="C1787" t="s">
        <v>128</v>
      </c>
      <c r="D1787" t="s">
        <v>78</v>
      </c>
      <c r="E1787" s="1" t="s">
        <v>134</v>
      </c>
      <c r="F1787" t="s">
        <v>93</v>
      </c>
      <c r="G1787" t="s">
        <v>16</v>
      </c>
      <c r="H1787">
        <v>5</v>
      </c>
      <c r="I1787">
        <v>49</v>
      </c>
    </row>
    <row r="1788" spans="1:9" x14ac:dyDescent="0.25">
      <c r="A1788" s="5" t="str">
        <f>TrendSheetPrdData[[#This Row],[Population]]&amp;TrendSheetPrdData[[#This Row],[Cost Basis]]&amp;TrendSheetPrdData[[#This Row],[Period]]&amp;TrendSheetPrdData[[#This Row],[Trend]]</f>
        <v>MSSP_ATTRIBUTEDPaid2015-11-01Readmission Quality</v>
      </c>
      <c r="B1788" t="s">
        <v>128</v>
      </c>
      <c r="C1788" t="s">
        <v>128</v>
      </c>
      <c r="D1788" t="s">
        <v>78</v>
      </c>
      <c r="E1788" s="1" t="s">
        <v>130</v>
      </c>
      <c r="F1788" t="s">
        <v>93</v>
      </c>
      <c r="G1788" t="s">
        <v>16</v>
      </c>
      <c r="H1788">
        <v>5</v>
      </c>
      <c r="I1788">
        <v>36</v>
      </c>
    </row>
    <row r="1789" spans="1:9" x14ac:dyDescent="0.25">
      <c r="A1789" s="5" t="str">
        <f>TrendSheetPrdData[[#This Row],[Population]]&amp;TrendSheetPrdData[[#This Row],[Cost Basis]]&amp;TrendSheetPrdData[[#This Row],[Period]]&amp;TrendSheetPrdData[[#This Row],[Trend]]</f>
        <v>MSSP_ATTRIBUTEDPaid2015-12-01Readmission Quality</v>
      </c>
      <c r="B1789" t="s">
        <v>128</v>
      </c>
      <c r="C1789" t="s">
        <v>128</v>
      </c>
      <c r="D1789" t="s">
        <v>78</v>
      </c>
      <c r="E1789" s="1" t="s">
        <v>131</v>
      </c>
      <c r="F1789" t="s">
        <v>93</v>
      </c>
      <c r="G1789" t="s">
        <v>16</v>
      </c>
      <c r="H1789">
        <v>5</v>
      </c>
      <c r="I1789">
        <v>71</v>
      </c>
    </row>
    <row r="1790" spans="1:9" x14ac:dyDescent="0.25">
      <c r="A1790" s="5" t="str">
        <f>TrendSheetPrdData[[#This Row],[Population]]&amp;TrendSheetPrdData[[#This Row],[Cost Basis]]&amp;TrendSheetPrdData[[#This Row],[Period]]&amp;TrendSheetPrdData[[#This Row],[Trend]]</f>
        <v>MSSP_ATTRIBUTEDPaid2016-01-01Readmission Quality</v>
      </c>
      <c r="B1790" t="s">
        <v>128</v>
      </c>
      <c r="C1790" t="s">
        <v>128</v>
      </c>
      <c r="D1790" t="s">
        <v>78</v>
      </c>
      <c r="E1790" s="1" t="s">
        <v>132</v>
      </c>
      <c r="F1790" t="s">
        <v>93</v>
      </c>
      <c r="G1790" t="s">
        <v>16</v>
      </c>
      <c r="H1790">
        <v>5</v>
      </c>
      <c r="I1790">
        <v>59</v>
      </c>
    </row>
    <row r="1791" spans="1:9" x14ac:dyDescent="0.25">
      <c r="A1791" s="5" t="str">
        <f>TrendSheetPrdData[[#This Row],[Population]]&amp;TrendSheetPrdData[[#This Row],[Cost Basis]]&amp;TrendSheetPrdData[[#This Row],[Period]]&amp;TrendSheetPrdData[[#This Row],[Trend]]</f>
        <v>MSSP_ATTRIBUTEDPaid2016-02-01Readmission Quality</v>
      </c>
      <c r="B1791" t="s">
        <v>128</v>
      </c>
      <c r="C1791" t="s">
        <v>128</v>
      </c>
      <c r="D1791" t="s">
        <v>78</v>
      </c>
      <c r="E1791" s="1" t="s">
        <v>133</v>
      </c>
      <c r="F1791" t="s">
        <v>93</v>
      </c>
      <c r="G1791" t="s">
        <v>16</v>
      </c>
      <c r="H1791">
        <v>5</v>
      </c>
      <c r="I1791">
        <v>50</v>
      </c>
    </row>
    <row r="1792" spans="1:9" x14ac:dyDescent="0.25">
      <c r="A1792" s="5" t="str">
        <f>TrendSheetPrdData[[#This Row],[Population]]&amp;TrendSheetPrdData[[#This Row],[Cost Basis]]&amp;TrendSheetPrdData[[#This Row],[Period]]&amp;TrendSheetPrdData[[#This Row],[Trend]]</f>
        <v>MSSP_ATTRIBUTEDPaid2016-03-01Readmission Quality</v>
      </c>
      <c r="B1792" t="s">
        <v>128</v>
      </c>
      <c r="C1792" t="s">
        <v>128</v>
      </c>
      <c r="D1792" t="s">
        <v>78</v>
      </c>
      <c r="E1792" s="1" t="s">
        <v>92</v>
      </c>
      <c r="F1792" t="s">
        <v>93</v>
      </c>
      <c r="G1792" t="s">
        <v>16</v>
      </c>
      <c r="H1792">
        <v>5</v>
      </c>
      <c r="I1792">
        <v>53</v>
      </c>
    </row>
    <row r="1793" spans="1:9" x14ac:dyDescent="0.25">
      <c r="A1793" s="5" t="str">
        <f>TrendSheetPrdData[[#This Row],[Population]]&amp;TrendSheetPrdData[[#This Row],[Cost Basis]]&amp;TrendSheetPrdData[[#This Row],[Period]]&amp;TrendSheetPrdData[[#This Row],[Trend]]</f>
        <v>MSSP_ATTRIBUTEDPaid2016-04-01Readmission Quality</v>
      </c>
      <c r="B1793" t="s">
        <v>128</v>
      </c>
      <c r="C1793" t="s">
        <v>128</v>
      </c>
      <c r="D1793" t="s">
        <v>78</v>
      </c>
      <c r="E1793" s="1" t="s">
        <v>94</v>
      </c>
      <c r="F1793" t="s">
        <v>93</v>
      </c>
      <c r="G1793" t="s">
        <v>16</v>
      </c>
      <c r="H1793">
        <v>5</v>
      </c>
      <c r="I1793">
        <v>56</v>
      </c>
    </row>
    <row r="1794" spans="1:9" x14ac:dyDescent="0.25">
      <c r="A1794" s="5" t="str">
        <f>TrendSheetPrdData[[#This Row],[Population]]&amp;TrendSheetPrdData[[#This Row],[Cost Basis]]&amp;TrendSheetPrdData[[#This Row],[Period]]&amp;TrendSheetPrdData[[#This Row],[Trend]]</f>
        <v>MSSP_ATTRIBUTEDPaid2016-05-01Readmission Quality</v>
      </c>
      <c r="B1794" t="s">
        <v>128</v>
      </c>
      <c r="C1794" t="s">
        <v>128</v>
      </c>
      <c r="D1794" t="s">
        <v>78</v>
      </c>
      <c r="E1794" s="1" t="s">
        <v>95</v>
      </c>
      <c r="F1794" t="s">
        <v>93</v>
      </c>
      <c r="G1794" t="s">
        <v>16</v>
      </c>
      <c r="H1794">
        <v>5</v>
      </c>
      <c r="I1794">
        <v>54</v>
      </c>
    </row>
    <row r="1795" spans="1:9" x14ac:dyDescent="0.25">
      <c r="A1795" s="5" t="str">
        <f>TrendSheetPrdData[[#This Row],[Population]]&amp;TrendSheetPrdData[[#This Row],[Cost Basis]]&amp;TrendSheetPrdData[[#This Row],[Period]]&amp;TrendSheetPrdData[[#This Row],[Trend]]</f>
        <v>MSSP_ATTRIBUTEDPaid2016-06-01Readmission Quality</v>
      </c>
      <c r="B1795" t="s">
        <v>128</v>
      </c>
      <c r="C1795" t="s">
        <v>128</v>
      </c>
      <c r="D1795" t="s">
        <v>78</v>
      </c>
      <c r="E1795" s="1" t="s">
        <v>96</v>
      </c>
      <c r="F1795" t="s">
        <v>93</v>
      </c>
      <c r="G1795" t="s">
        <v>16</v>
      </c>
      <c r="H1795">
        <v>5</v>
      </c>
      <c r="I1795">
        <v>58</v>
      </c>
    </row>
    <row r="1796" spans="1:9" x14ac:dyDescent="0.25">
      <c r="A1796" s="5" t="str">
        <f>TrendSheetPrdData[[#This Row],[Population]]&amp;TrendSheetPrdData[[#This Row],[Cost Basis]]&amp;TrendSheetPrdData[[#This Row],[Period]]&amp;TrendSheetPrdData[[#This Row],[Trend]]</f>
        <v>MSSP_ATTRIBUTEDPaid2016-07-01Readmission Quality</v>
      </c>
      <c r="B1796" t="s">
        <v>128</v>
      </c>
      <c r="C1796" t="s">
        <v>128</v>
      </c>
      <c r="D1796" t="s">
        <v>78</v>
      </c>
      <c r="E1796" s="1" t="s">
        <v>97</v>
      </c>
      <c r="F1796" t="s">
        <v>93</v>
      </c>
      <c r="G1796" t="s">
        <v>16</v>
      </c>
      <c r="H1796">
        <v>5</v>
      </c>
      <c r="I1796">
        <v>59</v>
      </c>
    </row>
    <row r="1797" spans="1:9" x14ac:dyDescent="0.25">
      <c r="A1797" s="5" t="str">
        <f>TrendSheetPrdData[[#This Row],[Population]]&amp;TrendSheetPrdData[[#This Row],[Cost Basis]]&amp;TrendSheetPrdData[[#This Row],[Period]]&amp;TrendSheetPrdData[[#This Row],[Trend]]</f>
        <v>MSSP_ATTRIBUTEDPaid2016-08-01Readmission Quality</v>
      </c>
      <c r="B1797" t="s">
        <v>128</v>
      </c>
      <c r="C1797" t="s">
        <v>128</v>
      </c>
      <c r="D1797" t="s">
        <v>78</v>
      </c>
      <c r="E1797" s="1" t="s">
        <v>98</v>
      </c>
      <c r="F1797" t="s">
        <v>93</v>
      </c>
      <c r="G1797" t="s">
        <v>16</v>
      </c>
      <c r="H1797">
        <v>5</v>
      </c>
      <c r="I1797">
        <v>71</v>
      </c>
    </row>
    <row r="1798" spans="1:9" x14ac:dyDescent="0.25">
      <c r="A1798" s="5" t="str">
        <f>TrendSheetPrdData[[#This Row],[Population]]&amp;TrendSheetPrdData[[#This Row],[Cost Basis]]&amp;TrendSheetPrdData[[#This Row],[Period]]&amp;TrendSheetPrdData[[#This Row],[Trend]]</f>
        <v>MSSP_ATTRIBUTEDPaid2016-09-01Readmission Quality</v>
      </c>
      <c r="B1798" t="s">
        <v>128</v>
      </c>
      <c r="C1798" t="s">
        <v>128</v>
      </c>
      <c r="D1798" t="s">
        <v>78</v>
      </c>
      <c r="E1798" s="1" t="s">
        <v>99</v>
      </c>
      <c r="F1798" t="s">
        <v>93</v>
      </c>
      <c r="G1798" t="s">
        <v>16</v>
      </c>
      <c r="H1798">
        <v>5</v>
      </c>
      <c r="I1798">
        <v>56</v>
      </c>
    </row>
    <row r="1799" spans="1:9" x14ac:dyDescent="0.25">
      <c r="A1799" s="5" t="str">
        <f>TrendSheetPrdData[[#This Row],[Population]]&amp;TrendSheetPrdData[[#This Row],[Cost Basis]]&amp;TrendSheetPrdData[[#This Row],[Period]]&amp;TrendSheetPrdData[[#This Row],[Trend]]</f>
        <v>MSSP_ATTRIBUTEDPaid2016-10-01Readmission Quality</v>
      </c>
      <c r="B1799" t="s">
        <v>128</v>
      </c>
      <c r="C1799" t="s">
        <v>128</v>
      </c>
      <c r="D1799" t="s">
        <v>78</v>
      </c>
      <c r="E1799" s="1" t="s">
        <v>100</v>
      </c>
      <c r="F1799" t="s">
        <v>106</v>
      </c>
      <c r="G1799" t="s">
        <v>16</v>
      </c>
      <c r="H1799">
        <v>5</v>
      </c>
      <c r="I1799">
        <v>40</v>
      </c>
    </row>
    <row r="1800" spans="1:9" x14ac:dyDescent="0.25">
      <c r="A1800" s="5" t="str">
        <f>TrendSheetPrdData[[#This Row],[Population]]&amp;TrendSheetPrdData[[#This Row],[Cost Basis]]&amp;TrendSheetPrdData[[#This Row],[Period]]&amp;TrendSheetPrdData[[#This Row],[Trend]]</f>
        <v>MSSP_ATTRIBUTEDPaid2016-11-01Readmission Quality</v>
      </c>
      <c r="B1800" t="s">
        <v>128</v>
      </c>
      <c r="C1800" t="s">
        <v>128</v>
      </c>
      <c r="D1800" t="s">
        <v>78</v>
      </c>
      <c r="E1800" s="1" t="s">
        <v>101</v>
      </c>
      <c r="F1800" t="s">
        <v>106</v>
      </c>
      <c r="G1800" t="s">
        <v>16</v>
      </c>
      <c r="H1800">
        <v>5</v>
      </c>
      <c r="I1800">
        <v>28</v>
      </c>
    </row>
    <row r="1801" spans="1:9" x14ac:dyDescent="0.25">
      <c r="A1801" s="5" t="str">
        <f>TrendSheetPrdData[[#This Row],[Population]]&amp;TrendSheetPrdData[[#This Row],[Cost Basis]]&amp;TrendSheetPrdData[[#This Row],[Period]]&amp;TrendSheetPrdData[[#This Row],[Trend]]</f>
        <v>MSSP_ATTRIBUTEDPaid2016-12-01Readmission Quality</v>
      </c>
      <c r="B1801" t="s">
        <v>128</v>
      </c>
      <c r="C1801" t="s">
        <v>128</v>
      </c>
      <c r="D1801" t="s">
        <v>78</v>
      </c>
      <c r="E1801" s="1" t="s">
        <v>102</v>
      </c>
      <c r="F1801" t="s">
        <v>106</v>
      </c>
      <c r="G1801" t="s">
        <v>16</v>
      </c>
      <c r="H1801">
        <v>5</v>
      </c>
      <c r="I1801">
        <v>1</v>
      </c>
    </row>
    <row r="1802" spans="1:9" x14ac:dyDescent="0.25">
      <c r="A1802" s="5" t="str">
        <f>TrendSheetPrdData[[#This Row],[Population]]&amp;TrendSheetPrdData[[#This Row],[Cost Basis]]&amp;TrendSheetPrdData[[#This Row],[Period]]&amp;TrendSheetPrdData[[#This Row],[Trend]]</f>
        <v>MSSP_ATTRIBUTEDPaid2015-10-01Avoidable Admission Cost</v>
      </c>
      <c r="B1802" t="s">
        <v>128</v>
      </c>
      <c r="C1802" t="s">
        <v>128</v>
      </c>
      <c r="D1802" t="s">
        <v>78</v>
      </c>
      <c r="E1802" s="1" t="s">
        <v>134</v>
      </c>
      <c r="F1802" t="s">
        <v>93</v>
      </c>
      <c r="G1802" t="s">
        <v>17</v>
      </c>
      <c r="H1802">
        <v>6</v>
      </c>
      <c r="I1802">
        <v>354219.15</v>
      </c>
    </row>
    <row r="1803" spans="1:9" x14ac:dyDescent="0.25">
      <c r="A1803" s="5" t="str">
        <f>TrendSheetPrdData[[#This Row],[Population]]&amp;TrendSheetPrdData[[#This Row],[Cost Basis]]&amp;TrendSheetPrdData[[#This Row],[Period]]&amp;TrendSheetPrdData[[#This Row],[Trend]]</f>
        <v>MSSP_ATTRIBUTEDPaid2015-11-01Avoidable Admission Cost</v>
      </c>
      <c r="B1803" t="s">
        <v>128</v>
      </c>
      <c r="C1803" t="s">
        <v>128</v>
      </c>
      <c r="D1803" t="s">
        <v>78</v>
      </c>
      <c r="E1803" s="1" t="s">
        <v>130</v>
      </c>
      <c r="F1803" t="s">
        <v>93</v>
      </c>
      <c r="G1803" t="s">
        <v>17</v>
      </c>
      <c r="H1803">
        <v>6</v>
      </c>
      <c r="I1803">
        <v>578352.67000000004</v>
      </c>
    </row>
    <row r="1804" spans="1:9" x14ac:dyDescent="0.25">
      <c r="A1804" s="5" t="str">
        <f>TrendSheetPrdData[[#This Row],[Population]]&amp;TrendSheetPrdData[[#This Row],[Cost Basis]]&amp;TrendSheetPrdData[[#This Row],[Period]]&amp;TrendSheetPrdData[[#This Row],[Trend]]</f>
        <v>MSSP_ATTRIBUTEDPaid2015-12-01Avoidable Admission Cost</v>
      </c>
      <c r="B1804" t="s">
        <v>128</v>
      </c>
      <c r="C1804" t="s">
        <v>128</v>
      </c>
      <c r="D1804" t="s">
        <v>78</v>
      </c>
      <c r="E1804" s="1" t="s">
        <v>131</v>
      </c>
      <c r="F1804" t="s">
        <v>93</v>
      </c>
      <c r="G1804" t="s">
        <v>17</v>
      </c>
      <c r="H1804">
        <v>6</v>
      </c>
      <c r="I1804">
        <v>608808.76</v>
      </c>
    </row>
    <row r="1805" spans="1:9" x14ac:dyDescent="0.25">
      <c r="A1805" s="5" t="str">
        <f>TrendSheetPrdData[[#This Row],[Population]]&amp;TrendSheetPrdData[[#This Row],[Cost Basis]]&amp;TrendSheetPrdData[[#This Row],[Period]]&amp;TrendSheetPrdData[[#This Row],[Trend]]</f>
        <v>MSSP_ATTRIBUTEDPaid2016-01-01Avoidable Admission Cost</v>
      </c>
      <c r="B1805" t="s">
        <v>128</v>
      </c>
      <c r="C1805" t="s">
        <v>128</v>
      </c>
      <c r="D1805" t="s">
        <v>78</v>
      </c>
      <c r="E1805" s="1" t="s">
        <v>132</v>
      </c>
      <c r="F1805" t="s">
        <v>93</v>
      </c>
      <c r="G1805" t="s">
        <v>17</v>
      </c>
      <c r="H1805">
        <v>6</v>
      </c>
      <c r="I1805">
        <v>640893.62</v>
      </c>
    </row>
    <row r="1806" spans="1:9" x14ac:dyDescent="0.25">
      <c r="A1806" s="5" t="str">
        <f>TrendSheetPrdData[[#This Row],[Population]]&amp;TrendSheetPrdData[[#This Row],[Cost Basis]]&amp;TrendSheetPrdData[[#This Row],[Period]]&amp;TrendSheetPrdData[[#This Row],[Trend]]</f>
        <v>MSSP_ATTRIBUTEDPaid2016-02-01Avoidable Admission Cost</v>
      </c>
      <c r="B1806" t="s">
        <v>128</v>
      </c>
      <c r="C1806" t="s">
        <v>128</v>
      </c>
      <c r="D1806" t="s">
        <v>78</v>
      </c>
      <c r="E1806" s="1" t="s">
        <v>133</v>
      </c>
      <c r="F1806" t="s">
        <v>93</v>
      </c>
      <c r="G1806" t="s">
        <v>17</v>
      </c>
      <c r="H1806">
        <v>6</v>
      </c>
      <c r="I1806">
        <v>504661.04</v>
      </c>
    </row>
    <row r="1807" spans="1:9" x14ac:dyDescent="0.25">
      <c r="A1807" s="5" t="str">
        <f>TrendSheetPrdData[[#This Row],[Population]]&amp;TrendSheetPrdData[[#This Row],[Cost Basis]]&amp;TrendSheetPrdData[[#This Row],[Period]]&amp;TrendSheetPrdData[[#This Row],[Trend]]</f>
        <v>MSSP_ATTRIBUTEDPaid2016-03-01Avoidable Admission Cost</v>
      </c>
      <c r="B1807" t="s">
        <v>128</v>
      </c>
      <c r="C1807" t="s">
        <v>128</v>
      </c>
      <c r="D1807" t="s">
        <v>78</v>
      </c>
      <c r="E1807" s="1" t="s">
        <v>92</v>
      </c>
      <c r="F1807" t="s">
        <v>93</v>
      </c>
      <c r="G1807" t="s">
        <v>17</v>
      </c>
      <c r="H1807">
        <v>6</v>
      </c>
      <c r="I1807">
        <v>784377.19</v>
      </c>
    </row>
    <row r="1808" spans="1:9" x14ac:dyDescent="0.25">
      <c r="A1808" s="5" t="str">
        <f>TrendSheetPrdData[[#This Row],[Population]]&amp;TrendSheetPrdData[[#This Row],[Cost Basis]]&amp;TrendSheetPrdData[[#This Row],[Period]]&amp;TrendSheetPrdData[[#This Row],[Trend]]</f>
        <v>MSSP_ATTRIBUTEDPaid2016-04-01Avoidable Admission Cost</v>
      </c>
      <c r="B1808" t="s">
        <v>128</v>
      </c>
      <c r="C1808" t="s">
        <v>128</v>
      </c>
      <c r="D1808" t="s">
        <v>78</v>
      </c>
      <c r="E1808" s="1" t="s">
        <v>94</v>
      </c>
      <c r="F1808" t="s">
        <v>93</v>
      </c>
      <c r="G1808" t="s">
        <v>17</v>
      </c>
      <c r="H1808">
        <v>6</v>
      </c>
      <c r="I1808">
        <v>619648.44999999995</v>
      </c>
    </row>
    <row r="1809" spans="1:9" x14ac:dyDescent="0.25">
      <c r="A1809" s="5" t="str">
        <f>TrendSheetPrdData[[#This Row],[Population]]&amp;TrendSheetPrdData[[#This Row],[Cost Basis]]&amp;TrendSheetPrdData[[#This Row],[Period]]&amp;TrendSheetPrdData[[#This Row],[Trend]]</f>
        <v>MSSP_ATTRIBUTEDPaid2016-05-01Avoidable Admission Cost</v>
      </c>
      <c r="B1809" t="s">
        <v>128</v>
      </c>
      <c r="C1809" t="s">
        <v>128</v>
      </c>
      <c r="D1809" t="s">
        <v>78</v>
      </c>
      <c r="E1809" s="1" t="s">
        <v>95</v>
      </c>
      <c r="F1809" t="s">
        <v>93</v>
      </c>
      <c r="G1809" t="s">
        <v>17</v>
      </c>
      <c r="H1809">
        <v>6</v>
      </c>
      <c r="I1809">
        <v>455905.26</v>
      </c>
    </row>
    <row r="1810" spans="1:9" x14ac:dyDescent="0.25">
      <c r="A1810" s="5" t="str">
        <f>TrendSheetPrdData[[#This Row],[Population]]&amp;TrendSheetPrdData[[#This Row],[Cost Basis]]&amp;TrendSheetPrdData[[#This Row],[Period]]&amp;TrendSheetPrdData[[#This Row],[Trend]]</f>
        <v>MSSP_ATTRIBUTEDPaid2016-06-01Avoidable Admission Cost</v>
      </c>
      <c r="B1810" t="s">
        <v>128</v>
      </c>
      <c r="C1810" t="s">
        <v>128</v>
      </c>
      <c r="D1810" t="s">
        <v>78</v>
      </c>
      <c r="E1810" s="1" t="s">
        <v>96</v>
      </c>
      <c r="F1810" t="s">
        <v>93</v>
      </c>
      <c r="G1810" t="s">
        <v>17</v>
      </c>
      <c r="H1810">
        <v>6</v>
      </c>
      <c r="I1810">
        <v>414476.81</v>
      </c>
    </row>
    <row r="1811" spans="1:9" x14ac:dyDescent="0.25">
      <c r="A1811" s="5" t="str">
        <f>TrendSheetPrdData[[#This Row],[Population]]&amp;TrendSheetPrdData[[#This Row],[Cost Basis]]&amp;TrendSheetPrdData[[#This Row],[Period]]&amp;TrendSheetPrdData[[#This Row],[Trend]]</f>
        <v>MSSP_ATTRIBUTEDPaid2016-07-01Avoidable Admission Cost</v>
      </c>
      <c r="B1811" t="s">
        <v>128</v>
      </c>
      <c r="C1811" t="s">
        <v>128</v>
      </c>
      <c r="D1811" t="s">
        <v>78</v>
      </c>
      <c r="E1811" s="1" t="s">
        <v>97</v>
      </c>
      <c r="F1811" t="s">
        <v>93</v>
      </c>
      <c r="G1811" t="s">
        <v>17</v>
      </c>
      <c r="H1811">
        <v>6</v>
      </c>
      <c r="I1811">
        <v>509907.64</v>
      </c>
    </row>
    <row r="1812" spans="1:9" x14ac:dyDescent="0.25">
      <c r="A1812" s="5" t="str">
        <f>TrendSheetPrdData[[#This Row],[Population]]&amp;TrendSheetPrdData[[#This Row],[Cost Basis]]&amp;TrendSheetPrdData[[#This Row],[Period]]&amp;TrendSheetPrdData[[#This Row],[Trend]]</f>
        <v>MSSP_ATTRIBUTEDPaid2016-08-01Avoidable Admission Cost</v>
      </c>
      <c r="B1812" t="s">
        <v>128</v>
      </c>
      <c r="C1812" t="s">
        <v>128</v>
      </c>
      <c r="D1812" t="s">
        <v>78</v>
      </c>
      <c r="E1812" s="1" t="s">
        <v>98</v>
      </c>
      <c r="F1812" t="s">
        <v>93</v>
      </c>
      <c r="G1812" t="s">
        <v>17</v>
      </c>
      <c r="H1812">
        <v>6</v>
      </c>
      <c r="I1812">
        <v>490879.08</v>
      </c>
    </row>
    <row r="1813" spans="1:9" x14ac:dyDescent="0.25">
      <c r="A1813" s="5" t="str">
        <f>TrendSheetPrdData[[#This Row],[Population]]&amp;TrendSheetPrdData[[#This Row],[Cost Basis]]&amp;TrendSheetPrdData[[#This Row],[Period]]&amp;TrendSheetPrdData[[#This Row],[Trend]]</f>
        <v>MSSP_ATTRIBUTEDPaid2016-09-01Avoidable Admission Cost</v>
      </c>
      <c r="B1813" t="s">
        <v>128</v>
      </c>
      <c r="C1813" t="s">
        <v>128</v>
      </c>
      <c r="D1813" t="s">
        <v>78</v>
      </c>
      <c r="E1813" s="1" t="s">
        <v>99</v>
      </c>
      <c r="F1813" t="s">
        <v>93</v>
      </c>
      <c r="G1813" t="s">
        <v>17</v>
      </c>
      <c r="H1813">
        <v>6</v>
      </c>
      <c r="I1813">
        <v>503848.76</v>
      </c>
    </row>
    <row r="1814" spans="1:9" x14ac:dyDescent="0.25">
      <c r="A1814" s="5" t="str">
        <f>TrendSheetPrdData[[#This Row],[Population]]&amp;TrendSheetPrdData[[#This Row],[Cost Basis]]&amp;TrendSheetPrdData[[#This Row],[Period]]&amp;TrendSheetPrdData[[#This Row],[Trend]]</f>
        <v>MSSP_ATTRIBUTEDPaid2016-10-01Avoidable Admission Cost</v>
      </c>
      <c r="B1814" t="s">
        <v>128</v>
      </c>
      <c r="C1814" t="s">
        <v>128</v>
      </c>
      <c r="D1814" t="s">
        <v>78</v>
      </c>
      <c r="E1814" s="1" t="s">
        <v>100</v>
      </c>
      <c r="F1814" t="s">
        <v>106</v>
      </c>
      <c r="G1814" t="s">
        <v>17</v>
      </c>
      <c r="H1814">
        <v>6</v>
      </c>
      <c r="I1814">
        <v>421515.05</v>
      </c>
    </row>
    <row r="1815" spans="1:9" x14ac:dyDescent="0.25">
      <c r="A1815" s="5" t="str">
        <f>TrendSheetPrdData[[#This Row],[Population]]&amp;TrendSheetPrdData[[#This Row],[Cost Basis]]&amp;TrendSheetPrdData[[#This Row],[Period]]&amp;TrendSheetPrdData[[#This Row],[Trend]]</f>
        <v>MSSP_ATTRIBUTEDPaid2016-11-01Avoidable Admission Cost</v>
      </c>
      <c r="B1815" t="s">
        <v>128</v>
      </c>
      <c r="C1815" t="s">
        <v>128</v>
      </c>
      <c r="D1815" t="s">
        <v>78</v>
      </c>
      <c r="E1815" s="1" t="s">
        <v>101</v>
      </c>
      <c r="F1815" t="s">
        <v>106</v>
      </c>
      <c r="G1815" t="s">
        <v>17</v>
      </c>
      <c r="H1815">
        <v>6</v>
      </c>
      <c r="I1815">
        <v>518345.17</v>
      </c>
    </row>
    <row r="1816" spans="1:9" x14ac:dyDescent="0.25">
      <c r="A1816" s="5" t="str">
        <f>TrendSheetPrdData[[#This Row],[Population]]&amp;TrendSheetPrdData[[#This Row],[Cost Basis]]&amp;TrendSheetPrdData[[#This Row],[Period]]&amp;TrendSheetPrdData[[#This Row],[Trend]]</f>
        <v>MSSP_ATTRIBUTEDPaid2016-12-01Avoidable Admission Cost</v>
      </c>
      <c r="B1816" t="s">
        <v>128</v>
      </c>
      <c r="C1816" t="s">
        <v>128</v>
      </c>
      <c r="D1816" t="s">
        <v>78</v>
      </c>
      <c r="E1816" s="1" t="s">
        <v>102</v>
      </c>
      <c r="F1816" t="s">
        <v>106</v>
      </c>
      <c r="G1816" t="s">
        <v>17</v>
      </c>
      <c r="H1816">
        <v>6</v>
      </c>
      <c r="I1816">
        <v>92702.7</v>
      </c>
    </row>
    <row r="1817" spans="1:9" x14ac:dyDescent="0.25">
      <c r="A1817" s="5" t="str">
        <f>TrendSheetPrdData[[#This Row],[Population]]&amp;TrendSheetPrdData[[#This Row],[Cost Basis]]&amp;TrendSheetPrdData[[#This Row],[Period]]&amp;TrendSheetPrdData[[#This Row],[Trend]]</f>
        <v>MSSP_ATTRIBUTEDPaid2015-10-01Avoidable Admission Quality</v>
      </c>
      <c r="B1817" t="s">
        <v>128</v>
      </c>
      <c r="C1817" t="s">
        <v>128</v>
      </c>
      <c r="D1817" t="s">
        <v>78</v>
      </c>
      <c r="E1817" s="1" t="s">
        <v>134</v>
      </c>
      <c r="F1817" t="s">
        <v>93</v>
      </c>
      <c r="G1817" t="s">
        <v>18</v>
      </c>
      <c r="H1817">
        <v>7</v>
      </c>
      <c r="I1817">
        <v>83</v>
      </c>
    </row>
    <row r="1818" spans="1:9" x14ac:dyDescent="0.25">
      <c r="A1818" s="5" t="str">
        <f>TrendSheetPrdData[[#This Row],[Population]]&amp;TrendSheetPrdData[[#This Row],[Cost Basis]]&amp;TrendSheetPrdData[[#This Row],[Period]]&amp;TrendSheetPrdData[[#This Row],[Trend]]</f>
        <v>MSSP_ATTRIBUTEDPaid2015-11-01Avoidable Admission Quality</v>
      </c>
      <c r="B1818" t="s">
        <v>128</v>
      </c>
      <c r="C1818" t="s">
        <v>128</v>
      </c>
      <c r="D1818" t="s">
        <v>78</v>
      </c>
      <c r="E1818" s="1" t="s">
        <v>130</v>
      </c>
      <c r="F1818" t="s">
        <v>93</v>
      </c>
      <c r="G1818" t="s">
        <v>18</v>
      </c>
      <c r="H1818">
        <v>7</v>
      </c>
      <c r="I1818">
        <v>61</v>
      </c>
    </row>
    <row r="1819" spans="1:9" x14ac:dyDescent="0.25">
      <c r="A1819" s="5" t="str">
        <f>TrendSheetPrdData[[#This Row],[Population]]&amp;TrendSheetPrdData[[#This Row],[Cost Basis]]&amp;TrendSheetPrdData[[#This Row],[Period]]&amp;TrendSheetPrdData[[#This Row],[Trend]]</f>
        <v>MSSP_ATTRIBUTEDPaid2015-12-01Avoidable Admission Quality</v>
      </c>
      <c r="B1819" t="s">
        <v>128</v>
      </c>
      <c r="C1819" t="s">
        <v>128</v>
      </c>
      <c r="D1819" t="s">
        <v>78</v>
      </c>
      <c r="E1819" s="1" t="s">
        <v>131</v>
      </c>
      <c r="F1819" t="s">
        <v>93</v>
      </c>
      <c r="G1819" t="s">
        <v>18</v>
      </c>
      <c r="H1819">
        <v>7</v>
      </c>
      <c r="I1819">
        <v>85</v>
      </c>
    </row>
    <row r="1820" spans="1:9" x14ac:dyDescent="0.25">
      <c r="A1820" s="5" t="str">
        <f>TrendSheetPrdData[[#This Row],[Population]]&amp;TrendSheetPrdData[[#This Row],[Cost Basis]]&amp;TrendSheetPrdData[[#This Row],[Period]]&amp;TrendSheetPrdData[[#This Row],[Trend]]</f>
        <v>MSSP_ATTRIBUTEDPaid2016-01-01Avoidable Admission Quality</v>
      </c>
      <c r="B1820" t="s">
        <v>128</v>
      </c>
      <c r="C1820" t="s">
        <v>128</v>
      </c>
      <c r="D1820" t="s">
        <v>78</v>
      </c>
      <c r="E1820" s="1" t="s">
        <v>132</v>
      </c>
      <c r="F1820" t="s">
        <v>93</v>
      </c>
      <c r="G1820" t="s">
        <v>18</v>
      </c>
      <c r="H1820">
        <v>7</v>
      </c>
      <c r="I1820">
        <v>103</v>
      </c>
    </row>
    <row r="1821" spans="1:9" x14ac:dyDescent="0.25">
      <c r="A1821" s="5" t="str">
        <f>TrendSheetPrdData[[#This Row],[Population]]&amp;TrendSheetPrdData[[#This Row],[Cost Basis]]&amp;TrendSheetPrdData[[#This Row],[Period]]&amp;TrendSheetPrdData[[#This Row],[Trend]]</f>
        <v>MSSP_ATTRIBUTEDPaid2016-02-01Avoidable Admission Quality</v>
      </c>
      <c r="B1821" t="s">
        <v>128</v>
      </c>
      <c r="C1821" t="s">
        <v>128</v>
      </c>
      <c r="D1821" t="s">
        <v>78</v>
      </c>
      <c r="E1821" s="1" t="s">
        <v>133</v>
      </c>
      <c r="F1821" t="s">
        <v>93</v>
      </c>
      <c r="G1821" t="s">
        <v>18</v>
      </c>
      <c r="H1821">
        <v>7</v>
      </c>
      <c r="I1821">
        <v>81</v>
      </c>
    </row>
    <row r="1822" spans="1:9" x14ac:dyDescent="0.25">
      <c r="A1822" s="5" t="str">
        <f>TrendSheetPrdData[[#This Row],[Population]]&amp;TrendSheetPrdData[[#This Row],[Cost Basis]]&amp;TrendSheetPrdData[[#This Row],[Period]]&amp;TrendSheetPrdData[[#This Row],[Trend]]</f>
        <v>MSSP_ATTRIBUTEDPaid2016-03-01Avoidable Admission Quality</v>
      </c>
      <c r="B1822" t="s">
        <v>128</v>
      </c>
      <c r="C1822" t="s">
        <v>128</v>
      </c>
      <c r="D1822" t="s">
        <v>78</v>
      </c>
      <c r="E1822" s="1" t="s">
        <v>92</v>
      </c>
      <c r="F1822" t="s">
        <v>93</v>
      </c>
      <c r="G1822" t="s">
        <v>18</v>
      </c>
      <c r="H1822">
        <v>7</v>
      </c>
      <c r="I1822">
        <v>95</v>
      </c>
    </row>
    <row r="1823" spans="1:9" x14ac:dyDescent="0.25">
      <c r="A1823" s="5" t="str">
        <f>TrendSheetPrdData[[#This Row],[Population]]&amp;TrendSheetPrdData[[#This Row],[Cost Basis]]&amp;TrendSheetPrdData[[#This Row],[Period]]&amp;TrendSheetPrdData[[#This Row],[Trend]]</f>
        <v>MSSP_ATTRIBUTEDPaid2016-04-01Avoidable Admission Quality</v>
      </c>
      <c r="B1823" t="s">
        <v>128</v>
      </c>
      <c r="C1823" t="s">
        <v>128</v>
      </c>
      <c r="D1823" t="s">
        <v>78</v>
      </c>
      <c r="E1823" s="1" t="s">
        <v>94</v>
      </c>
      <c r="F1823" t="s">
        <v>93</v>
      </c>
      <c r="G1823" t="s">
        <v>18</v>
      </c>
      <c r="H1823">
        <v>7</v>
      </c>
      <c r="I1823">
        <v>89</v>
      </c>
    </row>
    <row r="1824" spans="1:9" x14ac:dyDescent="0.25">
      <c r="A1824" s="5" t="str">
        <f>TrendSheetPrdData[[#This Row],[Population]]&amp;TrendSheetPrdData[[#This Row],[Cost Basis]]&amp;TrendSheetPrdData[[#This Row],[Period]]&amp;TrendSheetPrdData[[#This Row],[Trend]]</f>
        <v>MSSP_ATTRIBUTEDPaid2016-05-01Avoidable Admission Quality</v>
      </c>
      <c r="B1824" t="s">
        <v>128</v>
      </c>
      <c r="C1824" t="s">
        <v>128</v>
      </c>
      <c r="D1824" t="s">
        <v>78</v>
      </c>
      <c r="E1824" s="1" t="s">
        <v>95</v>
      </c>
      <c r="F1824" t="s">
        <v>93</v>
      </c>
      <c r="G1824" t="s">
        <v>18</v>
      </c>
      <c r="H1824">
        <v>7</v>
      </c>
      <c r="I1824">
        <v>77</v>
      </c>
    </row>
    <row r="1825" spans="1:9" x14ac:dyDescent="0.25">
      <c r="A1825" s="5" t="str">
        <f>TrendSheetPrdData[[#This Row],[Population]]&amp;TrendSheetPrdData[[#This Row],[Cost Basis]]&amp;TrendSheetPrdData[[#This Row],[Period]]&amp;TrendSheetPrdData[[#This Row],[Trend]]</f>
        <v>MSSP_ATTRIBUTEDPaid2016-06-01Avoidable Admission Quality</v>
      </c>
      <c r="B1825" t="s">
        <v>128</v>
      </c>
      <c r="C1825" t="s">
        <v>128</v>
      </c>
      <c r="D1825" t="s">
        <v>78</v>
      </c>
      <c r="E1825" s="1" t="s">
        <v>96</v>
      </c>
      <c r="F1825" t="s">
        <v>93</v>
      </c>
      <c r="G1825" t="s">
        <v>18</v>
      </c>
      <c r="H1825">
        <v>7</v>
      </c>
      <c r="I1825">
        <v>61</v>
      </c>
    </row>
    <row r="1826" spans="1:9" x14ac:dyDescent="0.25">
      <c r="A1826" s="5" t="str">
        <f>TrendSheetPrdData[[#This Row],[Population]]&amp;TrendSheetPrdData[[#This Row],[Cost Basis]]&amp;TrendSheetPrdData[[#This Row],[Period]]&amp;TrendSheetPrdData[[#This Row],[Trend]]</f>
        <v>MSSP_ATTRIBUTEDPaid2016-07-01Avoidable Admission Quality</v>
      </c>
      <c r="B1826" t="s">
        <v>128</v>
      </c>
      <c r="C1826" t="s">
        <v>128</v>
      </c>
      <c r="D1826" t="s">
        <v>78</v>
      </c>
      <c r="E1826" s="1" t="s">
        <v>97</v>
      </c>
      <c r="F1826" t="s">
        <v>93</v>
      </c>
      <c r="G1826" t="s">
        <v>18</v>
      </c>
      <c r="H1826">
        <v>7</v>
      </c>
      <c r="I1826">
        <v>79</v>
      </c>
    </row>
    <row r="1827" spans="1:9" x14ac:dyDescent="0.25">
      <c r="A1827" s="5" t="str">
        <f>TrendSheetPrdData[[#This Row],[Population]]&amp;TrendSheetPrdData[[#This Row],[Cost Basis]]&amp;TrendSheetPrdData[[#This Row],[Period]]&amp;TrendSheetPrdData[[#This Row],[Trend]]</f>
        <v>MSSP_ATTRIBUTEDPaid2016-08-01Avoidable Admission Quality</v>
      </c>
      <c r="B1827" t="s">
        <v>128</v>
      </c>
      <c r="C1827" t="s">
        <v>128</v>
      </c>
      <c r="D1827" t="s">
        <v>78</v>
      </c>
      <c r="E1827" s="1" t="s">
        <v>98</v>
      </c>
      <c r="F1827" t="s">
        <v>93</v>
      </c>
      <c r="G1827" t="s">
        <v>18</v>
      </c>
      <c r="H1827">
        <v>7</v>
      </c>
      <c r="I1827">
        <v>74</v>
      </c>
    </row>
    <row r="1828" spans="1:9" x14ac:dyDescent="0.25">
      <c r="A1828" s="5" t="str">
        <f>TrendSheetPrdData[[#This Row],[Population]]&amp;TrendSheetPrdData[[#This Row],[Cost Basis]]&amp;TrendSheetPrdData[[#This Row],[Period]]&amp;TrendSheetPrdData[[#This Row],[Trend]]</f>
        <v>MSSP_ATTRIBUTEDPaid2016-09-01Avoidable Admission Quality</v>
      </c>
      <c r="B1828" t="s">
        <v>128</v>
      </c>
      <c r="C1828" t="s">
        <v>128</v>
      </c>
      <c r="D1828" t="s">
        <v>78</v>
      </c>
      <c r="E1828" s="1" t="s">
        <v>99</v>
      </c>
      <c r="F1828" t="s">
        <v>93</v>
      </c>
      <c r="G1828" t="s">
        <v>18</v>
      </c>
      <c r="H1828">
        <v>7</v>
      </c>
      <c r="I1828">
        <v>74</v>
      </c>
    </row>
    <row r="1829" spans="1:9" x14ac:dyDescent="0.25">
      <c r="A1829" s="5" t="str">
        <f>TrendSheetPrdData[[#This Row],[Population]]&amp;TrendSheetPrdData[[#This Row],[Cost Basis]]&amp;TrendSheetPrdData[[#This Row],[Period]]&amp;TrendSheetPrdData[[#This Row],[Trend]]</f>
        <v>MSSP_ATTRIBUTEDPaid2016-10-01Avoidable Admission Quality</v>
      </c>
      <c r="B1829" t="s">
        <v>128</v>
      </c>
      <c r="C1829" t="s">
        <v>128</v>
      </c>
      <c r="D1829" t="s">
        <v>78</v>
      </c>
      <c r="E1829" s="1" t="s">
        <v>100</v>
      </c>
      <c r="F1829" t="s">
        <v>106</v>
      </c>
      <c r="G1829" t="s">
        <v>18</v>
      </c>
      <c r="H1829">
        <v>7</v>
      </c>
      <c r="I1829">
        <v>69</v>
      </c>
    </row>
    <row r="1830" spans="1:9" x14ac:dyDescent="0.25">
      <c r="A1830" s="5" t="str">
        <f>TrendSheetPrdData[[#This Row],[Population]]&amp;TrendSheetPrdData[[#This Row],[Cost Basis]]&amp;TrendSheetPrdData[[#This Row],[Period]]&amp;TrendSheetPrdData[[#This Row],[Trend]]</f>
        <v>MSSP_ATTRIBUTEDPaid2016-11-01Avoidable Admission Quality</v>
      </c>
      <c r="B1830" t="s">
        <v>128</v>
      </c>
      <c r="C1830" t="s">
        <v>128</v>
      </c>
      <c r="D1830" t="s">
        <v>78</v>
      </c>
      <c r="E1830" s="1" t="s">
        <v>101</v>
      </c>
      <c r="F1830" t="s">
        <v>106</v>
      </c>
      <c r="G1830" t="s">
        <v>18</v>
      </c>
      <c r="H1830">
        <v>7</v>
      </c>
      <c r="I1830">
        <v>71</v>
      </c>
    </row>
    <row r="1831" spans="1:9" x14ac:dyDescent="0.25">
      <c r="A1831" s="5" t="str">
        <f>TrendSheetPrdData[[#This Row],[Population]]&amp;TrendSheetPrdData[[#This Row],[Cost Basis]]&amp;TrendSheetPrdData[[#This Row],[Period]]&amp;TrendSheetPrdData[[#This Row],[Trend]]</f>
        <v>MSSP_ATTRIBUTEDPaid2016-12-01Avoidable Admission Quality</v>
      </c>
      <c r="B1831" t="s">
        <v>128</v>
      </c>
      <c r="C1831" t="s">
        <v>128</v>
      </c>
      <c r="D1831" t="s">
        <v>78</v>
      </c>
      <c r="E1831" s="1" t="s">
        <v>102</v>
      </c>
      <c r="F1831" t="s">
        <v>106</v>
      </c>
      <c r="G1831" t="s">
        <v>18</v>
      </c>
      <c r="H1831">
        <v>7</v>
      </c>
      <c r="I1831">
        <v>15</v>
      </c>
    </row>
    <row r="1832" spans="1:9" x14ac:dyDescent="0.25">
      <c r="A1832" s="5" t="str">
        <f>TrendSheetPrdData[[#This Row],[Population]]&amp;TrendSheetPrdData[[#This Row],[Cost Basis]]&amp;TrendSheetPrdData[[#This Row],[Period]]&amp;TrendSheetPrdData[[#This Row],[Trend]]</f>
        <v>MSSP_ATTRIBUTEDPaid2015-10-01Outpatient Imaging Cost</v>
      </c>
      <c r="B1832" t="s">
        <v>128</v>
      </c>
      <c r="C1832" t="s">
        <v>128</v>
      </c>
      <c r="D1832" t="s">
        <v>78</v>
      </c>
      <c r="E1832" s="1" t="s">
        <v>134</v>
      </c>
      <c r="F1832" t="s">
        <v>93</v>
      </c>
      <c r="G1832" t="s">
        <v>19</v>
      </c>
      <c r="H1832">
        <v>8</v>
      </c>
      <c r="I1832">
        <v>102526.67</v>
      </c>
    </row>
    <row r="1833" spans="1:9" x14ac:dyDescent="0.25">
      <c r="A1833" s="5" t="str">
        <f>TrendSheetPrdData[[#This Row],[Population]]&amp;TrendSheetPrdData[[#This Row],[Cost Basis]]&amp;TrendSheetPrdData[[#This Row],[Period]]&amp;TrendSheetPrdData[[#This Row],[Trend]]</f>
        <v>MSSP_ATTRIBUTEDPaid2015-11-01Outpatient Imaging Cost</v>
      </c>
      <c r="B1833" t="s">
        <v>128</v>
      </c>
      <c r="C1833" t="s">
        <v>128</v>
      </c>
      <c r="D1833" t="s">
        <v>78</v>
      </c>
      <c r="E1833" s="1" t="s">
        <v>130</v>
      </c>
      <c r="F1833" t="s">
        <v>93</v>
      </c>
      <c r="G1833" t="s">
        <v>19</v>
      </c>
      <c r="H1833">
        <v>8</v>
      </c>
      <c r="I1833">
        <v>94900.45</v>
      </c>
    </row>
    <row r="1834" spans="1:9" x14ac:dyDescent="0.25">
      <c r="A1834" s="5" t="str">
        <f>TrendSheetPrdData[[#This Row],[Population]]&amp;TrendSheetPrdData[[#This Row],[Cost Basis]]&amp;TrendSheetPrdData[[#This Row],[Period]]&amp;TrendSheetPrdData[[#This Row],[Trend]]</f>
        <v>MSSP_ATTRIBUTEDPaid2015-12-01Outpatient Imaging Cost</v>
      </c>
      <c r="B1834" t="s">
        <v>128</v>
      </c>
      <c r="C1834" t="s">
        <v>128</v>
      </c>
      <c r="D1834" t="s">
        <v>78</v>
      </c>
      <c r="E1834" s="1" t="s">
        <v>131</v>
      </c>
      <c r="F1834" t="s">
        <v>93</v>
      </c>
      <c r="G1834" t="s">
        <v>19</v>
      </c>
      <c r="H1834">
        <v>8</v>
      </c>
      <c r="I1834">
        <v>93241.89</v>
      </c>
    </row>
    <row r="1835" spans="1:9" x14ac:dyDescent="0.25">
      <c r="A1835" s="5" t="str">
        <f>TrendSheetPrdData[[#This Row],[Population]]&amp;TrendSheetPrdData[[#This Row],[Cost Basis]]&amp;TrendSheetPrdData[[#This Row],[Period]]&amp;TrendSheetPrdData[[#This Row],[Trend]]</f>
        <v>MSSP_ATTRIBUTEDPaid2016-01-01Outpatient Imaging Cost</v>
      </c>
      <c r="B1835" t="s">
        <v>128</v>
      </c>
      <c r="C1835" t="s">
        <v>128</v>
      </c>
      <c r="D1835" t="s">
        <v>78</v>
      </c>
      <c r="E1835" s="1" t="s">
        <v>132</v>
      </c>
      <c r="F1835" t="s">
        <v>93</v>
      </c>
      <c r="G1835" t="s">
        <v>19</v>
      </c>
      <c r="H1835">
        <v>8</v>
      </c>
      <c r="I1835">
        <v>76380.179999999993</v>
      </c>
    </row>
    <row r="1836" spans="1:9" x14ac:dyDescent="0.25">
      <c r="A1836" s="5" t="str">
        <f>TrendSheetPrdData[[#This Row],[Population]]&amp;TrendSheetPrdData[[#This Row],[Cost Basis]]&amp;TrendSheetPrdData[[#This Row],[Period]]&amp;TrendSheetPrdData[[#This Row],[Trend]]</f>
        <v>MSSP_ATTRIBUTEDPaid2016-02-01Outpatient Imaging Cost</v>
      </c>
      <c r="B1836" t="s">
        <v>128</v>
      </c>
      <c r="C1836" t="s">
        <v>128</v>
      </c>
      <c r="D1836" t="s">
        <v>78</v>
      </c>
      <c r="E1836" s="1" t="s">
        <v>133</v>
      </c>
      <c r="F1836" t="s">
        <v>93</v>
      </c>
      <c r="G1836" t="s">
        <v>19</v>
      </c>
      <c r="H1836">
        <v>8</v>
      </c>
      <c r="I1836">
        <v>94895.15</v>
      </c>
    </row>
    <row r="1837" spans="1:9" x14ac:dyDescent="0.25">
      <c r="A1837" s="5" t="str">
        <f>TrendSheetPrdData[[#This Row],[Population]]&amp;TrendSheetPrdData[[#This Row],[Cost Basis]]&amp;TrendSheetPrdData[[#This Row],[Period]]&amp;TrendSheetPrdData[[#This Row],[Trend]]</f>
        <v>MSSP_ATTRIBUTEDPaid2016-03-01Outpatient Imaging Cost</v>
      </c>
      <c r="B1837" t="s">
        <v>128</v>
      </c>
      <c r="C1837" t="s">
        <v>128</v>
      </c>
      <c r="D1837" t="s">
        <v>78</v>
      </c>
      <c r="E1837" s="1" t="s">
        <v>92</v>
      </c>
      <c r="F1837" t="s">
        <v>93</v>
      </c>
      <c r="G1837" t="s">
        <v>19</v>
      </c>
      <c r="H1837">
        <v>8</v>
      </c>
      <c r="I1837">
        <v>98804.33</v>
      </c>
    </row>
    <row r="1838" spans="1:9" x14ac:dyDescent="0.25">
      <c r="A1838" s="5" t="str">
        <f>TrendSheetPrdData[[#This Row],[Population]]&amp;TrendSheetPrdData[[#This Row],[Cost Basis]]&amp;TrendSheetPrdData[[#This Row],[Period]]&amp;TrendSheetPrdData[[#This Row],[Trend]]</f>
        <v>MSSP_ATTRIBUTEDPaid2016-04-01Outpatient Imaging Cost</v>
      </c>
      <c r="B1838" t="s">
        <v>128</v>
      </c>
      <c r="C1838" t="s">
        <v>128</v>
      </c>
      <c r="D1838" t="s">
        <v>78</v>
      </c>
      <c r="E1838" s="1" t="s">
        <v>94</v>
      </c>
      <c r="F1838" t="s">
        <v>93</v>
      </c>
      <c r="G1838" t="s">
        <v>19</v>
      </c>
      <c r="H1838">
        <v>8</v>
      </c>
      <c r="I1838">
        <v>94441.08</v>
      </c>
    </row>
    <row r="1839" spans="1:9" x14ac:dyDescent="0.25">
      <c r="A1839" s="5" t="str">
        <f>TrendSheetPrdData[[#This Row],[Population]]&amp;TrendSheetPrdData[[#This Row],[Cost Basis]]&amp;TrendSheetPrdData[[#This Row],[Period]]&amp;TrendSheetPrdData[[#This Row],[Trend]]</f>
        <v>MSSP_ATTRIBUTEDPaid2016-05-01Outpatient Imaging Cost</v>
      </c>
      <c r="B1839" t="s">
        <v>128</v>
      </c>
      <c r="C1839" t="s">
        <v>128</v>
      </c>
      <c r="D1839" t="s">
        <v>78</v>
      </c>
      <c r="E1839" s="1" t="s">
        <v>95</v>
      </c>
      <c r="F1839" t="s">
        <v>93</v>
      </c>
      <c r="G1839" t="s">
        <v>19</v>
      </c>
      <c r="H1839">
        <v>8</v>
      </c>
      <c r="I1839">
        <v>92101.45</v>
      </c>
    </row>
    <row r="1840" spans="1:9" x14ac:dyDescent="0.25">
      <c r="A1840" s="5" t="str">
        <f>TrendSheetPrdData[[#This Row],[Population]]&amp;TrendSheetPrdData[[#This Row],[Cost Basis]]&amp;TrendSheetPrdData[[#This Row],[Period]]&amp;TrendSheetPrdData[[#This Row],[Trend]]</f>
        <v>MSSP_ATTRIBUTEDPaid2016-06-01Outpatient Imaging Cost</v>
      </c>
      <c r="B1840" t="s">
        <v>128</v>
      </c>
      <c r="C1840" t="s">
        <v>128</v>
      </c>
      <c r="D1840" t="s">
        <v>78</v>
      </c>
      <c r="E1840" s="1" t="s">
        <v>96</v>
      </c>
      <c r="F1840" t="s">
        <v>93</v>
      </c>
      <c r="G1840" t="s">
        <v>19</v>
      </c>
      <c r="H1840">
        <v>8</v>
      </c>
      <c r="I1840">
        <v>96563.14</v>
      </c>
    </row>
    <row r="1841" spans="1:9" x14ac:dyDescent="0.25">
      <c r="A1841" s="5" t="str">
        <f>TrendSheetPrdData[[#This Row],[Population]]&amp;TrendSheetPrdData[[#This Row],[Cost Basis]]&amp;TrendSheetPrdData[[#This Row],[Period]]&amp;TrendSheetPrdData[[#This Row],[Trend]]</f>
        <v>MSSP_ATTRIBUTEDPaid2016-07-01Outpatient Imaging Cost</v>
      </c>
      <c r="B1841" t="s">
        <v>128</v>
      </c>
      <c r="C1841" t="s">
        <v>128</v>
      </c>
      <c r="D1841" t="s">
        <v>78</v>
      </c>
      <c r="E1841" s="1" t="s">
        <v>97</v>
      </c>
      <c r="F1841" t="s">
        <v>93</v>
      </c>
      <c r="G1841" t="s">
        <v>19</v>
      </c>
      <c r="H1841">
        <v>8</v>
      </c>
      <c r="I1841">
        <v>87965.55</v>
      </c>
    </row>
    <row r="1842" spans="1:9" x14ac:dyDescent="0.25">
      <c r="A1842" s="5" t="str">
        <f>TrendSheetPrdData[[#This Row],[Population]]&amp;TrendSheetPrdData[[#This Row],[Cost Basis]]&amp;TrendSheetPrdData[[#This Row],[Period]]&amp;TrendSheetPrdData[[#This Row],[Trend]]</f>
        <v>MSSP_ATTRIBUTEDPaid2016-08-01Outpatient Imaging Cost</v>
      </c>
      <c r="B1842" t="s">
        <v>128</v>
      </c>
      <c r="C1842" t="s">
        <v>128</v>
      </c>
      <c r="D1842" t="s">
        <v>78</v>
      </c>
      <c r="E1842" s="1" t="s">
        <v>98</v>
      </c>
      <c r="F1842" t="s">
        <v>93</v>
      </c>
      <c r="G1842" t="s">
        <v>19</v>
      </c>
      <c r="H1842">
        <v>8</v>
      </c>
      <c r="I1842">
        <v>91307.76</v>
      </c>
    </row>
    <row r="1843" spans="1:9" x14ac:dyDescent="0.25">
      <c r="A1843" s="5" t="str">
        <f>TrendSheetPrdData[[#This Row],[Population]]&amp;TrendSheetPrdData[[#This Row],[Cost Basis]]&amp;TrendSheetPrdData[[#This Row],[Period]]&amp;TrendSheetPrdData[[#This Row],[Trend]]</f>
        <v>MSSP_ATTRIBUTEDPaid2016-09-01Outpatient Imaging Cost</v>
      </c>
      <c r="B1843" t="s">
        <v>128</v>
      </c>
      <c r="C1843" t="s">
        <v>128</v>
      </c>
      <c r="D1843" t="s">
        <v>78</v>
      </c>
      <c r="E1843" s="1" t="s">
        <v>99</v>
      </c>
      <c r="F1843" t="s">
        <v>93</v>
      </c>
      <c r="G1843" t="s">
        <v>19</v>
      </c>
      <c r="H1843">
        <v>8</v>
      </c>
      <c r="I1843">
        <v>93139.93</v>
      </c>
    </row>
    <row r="1844" spans="1:9" x14ac:dyDescent="0.25">
      <c r="A1844" s="5" t="str">
        <f>TrendSheetPrdData[[#This Row],[Population]]&amp;TrendSheetPrdData[[#This Row],[Cost Basis]]&amp;TrendSheetPrdData[[#This Row],[Period]]&amp;TrendSheetPrdData[[#This Row],[Trend]]</f>
        <v>MSSP_ATTRIBUTEDPaid2016-10-01Outpatient Imaging Cost</v>
      </c>
      <c r="B1844" t="s">
        <v>128</v>
      </c>
      <c r="C1844" t="s">
        <v>128</v>
      </c>
      <c r="D1844" t="s">
        <v>78</v>
      </c>
      <c r="E1844" s="1" t="s">
        <v>100</v>
      </c>
      <c r="F1844" t="s">
        <v>106</v>
      </c>
      <c r="G1844" t="s">
        <v>19</v>
      </c>
      <c r="H1844">
        <v>8</v>
      </c>
      <c r="I1844">
        <v>76272.58</v>
      </c>
    </row>
    <row r="1845" spans="1:9" x14ac:dyDescent="0.25">
      <c r="A1845" s="5" t="str">
        <f>TrendSheetPrdData[[#This Row],[Population]]&amp;TrendSheetPrdData[[#This Row],[Cost Basis]]&amp;TrendSheetPrdData[[#This Row],[Period]]&amp;TrendSheetPrdData[[#This Row],[Trend]]</f>
        <v>MSSP_ATTRIBUTEDPaid2016-11-01Outpatient Imaging Cost</v>
      </c>
      <c r="B1845" t="s">
        <v>128</v>
      </c>
      <c r="C1845" t="s">
        <v>128</v>
      </c>
      <c r="D1845" t="s">
        <v>78</v>
      </c>
      <c r="E1845" s="1" t="s">
        <v>101</v>
      </c>
      <c r="F1845" t="s">
        <v>106</v>
      </c>
      <c r="G1845" t="s">
        <v>19</v>
      </c>
      <c r="H1845">
        <v>8</v>
      </c>
      <c r="I1845">
        <v>80760.94</v>
      </c>
    </row>
    <row r="1846" spans="1:9" x14ac:dyDescent="0.25">
      <c r="A1846" s="5" t="str">
        <f>TrendSheetPrdData[[#This Row],[Population]]&amp;TrendSheetPrdData[[#This Row],[Cost Basis]]&amp;TrendSheetPrdData[[#This Row],[Period]]&amp;TrendSheetPrdData[[#This Row],[Trend]]</f>
        <v>MSSP_ATTRIBUTEDPaid2016-12-01Outpatient Imaging Cost</v>
      </c>
      <c r="B1846" t="s">
        <v>128</v>
      </c>
      <c r="C1846" t="s">
        <v>128</v>
      </c>
      <c r="D1846" t="s">
        <v>78</v>
      </c>
      <c r="E1846" s="1" t="s">
        <v>102</v>
      </c>
      <c r="F1846" t="s">
        <v>106</v>
      </c>
      <c r="G1846" t="s">
        <v>19</v>
      </c>
      <c r="H1846">
        <v>8</v>
      </c>
      <c r="I1846">
        <v>26977.71</v>
      </c>
    </row>
    <row r="1847" spans="1:9" x14ac:dyDescent="0.25">
      <c r="A1847" s="5" t="str">
        <f>TrendSheetPrdData[[#This Row],[Population]]&amp;TrendSheetPrdData[[#This Row],[Cost Basis]]&amp;TrendSheetPrdData[[#This Row],[Period]]&amp;TrendSheetPrdData[[#This Row],[Trend]]</f>
        <v>MSSP_ATTRIBUTEDPaid2015-10-01Hospiatl Outpatient MRIs per 1k</v>
      </c>
      <c r="B1847" t="s">
        <v>128</v>
      </c>
      <c r="C1847" t="s">
        <v>128</v>
      </c>
      <c r="D1847" t="s">
        <v>78</v>
      </c>
      <c r="E1847" s="1" t="s">
        <v>134</v>
      </c>
      <c r="F1847" t="s">
        <v>93</v>
      </c>
      <c r="G1847" t="s">
        <v>20</v>
      </c>
      <c r="H1847">
        <v>9</v>
      </c>
      <c r="I1847">
        <v>113</v>
      </c>
    </row>
    <row r="1848" spans="1:9" x14ac:dyDescent="0.25">
      <c r="A1848" s="5" t="str">
        <f>TrendSheetPrdData[[#This Row],[Population]]&amp;TrendSheetPrdData[[#This Row],[Cost Basis]]&amp;TrendSheetPrdData[[#This Row],[Period]]&amp;TrendSheetPrdData[[#This Row],[Trend]]</f>
        <v>MSSP_ATTRIBUTEDPaid2015-11-01Hospiatl Outpatient MRIs per 1k</v>
      </c>
      <c r="B1848" t="s">
        <v>128</v>
      </c>
      <c r="C1848" t="s">
        <v>128</v>
      </c>
      <c r="D1848" t="s">
        <v>78</v>
      </c>
      <c r="E1848" s="1" t="s">
        <v>130</v>
      </c>
      <c r="F1848" t="s">
        <v>93</v>
      </c>
      <c r="G1848" t="s">
        <v>20</v>
      </c>
      <c r="H1848">
        <v>9</v>
      </c>
      <c r="I1848">
        <v>109</v>
      </c>
    </row>
    <row r="1849" spans="1:9" x14ac:dyDescent="0.25">
      <c r="A1849" s="5" t="str">
        <f>TrendSheetPrdData[[#This Row],[Population]]&amp;TrendSheetPrdData[[#This Row],[Cost Basis]]&amp;TrendSheetPrdData[[#This Row],[Period]]&amp;TrendSheetPrdData[[#This Row],[Trend]]</f>
        <v>MSSP_ATTRIBUTEDPaid2015-12-01Hospiatl Outpatient MRIs per 1k</v>
      </c>
      <c r="B1849" t="s">
        <v>128</v>
      </c>
      <c r="C1849" t="s">
        <v>128</v>
      </c>
      <c r="D1849" t="s">
        <v>78</v>
      </c>
      <c r="E1849" s="1" t="s">
        <v>131</v>
      </c>
      <c r="F1849" t="s">
        <v>93</v>
      </c>
      <c r="G1849" t="s">
        <v>20</v>
      </c>
      <c r="H1849">
        <v>9</v>
      </c>
      <c r="I1849">
        <v>119</v>
      </c>
    </row>
    <row r="1850" spans="1:9" x14ac:dyDescent="0.25">
      <c r="A1850" s="5" t="str">
        <f>TrendSheetPrdData[[#This Row],[Population]]&amp;TrendSheetPrdData[[#This Row],[Cost Basis]]&amp;TrendSheetPrdData[[#This Row],[Period]]&amp;TrendSheetPrdData[[#This Row],[Trend]]</f>
        <v>MSSP_ATTRIBUTEDPaid2016-01-01Hospiatl Outpatient MRIs per 1k</v>
      </c>
      <c r="B1850" t="s">
        <v>128</v>
      </c>
      <c r="C1850" t="s">
        <v>128</v>
      </c>
      <c r="D1850" t="s">
        <v>78</v>
      </c>
      <c r="E1850" s="1" t="s">
        <v>132</v>
      </c>
      <c r="F1850" t="s">
        <v>93</v>
      </c>
      <c r="G1850" t="s">
        <v>20</v>
      </c>
      <c r="H1850">
        <v>9</v>
      </c>
      <c r="I1850">
        <v>116</v>
      </c>
    </row>
    <row r="1851" spans="1:9" x14ac:dyDescent="0.25">
      <c r="A1851" s="5" t="str">
        <f>TrendSheetPrdData[[#This Row],[Population]]&amp;TrendSheetPrdData[[#This Row],[Cost Basis]]&amp;TrendSheetPrdData[[#This Row],[Period]]&amp;TrendSheetPrdData[[#This Row],[Trend]]</f>
        <v>MSSP_ATTRIBUTEDPaid2016-02-01Hospiatl Outpatient MRIs per 1k</v>
      </c>
      <c r="B1851" t="s">
        <v>128</v>
      </c>
      <c r="C1851" t="s">
        <v>128</v>
      </c>
      <c r="D1851" t="s">
        <v>78</v>
      </c>
      <c r="E1851" s="1" t="s">
        <v>133</v>
      </c>
      <c r="F1851" t="s">
        <v>93</v>
      </c>
      <c r="G1851" t="s">
        <v>20</v>
      </c>
      <c r="H1851">
        <v>9</v>
      </c>
      <c r="I1851">
        <v>140</v>
      </c>
    </row>
    <row r="1852" spans="1:9" x14ac:dyDescent="0.25">
      <c r="A1852" s="5" t="str">
        <f>TrendSheetPrdData[[#This Row],[Population]]&amp;TrendSheetPrdData[[#This Row],[Cost Basis]]&amp;TrendSheetPrdData[[#This Row],[Period]]&amp;TrendSheetPrdData[[#This Row],[Trend]]</f>
        <v>MSSP_ATTRIBUTEDPaid2016-03-01Hospiatl Outpatient MRIs per 1k</v>
      </c>
      <c r="B1852" t="s">
        <v>128</v>
      </c>
      <c r="C1852" t="s">
        <v>128</v>
      </c>
      <c r="D1852" t="s">
        <v>78</v>
      </c>
      <c r="E1852" s="1" t="s">
        <v>92</v>
      </c>
      <c r="F1852" t="s">
        <v>93</v>
      </c>
      <c r="G1852" t="s">
        <v>20</v>
      </c>
      <c r="H1852">
        <v>9</v>
      </c>
      <c r="I1852">
        <v>126</v>
      </c>
    </row>
    <row r="1853" spans="1:9" x14ac:dyDescent="0.25">
      <c r="A1853" s="5" t="str">
        <f>TrendSheetPrdData[[#This Row],[Population]]&amp;TrendSheetPrdData[[#This Row],[Cost Basis]]&amp;TrendSheetPrdData[[#This Row],[Period]]&amp;TrendSheetPrdData[[#This Row],[Trend]]</f>
        <v>MSSP_ATTRIBUTEDPaid2016-04-01Hospiatl Outpatient MRIs per 1k</v>
      </c>
      <c r="B1853" t="s">
        <v>128</v>
      </c>
      <c r="C1853" t="s">
        <v>128</v>
      </c>
      <c r="D1853" t="s">
        <v>78</v>
      </c>
      <c r="E1853" s="1" t="s">
        <v>94</v>
      </c>
      <c r="F1853" t="s">
        <v>93</v>
      </c>
      <c r="G1853" t="s">
        <v>20</v>
      </c>
      <c r="H1853">
        <v>9</v>
      </c>
      <c r="I1853">
        <v>130</v>
      </c>
    </row>
    <row r="1854" spans="1:9" x14ac:dyDescent="0.25">
      <c r="A1854" s="5" t="str">
        <f>TrendSheetPrdData[[#This Row],[Population]]&amp;TrendSheetPrdData[[#This Row],[Cost Basis]]&amp;TrendSheetPrdData[[#This Row],[Period]]&amp;TrendSheetPrdData[[#This Row],[Trend]]</f>
        <v>MSSP_ATTRIBUTEDPaid2016-05-01Hospiatl Outpatient MRIs per 1k</v>
      </c>
      <c r="B1854" t="s">
        <v>128</v>
      </c>
      <c r="C1854" t="s">
        <v>128</v>
      </c>
      <c r="D1854" t="s">
        <v>78</v>
      </c>
      <c r="E1854" s="1" t="s">
        <v>95</v>
      </c>
      <c r="F1854" t="s">
        <v>93</v>
      </c>
      <c r="G1854" t="s">
        <v>20</v>
      </c>
      <c r="H1854">
        <v>9</v>
      </c>
      <c r="I1854">
        <v>118</v>
      </c>
    </row>
    <row r="1855" spans="1:9" x14ac:dyDescent="0.25">
      <c r="A1855" s="5" t="str">
        <f>TrendSheetPrdData[[#This Row],[Population]]&amp;TrendSheetPrdData[[#This Row],[Cost Basis]]&amp;TrendSheetPrdData[[#This Row],[Period]]&amp;TrendSheetPrdData[[#This Row],[Trend]]</f>
        <v>MSSP_ATTRIBUTEDPaid2016-06-01Hospiatl Outpatient MRIs per 1k</v>
      </c>
      <c r="B1855" t="s">
        <v>128</v>
      </c>
      <c r="C1855" t="s">
        <v>128</v>
      </c>
      <c r="D1855" t="s">
        <v>78</v>
      </c>
      <c r="E1855" s="1" t="s">
        <v>96</v>
      </c>
      <c r="F1855" t="s">
        <v>93</v>
      </c>
      <c r="G1855" t="s">
        <v>20</v>
      </c>
      <c r="H1855">
        <v>9</v>
      </c>
      <c r="I1855">
        <v>125</v>
      </c>
    </row>
    <row r="1856" spans="1:9" x14ac:dyDescent="0.25">
      <c r="A1856" s="5" t="str">
        <f>TrendSheetPrdData[[#This Row],[Population]]&amp;TrendSheetPrdData[[#This Row],[Cost Basis]]&amp;TrendSheetPrdData[[#This Row],[Period]]&amp;TrendSheetPrdData[[#This Row],[Trend]]</f>
        <v>MSSP_ATTRIBUTEDPaid2016-07-01Hospiatl Outpatient MRIs per 1k</v>
      </c>
      <c r="B1856" t="s">
        <v>128</v>
      </c>
      <c r="C1856" t="s">
        <v>128</v>
      </c>
      <c r="D1856" t="s">
        <v>78</v>
      </c>
      <c r="E1856" s="1" t="s">
        <v>97</v>
      </c>
      <c r="F1856" t="s">
        <v>93</v>
      </c>
      <c r="G1856" t="s">
        <v>20</v>
      </c>
      <c r="H1856">
        <v>9</v>
      </c>
      <c r="I1856">
        <v>117</v>
      </c>
    </row>
    <row r="1857" spans="1:9" x14ac:dyDescent="0.25">
      <c r="A1857" s="5" t="str">
        <f>TrendSheetPrdData[[#This Row],[Population]]&amp;TrendSheetPrdData[[#This Row],[Cost Basis]]&amp;TrendSheetPrdData[[#This Row],[Period]]&amp;TrendSheetPrdData[[#This Row],[Trend]]</f>
        <v>MSSP_ATTRIBUTEDPaid2016-08-01Hospiatl Outpatient MRIs per 1k</v>
      </c>
      <c r="B1857" t="s">
        <v>128</v>
      </c>
      <c r="C1857" t="s">
        <v>128</v>
      </c>
      <c r="D1857" t="s">
        <v>78</v>
      </c>
      <c r="E1857" s="1" t="s">
        <v>98</v>
      </c>
      <c r="F1857" t="s">
        <v>93</v>
      </c>
      <c r="G1857" t="s">
        <v>20</v>
      </c>
      <c r="H1857">
        <v>9</v>
      </c>
      <c r="I1857">
        <v>136</v>
      </c>
    </row>
    <row r="1858" spans="1:9" x14ac:dyDescent="0.25">
      <c r="A1858" s="5" t="str">
        <f>TrendSheetPrdData[[#This Row],[Population]]&amp;TrendSheetPrdData[[#This Row],[Cost Basis]]&amp;TrendSheetPrdData[[#This Row],[Period]]&amp;TrendSheetPrdData[[#This Row],[Trend]]</f>
        <v>MSSP_ATTRIBUTEDPaid2016-09-01Hospiatl Outpatient MRIs per 1k</v>
      </c>
      <c r="B1858" t="s">
        <v>128</v>
      </c>
      <c r="C1858" t="s">
        <v>128</v>
      </c>
      <c r="D1858" t="s">
        <v>78</v>
      </c>
      <c r="E1858" s="1" t="s">
        <v>99</v>
      </c>
      <c r="F1858" t="s">
        <v>93</v>
      </c>
      <c r="G1858" t="s">
        <v>20</v>
      </c>
      <c r="H1858">
        <v>9</v>
      </c>
      <c r="I1858">
        <v>138</v>
      </c>
    </row>
    <row r="1859" spans="1:9" x14ac:dyDescent="0.25">
      <c r="A1859" s="5" t="str">
        <f>TrendSheetPrdData[[#This Row],[Population]]&amp;TrendSheetPrdData[[#This Row],[Cost Basis]]&amp;TrendSheetPrdData[[#This Row],[Period]]&amp;TrendSheetPrdData[[#This Row],[Trend]]</f>
        <v>MSSP_ATTRIBUTEDPaid2016-10-01Hospiatl Outpatient MRIs per 1k</v>
      </c>
      <c r="B1859" t="s">
        <v>128</v>
      </c>
      <c r="C1859" t="s">
        <v>128</v>
      </c>
      <c r="D1859" t="s">
        <v>78</v>
      </c>
      <c r="E1859" s="1" t="s">
        <v>100</v>
      </c>
      <c r="F1859" t="s">
        <v>106</v>
      </c>
      <c r="G1859" t="s">
        <v>20</v>
      </c>
      <c r="H1859">
        <v>9</v>
      </c>
      <c r="I1859">
        <v>120</v>
      </c>
    </row>
    <row r="1860" spans="1:9" x14ac:dyDescent="0.25">
      <c r="A1860" s="5" t="str">
        <f>TrendSheetPrdData[[#This Row],[Population]]&amp;TrendSheetPrdData[[#This Row],[Cost Basis]]&amp;TrendSheetPrdData[[#This Row],[Period]]&amp;TrendSheetPrdData[[#This Row],[Trend]]</f>
        <v>MSSP_ATTRIBUTEDPaid2016-11-01Hospiatl Outpatient MRIs per 1k</v>
      </c>
      <c r="B1860" t="s">
        <v>128</v>
      </c>
      <c r="C1860" t="s">
        <v>128</v>
      </c>
      <c r="D1860" t="s">
        <v>78</v>
      </c>
      <c r="E1860" s="1" t="s">
        <v>101</v>
      </c>
      <c r="F1860" t="s">
        <v>106</v>
      </c>
      <c r="G1860" t="s">
        <v>20</v>
      </c>
      <c r="H1860">
        <v>9</v>
      </c>
      <c r="I1860">
        <v>111</v>
      </c>
    </row>
    <row r="1861" spans="1:9" x14ac:dyDescent="0.25">
      <c r="A1861" s="5" t="str">
        <f>TrendSheetPrdData[[#This Row],[Population]]&amp;TrendSheetPrdData[[#This Row],[Cost Basis]]&amp;TrendSheetPrdData[[#This Row],[Period]]&amp;TrendSheetPrdData[[#This Row],[Trend]]</f>
        <v>MSSP_ATTRIBUTEDPaid2016-12-01Hospiatl Outpatient MRIs per 1k</v>
      </c>
      <c r="B1861" t="s">
        <v>128</v>
      </c>
      <c r="C1861" t="s">
        <v>128</v>
      </c>
      <c r="D1861" t="s">
        <v>78</v>
      </c>
      <c r="E1861" s="1" t="s">
        <v>102</v>
      </c>
      <c r="F1861" t="s">
        <v>106</v>
      </c>
      <c r="G1861" t="s">
        <v>20</v>
      </c>
      <c r="H1861">
        <v>9</v>
      </c>
      <c r="I1861">
        <v>46</v>
      </c>
    </row>
    <row r="1862" spans="1:9" x14ac:dyDescent="0.25">
      <c r="A1862" s="5" t="str">
        <f>TrendSheetPrdData[[#This Row],[Population]]&amp;TrendSheetPrdData[[#This Row],[Cost Basis]]&amp;TrendSheetPrdData[[#This Row],[Period]]&amp;TrendSheetPrdData[[#This Row],[Trend]]</f>
        <v>MSSP_ATTRIBUTEDPaid2015-10-01Hospiatl Outpatient CTs per 1k</v>
      </c>
      <c r="B1862" t="s">
        <v>128</v>
      </c>
      <c r="C1862" t="s">
        <v>128</v>
      </c>
      <c r="D1862" t="s">
        <v>78</v>
      </c>
      <c r="E1862" s="1" t="s">
        <v>134</v>
      </c>
      <c r="F1862" t="s">
        <v>93</v>
      </c>
      <c r="G1862" t="s">
        <v>21</v>
      </c>
      <c r="H1862">
        <v>10</v>
      </c>
      <c r="I1862">
        <v>197</v>
      </c>
    </row>
    <row r="1863" spans="1:9" x14ac:dyDescent="0.25">
      <c r="A1863" s="5" t="str">
        <f>TrendSheetPrdData[[#This Row],[Population]]&amp;TrendSheetPrdData[[#This Row],[Cost Basis]]&amp;TrendSheetPrdData[[#This Row],[Period]]&amp;TrendSheetPrdData[[#This Row],[Trend]]</f>
        <v>MSSP_ATTRIBUTEDPaid2015-11-01Hospiatl Outpatient CTs per 1k</v>
      </c>
      <c r="B1863" t="s">
        <v>128</v>
      </c>
      <c r="C1863" t="s">
        <v>128</v>
      </c>
      <c r="D1863" t="s">
        <v>78</v>
      </c>
      <c r="E1863" s="1" t="s">
        <v>130</v>
      </c>
      <c r="F1863" t="s">
        <v>93</v>
      </c>
      <c r="G1863" t="s">
        <v>21</v>
      </c>
      <c r="H1863">
        <v>10</v>
      </c>
      <c r="I1863">
        <v>191</v>
      </c>
    </row>
    <row r="1864" spans="1:9" x14ac:dyDescent="0.25">
      <c r="A1864" s="5" t="str">
        <f>TrendSheetPrdData[[#This Row],[Population]]&amp;TrendSheetPrdData[[#This Row],[Cost Basis]]&amp;TrendSheetPrdData[[#This Row],[Period]]&amp;TrendSheetPrdData[[#This Row],[Trend]]</f>
        <v>MSSP_ATTRIBUTEDPaid2015-12-01Hospiatl Outpatient CTs per 1k</v>
      </c>
      <c r="B1864" t="s">
        <v>128</v>
      </c>
      <c r="C1864" t="s">
        <v>128</v>
      </c>
      <c r="D1864" t="s">
        <v>78</v>
      </c>
      <c r="E1864" s="1" t="s">
        <v>131</v>
      </c>
      <c r="F1864" t="s">
        <v>93</v>
      </c>
      <c r="G1864" t="s">
        <v>21</v>
      </c>
      <c r="H1864">
        <v>10</v>
      </c>
      <c r="I1864">
        <v>182</v>
      </c>
    </row>
    <row r="1865" spans="1:9" x14ac:dyDescent="0.25">
      <c r="A1865" s="5" t="str">
        <f>TrendSheetPrdData[[#This Row],[Population]]&amp;TrendSheetPrdData[[#This Row],[Cost Basis]]&amp;TrendSheetPrdData[[#This Row],[Period]]&amp;TrendSheetPrdData[[#This Row],[Trend]]</f>
        <v>MSSP_ATTRIBUTEDPaid2016-01-01Hospiatl Outpatient CTs per 1k</v>
      </c>
      <c r="B1865" t="s">
        <v>128</v>
      </c>
      <c r="C1865" t="s">
        <v>128</v>
      </c>
      <c r="D1865" t="s">
        <v>78</v>
      </c>
      <c r="E1865" s="1" t="s">
        <v>132</v>
      </c>
      <c r="F1865" t="s">
        <v>93</v>
      </c>
      <c r="G1865" t="s">
        <v>21</v>
      </c>
      <c r="H1865">
        <v>10</v>
      </c>
      <c r="I1865">
        <v>174</v>
      </c>
    </row>
    <row r="1866" spans="1:9" x14ac:dyDescent="0.25">
      <c r="A1866" s="5" t="str">
        <f>TrendSheetPrdData[[#This Row],[Population]]&amp;TrendSheetPrdData[[#This Row],[Cost Basis]]&amp;TrendSheetPrdData[[#This Row],[Period]]&amp;TrendSheetPrdData[[#This Row],[Trend]]</f>
        <v>MSSP_ATTRIBUTEDPaid2016-02-01Hospiatl Outpatient CTs per 1k</v>
      </c>
      <c r="B1866" t="s">
        <v>128</v>
      </c>
      <c r="C1866" t="s">
        <v>128</v>
      </c>
      <c r="D1866" t="s">
        <v>78</v>
      </c>
      <c r="E1866" s="1" t="s">
        <v>133</v>
      </c>
      <c r="F1866" t="s">
        <v>93</v>
      </c>
      <c r="G1866" t="s">
        <v>21</v>
      </c>
      <c r="H1866">
        <v>10</v>
      </c>
      <c r="I1866">
        <v>196</v>
      </c>
    </row>
    <row r="1867" spans="1:9" x14ac:dyDescent="0.25">
      <c r="A1867" s="5" t="str">
        <f>TrendSheetPrdData[[#This Row],[Population]]&amp;TrendSheetPrdData[[#This Row],[Cost Basis]]&amp;TrendSheetPrdData[[#This Row],[Period]]&amp;TrendSheetPrdData[[#This Row],[Trend]]</f>
        <v>MSSP_ATTRIBUTEDPaid2016-03-01Hospiatl Outpatient CTs per 1k</v>
      </c>
      <c r="B1867" t="s">
        <v>128</v>
      </c>
      <c r="C1867" t="s">
        <v>128</v>
      </c>
      <c r="D1867" t="s">
        <v>78</v>
      </c>
      <c r="E1867" s="1" t="s">
        <v>92</v>
      </c>
      <c r="F1867" t="s">
        <v>93</v>
      </c>
      <c r="G1867" t="s">
        <v>21</v>
      </c>
      <c r="H1867">
        <v>10</v>
      </c>
      <c r="I1867">
        <v>226</v>
      </c>
    </row>
    <row r="1868" spans="1:9" x14ac:dyDescent="0.25">
      <c r="A1868" s="5" t="str">
        <f>TrendSheetPrdData[[#This Row],[Population]]&amp;TrendSheetPrdData[[#This Row],[Cost Basis]]&amp;TrendSheetPrdData[[#This Row],[Period]]&amp;TrendSheetPrdData[[#This Row],[Trend]]</f>
        <v>MSSP_ATTRIBUTEDPaid2016-04-01Hospiatl Outpatient CTs per 1k</v>
      </c>
      <c r="B1868" t="s">
        <v>128</v>
      </c>
      <c r="C1868" t="s">
        <v>128</v>
      </c>
      <c r="D1868" t="s">
        <v>78</v>
      </c>
      <c r="E1868" s="1" t="s">
        <v>94</v>
      </c>
      <c r="F1868" t="s">
        <v>93</v>
      </c>
      <c r="G1868" t="s">
        <v>21</v>
      </c>
      <c r="H1868">
        <v>10</v>
      </c>
      <c r="I1868">
        <v>208</v>
      </c>
    </row>
    <row r="1869" spans="1:9" x14ac:dyDescent="0.25">
      <c r="A1869" s="5" t="str">
        <f>TrendSheetPrdData[[#This Row],[Population]]&amp;TrendSheetPrdData[[#This Row],[Cost Basis]]&amp;TrendSheetPrdData[[#This Row],[Period]]&amp;TrendSheetPrdData[[#This Row],[Trend]]</f>
        <v>MSSP_ATTRIBUTEDPaid2016-05-01Hospiatl Outpatient CTs per 1k</v>
      </c>
      <c r="B1869" t="s">
        <v>128</v>
      </c>
      <c r="C1869" t="s">
        <v>128</v>
      </c>
      <c r="D1869" t="s">
        <v>78</v>
      </c>
      <c r="E1869" s="1" t="s">
        <v>95</v>
      </c>
      <c r="F1869" t="s">
        <v>93</v>
      </c>
      <c r="G1869" t="s">
        <v>21</v>
      </c>
      <c r="H1869">
        <v>10</v>
      </c>
      <c r="I1869">
        <v>192</v>
      </c>
    </row>
    <row r="1870" spans="1:9" x14ac:dyDescent="0.25">
      <c r="A1870" s="5" t="str">
        <f>TrendSheetPrdData[[#This Row],[Population]]&amp;TrendSheetPrdData[[#This Row],[Cost Basis]]&amp;TrendSheetPrdData[[#This Row],[Period]]&amp;TrendSheetPrdData[[#This Row],[Trend]]</f>
        <v>MSSP_ATTRIBUTEDPaid2016-06-01Hospiatl Outpatient CTs per 1k</v>
      </c>
      <c r="B1870" t="s">
        <v>128</v>
      </c>
      <c r="C1870" t="s">
        <v>128</v>
      </c>
      <c r="D1870" t="s">
        <v>78</v>
      </c>
      <c r="E1870" s="1" t="s">
        <v>96</v>
      </c>
      <c r="F1870" t="s">
        <v>93</v>
      </c>
      <c r="G1870" t="s">
        <v>21</v>
      </c>
      <c r="H1870">
        <v>10</v>
      </c>
      <c r="I1870">
        <v>202</v>
      </c>
    </row>
    <row r="1871" spans="1:9" x14ac:dyDescent="0.25">
      <c r="A1871" s="5" t="str">
        <f>TrendSheetPrdData[[#This Row],[Population]]&amp;TrendSheetPrdData[[#This Row],[Cost Basis]]&amp;TrendSheetPrdData[[#This Row],[Period]]&amp;TrendSheetPrdData[[#This Row],[Trend]]</f>
        <v>MSSP_ATTRIBUTEDPaid2016-07-01Hospiatl Outpatient CTs per 1k</v>
      </c>
      <c r="B1871" t="s">
        <v>128</v>
      </c>
      <c r="C1871" t="s">
        <v>128</v>
      </c>
      <c r="D1871" t="s">
        <v>78</v>
      </c>
      <c r="E1871" s="1" t="s">
        <v>97</v>
      </c>
      <c r="F1871" t="s">
        <v>93</v>
      </c>
      <c r="G1871" t="s">
        <v>21</v>
      </c>
      <c r="H1871">
        <v>10</v>
      </c>
      <c r="I1871">
        <v>200</v>
      </c>
    </row>
    <row r="1872" spans="1:9" x14ac:dyDescent="0.25">
      <c r="A1872" s="5" t="str">
        <f>TrendSheetPrdData[[#This Row],[Population]]&amp;TrendSheetPrdData[[#This Row],[Cost Basis]]&amp;TrendSheetPrdData[[#This Row],[Period]]&amp;TrendSheetPrdData[[#This Row],[Trend]]</f>
        <v>MSSP_ATTRIBUTEDPaid2016-08-01Hospiatl Outpatient CTs per 1k</v>
      </c>
      <c r="B1872" t="s">
        <v>128</v>
      </c>
      <c r="C1872" t="s">
        <v>128</v>
      </c>
      <c r="D1872" t="s">
        <v>78</v>
      </c>
      <c r="E1872" s="1" t="s">
        <v>98</v>
      </c>
      <c r="F1872" t="s">
        <v>93</v>
      </c>
      <c r="G1872" t="s">
        <v>21</v>
      </c>
      <c r="H1872">
        <v>10</v>
      </c>
      <c r="I1872">
        <v>203</v>
      </c>
    </row>
    <row r="1873" spans="1:9" x14ac:dyDescent="0.25">
      <c r="A1873" s="5" t="str">
        <f>TrendSheetPrdData[[#This Row],[Population]]&amp;TrendSheetPrdData[[#This Row],[Cost Basis]]&amp;TrendSheetPrdData[[#This Row],[Period]]&amp;TrendSheetPrdData[[#This Row],[Trend]]</f>
        <v>MSSP_ATTRIBUTEDPaid2016-09-01Hospiatl Outpatient CTs per 1k</v>
      </c>
      <c r="B1873" t="s">
        <v>128</v>
      </c>
      <c r="C1873" t="s">
        <v>128</v>
      </c>
      <c r="D1873" t="s">
        <v>78</v>
      </c>
      <c r="E1873" s="1" t="s">
        <v>99</v>
      </c>
      <c r="F1873" t="s">
        <v>93</v>
      </c>
      <c r="G1873" t="s">
        <v>21</v>
      </c>
      <c r="H1873">
        <v>10</v>
      </c>
      <c r="I1873">
        <v>204</v>
      </c>
    </row>
    <row r="1874" spans="1:9" x14ac:dyDescent="0.25">
      <c r="A1874" s="5" t="str">
        <f>TrendSheetPrdData[[#This Row],[Population]]&amp;TrendSheetPrdData[[#This Row],[Cost Basis]]&amp;TrendSheetPrdData[[#This Row],[Period]]&amp;TrendSheetPrdData[[#This Row],[Trend]]</f>
        <v>MSSP_ATTRIBUTEDPaid2016-10-01Hospiatl Outpatient CTs per 1k</v>
      </c>
      <c r="B1874" t="s">
        <v>128</v>
      </c>
      <c r="C1874" t="s">
        <v>128</v>
      </c>
      <c r="D1874" t="s">
        <v>78</v>
      </c>
      <c r="E1874" s="1" t="s">
        <v>100</v>
      </c>
      <c r="F1874" t="s">
        <v>106</v>
      </c>
      <c r="G1874" t="s">
        <v>21</v>
      </c>
      <c r="H1874">
        <v>10</v>
      </c>
      <c r="I1874">
        <v>183</v>
      </c>
    </row>
    <row r="1875" spans="1:9" x14ac:dyDescent="0.25">
      <c r="A1875" s="5" t="str">
        <f>TrendSheetPrdData[[#This Row],[Population]]&amp;TrendSheetPrdData[[#This Row],[Cost Basis]]&amp;TrendSheetPrdData[[#This Row],[Period]]&amp;TrendSheetPrdData[[#This Row],[Trend]]</f>
        <v>MSSP_ATTRIBUTEDPaid2016-11-01Hospiatl Outpatient CTs per 1k</v>
      </c>
      <c r="B1875" t="s">
        <v>128</v>
      </c>
      <c r="C1875" t="s">
        <v>128</v>
      </c>
      <c r="D1875" t="s">
        <v>78</v>
      </c>
      <c r="E1875" s="1" t="s">
        <v>101</v>
      </c>
      <c r="F1875" t="s">
        <v>106</v>
      </c>
      <c r="G1875" t="s">
        <v>21</v>
      </c>
      <c r="H1875">
        <v>10</v>
      </c>
      <c r="I1875">
        <v>205</v>
      </c>
    </row>
    <row r="1876" spans="1:9" x14ac:dyDescent="0.25">
      <c r="A1876" s="5" t="str">
        <f>TrendSheetPrdData[[#This Row],[Population]]&amp;TrendSheetPrdData[[#This Row],[Cost Basis]]&amp;TrendSheetPrdData[[#This Row],[Period]]&amp;TrendSheetPrdData[[#This Row],[Trend]]</f>
        <v>MSSP_ATTRIBUTEDPaid2016-12-01Hospiatl Outpatient CTs per 1k</v>
      </c>
      <c r="B1876" t="s">
        <v>128</v>
      </c>
      <c r="C1876" t="s">
        <v>128</v>
      </c>
      <c r="D1876" t="s">
        <v>78</v>
      </c>
      <c r="E1876" s="1" t="s">
        <v>102</v>
      </c>
      <c r="F1876" t="s">
        <v>106</v>
      </c>
      <c r="G1876" t="s">
        <v>21</v>
      </c>
      <c r="H1876">
        <v>10</v>
      </c>
      <c r="I1876">
        <v>57</v>
      </c>
    </row>
    <row r="1877" spans="1:9" x14ac:dyDescent="0.25">
      <c r="A1877" s="5" t="str">
        <f>TrendSheetPrdData[[#This Row],[Population]]&amp;TrendSheetPrdData[[#This Row],[Cost Basis]]&amp;TrendSheetPrdData[[#This Row],[Period]]&amp;TrendSheetPrdData[[#This Row],[Trend]]</f>
        <v>MSSP_ATTRIBUTEDPaid2015-10-01Office Based MRIs per 1k</v>
      </c>
      <c r="B1877" t="s">
        <v>128</v>
      </c>
      <c r="C1877" t="s">
        <v>128</v>
      </c>
      <c r="D1877" t="s">
        <v>78</v>
      </c>
      <c r="E1877" s="1" t="s">
        <v>134</v>
      </c>
      <c r="F1877" t="s">
        <v>93</v>
      </c>
      <c r="G1877" t="s">
        <v>22</v>
      </c>
      <c r="H1877">
        <v>11</v>
      </c>
      <c r="I1877">
        <v>21</v>
      </c>
    </row>
    <row r="1878" spans="1:9" x14ac:dyDescent="0.25">
      <c r="A1878" s="5" t="str">
        <f>TrendSheetPrdData[[#This Row],[Population]]&amp;TrendSheetPrdData[[#This Row],[Cost Basis]]&amp;TrendSheetPrdData[[#This Row],[Period]]&amp;TrendSheetPrdData[[#This Row],[Trend]]</f>
        <v>MSSP_ATTRIBUTEDPaid2015-11-01Office Based MRIs per 1k</v>
      </c>
      <c r="B1878" t="s">
        <v>128</v>
      </c>
      <c r="C1878" t="s">
        <v>128</v>
      </c>
      <c r="D1878" t="s">
        <v>78</v>
      </c>
      <c r="E1878" s="1" t="s">
        <v>130</v>
      </c>
      <c r="F1878" t="s">
        <v>93</v>
      </c>
      <c r="G1878" t="s">
        <v>22</v>
      </c>
      <c r="H1878">
        <v>11</v>
      </c>
      <c r="I1878">
        <v>14</v>
      </c>
    </row>
    <row r="1879" spans="1:9" x14ac:dyDescent="0.25">
      <c r="A1879" s="5" t="str">
        <f>TrendSheetPrdData[[#This Row],[Population]]&amp;TrendSheetPrdData[[#This Row],[Cost Basis]]&amp;TrendSheetPrdData[[#This Row],[Period]]&amp;TrendSheetPrdData[[#This Row],[Trend]]</f>
        <v>MSSP_ATTRIBUTEDPaid2015-12-01Office Based MRIs per 1k</v>
      </c>
      <c r="B1879" t="s">
        <v>128</v>
      </c>
      <c r="C1879" t="s">
        <v>128</v>
      </c>
      <c r="D1879" t="s">
        <v>78</v>
      </c>
      <c r="E1879" s="1" t="s">
        <v>131</v>
      </c>
      <c r="F1879" t="s">
        <v>93</v>
      </c>
      <c r="G1879" t="s">
        <v>22</v>
      </c>
      <c r="H1879">
        <v>11</v>
      </c>
      <c r="I1879">
        <v>22</v>
      </c>
    </row>
    <row r="1880" spans="1:9" x14ac:dyDescent="0.25">
      <c r="A1880" s="5" t="str">
        <f>TrendSheetPrdData[[#This Row],[Population]]&amp;TrendSheetPrdData[[#This Row],[Cost Basis]]&amp;TrendSheetPrdData[[#This Row],[Period]]&amp;TrendSheetPrdData[[#This Row],[Trend]]</f>
        <v>MSSP_ATTRIBUTEDPaid2016-01-01Office Based MRIs per 1k</v>
      </c>
      <c r="B1880" t="s">
        <v>128</v>
      </c>
      <c r="C1880" t="s">
        <v>128</v>
      </c>
      <c r="D1880" t="s">
        <v>78</v>
      </c>
      <c r="E1880" s="1" t="s">
        <v>132</v>
      </c>
      <c r="F1880" t="s">
        <v>93</v>
      </c>
      <c r="G1880" t="s">
        <v>22</v>
      </c>
      <c r="H1880">
        <v>11</v>
      </c>
      <c r="I1880">
        <v>21</v>
      </c>
    </row>
    <row r="1881" spans="1:9" x14ac:dyDescent="0.25">
      <c r="A1881" s="5" t="str">
        <f>TrendSheetPrdData[[#This Row],[Population]]&amp;TrendSheetPrdData[[#This Row],[Cost Basis]]&amp;TrendSheetPrdData[[#This Row],[Period]]&amp;TrendSheetPrdData[[#This Row],[Trend]]</f>
        <v>MSSP_ATTRIBUTEDPaid2016-02-01Office Based MRIs per 1k</v>
      </c>
      <c r="B1881" t="s">
        <v>128</v>
      </c>
      <c r="C1881" t="s">
        <v>128</v>
      </c>
      <c r="D1881" t="s">
        <v>78</v>
      </c>
      <c r="E1881" s="1" t="s">
        <v>133</v>
      </c>
      <c r="F1881" t="s">
        <v>93</v>
      </c>
      <c r="G1881" t="s">
        <v>22</v>
      </c>
      <c r="H1881">
        <v>11</v>
      </c>
      <c r="I1881">
        <v>16</v>
      </c>
    </row>
    <row r="1882" spans="1:9" x14ac:dyDescent="0.25">
      <c r="A1882" s="5" t="str">
        <f>TrendSheetPrdData[[#This Row],[Population]]&amp;TrendSheetPrdData[[#This Row],[Cost Basis]]&amp;TrendSheetPrdData[[#This Row],[Period]]&amp;TrendSheetPrdData[[#This Row],[Trend]]</f>
        <v>MSSP_ATTRIBUTEDPaid2016-03-01Office Based MRIs per 1k</v>
      </c>
      <c r="B1882" t="s">
        <v>128</v>
      </c>
      <c r="C1882" t="s">
        <v>128</v>
      </c>
      <c r="D1882" t="s">
        <v>78</v>
      </c>
      <c r="E1882" s="1" t="s">
        <v>92</v>
      </c>
      <c r="F1882" t="s">
        <v>93</v>
      </c>
      <c r="G1882" t="s">
        <v>22</v>
      </c>
      <c r="H1882">
        <v>11</v>
      </c>
      <c r="I1882">
        <v>19</v>
      </c>
    </row>
    <row r="1883" spans="1:9" x14ac:dyDescent="0.25">
      <c r="A1883" s="5" t="str">
        <f>TrendSheetPrdData[[#This Row],[Population]]&amp;TrendSheetPrdData[[#This Row],[Cost Basis]]&amp;TrendSheetPrdData[[#This Row],[Period]]&amp;TrendSheetPrdData[[#This Row],[Trend]]</f>
        <v>MSSP_ATTRIBUTEDPaid2016-04-01Office Based MRIs per 1k</v>
      </c>
      <c r="B1883" t="s">
        <v>128</v>
      </c>
      <c r="C1883" t="s">
        <v>128</v>
      </c>
      <c r="D1883" t="s">
        <v>78</v>
      </c>
      <c r="E1883" s="1" t="s">
        <v>94</v>
      </c>
      <c r="F1883" t="s">
        <v>93</v>
      </c>
      <c r="G1883" t="s">
        <v>22</v>
      </c>
      <c r="H1883">
        <v>11</v>
      </c>
      <c r="I1883">
        <v>19</v>
      </c>
    </row>
    <row r="1884" spans="1:9" x14ac:dyDescent="0.25">
      <c r="A1884" s="5" t="str">
        <f>TrendSheetPrdData[[#This Row],[Population]]&amp;TrendSheetPrdData[[#This Row],[Cost Basis]]&amp;TrendSheetPrdData[[#This Row],[Period]]&amp;TrendSheetPrdData[[#This Row],[Trend]]</f>
        <v>MSSP_ATTRIBUTEDPaid2016-05-01Office Based MRIs per 1k</v>
      </c>
      <c r="B1884" t="s">
        <v>128</v>
      </c>
      <c r="C1884" t="s">
        <v>128</v>
      </c>
      <c r="D1884" t="s">
        <v>78</v>
      </c>
      <c r="E1884" s="1" t="s">
        <v>95</v>
      </c>
      <c r="F1884" t="s">
        <v>93</v>
      </c>
      <c r="G1884" t="s">
        <v>22</v>
      </c>
      <c r="H1884">
        <v>11</v>
      </c>
      <c r="I1884">
        <v>25</v>
      </c>
    </row>
    <row r="1885" spans="1:9" x14ac:dyDescent="0.25">
      <c r="A1885" s="5" t="str">
        <f>TrendSheetPrdData[[#This Row],[Population]]&amp;TrendSheetPrdData[[#This Row],[Cost Basis]]&amp;TrendSheetPrdData[[#This Row],[Period]]&amp;TrendSheetPrdData[[#This Row],[Trend]]</f>
        <v>MSSP_ATTRIBUTEDPaid2016-06-01Office Based MRIs per 1k</v>
      </c>
      <c r="B1885" t="s">
        <v>128</v>
      </c>
      <c r="C1885" t="s">
        <v>128</v>
      </c>
      <c r="D1885" t="s">
        <v>78</v>
      </c>
      <c r="E1885" s="1" t="s">
        <v>96</v>
      </c>
      <c r="F1885" t="s">
        <v>93</v>
      </c>
      <c r="G1885" t="s">
        <v>22</v>
      </c>
      <c r="H1885">
        <v>11</v>
      </c>
      <c r="I1885">
        <v>29</v>
      </c>
    </row>
    <row r="1886" spans="1:9" x14ac:dyDescent="0.25">
      <c r="A1886" s="5" t="str">
        <f>TrendSheetPrdData[[#This Row],[Population]]&amp;TrendSheetPrdData[[#This Row],[Cost Basis]]&amp;TrendSheetPrdData[[#This Row],[Period]]&amp;TrendSheetPrdData[[#This Row],[Trend]]</f>
        <v>MSSP_ATTRIBUTEDPaid2016-07-01Office Based MRIs per 1k</v>
      </c>
      <c r="B1886" t="s">
        <v>128</v>
      </c>
      <c r="C1886" t="s">
        <v>128</v>
      </c>
      <c r="D1886" t="s">
        <v>78</v>
      </c>
      <c r="E1886" s="1" t="s">
        <v>97</v>
      </c>
      <c r="F1886" t="s">
        <v>93</v>
      </c>
      <c r="G1886" t="s">
        <v>22</v>
      </c>
      <c r="H1886">
        <v>11</v>
      </c>
      <c r="I1886">
        <v>14</v>
      </c>
    </row>
    <row r="1887" spans="1:9" x14ac:dyDescent="0.25">
      <c r="A1887" s="5" t="str">
        <f>TrendSheetPrdData[[#This Row],[Population]]&amp;TrendSheetPrdData[[#This Row],[Cost Basis]]&amp;TrendSheetPrdData[[#This Row],[Period]]&amp;TrendSheetPrdData[[#This Row],[Trend]]</f>
        <v>MSSP_ATTRIBUTEDPaid2016-08-01Office Based MRIs per 1k</v>
      </c>
      <c r="B1887" t="s">
        <v>128</v>
      </c>
      <c r="C1887" t="s">
        <v>128</v>
      </c>
      <c r="D1887" t="s">
        <v>78</v>
      </c>
      <c r="E1887" s="1" t="s">
        <v>98</v>
      </c>
      <c r="F1887" t="s">
        <v>93</v>
      </c>
      <c r="G1887" t="s">
        <v>22</v>
      </c>
      <c r="H1887">
        <v>11</v>
      </c>
      <c r="I1887">
        <v>20</v>
      </c>
    </row>
    <row r="1888" spans="1:9" x14ac:dyDescent="0.25">
      <c r="A1888" s="5" t="str">
        <f>TrendSheetPrdData[[#This Row],[Population]]&amp;TrendSheetPrdData[[#This Row],[Cost Basis]]&amp;TrendSheetPrdData[[#This Row],[Period]]&amp;TrendSheetPrdData[[#This Row],[Trend]]</f>
        <v>MSSP_ATTRIBUTEDPaid2016-09-01Office Based MRIs per 1k</v>
      </c>
      <c r="B1888" t="s">
        <v>128</v>
      </c>
      <c r="C1888" t="s">
        <v>128</v>
      </c>
      <c r="D1888" t="s">
        <v>78</v>
      </c>
      <c r="E1888" s="1" t="s">
        <v>99</v>
      </c>
      <c r="F1888" t="s">
        <v>93</v>
      </c>
      <c r="G1888" t="s">
        <v>22</v>
      </c>
      <c r="H1888">
        <v>11</v>
      </c>
      <c r="I1888">
        <v>12</v>
      </c>
    </row>
    <row r="1889" spans="1:9" x14ac:dyDescent="0.25">
      <c r="A1889" s="5" t="str">
        <f>TrendSheetPrdData[[#This Row],[Population]]&amp;TrendSheetPrdData[[#This Row],[Cost Basis]]&amp;TrendSheetPrdData[[#This Row],[Period]]&amp;TrendSheetPrdData[[#This Row],[Trend]]</f>
        <v>MSSP_ATTRIBUTEDPaid2016-10-01Office Based MRIs per 1k</v>
      </c>
      <c r="B1889" t="s">
        <v>128</v>
      </c>
      <c r="C1889" t="s">
        <v>128</v>
      </c>
      <c r="D1889" t="s">
        <v>78</v>
      </c>
      <c r="E1889" s="1" t="s">
        <v>100</v>
      </c>
      <c r="F1889" t="s">
        <v>106</v>
      </c>
      <c r="G1889" t="s">
        <v>22</v>
      </c>
      <c r="H1889">
        <v>11</v>
      </c>
      <c r="I1889">
        <v>5</v>
      </c>
    </row>
    <row r="1890" spans="1:9" x14ac:dyDescent="0.25">
      <c r="A1890" s="5" t="str">
        <f>TrendSheetPrdData[[#This Row],[Population]]&amp;TrendSheetPrdData[[#This Row],[Cost Basis]]&amp;TrendSheetPrdData[[#This Row],[Period]]&amp;TrendSheetPrdData[[#This Row],[Trend]]</f>
        <v>MSSP_ATTRIBUTEDPaid2016-11-01Office Based MRIs per 1k</v>
      </c>
      <c r="B1890" t="s">
        <v>128</v>
      </c>
      <c r="C1890" t="s">
        <v>128</v>
      </c>
      <c r="D1890" t="s">
        <v>78</v>
      </c>
      <c r="E1890" s="1" t="s">
        <v>101</v>
      </c>
      <c r="F1890" t="s">
        <v>106</v>
      </c>
      <c r="G1890" t="s">
        <v>22</v>
      </c>
      <c r="H1890">
        <v>11</v>
      </c>
      <c r="I1890">
        <v>10</v>
      </c>
    </row>
    <row r="1891" spans="1:9" x14ac:dyDescent="0.25">
      <c r="A1891" s="5" t="str">
        <f>TrendSheetPrdData[[#This Row],[Population]]&amp;TrendSheetPrdData[[#This Row],[Cost Basis]]&amp;TrendSheetPrdData[[#This Row],[Period]]&amp;TrendSheetPrdData[[#This Row],[Trend]]</f>
        <v>MSSP_ATTRIBUTEDPaid2016-12-01Office Based MRIs per 1k</v>
      </c>
      <c r="B1891" t="s">
        <v>128</v>
      </c>
      <c r="C1891" t="s">
        <v>128</v>
      </c>
      <c r="D1891" t="s">
        <v>78</v>
      </c>
      <c r="E1891" s="1" t="s">
        <v>102</v>
      </c>
      <c r="F1891" t="s">
        <v>106</v>
      </c>
      <c r="G1891" t="s">
        <v>22</v>
      </c>
      <c r="H1891">
        <v>11</v>
      </c>
      <c r="I1891">
        <v>9</v>
      </c>
    </row>
    <row r="1892" spans="1:9" x14ac:dyDescent="0.25">
      <c r="A1892" s="5" t="str">
        <f>TrendSheetPrdData[[#This Row],[Population]]&amp;TrendSheetPrdData[[#This Row],[Cost Basis]]&amp;TrendSheetPrdData[[#This Row],[Period]]&amp;TrendSheetPrdData[[#This Row],[Trend]]</f>
        <v>MSSP_ATTRIBUTEDPaid2015-10-01Office Based CTs per 1k</v>
      </c>
      <c r="B1892" t="s">
        <v>128</v>
      </c>
      <c r="C1892" t="s">
        <v>128</v>
      </c>
      <c r="D1892" t="s">
        <v>78</v>
      </c>
      <c r="E1892" s="1" t="s">
        <v>134</v>
      </c>
      <c r="F1892" t="s">
        <v>93</v>
      </c>
      <c r="G1892" t="s">
        <v>23</v>
      </c>
      <c r="H1892">
        <v>12</v>
      </c>
      <c r="I1892">
        <v>4</v>
      </c>
    </row>
    <row r="1893" spans="1:9" x14ac:dyDescent="0.25">
      <c r="A1893" s="5" t="str">
        <f>TrendSheetPrdData[[#This Row],[Population]]&amp;TrendSheetPrdData[[#This Row],[Cost Basis]]&amp;TrendSheetPrdData[[#This Row],[Period]]&amp;TrendSheetPrdData[[#This Row],[Trend]]</f>
        <v>MSSP_ATTRIBUTEDPaid2015-11-01Office Based CTs per 1k</v>
      </c>
      <c r="B1893" t="s">
        <v>128</v>
      </c>
      <c r="C1893" t="s">
        <v>128</v>
      </c>
      <c r="D1893" t="s">
        <v>78</v>
      </c>
      <c r="E1893" s="1" t="s">
        <v>130</v>
      </c>
      <c r="F1893" t="s">
        <v>93</v>
      </c>
      <c r="G1893" t="s">
        <v>23</v>
      </c>
      <c r="H1893">
        <v>12</v>
      </c>
      <c r="I1893">
        <v>2</v>
      </c>
    </row>
    <row r="1894" spans="1:9" x14ac:dyDescent="0.25">
      <c r="A1894" s="5" t="str">
        <f>TrendSheetPrdData[[#This Row],[Population]]&amp;TrendSheetPrdData[[#This Row],[Cost Basis]]&amp;TrendSheetPrdData[[#This Row],[Period]]&amp;TrendSheetPrdData[[#This Row],[Trend]]</f>
        <v>MSSP_ATTRIBUTEDPaid2015-12-01Office Based CTs per 1k</v>
      </c>
      <c r="B1894" t="s">
        <v>128</v>
      </c>
      <c r="C1894" t="s">
        <v>128</v>
      </c>
      <c r="D1894" t="s">
        <v>78</v>
      </c>
      <c r="E1894" s="1" t="s">
        <v>131</v>
      </c>
      <c r="F1894" t="s">
        <v>93</v>
      </c>
      <c r="G1894" t="s">
        <v>23</v>
      </c>
      <c r="H1894">
        <v>12</v>
      </c>
      <c r="I1894">
        <v>3</v>
      </c>
    </row>
    <row r="1895" spans="1:9" x14ac:dyDescent="0.25">
      <c r="A1895" s="5" t="str">
        <f>TrendSheetPrdData[[#This Row],[Population]]&amp;TrendSheetPrdData[[#This Row],[Cost Basis]]&amp;TrendSheetPrdData[[#This Row],[Period]]&amp;TrendSheetPrdData[[#This Row],[Trend]]</f>
        <v>MSSP_ATTRIBUTEDPaid2016-01-01Office Based CTs per 1k</v>
      </c>
      <c r="B1895" t="s">
        <v>128</v>
      </c>
      <c r="C1895" t="s">
        <v>128</v>
      </c>
      <c r="D1895" t="s">
        <v>78</v>
      </c>
      <c r="E1895" s="1" t="s">
        <v>132</v>
      </c>
      <c r="F1895" t="s">
        <v>93</v>
      </c>
      <c r="G1895" t="s">
        <v>23</v>
      </c>
      <c r="H1895">
        <v>12</v>
      </c>
      <c r="I1895">
        <v>1</v>
      </c>
    </row>
    <row r="1896" spans="1:9" x14ac:dyDescent="0.25">
      <c r="A1896" s="5" t="str">
        <f>TrendSheetPrdData[[#This Row],[Population]]&amp;TrendSheetPrdData[[#This Row],[Cost Basis]]&amp;TrendSheetPrdData[[#This Row],[Period]]&amp;TrendSheetPrdData[[#This Row],[Trend]]</f>
        <v>MSSP_ATTRIBUTEDPaid2016-02-01Office Based CTs per 1k</v>
      </c>
      <c r="B1896" t="s">
        <v>128</v>
      </c>
      <c r="C1896" t="s">
        <v>128</v>
      </c>
      <c r="D1896" t="s">
        <v>78</v>
      </c>
      <c r="E1896" s="1" t="s">
        <v>133</v>
      </c>
      <c r="F1896" t="s">
        <v>93</v>
      </c>
      <c r="G1896" t="s">
        <v>23</v>
      </c>
      <c r="H1896">
        <v>12</v>
      </c>
      <c r="I1896">
        <v>4</v>
      </c>
    </row>
    <row r="1897" spans="1:9" x14ac:dyDescent="0.25">
      <c r="A1897" s="5" t="str">
        <f>TrendSheetPrdData[[#This Row],[Population]]&amp;TrendSheetPrdData[[#This Row],[Cost Basis]]&amp;TrendSheetPrdData[[#This Row],[Period]]&amp;TrendSheetPrdData[[#This Row],[Trend]]</f>
        <v>MSSP_ATTRIBUTEDPaid2016-03-01Office Based CTs per 1k</v>
      </c>
      <c r="B1897" t="s">
        <v>128</v>
      </c>
      <c r="C1897" t="s">
        <v>128</v>
      </c>
      <c r="D1897" t="s">
        <v>78</v>
      </c>
      <c r="E1897" s="1" t="s">
        <v>92</v>
      </c>
      <c r="F1897" t="s">
        <v>93</v>
      </c>
      <c r="G1897" t="s">
        <v>23</v>
      </c>
      <c r="H1897">
        <v>12</v>
      </c>
      <c r="I1897">
        <v>1</v>
      </c>
    </row>
    <row r="1898" spans="1:9" x14ac:dyDescent="0.25">
      <c r="A1898" s="5" t="str">
        <f>TrendSheetPrdData[[#This Row],[Population]]&amp;TrendSheetPrdData[[#This Row],[Cost Basis]]&amp;TrendSheetPrdData[[#This Row],[Period]]&amp;TrendSheetPrdData[[#This Row],[Trend]]</f>
        <v>MSSP_ATTRIBUTEDPaid2016-04-01Office Based CTs per 1k</v>
      </c>
      <c r="B1898" t="s">
        <v>128</v>
      </c>
      <c r="C1898" t="s">
        <v>128</v>
      </c>
      <c r="D1898" t="s">
        <v>78</v>
      </c>
      <c r="E1898" s="1" t="s">
        <v>94</v>
      </c>
      <c r="F1898" t="s">
        <v>93</v>
      </c>
      <c r="G1898" t="s">
        <v>23</v>
      </c>
      <c r="H1898">
        <v>12</v>
      </c>
      <c r="I1898">
        <v>0</v>
      </c>
    </row>
    <row r="1899" spans="1:9" x14ac:dyDescent="0.25">
      <c r="A1899" s="5" t="str">
        <f>TrendSheetPrdData[[#This Row],[Population]]&amp;TrendSheetPrdData[[#This Row],[Cost Basis]]&amp;TrendSheetPrdData[[#This Row],[Period]]&amp;TrendSheetPrdData[[#This Row],[Trend]]</f>
        <v>MSSP_ATTRIBUTEDPaid2016-05-01Office Based CTs per 1k</v>
      </c>
      <c r="B1899" t="s">
        <v>128</v>
      </c>
      <c r="C1899" t="s">
        <v>128</v>
      </c>
      <c r="D1899" t="s">
        <v>78</v>
      </c>
      <c r="E1899" s="1" t="s">
        <v>95</v>
      </c>
      <c r="F1899" t="s">
        <v>93</v>
      </c>
      <c r="G1899" t="s">
        <v>23</v>
      </c>
      <c r="H1899">
        <v>12</v>
      </c>
      <c r="I1899">
        <v>5</v>
      </c>
    </row>
    <row r="1900" spans="1:9" x14ac:dyDescent="0.25">
      <c r="A1900" s="5" t="str">
        <f>TrendSheetPrdData[[#This Row],[Population]]&amp;TrendSheetPrdData[[#This Row],[Cost Basis]]&amp;TrendSheetPrdData[[#This Row],[Period]]&amp;TrendSheetPrdData[[#This Row],[Trend]]</f>
        <v>MSSP_ATTRIBUTEDPaid2016-06-01Office Based CTs per 1k</v>
      </c>
      <c r="B1900" t="s">
        <v>128</v>
      </c>
      <c r="C1900" t="s">
        <v>128</v>
      </c>
      <c r="D1900" t="s">
        <v>78</v>
      </c>
      <c r="E1900" s="1" t="s">
        <v>96</v>
      </c>
      <c r="F1900" t="s">
        <v>93</v>
      </c>
      <c r="G1900" t="s">
        <v>23</v>
      </c>
      <c r="H1900">
        <v>12</v>
      </c>
      <c r="I1900">
        <v>2</v>
      </c>
    </row>
    <row r="1901" spans="1:9" x14ac:dyDescent="0.25">
      <c r="A1901" s="5" t="str">
        <f>TrendSheetPrdData[[#This Row],[Population]]&amp;TrendSheetPrdData[[#This Row],[Cost Basis]]&amp;TrendSheetPrdData[[#This Row],[Period]]&amp;TrendSheetPrdData[[#This Row],[Trend]]</f>
        <v>MSSP_ATTRIBUTEDPaid2016-07-01Office Based CTs per 1k</v>
      </c>
      <c r="B1901" t="s">
        <v>128</v>
      </c>
      <c r="C1901" t="s">
        <v>128</v>
      </c>
      <c r="D1901" t="s">
        <v>78</v>
      </c>
      <c r="E1901" s="1" t="s">
        <v>97</v>
      </c>
      <c r="F1901" t="s">
        <v>93</v>
      </c>
      <c r="G1901" t="s">
        <v>23</v>
      </c>
      <c r="H1901">
        <v>12</v>
      </c>
      <c r="I1901">
        <v>1</v>
      </c>
    </row>
    <row r="1902" spans="1:9" x14ac:dyDescent="0.25">
      <c r="A1902" s="5" t="str">
        <f>TrendSheetPrdData[[#This Row],[Population]]&amp;TrendSheetPrdData[[#This Row],[Cost Basis]]&amp;TrendSheetPrdData[[#This Row],[Period]]&amp;TrendSheetPrdData[[#This Row],[Trend]]</f>
        <v>MSSP_ATTRIBUTEDPaid2016-08-01Office Based CTs per 1k</v>
      </c>
      <c r="B1902" t="s">
        <v>128</v>
      </c>
      <c r="C1902" t="s">
        <v>128</v>
      </c>
      <c r="D1902" t="s">
        <v>78</v>
      </c>
      <c r="E1902" s="1" t="s">
        <v>98</v>
      </c>
      <c r="F1902" t="s">
        <v>93</v>
      </c>
      <c r="G1902" t="s">
        <v>23</v>
      </c>
      <c r="H1902">
        <v>12</v>
      </c>
      <c r="I1902">
        <v>3</v>
      </c>
    </row>
    <row r="1903" spans="1:9" x14ac:dyDescent="0.25">
      <c r="A1903" s="5" t="str">
        <f>TrendSheetPrdData[[#This Row],[Population]]&amp;TrendSheetPrdData[[#This Row],[Cost Basis]]&amp;TrendSheetPrdData[[#This Row],[Period]]&amp;TrendSheetPrdData[[#This Row],[Trend]]</f>
        <v>MSSP_ATTRIBUTEDPaid2016-09-01Office Based CTs per 1k</v>
      </c>
      <c r="B1903" t="s">
        <v>128</v>
      </c>
      <c r="C1903" t="s">
        <v>128</v>
      </c>
      <c r="D1903" t="s">
        <v>78</v>
      </c>
      <c r="E1903" s="1" t="s">
        <v>99</v>
      </c>
      <c r="F1903" t="s">
        <v>93</v>
      </c>
      <c r="G1903" t="s">
        <v>23</v>
      </c>
      <c r="H1903">
        <v>12</v>
      </c>
      <c r="I1903">
        <v>0</v>
      </c>
    </row>
    <row r="1904" spans="1:9" x14ac:dyDescent="0.25">
      <c r="A1904" s="5" t="str">
        <f>TrendSheetPrdData[[#This Row],[Population]]&amp;TrendSheetPrdData[[#This Row],[Cost Basis]]&amp;TrendSheetPrdData[[#This Row],[Period]]&amp;TrendSheetPrdData[[#This Row],[Trend]]</f>
        <v>MSSP_ATTRIBUTEDPaid2016-10-01Office Based CTs per 1k</v>
      </c>
      <c r="B1904" t="s">
        <v>128</v>
      </c>
      <c r="C1904" t="s">
        <v>128</v>
      </c>
      <c r="D1904" t="s">
        <v>78</v>
      </c>
      <c r="E1904" s="1" t="s">
        <v>100</v>
      </c>
      <c r="F1904" t="s">
        <v>106</v>
      </c>
      <c r="G1904" t="s">
        <v>23</v>
      </c>
      <c r="H1904">
        <v>12</v>
      </c>
      <c r="I1904">
        <v>1</v>
      </c>
    </row>
    <row r="1905" spans="1:9" x14ac:dyDescent="0.25">
      <c r="A1905" s="5" t="str">
        <f>TrendSheetPrdData[[#This Row],[Population]]&amp;TrendSheetPrdData[[#This Row],[Cost Basis]]&amp;TrendSheetPrdData[[#This Row],[Period]]&amp;TrendSheetPrdData[[#This Row],[Trend]]</f>
        <v>MSSP_ATTRIBUTEDPaid2016-11-01Office Based CTs per 1k</v>
      </c>
      <c r="B1905" t="s">
        <v>128</v>
      </c>
      <c r="C1905" t="s">
        <v>128</v>
      </c>
      <c r="D1905" t="s">
        <v>78</v>
      </c>
      <c r="E1905" s="1" t="s">
        <v>101</v>
      </c>
      <c r="F1905" t="s">
        <v>106</v>
      </c>
      <c r="G1905" t="s">
        <v>23</v>
      </c>
      <c r="H1905">
        <v>12</v>
      </c>
      <c r="I1905">
        <v>2</v>
      </c>
    </row>
    <row r="1906" spans="1:9" x14ac:dyDescent="0.25">
      <c r="A1906" s="5" t="str">
        <f>TrendSheetPrdData[[#This Row],[Population]]&amp;TrendSheetPrdData[[#This Row],[Cost Basis]]&amp;TrendSheetPrdData[[#This Row],[Period]]&amp;TrendSheetPrdData[[#This Row],[Trend]]</f>
        <v>MSSP_ATTRIBUTEDPaid2016-12-01Office Based CTs per 1k</v>
      </c>
      <c r="B1906" t="s">
        <v>128</v>
      </c>
      <c r="C1906" t="s">
        <v>128</v>
      </c>
      <c r="D1906" t="s">
        <v>78</v>
      </c>
      <c r="E1906" s="1" t="s">
        <v>102</v>
      </c>
      <c r="F1906" t="s">
        <v>106</v>
      </c>
      <c r="G1906" t="s">
        <v>23</v>
      </c>
      <c r="H1906">
        <v>12</v>
      </c>
      <c r="I1906">
        <v>1</v>
      </c>
    </row>
    <row r="1907" spans="1:9" x14ac:dyDescent="0.25">
      <c r="A1907" s="5" t="str">
        <f>TrendSheetPrdData[[#This Row],[Population]]&amp;TrendSheetPrdData[[#This Row],[Cost Basis]]&amp;TrendSheetPrdData[[#This Row],[Period]]&amp;TrendSheetPrdData[[#This Row],[Trend]]</f>
        <v>MSSP_ATTRIBUTEDPaid2015-10-01ED Cost</v>
      </c>
      <c r="B1907" t="s">
        <v>128</v>
      </c>
      <c r="C1907" t="s">
        <v>128</v>
      </c>
      <c r="D1907" t="s">
        <v>78</v>
      </c>
      <c r="E1907" s="1" t="s">
        <v>134</v>
      </c>
      <c r="F1907" t="s">
        <v>93</v>
      </c>
      <c r="G1907" t="s">
        <v>24</v>
      </c>
      <c r="H1907">
        <v>13</v>
      </c>
      <c r="I1907">
        <v>269861</v>
      </c>
    </row>
    <row r="1908" spans="1:9" x14ac:dyDescent="0.25">
      <c r="A1908" s="5" t="str">
        <f>TrendSheetPrdData[[#This Row],[Population]]&amp;TrendSheetPrdData[[#This Row],[Cost Basis]]&amp;TrendSheetPrdData[[#This Row],[Period]]&amp;TrendSheetPrdData[[#This Row],[Trend]]</f>
        <v>MSSP_ATTRIBUTEDPaid2015-11-01ED Cost</v>
      </c>
      <c r="B1908" t="s">
        <v>128</v>
      </c>
      <c r="C1908" t="s">
        <v>128</v>
      </c>
      <c r="D1908" t="s">
        <v>78</v>
      </c>
      <c r="E1908" s="1" t="s">
        <v>130</v>
      </c>
      <c r="F1908" t="s">
        <v>93</v>
      </c>
      <c r="G1908" t="s">
        <v>24</v>
      </c>
      <c r="H1908">
        <v>13</v>
      </c>
      <c r="I1908">
        <v>272419</v>
      </c>
    </row>
    <row r="1909" spans="1:9" x14ac:dyDescent="0.25">
      <c r="A1909" s="5" t="str">
        <f>TrendSheetPrdData[[#This Row],[Population]]&amp;TrendSheetPrdData[[#This Row],[Cost Basis]]&amp;TrendSheetPrdData[[#This Row],[Period]]&amp;TrendSheetPrdData[[#This Row],[Trend]]</f>
        <v>MSSP_ATTRIBUTEDPaid2015-12-01ED Cost</v>
      </c>
      <c r="B1909" t="s">
        <v>128</v>
      </c>
      <c r="C1909" t="s">
        <v>128</v>
      </c>
      <c r="D1909" t="s">
        <v>78</v>
      </c>
      <c r="E1909" s="1" t="s">
        <v>131</v>
      </c>
      <c r="F1909" t="s">
        <v>93</v>
      </c>
      <c r="G1909" t="s">
        <v>24</v>
      </c>
      <c r="H1909">
        <v>13</v>
      </c>
      <c r="I1909">
        <v>284979</v>
      </c>
    </row>
    <row r="1910" spans="1:9" x14ac:dyDescent="0.25">
      <c r="A1910" s="5" t="str">
        <f>TrendSheetPrdData[[#This Row],[Population]]&amp;TrendSheetPrdData[[#This Row],[Cost Basis]]&amp;TrendSheetPrdData[[#This Row],[Period]]&amp;TrendSheetPrdData[[#This Row],[Trend]]</f>
        <v>MSSP_ATTRIBUTEDPaid2016-01-01ED Cost</v>
      </c>
      <c r="B1910" t="s">
        <v>128</v>
      </c>
      <c r="C1910" t="s">
        <v>128</v>
      </c>
      <c r="D1910" t="s">
        <v>78</v>
      </c>
      <c r="E1910" s="1" t="s">
        <v>132</v>
      </c>
      <c r="F1910" t="s">
        <v>93</v>
      </c>
      <c r="G1910" t="s">
        <v>24</v>
      </c>
      <c r="H1910">
        <v>13</v>
      </c>
      <c r="I1910">
        <v>258125</v>
      </c>
    </row>
    <row r="1911" spans="1:9" x14ac:dyDescent="0.25">
      <c r="A1911" s="5" t="str">
        <f>TrendSheetPrdData[[#This Row],[Population]]&amp;TrendSheetPrdData[[#This Row],[Cost Basis]]&amp;TrendSheetPrdData[[#This Row],[Period]]&amp;TrendSheetPrdData[[#This Row],[Trend]]</f>
        <v>MSSP_ATTRIBUTEDPaid2016-02-01ED Cost</v>
      </c>
      <c r="B1911" t="s">
        <v>128</v>
      </c>
      <c r="C1911" t="s">
        <v>128</v>
      </c>
      <c r="D1911" t="s">
        <v>78</v>
      </c>
      <c r="E1911" s="1" t="s">
        <v>133</v>
      </c>
      <c r="F1911" t="s">
        <v>93</v>
      </c>
      <c r="G1911" t="s">
        <v>24</v>
      </c>
      <c r="H1911">
        <v>13</v>
      </c>
      <c r="I1911">
        <v>246310</v>
      </c>
    </row>
    <row r="1912" spans="1:9" x14ac:dyDescent="0.25">
      <c r="A1912" s="5" t="str">
        <f>TrendSheetPrdData[[#This Row],[Population]]&amp;TrendSheetPrdData[[#This Row],[Cost Basis]]&amp;TrendSheetPrdData[[#This Row],[Period]]&amp;TrendSheetPrdData[[#This Row],[Trend]]</f>
        <v>MSSP_ATTRIBUTEDPaid2016-03-01ED Cost</v>
      </c>
      <c r="B1912" t="s">
        <v>128</v>
      </c>
      <c r="C1912" t="s">
        <v>128</v>
      </c>
      <c r="D1912" t="s">
        <v>78</v>
      </c>
      <c r="E1912" s="1" t="s">
        <v>92</v>
      </c>
      <c r="F1912" t="s">
        <v>93</v>
      </c>
      <c r="G1912" t="s">
        <v>24</v>
      </c>
      <c r="H1912">
        <v>13</v>
      </c>
      <c r="I1912">
        <v>281307</v>
      </c>
    </row>
    <row r="1913" spans="1:9" x14ac:dyDescent="0.25">
      <c r="A1913" s="5" t="str">
        <f>TrendSheetPrdData[[#This Row],[Population]]&amp;TrendSheetPrdData[[#This Row],[Cost Basis]]&amp;TrendSheetPrdData[[#This Row],[Period]]&amp;TrendSheetPrdData[[#This Row],[Trend]]</f>
        <v>MSSP_ATTRIBUTEDPaid2016-04-01ED Cost</v>
      </c>
      <c r="B1913" t="s">
        <v>128</v>
      </c>
      <c r="C1913" t="s">
        <v>128</v>
      </c>
      <c r="D1913" t="s">
        <v>78</v>
      </c>
      <c r="E1913" s="1" t="s">
        <v>94</v>
      </c>
      <c r="F1913" t="s">
        <v>93</v>
      </c>
      <c r="G1913" t="s">
        <v>24</v>
      </c>
      <c r="H1913">
        <v>13</v>
      </c>
      <c r="I1913">
        <v>267729</v>
      </c>
    </row>
    <row r="1914" spans="1:9" x14ac:dyDescent="0.25">
      <c r="A1914" s="5" t="str">
        <f>TrendSheetPrdData[[#This Row],[Population]]&amp;TrendSheetPrdData[[#This Row],[Cost Basis]]&amp;TrendSheetPrdData[[#This Row],[Period]]&amp;TrendSheetPrdData[[#This Row],[Trend]]</f>
        <v>MSSP_ATTRIBUTEDPaid2016-05-01ED Cost</v>
      </c>
      <c r="B1914" t="s">
        <v>128</v>
      </c>
      <c r="C1914" t="s">
        <v>128</v>
      </c>
      <c r="D1914" t="s">
        <v>78</v>
      </c>
      <c r="E1914" s="1" t="s">
        <v>95</v>
      </c>
      <c r="F1914" t="s">
        <v>93</v>
      </c>
      <c r="G1914" t="s">
        <v>24</v>
      </c>
      <c r="H1914">
        <v>13</v>
      </c>
      <c r="I1914">
        <v>280135</v>
      </c>
    </row>
    <row r="1915" spans="1:9" x14ac:dyDescent="0.25">
      <c r="A1915" s="5" t="str">
        <f>TrendSheetPrdData[[#This Row],[Population]]&amp;TrendSheetPrdData[[#This Row],[Cost Basis]]&amp;TrendSheetPrdData[[#This Row],[Period]]&amp;TrendSheetPrdData[[#This Row],[Trend]]</f>
        <v>MSSP_ATTRIBUTEDPaid2016-06-01ED Cost</v>
      </c>
      <c r="B1915" t="s">
        <v>128</v>
      </c>
      <c r="C1915" t="s">
        <v>128</v>
      </c>
      <c r="D1915" t="s">
        <v>78</v>
      </c>
      <c r="E1915" s="1" t="s">
        <v>96</v>
      </c>
      <c r="F1915" t="s">
        <v>93</v>
      </c>
      <c r="G1915" t="s">
        <v>24</v>
      </c>
      <c r="H1915">
        <v>13</v>
      </c>
      <c r="I1915">
        <v>282091</v>
      </c>
    </row>
    <row r="1916" spans="1:9" x14ac:dyDescent="0.25">
      <c r="A1916" s="5" t="str">
        <f>TrendSheetPrdData[[#This Row],[Population]]&amp;TrendSheetPrdData[[#This Row],[Cost Basis]]&amp;TrendSheetPrdData[[#This Row],[Period]]&amp;TrendSheetPrdData[[#This Row],[Trend]]</f>
        <v>MSSP_ATTRIBUTEDPaid2016-07-01ED Cost</v>
      </c>
      <c r="B1916" t="s">
        <v>128</v>
      </c>
      <c r="C1916" t="s">
        <v>128</v>
      </c>
      <c r="D1916" t="s">
        <v>78</v>
      </c>
      <c r="E1916" s="1" t="s">
        <v>97</v>
      </c>
      <c r="F1916" t="s">
        <v>93</v>
      </c>
      <c r="G1916" t="s">
        <v>24</v>
      </c>
      <c r="H1916">
        <v>13</v>
      </c>
      <c r="I1916">
        <v>276465</v>
      </c>
    </row>
    <row r="1917" spans="1:9" x14ac:dyDescent="0.25">
      <c r="A1917" s="5" t="str">
        <f>TrendSheetPrdData[[#This Row],[Population]]&amp;TrendSheetPrdData[[#This Row],[Cost Basis]]&amp;TrendSheetPrdData[[#This Row],[Period]]&amp;TrendSheetPrdData[[#This Row],[Trend]]</f>
        <v>MSSP_ATTRIBUTEDPaid2016-08-01ED Cost</v>
      </c>
      <c r="B1917" t="s">
        <v>128</v>
      </c>
      <c r="C1917" t="s">
        <v>128</v>
      </c>
      <c r="D1917" t="s">
        <v>78</v>
      </c>
      <c r="E1917" s="1" t="s">
        <v>98</v>
      </c>
      <c r="F1917" t="s">
        <v>93</v>
      </c>
      <c r="G1917" t="s">
        <v>24</v>
      </c>
      <c r="H1917">
        <v>13</v>
      </c>
      <c r="I1917">
        <v>291895</v>
      </c>
    </row>
    <row r="1918" spans="1:9" x14ac:dyDescent="0.25">
      <c r="A1918" s="5" t="str">
        <f>TrendSheetPrdData[[#This Row],[Population]]&amp;TrendSheetPrdData[[#This Row],[Cost Basis]]&amp;TrendSheetPrdData[[#This Row],[Period]]&amp;TrendSheetPrdData[[#This Row],[Trend]]</f>
        <v>MSSP_ATTRIBUTEDPaid2016-09-01ED Cost</v>
      </c>
      <c r="B1918" t="s">
        <v>128</v>
      </c>
      <c r="C1918" t="s">
        <v>128</v>
      </c>
      <c r="D1918" t="s">
        <v>78</v>
      </c>
      <c r="E1918" s="1" t="s">
        <v>99</v>
      </c>
      <c r="F1918" t="s">
        <v>93</v>
      </c>
      <c r="G1918" t="s">
        <v>24</v>
      </c>
      <c r="H1918">
        <v>13</v>
      </c>
      <c r="I1918">
        <v>281168</v>
      </c>
    </row>
    <row r="1919" spans="1:9" x14ac:dyDescent="0.25">
      <c r="A1919" s="5" t="str">
        <f>TrendSheetPrdData[[#This Row],[Population]]&amp;TrendSheetPrdData[[#This Row],[Cost Basis]]&amp;TrendSheetPrdData[[#This Row],[Period]]&amp;TrendSheetPrdData[[#This Row],[Trend]]</f>
        <v>MSSP_ATTRIBUTEDPaid2016-10-01ED Cost</v>
      </c>
      <c r="B1919" t="s">
        <v>128</v>
      </c>
      <c r="C1919" t="s">
        <v>128</v>
      </c>
      <c r="D1919" t="s">
        <v>78</v>
      </c>
      <c r="E1919" s="1" t="s">
        <v>100</v>
      </c>
      <c r="F1919" t="s">
        <v>106</v>
      </c>
      <c r="G1919" t="s">
        <v>24</v>
      </c>
      <c r="H1919">
        <v>13</v>
      </c>
      <c r="I1919">
        <v>268514</v>
      </c>
    </row>
    <row r="1920" spans="1:9" x14ac:dyDescent="0.25">
      <c r="A1920" s="5" t="str">
        <f>TrendSheetPrdData[[#This Row],[Population]]&amp;TrendSheetPrdData[[#This Row],[Cost Basis]]&amp;TrendSheetPrdData[[#This Row],[Period]]&amp;TrendSheetPrdData[[#This Row],[Trend]]</f>
        <v>MSSP_ATTRIBUTEDPaid2016-11-01ED Cost</v>
      </c>
      <c r="B1920" t="s">
        <v>128</v>
      </c>
      <c r="C1920" t="s">
        <v>128</v>
      </c>
      <c r="D1920" t="s">
        <v>78</v>
      </c>
      <c r="E1920" s="1" t="s">
        <v>101</v>
      </c>
      <c r="F1920" t="s">
        <v>106</v>
      </c>
      <c r="G1920" t="s">
        <v>24</v>
      </c>
      <c r="H1920">
        <v>13</v>
      </c>
      <c r="I1920">
        <v>235514</v>
      </c>
    </row>
    <row r="1921" spans="1:9" x14ac:dyDescent="0.25">
      <c r="A1921" s="5" t="str">
        <f>TrendSheetPrdData[[#This Row],[Population]]&amp;TrendSheetPrdData[[#This Row],[Cost Basis]]&amp;TrendSheetPrdData[[#This Row],[Period]]&amp;TrendSheetPrdData[[#This Row],[Trend]]</f>
        <v>MSSP_ATTRIBUTEDPaid2016-12-01ED Cost</v>
      </c>
      <c r="B1921" t="s">
        <v>128</v>
      </c>
      <c r="C1921" t="s">
        <v>128</v>
      </c>
      <c r="D1921" t="s">
        <v>78</v>
      </c>
      <c r="E1921" s="1" t="s">
        <v>102</v>
      </c>
      <c r="F1921" t="s">
        <v>106</v>
      </c>
      <c r="G1921" t="s">
        <v>24</v>
      </c>
      <c r="H1921">
        <v>13</v>
      </c>
      <c r="I1921">
        <v>66740</v>
      </c>
    </row>
    <row r="1922" spans="1:9" x14ac:dyDescent="0.25">
      <c r="A1922" s="5" t="str">
        <f>TrendSheetPrdData[[#This Row],[Population]]&amp;TrendSheetPrdData[[#This Row],[Cost Basis]]&amp;TrendSheetPrdData[[#This Row],[Period]]&amp;TrendSheetPrdData[[#This Row],[Trend]]</f>
        <v>MSSP_ATTRIBUTEDPaid2015-10-01ED Utilization</v>
      </c>
      <c r="B1922" t="s">
        <v>128</v>
      </c>
      <c r="C1922" t="s">
        <v>128</v>
      </c>
      <c r="D1922" t="s">
        <v>78</v>
      </c>
      <c r="E1922" s="1" t="s">
        <v>134</v>
      </c>
      <c r="F1922" t="s">
        <v>93</v>
      </c>
      <c r="G1922" t="s">
        <v>25</v>
      </c>
      <c r="H1922">
        <v>14</v>
      </c>
      <c r="I1922">
        <v>444</v>
      </c>
    </row>
    <row r="1923" spans="1:9" x14ac:dyDescent="0.25">
      <c r="A1923" s="5" t="str">
        <f>TrendSheetPrdData[[#This Row],[Population]]&amp;TrendSheetPrdData[[#This Row],[Cost Basis]]&amp;TrendSheetPrdData[[#This Row],[Period]]&amp;TrendSheetPrdData[[#This Row],[Trend]]</f>
        <v>MSSP_ATTRIBUTEDPaid2015-11-01ED Utilization</v>
      </c>
      <c r="B1923" t="s">
        <v>128</v>
      </c>
      <c r="C1923" t="s">
        <v>128</v>
      </c>
      <c r="D1923" t="s">
        <v>78</v>
      </c>
      <c r="E1923" s="1" t="s">
        <v>130</v>
      </c>
      <c r="F1923" t="s">
        <v>93</v>
      </c>
      <c r="G1923" t="s">
        <v>25</v>
      </c>
      <c r="H1923">
        <v>14</v>
      </c>
      <c r="I1923">
        <v>453</v>
      </c>
    </row>
    <row r="1924" spans="1:9" x14ac:dyDescent="0.25">
      <c r="A1924" s="5" t="str">
        <f>TrendSheetPrdData[[#This Row],[Population]]&amp;TrendSheetPrdData[[#This Row],[Cost Basis]]&amp;TrendSheetPrdData[[#This Row],[Period]]&amp;TrendSheetPrdData[[#This Row],[Trend]]</f>
        <v>MSSP_ATTRIBUTEDPaid2015-12-01ED Utilization</v>
      </c>
      <c r="B1924" t="s">
        <v>128</v>
      </c>
      <c r="C1924" t="s">
        <v>128</v>
      </c>
      <c r="D1924" t="s">
        <v>78</v>
      </c>
      <c r="E1924" s="1" t="s">
        <v>131</v>
      </c>
      <c r="F1924" t="s">
        <v>93</v>
      </c>
      <c r="G1924" t="s">
        <v>25</v>
      </c>
      <c r="H1924">
        <v>14</v>
      </c>
      <c r="I1924">
        <v>492</v>
      </c>
    </row>
    <row r="1925" spans="1:9" x14ac:dyDescent="0.25">
      <c r="A1925" s="5" t="str">
        <f>TrendSheetPrdData[[#This Row],[Population]]&amp;TrendSheetPrdData[[#This Row],[Cost Basis]]&amp;TrendSheetPrdData[[#This Row],[Period]]&amp;TrendSheetPrdData[[#This Row],[Trend]]</f>
        <v>MSSP_ATTRIBUTEDPaid2016-01-01ED Utilization</v>
      </c>
      <c r="B1925" t="s">
        <v>128</v>
      </c>
      <c r="C1925" t="s">
        <v>128</v>
      </c>
      <c r="D1925" t="s">
        <v>78</v>
      </c>
      <c r="E1925" s="1" t="s">
        <v>132</v>
      </c>
      <c r="F1925" t="s">
        <v>93</v>
      </c>
      <c r="G1925" t="s">
        <v>25</v>
      </c>
      <c r="H1925">
        <v>14</v>
      </c>
      <c r="I1925">
        <v>471</v>
      </c>
    </row>
    <row r="1926" spans="1:9" x14ac:dyDescent="0.25">
      <c r="A1926" s="5" t="str">
        <f>TrendSheetPrdData[[#This Row],[Population]]&amp;TrendSheetPrdData[[#This Row],[Cost Basis]]&amp;TrendSheetPrdData[[#This Row],[Period]]&amp;TrendSheetPrdData[[#This Row],[Trend]]</f>
        <v>MSSP_ATTRIBUTEDPaid2016-02-01ED Utilization</v>
      </c>
      <c r="B1926" t="s">
        <v>128</v>
      </c>
      <c r="C1926" t="s">
        <v>128</v>
      </c>
      <c r="D1926" t="s">
        <v>78</v>
      </c>
      <c r="E1926" s="1" t="s">
        <v>133</v>
      </c>
      <c r="F1926" t="s">
        <v>93</v>
      </c>
      <c r="G1926" t="s">
        <v>25</v>
      </c>
      <c r="H1926">
        <v>14</v>
      </c>
      <c r="I1926">
        <v>437</v>
      </c>
    </row>
    <row r="1927" spans="1:9" x14ac:dyDescent="0.25">
      <c r="A1927" s="5" t="str">
        <f>TrendSheetPrdData[[#This Row],[Population]]&amp;TrendSheetPrdData[[#This Row],[Cost Basis]]&amp;TrendSheetPrdData[[#This Row],[Period]]&amp;TrendSheetPrdData[[#This Row],[Trend]]</f>
        <v>MSSP_ATTRIBUTEDPaid2016-03-01ED Utilization</v>
      </c>
      <c r="B1927" t="s">
        <v>128</v>
      </c>
      <c r="C1927" t="s">
        <v>128</v>
      </c>
      <c r="D1927" t="s">
        <v>78</v>
      </c>
      <c r="E1927" s="1" t="s">
        <v>92</v>
      </c>
      <c r="F1927" t="s">
        <v>93</v>
      </c>
      <c r="G1927" t="s">
        <v>25</v>
      </c>
      <c r="H1927">
        <v>14</v>
      </c>
      <c r="I1927">
        <v>471</v>
      </c>
    </row>
    <row r="1928" spans="1:9" x14ac:dyDescent="0.25">
      <c r="A1928" s="5" t="str">
        <f>TrendSheetPrdData[[#This Row],[Population]]&amp;TrendSheetPrdData[[#This Row],[Cost Basis]]&amp;TrendSheetPrdData[[#This Row],[Period]]&amp;TrendSheetPrdData[[#This Row],[Trend]]</f>
        <v>MSSP_ATTRIBUTEDPaid2016-04-01ED Utilization</v>
      </c>
      <c r="B1928" t="s">
        <v>128</v>
      </c>
      <c r="C1928" t="s">
        <v>128</v>
      </c>
      <c r="D1928" t="s">
        <v>78</v>
      </c>
      <c r="E1928" s="1" t="s">
        <v>94</v>
      </c>
      <c r="F1928" t="s">
        <v>93</v>
      </c>
      <c r="G1928" t="s">
        <v>25</v>
      </c>
      <c r="H1928">
        <v>14</v>
      </c>
      <c r="I1928">
        <v>491</v>
      </c>
    </row>
    <row r="1929" spans="1:9" x14ac:dyDescent="0.25">
      <c r="A1929" s="5" t="str">
        <f>TrendSheetPrdData[[#This Row],[Population]]&amp;TrendSheetPrdData[[#This Row],[Cost Basis]]&amp;TrendSheetPrdData[[#This Row],[Period]]&amp;TrendSheetPrdData[[#This Row],[Trend]]</f>
        <v>MSSP_ATTRIBUTEDPaid2016-05-01ED Utilization</v>
      </c>
      <c r="B1929" t="s">
        <v>128</v>
      </c>
      <c r="C1929" t="s">
        <v>128</v>
      </c>
      <c r="D1929" t="s">
        <v>78</v>
      </c>
      <c r="E1929" s="1" t="s">
        <v>95</v>
      </c>
      <c r="F1929" t="s">
        <v>93</v>
      </c>
      <c r="G1929" t="s">
        <v>25</v>
      </c>
      <c r="H1929">
        <v>14</v>
      </c>
      <c r="I1929">
        <v>505</v>
      </c>
    </row>
    <row r="1930" spans="1:9" x14ac:dyDescent="0.25">
      <c r="A1930" s="5" t="str">
        <f>TrendSheetPrdData[[#This Row],[Population]]&amp;TrendSheetPrdData[[#This Row],[Cost Basis]]&amp;TrendSheetPrdData[[#This Row],[Period]]&amp;TrendSheetPrdData[[#This Row],[Trend]]</f>
        <v>MSSP_ATTRIBUTEDPaid2016-06-01ED Utilization</v>
      </c>
      <c r="B1930" t="s">
        <v>128</v>
      </c>
      <c r="C1930" t="s">
        <v>128</v>
      </c>
      <c r="D1930" t="s">
        <v>78</v>
      </c>
      <c r="E1930" s="1" t="s">
        <v>96</v>
      </c>
      <c r="F1930" t="s">
        <v>93</v>
      </c>
      <c r="G1930" t="s">
        <v>25</v>
      </c>
      <c r="H1930">
        <v>14</v>
      </c>
      <c r="I1930">
        <v>477</v>
      </c>
    </row>
    <row r="1931" spans="1:9" x14ac:dyDescent="0.25">
      <c r="A1931" s="5" t="str">
        <f>TrendSheetPrdData[[#This Row],[Population]]&amp;TrendSheetPrdData[[#This Row],[Cost Basis]]&amp;TrendSheetPrdData[[#This Row],[Period]]&amp;TrendSheetPrdData[[#This Row],[Trend]]</f>
        <v>MSSP_ATTRIBUTEDPaid2016-07-01ED Utilization</v>
      </c>
      <c r="B1931" t="s">
        <v>128</v>
      </c>
      <c r="C1931" t="s">
        <v>128</v>
      </c>
      <c r="D1931" t="s">
        <v>78</v>
      </c>
      <c r="E1931" s="1" t="s">
        <v>97</v>
      </c>
      <c r="F1931" t="s">
        <v>93</v>
      </c>
      <c r="G1931" t="s">
        <v>25</v>
      </c>
      <c r="H1931">
        <v>14</v>
      </c>
      <c r="I1931">
        <v>515</v>
      </c>
    </row>
    <row r="1932" spans="1:9" x14ac:dyDescent="0.25">
      <c r="A1932" s="5" t="str">
        <f>TrendSheetPrdData[[#This Row],[Population]]&amp;TrendSheetPrdData[[#This Row],[Cost Basis]]&amp;TrendSheetPrdData[[#This Row],[Period]]&amp;TrendSheetPrdData[[#This Row],[Trend]]</f>
        <v>MSSP_ATTRIBUTEDPaid2016-08-01ED Utilization</v>
      </c>
      <c r="B1932" t="s">
        <v>128</v>
      </c>
      <c r="C1932" t="s">
        <v>128</v>
      </c>
      <c r="D1932" t="s">
        <v>78</v>
      </c>
      <c r="E1932" s="1" t="s">
        <v>98</v>
      </c>
      <c r="F1932" t="s">
        <v>93</v>
      </c>
      <c r="G1932" t="s">
        <v>25</v>
      </c>
      <c r="H1932">
        <v>14</v>
      </c>
      <c r="I1932">
        <v>516</v>
      </c>
    </row>
    <row r="1933" spans="1:9" x14ac:dyDescent="0.25">
      <c r="A1933" s="5" t="str">
        <f>TrendSheetPrdData[[#This Row],[Population]]&amp;TrendSheetPrdData[[#This Row],[Cost Basis]]&amp;TrendSheetPrdData[[#This Row],[Period]]&amp;TrendSheetPrdData[[#This Row],[Trend]]</f>
        <v>MSSP_ATTRIBUTEDPaid2016-09-01ED Utilization</v>
      </c>
      <c r="B1933" t="s">
        <v>128</v>
      </c>
      <c r="C1933" t="s">
        <v>128</v>
      </c>
      <c r="D1933" t="s">
        <v>78</v>
      </c>
      <c r="E1933" s="1" t="s">
        <v>99</v>
      </c>
      <c r="F1933" t="s">
        <v>93</v>
      </c>
      <c r="G1933" t="s">
        <v>25</v>
      </c>
      <c r="H1933">
        <v>14</v>
      </c>
      <c r="I1933">
        <v>475</v>
      </c>
    </row>
    <row r="1934" spans="1:9" x14ac:dyDescent="0.25">
      <c r="A1934" s="5" t="str">
        <f>TrendSheetPrdData[[#This Row],[Population]]&amp;TrendSheetPrdData[[#This Row],[Cost Basis]]&amp;TrendSheetPrdData[[#This Row],[Period]]&amp;TrendSheetPrdData[[#This Row],[Trend]]</f>
        <v>MSSP_ATTRIBUTEDPaid2016-10-01ED Utilization</v>
      </c>
      <c r="B1934" t="s">
        <v>128</v>
      </c>
      <c r="C1934" t="s">
        <v>128</v>
      </c>
      <c r="D1934" t="s">
        <v>78</v>
      </c>
      <c r="E1934" s="1" t="s">
        <v>100</v>
      </c>
      <c r="F1934" t="s">
        <v>106</v>
      </c>
      <c r="G1934" t="s">
        <v>25</v>
      </c>
      <c r="H1934">
        <v>14</v>
      </c>
      <c r="I1934">
        <v>484</v>
      </c>
    </row>
    <row r="1935" spans="1:9" x14ac:dyDescent="0.25">
      <c r="A1935" s="5" t="str">
        <f>TrendSheetPrdData[[#This Row],[Population]]&amp;TrendSheetPrdData[[#This Row],[Cost Basis]]&amp;TrendSheetPrdData[[#This Row],[Period]]&amp;TrendSheetPrdData[[#This Row],[Trend]]</f>
        <v>MSSP_ATTRIBUTEDPaid2016-11-01ED Utilization</v>
      </c>
      <c r="B1935" t="s">
        <v>128</v>
      </c>
      <c r="C1935" t="s">
        <v>128</v>
      </c>
      <c r="D1935" t="s">
        <v>78</v>
      </c>
      <c r="E1935" s="1" t="s">
        <v>101</v>
      </c>
      <c r="F1935" t="s">
        <v>106</v>
      </c>
      <c r="G1935" t="s">
        <v>25</v>
      </c>
      <c r="H1935">
        <v>14</v>
      </c>
      <c r="I1935">
        <v>465</v>
      </c>
    </row>
    <row r="1936" spans="1:9" x14ac:dyDescent="0.25">
      <c r="A1936" s="5" t="str">
        <f>TrendSheetPrdData[[#This Row],[Population]]&amp;TrendSheetPrdData[[#This Row],[Cost Basis]]&amp;TrendSheetPrdData[[#This Row],[Period]]&amp;TrendSheetPrdData[[#This Row],[Trend]]</f>
        <v>MSSP_ATTRIBUTEDPaid2016-12-01ED Utilization</v>
      </c>
      <c r="B1936" t="s">
        <v>128</v>
      </c>
      <c r="C1936" t="s">
        <v>128</v>
      </c>
      <c r="D1936" t="s">
        <v>78</v>
      </c>
      <c r="E1936" s="1" t="s">
        <v>102</v>
      </c>
      <c r="F1936" t="s">
        <v>106</v>
      </c>
      <c r="G1936" t="s">
        <v>25</v>
      </c>
      <c r="H1936">
        <v>14</v>
      </c>
      <c r="I1936">
        <v>148</v>
      </c>
    </row>
    <row r="1937" spans="1:9" x14ac:dyDescent="0.25">
      <c r="A1937" s="5" t="str">
        <f>TrendSheetPrdData[[#This Row],[Population]]&amp;TrendSheetPrdData[[#This Row],[Cost Basis]]&amp;TrendSheetPrdData[[#This Row],[Period]]&amp;TrendSheetPrdData[[#This Row],[Trend]]</f>
        <v>MSSP_ATTRIBUTEDPaid2015-10-01Drug - Generic Utilization Cost</v>
      </c>
      <c r="B1937" t="s">
        <v>128</v>
      </c>
      <c r="C1937" t="s">
        <v>128</v>
      </c>
      <c r="D1937" t="s">
        <v>78</v>
      </c>
      <c r="E1937" s="1" t="s">
        <v>134</v>
      </c>
      <c r="F1937" t="s">
        <v>93</v>
      </c>
      <c r="G1937" t="s">
        <v>26</v>
      </c>
      <c r="H1937">
        <v>15</v>
      </c>
      <c r="I1937">
        <v>870719</v>
      </c>
    </row>
    <row r="1938" spans="1:9" x14ac:dyDescent="0.25">
      <c r="A1938" s="5" t="str">
        <f>TrendSheetPrdData[[#This Row],[Population]]&amp;TrendSheetPrdData[[#This Row],[Cost Basis]]&amp;TrendSheetPrdData[[#This Row],[Period]]&amp;TrendSheetPrdData[[#This Row],[Trend]]</f>
        <v>MSSP_ATTRIBUTEDPaid2015-11-01Drug - Generic Utilization Cost</v>
      </c>
      <c r="B1938" t="s">
        <v>128</v>
      </c>
      <c r="C1938" t="s">
        <v>128</v>
      </c>
      <c r="D1938" t="s">
        <v>78</v>
      </c>
      <c r="E1938" s="1" t="s">
        <v>130</v>
      </c>
      <c r="F1938" t="s">
        <v>93</v>
      </c>
      <c r="G1938" t="s">
        <v>26</v>
      </c>
      <c r="H1938">
        <v>15</v>
      </c>
      <c r="I1938">
        <v>733775</v>
      </c>
    </row>
    <row r="1939" spans="1:9" x14ac:dyDescent="0.25">
      <c r="A1939" s="5" t="str">
        <f>TrendSheetPrdData[[#This Row],[Population]]&amp;TrendSheetPrdData[[#This Row],[Cost Basis]]&amp;TrendSheetPrdData[[#This Row],[Period]]&amp;TrendSheetPrdData[[#This Row],[Trend]]</f>
        <v>MSSP_ATTRIBUTEDPaid2015-12-01Drug - Generic Utilization Cost</v>
      </c>
      <c r="B1939" t="s">
        <v>128</v>
      </c>
      <c r="C1939" t="s">
        <v>128</v>
      </c>
      <c r="D1939" t="s">
        <v>78</v>
      </c>
      <c r="E1939" s="1" t="s">
        <v>131</v>
      </c>
      <c r="F1939" t="s">
        <v>93</v>
      </c>
      <c r="G1939" t="s">
        <v>26</v>
      </c>
      <c r="H1939">
        <v>15</v>
      </c>
      <c r="I1939">
        <v>486566</v>
      </c>
    </row>
    <row r="1940" spans="1:9" x14ac:dyDescent="0.25">
      <c r="A1940" s="5" t="str">
        <f>TrendSheetPrdData[[#This Row],[Population]]&amp;TrendSheetPrdData[[#This Row],[Cost Basis]]&amp;TrendSheetPrdData[[#This Row],[Period]]&amp;TrendSheetPrdData[[#This Row],[Trend]]</f>
        <v>MSSP_ATTRIBUTEDPaid2016-01-01Drug - Generic Utilization Cost</v>
      </c>
      <c r="B1940" t="s">
        <v>128</v>
      </c>
      <c r="C1940" t="s">
        <v>128</v>
      </c>
      <c r="D1940" t="s">
        <v>78</v>
      </c>
      <c r="E1940" s="1" t="s">
        <v>132</v>
      </c>
      <c r="F1940" t="s">
        <v>93</v>
      </c>
      <c r="G1940" t="s">
        <v>26</v>
      </c>
      <c r="H1940">
        <v>15</v>
      </c>
      <c r="I1940">
        <v>838394</v>
      </c>
    </row>
    <row r="1941" spans="1:9" x14ac:dyDescent="0.25">
      <c r="A1941" s="5" t="str">
        <f>TrendSheetPrdData[[#This Row],[Population]]&amp;TrendSheetPrdData[[#This Row],[Cost Basis]]&amp;TrendSheetPrdData[[#This Row],[Period]]&amp;TrendSheetPrdData[[#This Row],[Trend]]</f>
        <v>MSSP_ATTRIBUTEDPaid2016-02-01Drug - Generic Utilization Cost</v>
      </c>
      <c r="B1941" t="s">
        <v>128</v>
      </c>
      <c r="C1941" t="s">
        <v>128</v>
      </c>
      <c r="D1941" t="s">
        <v>78</v>
      </c>
      <c r="E1941" s="1" t="s">
        <v>133</v>
      </c>
      <c r="F1941" t="s">
        <v>93</v>
      </c>
      <c r="G1941" t="s">
        <v>26</v>
      </c>
      <c r="H1941">
        <v>15</v>
      </c>
      <c r="I1941">
        <v>670242</v>
      </c>
    </row>
    <row r="1942" spans="1:9" x14ac:dyDescent="0.25">
      <c r="A1942" s="5" t="str">
        <f>TrendSheetPrdData[[#This Row],[Population]]&amp;TrendSheetPrdData[[#This Row],[Cost Basis]]&amp;TrendSheetPrdData[[#This Row],[Period]]&amp;TrendSheetPrdData[[#This Row],[Trend]]</f>
        <v>MSSP_ATTRIBUTEDPaid2016-03-01Drug - Generic Utilization Cost</v>
      </c>
      <c r="B1942" t="s">
        <v>128</v>
      </c>
      <c r="C1942" t="s">
        <v>128</v>
      </c>
      <c r="D1942" t="s">
        <v>78</v>
      </c>
      <c r="E1942" s="1" t="s">
        <v>92</v>
      </c>
      <c r="F1942" t="s">
        <v>93</v>
      </c>
      <c r="G1942" t="s">
        <v>26</v>
      </c>
      <c r="H1942">
        <v>15</v>
      </c>
      <c r="I1942">
        <v>643370</v>
      </c>
    </row>
    <row r="1943" spans="1:9" x14ac:dyDescent="0.25">
      <c r="A1943" s="5" t="str">
        <f>TrendSheetPrdData[[#This Row],[Population]]&amp;TrendSheetPrdData[[#This Row],[Cost Basis]]&amp;TrendSheetPrdData[[#This Row],[Period]]&amp;TrendSheetPrdData[[#This Row],[Trend]]</f>
        <v>MSSP_ATTRIBUTEDPaid2016-04-01Drug - Generic Utilization Cost</v>
      </c>
      <c r="B1943" t="s">
        <v>128</v>
      </c>
      <c r="C1943" t="s">
        <v>128</v>
      </c>
      <c r="D1943" t="s">
        <v>78</v>
      </c>
      <c r="E1943" s="1" t="s">
        <v>94</v>
      </c>
      <c r="F1943" t="s">
        <v>93</v>
      </c>
      <c r="G1943" t="s">
        <v>26</v>
      </c>
      <c r="H1943">
        <v>15</v>
      </c>
      <c r="I1943">
        <v>568696</v>
      </c>
    </row>
    <row r="1944" spans="1:9" x14ac:dyDescent="0.25">
      <c r="A1944" s="5" t="str">
        <f>TrendSheetPrdData[[#This Row],[Population]]&amp;TrendSheetPrdData[[#This Row],[Cost Basis]]&amp;TrendSheetPrdData[[#This Row],[Period]]&amp;TrendSheetPrdData[[#This Row],[Trend]]</f>
        <v>MSSP_ATTRIBUTEDPaid2016-05-01Drug - Generic Utilization Cost</v>
      </c>
      <c r="B1944" t="s">
        <v>128</v>
      </c>
      <c r="C1944" t="s">
        <v>128</v>
      </c>
      <c r="D1944" t="s">
        <v>78</v>
      </c>
      <c r="E1944" s="1" t="s">
        <v>95</v>
      </c>
      <c r="F1944" t="s">
        <v>93</v>
      </c>
      <c r="G1944" t="s">
        <v>26</v>
      </c>
      <c r="H1944">
        <v>15</v>
      </c>
      <c r="I1944">
        <v>589364</v>
      </c>
    </row>
    <row r="1945" spans="1:9" x14ac:dyDescent="0.25">
      <c r="A1945" s="5" t="str">
        <f>TrendSheetPrdData[[#This Row],[Population]]&amp;TrendSheetPrdData[[#This Row],[Cost Basis]]&amp;TrendSheetPrdData[[#This Row],[Period]]&amp;TrendSheetPrdData[[#This Row],[Trend]]</f>
        <v>MSSP_ATTRIBUTEDPaid2016-06-01Drug - Generic Utilization Cost</v>
      </c>
      <c r="B1945" t="s">
        <v>128</v>
      </c>
      <c r="C1945" t="s">
        <v>128</v>
      </c>
      <c r="D1945" t="s">
        <v>78</v>
      </c>
      <c r="E1945" s="1" t="s">
        <v>96</v>
      </c>
      <c r="F1945" t="s">
        <v>93</v>
      </c>
      <c r="G1945" t="s">
        <v>26</v>
      </c>
      <c r="H1945">
        <v>15</v>
      </c>
      <c r="I1945">
        <v>581682</v>
      </c>
    </row>
    <row r="1946" spans="1:9" x14ac:dyDescent="0.25">
      <c r="A1946" s="5" t="str">
        <f>TrendSheetPrdData[[#This Row],[Population]]&amp;TrendSheetPrdData[[#This Row],[Cost Basis]]&amp;TrendSheetPrdData[[#This Row],[Period]]&amp;TrendSheetPrdData[[#This Row],[Trend]]</f>
        <v>MSSP_ATTRIBUTEDPaid2016-07-01Drug - Generic Utilization Cost</v>
      </c>
      <c r="B1946" t="s">
        <v>128</v>
      </c>
      <c r="C1946" t="s">
        <v>128</v>
      </c>
      <c r="D1946" t="s">
        <v>78</v>
      </c>
      <c r="E1946" s="1" t="s">
        <v>97</v>
      </c>
      <c r="F1946" t="s">
        <v>93</v>
      </c>
      <c r="G1946" t="s">
        <v>26</v>
      </c>
      <c r="H1946">
        <v>15</v>
      </c>
      <c r="I1946">
        <v>546455</v>
      </c>
    </row>
    <row r="1947" spans="1:9" x14ac:dyDescent="0.25">
      <c r="A1947" s="5" t="str">
        <f>TrendSheetPrdData[[#This Row],[Population]]&amp;TrendSheetPrdData[[#This Row],[Cost Basis]]&amp;TrendSheetPrdData[[#This Row],[Period]]&amp;TrendSheetPrdData[[#This Row],[Trend]]</f>
        <v>MSSP_ATTRIBUTEDPaid2016-08-01Drug - Generic Utilization Cost</v>
      </c>
      <c r="B1947" t="s">
        <v>128</v>
      </c>
      <c r="C1947" t="s">
        <v>128</v>
      </c>
      <c r="D1947" t="s">
        <v>78</v>
      </c>
      <c r="E1947" s="1" t="s">
        <v>98</v>
      </c>
      <c r="F1947" t="s">
        <v>93</v>
      </c>
      <c r="G1947" t="s">
        <v>26</v>
      </c>
      <c r="H1947">
        <v>15</v>
      </c>
      <c r="I1947">
        <v>548857</v>
      </c>
    </row>
    <row r="1948" spans="1:9" x14ac:dyDescent="0.25">
      <c r="A1948" s="5" t="str">
        <f>TrendSheetPrdData[[#This Row],[Population]]&amp;TrendSheetPrdData[[#This Row],[Cost Basis]]&amp;TrendSheetPrdData[[#This Row],[Period]]&amp;TrendSheetPrdData[[#This Row],[Trend]]</f>
        <v>MSSP_ATTRIBUTEDPaid2016-09-01Drug - Generic Utilization Cost</v>
      </c>
      <c r="B1948" t="s">
        <v>128</v>
      </c>
      <c r="C1948" t="s">
        <v>128</v>
      </c>
      <c r="D1948" t="s">
        <v>78</v>
      </c>
      <c r="E1948" s="1" t="s">
        <v>99</v>
      </c>
      <c r="F1948" t="s">
        <v>93</v>
      </c>
      <c r="G1948" t="s">
        <v>26</v>
      </c>
      <c r="H1948">
        <v>15</v>
      </c>
      <c r="I1948">
        <v>500989</v>
      </c>
    </row>
    <row r="1949" spans="1:9" x14ac:dyDescent="0.25">
      <c r="A1949" s="5" t="str">
        <f>TrendSheetPrdData[[#This Row],[Population]]&amp;TrendSheetPrdData[[#This Row],[Cost Basis]]&amp;TrendSheetPrdData[[#This Row],[Period]]&amp;TrendSheetPrdData[[#This Row],[Trend]]</f>
        <v>MSSP_ATTRIBUTEDPaid2016-10-01Drug - Generic Utilization Cost</v>
      </c>
      <c r="B1949" t="s">
        <v>128</v>
      </c>
      <c r="C1949" t="s">
        <v>128</v>
      </c>
      <c r="D1949" t="s">
        <v>78</v>
      </c>
      <c r="E1949" s="1" t="s">
        <v>100</v>
      </c>
      <c r="F1949" t="s">
        <v>106</v>
      </c>
      <c r="G1949" t="s">
        <v>26</v>
      </c>
      <c r="H1949">
        <v>15</v>
      </c>
      <c r="I1949">
        <v>466273</v>
      </c>
    </row>
    <row r="1950" spans="1:9" x14ac:dyDescent="0.25">
      <c r="A1950" s="5" t="str">
        <f>TrendSheetPrdData[[#This Row],[Population]]&amp;TrendSheetPrdData[[#This Row],[Cost Basis]]&amp;TrendSheetPrdData[[#This Row],[Period]]&amp;TrendSheetPrdData[[#This Row],[Trend]]</f>
        <v>MSSP_ATTRIBUTEDPaid2016-11-01Drug - Generic Utilization Cost</v>
      </c>
      <c r="B1950" t="s">
        <v>128</v>
      </c>
      <c r="C1950" t="s">
        <v>128</v>
      </c>
      <c r="D1950" t="s">
        <v>78</v>
      </c>
      <c r="E1950" s="1" t="s">
        <v>101</v>
      </c>
      <c r="F1950" t="s">
        <v>106</v>
      </c>
      <c r="G1950" t="s">
        <v>26</v>
      </c>
      <c r="H1950">
        <v>15</v>
      </c>
      <c r="I1950">
        <v>428414</v>
      </c>
    </row>
    <row r="1951" spans="1:9" x14ac:dyDescent="0.25">
      <c r="A1951" s="5" t="str">
        <f>TrendSheetPrdData[[#This Row],[Population]]&amp;TrendSheetPrdData[[#This Row],[Cost Basis]]&amp;TrendSheetPrdData[[#This Row],[Period]]&amp;TrendSheetPrdData[[#This Row],[Trend]]</f>
        <v>MSSP_ATTRIBUTEDPaid2016-12-01Drug - Generic Utilization Cost</v>
      </c>
      <c r="B1951" t="s">
        <v>128</v>
      </c>
      <c r="C1951" t="s">
        <v>128</v>
      </c>
      <c r="D1951" t="s">
        <v>78</v>
      </c>
      <c r="E1951" s="1" t="s">
        <v>102</v>
      </c>
      <c r="F1951" t="s">
        <v>106</v>
      </c>
      <c r="G1951" t="s">
        <v>26</v>
      </c>
      <c r="H1951">
        <v>15</v>
      </c>
      <c r="I1951">
        <v>279938</v>
      </c>
    </row>
    <row r="1952" spans="1:9" x14ac:dyDescent="0.25">
      <c r="A1952" s="5" t="str">
        <f>TrendSheetPrdData[[#This Row],[Population]]&amp;TrendSheetPrdData[[#This Row],[Cost Basis]]&amp;TrendSheetPrdData[[#This Row],[Period]]&amp;TrendSheetPrdData[[#This Row],[Trend]]</f>
        <v>MSSP_ATTRIBUTEDPaid2015-10-01Drug - Generic Utilization</v>
      </c>
      <c r="B1952" t="s">
        <v>128</v>
      </c>
      <c r="C1952" t="s">
        <v>128</v>
      </c>
      <c r="D1952" t="s">
        <v>78</v>
      </c>
      <c r="E1952" s="1" t="s">
        <v>134</v>
      </c>
      <c r="F1952" t="s">
        <v>93</v>
      </c>
      <c r="G1952" t="s">
        <v>27</v>
      </c>
      <c r="H1952">
        <v>16</v>
      </c>
      <c r="I1952">
        <v>0.85</v>
      </c>
    </row>
    <row r="1953" spans="1:9" x14ac:dyDescent="0.25">
      <c r="A1953" s="5" t="str">
        <f>TrendSheetPrdData[[#This Row],[Population]]&amp;TrendSheetPrdData[[#This Row],[Cost Basis]]&amp;TrendSheetPrdData[[#This Row],[Period]]&amp;TrendSheetPrdData[[#This Row],[Trend]]</f>
        <v>MSSP_ATTRIBUTEDPaid2015-11-01Drug - Generic Utilization</v>
      </c>
      <c r="B1953" t="s">
        <v>128</v>
      </c>
      <c r="C1953" t="s">
        <v>128</v>
      </c>
      <c r="D1953" t="s">
        <v>78</v>
      </c>
      <c r="E1953" s="1" t="s">
        <v>130</v>
      </c>
      <c r="F1953" t="s">
        <v>93</v>
      </c>
      <c r="G1953" t="s">
        <v>27</v>
      </c>
      <c r="H1953">
        <v>16</v>
      </c>
      <c r="I1953">
        <v>0.84</v>
      </c>
    </row>
    <row r="1954" spans="1:9" x14ac:dyDescent="0.25">
      <c r="A1954" s="5" t="str">
        <f>TrendSheetPrdData[[#This Row],[Population]]&amp;TrendSheetPrdData[[#This Row],[Cost Basis]]&amp;TrendSheetPrdData[[#This Row],[Period]]&amp;TrendSheetPrdData[[#This Row],[Trend]]</f>
        <v>MSSP_ATTRIBUTEDPaid2015-12-01Drug - Generic Utilization</v>
      </c>
      <c r="B1954" t="s">
        <v>128</v>
      </c>
      <c r="C1954" t="s">
        <v>128</v>
      </c>
      <c r="D1954" t="s">
        <v>78</v>
      </c>
      <c r="E1954" s="1" t="s">
        <v>131</v>
      </c>
      <c r="F1954" t="s">
        <v>93</v>
      </c>
      <c r="G1954" t="s">
        <v>27</v>
      </c>
      <c r="H1954">
        <v>16</v>
      </c>
      <c r="I1954">
        <v>0.84</v>
      </c>
    </row>
    <row r="1955" spans="1:9" x14ac:dyDescent="0.25">
      <c r="A1955" s="5" t="str">
        <f>TrendSheetPrdData[[#This Row],[Population]]&amp;TrendSheetPrdData[[#This Row],[Cost Basis]]&amp;TrendSheetPrdData[[#This Row],[Period]]&amp;TrendSheetPrdData[[#This Row],[Trend]]</f>
        <v>MSSP_ATTRIBUTEDPaid2016-01-01Drug - Generic Utilization</v>
      </c>
      <c r="B1955" t="s">
        <v>128</v>
      </c>
      <c r="C1955" t="s">
        <v>128</v>
      </c>
      <c r="D1955" t="s">
        <v>78</v>
      </c>
      <c r="E1955" s="1" t="s">
        <v>132</v>
      </c>
      <c r="F1955" t="s">
        <v>93</v>
      </c>
      <c r="G1955" t="s">
        <v>27</v>
      </c>
      <c r="H1955">
        <v>16</v>
      </c>
      <c r="I1955">
        <v>0.85</v>
      </c>
    </row>
    <row r="1956" spans="1:9" x14ac:dyDescent="0.25">
      <c r="A1956" s="5" t="str">
        <f>TrendSheetPrdData[[#This Row],[Population]]&amp;TrendSheetPrdData[[#This Row],[Cost Basis]]&amp;TrendSheetPrdData[[#This Row],[Period]]&amp;TrendSheetPrdData[[#This Row],[Trend]]</f>
        <v>MSSP_ATTRIBUTEDPaid2016-02-01Drug - Generic Utilization</v>
      </c>
      <c r="B1956" t="s">
        <v>128</v>
      </c>
      <c r="C1956" t="s">
        <v>128</v>
      </c>
      <c r="D1956" t="s">
        <v>78</v>
      </c>
      <c r="E1956" s="1" t="s">
        <v>133</v>
      </c>
      <c r="F1956" t="s">
        <v>93</v>
      </c>
      <c r="G1956" t="s">
        <v>27</v>
      </c>
      <c r="H1956">
        <v>16</v>
      </c>
      <c r="I1956">
        <v>0.84</v>
      </c>
    </row>
    <row r="1957" spans="1:9" x14ac:dyDescent="0.25">
      <c r="A1957" s="5" t="str">
        <f>TrendSheetPrdData[[#This Row],[Population]]&amp;TrendSheetPrdData[[#This Row],[Cost Basis]]&amp;TrendSheetPrdData[[#This Row],[Period]]&amp;TrendSheetPrdData[[#This Row],[Trend]]</f>
        <v>MSSP_ATTRIBUTEDPaid2016-03-01Drug - Generic Utilization</v>
      </c>
      <c r="B1957" t="s">
        <v>128</v>
      </c>
      <c r="C1957" t="s">
        <v>128</v>
      </c>
      <c r="D1957" t="s">
        <v>78</v>
      </c>
      <c r="E1957" s="1" t="s">
        <v>92</v>
      </c>
      <c r="F1957" t="s">
        <v>93</v>
      </c>
      <c r="G1957" t="s">
        <v>27</v>
      </c>
      <c r="H1957">
        <v>16</v>
      </c>
      <c r="I1957">
        <v>0.85</v>
      </c>
    </row>
    <row r="1958" spans="1:9" x14ac:dyDescent="0.25">
      <c r="A1958" s="5" t="str">
        <f>TrendSheetPrdData[[#This Row],[Population]]&amp;TrendSheetPrdData[[#This Row],[Cost Basis]]&amp;TrendSheetPrdData[[#This Row],[Period]]&amp;TrendSheetPrdData[[#This Row],[Trend]]</f>
        <v>MSSP_ATTRIBUTEDPaid2016-04-01Drug - Generic Utilization</v>
      </c>
      <c r="B1958" t="s">
        <v>128</v>
      </c>
      <c r="C1958" t="s">
        <v>128</v>
      </c>
      <c r="D1958" t="s">
        <v>78</v>
      </c>
      <c r="E1958" s="1" t="s">
        <v>94</v>
      </c>
      <c r="F1958" t="s">
        <v>93</v>
      </c>
      <c r="G1958" t="s">
        <v>27</v>
      </c>
      <c r="H1958">
        <v>16</v>
      </c>
      <c r="I1958">
        <v>0.85</v>
      </c>
    </row>
    <row r="1959" spans="1:9" x14ac:dyDescent="0.25">
      <c r="A1959" s="5" t="str">
        <f>TrendSheetPrdData[[#This Row],[Population]]&amp;TrendSheetPrdData[[#This Row],[Cost Basis]]&amp;TrendSheetPrdData[[#This Row],[Period]]&amp;TrendSheetPrdData[[#This Row],[Trend]]</f>
        <v>MSSP_ATTRIBUTEDPaid2016-05-01Drug - Generic Utilization</v>
      </c>
      <c r="B1959" t="s">
        <v>128</v>
      </c>
      <c r="C1959" t="s">
        <v>128</v>
      </c>
      <c r="D1959" t="s">
        <v>78</v>
      </c>
      <c r="E1959" s="1" t="s">
        <v>95</v>
      </c>
      <c r="F1959" t="s">
        <v>93</v>
      </c>
      <c r="G1959" t="s">
        <v>27</v>
      </c>
      <c r="H1959">
        <v>16</v>
      </c>
      <c r="I1959">
        <v>0.85</v>
      </c>
    </row>
    <row r="1960" spans="1:9" x14ac:dyDescent="0.25">
      <c r="A1960" s="5" t="str">
        <f>TrendSheetPrdData[[#This Row],[Population]]&amp;TrendSheetPrdData[[#This Row],[Cost Basis]]&amp;TrendSheetPrdData[[#This Row],[Period]]&amp;TrendSheetPrdData[[#This Row],[Trend]]</f>
        <v>MSSP_ATTRIBUTEDPaid2016-06-01Drug - Generic Utilization</v>
      </c>
      <c r="B1960" t="s">
        <v>128</v>
      </c>
      <c r="C1960" t="s">
        <v>128</v>
      </c>
      <c r="D1960" t="s">
        <v>78</v>
      </c>
      <c r="E1960" s="1" t="s">
        <v>96</v>
      </c>
      <c r="F1960" t="s">
        <v>93</v>
      </c>
      <c r="G1960" t="s">
        <v>27</v>
      </c>
      <c r="H1960">
        <v>16</v>
      </c>
      <c r="I1960">
        <v>0.85</v>
      </c>
    </row>
    <row r="1961" spans="1:9" x14ac:dyDescent="0.25">
      <c r="A1961" s="5" t="str">
        <f>TrendSheetPrdData[[#This Row],[Population]]&amp;TrendSheetPrdData[[#This Row],[Cost Basis]]&amp;TrendSheetPrdData[[#This Row],[Period]]&amp;TrendSheetPrdData[[#This Row],[Trend]]</f>
        <v>MSSP_ATTRIBUTEDPaid2016-07-01Drug - Generic Utilization</v>
      </c>
      <c r="B1961" t="s">
        <v>128</v>
      </c>
      <c r="C1961" t="s">
        <v>128</v>
      </c>
      <c r="D1961" t="s">
        <v>78</v>
      </c>
      <c r="E1961" s="1" t="s">
        <v>97</v>
      </c>
      <c r="F1961" t="s">
        <v>93</v>
      </c>
      <c r="G1961" t="s">
        <v>27</v>
      </c>
      <c r="H1961">
        <v>16</v>
      </c>
      <c r="I1961">
        <v>0.86</v>
      </c>
    </row>
    <row r="1962" spans="1:9" x14ac:dyDescent="0.25">
      <c r="A1962" s="5" t="str">
        <f>TrendSheetPrdData[[#This Row],[Population]]&amp;TrendSheetPrdData[[#This Row],[Cost Basis]]&amp;TrendSheetPrdData[[#This Row],[Period]]&amp;TrendSheetPrdData[[#This Row],[Trend]]</f>
        <v>MSSP_ATTRIBUTEDPaid2016-08-01Drug - Generic Utilization</v>
      </c>
      <c r="B1962" t="s">
        <v>128</v>
      </c>
      <c r="C1962" t="s">
        <v>128</v>
      </c>
      <c r="D1962" t="s">
        <v>78</v>
      </c>
      <c r="E1962" s="1" t="s">
        <v>98</v>
      </c>
      <c r="F1962" t="s">
        <v>93</v>
      </c>
      <c r="G1962" t="s">
        <v>27</v>
      </c>
      <c r="H1962">
        <v>16</v>
      </c>
      <c r="I1962">
        <v>0.86</v>
      </c>
    </row>
    <row r="1963" spans="1:9" x14ac:dyDescent="0.25">
      <c r="A1963" s="5" t="str">
        <f>TrendSheetPrdData[[#This Row],[Population]]&amp;TrendSheetPrdData[[#This Row],[Cost Basis]]&amp;TrendSheetPrdData[[#This Row],[Period]]&amp;TrendSheetPrdData[[#This Row],[Trend]]</f>
        <v>MSSP_ATTRIBUTEDPaid2016-09-01Drug - Generic Utilization</v>
      </c>
      <c r="B1963" t="s">
        <v>128</v>
      </c>
      <c r="C1963" t="s">
        <v>128</v>
      </c>
      <c r="D1963" t="s">
        <v>78</v>
      </c>
      <c r="E1963" s="1" t="s">
        <v>99</v>
      </c>
      <c r="F1963" t="s">
        <v>93</v>
      </c>
      <c r="G1963" t="s">
        <v>27</v>
      </c>
      <c r="H1963">
        <v>16</v>
      </c>
      <c r="I1963">
        <v>0.86</v>
      </c>
    </row>
    <row r="1964" spans="1:9" x14ac:dyDescent="0.25">
      <c r="A1964" s="5" t="str">
        <f>TrendSheetPrdData[[#This Row],[Population]]&amp;TrendSheetPrdData[[#This Row],[Cost Basis]]&amp;TrendSheetPrdData[[#This Row],[Period]]&amp;TrendSheetPrdData[[#This Row],[Trend]]</f>
        <v>MSSP_ATTRIBUTEDPaid2016-10-01Drug - Generic Utilization</v>
      </c>
      <c r="B1964" t="s">
        <v>128</v>
      </c>
      <c r="C1964" t="s">
        <v>128</v>
      </c>
      <c r="D1964" t="s">
        <v>78</v>
      </c>
      <c r="E1964" s="1" t="s">
        <v>100</v>
      </c>
      <c r="F1964" t="s">
        <v>106</v>
      </c>
      <c r="G1964" t="s">
        <v>27</v>
      </c>
      <c r="H1964">
        <v>16</v>
      </c>
      <c r="I1964">
        <v>0.87</v>
      </c>
    </row>
    <row r="1965" spans="1:9" x14ac:dyDescent="0.25">
      <c r="A1965" s="5" t="str">
        <f>TrendSheetPrdData[[#This Row],[Population]]&amp;TrendSheetPrdData[[#This Row],[Cost Basis]]&amp;TrendSheetPrdData[[#This Row],[Period]]&amp;TrendSheetPrdData[[#This Row],[Trend]]</f>
        <v>MSSP_ATTRIBUTEDPaid2016-11-01Drug - Generic Utilization</v>
      </c>
      <c r="B1965" t="s">
        <v>128</v>
      </c>
      <c r="C1965" t="s">
        <v>128</v>
      </c>
      <c r="D1965" t="s">
        <v>78</v>
      </c>
      <c r="E1965" s="1" t="s">
        <v>101</v>
      </c>
      <c r="F1965" t="s">
        <v>106</v>
      </c>
      <c r="G1965" t="s">
        <v>27</v>
      </c>
      <c r="H1965">
        <v>16</v>
      </c>
      <c r="I1965">
        <v>0.86</v>
      </c>
    </row>
    <row r="1966" spans="1:9" x14ac:dyDescent="0.25">
      <c r="A1966" s="5" t="str">
        <f>TrendSheetPrdData[[#This Row],[Population]]&amp;TrendSheetPrdData[[#This Row],[Cost Basis]]&amp;TrendSheetPrdData[[#This Row],[Period]]&amp;TrendSheetPrdData[[#This Row],[Trend]]</f>
        <v>MSSP_ATTRIBUTEDPaid2016-12-01Drug - Generic Utilization</v>
      </c>
      <c r="B1966" t="s">
        <v>128</v>
      </c>
      <c r="C1966" t="s">
        <v>128</v>
      </c>
      <c r="D1966" t="s">
        <v>78</v>
      </c>
      <c r="E1966" s="1" t="s">
        <v>102</v>
      </c>
      <c r="F1966" t="s">
        <v>106</v>
      </c>
      <c r="G1966" t="s">
        <v>27</v>
      </c>
      <c r="H1966">
        <v>16</v>
      </c>
      <c r="I1966">
        <v>0.87</v>
      </c>
    </row>
    <row r="1967" spans="1:9" x14ac:dyDescent="0.25">
      <c r="A1967" s="5" t="str">
        <f>TrendSheetPrdData[[#This Row],[Population]]&amp;TrendSheetPrdData[[#This Row],[Cost Basis]]&amp;TrendSheetPrdData[[#This Row],[Period]]&amp;TrendSheetPrdData[[#This Row],[Trend]]</f>
        <v>MSSP_ATTRIBUTEDPaid2015-10-01Chronic Disease Management - Cost</v>
      </c>
      <c r="B1967" t="s">
        <v>128</v>
      </c>
      <c r="C1967" t="s">
        <v>128</v>
      </c>
      <c r="D1967" t="s">
        <v>78</v>
      </c>
      <c r="E1967" s="1" t="s">
        <v>134</v>
      </c>
      <c r="F1967" t="s">
        <v>93</v>
      </c>
      <c r="G1967" t="s">
        <v>28</v>
      </c>
      <c r="H1967">
        <v>17</v>
      </c>
      <c r="I1967">
        <v>13496861</v>
      </c>
    </row>
    <row r="1968" spans="1:9" x14ac:dyDescent="0.25">
      <c r="A1968" s="5" t="str">
        <f>TrendSheetPrdData[[#This Row],[Population]]&amp;TrendSheetPrdData[[#This Row],[Cost Basis]]&amp;TrendSheetPrdData[[#This Row],[Period]]&amp;TrendSheetPrdData[[#This Row],[Trend]]</f>
        <v>MSSP_ATTRIBUTEDPaid2015-11-01Chronic Disease Management - Cost</v>
      </c>
      <c r="B1968" t="s">
        <v>128</v>
      </c>
      <c r="C1968" t="s">
        <v>128</v>
      </c>
      <c r="D1968" t="s">
        <v>78</v>
      </c>
      <c r="E1968" s="1" t="s">
        <v>130</v>
      </c>
      <c r="F1968" t="s">
        <v>93</v>
      </c>
      <c r="G1968" t="s">
        <v>28</v>
      </c>
      <c r="H1968">
        <v>17</v>
      </c>
      <c r="I1968">
        <v>13329906</v>
      </c>
    </row>
    <row r="1969" spans="1:9" x14ac:dyDescent="0.25">
      <c r="A1969" s="5" t="str">
        <f>TrendSheetPrdData[[#This Row],[Population]]&amp;TrendSheetPrdData[[#This Row],[Cost Basis]]&amp;TrendSheetPrdData[[#This Row],[Period]]&amp;TrendSheetPrdData[[#This Row],[Trend]]</f>
        <v>MSSP_ATTRIBUTEDPaid2015-12-01Chronic Disease Management - Cost</v>
      </c>
      <c r="B1969" t="s">
        <v>128</v>
      </c>
      <c r="C1969" t="s">
        <v>128</v>
      </c>
      <c r="D1969" t="s">
        <v>78</v>
      </c>
      <c r="E1969" s="1" t="s">
        <v>131</v>
      </c>
      <c r="F1969" t="s">
        <v>93</v>
      </c>
      <c r="G1969" t="s">
        <v>28</v>
      </c>
      <c r="H1969">
        <v>17</v>
      </c>
      <c r="I1969">
        <v>13884862</v>
      </c>
    </row>
    <row r="1970" spans="1:9" x14ac:dyDescent="0.25">
      <c r="A1970" s="5" t="str">
        <f>TrendSheetPrdData[[#This Row],[Population]]&amp;TrendSheetPrdData[[#This Row],[Cost Basis]]&amp;TrendSheetPrdData[[#This Row],[Period]]&amp;TrendSheetPrdData[[#This Row],[Trend]]</f>
        <v>MSSP_ATTRIBUTEDPaid2016-01-01Chronic Disease Management - Cost</v>
      </c>
      <c r="B1970" t="s">
        <v>128</v>
      </c>
      <c r="C1970" t="s">
        <v>128</v>
      </c>
      <c r="D1970" t="s">
        <v>78</v>
      </c>
      <c r="E1970" s="1" t="s">
        <v>132</v>
      </c>
      <c r="F1970" t="s">
        <v>93</v>
      </c>
      <c r="G1970" t="s">
        <v>28</v>
      </c>
      <c r="H1970">
        <v>17</v>
      </c>
      <c r="I1970">
        <v>12922665</v>
      </c>
    </row>
    <row r="1971" spans="1:9" x14ac:dyDescent="0.25">
      <c r="A1971" s="5" t="str">
        <f>TrendSheetPrdData[[#This Row],[Population]]&amp;TrendSheetPrdData[[#This Row],[Cost Basis]]&amp;TrendSheetPrdData[[#This Row],[Period]]&amp;TrendSheetPrdData[[#This Row],[Trend]]</f>
        <v>MSSP_ATTRIBUTEDPaid2016-02-01Chronic Disease Management - Cost</v>
      </c>
      <c r="B1971" t="s">
        <v>128</v>
      </c>
      <c r="C1971" t="s">
        <v>128</v>
      </c>
      <c r="D1971" t="s">
        <v>78</v>
      </c>
      <c r="E1971" s="1" t="s">
        <v>133</v>
      </c>
      <c r="F1971" t="s">
        <v>93</v>
      </c>
      <c r="G1971" t="s">
        <v>28</v>
      </c>
      <c r="H1971">
        <v>17</v>
      </c>
      <c r="I1971">
        <v>14306203</v>
      </c>
    </row>
    <row r="1972" spans="1:9" x14ac:dyDescent="0.25">
      <c r="A1972" s="5" t="str">
        <f>TrendSheetPrdData[[#This Row],[Population]]&amp;TrendSheetPrdData[[#This Row],[Cost Basis]]&amp;TrendSheetPrdData[[#This Row],[Period]]&amp;TrendSheetPrdData[[#This Row],[Trend]]</f>
        <v>MSSP_ATTRIBUTEDPaid2016-03-01Chronic Disease Management - Cost</v>
      </c>
      <c r="B1972" t="s">
        <v>128</v>
      </c>
      <c r="C1972" t="s">
        <v>128</v>
      </c>
      <c r="D1972" t="s">
        <v>78</v>
      </c>
      <c r="E1972" s="1" t="s">
        <v>92</v>
      </c>
      <c r="F1972" t="s">
        <v>93</v>
      </c>
      <c r="G1972" t="s">
        <v>28</v>
      </c>
      <c r="H1972">
        <v>17</v>
      </c>
      <c r="I1972">
        <v>15491845</v>
      </c>
    </row>
    <row r="1973" spans="1:9" x14ac:dyDescent="0.25">
      <c r="A1973" s="5" t="str">
        <f>TrendSheetPrdData[[#This Row],[Population]]&amp;TrendSheetPrdData[[#This Row],[Cost Basis]]&amp;TrendSheetPrdData[[#This Row],[Period]]&amp;TrendSheetPrdData[[#This Row],[Trend]]</f>
        <v>MSSP_ATTRIBUTEDPaid2016-04-01Chronic Disease Management - Cost</v>
      </c>
      <c r="B1973" t="s">
        <v>128</v>
      </c>
      <c r="C1973" t="s">
        <v>128</v>
      </c>
      <c r="D1973" t="s">
        <v>78</v>
      </c>
      <c r="E1973" s="1" t="s">
        <v>94</v>
      </c>
      <c r="F1973" t="s">
        <v>93</v>
      </c>
      <c r="G1973" t="s">
        <v>28</v>
      </c>
      <c r="H1973">
        <v>17</v>
      </c>
      <c r="I1973">
        <v>14689317</v>
      </c>
    </row>
    <row r="1974" spans="1:9" x14ac:dyDescent="0.25">
      <c r="A1974" s="5" t="str">
        <f>TrendSheetPrdData[[#This Row],[Population]]&amp;TrendSheetPrdData[[#This Row],[Cost Basis]]&amp;TrendSheetPrdData[[#This Row],[Period]]&amp;TrendSheetPrdData[[#This Row],[Trend]]</f>
        <v>MSSP_ATTRIBUTEDPaid2016-05-01Chronic Disease Management - Cost</v>
      </c>
      <c r="B1974" t="s">
        <v>128</v>
      </c>
      <c r="C1974" t="s">
        <v>128</v>
      </c>
      <c r="D1974" t="s">
        <v>78</v>
      </c>
      <c r="E1974" s="1" t="s">
        <v>95</v>
      </c>
      <c r="F1974" t="s">
        <v>93</v>
      </c>
      <c r="G1974" t="s">
        <v>28</v>
      </c>
      <c r="H1974">
        <v>17</v>
      </c>
      <c r="I1974">
        <v>15157288</v>
      </c>
    </row>
    <row r="1975" spans="1:9" x14ac:dyDescent="0.25">
      <c r="A1975" s="5" t="str">
        <f>TrendSheetPrdData[[#This Row],[Population]]&amp;TrendSheetPrdData[[#This Row],[Cost Basis]]&amp;TrendSheetPrdData[[#This Row],[Period]]&amp;TrendSheetPrdData[[#This Row],[Trend]]</f>
        <v>MSSP_ATTRIBUTEDPaid2016-06-01Chronic Disease Management - Cost</v>
      </c>
      <c r="B1975" t="s">
        <v>128</v>
      </c>
      <c r="C1975" t="s">
        <v>128</v>
      </c>
      <c r="D1975" t="s">
        <v>78</v>
      </c>
      <c r="E1975" s="1" t="s">
        <v>96</v>
      </c>
      <c r="F1975" t="s">
        <v>93</v>
      </c>
      <c r="G1975" t="s">
        <v>28</v>
      </c>
      <c r="H1975">
        <v>17</v>
      </c>
      <c r="I1975">
        <v>15220314</v>
      </c>
    </row>
    <row r="1976" spans="1:9" x14ac:dyDescent="0.25">
      <c r="A1976" s="5" t="str">
        <f>TrendSheetPrdData[[#This Row],[Population]]&amp;TrendSheetPrdData[[#This Row],[Cost Basis]]&amp;TrendSheetPrdData[[#This Row],[Period]]&amp;TrendSheetPrdData[[#This Row],[Trend]]</f>
        <v>MSSP_ATTRIBUTEDPaid2016-07-01Chronic Disease Management - Cost</v>
      </c>
      <c r="B1976" t="s">
        <v>128</v>
      </c>
      <c r="C1976" t="s">
        <v>128</v>
      </c>
      <c r="D1976" t="s">
        <v>78</v>
      </c>
      <c r="E1976" s="1" t="s">
        <v>97</v>
      </c>
      <c r="F1976" t="s">
        <v>93</v>
      </c>
      <c r="G1976" t="s">
        <v>28</v>
      </c>
      <c r="H1976">
        <v>17</v>
      </c>
      <c r="I1976">
        <v>14211592</v>
      </c>
    </row>
    <row r="1977" spans="1:9" x14ac:dyDescent="0.25">
      <c r="A1977" s="5" t="str">
        <f>TrendSheetPrdData[[#This Row],[Population]]&amp;TrendSheetPrdData[[#This Row],[Cost Basis]]&amp;TrendSheetPrdData[[#This Row],[Period]]&amp;TrendSheetPrdData[[#This Row],[Trend]]</f>
        <v>MSSP_ATTRIBUTEDPaid2016-08-01Chronic Disease Management - Cost</v>
      </c>
      <c r="B1977" t="s">
        <v>128</v>
      </c>
      <c r="C1977" t="s">
        <v>128</v>
      </c>
      <c r="D1977" t="s">
        <v>78</v>
      </c>
      <c r="E1977" s="1" t="s">
        <v>98</v>
      </c>
      <c r="F1977" t="s">
        <v>93</v>
      </c>
      <c r="G1977" t="s">
        <v>28</v>
      </c>
      <c r="H1977">
        <v>17</v>
      </c>
      <c r="I1977">
        <v>15121945</v>
      </c>
    </row>
    <row r="1978" spans="1:9" x14ac:dyDescent="0.25">
      <c r="A1978" s="5" t="str">
        <f>TrendSheetPrdData[[#This Row],[Population]]&amp;TrendSheetPrdData[[#This Row],[Cost Basis]]&amp;TrendSheetPrdData[[#This Row],[Period]]&amp;TrendSheetPrdData[[#This Row],[Trend]]</f>
        <v>MSSP_ATTRIBUTEDPaid2016-09-01Chronic Disease Management - Cost</v>
      </c>
      <c r="B1978" t="s">
        <v>128</v>
      </c>
      <c r="C1978" t="s">
        <v>128</v>
      </c>
      <c r="D1978" t="s">
        <v>78</v>
      </c>
      <c r="E1978" s="1" t="s">
        <v>99</v>
      </c>
      <c r="F1978" t="s">
        <v>93</v>
      </c>
      <c r="G1978" t="s">
        <v>28</v>
      </c>
      <c r="H1978">
        <v>17</v>
      </c>
      <c r="I1978">
        <v>14855658</v>
      </c>
    </row>
    <row r="1979" spans="1:9" x14ac:dyDescent="0.25">
      <c r="A1979" s="5" t="str">
        <f>TrendSheetPrdData[[#This Row],[Population]]&amp;TrendSheetPrdData[[#This Row],[Cost Basis]]&amp;TrendSheetPrdData[[#This Row],[Period]]&amp;TrendSheetPrdData[[#This Row],[Trend]]</f>
        <v>MSSP_ATTRIBUTEDPaid2016-10-01Chronic Disease Management - Cost</v>
      </c>
      <c r="B1979" t="s">
        <v>128</v>
      </c>
      <c r="C1979" t="s">
        <v>128</v>
      </c>
      <c r="D1979" t="s">
        <v>78</v>
      </c>
      <c r="E1979" s="1" t="s">
        <v>100</v>
      </c>
      <c r="F1979" t="s">
        <v>106</v>
      </c>
      <c r="G1979" t="s">
        <v>28</v>
      </c>
      <c r="H1979">
        <v>17</v>
      </c>
      <c r="I1979">
        <v>14526135</v>
      </c>
    </row>
    <row r="1980" spans="1:9" x14ac:dyDescent="0.25">
      <c r="A1980" s="5" t="str">
        <f>TrendSheetPrdData[[#This Row],[Population]]&amp;TrendSheetPrdData[[#This Row],[Cost Basis]]&amp;TrendSheetPrdData[[#This Row],[Period]]&amp;TrendSheetPrdData[[#This Row],[Trend]]</f>
        <v>MSSP_ATTRIBUTEDPaid2016-11-01Chronic Disease Management - Cost</v>
      </c>
      <c r="B1980" t="s">
        <v>128</v>
      </c>
      <c r="C1980" t="s">
        <v>128</v>
      </c>
      <c r="D1980" t="s">
        <v>78</v>
      </c>
      <c r="E1980" s="1" t="s">
        <v>101</v>
      </c>
      <c r="F1980" t="s">
        <v>106</v>
      </c>
      <c r="G1980" t="s">
        <v>28</v>
      </c>
      <c r="H1980">
        <v>17</v>
      </c>
      <c r="I1980">
        <v>12402625</v>
      </c>
    </row>
    <row r="1981" spans="1:9" x14ac:dyDescent="0.25">
      <c r="A1981" s="5" t="str">
        <f>TrendSheetPrdData[[#This Row],[Population]]&amp;TrendSheetPrdData[[#This Row],[Cost Basis]]&amp;TrendSheetPrdData[[#This Row],[Period]]&amp;TrendSheetPrdData[[#This Row],[Trend]]</f>
        <v>MSSP_ATTRIBUTEDPaid2016-12-01Chronic Disease Management - Cost</v>
      </c>
      <c r="B1981" t="s">
        <v>128</v>
      </c>
      <c r="C1981" t="s">
        <v>128</v>
      </c>
      <c r="D1981" t="s">
        <v>78</v>
      </c>
      <c r="E1981" s="1" t="s">
        <v>102</v>
      </c>
      <c r="F1981" t="s">
        <v>106</v>
      </c>
      <c r="G1981" t="s">
        <v>28</v>
      </c>
      <c r="H1981">
        <v>17</v>
      </c>
      <c r="I1981">
        <v>3196079</v>
      </c>
    </row>
    <row r="1982" spans="1:9" x14ac:dyDescent="0.25">
      <c r="A1982" s="5" t="str">
        <f>TrendSheetPrdData[[#This Row],[Population]]&amp;TrendSheetPrdData[[#This Row],[Cost Basis]]&amp;TrendSheetPrdData[[#This Row],[Period]]&amp;TrendSheetPrdData[[#This Row],[Trend]]</f>
        <v>MSSP_ATTRIBUTEDPaid2015-10-01Chronic Disease Management - Members</v>
      </c>
      <c r="B1982" t="s">
        <v>128</v>
      </c>
      <c r="C1982" t="s">
        <v>128</v>
      </c>
      <c r="D1982" t="s">
        <v>78</v>
      </c>
      <c r="E1982" s="1" t="s">
        <v>134</v>
      </c>
      <c r="F1982" t="s">
        <v>93</v>
      </c>
      <c r="G1982" t="s">
        <v>29</v>
      </c>
      <c r="H1982">
        <v>18</v>
      </c>
      <c r="I1982">
        <v>940.99</v>
      </c>
    </row>
    <row r="1983" spans="1:9" x14ac:dyDescent="0.25">
      <c r="A1983" s="5" t="str">
        <f>TrendSheetPrdData[[#This Row],[Population]]&amp;TrendSheetPrdData[[#This Row],[Cost Basis]]&amp;TrendSheetPrdData[[#This Row],[Period]]&amp;TrendSheetPrdData[[#This Row],[Trend]]</f>
        <v>MSSP_ATTRIBUTEDPaid2015-11-01Chronic Disease Management - Members</v>
      </c>
      <c r="B1983" t="s">
        <v>128</v>
      </c>
      <c r="C1983" t="s">
        <v>128</v>
      </c>
      <c r="D1983" t="s">
        <v>78</v>
      </c>
      <c r="E1983" s="1" t="s">
        <v>130</v>
      </c>
      <c r="F1983" t="s">
        <v>93</v>
      </c>
      <c r="G1983" t="s">
        <v>29</v>
      </c>
      <c r="H1983">
        <v>18</v>
      </c>
      <c r="I1983">
        <v>943.72</v>
      </c>
    </row>
    <row r="1984" spans="1:9" x14ac:dyDescent="0.25">
      <c r="A1984" s="5" t="str">
        <f>TrendSheetPrdData[[#This Row],[Population]]&amp;TrendSheetPrdData[[#This Row],[Cost Basis]]&amp;TrendSheetPrdData[[#This Row],[Period]]&amp;TrendSheetPrdData[[#This Row],[Trend]]</f>
        <v>MSSP_ATTRIBUTEDPaid2015-12-01Chronic Disease Management - Members</v>
      </c>
      <c r="B1984" t="s">
        <v>128</v>
      </c>
      <c r="C1984" t="s">
        <v>128</v>
      </c>
      <c r="D1984" t="s">
        <v>78</v>
      </c>
      <c r="E1984" s="1" t="s">
        <v>131</v>
      </c>
      <c r="F1984" t="s">
        <v>93</v>
      </c>
      <c r="G1984" t="s">
        <v>29</v>
      </c>
      <c r="H1984">
        <v>18</v>
      </c>
      <c r="I1984">
        <v>945.11</v>
      </c>
    </row>
    <row r="1985" spans="1:9" x14ac:dyDescent="0.25">
      <c r="A1985" s="5" t="str">
        <f>TrendSheetPrdData[[#This Row],[Population]]&amp;TrendSheetPrdData[[#This Row],[Cost Basis]]&amp;TrendSheetPrdData[[#This Row],[Period]]&amp;TrendSheetPrdData[[#This Row],[Trend]]</f>
        <v>MSSP_ATTRIBUTEDPaid2016-01-01Chronic Disease Management - Members</v>
      </c>
      <c r="B1985" t="s">
        <v>128</v>
      </c>
      <c r="C1985" t="s">
        <v>128</v>
      </c>
      <c r="D1985" t="s">
        <v>78</v>
      </c>
      <c r="E1985" s="1" t="s">
        <v>132</v>
      </c>
      <c r="F1985" t="s">
        <v>93</v>
      </c>
      <c r="G1985" t="s">
        <v>29</v>
      </c>
      <c r="H1985">
        <v>18</v>
      </c>
      <c r="I1985">
        <v>947.76</v>
      </c>
    </row>
    <row r="1986" spans="1:9" x14ac:dyDescent="0.25">
      <c r="A1986" s="5" t="str">
        <f>TrendSheetPrdData[[#This Row],[Population]]&amp;TrendSheetPrdData[[#This Row],[Cost Basis]]&amp;TrendSheetPrdData[[#This Row],[Period]]&amp;TrendSheetPrdData[[#This Row],[Trend]]</f>
        <v>MSSP_ATTRIBUTEDPaid2016-02-01Chronic Disease Management - Members</v>
      </c>
      <c r="B1986" t="s">
        <v>128</v>
      </c>
      <c r="C1986" t="s">
        <v>128</v>
      </c>
      <c r="D1986" t="s">
        <v>78</v>
      </c>
      <c r="E1986" s="1" t="s">
        <v>133</v>
      </c>
      <c r="F1986" t="s">
        <v>93</v>
      </c>
      <c r="G1986" t="s">
        <v>29</v>
      </c>
      <c r="H1986">
        <v>18</v>
      </c>
      <c r="I1986">
        <v>952.49</v>
      </c>
    </row>
    <row r="1987" spans="1:9" x14ac:dyDescent="0.25">
      <c r="A1987" s="5" t="str">
        <f>TrendSheetPrdData[[#This Row],[Population]]&amp;TrendSheetPrdData[[#This Row],[Cost Basis]]&amp;TrendSheetPrdData[[#This Row],[Period]]&amp;TrendSheetPrdData[[#This Row],[Trend]]</f>
        <v>MSSP_ATTRIBUTEDPaid2016-03-01Chronic Disease Management - Members</v>
      </c>
      <c r="B1987" t="s">
        <v>128</v>
      </c>
      <c r="C1987" t="s">
        <v>128</v>
      </c>
      <c r="D1987" t="s">
        <v>78</v>
      </c>
      <c r="E1987" s="1" t="s">
        <v>92</v>
      </c>
      <c r="F1987" t="s">
        <v>93</v>
      </c>
      <c r="G1987" t="s">
        <v>29</v>
      </c>
      <c r="H1987">
        <v>18</v>
      </c>
      <c r="I1987">
        <v>954.07</v>
      </c>
    </row>
    <row r="1988" spans="1:9" x14ac:dyDescent="0.25">
      <c r="A1988" s="5" t="str">
        <f>TrendSheetPrdData[[#This Row],[Population]]&amp;TrendSheetPrdData[[#This Row],[Cost Basis]]&amp;TrendSheetPrdData[[#This Row],[Period]]&amp;TrendSheetPrdData[[#This Row],[Trend]]</f>
        <v>MSSP_ATTRIBUTEDPaid2016-04-01Chronic Disease Management - Members</v>
      </c>
      <c r="B1988" t="s">
        <v>128</v>
      </c>
      <c r="C1988" t="s">
        <v>128</v>
      </c>
      <c r="D1988" t="s">
        <v>78</v>
      </c>
      <c r="E1988" s="1" t="s">
        <v>94</v>
      </c>
      <c r="F1988" t="s">
        <v>93</v>
      </c>
      <c r="G1988" t="s">
        <v>29</v>
      </c>
      <c r="H1988">
        <v>18</v>
      </c>
      <c r="I1988">
        <v>956.32</v>
      </c>
    </row>
    <row r="1989" spans="1:9" x14ac:dyDescent="0.25">
      <c r="A1989" s="5" t="str">
        <f>TrendSheetPrdData[[#This Row],[Population]]&amp;TrendSheetPrdData[[#This Row],[Cost Basis]]&amp;TrendSheetPrdData[[#This Row],[Period]]&amp;TrendSheetPrdData[[#This Row],[Trend]]</f>
        <v>MSSP_ATTRIBUTEDPaid2016-05-01Chronic Disease Management - Members</v>
      </c>
      <c r="B1989" t="s">
        <v>128</v>
      </c>
      <c r="C1989" t="s">
        <v>128</v>
      </c>
      <c r="D1989" t="s">
        <v>78</v>
      </c>
      <c r="E1989" s="1" t="s">
        <v>95</v>
      </c>
      <c r="F1989" t="s">
        <v>93</v>
      </c>
      <c r="G1989" t="s">
        <v>29</v>
      </c>
      <c r="H1989">
        <v>18</v>
      </c>
      <c r="I1989">
        <v>958.18</v>
      </c>
    </row>
    <row r="1990" spans="1:9" x14ac:dyDescent="0.25">
      <c r="A1990" s="5" t="str">
        <f>TrendSheetPrdData[[#This Row],[Population]]&amp;TrendSheetPrdData[[#This Row],[Cost Basis]]&amp;TrendSheetPrdData[[#This Row],[Period]]&amp;TrendSheetPrdData[[#This Row],[Trend]]</f>
        <v>MSSP_ATTRIBUTEDPaid2016-06-01Chronic Disease Management - Members</v>
      </c>
      <c r="B1990" t="s">
        <v>128</v>
      </c>
      <c r="C1990" t="s">
        <v>128</v>
      </c>
      <c r="D1990" t="s">
        <v>78</v>
      </c>
      <c r="E1990" s="1" t="s">
        <v>96</v>
      </c>
      <c r="F1990" t="s">
        <v>93</v>
      </c>
      <c r="G1990" t="s">
        <v>29</v>
      </c>
      <c r="H1990">
        <v>18</v>
      </c>
      <c r="I1990">
        <v>959.63</v>
      </c>
    </row>
    <row r="1991" spans="1:9" x14ac:dyDescent="0.25">
      <c r="A1991" s="5" t="str">
        <f>TrendSheetPrdData[[#This Row],[Population]]&amp;TrendSheetPrdData[[#This Row],[Cost Basis]]&amp;TrendSheetPrdData[[#This Row],[Period]]&amp;TrendSheetPrdData[[#This Row],[Trend]]</f>
        <v>MSSP_ATTRIBUTEDPaid2016-07-01Chronic Disease Management - Members</v>
      </c>
      <c r="B1991" t="s">
        <v>128</v>
      </c>
      <c r="C1991" t="s">
        <v>128</v>
      </c>
      <c r="D1991" t="s">
        <v>78</v>
      </c>
      <c r="E1991" s="1" t="s">
        <v>97</v>
      </c>
      <c r="F1991" t="s">
        <v>93</v>
      </c>
      <c r="G1991" t="s">
        <v>29</v>
      </c>
      <c r="H1991">
        <v>18</v>
      </c>
      <c r="I1991">
        <v>961.43</v>
      </c>
    </row>
    <row r="1992" spans="1:9" x14ac:dyDescent="0.25">
      <c r="A1992" s="5" t="str">
        <f>TrendSheetPrdData[[#This Row],[Population]]&amp;TrendSheetPrdData[[#This Row],[Cost Basis]]&amp;TrendSheetPrdData[[#This Row],[Period]]&amp;TrendSheetPrdData[[#This Row],[Trend]]</f>
        <v>MSSP_ATTRIBUTEDPaid2016-08-01Chronic Disease Management - Members</v>
      </c>
      <c r="B1992" t="s">
        <v>128</v>
      </c>
      <c r="C1992" t="s">
        <v>128</v>
      </c>
      <c r="D1992" t="s">
        <v>78</v>
      </c>
      <c r="E1992" s="1" t="s">
        <v>98</v>
      </c>
      <c r="F1992" t="s">
        <v>93</v>
      </c>
      <c r="G1992" t="s">
        <v>29</v>
      </c>
      <c r="H1992">
        <v>18</v>
      </c>
      <c r="I1992">
        <v>963.19</v>
      </c>
    </row>
    <row r="1993" spans="1:9" x14ac:dyDescent="0.25">
      <c r="A1993" s="5" t="str">
        <f>TrendSheetPrdData[[#This Row],[Population]]&amp;TrendSheetPrdData[[#This Row],[Cost Basis]]&amp;TrendSheetPrdData[[#This Row],[Period]]&amp;TrendSheetPrdData[[#This Row],[Trend]]</f>
        <v>MSSP_ATTRIBUTEDPaid2016-09-01Chronic Disease Management - Members</v>
      </c>
      <c r="B1993" t="s">
        <v>128</v>
      </c>
      <c r="C1993" t="s">
        <v>128</v>
      </c>
      <c r="D1993" t="s">
        <v>78</v>
      </c>
      <c r="E1993" s="1" t="s">
        <v>99</v>
      </c>
      <c r="F1993" t="s">
        <v>93</v>
      </c>
      <c r="G1993" t="s">
        <v>29</v>
      </c>
      <c r="H1993">
        <v>18</v>
      </c>
      <c r="I1993">
        <v>963.08</v>
      </c>
    </row>
    <row r="1994" spans="1:9" x14ac:dyDescent="0.25">
      <c r="A1994" s="5" t="str">
        <f>TrendSheetPrdData[[#This Row],[Population]]&amp;TrendSheetPrdData[[#This Row],[Cost Basis]]&amp;TrendSheetPrdData[[#This Row],[Period]]&amp;TrendSheetPrdData[[#This Row],[Trend]]</f>
        <v>MSSP_ATTRIBUTEDPaid2016-10-01Chronic Disease Management - Members</v>
      </c>
      <c r="B1994" t="s">
        <v>128</v>
      </c>
      <c r="C1994" t="s">
        <v>128</v>
      </c>
      <c r="D1994" t="s">
        <v>78</v>
      </c>
      <c r="E1994" s="1" t="s">
        <v>100</v>
      </c>
      <c r="F1994" t="s">
        <v>106</v>
      </c>
      <c r="G1994" t="s">
        <v>29</v>
      </c>
      <c r="H1994">
        <v>18</v>
      </c>
      <c r="I1994">
        <v>964.11</v>
      </c>
    </row>
    <row r="1995" spans="1:9" x14ac:dyDescent="0.25">
      <c r="A1995" s="5" t="str">
        <f>TrendSheetPrdData[[#This Row],[Population]]&amp;TrendSheetPrdData[[#This Row],[Cost Basis]]&amp;TrendSheetPrdData[[#This Row],[Period]]&amp;TrendSheetPrdData[[#This Row],[Trend]]</f>
        <v>MSSP_ATTRIBUTEDPaid2016-11-01Chronic Disease Management - Members</v>
      </c>
      <c r="B1995" t="s">
        <v>128</v>
      </c>
      <c r="C1995" t="s">
        <v>128</v>
      </c>
      <c r="D1995" t="s">
        <v>78</v>
      </c>
      <c r="E1995" s="1" t="s">
        <v>101</v>
      </c>
      <c r="F1995" t="s">
        <v>106</v>
      </c>
      <c r="G1995" t="s">
        <v>29</v>
      </c>
      <c r="H1995">
        <v>18</v>
      </c>
      <c r="I1995">
        <v>964.43</v>
      </c>
    </row>
    <row r="1996" spans="1:9" x14ac:dyDescent="0.25">
      <c r="A1996" s="5" t="str">
        <f>TrendSheetPrdData[[#This Row],[Population]]&amp;TrendSheetPrdData[[#This Row],[Cost Basis]]&amp;TrendSheetPrdData[[#This Row],[Period]]&amp;TrendSheetPrdData[[#This Row],[Trend]]</f>
        <v>MSSP_ATTRIBUTEDPaid2016-12-01Chronic Disease Management - Members</v>
      </c>
      <c r="B1996" t="s">
        <v>128</v>
      </c>
      <c r="C1996" t="s">
        <v>128</v>
      </c>
      <c r="D1996" t="s">
        <v>78</v>
      </c>
      <c r="E1996" s="1" t="s">
        <v>102</v>
      </c>
      <c r="F1996" t="s">
        <v>106</v>
      </c>
      <c r="G1996" t="s">
        <v>29</v>
      </c>
      <c r="H1996">
        <v>18</v>
      </c>
      <c r="I1996">
        <v>963.34</v>
      </c>
    </row>
    <row r="1997" spans="1:9" x14ac:dyDescent="0.25">
      <c r="A1997" s="5" t="str">
        <f>TrendSheetPrdData[[#This Row],[Population]]&amp;TrendSheetPrdData[[#This Row],[Cost Basis]]&amp;TrendSheetPrdData[[#This Row],[Period]]&amp;TrendSheetPrdData[[#This Row],[Trend]]</f>
        <v>MSSP_ATTRIBUTEDPaid2015-10-01Inpatient Claim Count</v>
      </c>
      <c r="B1997" t="s">
        <v>128</v>
      </c>
      <c r="C1997" t="s">
        <v>128</v>
      </c>
      <c r="D1997" t="s">
        <v>78</v>
      </c>
      <c r="E1997" s="1" t="s">
        <v>134</v>
      </c>
      <c r="F1997" t="s">
        <v>93</v>
      </c>
      <c r="G1997" t="s">
        <v>30</v>
      </c>
      <c r="H1997">
        <v>19</v>
      </c>
      <c r="I1997">
        <v>8623</v>
      </c>
    </row>
    <row r="1998" spans="1:9" x14ac:dyDescent="0.25">
      <c r="A1998" s="5" t="str">
        <f>TrendSheetPrdData[[#This Row],[Population]]&amp;TrendSheetPrdData[[#This Row],[Cost Basis]]&amp;TrendSheetPrdData[[#This Row],[Period]]&amp;TrendSheetPrdData[[#This Row],[Trend]]</f>
        <v>MSSP_ATTRIBUTEDPaid2015-11-01Inpatient Claim Count</v>
      </c>
      <c r="B1998" t="s">
        <v>128</v>
      </c>
      <c r="C1998" t="s">
        <v>128</v>
      </c>
      <c r="D1998" t="s">
        <v>78</v>
      </c>
      <c r="E1998" s="1" t="s">
        <v>130</v>
      </c>
      <c r="F1998" t="s">
        <v>93</v>
      </c>
      <c r="G1998" t="s">
        <v>30</v>
      </c>
      <c r="H1998">
        <v>19</v>
      </c>
      <c r="I1998">
        <v>7098</v>
      </c>
    </row>
    <row r="1999" spans="1:9" x14ac:dyDescent="0.25">
      <c r="A1999" s="5" t="str">
        <f>TrendSheetPrdData[[#This Row],[Population]]&amp;TrendSheetPrdData[[#This Row],[Cost Basis]]&amp;TrendSheetPrdData[[#This Row],[Period]]&amp;TrendSheetPrdData[[#This Row],[Trend]]</f>
        <v>MSSP_ATTRIBUTEDPaid2015-12-01Inpatient Claim Count</v>
      </c>
      <c r="B1999" t="s">
        <v>128</v>
      </c>
      <c r="C1999" t="s">
        <v>128</v>
      </c>
      <c r="D1999" t="s">
        <v>78</v>
      </c>
      <c r="E1999" s="1" t="s">
        <v>131</v>
      </c>
      <c r="F1999" t="s">
        <v>93</v>
      </c>
      <c r="G1999" t="s">
        <v>30</v>
      </c>
      <c r="H1999">
        <v>19</v>
      </c>
      <c r="I1999">
        <v>10147</v>
      </c>
    </row>
    <row r="2000" spans="1:9" x14ac:dyDescent="0.25">
      <c r="A2000" s="5" t="str">
        <f>TrendSheetPrdData[[#This Row],[Population]]&amp;TrendSheetPrdData[[#This Row],[Cost Basis]]&amp;TrendSheetPrdData[[#This Row],[Period]]&amp;TrendSheetPrdData[[#This Row],[Trend]]</f>
        <v>MSSP_ATTRIBUTEDPaid2016-01-01Inpatient Claim Count</v>
      </c>
      <c r="B2000" t="s">
        <v>128</v>
      </c>
      <c r="C2000" t="s">
        <v>128</v>
      </c>
      <c r="D2000" t="s">
        <v>78</v>
      </c>
      <c r="E2000" s="1" t="s">
        <v>132</v>
      </c>
      <c r="F2000" t="s">
        <v>93</v>
      </c>
      <c r="G2000" t="s">
        <v>30</v>
      </c>
      <c r="H2000">
        <v>19</v>
      </c>
      <c r="I2000">
        <v>22181</v>
      </c>
    </row>
    <row r="2001" spans="1:9" x14ac:dyDescent="0.25">
      <c r="A2001" s="5" t="str">
        <f>TrendSheetPrdData[[#This Row],[Population]]&amp;TrendSheetPrdData[[#This Row],[Cost Basis]]&amp;TrendSheetPrdData[[#This Row],[Period]]&amp;TrendSheetPrdData[[#This Row],[Trend]]</f>
        <v>MSSP_ATTRIBUTEDPaid2016-02-01Inpatient Claim Count</v>
      </c>
      <c r="B2001" t="s">
        <v>128</v>
      </c>
      <c r="C2001" t="s">
        <v>128</v>
      </c>
      <c r="D2001" t="s">
        <v>78</v>
      </c>
      <c r="E2001" s="1" t="s">
        <v>133</v>
      </c>
      <c r="F2001" t="s">
        <v>93</v>
      </c>
      <c r="G2001" t="s">
        <v>30</v>
      </c>
      <c r="H2001">
        <v>19</v>
      </c>
      <c r="I2001">
        <v>21468</v>
      </c>
    </row>
    <row r="2002" spans="1:9" x14ac:dyDescent="0.25">
      <c r="A2002" s="5" t="str">
        <f>TrendSheetPrdData[[#This Row],[Population]]&amp;TrendSheetPrdData[[#This Row],[Cost Basis]]&amp;TrendSheetPrdData[[#This Row],[Period]]&amp;TrendSheetPrdData[[#This Row],[Trend]]</f>
        <v>MSSP_ATTRIBUTEDPaid2016-03-01Inpatient Claim Count</v>
      </c>
      <c r="B2002" t="s">
        <v>128</v>
      </c>
      <c r="C2002" t="s">
        <v>128</v>
      </c>
      <c r="D2002" t="s">
        <v>78</v>
      </c>
      <c r="E2002" s="1" t="s">
        <v>92</v>
      </c>
      <c r="F2002" t="s">
        <v>93</v>
      </c>
      <c r="G2002" t="s">
        <v>30</v>
      </c>
      <c r="H2002">
        <v>19</v>
      </c>
      <c r="I2002">
        <v>21458</v>
      </c>
    </row>
    <row r="2003" spans="1:9" x14ac:dyDescent="0.25">
      <c r="A2003" s="5" t="str">
        <f>TrendSheetPrdData[[#This Row],[Population]]&amp;TrendSheetPrdData[[#This Row],[Cost Basis]]&amp;TrendSheetPrdData[[#This Row],[Period]]&amp;TrendSheetPrdData[[#This Row],[Trend]]</f>
        <v>MSSP_ATTRIBUTEDPaid2016-04-01Inpatient Claim Count</v>
      </c>
      <c r="B2003" t="s">
        <v>128</v>
      </c>
      <c r="C2003" t="s">
        <v>128</v>
      </c>
      <c r="D2003" t="s">
        <v>78</v>
      </c>
      <c r="E2003" s="1" t="s">
        <v>94</v>
      </c>
      <c r="F2003" t="s">
        <v>93</v>
      </c>
      <c r="G2003" t="s">
        <v>30</v>
      </c>
      <c r="H2003">
        <v>19</v>
      </c>
      <c r="I2003">
        <v>9527</v>
      </c>
    </row>
    <row r="2004" spans="1:9" x14ac:dyDescent="0.25">
      <c r="A2004" s="5" t="str">
        <f>TrendSheetPrdData[[#This Row],[Population]]&amp;TrendSheetPrdData[[#This Row],[Cost Basis]]&amp;TrendSheetPrdData[[#This Row],[Period]]&amp;TrendSheetPrdData[[#This Row],[Trend]]</f>
        <v>MSSP_ATTRIBUTEDPaid2016-05-01Inpatient Claim Count</v>
      </c>
      <c r="B2004" t="s">
        <v>128</v>
      </c>
      <c r="C2004" t="s">
        <v>128</v>
      </c>
      <c r="D2004" t="s">
        <v>78</v>
      </c>
      <c r="E2004" s="1" t="s">
        <v>95</v>
      </c>
      <c r="F2004" t="s">
        <v>93</v>
      </c>
      <c r="G2004" t="s">
        <v>30</v>
      </c>
      <c r="H2004">
        <v>19</v>
      </c>
      <c r="I2004">
        <v>9940</v>
      </c>
    </row>
    <row r="2005" spans="1:9" x14ac:dyDescent="0.25">
      <c r="A2005" s="5" t="str">
        <f>TrendSheetPrdData[[#This Row],[Population]]&amp;TrendSheetPrdData[[#This Row],[Cost Basis]]&amp;TrendSheetPrdData[[#This Row],[Period]]&amp;TrendSheetPrdData[[#This Row],[Trend]]</f>
        <v>MSSP_ATTRIBUTEDPaid2016-06-01Inpatient Claim Count</v>
      </c>
      <c r="B2005" t="s">
        <v>128</v>
      </c>
      <c r="C2005" t="s">
        <v>128</v>
      </c>
      <c r="D2005" t="s">
        <v>78</v>
      </c>
      <c r="E2005" s="1" t="s">
        <v>96</v>
      </c>
      <c r="F2005" t="s">
        <v>93</v>
      </c>
      <c r="G2005" t="s">
        <v>30</v>
      </c>
      <c r="H2005">
        <v>19</v>
      </c>
      <c r="I2005">
        <v>9650</v>
      </c>
    </row>
    <row r="2006" spans="1:9" x14ac:dyDescent="0.25">
      <c r="A2006" s="5" t="str">
        <f>TrendSheetPrdData[[#This Row],[Population]]&amp;TrendSheetPrdData[[#This Row],[Cost Basis]]&amp;TrendSheetPrdData[[#This Row],[Period]]&amp;TrendSheetPrdData[[#This Row],[Trend]]</f>
        <v>MSSP_ATTRIBUTEDPaid2016-07-01Inpatient Claim Count</v>
      </c>
      <c r="B2006" t="s">
        <v>128</v>
      </c>
      <c r="C2006" t="s">
        <v>128</v>
      </c>
      <c r="D2006" t="s">
        <v>78</v>
      </c>
      <c r="E2006" s="1" t="s">
        <v>97</v>
      </c>
      <c r="F2006" t="s">
        <v>93</v>
      </c>
      <c r="G2006" t="s">
        <v>30</v>
      </c>
      <c r="H2006">
        <v>19</v>
      </c>
      <c r="I2006">
        <v>9517</v>
      </c>
    </row>
    <row r="2007" spans="1:9" x14ac:dyDescent="0.25">
      <c r="A2007" s="5" t="str">
        <f>TrendSheetPrdData[[#This Row],[Population]]&amp;TrendSheetPrdData[[#This Row],[Cost Basis]]&amp;TrendSheetPrdData[[#This Row],[Period]]&amp;TrendSheetPrdData[[#This Row],[Trend]]</f>
        <v>MSSP_ATTRIBUTEDPaid2016-08-01Inpatient Claim Count</v>
      </c>
      <c r="B2007" t="s">
        <v>128</v>
      </c>
      <c r="C2007" t="s">
        <v>128</v>
      </c>
      <c r="D2007" t="s">
        <v>78</v>
      </c>
      <c r="E2007" s="1" t="s">
        <v>98</v>
      </c>
      <c r="F2007" t="s">
        <v>93</v>
      </c>
      <c r="G2007" t="s">
        <v>30</v>
      </c>
      <c r="H2007">
        <v>19</v>
      </c>
      <c r="I2007">
        <v>10194</v>
      </c>
    </row>
    <row r="2008" spans="1:9" x14ac:dyDescent="0.25">
      <c r="A2008" s="5" t="str">
        <f>TrendSheetPrdData[[#This Row],[Population]]&amp;TrendSheetPrdData[[#This Row],[Cost Basis]]&amp;TrendSheetPrdData[[#This Row],[Period]]&amp;TrendSheetPrdData[[#This Row],[Trend]]</f>
        <v>MSSP_ATTRIBUTEDPaid2016-09-01Inpatient Claim Count</v>
      </c>
      <c r="B2008" t="s">
        <v>128</v>
      </c>
      <c r="C2008" t="s">
        <v>128</v>
      </c>
      <c r="D2008" t="s">
        <v>78</v>
      </c>
      <c r="E2008" s="1" t="s">
        <v>99</v>
      </c>
      <c r="F2008" t="s">
        <v>93</v>
      </c>
      <c r="G2008" t="s">
        <v>30</v>
      </c>
      <c r="H2008">
        <v>19</v>
      </c>
      <c r="I2008">
        <v>8959</v>
      </c>
    </row>
    <row r="2009" spans="1:9" x14ac:dyDescent="0.25">
      <c r="A2009" s="5" t="str">
        <f>TrendSheetPrdData[[#This Row],[Population]]&amp;TrendSheetPrdData[[#This Row],[Cost Basis]]&amp;TrendSheetPrdData[[#This Row],[Period]]&amp;TrendSheetPrdData[[#This Row],[Trend]]</f>
        <v>MSSP_ATTRIBUTEDPaid2016-10-01Inpatient Claim Count</v>
      </c>
      <c r="B2009" t="s">
        <v>128</v>
      </c>
      <c r="C2009" t="s">
        <v>128</v>
      </c>
      <c r="D2009" t="s">
        <v>78</v>
      </c>
      <c r="E2009" s="1" t="s">
        <v>100</v>
      </c>
      <c r="F2009" t="s">
        <v>106</v>
      </c>
      <c r="G2009" t="s">
        <v>30</v>
      </c>
      <c r="H2009">
        <v>19</v>
      </c>
      <c r="I2009">
        <v>8705</v>
      </c>
    </row>
    <row r="2010" spans="1:9" x14ac:dyDescent="0.25">
      <c r="A2010" s="5" t="str">
        <f>TrendSheetPrdData[[#This Row],[Population]]&amp;TrendSheetPrdData[[#This Row],[Cost Basis]]&amp;TrendSheetPrdData[[#This Row],[Period]]&amp;TrendSheetPrdData[[#This Row],[Trend]]</f>
        <v>MSSP_ATTRIBUTEDPaid2016-11-01Inpatient Claim Count</v>
      </c>
      <c r="B2010" t="s">
        <v>128</v>
      </c>
      <c r="C2010" t="s">
        <v>128</v>
      </c>
      <c r="D2010" t="s">
        <v>78</v>
      </c>
      <c r="E2010" s="1" t="s">
        <v>101</v>
      </c>
      <c r="F2010" t="s">
        <v>106</v>
      </c>
      <c r="G2010" t="s">
        <v>30</v>
      </c>
      <c r="H2010">
        <v>19</v>
      </c>
      <c r="I2010">
        <v>7268</v>
      </c>
    </row>
    <row r="2011" spans="1:9" x14ac:dyDescent="0.25">
      <c r="A2011" s="5" t="str">
        <f>TrendSheetPrdData[[#This Row],[Population]]&amp;TrendSheetPrdData[[#This Row],[Cost Basis]]&amp;TrendSheetPrdData[[#This Row],[Period]]&amp;TrendSheetPrdData[[#This Row],[Trend]]</f>
        <v>MSSP_ATTRIBUTEDPaid2016-12-01Inpatient Claim Count</v>
      </c>
      <c r="B2011" t="s">
        <v>128</v>
      </c>
      <c r="C2011" t="s">
        <v>128</v>
      </c>
      <c r="D2011" t="s">
        <v>78</v>
      </c>
      <c r="E2011" s="1" t="s">
        <v>102</v>
      </c>
      <c r="F2011" t="s">
        <v>106</v>
      </c>
      <c r="G2011" t="s">
        <v>30</v>
      </c>
      <c r="H2011">
        <v>19</v>
      </c>
      <c r="I2011">
        <v>1142</v>
      </c>
    </row>
    <row r="2012" spans="1:9" x14ac:dyDescent="0.25">
      <c r="A2012" s="5" t="str">
        <f>TrendSheetPrdData[[#This Row],[Population]]&amp;TrendSheetPrdData[[#This Row],[Cost Basis]]&amp;TrendSheetPrdData[[#This Row],[Period]]&amp;TrendSheetPrdData[[#This Row],[Trend]]</f>
        <v>MSSP_ATTRIBUTEDPaid2015-10-01Outpatient Claim Count</v>
      </c>
      <c r="B2012" t="s">
        <v>128</v>
      </c>
      <c r="C2012" t="s">
        <v>128</v>
      </c>
      <c r="D2012" t="s">
        <v>78</v>
      </c>
      <c r="E2012" s="1" t="s">
        <v>134</v>
      </c>
      <c r="F2012" t="s">
        <v>93</v>
      </c>
      <c r="G2012" t="s">
        <v>31</v>
      </c>
      <c r="H2012">
        <v>20</v>
      </c>
      <c r="I2012">
        <v>51410</v>
      </c>
    </row>
    <row r="2013" spans="1:9" x14ac:dyDescent="0.25">
      <c r="A2013" s="5" t="str">
        <f>TrendSheetPrdData[[#This Row],[Population]]&amp;TrendSheetPrdData[[#This Row],[Cost Basis]]&amp;TrendSheetPrdData[[#This Row],[Period]]&amp;TrendSheetPrdData[[#This Row],[Trend]]</f>
        <v>MSSP_ATTRIBUTEDPaid2015-11-01Outpatient Claim Count</v>
      </c>
      <c r="B2013" t="s">
        <v>128</v>
      </c>
      <c r="C2013" t="s">
        <v>128</v>
      </c>
      <c r="D2013" t="s">
        <v>78</v>
      </c>
      <c r="E2013" s="1" t="s">
        <v>130</v>
      </c>
      <c r="F2013" t="s">
        <v>93</v>
      </c>
      <c r="G2013" t="s">
        <v>31</v>
      </c>
      <c r="H2013">
        <v>20</v>
      </c>
      <c r="I2013">
        <v>46365</v>
      </c>
    </row>
    <row r="2014" spans="1:9" x14ac:dyDescent="0.25">
      <c r="A2014" s="5" t="str">
        <f>TrendSheetPrdData[[#This Row],[Population]]&amp;TrendSheetPrdData[[#This Row],[Cost Basis]]&amp;TrendSheetPrdData[[#This Row],[Period]]&amp;TrendSheetPrdData[[#This Row],[Trend]]</f>
        <v>MSSP_ATTRIBUTEDPaid2015-12-01Outpatient Claim Count</v>
      </c>
      <c r="B2014" t="s">
        <v>128</v>
      </c>
      <c r="C2014" t="s">
        <v>128</v>
      </c>
      <c r="D2014" t="s">
        <v>78</v>
      </c>
      <c r="E2014" s="1" t="s">
        <v>131</v>
      </c>
      <c r="F2014" t="s">
        <v>93</v>
      </c>
      <c r="G2014" t="s">
        <v>31</v>
      </c>
      <c r="H2014">
        <v>20</v>
      </c>
      <c r="I2014">
        <v>47859</v>
      </c>
    </row>
    <row r="2015" spans="1:9" x14ac:dyDescent="0.25">
      <c r="A2015" s="5" t="str">
        <f>TrendSheetPrdData[[#This Row],[Population]]&amp;TrendSheetPrdData[[#This Row],[Cost Basis]]&amp;TrendSheetPrdData[[#This Row],[Period]]&amp;TrendSheetPrdData[[#This Row],[Trend]]</f>
        <v>MSSP_ATTRIBUTEDPaid2016-01-01Outpatient Claim Count</v>
      </c>
      <c r="B2015" t="s">
        <v>128</v>
      </c>
      <c r="C2015" t="s">
        <v>128</v>
      </c>
      <c r="D2015" t="s">
        <v>78</v>
      </c>
      <c r="E2015" s="1" t="s">
        <v>132</v>
      </c>
      <c r="F2015" t="s">
        <v>93</v>
      </c>
      <c r="G2015" t="s">
        <v>31</v>
      </c>
      <c r="H2015">
        <v>20</v>
      </c>
      <c r="I2015">
        <v>48659</v>
      </c>
    </row>
    <row r="2016" spans="1:9" x14ac:dyDescent="0.25">
      <c r="A2016" s="5" t="str">
        <f>TrendSheetPrdData[[#This Row],[Population]]&amp;TrendSheetPrdData[[#This Row],[Cost Basis]]&amp;TrendSheetPrdData[[#This Row],[Period]]&amp;TrendSheetPrdData[[#This Row],[Trend]]</f>
        <v>MSSP_ATTRIBUTEDPaid2016-02-01Outpatient Claim Count</v>
      </c>
      <c r="B2016" t="s">
        <v>128</v>
      </c>
      <c r="C2016" t="s">
        <v>128</v>
      </c>
      <c r="D2016" t="s">
        <v>78</v>
      </c>
      <c r="E2016" s="1" t="s">
        <v>133</v>
      </c>
      <c r="F2016" t="s">
        <v>93</v>
      </c>
      <c r="G2016" t="s">
        <v>31</v>
      </c>
      <c r="H2016">
        <v>20</v>
      </c>
      <c r="I2016">
        <v>48012</v>
      </c>
    </row>
    <row r="2017" spans="1:9" x14ac:dyDescent="0.25">
      <c r="A2017" s="5" t="str">
        <f>TrendSheetPrdData[[#This Row],[Population]]&amp;TrendSheetPrdData[[#This Row],[Cost Basis]]&amp;TrendSheetPrdData[[#This Row],[Period]]&amp;TrendSheetPrdData[[#This Row],[Trend]]</f>
        <v>MSSP_ATTRIBUTEDPaid2016-03-01Outpatient Claim Count</v>
      </c>
      <c r="B2017" t="s">
        <v>128</v>
      </c>
      <c r="C2017" t="s">
        <v>128</v>
      </c>
      <c r="D2017" t="s">
        <v>78</v>
      </c>
      <c r="E2017" s="1" t="s">
        <v>92</v>
      </c>
      <c r="F2017" t="s">
        <v>93</v>
      </c>
      <c r="G2017" t="s">
        <v>31</v>
      </c>
      <c r="H2017">
        <v>20</v>
      </c>
      <c r="I2017">
        <v>53276</v>
      </c>
    </row>
    <row r="2018" spans="1:9" x14ac:dyDescent="0.25">
      <c r="A2018" s="5" t="str">
        <f>TrendSheetPrdData[[#This Row],[Population]]&amp;TrendSheetPrdData[[#This Row],[Cost Basis]]&amp;TrendSheetPrdData[[#This Row],[Period]]&amp;TrendSheetPrdData[[#This Row],[Trend]]</f>
        <v>MSSP_ATTRIBUTEDPaid2016-04-01Outpatient Claim Count</v>
      </c>
      <c r="B2018" t="s">
        <v>128</v>
      </c>
      <c r="C2018" t="s">
        <v>128</v>
      </c>
      <c r="D2018" t="s">
        <v>78</v>
      </c>
      <c r="E2018" s="1" t="s">
        <v>94</v>
      </c>
      <c r="F2018" t="s">
        <v>93</v>
      </c>
      <c r="G2018" t="s">
        <v>31</v>
      </c>
      <c r="H2018">
        <v>20</v>
      </c>
      <c r="I2018">
        <v>50476</v>
      </c>
    </row>
    <row r="2019" spans="1:9" x14ac:dyDescent="0.25">
      <c r="A2019" s="5" t="str">
        <f>TrendSheetPrdData[[#This Row],[Population]]&amp;TrendSheetPrdData[[#This Row],[Cost Basis]]&amp;TrendSheetPrdData[[#This Row],[Period]]&amp;TrendSheetPrdData[[#This Row],[Trend]]</f>
        <v>MSSP_ATTRIBUTEDPaid2016-05-01Outpatient Claim Count</v>
      </c>
      <c r="B2019" t="s">
        <v>128</v>
      </c>
      <c r="C2019" t="s">
        <v>128</v>
      </c>
      <c r="D2019" t="s">
        <v>78</v>
      </c>
      <c r="E2019" s="1" t="s">
        <v>95</v>
      </c>
      <c r="F2019" t="s">
        <v>93</v>
      </c>
      <c r="G2019" t="s">
        <v>31</v>
      </c>
      <c r="H2019">
        <v>20</v>
      </c>
      <c r="I2019">
        <v>50772</v>
      </c>
    </row>
    <row r="2020" spans="1:9" x14ac:dyDescent="0.25">
      <c r="A2020" s="5" t="str">
        <f>TrendSheetPrdData[[#This Row],[Population]]&amp;TrendSheetPrdData[[#This Row],[Cost Basis]]&amp;TrendSheetPrdData[[#This Row],[Period]]&amp;TrendSheetPrdData[[#This Row],[Trend]]</f>
        <v>MSSP_ATTRIBUTEDPaid2016-06-01Outpatient Claim Count</v>
      </c>
      <c r="B2020" t="s">
        <v>128</v>
      </c>
      <c r="C2020" t="s">
        <v>128</v>
      </c>
      <c r="D2020" t="s">
        <v>78</v>
      </c>
      <c r="E2020" s="1" t="s">
        <v>96</v>
      </c>
      <c r="F2020" t="s">
        <v>93</v>
      </c>
      <c r="G2020" t="s">
        <v>31</v>
      </c>
      <c r="H2020">
        <v>20</v>
      </c>
      <c r="I2020">
        <v>50238</v>
      </c>
    </row>
    <row r="2021" spans="1:9" x14ac:dyDescent="0.25">
      <c r="A2021" s="5" t="str">
        <f>TrendSheetPrdData[[#This Row],[Population]]&amp;TrendSheetPrdData[[#This Row],[Cost Basis]]&amp;TrendSheetPrdData[[#This Row],[Period]]&amp;TrendSheetPrdData[[#This Row],[Trend]]</f>
        <v>MSSP_ATTRIBUTEDPaid2016-07-01Outpatient Claim Count</v>
      </c>
      <c r="B2021" t="s">
        <v>128</v>
      </c>
      <c r="C2021" t="s">
        <v>128</v>
      </c>
      <c r="D2021" t="s">
        <v>78</v>
      </c>
      <c r="E2021" s="1" t="s">
        <v>97</v>
      </c>
      <c r="F2021" t="s">
        <v>93</v>
      </c>
      <c r="G2021" t="s">
        <v>31</v>
      </c>
      <c r="H2021">
        <v>20</v>
      </c>
      <c r="I2021">
        <v>46289</v>
      </c>
    </row>
    <row r="2022" spans="1:9" x14ac:dyDescent="0.25">
      <c r="A2022" s="5" t="str">
        <f>TrendSheetPrdData[[#This Row],[Population]]&amp;TrendSheetPrdData[[#This Row],[Cost Basis]]&amp;TrendSheetPrdData[[#This Row],[Period]]&amp;TrendSheetPrdData[[#This Row],[Trend]]</f>
        <v>MSSP_ATTRIBUTEDPaid2016-08-01Outpatient Claim Count</v>
      </c>
      <c r="B2022" t="s">
        <v>128</v>
      </c>
      <c r="C2022" t="s">
        <v>128</v>
      </c>
      <c r="D2022" t="s">
        <v>78</v>
      </c>
      <c r="E2022" s="1" t="s">
        <v>98</v>
      </c>
      <c r="F2022" t="s">
        <v>93</v>
      </c>
      <c r="G2022" t="s">
        <v>31</v>
      </c>
      <c r="H2022">
        <v>20</v>
      </c>
      <c r="I2022">
        <v>50111</v>
      </c>
    </row>
    <row r="2023" spans="1:9" x14ac:dyDescent="0.25">
      <c r="A2023" s="5" t="str">
        <f>TrendSheetPrdData[[#This Row],[Population]]&amp;TrendSheetPrdData[[#This Row],[Cost Basis]]&amp;TrendSheetPrdData[[#This Row],[Period]]&amp;TrendSheetPrdData[[#This Row],[Trend]]</f>
        <v>MSSP_ATTRIBUTEDPaid2016-09-01Outpatient Claim Count</v>
      </c>
      <c r="B2023" t="s">
        <v>128</v>
      </c>
      <c r="C2023" t="s">
        <v>128</v>
      </c>
      <c r="D2023" t="s">
        <v>78</v>
      </c>
      <c r="E2023" s="1" t="s">
        <v>99</v>
      </c>
      <c r="F2023" t="s">
        <v>93</v>
      </c>
      <c r="G2023" t="s">
        <v>31</v>
      </c>
      <c r="H2023">
        <v>20</v>
      </c>
      <c r="I2023">
        <v>48126</v>
      </c>
    </row>
    <row r="2024" spans="1:9" x14ac:dyDescent="0.25">
      <c r="A2024" s="5" t="str">
        <f>TrendSheetPrdData[[#This Row],[Population]]&amp;TrendSheetPrdData[[#This Row],[Cost Basis]]&amp;TrendSheetPrdData[[#This Row],[Period]]&amp;TrendSheetPrdData[[#This Row],[Trend]]</f>
        <v>MSSP_ATTRIBUTEDPaid2016-10-01Outpatient Claim Count</v>
      </c>
      <c r="B2024" t="s">
        <v>128</v>
      </c>
      <c r="C2024" t="s">
        <v>128</v>
      </c>
      <c r="D2024" t="s">
        <v>78</v>
      </c>
      <c r="E2024" s="1" t="s">
        <v>100</v>
      </c>
      <c r="F2024" t="s">
        <v>106</v>
      </c>
      <c r="G2024" t="s">
        <v>31</v>
      </c>
      <c r="H2024">
        <v>20</v>
      </c>
      <c r="I2024">
        <v>42628</v>
      </c>
    </row>
    <row r="2025" spans="1:9" x14ac:dyDescent="0.25">
      <c r="A2025" s="5" t="str">
        <f>TrendSheetPrdData[[#This Row],[Population]]&amp;TrendSheetPrdData[[#This Row],[Cost Basis]]&amp;TrendSheetPrdData[[#This Row],[Period]]&amp;TrendSheetPrdData[[#This Row],[Trend]]</f>
        <v>MSSP_ATTRIBUTEDPaid2016-11-01Outpatient Claim Count</v>
      </c>
      <c r="B2025" t="s">
        <v>128</v>
      </c>
      <c r="C2025" t="s">
        <v>128</v>
      </c>
      <c r="D2025" t="s">
        <v>78</v>
      </c>
      <c r="E2025" s="1" t="s">
        <v>101</v>
      </c>
      <c r="F2025" t="s">
        <v>106</v>
      </c>
      <c r="G2025" t="s">
        <v>31</v>
      </c>
      <c r="H2025">
        <v>20</v>
      </c>
      <c r="I2025">
        <v>38748</v>
      </c>
    </row>
    <row r="2026" spans="1:9" x14ac:dyDescent="0.25">
      <c r="A2026" s="5" t="str">
        <f>TrendSheetPrdData[[#This Row],[Population]]&amp;TrendSheetPrdData[[#This Row],[Cost Basis]]&amp;TrendSheetPrdData[[#This Row],[Period]]&amp;TrendSheetPrdData[[#This Row],[Trend]]</f>
        <v>MSSP_ATTRIBUTEDPaid2016-12-01Outpatient Claim Count</v>
      </c>
      <c r="B2026" t="s">
        <v>128</v>
      </c>
      <c r="C2026" t="s">
        <v>128</v>
      </c>
      <c r="D2026" t="s">
        <v>78</v>
      </c>
      <c r="E2026" s="1" t="s">
        <v>102</v>
      </c>
      <c r="F2026" t="s">
        <v>106</v>
      </c>
      <c r="G2026" t="s">
        <v>31</v>
      </c>
      <c r="H2026">
        <v>20</v>
      </c>
      <c r="I2026">
        <v>6372</v>
      </c>
    </row>
    <row r="2027" spans="1:9" x14ac:dyDescent="0.25">
      <c r="A2027" s="5" t="str">
        <f>TrendSheetPrdData[[#This Row],[Population]]&amp;TrendSheetPrdData[[#This Row],[Cost Basis]]&amp;TrendSheetPrdData[[#This Row],[Period]]&amp;TrendSheetPrdData[[#This Row],[Trend]]</f>
        <v>MSSP_ATTRIBUTEDPaid2015-10-01Professional Claim Count</v>
      </c>
      <c r="B2027" t="s">
        <v>128</v>
      </c>
      <c r="C2027" t="s">
        <v>128</v>
      </c>
      <c r="D2027" t="s">
        <v>78</v>
      </c>
      <c r="E2027" s="1" t="s">
        <v>134</v>
      </c>
      <c r="F2027" t="s">
        <v>93</v>
      </c>
      <c r="G2027" t="s">
        <v>32</v>
      </c>
      <c r="H2027">
        <v>21</v>
      </c>
      <c r="I2027">
        <v>152284</v>
      </c>
    </row>
    <row r="2028" spans="1:9" x14ac:dyDescent="0.25">
      <c r="A2028" s="5" t="str">
        <f>TrendSheetPrdData[[#This Row],[Population]]&amp;TrendSheetPrdData[[#This Row],[Cost Basis]]&amp;TrendSheetPrdData[[#This Row],[Period]]&amp;TrendSheetPrdData[[#This Row],[Trend]]</f>
        <v>MSSP_ATTRIBUTEDPaid2015-11-01Professional Claim Count</v>
      </c>
      <c r="B2028" t="s">
        <v>128</v>
      </c>
      <c r="C2028" t="s">
        <v>128</v>
      </c>
      <c r="D2028" t="s">
        <v>78</v>
      </c>
      <c r="E2028" s="1" t="s">
        <v>130</v>
      </c>
      <c r="F2028" t="s">
        <v>93</v>
      </c>
      <c r="G2028" t="s">
        <v>32</v>
      </c>
      <c r="H2028">
        <v>21</v>
      </c>
      <c r="I2028">
        <v>126065</v>
      </c>
    </row>
    <row r="2029" spans="1:9" x14ac:dyDescent="0.25">
      <c r="A2029" s="5" t="str">
        <f>TrendSheetPrdData[[#This Row],[Population]]&amp;TrendSheetPrdData[[#This Row],[Cost Basis]]&amp;TrendSheetPrdData[[#This Row],[Period]]&amp;TrendSheetPrdData[[#This Row],[Trend]]</f>
        <v>MSSP_ATTRIBUTEDPaid2015-12-01Professional Claim Count</v>
      </c>
      <c r="B2029" t="s">
        <v>128</v>
      </c>
      <c r="C2029" t="s">
        <v>128</v>
      </c>
      <c r="D2029" t="s">
        <v>78</v>
      </c>
      <c r="E2029" s="1" t="s">
        <v>131</v>
      </c>
      <c r="F2029" t="s">
        <v>93</v>
      </c>
      <c r="G2029" t="s">
        <v>32</v>
      </c>
      <c r="H2029">
        <v>21</v>
      </c>
      <c r="I2029">
        <v>128946</v>
      </c>
    </row>
    <row r="2030" spans="1:9" x14ac:dyDescent="0.25">
      <c r="A2030" s="5" t="str">
        <f>TrendSheetPrdData[[#This Row],[Population]]&amp;TrendSheetPrdData[[#This Row],[Cost Basis]]&amp;TrendSheetPrdData[[#This Row],[Period]]&amp;TrendSheetPrdData[[#This Row],[Trend]]</f>
        <v>MSSP_ATTRIBUTEDPaid2016-01-01Professional Claim Count</v>
      </c>
      <c r="B2030" t="s">
        <v>128</v>
      </c>
      <c r="C2030" t="s">
        <v>128</v>
      </c>
      <c r="D2030" t="s">
        <v>78</v>
      </c>
      <c r="E2030" s="1" t="s">
        <v>132</v>
      </c>
      <c r="F2030" t="s">
        <v>93</v>
      </c>
      <c r="G2030" t="s">
        <v>32</v>
      </c>
      <c r="H2030">
        <v>21</v>
      </c>
      <c r="I2030">
        <v>102481</v>
      </c>
    </row>
    <row r="2031" spans="1:9" x14ac:dyDescent="0.25">
      <c r="A2031" s="5" t="str">
        <f>TrendSheetPrdData[[#This Row],[Population]]&amp;TrendSheetPrdData[[#This Row],[Cost Basis]]&amp;TrendSheetPrdData[[#This Row],[Period]]&amp;TrendSheetPrdData[[#This Row],[Trend]]</f>
        <v>MSSP_ATTRIBUTEDPaid2016-02-01Professional Claim Count</v>
      </c>
      <c r="B2031" t="s">
        <v>128</v>
      </c>
      <c r="C2031" t="s">
        <v>128</v>
      </c>
      <c r="D2031" t="s">
        <v>78</v>
      </c>
      <c r="E2031" s="1" t="s">
        <v>133</v>
      </c>
      <c r="F2031" t="s">
        <v>93</v>
      </c>
      <c r="G2031" t="s">
        <v>32</v>
      </c>
      <c r="H2031">
        <v>21</v>
      </c>
      <c r="I2031">
        <v>100254</v>
      </c>
    </row>
    <row r="2032" spans="1:9" x14ac:dyDescent="0.25">
      <c r="A2032" s="5" t="str">
        <f>TrendSheetPrdData[[#This Row],[Population]]&amp;TrendSheetPrdData[[#This Row],[Cost Basis]]&amp;TrendSheetPrdData[[#This Row],[Period]]&amp;TrendSheetPrdData[[#This Row],[Trend]]</f>
        <v>MSSP_ATTRIBUTEDPaid2016-03-01Professional Claim Count</v>
      </c>
      <c r="B2032" t="s">
        <v>128</v>
      </c>
      <c r="C2032" t="s">
        <v>128</v>
      </c>
      <c r="D2032" t="s">
        <v>78</v>
      </c>
      <c r="E2032" s="1" t="s">
        <v>92</v>
      </c>
      <c r="F2032" t="s">
        <v>93</v>
      </c>
      <c r="G2032" t="s">
        <v>32</v>
      </c>
      <c r="H2032">
        <v>21</v>
      </c>
      <c r="I2032">
        <v>101180</v>
      </c>
    </row>
    <row r="2033" spans="1:9" x14ac:dyDescent="0.25">
      <c r="A2033" s="5" t="str">
        <f>TrendSheetPrdData[[#This Row],[Population]]&amp;TrendSheetPrdData[[#This Row],[Cost Basis]]&amp;TrendSheetPrdData[[#This Row],[Period]]&amp;TrendSheetPrdData[[#This Row],[Trend]]</f>
        <v>MSSP_ATTRIBUTEDPaid2016-04-01Professional Claim Count</v>
      </c>
      <c r="B2033" t="s">
        <v>128</v>
      </c>
      <c r="C2033" t="s">
        <v>128</v>
      </c>
      <c r="D2033" t="s">
        <v>78</v>
      </c>
      <c r="E2033" s="1" t="s">
        <v>94</v>
      </c>
      <c r="F2033" t="s">
        <v>93</v>
      </c>
      <c r="G2033" t="s">
        <v>32</v>
      </c>
      <c r="H2033">
        <v>21</v>
      </c>
      <c r="I2033">
        <v>92061</v>
      </c>
    </row>
    <row r="2034" spans="1:9" x14ac:dyDescent="0.25">
      <c r="A2034" s="5" t="str">
        <f>TrendSheetPrdData[[#This Row],[Population]]&amp;TrendSheetPrdData[[#This Row],[Cost Basis]]&amp;TrendSheetPrdData[[#This Row],[Period]]&amp;TrendSheetPrdData[[#This Row],[Trend]]</f>
        <v>MSSP_ATTRIBUTEDPaid2016-05-01Professional Claim Count</v>
      </c>
      <c r="B2034" t="s">
        <v>128</v>
      </c>
      <c r="C2034" t="s">
        <v>128</v>
      </c>
      <c r="D2034" t="s">
        <v>78</v>
      </c>
      <c r="E2034" s="1" t="s">
        <v>95</v>
      </c>
      <c r="F2034" t="s">
        <v>93</v>
      </c>
      <c r="G2034" t="s">
        <v>32</v>
      </c>
      <c r="H2034">
        <v>21</v>
      </c>
      <c r="I2034">
        <v>92064</v>
      </c>
    </row>
    <row r="2035" spans="1:9" x14ac:dyDescent="0.25">
      <c r="A2035" s="5" t="str">
        <f>TrendSheetPrdData[[#This Row],[Population]]&amp;TrendSheetPrdData[[#This Row],[Cost Basis]]&amp;TrendSheetPrdData[[#This Row],[Period]]&amp;TrendSheetPrdData[[#This Row],[Trend]]</f>
        <v>MSSP_ATTRIBUTEDPaid2016-06-01Professional Claim Count</v>
      </c>
      <c r="B2035" t="s">
        <v>128</v>
      </c>
      <c r="C2035" t="s">
        <v>128</v>
      </c>
      <c r="D2035" t="s">
        <v>78</v>
      </c>
      <c r="E2035" s="1" t="s">
        <v>96</v>
      </c>
      <c r="F2035" t="s">
        <v>93</v>
      </c>
      <c r="G2035" t="s">
        <v>32</v>
      </c>
      <c r="H2035">
        <v>21</v>
      </c>
      <c r="I2035">
        <v>92658</v>
      </c>
    </row>
    <row r="2036" spans="1:9" x14ac:dyDescent="0.25">
      <c r="A2036" s="5" t="str">
        <f>TrendSheetPrdData[[#This Row],[Population]]&amp;TrendSheetPrdData[[#This Row],[Cost Basis]]&amp;TrendSheetPrdData[[#This Row],[Period]]&amp;TrendSheetPrdData[[#This Row],[Trend]]</f>
        <v>MSSP_ATTRIBUTEDPaid2016-07-01Professional Claim Count</v>
      </c>
      <c r="B2036" t="s">
        <v>128</v>
      </c>
      <c r="C2036" t="s">
        <v>128</v>
      </c>
      <c r="D2036" t="s">
        <v>78</v>
      </c>
      <c r="E2036" s="1" t="s">
        <v>97</v>
      </c>
      <c r="F2036" t="s">
        <v>93</v>
      </c>
      <c r="G2036" t="s">
        <v>32</v>
      </c>
      <c r="H2036">
        <v>21</v>
      </c>
      <c r="I2036">
        <v>84106</v>
      </c>
    </row>
    <row r="2037" spans="1:9" x14ac:dyDescent="0.25">
      <c r="A2037" s="5" t="str">
        <f>TrendSheetPrdData[[#This Row],[Population]]&amp;TrendSheetPrdData[[#This Row],[Cost Basis]]&amp;TrendSheetPrdData[[#This Row],[Period]]&amp;TrendSheetPrdData[[#This Row],[Trend]]</f>
        <v>MSSP_ATTRIBUTEDPaid2016-08-01Professional Claim Count</v>
      </c>
      <c r="B2037" t="s">
        <v>128</v>
      </c>
      <c r="C2037" t="s">
        <v>128</v>
      </c>
      <c r="D2037" t="s">
        <v>78</v>
      </c>
      <c r="E2037" s="1" t="s">
        <v>98</v>
      </c>
      <c r="F2037" t="s">
        <v>93</v>
      </c>
      <c r="G2037" t="s">
        <v>32</v>
      </c>
      <c r="H2037">
        <v>21</v>
      </c>
      <c r="I2037">
        <v>93080</v>
      </c>
    </row>
    <row r="2038" spans="1:9" x14ac:dyDescent="0.25">
      <c r="A2038" s="5" t="str">
        <f>TrendSheetPrdData[[#This Row],[Population]]&amp;TrendSheetPrdData[[#This Row],[Cost Basis]]&amp;TrendSheetPrdData[[#This Row],[Period]]&amp;TrendSheetPrdData[[#This Row],[Trend]]</f>
        <v>MSSP_ATTRIBUTEDPaid2016-09-01Professional Claim Count</v>
      </c>
      <c r="B2038" t="s">
        <v>128</v>
      </c>
      <c r="C2038" t="s">
        <v>128</v>
      </c>
      <c r="D2038" t="s">
        <v>78</v>
      </c>
      <c r="E2038" s="1" t="s">
        <v>99</v>
      </c>
      <c r="F2038" t="s">
        <v>93</v>
      </c>
      <c r="G2038" t="s">
        <v>32</v>
      </c>
      <c r="H2038">
        <v>21</v>
      </c>
      <c r="I2038">
        <v>91519</v>
      </c>
    </row>
    <row r="2039" spans="1:9" x14ac:dyDescent="0.25">
      <c r="A2039" s="5" t="str">
        <f>TrendSheetPrdData[[#This Row],[Population]]&amp;TrendSheetPrdData[[#This Row],[Cost Basis]]&amp;TrendSheetPrdData[[#This Row],[Period]]&amp;TrendSheetPrdData[[#This Row],[Trend]]</f>
        <v>MSSP_ATTRIBUTEDPaid2016-10-01Professional Claim Count</v>
      </c>
      <c r="B2039" t="s">
        <v>128</v>
      </c>
      <c r="C2039" t="s">
        <v>128</v>
      </c>
      <c r="D2039" t="s">
        <v>78</v>
      </c>
      <c r="E2039" s="1" t="s">
        <v>100</v>
      </c>
      <c r="F2039" t="s">
        <v>106</v>
      </c>
      <c r="G2039" t="s">
        <v>32</v>
      </c>
      <c r="H2039">
        <v>21</v>
      </c>
      <c r="I2039">
        <v>91932</v>
      </c>
    </row>
    <row r="2040" spans="1:9" x14ac:dyDescent="0.25">
      <c r="A2040" s="5" t="str">
        <f>TrendSheetPrdData[[#This Row],[Population]]&amp;TrendSheetPrdData[[#This Row],[Cost Basis]]&amp;TrendSheetPrdData[[#This Row],[Period]]&amp;TrendSheetPrdData[[#This Row],[Trend]]</f>
        <v>MSSP_ATTRIBUTEDPaid2016-11-01Professional Claim Count</v>
      </c>
      <c r="B2040" t="s">
        <v>128</v>
      </c>
      <c r="C2040" t="s">
        <v>128</v>
      </c>
      <c r="D2040" t="s">
        <v>78</v>
      </c>
      <c r="E2040" s="1" t="s">
        <v>101</v>
      </c>
      <c r="F2040" t="s">
        <v>106</v>
      </c>
      <c r="G2040" t="s">
        <v>32</v>
      </c>
      <c r="H2040">
        <v>21</v>
      </c>
      <c r="I2040">
        <v>83563</v>
      </c>
    </row>
    <row r="2041" spans="1:9" x14ac:dyDescent="0.25">
      <c r="A2041" s="5" t="str">
        <f>TrendSheetPrdData[[#This Row],[Population]]&amp;TrendSheetPrdData[[#This Row],[Cost Basis]]&amp;TrendSheetPrdData[[#This Row],[Period]]&amp;TrendSheetPrdData[[#This Row],[Trend]]</f>
        <v>MSSP_ATTRIBUTEDPaid2016-12-01Professional Claim Count</v>
      </c>
      <c r="B2041" t="s">
        <v>128</v>
      </c>
      <c r="C2041" t="s">
        <v>128</v>
      </c>
      <c r="D2041" t="s">
        <v>78</v>
      </c>
      <c r="E2041" s="1" t="s">
        <v>102</v>
      </c>
      <c r="F2041" t="s">
        <v>106</v>
      </c>
      <c r="G2041" t="s">
        <v>32</v>
      </c>
      <c r="H2041">
        <v>21</v>
      </c>
      <c r="I2041">
        <v>31481</v>
      </c>
    </row>
    <row r="2042" spans="1:9" x14ac:dyDescent="0.25">
      <c r="A2042" s="5" t="str">
        <f>TrendSheetPrdData[[#This Row],[Population]]&amp;TrendSheetPrdData[[#This Row],[Cost Basis]]&amp;TrendSheetPrdData[[#This Row],[Period]]&amp;TrendSheetPrdData[[#This Row],[Trend]]</f>
        <v>MSSP_ATTRIBUTEDPaid2015-10-01Ancillary Claim Count</v>
      </c>
      <c r="B2042" t="s">
        <v>128</v>
      </c>
      <c r="C2042" t="s">
        <v>128</v>
      </c>
      <c r="D2042" t="s">
        <v>78</v>
      </c>
      <c r="E2042" s="1" t="s">
        <v>134</v>
      </c>
      <c r="F2042" t="s">
        <v>93</v>
      </c>
      <c r="G2042" t="s">
        <v>33</v>
      </c>
      <c r="H2042">
        <v>22</v>
      </c>
      <c r="I2042">
        <v>31496</v>
      </c>
    </row>
    <row r="2043" spans="1:9" x14ac:dyDescent="0.25">
      <c r="A2043" s="5" t="str">
        <f>TrendSheetPrdData[[#This Row],[Population]]&amp;TrendSheetPrdData[[#This Row],[Cost Basis]]&amp;TrendSheetPrdData[[#This Row],[Period]]&amp;TrendSheetPrdData[[#This Row],[Trend]]</f>
        <v>MSSP_ATTRIBUTEDPaid2015-11-01Ancillary Claim Count</v>
      </c>
      <c r="B2043" t="s">
        <v>128</v>
      </c>
      <c r="C2043" t="s">
        <v>128</v>
      </c>
      <c r="D2043" t="s">
        <v>78</v>
      </c>
      <c r="E2043" s="1" t="s">
        <v>130</v>
      </c>
      <c r="F2043" t="s">
        <v>93</v>
      </c>
      <c r="G2043" t="s">
        <v>33</v>
      </c>
      <c r="H2043">
        <v>22</v>
      </c>
      <c r="I2043">
        <v>30342</v>
      </c>
    </row>
    <row r="2044" spans="1:9" x14ac:dyDescent="0.25">
      <c r="A2044" s="5" t="str">
        <f>TrendSheetPrdData[[#This Row],[Population]]&amp;TrendSheetPrdData[[#This Row],[Cost Basis]]&amp;TrendSheetPrdData[[#This Row],[Period]]&amp;TrendSheetPrdData[[#This Row],[Trend]]</f>
        <v>MSSP_ATTRIBUTEDPaid2015-12-01Ancillary Claim Count</v>
      </c>
      <c r="B2044" t="s">
        <v>128</v>
      </c>
      <c r="C2044" t="s">
        <v>128</v>
      </c>
      <c r="D2044" t="s">
        <v>78</v>
      </c>
      <c r="E2044" s="1" t="s">
        <v>131</v>
      </c>
      <c r="F2044" t="s">
        <v>93</v>
      </c>
      <c r="G2044" t="s">
        <v>33</v>
      </c>
      <c r="H2044">
        <v>22</v>
      </c>
      <c r="I2044">
        <v>31161</v>
      </c>
    </row>
    <row r="2045" spans="1:9" x14ac:dyDescent="0.25">
      <c r="A2045" s="5" t="str">
        <f>TrendSheetPrdData[[#This Row],[Population]]&amp;TrendSheetPrdData[[#This Row],[Cost Basis]]&amp;TrendSheetPrdData[[#This Row],[Period]]&amp;TrendSheetPrdData[[#This Row],[Trend]]</f>
        <v>MSSP_ATTRIBUTEDPaid2016-01-01Ancillary Claim Count</v>
      </c>
      <c r="B2045" t="s">
        <v>128</v>
      </c>
      <c r="C2045" t="s">
        <v>128</v>
      </c>
      <c r="D2045" t="s">
        <v>78</v>
      </c>
      <c r="E2045" s="1" t="s">
        <v>132</v>
      </c>
      <c r="F2045" t="s">
        <v>93</v>
      </c>
      <c r="G2045" t="s">
        <v>33</v>
      </c>
      <c r="H2045">
        <v>22</v>
      </c>
      <c r="I2045">
        <v>29115</v>
      </c>
    </row>
    <row r="2046" spans="1:9" x14ac:dyDescent="0.25">
      <c r="A2046" s="5" t="str">
        <f>TrendSheetPrdData[[#This Row],[Population]]&amp;TrendSheetPrdData[[#This Row],[Cost Basis]]&amp;TrendSheetPrdData[[#This Row],[Period]]&amp;TrendSheetPrdData[[#This Row],[Trend]]</f>
        <v>MSSP_ATTRIBUTEDPaid2016-02-01Ancillary Claim Count</v>
      </c>
      <c r="B2046" t="s">
        <v>128</v>
      </c>
      <c r="C2046" t="s">
        <v>128</v>
      </c>
      <c r="D2046" t="s">
        <v>78</v>
      </c>
      <c r="E2046" s="1" t="s">
        <v>133</v>
      </c>
      <c r="F2046" t="s">
        <v>93</v>
      </c>
      <c r="G2046" t="s">
        <v>33</v>
      </c>
      <c r="H2046">
        <v>22</v>
      </c>
      <c r="I2046">
        <v>30334</v>
      </c>
    </row>
    <row r="2047" spans="1:9" x14ac:dyDescent="0.25">
      <c r="A2047" s="5" t="str">
        <f>TrendSheetPrdData[[#This Row],[Population]]&amp;TrendSheetPrdData[[#This Row],[Cost Basis]]&amp;TrendSheetPrdData[[#This Row],[Period]]&amp;TrendSheetPrdData[[#This Row],[Trend]]</f>
        <v>MSSP_ATTRIBUTEDPaid2016-03-01Ancillary Claim Count</v>
      </c>
      <c r="B2047" t="s">
        <v>128</v>
      </c>
      <c r="C2047" t="s">
        <v>128</v>
      </c>
      <c r="D2047" t="s">
        <v>78</v>
      </c>
      <c r="E2047" s="1" t="s">
        <v>92</v>
      </c>
      <c r="F2047" t="s">
        <v>93</v>
      </c>
      <c r="G2047" t="s">
        <v>33</v>
      </c>
      <c r="H2047">
        <v>22</v>
      </c>
      <c r="I2047">
        <v>34827</v>
      </c>
    </row>
    <row r="2048" spans="1:9" x14ac:dyDescent="0.25">
      <c r="A2048" s="5" t="str">
        <f>TrendSheetPrdData[[#This Row],[Population]]&amp;TrendSheetPrdData[[#This Row],[Cost Basis]]&amp;TrendSheetPrdData[[#This Row],[Period]]&amp;TrendSheetPrdData[[#This Row],[Trend]]</f>
        <v>MSSP_ATTRIBUTEDPaid2016-04-01Ancillary Claim Count</v>
      </c>
      <c r="B2048" t="s">
        <v>128</v>
      </c>
      <c r="C2048" t="s">
        <v>128</v>
      </c>
      <c r="D2048" t="s">
        <v>78</v>
      </c>
      <c r="E2048" s="1" t="s">
        <v>94</v>
      </c>
      <c r="F2048" t="s">
        <v>93</v>
      </c>
      <c r="G2048" t="s">
        <v>33</v>
      </c>
      <c r="H2048">
        <v>22</v>
      </c>
      <c r="I2048">
        <v>31876</v>
      </c>
    </row>
    <row r="2049" spans="1:9" x14ac:dyDescent="0.25">
      <c r="A2049" s="5" t="str">
        <f>TrendSheetPrdData[[#This Row],[Population]]&amp;TrendSheetPrdData[[#This Row],[Cost Basis]]&amp;TrendSheetPrdData[[#This Row],[Period]]&amp;TrendSheetPrdData[[#This Row],[Trend]]</f>
        <v>MSSP_ATTRIBUTEDPaid2016-05-01Ancillary Claim Count</v>
      </c>
      <c r="B2049" t="s">
        <v>128</v>
      </c>
      <c r="C2049" t="s">
        <v>128</v>
      </c>
      <c r="D2049" t="s">
        <v>78</v>
      </c>
      <c r="E2049" s="1" t="s">
        <v>95</v>
      </c>
      <c r="F2049" t="s">
        <v>93</v>
      </c>
      <c r="G2049" t="s">
        <v>33</v>
      </c>
      <c r="H2049">
        <v>22</v>
      </c>
      <c r="I2049">
        <v>29986</v>
      </c>
    </row>
    <row r="2050" spans="1:9" x14ac:dyDescent="0.25">
      <c r="A2050" s="5" t="str">
        <f>TrendSheetPrdData[[#This Row],[Population]]&amp;TrendSheetPrdData[[#This Row],[Cost Basis]]&amp;TrendSheetPrdData[[#This Row],[Period]]&amp;TrendSheetPrdData[[#This Row],[Trend]]</f>
        <v>MSSP_ATTRIBUTEDPaid2016-06-01Ancillary Claim Count</v>
      </c>
      <c r="B2050" t="s">
        <v>128</v>
      </c>
      <c r="C2050" t="s">
        <v>128</v>
      </c>
      <c r="D2050" t="s">
        <v>78</v>
      </c>
      <c r="E2050" s="1" t="s">
        <v>96</v>
      </c>
      <c r="F2050" t="s">
        <v>93</v>
      </c>
      <c r="G2050" t="s">
        <v>33</v>
      </c>
      <c r="H2050">
        <v>22</v>
      </c>
      <c r="I2050">
        <v>29138</v>
      </c>
    </row>
    <row r="2051" spans="1:9" x14ac:dyDescent="0.25">
      <c r="A2051" s="5" t="str">
        <f>TrendSheetPrdData[[#This Row],[Population]]&amp;TrendSheetPrdData[[#This Row],[Cost Basis]]&amp;TrendSheetPrdData[[#This Row],[Period]]&amp;TrendSheetPrdData[[#This Row],[Trend]]</f>
        <v>MSSP_ATTRIBUTEDPaid2016-07-01Ancillary Claim Count</v>
      </c>
      <c r="B2051" t="s">
        <v>128</v>
      </c>
      <c r="C2051" t="s">
        <v>128</v>
      </c>
      <c r="D2051" t="s">
        <v>78</v>
      </c>
      <c r="E2051" s="1" t="s">
        <v>97</v>
      </c>
      <c r="F2051" t="s">
        <v>93</v>
      </c>
      <c r="G2051" t="s">
        <v>33</v>
      </c>
      <c r="H2051">
        <v>22</v>
      </c>
      <c r="I2051">
        <v>27221</v>
      </c>
    </row>
    <row r="2052" spans="1:9" x14ac:dyDescent="0.25">
      <c r="A2052" s="5" t="str">
        <f>TrendSheetPrdData[[#This Row],[Population]]&amp;TrendSheetPrdData[[#This Row],[Cost Basis]]&amp;TrendSheetPrdData[[#This Row],[Period]]&amp;TrendSheetPrdData[[#This Row],[Trend]]</f>
        <v>MSSP_ATTRIBUTEDPaid2016-08-01Ancillary Claim Count</v>
      </c>
      <c r="B2052" t="s">
        <v>128</v>
      </c>
      <c r="C2052" t="s">
        <v>128</v>
      </c>
      <c r="D2052" t="s">
        <v>78</v>
      </c>
      <c r="E2052" s="1" t="s">
        <v>98</v>
      </c>
      <c r="F2052" t="s">
        <v>93</v>
      </c>
      <c r="G2052" t="s">
        <v>33</v>
      </c>
      <c r="H2052">
        <v>22</v>
      </c>
      <c r="I2052">
        <v>29889</v>
      </c>
    </row>
    <row r="2053" spans="1:9" x14ac:dyDescent="0.25">
      <c r="A2053" s="5" t="str">
        <f>TrendSheetPrdData[[#This Row],[Population]]&amp;TrendSheetPrdData[[#This Row],[Cost Basis]]&amp;TrendSheetPrdData[[#This Row],[Period]]&amp;TrendSheetPrdData[[#This Row],[Trend]]</f>
        <v>MSSP_ATTRIBUTEDPaid2016-09-01Ancillary Claim Count</v>
      </c>
      <c r="B2053" t="s">
        <v>128</v>
      </c>
      <c r="C2053" t="s">
        <v>128</v>
      </c>
      <c r="D2053" t="s">
        <v>78</v>
      </c>
      <c r="E2053" s="1" t="s">
        <v>99</v>
      </c>
      <c r="F2053" t="s">
        <v>93</v>
      </c>
      <c r="G2053" t="s">
        <v>33</v>
      </c>
      <c r="H2053">
        <v>22</v>
      </c>
      <c r="I2053">
        <v>25723</v>
      </c>
    </row>
    <row r="2054" spans="1:9" x14ac:dyDescent="0.25">
      <c r="A2054" s="5" t="str">
        <f>TrendSheetPrdData[[#This Row],[Population]]&amp;TrendSheetPrdData[[#This Row],[Cost Basis]]&amp;TrendSheetPrdData[[#This Row],[Period]]&amp;TrendSheetPrdData[[#This Row],[Trend]]</f>
        <v>MSSP_ATTRIBUTEDPaid2016-10-01Ancillary Claim Count</v>
      </c>
      <c r="B2054" t="s">
        <v>128</v>
      </c>
      <c r="C2054" t="s">
        <v>128</v>
      </c>
      <c r="D2054" t="s">
        <v>78</v>
      </c>
      <c r="E2054" s="1" t="s">
        <v>100</v>
      </c>
      <c r="F2054" t="s">
        <v>106</v>
      </c>
      <c r="G2054" t="s">
        <v>33</v>
      </c>
      <c r="H2054">
        <v>22</v>
      </c>
      <c r="I2054">
        <v>24048</v>
      </c>
    </row>
    <row r="2055" spans="1:9" x14ac:dyDescent="0.25">
      <c r="A2055" s="5" t="str">
        <f>TrendSheetPrdData[[#This Row],[Population]]&amp;TrendSheetPrdData[[#This Row],[Cost Basis]]&amp;TrendSheetPrdData[[#This Row],[Period]]&amp;TrendSheetPrdData[[#This Row],[Trend]]</f>
        <v>MSSP_ATTRIBUTEDPaid2016-11-01Ancillary Claim Count</v>
      </c>
      <c r="B2055" t="s">
        <v>128</v>
      </c>
      <c r="C2055" t="s">
        <v>128</v>
      </c>
      <c r="D2055" t="s">
        <v>78</v>
      </c>
      <c r="E2055" s="1" t="s">
        <v>101</v>
      </c>
      <c r="F2055" t="s">
        <v>106</v>
      </c>
      <c r="G2055" t="s">
        <v>33</v>
      </c>
      <c r="H2055">
        <v>22</v>
      </c>
      <c r="I2055">
        <v>19757</v>
      </c>
    </row>
    <row r="2056" spans="1:9" x14ac:dyDescent="0.25">
      <c r="A2056" s="5" t="str">
        <f>TrendSheetPrdData[[#This Row],[Population]]&amp;TrendSheetPrdData[[#This Row],[Cost Basis]]&amp;TrendSheetPrdData[[#This Row],[Period]]&amp;TrendSheetPrdData[[#This Row],[Trend]]</f>
        <v>MSSP_ATTRIBUTEDPaid2016-12-01Ancillary Claim Count</v>
      </c>
      <c r="B2056" t="s">
        <v>128</v>
      </c>
      <c r="C2056" t="s">
        <v>128</v>
      </c>
      <c r="D2056" t="s">
        <v>78</v>
      </c>
      <c r="E2056" s="1" t="s">
        <v>102</v>
      </c>
      <c r="F2056" t="s">
        <v>106</v>
      </c>
      <c r="G2056" t="s">
        <v>33</v>
      </c>
      <c r="H2056">
        <v>22</v>
      </c>
      <c r="I2056">
        <v>6582</v>
      </c>
    </row>
    <row r="2057" spans="1:9" x14ac:dyDescent="0.25">
      <c r="A2057" s="5" t="str">
        <f>TrendSheetPrdData[[#This Row],[Population]]&amp;TrendSheetPrdData[[#This Row],[Cost Basis]]&amp;TrendSheetPrdData[[#This Row],[Period]]&amp;TrendSheetPrdData[[#This Row],[Trend]]</f>
        <v>MSSP_ATTRIBUTEDPaid2015-10-01Drug Claim Count</v>
      </c>
      <c r="B2057" t="s">
        <v>128</v>
      </c>
      <c r="C2057" t="s">
        <v>128</v>
      </c>
      <c r="D2057" t="s">
        <v>78</v>
      </c>
      <c r="E2057" s="1" t="s">
        <v>134</v>
      </c>
      <c r="F2057" t="s">
        <v>93</v>
      </c>
      <c r="G2057" t="s">
        <v>34</v>
      </c>
      <c r="H2057">
        <v>23</v>
      </c>
      <c r="I2057">
        <v>64414</v>
      </c>
    </row>
    <row r="2058" spans="1:9" x14ac:dyDescent="0.25">
      <c r="A2058" s="5" t="str">
        <f>TrendSheetPrdData[[#This Row],[Population]]&amp;TrendSheetPrdData[[#This Row],[Cost Basis]]&amp;TrendSheetPrdData[[#This Row],[Period]]&amp;TrendSheetPrdData[[#This Row],[Trend]]</f>
        <v>MSSP_ATTRIBUTEDPaid2015-11-01Drug Claim Count</v>
      </c>
      <c r="B2058" t="s">
        <v>128</v>
      </c>
      <c r="C2058" t="s">
        <v>128</v>
      </c>
      <c r="D2058" t="s">
        <v>78</v>
      </c>
      <c r="E2058" s="1" t="s">
        <v>130</v>
      </c>
      <c r="F2058" t="s">
        <v>93</v>
      </c>
      <c r="G2058" t="s">
        <v>34</v>
      </c>
      <c r="H2058">
        <v>23</v>
      </c>
      <c r="I2058">
        <v>53218</v>
      </c>
    </row>
    <row r="2059" spans="1:9" x14ac:dyDescent="0.25">
      <c r="A2059" s="5" t="str">
        <f>TrendSheetPrdData[[#This Row],[Population]]&amp;TrendSheetPrdData[[#This Row],[Cost Basis]]&amp;TrendSheetPrdData[[#This Row],[Period]]&amp;TrendSheetPrdData[[#This Row],[Trend]]</f>
        <v>MSSP_ATTRIBUTEDPaid2015-12-01Drug Claim Count</v>
      </c>
      <c r="B2059" t="s">
        <v>128</v>
      </c>
      <c r="C2059" t="s">
        <v>128</v>
      </c>
      <c r="D2059" t="s">
        <v>78</v>
      </c>
      <c r="E2059" s="1" t="s">
        <v>131</v>
      </c>
      <c r="F2059" t="s">
        <v>93</v>
      </c>
      <c r="G2059" t="s">
        <v>34</v>
      </c>
      <c r="H2059">
        <v>23</v>
      </c>
      <c r="I2059">
        <v>37447</v>
      </c>
    </row>
    <row r="2060" spans="1:9" x14ac:dyDescent="0.25">
      <c r="A2060" s="5" t="str">
        <f>TrendSheetPrdData[[#This Row],[Population]]&amp;TrendSheetPrdData[[#This Row],[Cost Basis]]&amp;TrendSheetPrdData[[#This Row],[Period]]&amp;TrendSheetPrdData[[#This Row],[Trend]]</f>
        <v>MSSP_ATTRIBUTEDPaid2016-01-01Drug Claim Count</v>
      </c>
      <c r="B2060" t="s">
        <v>128</v>
      </c>
      <c r="C2060" t="s">
        <v>128</v>
      </c>
      <c r="D2060" t="s">
        <v>78</v>
      </c>
      <c r="E2060" s="1" t="s">
        <v>132</v>
      </c>
      <c r="F2060" t="s">
        <v>93</v>
      </c>
      <c r="G2060" t="s">
        <v>34</v>
      </c>
      <c r="H2060">
        <v>23</v>
      </c>
      <c r="I2060">
        <v>44144</v>
      </c>
    </row>
    <row r="2061" spans="1:9" x14ac:dyDescent="0.25">
      <c r="A2061" s="5" t="str">
        <f>TrendSheetPrdData[[#This Row],[Population]]&amp;TrendSheetPrdData[[#This Row],[Cost Basis]]&amp;TrendSheetPrdData[[#This Row],[Period]]&amp;TrendSheetPrdData[[#This Row],[Trend]]</f>
        <v>MSSP_ATTRIBUTEDPaid2016-02-01Drug Claim Count</v>
      </c>
      <c r="B2061" t="s">
        <v>128</v>
      </c>
      <c r="C2061" t="s">
        <v>128</v>
      </c>
      <c r="D2061" t="s">
        <v>78</v>
      </c>
      <c r="E2061" s="1" t="s">
        <v>133</v>
      </c>
      <c r="F2061" t="s">
        <v>93</v>
      </c>
      <c r="G2061" t="s">
        <v>34</v>
      </c>
      <c r="H2061">
        <v>23</v>
      </c>
      <c r="I2061">
        <v>41427</v>
      </c>
    </row>
    <row r="2062" spans="1:9" x14ac:dyDescent="0.25">
      <c r="A2062" s="5" t="str">
        <f>TrendSheetPrdData[[#This Row],[Population]]&amp;TrendSheetPrdData[[#This Row],[Cost Basis]]&amp;TrendSheetPrdData[[#This Row],[Period]]&amp;TrendSheetPrdData[[#This Row],[Trend]]</f>
        <v>MSSP_ATTRIBUTEDPaid2016-03-01Drug Claim Count</v>
      </c>
      <c r="B2062" t="s">
        <v>128</v>
      </c>
      <c r="C2062" t="s">
        <v>128</v>
      </c>
      <c r="D2062" t="s">
        <v>78</v>
      </c>
      <c r="E2062" s="1" t="s">
        <v>92</v>
      </c>
      <c r="F2062" t="s">
        <v>93</v>
      </c>
      <c r="G2062" t="s">
        <v>34</v>
      </c>
      <c r="H2062">
        <v>23</v>
      </c>
      <c r="I2062">
        <v>42719</v>
      </c>
    </row>
    <row r="2063" spans="1:9" x14ac:dyDescent="0.25">
      <c r="A2063" s="5" t="str">
        <f>TrendSheetPrdData[[#This Row],[Population]]&amp;TrendSheetPrdData[[#This Row],[Cost Basis]]&amp;TrendSheetPrdData[[#This Row],[Period]]&amp;TrendSheetPrdData[[#This Row],[Trend]]</f>
        <v>MSSP_ATTRIBUTEDPaid2016-04-01Drug Claim Count</v>
      </c>
      <c r="B2063" t="s">
        <v>128</v>
      </c>
      <c r="C2063" t="s">
        <v>128</v>
      </c>
      <c r="D2063" t="s">
        <v>78</v>
      </c>
      <c r="E2063" s="1" t="s">
        <v>94</v>
      </c>
      <c r="F2063" t="s">
        <v>93</v>
      </c>
      <c r="G2063" t="s">
        <v>34</v>
      </c>
      <c r="H2063">
        <v>23</v>
      </c>
      <c r="I2063">
        <v>38815</v>
      </c>
    </row>
    <row r="2064" spans="1:9" x14ac:dyDescent="0.25">
      <c r="A2064" s="5" t="str">
        <f>TrendSheetPrdData[[#This Row],[Population]]&amp;TrendSheetPrdData[[#This Row],[Cost Basis]]&amp;TrendSheetPrdData[[#This Row],[Period]]&amp;TrendSheetPrdData[[#This Row],[Trend]]</f>
        <v>MSSP_ATTRIBUTEDPaid2016-05-01Drug Claim Count</v>
      </c>
      <c r="B2064" t="s">
        <v>128</v>
      </c>
      <c r="C2064" t="s">
        <v>128</v>
      </c>
      <c r="D2064" t="s">
        <v>78</v>
      </c>
      <c r="E2064" s="1" t="s">
        <v>95</v>
      </c>
      <c r="F2064" t="s">
        <v>93</v>
      </c>
      <c r="G2064" t="s">
        <v>34</v>
      </c>
      <c r="H2064">
        <v>23</v>
      </c>
      <c r="I2064">
        <v>39534</v>
      </c>
    </row>
    <row r="2065" spans="1:9" x14ac:dyDescent="0.25">
      <c r="A2065" s="5" t="str">
        <f>TrendSheetPrdData[[#This Row],[Population]]&amp;TrendSheetPrdData[[#This Row],[Cost Basis]]&amp;TrendSheetPrdData[[#This Row],[Period]]&amp;TrendSheetPrdData[[#This Row],[Trend]]</f>
        <v>MSSP_ATTRIBUTEDPaid2016-06-01Drug Claim Count</v>
      </c>
      <c r="B2065" t="s">
        <v>128</v>
      </c>
      <c r="C2065" t="s">
        <v>128</v>
      </c>
      <c r="D2065" t="s">
        <v>78</v>
      </c>
      <c r="E2065" s="1" t="s">
        <v>96</v>
      </c>
      <c r="F2065" t="s">
        <v>93</v>
      </c>
      <c r="G2065" t="s">
        <v>34</v>
      </c>
      <c r="H2065">
        <v>23</v>
      </c>
      <c r="I2065">
        <v>38819</v>
      </c>
    </row>
    <row r="2066" spans="1:9" x14ac:dyDescent="0.25">
      <c r="A2066" s="5" t="str">
        <f>TrendSheetPrdData[[#This Row],[Population]]&amp;TrendSheetPrdData[[#This Row],[Cost Basis]]&amp;TrendSheetPrdData[[#This Row],[Period]]&amp;TrendSheetPrdData[[#This Row],[Trend]]</f>
        <v>MSSP_ATTRIBUTEDPaid2016-07-01Drug Claim Count</v>
      </c>
      <c r="B2066" t="s">
        <v>128</v>
      </c>
      <c r="C2066" t="s">
        <v>128</v>
      </c>
      <c r="D2066" t="s">
        <v>78</v>
      </c>
      <c r="E2066" s="1" t="s">
        <v>97</v>
      </c>
      <c r="F2066" t="s">
        <v>93</v>
      </c>
      <c r="G2066" t="s">
        <v>34</v>
      </c>
      <c r="H2066">
        <v>23</v>
      </c>
      <c r="I2066">
        <v>36365</v>
      </c>
    </row>
    <row r="2067" spans="1:9" x14ac:dyDescent="0.25">
      <c r="A2067" s="5" t="str">
        <f>TrendSheetPrdData[[#This Row],[Population]]&amp;TrendSheetPrdData[[#This Row],[Cost Basis]]&amp;TrendSheetPrdData[[#This Row],[Period]]&amp;TrendSheetPrdData[[#This Row],[Trend]]</f>
        <v>MSSP_ATTRIBUTEDPaid2016-08-01Drug Claim Count</v>
      </c>
      <c r="B2067" t="s">
        <v>128</v>
      </c>
      <c r="C2067" t="s">
        <v>128</v>
      </c>
      <c r="D2067" t="s">
        <v>78</v>
      </c>
      <c r="E2067" s="1" t="s">
        <v>98</v>
      </c>
      <c r="F2067" t="s">
        <v>93</v>
      </c>
      <c r="G2067" t="s">
        <v>34</v>
      </c>
      <c r="H2067">
        <v>23</v>
      </c>
      <c r="I2067">
        <v>37919</v>
      </c>
    </row>
    <row r="2068" spans="1:9" x14ac:dyDescent="0.25">
      <c r="A2068" s="5" t="str">
        <f>TrendSheetPrdData[[#This Row],[Population]]&amp;TrendSheetPrdData[[#This Row],[Cost Basis]]&amp;TrendSheetPrdData[[#This Row],[Period]]&amp;TrendSheetPrdData[[#This Row],[Trend]]</f>
        <v>MSSP_ATTRIBUTEDPaid2016-09-01Drug Claim Count</v>
      </c>
      <c r="B2068" t="s">
        <v>128</v>
      </c>
      <c r="C2068" t="s">
        <v>128</v>
      </c>
      <c r="D2068" t="s">
        <v>78</v>
      </c>
      <c r="E2068" s="1" t="s">
        <v>99</v>
      </c>
      <c r="F2068" t="s">
        <v>93</v>
      </c>
      <c r="G2068" t="s">
        <v>34</v>
      </c>
      <c r="H2068">
        <v>23</v>
      </c>
      <c r="I2068">
        <v>34208</v>
      </c>
    </row>
    <row r="2069" spans="1:9" x14ac:dyDescent="0.25">
      <c r="A2069" s="5" t="str">
        <f>TrendSheetPrdData[[#This Row],[Population]]&amp;TrendSheetPrdData[[#This Row],[Cost Basis]]&amp;TrendSheetPrdData[[#This Row],[Period]]&amp;TrendSheetPrdData[[#This Row],[Trend]]</f>
        <v>MSSP_ATTRIBUTEDPaid2016-10-01Drug Claim Count</v>
      </c>
      <c r="B2069" t="s">
        <v>128</v>
      </c>
      <c r="C2069" t="s">
        <v>128</v>
      </c>
      <c r="D2069" t="s">
        <v>78</v>
      </c>
      <c r="E2069" s="1" t="s">
        <v>100</v>
      </c>
      <c r="F2069" t="s">
        <v>106</v>
      </c>
      <c r="G2069" t="s">
        <v>34</v>
      </c>
      <c r="H2069">
        <v>23</v>
      </c>
      <c r="I2069">
        <v>33068</v>
      </c>
    </row>
    <row r="2070" spans="1:9" x14ac:dyDescent="0.25">
      <c r="A2070" s="5" t="str">
        <f>TrendSheetPrdData[[#This Row],[Population]]&amp;TrendSheetPrdData[[#This Row],[Cost Basis]]&amp;TrendSheetPrdData[[#This Row],[Period]]&amp;TrendSheetPrdData[[#This Row],[Trend]]</f>
        <v>MSSP_ATTRIBUTEDPaid2016-11-01Drug Claim Count</v>
      </c>
      <c r="B2070" t="s">
        <v>128</v>
      </c>
      <c r="C2070" t="s">
        <v>128</v>
      </c>
      <c r="D2070" t="s">
        <v>78</v>
      </c>
      <c r="E2070" s="1" t="s">
        <v>101</v>
      </c>
      <c r="F2070" t="s">
        <v>106</v>
      </c>
      <c r="G2070" t="s">
        <v>34</v>
      </c>
      <c r="H2070">
        <v>23</v>
      </c>
      <c r="I2070">
        <v>31205</v>
      </c>
    </row>
    <row r="2071" spans="1:9" x14ac:dyDescent="0.25">
      <c r="A2071" s="5" t="str">
        <f>TrendSheetPrdData[[#This Row],[Population]]&amp;TrendSheetPrdData[[#This Row],[Cost Basis]]&amp;TrendSheetPrdData[[#This Row],[Period]]&amp;TrendSheetPrdData[[#This Row],[Trend]]</f>
        <v>MSSP_ATTRIBUTEDPaid2016-12-01Drug Claim Count</v>
      </c>
      <c r="B2071" t="s">
        <v>128</v>
      </c>
      <c r="C2071" t="s">
        <v>128</v>
      </c>
      <c r="D2071" t="s">
        <v>78</v>
      </c>
      <c r="E2071" s="1" t="s">
        <v>102</v>
      </c>
      <c r="F2071" t="s">
        <v>106</v>
      </c>
      <c r="G2071" t="s">
        <v>34</v>
      </c>
      <c r="H2071">
        <v>23</v>
      </c>
      <c r="I2071">
        <v>20622</v>
      </c>
    </row>
    <row r="2072" spans="1:9" x14ac:dyDescent="0.25">
      <c r="A2072" s="5" t="str">
        <f>TrendSheetPrdData[[#This Row],[Population]]&amp;TrendSheetPrdData[[#This Row],[Cost Basis]]&amp;TrendSheetPrdData[[#This Row],[Period]]&amp;TrendSheetPrdData[[#This Row],[Trend]]</f>
        <v>MSSP_NONATTRIBUTEDAllowed2015-10-01Medical PMPM</v>
      </c>
      <c r="B2072" t="s">
        <v>129</v>
      </c>
      <c r="C2072" t="s">
        <v>129</v>
      </c>
      <c r="D2072" t="s">
        <v>91</v>
      </c>
      <c r="E2072" s="1" t="s">
        <v>134</v>
      </c>
      <c r="F2072" t="s">
        <v>93</v>
      </c>
      <c r="G2072" t="s">
        <v>12</v>
      </c>
      <c r="H2072">
        <v>1</v>
      </c>
      <c r="I2072">
        <v>877.97</v>
      </c>
    </row>
    <row r="2073" spans="1:9" x14ac:dyDescent="0.25">
      <c r="A2073" s="5" t="str">
        <f>TrendSheetPrdData[[#This Row],[Population]]&amp;TrendSheetPrdData[[#This Row],[Cost Basis]]&amp;TrendSheetPrdData[[#This Row],[Period]]&amp;TrendSheetPrdData[[#This Row],[Trend]]</f>
        <v>MSSP_NONATTRIBUTEDAllowed2015-11-01Medical PMPM</v>
      </c>
      <c r="B2073" t="s">
        <v>129</v>
      </c>
      <c r="C2073" t="s">
        <v>129</v>
      </c>
      <c r="D2073" t="s">
        <v>91</v>
      </c>
      <c r="E2073" s="1" t="s">
        <v>130</v>
      </c>
      <c r="F2073" t="s">
        <v>93</v>
      </c>
      <c r="G2073" t="s">
        <v>12</v>
      </c>
      <c r="H2073">
        <v>1</v>
      </c>
      <c r="I2073">
        <v>556.85</v>
      </c>
    </row>
    <row r="2074" spans="1:9" x14ac:dyDescent="0.25">
      <c r="A2074" s="5" t="str">
        <f>TrendSheetPrdData[[#This Row],[Population]]&amp;TrendSheetPrdData[[#This Row],[Cost Basis]]&amp;TrendSheetPrdData[[#This Row],[Period]]&amp;TrendSheetPrdData[[#This Row],[Trend]]</f>
        <v>MSSP_NONATTRIBUTEDAllowed2015-12-01Medical PMPM</v>
      </c>
      <c r="B2074" t="s">
        <v>129</v>
      </c>
      <c r="C2074" t="s">
        <v>129</v>
      </c>
      <c r="D2074" t="s">
        <v>91</v>
      </c>
      <c r="E2074" s="1" t="s">
        <v>131</v>
      </c>
      <c r="F2074" t="s">
        <v>93</v>
      </c>
      <c r="G2074" t="s">
        <v>12</v>
      </c>
      <c r="H2074">
        <v>1</v>
      </c>
      <c r="I2074">
        <v>1018.23</v>
      </c>
    </row>
    <row r="2075" spans="1:9" x14ac:dyDescent="0.25">
      <c r="A2075" s="5" t="str">
        <f>TrendSheetPrdData[[#This Row],[Population]]&amp;TrendSheetPrdData[[#This Row],[Cost Basis]]&amp;TrendSheetPrdData[[#This Row],[Period]]&amp;TrendSheetPrdData[[#This Row],[Trend]]</f>
        <v>MSSP_NONATTRIBUTEDAllowed2016-01-01Medical PMPM</v>
      </c>
      <c r="B2075" t="s">
        <v>129</v>
      </c>
      <c r="C2075" t="s">
        <v>129</v>
      </c>
      <c r="D2075" t="s">
        <v>91</v>
      </c>
      <c r="E2075" s="1" t="s">
        <v>132</v>
      </c>
      <c r="F2075" t="s">
        <v>93</v>
      </c>
      <c r="G2075" t="s">
        <v>12</v>
      </c>
      <c r="H2075">
        <v>1</v>
      </c>
      <c r="I2075">
        <v>1016.28</v>
      </c>
    </row>
    <row r="2076" spans="1:9" x14ac:dyDescent="0.25">
      <c r="A2076" s="5" t="str">
        <f>TrendSheetPrdData[[#This Row],[Population]]&amp;TrendSheetPrdData[[#This Row],[Cost Basis]]&amp;TrendSheetPrdData[[#This Row],[Period]]&amp;TrendSheetPrdData[[#This Row],[Trend]]</f>
        <v>MSSP_NONATTRIBUTEDAllowed2016-02-01Medical PMPM</v>
      </c>
      <c r="B2076" t="s">
        <v>129</v>
      </c>
      <c r="C2076" t="s">
        <v>129</v>
      </c>
      <c r="D2076" t="s">
        <v>91</v>
      </c>
      <c r="E2076" s="1" t="s">
        <v>133</v>
      </c>
      <c r="F2076" t="s">
        <v>93</v>
      </c>
      <c r="G2076" t="s">
        <v>12</v>
      </c>
      <c r="H2076">
        <v>1</v>
      </c>
      <c r="I2076">
        <v>920.28</v>
      </c>
    </row>
    <row r="2077" spans="1:9" x14ac:dyDescent="0.25">
      <c r="A2077" s="5" t="str">
        <f>TrendSheetPrdData[[#This Row],[Population]]&amp;TrendSheetPrdData[[#This Row],[Cost Basis]]&amp;TrendSheetPrdData[[#This Row],[Period]]&amp;TrendSheetPrdData[[#This Row],[Trend]]</f>
        <v>MSSP_NONATTRIBUTEDAllowed2016-03-01Medical PMPM</v>
      </c>
      <c r="B2077" t="s">
        <v>129</v>
      </c>
      <c r="C2077" t="s">
        <v>129</v>
      </c>
      <c r="D2077" t="s">
        <v>91</v>
      </c>
      <c r="E2077" s="1" t="s">
        <v>92</v>
      </c>
      <c r="F2077" t="s">
        <v>93</v>
      </c>
      <c r="G2077" t="s">
        <v>12</v>
      </c>
      <c r="H2077">
        <v>1</v>
      </c>
      <c r="I2077">
        <v>861.6</v>
      </c>
    </row>
    <row r="2078" spans="1:9" x14ac:dyDescent="0.25">
      <c r="A2078" s="5" t="str">
        <f>TrendSheetPrdData[[#This Row],[Population]]&amp;TrendSheetPrdData[[#This Row],[Cost Basis]]&amp;TrendSheetPrdData[[#This Row],[Period]]&amp;TrendSheetPrdData[[#This Row],[Trend]]</f>
        <v>MSSP_NONATTRIBUTEDAllowed2016-04-01Medical PMPM</v>
      </c>
      <c r="B2078" t="s">
        <v>129</v>
      </c>
      <c r="C2078" t="s">
        <v>129</v>
      </c>
      <c r="D2078" t="s">
        <v>91</v>
      </c>
      <c r="E2078" s="1" t="s">
        <v>94</v>
      </c>
      <c r="F2078" t="s">
        <v>93</v>
      </c>
      <c r="G2078" t="s">
        <v>12</v>
      </c>
      <c r="H2078">
        <v>1</v>
      </c>
      <c r="I2078">
        <v>629.94000000000005</v>
      </c>
    </row>
    <row r="2079" spans="1:9" x14ac:dyDescent="0.25">
      <c r="A2079" s="5" t="str">
        <f>TrendSheetPrdData[[#This Row],[Population]]&amp;TrendSheetPrdData[[#This Row],[Cost Basis]]&amp;TrendSheetPrdData[[#This Row],[Period]]&amp;TrendSheetPrdData[[#This Row],[Trend]]</f>
        <v>MSSP_NONATTRIBUTEDAllowed2016-05-01Medical PMPM</v>
      </c>
      <c r="B2079" t="s">
        <v>129</v>
      </c>
      <c r="C2079" t="s">
        <v>129</v>
      </c>
      <c r="D2079" t="s">
        <v>91</v>
      </c>
      <c r="E2079" s="1" t="s">
        <v>95</v>
      </c>
      <c r="F2079" t="s">
        <v>93</v>
      </c>
      <c r="G2079" t="s">
        <v>12</v>
      </c>
      <c r="H2079">
        <v>1</v>
      </c>
      <c r="I2079">
        <v>751.17</v>
      </c>
    </row>
    <row r="2080" spans="1:9" x14ac:dyDescent="0.25">
      <c r="A2080" s="5" t="str">
        <f>TrendSheetPrdData[[#This Row],[Population]]&amp;TrendSheetPrdData[[#This Row],[Cost Basis]]&amp;TrendSheetPrdData[[#This Row],[Period]]&amp;TrendSheetPrdData[[#This Row],[Trend]]</f>
        <v>MSSP_NONATTRIBUTEDAllowed2016-06-01Medical PMPM</v>
      </c>
      <c r="B2080" t="s">
        <v>129</v>
      </c>
      <c r="C2080" t="s">
        <v>129</v>
      </c>
      <c r="D2080" t="s">
        <v>91</v>
      </c>
      <c r="E2080" s="1" t="s">
        <v>96</v>
      </c>
      <c r="F2080" t="s">
        <v>93</v>
      </c>
      <c r="G2080" t="s">
        <v>12</v>
      </c>
      <c r="H2080">
        <v>1</v>
      </c>
      <c r="I2080">
        <v>774.41</v>
      </c>
    </row>
    <row r="2081" spans="1:9" x14ac:dyDescent="0.25">
      <c r="A2081" s="5" t="str">
        <f>TrendSheetPrdData[[#This Row],[Population]]&amp;TrendSheetPrdData[[#This Row],[Cost Basis]]&amp;TrendSheetPrdData[[#This Row],[Period]]&amp;TrendSheetPrdData[[#This Row],[Trend]]</f>
        <v>MSSP_NONATTRIBUTEDAllowed2016-07-01Medical PMPM</v>
      </c>
      <c r="B2081" t="s">
        <v>129</v>
      </c>
      <c r="C2081" t="s">
        <v>129</v>
      </c>
      <c r="D2081" t="s">
        <v>91</v>
      </c>
      <c r="E2081" s="1" t="s">
        <v>97</v>
      </c>
      <c r="F2081" t="s">
        <v>93</v>
      </c>
      <c r="G2081" t="s">
        <v>12</v>
      </c>
      <c r="H2081">
        <v>1</v>
      </c>
      <c r="I2081">
        <v>812.27</v>
      </c>
    </row>
    <row r="2082" spans="1:9" x14ac:dyDescent="0.25">
      <c r="A2082" s="5" t="str">
        <f>TrendSheetPrdData[[#This Row],[Population]]&amp;TrendSheetPrdData[[#This Row],[Cost Basis]]&amp;TrendSheetPrdData[[#This Row],[Period]]&amp;TrendSheetPrdData[[#This Row],[Trend]]</f>
        <v>MSSP_NONATTRIBUTEDAllowed2016-08-01Medical PMPM</v>
      </c>
      <c r="B2082" t="s">
        <v>129</v>
      </c>
      <c r="C2082" t="s">
        <v>129</v>
      </c>
      <c r="D2082" t="s">
        <v>91</v>
      </c>
      <c r="E2082" s="1" t="s">
        <v>98</v>
      </c>
      <c r="F2082" t="s">
        <v>93</v>
      </c>
      <c r="G2082" t="s">
        <v>12</v>
      </c>
      <c r="H2082">
        <v>1</v>
      </c>
      <c r="I2082">
        <v>823.03</v>
      </c>
    </row>
    <row r="2083" spans="1:9" x14ac:dyDescent="0.25">
      <c r="A2083" s="5" t="str">
        <f>TrendSheetPrdData[[#This Row],[Population]]&amp;TrendSheetPrdData[[#This Row],[Cost Basis]]&amp;TrendSheetPrdData[[#This Row],[Period]]&amp;TrendSheetPrdData[[#This Row],[Trend]]</f>
        <v>MSSP_NONATTRIBUTEDAllowed2016-09-01Medical PMPM</v>
      </c>
      <c r="B2083" t="s">
        <v>129</v>
      </c>
      <c r="C2083" t="s">
        <v>129</v>
      </c>
      <c r="D2083" t="s">
        <v>91</v>
      </c>
      <c r="E2083" s="1" t="s">
        <v>99</v>
      </c>
      <c r="F2083" t="s">
        <v>93</v>
      </c>
      <c r="G2083" t="s">
        <v>12</v>
      </c>
      <c r="H2083">
        <v>1</v>
      </c>
      <c r="I2083">
        <v>856.63</v>
      </c>
    </row>
    <row r="2084" spans="1:9" x14ac:dyDescent="0.25">
      <c r="A2084" s="5" t="str">
        <f>TrendSheetPrdData[[#This Row],[Population]]&amp;TrendSheetPrdData[[#This Row],[Cost Basis]]&amp;TrendSheetPrdData[[#This Row],[Period]]&amp;TrendSheetPrdData[[#This Row],[Trend]]</f>
        <v>MSSP_NONATTRIBUTEDAllowed2016-10-01Medical PMPM</v>
      </c>
      <c r="B2084" t="s">
        <v>129</v>
      </c>
      <c r="C2084" t="s">
        <v>129</v>
      </c>
      <c r="D2084" t="s">
        <v>91</v>
      </c>
      <c r="E2084" s="1" t="s">
        <v>100</v>
      </c>
      <c r="F2084" t="s">
        <v>106</v>
      </c>
      <c r="G2084" t="s">
        <v>12</v>
      </c>
      <c r="H2084">
        <v>1</v>
      </c>
      <c r="I2084">
        <v>875.71</v>
      </c>
    </row>
    <row r="2085" spans="1:9" x14ac:dyDescent="0.25">
      <c r="A2085" s="5" t="str">
        <f>TrendSheetPrdData[[#This Row],[Population]]&amp;TrendSheetPrdData[[#This Row],[Cost Basis]]&amp;TrendSheetPrdData[[#This Row],[Period]]&amp;TrendSheetPrdData[[#This Row],[Trend]]</f>
        <v>MSSP_NONATTRIBUTEDAllowed2016-11-01Medical PMPM</v>
      </c>
      <c r="B2085" t="s">
        <v>129</v>
      </c>
      <c r="C2085" t="s">
        <v>129</v>
      </c>
      <c r="D2085" t="s">
        <v>91</v>
      </c>
      <c r="E2085" s="1" t="s">
        <v>101</v>
      </c>
      <c r="F2085" t="s">
        <v>106</v>
      </c>
      <c r="G2085" t="s">
        <v>12</v>
      </c>
      <c r="H2085">
        <v>1</v>
      </c>
      <c r="I2085">
        <v>753.89</v>
      </c>
    </row>
    <row r="2086" spans="1:9" x14ac:dyDescent="0.25">
      <c r="A2086" s="5" t="str">
        <f>TrendSheetPrdData[[#This Row],[Population]]&amp;TrendSheetPrdData[[#This Row],[Cost Basis]]&amp;TrendSheetPrdData[[#This Row],[Period]]&amp;TrendSheetPrdData[[#This Row],[Trend]]</f>
        <v>MSSP_NONATTRIBUTEDAllowed2016-12-01Medical PMPM</v>
      </c>
      <c r="B2086" t="s">
        <v>129</v>
      </c>
      <c r="C2086" t="s">
        <v>129</v>
      </c>
      <c r="D2086" t="s">
        <v>91</v>
      </c>
      <c r="E2086" s="1" t="s">
        <v>102</v>
      </c>
      <c r="F2086" t="s">
        <v>106</v>
      </c>
      <c r="G2086" t="s">
        <v>12</v>
      </c>
      <c r="H2086">
        <v>1</v>
      </c>
      <c r="I2086">
        <v>212.69</v>
      </c>
    </row>
    <row r="2087" spans="1:9" x14ac:dyDescent="0.25">
      <c r="A2087" s="5" t="str">
        <f>TrendSheetPrdData[[#This Row],[Population]]&amp;TrendSheetPrdData[[#This Row],[Cost Basis]]&amp;TrendSheetPrdData[[#This Row],[Period]]&amp;TrendSheetPrdData[[#This Row],[Trend]]</f>
        <v>MSSP_NONATTRIBUTEDAllowed2015-10-01Drug PMPM</v>
      </c>
      <c r="B2087" t="s">
        <v>129</v>
      </c>
      <c r="C2087" t="s">
        <v>129</v>
      </c>
      <c r="D2087" t="s">
        <v>91</v>
      </c>
      <c r="E2087" s="1" t="s">
        <v>134</v>
      </c>
      <c r="F2087" t="s">
        <v>93</v>
      </c>
      <c r="G2087" t="s">
        <v>13</v>
      </c>
      <c r="H2087">
        <v>2</v>
      </c>
      <c r="I2087">
        <v>67.760000000000005</v>
      </c>
    </row>
    <row r="2088" spans="1:9" x14ac:dyDescent="0.25">
      <c r="A2088" s="5" t="str">
        <f>TrendSheetPrdData[[#This Row],[Population]]&amp;TrendSheetPrdData[[#This Row],[Cost Basis]]&amp;TrendSheetPrdData[[#This Row],[Period]]&amp;TrendSheetPrdData[[#This Row],[Trend]]</f>
        <v>MSSP_NONATTRIBUTEDAllowed2015-11-01Drug PMPM</v>
      </c>
      <c r="B2088" t="s">
        <v>129</v>
      </c>
      <c r="C2088" t="s">
        <v>129</v>
      </c>
      <c r="D2088" t="s">
        <v>91</v>
      </c>
      <c r="E2088" s="1" t="s">
        <v>130</v>
      </c>
      <c r="F2088" t="s">
        <v>93</v>
      </c>
      <c r="G2088" t="s">
        <v>13</v>
      </c>
      <c r="H2088">
        <v>2</v>
      </c>
      <c r="I2088">
        <v>48.61</v>
      </c>
    </row>
    <row r="2089" spans="1:9" x14ac:dyDescent="0.25">
      <c r="A2089" s="5" t="str">
        <f>TrendSheetPrdData[[#This Row],[Population]]&amp;TrendSheetPrdData[[#This Row],[Cost Basis]]&amp;TrendSheetPrdData[[#This Row],[Period]]&amp;TrendSheetPrdData[[#This Row],[Trend]]</f>
        <v>MSSP_NONATTRIBUTEDAllowed2015-12-01Drug PMPM</v>
      </c>
      <c r="B2089" t="s">
        <v>129</v>
      </c>
      <c r="C2089" t="s">
        <v>129</v>
      </c>
      <c r="D2089" t="s">
        <v>91</v>
      </c>
      <c r="E2089" s="1" t="s">
        <v>131</v>
      </c>
      <c r="F2089" t="s">
        <v>93</v>
      </c>
      <c r="G2089" t="s">
        <v>13</v>
      </c>
      <c r="H2089">
        <v>2</v>
      </c>
      <c r="I2089">
        <v>46.02</v>
      </c>
    </row>
    <row r="2090" spans="1:9" x14ac:dyDescent="0.25">
      <c r="A2090" s="5" t="str">
        <f>TrendSheetPrdData[[#This Row],[Population]]&amp;TrendSheetPrdData[[#This Row],[Cost Basis]]&amp;TrendSheetPrdData[[#This Row],[Period]]&amp;TrendSheetPrdData[[#This Row],[Trend]]</f>
        <v>MSSP_NONATTRIBUTEDAllowed2016-01-01Drug PMPM</v>
      </c>
      <c r="B2090" t="s">
        <v>129</v>
      </c>
      <c r="C2090" t="s">
        <v>129</v>
      </c>
      <c r="D2090" t="s">
        <v>91</v>
      </c>
      <c r="E2090" s="1" t="s">
        <v>132</v>
      </c>
      <c r="F2090" t="s">
        <v>93</v>
      </c>
      <c r="G2090" t="s">
        <v>13</v>
      </c>
      <c r="H2090">
        <v>2</v>
      </c>
      <c r="I2090">
        <v>63.23</v>
      </c>
    </row>
    <row r="2091" spans="1:9" x14ac:dyDescent="0.25">
      <c r="A2091" s="5" t="str">
        <f>TrendSheetPrdData[[#This Row],[Population]]&amp;TrendSheetPrdData[[#This Row],[Cost Basis]]&amp;TrendSheetPrdData[[#This Row],[Period]]&amp;TrendSheetPrdData[[#This Row],[Trend]]</f>
        <v>MSSP_NONATTRIBUTEDAllowed2016-02-01Drug PMPM</v>
      </c>
      <c r="B2091" t="s">
        <v>129</v>
      </c>
      <c r="C2091" t="s">
        <v>129</v>
      </c>
      <c r="D2091" t="s">
        <v>91</v>
      </c>
      <c r="E2091" s="1" t="s">
        <v>133</v>
      </c>
      <c r="F2091" t="s">
        <v>93</v>
      </c>
      <c r="G2091" t="s">
        <v>13</v>
      </c>
      <c r="H2091">
        <v>2</v>
      </c>
      <c r="I2091">
        <v>57.98</v>
      </c>
    </row>
    <row r="2092" spans="1:9" x14ac:dyDescent="0.25">
      <c r="A2092" s="5" t="str">
        <f>TrendSheetPrdData[[#This Row],[Population]]&amp;TrendSheetPrdData[[#This Row],[Cost Basis]]&amp;TrendSheetPrdData[[#This Row],[Period]]&amp;TrendSheetPrdData[[#This Row],[Trend]]</f>
        <v>MSSP_NONATTRIBUTEDAllowed2016-03-01Drug PMPM</v>
      </c>
      <c r="B2092" t="s">
        <v>129</v>
      </c>
      <c r="C2092" t="s">
        <v>129</v>
      </c>
      <c r="D2092" t="s">
        <v>91</v>
      </c>
      <c r="E2092" s="1" t="s">
        <v>92</v>
      </c>
      <c r="F2092" t="s">
        <v>93</v>
      </c>
      <c r="G2092" t="s">
        <v>13</v>
      </c>
      <c r="H2092">
        <v>2</v>
      </c>
      <c r="I2092">
        <v>59.68</v>
      </c>
    </row>
    <row r="2093" spans="1:9" x14ac:dyDescent="0.25">
      <c r="A2093" s="5" t="str">
        <f>TrendSheetPrdData[[#This Row],[Population]]&amp;TrendSheetPrdData[[#This Row],[Cost Basis]]&amp;TrendSheetPrdData[[#This Row],[Period]]&amp;TrendSheetPrdData[[#This Row],[Trend]]</f>
        <v>MSSP_NONATTRIBUTEDAllowed2016-04-01Drug PMPM</v>
      </c>
      <c r="B2093" t="s">
        <v>129</v>
      </c>
      <c r="C2093" t="s">
        <v>129</v>
      </c>
      <c r="D2093" t="s">
        <v>91</v>
      </c>
      <c r="E2093" s="1" t="s">
        <v>94</v>
      </c>
      <c r="F2093" t="s">
        <v>93</v>
      </c>
      <c r="G2093" t="s">
        <v>13</v>
      </c>
      <c r="H2093">
        <v>2</v>
      </c>
      <c r="I2093">
        <v>54.07</v>
      </c>
    </row>
    <row r="2094" spans="1:9" x14ac:dyDescent="0.25">
      <c r="A2094" s="5" t="str">
        <f>TrendSheetPrdData[[#This Row],[Population]]&amp;TrendSheetPrdData[[#This Row],[Cost Basis]]&amp;TrendSheetPrdData[[#This Row],[Period]]&amp;TrendSheetPrdData[[#This Row],[Trend]]</f>
        <v>MSSP_NONATTRIBUTEDAllowed2016-05-01Drug PMPM</v>
      </c>
      <c r="B2094" t="s">
        <v>129</v>
      </c>
      <c r="C2094" t="s">
        <v>129</v>
      </c>
      <c r="D2094" t="s">
        <v>91</v>
      </c>
      <c r="E2094" s="1" t="s">
        <v>95</v>
      </c>
      <c r="F2094" t="s">
        <v>93</v>
      </c>
      <c r="G2094" t="s">
        <v>13</v>
      </c>
      <c r="H2094">
        <v>2</v>
      </c>
      <c r="I2094">
        <v>58.13</v>
      </c>
    </row>
    <row r="2095" spans="1:9" x14ac:dyDescent="0.25">
      <c r="A2095" s="5" t="str">
        <f>TrendSheetPrdData[[#This Row],[Population]]&amp;TrendSheetPrdData[[#This Row],[Cost Basis]]&amp;TrendSheetPrdData[[#This Row],[Period]]&amp;TrendSheetPrdData[[#This Row],[Trend]]</f>
        <v>MSSP_NONATTRIBUTEDAllowed2016-06-01Drug PMPM</v>
      </c>
      <c r="B2095" t="s">
        <v>129</v>
      </c>
      <c r="C2095" t="s">
        <v>129</v>
      </c>
      <c r="D2095" t="s">
        <v>91</v>
      </c>
      <c r="E2095" s="1" t="s">
        <v>96</v>
      </c>
      <c r="F2095" t="s">
        <v>93</v>
      </c>
      <c r="G2095" t="s">
        <v>13</v>
      </c>
      <c r="H2095">
        <v>2</v>
      </c>
      <c r="I2095">
        <v>52.25</v>
      </c>
    </row>
    <row r="2096" spans="1:9" x14ac:dyDescent="0.25">
      <c r="A2096" s="5" t="str">
        <f>TrendSheetPrdData[[#This Row],[Population]]&amp;TrendSheetPrdData[[#This Row],[Cost Basis]]&amp;TrendSheetPrdData[[#This Row],[Period]]&amp;TrendSheetPrdData[[#This Row],[Trend]]</f>
        <v>MSSP_NONATTRIBUTEDAllowed2016-07-01Drug PMPM</v>
      </c>
      <c r="B2096" t="s">
        <v>129</v>
      </c>
      <c r="C2096" t="s">
        <v>129</v>
      </c>
      <c r="D2096" t="s">
        <v>91</v>
      </c>
      <c r="E2096" s="1" t="s">
        <v>97</v>
      </c>
      <c r="F2096" t="s">
        <v>93</v>
      </c>
      <c r="G2096" t="s">
        <v>13</v>
      </c>
      <c r="H2096">
        <v>2</v>
      </c>
      <c r="I2096">
        <v>54.07</v>
      </c>
    </row>
    <row r="2097" spans="1:9" x14ac:dyDescent="0.25">
      <c r="A2097" s="5" t="str">
        <f>TrendSheetPrdData[[#This Row],[Population]]&amp;TrendSheetPrdData[[#This Row],[Cost Basis]]&amp;TrendSheetPrdData[[#This Row],[Period]]&amp;TrendSheetPrdData[[#This Row],[Trend]]</f>
        <v>MSSP_NONATTRIBUTEDAllowed2016-08-01Drug PMPM</v>
      </c>
      <c r="B2097" t="s">
        <v>129</v>
      </c>
      <c r="C2097" t="s">
        <v>129</v>
      </c>
      <c r="D2097" t="s">
        <v>91</v>
      </c>
      <c r="E2097" s="1" t="s">
        <v>98</v>
      </c>
      <c r="F2097" t="s">
        <v>93</v>
      </c>
      <c r="G2097" t="s">
        <v>13</v>
      </c>
      <c r="H2097">
        <v>2</v>
      </c>
      <c r="I2097">
        <v>50.44</v>
      </c>
    </row>
    <row r="2098" spans="1:9" x14ac:dyDescent="0.25">
      <c r="A2098" s="5" t="str">
        <f>TrendSheetPrdData[[#This Row],[Population]]&amp;TrendSheetPrdData[[#This Row],[Cost Basis]]&amp;TrendSheetPrdData[[#This Row],[Period]]&amp;TrendSheetPrdData[[#This Row],[Trend]]</f>
        <v>MSSP_NONATTRIBUTEDAllowed2016-09-01Drug PMPM</v>
      </c>
      <c r="B2098" t="s">
        <v>129</v>
      </c>
      <c r="C2098" t="s">
        <v>129</v>
      </c>
      <c r="D2098" t="s">
        <v>91</v>
      </c>
      <c r="E2098" s="1" t="s">
        <v>99</v>
      </c>
      <c r="F2098" t="s">
        <v>93</v>
      </c>
      <c r="G2098" t="s">
        <v>13</v>
      </c>
      <c r="H2098">
        <v>2</v>
      </c>
      <c r="I2098">
        <v>49.73</v>
      </c>
    </row>
    <row r="2099" spans="1:9" x14ac:dyDescent="0.25">
      <c r="A2099" s="5" t="str">
        <f>TrendSheetPrdData[[#This Row],[Population]]&amp;TrendSheetPrdData[[#This Row],[Cost Basis]]&amp;TrendSheetPrdData[[#This Row],[Period]]&amp;TrendSheetPrdData[[#This Row],[Trend]]</f>
        <v>MSSP_NONATTRIBUTEDAllowed2016-10-01Drug PMPM</v>
      </c>
      <c r="B2099" t="s">
        <v>129</v>
      </c>
      <c r="C2099" t="s">
        <v>129</v>
      </c>
      <c r="D2099" t="s">
        <v>91</v>
      </c>
      <c r="E2099" s="1" t="s">
        <v>100</v>
      </c>
      <c r="F2099" t="s">
        <v>106</v>
      </c>
      <c r="G2099" t="s">
        <v>13</v>
      </c>
      <c r="H2099">
        <v>2</v>
      </c>
      <c r="I2099">
        <v>49.19</v>
      </c>
    </row>
    <row r="2100" spans="1:9" x14ac:dyDescent="0.25">
      <c r="A2100" s="5" t="str">
        <f>TrendSheetPrdData[[#This Row],[Population]]&amp;TrendSheetPrdData[[#This Row],[Cost Basis]]&amp;TrendSheetPrdData[[#This Row],[Period]]&amp;TrendSheetPrdData[[#This Row],[Trend]]</f>
        <v>MSSP_NONATTRIBUTEDAllowed2016-11-01Drug PMPM</v>
      </c>
      <c r="B2100" t="s">
        <v>129</v>
      </c>
      <c r="C2100" t="s">
        <v>129</v>
      </c>
      <c r="D2100" t="s">
        <v>91</v>
      </c>
      <c r="E2100" s="1" t="s">
        <v>101</v>
      </c>
      <c r="F2100" t="s">
        <v>106</v>
      </c>
      <c r="G2100" t="s">
        <v>13</v>
      </c>
      <c r="H2100">
        <v>2</v>
      </c>
      <c r="I2100">
        <v>51.96</v>
      </c>
    </row>
    <row r="2101" spans="1:9" x14ac:dyDescent="0.25">
      <c r="A2101" s="5" t="str">
        <f>TrendSheetPrdData[[#This Row],[Population]]&amp;TrendSheetPrdData[[#This Row],[Cost Basis]]&amp;TrendSheetPrdData[[#This Row],[Period]]&amp;TrendSheetPrdData[[#This Row],[Trend]]</f>
        <v>MSSP_NONATTRIBUTEDAllowed2016-12-01Drug PMPM</v>
      </c>
      <c r="B2101" t="s">
        <v>129</v>
      </c>
      <c r="C2101" t="s">
        <v>129</v>
      </c>
      <c r="D2101" t="s">
        <v>91</v>
      </c>
      <c r="E2101" s="1" t="s">
        <v>102</v>
      </c>
      <c r="F2101" t="s">
        <v>106</v>
      </c>
      <c r="G2101" t="s">
        <v>13</v>
      </c>
      <c r="H2101">
        <v>2</v>
      </c>
      <c r="I2101">
        <v>33.4</v>
      </c>
    </row>
    <row r="2102" spans="1:9" x14ac:dyDescent="0.25">
      <c r="A2102" s="5" t="str">
        <f>TrendSheetPrdData[[#This Row],[Population]]&amp;TrendSheetPrdData[[#This Row],[Cost Basis]]&amp;TrendSheetPrdData[[#This Row],[Period]]&amp;TrendSheetPrdData[[#This Row],[Trend]]</f>
        <v>MSSP_NONATTRIBUTEDAllowed2015-10-01Overall PMPM</v>
      </c>
      <c r="B2102" t="s">
        <v>129</v>
      </c>
      <c r="C2102" t="s">
        <v>129</v>
      </c>
      <c r="D2102" t="s">
        <v>91</v>
      </c>
      <c r="E2102" s="1" t="s">
        <v>134</v>
      </c>
      <c r="F2102" t="s">
        <v>93</v>
      </c>
      <c r="G2102" t="s">
        <v>14</v>
      </c>
      <c r="H2102">
        <v>3</v>
      </c>
      <c r="I2102">
        <v>945.73</v>
      </c>
    </row>
    <row r="2103" spans="1:9" x14ac:dyDescent="0.25">
      <c r="A2103" s="5" t="str">
        <f>TrendSheetPrdData[[#This Row],[Population]]&amp;TrendSheetPrdData[[#This Row],[Cost Basis]]&amp;TrendSheetPrdData[[#This Row],[Period]]&amp;TrendSheetPrdData[[#This Row],[Trend]]</f>
        <v>MSSP_NONATTRIBUTEDAllowed2015-11-01Overall PMPM</v>
      </c>
      <c r="B2103" t="s">
        <v>129</v>
      </c>
      <c r="C2103" t="s">
        <v>129</v>
      </c>
      <c r="D2103" t="s">
        <v>91</v>
      </c>
      <c r="E2103" s="1" t="s">
        <v>130</v>
      </c>
      <c r="F2103" t="s">
        <v>93</v>
      </c>
      <c r="G2103" t="s">
        <v>14</v>
      </c>
      <c r="H2103">
        <v>3</v>
      </c>
      <c r="I2103">
        <v>605.46</v>
      </c>
    </row>
    <row r="2104" spans="1:9" x14ac:dyDescent="0.25">
      <c r="A2104" s="5" t="str">
        <f>TrendSheetPrdData[[#This Row],[Population]]&amp;TrendSheetPrdData[[#This Row],[Cost Basis]]&amp;TrendSheetPrdData[[#This Row],[Period]]&amp;TrendSheetPrdData[[#This Row],[Trend]]</f>
        <v>MSSP_NONATTRIBUTEDAllowed2015-12-01Overall PMPM</v>
      </c>
      <c r="B2104" t="s">
        <v>129</v>
      </c>
      <c r="C2104" t="s">
        <v>129</v>
      </c>
      <c r="D2104" t="s">
        <v>91</v>
      </c>
      <c r="E2104" s="1" t="s">
        <v>131</v>
      </c>
      <c r="F2104" t="s">
        <v>93</v>
      </c>
      <c r="G2104" t="s">
        <v>14</v>
      </c>
      <c r="H2104">
        <v>3</v>
      </c>
      <c r="I2104">
        <v>1064.25</v>
      </c>
    </row>
    <row r="2105" spans="1:9" x14ac:dyDescent="0.25">
      <c r="A2105" s="5" t="str">
        <f>TrendSheetPrdData[[#This Row],[Population]]&amp;TrendSheetPrdData[[#This Row],[Cost Basis]]&amp;TrendSheetPrdData[[#This Row],[Period]]&amp;TrendSheetPrdData[[#This Row],[Trend]]</f>
        <v>MSSP_NONATTRIBUTEDAllowed2016-01-01Overall PMPM</v>
      </c>
      <c r="B2105" t="s">
        <v>129</v>
      </c>
      <c r="C2105" t="s">
        <v>129</v>
      </c>
      <c r="D2105" t="s">
        <v>91</v>
      </c>
      <c r="E2105" s="1" t="s">
        <v>132</v>
      </c>
      <c r="F2105" t="s">
        <v>93</v>
      </c>
      <c r="G2105" t="s">
        <v>14</v>
      </c>
      <c r="H2105">
        <v>3</v>
      </c>
      <c r="I2105">
        <v>1079.51</v>
      </c>
    </row>
    <row r="2106" spans="1:9" x14ac:dyDescent="0.25">
      <c r="A2106" s="5" t="str">
        <f>TrendSheetPrdData[[#This Row],[Population]]&amp;TrendSheetPrdData[[#This Row],[Cost Basis]]&amp;TrendSheetPrdData[[#This Row],[Period]]&amp;TrendSheetPrdData[[#This Row],[Trend]]</f>
        <v>MSSP_NONATTRIBUTEDAllowed2016-02-01Overall PMPM</v>
      </c>
      <c r="B2106" t="s">
        <v>129</v>
      </c>
      <c r="C2106" t="s">
        <v>129</v>
      </c>
      <c r="D2106" t="s">
        <v>91</v>
      </c>
      <c r="E2106" s="1" t="s">
        <v>133</v>
      </c>
      <c r="F2106" t="s">
        <v>93</v>
      </c>
      <c r="G2106" t="s">
        <v>14</v>
      </c>
      <c r="H2106">
        <v>3</v>
      </c>
      <c r="I2106">
        <v>978.26</v>
      </c>
    </row>
    <row r="2107" spans="1:9" x14ac:dyDescent="0.25">
      <c r="A2107" s="5" t="str">
        <f>TrendSheetPrdData[[#This Row],[Population]]&amp;TrendSheetPrdData[[#This Row],[Cost Basis]]&amp;TrendSheetPrdData[[#This Row],[Period]]&amp;TrendSheetPrdData[[#This Row],[Trend]]</f>
        <v>MSSP_NONATTRIBUTEDAllowed2016-03-01Overall PMPM</v>
      </c>
      <c r="B2107" t="s">
        <v>129</v>
      </c>
      <c r="C2107" t="s">
        <v>129</v>
      </c>
      <c r="D2107" t="s">
        <v>91</v>
      </c>
      <c r="E2107" s="1" t="s">
        <v>92</v>
      </c>
      <c r="F2107" t="s">
        <v>93</v>
      </c>
      <c r="G2107" t="s">
        <v>14</v>
      </c>
      <c r="H2107">
        <v>3</v>
      </c>
      <c r="I2107">
        <v>921.28</v>
      </c>
    </row>
    <row r="2108" spans="1:9" x14ac:dyDescent="0.25">
      <c r="A2108" s="5" t="str">
        <f>TrendSheetPrdData[[#This Row],[Population]]&amp;TrendSheetPrdData[[#This Row],[Cost Basis]]&amp;TrendSheetPrdData[[#This Row],[Period]]&amp;TrendSheetPrdData[[#This Row],[Trend]]</f>
        <v>MSSP_NONATTRIBUTEDAllowed2016-04-01Overall PMPM</v>
      </c>
      <c r="B2108" t="s">
        <v>129</v>
      </c>
      <c r="C2108" t="s">
        <v>129</v>
      </c>
      <c r="D2108" t="s">
        <v>91</v>
      </c>
      <c r="E2108" s="1" t="s">
        <v>94</v>
      </c>
      <c r="F2108" t="s">
        <v>93</v>
      </c>
      <c r="G2108" t="s">
        <v>14</v>
      </c>
      <c r="H2108">
        <v>3</v>
      </c>
      <c r="I2108">
        <v>684.01</v>
      </c>
    </row>
    <row r="2109" spans="1:9" x14ac:dyDescent="0.25">
      <c r="A2109" s="5" t="str">
        <f>TrendSheetPrdData[[#This Row],[Population]]&amp;TrendSheetPrdData[[#This Row],[Cost Basis]]&amp;TrendSheetPrdData[[#This Row],[Period]]&amp;TrendSheetPrdData[[#This Row],[Trend]]</f>
        <v>MSSP_NONATTRIBUTEDAllowed2016-05-01Overall PMPM</v>
      </c>
      <c r="B2109" t="s">
        <v>129</v>
      </c>
      <c r="C2109" t="s">
        <v>129</v>
      </c>
      <c r="D2109" t="s">
        <v>91</v>
      </c>
      <c r="E2109" s="1" t="s">
        <v>95</v>
      </c>
      <c r="F2109" t="s">
        <v>93</v>
      </c>
      <c r="G2109" t="s">
        <v>14</v>
      </c>
      <c r="H2109">
        <v>3</v>
      </c>
      <c r="I2109">
        <v>809.3</v>
      </c>
    </row>
    <row r="2110" spans="1:9" x14ac:dyDescent="0.25">
      <c r="A2110" s="5" t="str">
        <f>TrendSheetPrdData[[#This Row],[Population]]&amp;TrendSheetPrdData[[#This Row],[Cost Basis]]&amp;TrendSheetPrdData[[#This Row],[Period]]&amp;TrendSheetPrdData[[#This Row],[Trend]]</f>
        <v>MSSP_NONATTRIBUTEDAllowed2016-06-01Overall PMPM</v>
      </c>
      <c r="B2110" t="s">
        <v>129</v>
      </c>
      <c r="C2110" t="s">
        <v>129</v>
      </c>
      <c r="D2110" t="s">
        <v>91</v>
      </c>
      <c r="E2110" s="1" t="s">
        <v>96</v>
      </c>
      <c r="F2110" t="s">
        <v>93</v>
      </c>
      <c r="G2110" t="s">
        <v>14</v>
      </c>
      <c r="H2110">
        <v>3</v>
      </c>
      <c r="I2110">
        <v>826.66</v>
      </c>
    </row>
    <row r="2111" spans="1:9" x14ac:dyDescent="0.25">
      <c r="A2111" s="5" t="str">
        <f>TrendSheetPrdData[[#This Row],[Population]]&amp;TrendSheetPrdData[[#This Row],[Cost Basis]]&amp;TrendSheetPrdData[[#This Row],[Period]]&amp;TrendSheetPrdData[[#This Row],[Trend]]</f>
        <v>MSSP_NONATTRIBUTEDAllowed2016-07-01Overall PMPM</v>
      </c>
      <c r="B2111" t="s">
        <v>129</v>
      </c>
      <c r="C2111" t="s">
        <v>129</v>
      </c>
      <c r="D2111" t="s">
        <v>91</v>
      </c>
      <c r="E2111" s="1" t="s">
        <v>97</v>
      </c>
      <c r="F2111" t="s">
        <v>93</v>
      </c>
      <c r="G2111" t="s">
        <v>14</v>
      </c>
      <c r="H2111">
        <v>3</v>
      </c>
      <c r="I2111">
        <v>866.34</v>
      </c>
    </row>
    <row r="2112" spans="1:9" x14ac:dyDescent="0.25">
      <c r="A2112" s="5" t="str">
        <f>TrendSheetPrdData[[#This Row],[Population]]&amp;TrendSheetPrdData[[#This Row],[Cost Basis]]&amp;TrendSheetPrdData[[#This Row],[Period]]&amp;TrendSheetPrdData[[#This Row],[Trend]]</f>
        <v>MSSP_NONATTRIBUTEDAllowed2016-08-01Overall PMPM</v>
      </c>
      <c r="B2112" t="s">
        <v>129</v>
      </c>
      <c r="C2112" t="s">
        <v>129</v>
      </c>
      <c r="D2112" t="s">
        <v>91</v>
      </c>
      <c r="E2112" s="1" t="s">
        <v>98</v>
      </c>
      <c r="F2112" t="s">
        <v>93</v>
      </c>
      <c r="G2112" t="s">
        <v>14</v>
      </c>
      <c r="H2112">
        <v>3</v>
      </c>
      <c r="I2112">
        <v>873.47</v>
      </c>
    </row>
    <row r="2113" spans="1:9" x14ac:dyDescent="0.25">
      <c r="A2113" s="5" t="str">
        <f>TrendSheetPrdData[[#This Row],[Population]]&amp;TrendSheetPrdData[[#This Row],[Cost Basis]]&amp;TrendSheetPrdData[[#This Row],[Period]]&amp;TrendSheetPrdData[[#This Row],[Trend]]</f>
        <v>MSSP_NONATTRIBUTEDAllowed2016-09-01Overall PMPM</v>
      </c>
      <c r="B2113" t="s">
        <v>129</v>
      </c>
      <c r="C2113" t="s">
        <v>129</v>
      </c>
      <c r="D2113" t="s">
        <v>91</v>
      </c>
      <c r="E2113" s="1" t="s">
        <v>99</v>
      </c>
      <c r="F2113" t="s">
        <v>93</v>
      </c>
      <c r="G2113" t="s">
        <v>14</v>
      </c>
      <c r="H2113">
        <v>3</v>
      </c>
      <c r="I2113">
        <v>906.36</v>
      </c>
    </row>
    <row r="2114" spans="1:9" x14ac:dyDescent="0.25">
      <c r="A2114" s="5" t="str">
        <f>TrendSheetPrdData[[#This Row],[Population]]&amp;TrendSheetPrdData[[#This Row],[Cost Basis]]&amp;TrendSheetPrdData[[#This Row],[Period]]&amp;TrendSheetPrdData[[#This Row],[Trend]]</f>
        <v>MSSP_NONATTRIBUTEDAllowed2016-10-01Overall PMPM</v>
      </c>
      <c r="B2114" t="s">
        <v>129</v>
      </c>
      <c r="C2114" t="s">
        <v>129</v>
      </c>
      <c r="D2114" t="s">
        <v>91</v>
      </c>
      <c r="E2114" s="1" t="s">
        <v>100</v>
      </c>
      <c r="F2114" t="s">
        <v>106</v>
      </c>
      <c r="G2114" t="s">
        <v>14</v>
      </c>
      <c r="H2114">
        <v>3</v>
      </c>
      <c r="I2114">
        <v>924.9</v>
      </c>
    </row>
    <row r="2115" spans="1:9" x14ac:dyDescent="0.25">
      <c r="A2115" s="5" t="str">
        <f>TrendSheetPrdData[[#This Row],[Population]]&amp;TrendSheetPrdData[[#This Row],[Cost Basis]]&amp;TrendSheetPrdData[[#This Row],[Period]]&amp;TrendSheetPrdData[[#This Row],[Trend]]</f>
        <v>MSSP_NONATTRIBUTEDAllowed2016-11-01Overall PMPM</v>
      </c>
      <c r="B2115" t="s">
        <v>129</v>
      </c>
      <c r="C2115" t="s">
        <v>129</v>
      </c>
      <c r="D2115" t="s">
        <v>91</v>
      </c>
      <c r="E2115" s="1" t="s">
        <v>101</v>
      </c>
      <c r="F2115" t="s">
        <v>106</v>
      </c>
      <c r="G2115" t="s">
        <v>14</v>
      </c>
      <c r="H2115">
        <v>3</v>
      </c>
      <c r="I2115">
        <v>805.85</v>
      </c>
    </row>
    <row r="2116" spans="1:9" x14ac:dyDescent="0.25">
      <c r="A2116" s="5" t="str">
        <f>TrendSheetPrdData[[#This Row],[Population]]&amp;TrendSheetPrdData[[#This Row],[Cost Basis]]&amp;TrendSheetPrdData[[#This Row],[Period]]&amp;TrendSheetPrdData[[#This Row],[Trend]]</f>
        <v>MSSP_NONATTRIBUTEDAllowed2016-12-01Overall PMPM</v>
      </c>
      <c r="B2116" t="s">
        <v>129</v>
      </c>
      <c r="C2116" t="s">
        <v>129</v>
      </c>
      <c r="D2116" t="s">
        <v>91</v>
      </c>
      <c r="E2116" s="1" t="s">
        <v>102</v>
      </c>
      <c r="F2116" t="s">
        <v>106</v>
      </c>
      <c r="G2116" t="s">
        <v>14</v>
      </c>
      <c r="H2116">
        <v>3</v>
      </c>
      <c r="I2116">
        <v>246.09</v>
      </c>
    </row>
    <row r="2117" spans="1:9" x14ac:dyDescent="0.25">
      <c r="A2117" s="5" t="str">
        <f>TrendSheetPrdData[[#This Row],[Population]]&amp;TrendSheetPrdData[[#This Row],[Cost Basis]]&amp;TrendSheetPrdData[[#This Row],[Period]]&amp;TrendSheetPrdData[[#This Row],[Trend]]</f>
        <v>MSSP_NONATTRIBUTEDAllowed2015-10-01Readmission Cost</v>
      </c>
      <c r="B2117" t="s">
        <v>129</v>
      </c>
      <c r="C2117" t="s">
        <v>129</v>
      </c>
      <c r="D2117" t="s">
        <v>91</v>
      </c>
      <c r="E2117" s="1" t="s">
        <v>134</v>
      </c>
      <c r="F2117" t="s">
        <v>93</v>
      </c>
      <c r="G2117" t="s">
        <v>15</v>
      </c>
      <c r="H2117">
        <v>4</v>
      </c>
      <c r="I2117">
        <v>270791.58</v>
      </c>
    </row>
    <row r="2118" spans="1:9" x14ac:dyDescent="0.25">
      <c r="A2118" s="5" t="str">
        <f>TrendSheetPrdData[[#This Row],[Population]]&amp;TrendSheetPrdData[[#This Row],[Cost Basis]]&amp;TrendSheetPrdData[[#This Row],[Period]]&amp;TrendSheetPrdData[[#This Row],[Trend]]</f>
        <v>MSSP_NONATTRIBUTEDAllowed2015-11-01Readmission Cost</v>
      </c>
      <c r="B2118" t="s">
        <v>129</v>
      </c>
      <c r="C2118" t="s">
        <v>129</v>
      </c>
      <c r="D2118" t="s">
        <v>91</v>
      </c>
      <c r="E2118" s="1" t="s">
        <v>130</v>
      </c>
      <c r="F2118" t="s">
        <v>93</v>
      </c>
      <c r="G2118" t="s">
        <v>15</v>
      </c>
      <c r="H2118">
        <v>4</v>
      </c>
      <c r="I2118">
        <v>373505.61</v>
      </c>
    </row>
    <row r="2119" spans="1:9" x14ac:dyDescent="0.25">
      <c r="A2119" s="5" t="str">
        <f>TrendSheetPrdData[[#This Row],[Population]]&amp;TrendSheetPrdData[[#This Row],[Cost Basis]]&amp;TrendSheetPrdData[[#This Row],[Period]]&amp;TrendSheetPrdData[[#This Row],[Trend]]</f>
        <v>MSSP_NONATTRIBUTEDAllowed2015-12-01Readmission Cost</v>
      </c>
      <c r="B2119" t="s">
        <v>129</v>
      </c>
      <c r="C2119" t="s">
        <v>129</v>
      </c>
      <c r="D2119" t="s">
        <v>91</v>
      </c>
      <c r="E2119" s="1" t="s">
        <v>131</v>
      </c>
      <c r="F2119" t="s">
        <v>93</v>
      </c>
      <c r="G2119" t="s">
        <v>15</v>
      </c>
      <c r="H2119">
        <v>4</v>
      </c>
      <c r="I2119">
        <v>341032.31</v>
      </c>
    </row>
    <row r="2120" spans="1:9" x14ac:dyDescent="0.25">
      <c r="A2120" s="5" t="str">
        <f>TrendSheetPrdData[[#This Row],[Population]]&amp;TrendSheetPrdData[[#This Row],[Cost Basis]]&amp;TrendSheetPrdData[[#This Row],[Period]]&amp;TrendSheetPrdData[[#This Row],[Trend]]</f>
        <v>MSSP_NONATTRIBUTEDAllowed2016-01-01Readmission Cost</v>
      </c>
      <c r="B2120" t="s">
        <v>129</v>
      </c>
      <c r="C2120" t="s">
        <v>129</v>
      </c>
      <c r="D2120" t="s">
        <v>91</v>
      </c>
      <c r="E2120" s="1" t="s">
        <v>132</v>
      </c>
      <c r="F2120" t="s">
        <v>93</v>
      </c>
      <c r="G2120" t="s">
        <v>15</v>
      </c>
      <c r="H2120">
        <v>4</v>
      </c>
      <c r="I2120">
        <v>384681.15</v>
      </c>
    </row>
    <row r="2121" spans="1:9" x14ac:dyDescent="0.25">
      <c r="A2121" s="5" t="str">
        <f>TrendSheetPrdData[[#This Row],[Population]]&amp;TrendSheetPrdData[[#This Row],[Cost Basis]]&amp;TrendSheetPrdData[[#This Row],[Period]]&amp;TrendSheetPrdData[[#This Row],[Trend]]</f>
        <v>MSSP_NONATTRIBUTEDAllowed2016-02-01Readmission Cost</v>
      </c>
      <c r="B2121" t="s">
        <v>129</v>
      </c>
      <c r="C2121" t="s">
        <v>129</v>
      </c>
      <c r="D2121" t="s">
        <v>91</v>
      </c>
      <c r="E2121" s="1" t="s">
        <v>133</v>
      </c>
      <c r="F2121" t="s">
        <v>93</v>
      </c>
      <c r="G2121" t="s">
        <v>15</v>
      </c>
      <c r="H2121">
        <v>4</v>
      </c>
      <c r="I2121">
        <v>185787.94</v>
      </c>
    </row>
    <row r="2122" spans="1:9" x14ac:dyDescent="0.25">
      <c r="A2122" s="5" t="str">
        <f>TrendSheetPrdData[[#This Row],[Population]]&amp;TrendSheetPrdData[[#This Row],[Cost Basis]]&amp;TrendSheetPrdData[[#This Row],[Period]]&amp;TrendSheetPrdData[[#This Row],[Trend]]</f>
        <v>MSSP_NONATTRIBUTEDAllowed2016-03-01Readmission Cost</v>
      </c>
      <c r="B2122" t="s">
        <v>129</v>
      </c>
      <c r="C2122" t="s">
        <v>129</v>
      </c>
      <c r="D2122" t="s">
        <v>91</v>
      </c>
      <c r="E2122" s="1" t="s">
        <v>92</v>
      </c>
      <c r="F2122" t="s">
        <v>93</v>
      </c>
      <c r="G2122" t="s">
        <v>15</v>
      </c>
      <c r="H2122">
        <v>4</v>
      </c>
      <c r="I2122">
        <v>220506.18</v>
      </c>
    </row>
    <row r="2123" spans="1:9" x14ac:dyDescent="0.25">
      <c r="A2123" s="5" t="str">
        <f>TrendSheetPrdData[[#This Row],[Population]]&amp;TrendSheetPrdData[[#This Row],[Cost Basis]]&amp;TrendSheetPrdData[[#This Row],[Period]]&amp;TrendSheetPrdData[[#This Row],[Trend]]</f>
        <v>MSSP_NONATTRIBUTEDAllowed2016-04-01Readmission Cost</v>
      </c>
      <c r="B2123" t="s">
        <v>129</v>
      </c>
      <c r="C2123" t="s">
        <v>129</v>
      </c>
      <c r="D2123" t="s">
        <v>91</v>
      </c>
      <c r="E2123" s="1" t="s">
        <v>94</v>
      </c>
      <c r="F2123" t="s">
        <v>93</v>
      </c>
      <c r="G2123" t="s">
        <v>15</v>
      </c>
      <c r="H2123">
        <v>4</v>
      </c>
      <c r="I2123">
        <v>174685.75</v>
      </c>
    </row>
    <row r="2124" spans="1:9" x14ac:dyDescent="0.25">
      <c r="A2124" s="5" t="str">
        <f>TrendSheetPrdData[[#This Row],[Population]]&amp;TrendSheetPrdData[[#This Row],[Cost Basis]]&amp;TrendSheetPrdData[[#This Row],[Period]]&amp;TrendSheetPrdData[[#This Row],[Trend]]</f>
        <v>MSSP_NONATTRIBUTEDAllowed2016-05-01Readmission Cost</v>
      </c>
      <c r="B2124" t="s">
        <v>129</v>
      </c>
      <c r="C2124" t="s">
        <v>129</v>
      </c>
      <c r="D2124" t="s">
        <v>91</v>
      </c>
      <c r="E2124" s="1" t="s">
        <v>95</v>
      </c>
      <c r="F2124" t="s">
        <v>93</v>
      </c>
      <c r="G2124" t="s">
        <v>15</v>
      </c>
      <c r="H2124">
        <v>4</v>
      </c>
      <c r="I2124">
        <v>117797.2</v>
      </c>
    </row>
    <row r="2125" spans="1:9" x14ac:dyDescent="0.25">
      <c r="A2125" s="5" t="str">
        <f>TrendSheetPrdData[[#This Row],[Population]]&amp;TrendSheetPrdData[[#This Row],[Cost Basis]]&amp;TrendSheetPrdData[[#This Row],[Period]]&amp;TrendSheetPrdData[[#This Row],[Trend]]</f>
        <v>MSSP_NONATTRIBUTEDAllowed2016-06-01Readmission Cost</v>
      </c>
      <c r="B2125" t="s">
        <v>129</v>
      </c>
      <c r="C2125" t="s">
        <v>129</v>
      </c>
      <c r="D2125" t="s">
        <v>91</v>
      </c>
      <c r="E2125" s="1" t="s">
        <v>96</v>
      </c>
      <c r="F2125" t="s">
        <v>93</v>
      </c>
      <c r="G2125" t="s">
        <v>15</v>
      </c>
      <c r="H2125">
        <v>4</v>
      </c>
      <c r="I2125">
        <v>134128.45000000001</v>
      </c>
    </row>
    <row r="2126" spans="1:9" x14ac:dyDescent="0.25">
      <c r="A2126" s="5" t="str">
        <f>TrendSheetPrdData[[#This Row],[Population]]&amp;TrendSheetPrdData[[#This Row],[Cost Basis]]&amp;TrendSheetPrdData[[#This Row],[Period]]&amp;TrendSheetPrdData[[#This Row],[Trend]]</f>
        <v>MSSP_NONATTRIBUTEDAllowed2016-07-01Readmission Cost</v>
      </c>
      <c r="B2126" t="s">
        <v>129</v>
      </c>
      <c r="C2126" t="s">
        <v>129</v>
      </c>
      <c r="D2126" t="s">
        <v>91</v>
      </c>
      <c r="E2126" s="1" t="s">
        <v>97</v>
      </c>
      <c r="F2126" t="s">
        <v>93</v>
      </c>
      <c r="G2126" t="s">
        <v>15</v>
      </c>
      <c r="H2126">
        <v>4</v>
      </c>
      <c r="I2126">
        <v>316338.5</v>
      </c>
    </row>
    <row r="2127" spans="1:9" x14ac:dyDescent="0.25">
      <c r="A2127" s="5" t="str">
        <f>TrendSheetPrdData[[#This Row],[Population]]&amp;TrendSheetPrdData[[#This Row],[Cost Basis]]&amp;TrendSheetPrdData[[#This Row],[Period]]&amp;TrendSheetPrdData[[#This Row],[Trend]]</f>
        <v>MSSP_NONATTRIBUTEDAllowed2016-08-01Readmission Cost</v>
      </c>
      <c r="B2127" t="s">
        <v>129</v>
      </c>
      <c r="C2127" t="s">
        <v>129</v>
      </c>
      <c r="D2127" t="s">
        <v>91</v>
      </c>
      <c r="E2127" s="1" t="s">
        <v>98</v>
      </c>
      <c r="F2127" t="s">
        <v>93</v>
      </c>
      <c r="G2127" t="s">
        <v>15</v>
      </c>
      <c r="H2127">
        <v>4</v>
      </c>
      <c r="I2127">
        <v>241881.39</v>
      </c>
    </row>
    <row r="2128" spans="1:9" x14ac:dyDescent="0.25">
      <c r="A2128" s="5" t="str">
        <f>TrendSheetPrdData[[#This Row],[Population]]&amp;TrendSheetPrdData[[#This Row],[Cost Basis]]&amp;TrendSheetPrdData[[#This Row],[Period]]&amp;TrendSheetPrdData[[#This Row],[Trend]]</f>
        <v>MSSP_NONATTRIBUTEDAllowed2016-09-01Readmission Cost</v>
      </c>
      <c r="B2128" t="s">
        <v>129</v>
      </c>
      <c r="C2128" t="s">
        <v>129</v>
      </c>
      <c r="D2128" t="s">
        <v>91</v>
      </c>
      <c r="E2128" s="1" t="s">
        <v>99</v>
      </c>
      <c r="F2128" t="s">
        <v>93</v>
      </c>
      <c r="G2128" t="s">
        <v>15</v>
      </c>
      <c r="H2128">
        <v>4</v>
      </c>
      <c r="I2128">
        <v>98331.82</v>
      </c>
    </row>
    <row r="2129" spans="1:9" x14ac:dyDescent="0.25">
      <c r="A2129" s="5" t="str">
        <f>TrendSheetPrdData[[#This Row],[Population]]&amp;TrendSheetPrdData[[#This Row],[Cost Basis]]&amp;TrendSheetPrdData[[#This Row],[Period]]&amp;TrendSheetPrdData[[#This Row],[Trend]]</f>
        <v>MSSP_NONATTRIBUTEDAllowed2016-10-01Readmission Cost</v>
      </c>
      <c r="B2129" t="s">
        <v>129</v>
      </c>
      <c r="C2129" t="s">
        <v>129</v>
      </c>
      <c r="D2129" t="s">
        <v>91</v>
      </c>
      <c r="E2129" s="1" t="s">
        <v>100</v>
      </c>
      <c r="F2129" t="s">
        <v>106</v>
      </c>
      <c r="G2129" t="s">
        <v>15</v>
      </c>
      <c r="H2129">
        <v>4</v>
      </c>
      <c r="I2129">
        <v>148874.95000000001</v>
      </c>
    </row>
    <row r="2130" spans="1:9" x14ac:dyDescent="0.25">
      <c r="A2130" s="5" t="str">
        <f>TrendSheetPrdData[[#This Row],[Population]]&amp;TrendSheetPrdData[[#This Row],[Cost Basis]]&amp;TrendSheetPrdData[[#This Row],[Period]]&amp;TrendSheetPrdData[[#This Row],[Trend]]</f>
        <v>MSSP_NONATTRIBUTEDAllowed2016-11-01Readmission Cost</v>
      </c>
      <c r="B2130" t="s">
        <v>129</v>
      </c>
      <c r="C2130" t="s">
        <v>129</v>
      </c>
      <c r="D2130" t="s">
        <v>91</v>
      </c>
      <c r="E2130" s="1" t="s">
        <v>101</v>
      </c>
      <c r="F2130" t="s">
        <v>106</v>
      </c>
      <c r="G2130" t="s">
        <v>15</v>
      </c>
      <c r="H2130">
        <v>4</v>
      </c>
      <c r="I2130">
        <v>98864.55</v>
      </c>
    </row>
    <row r="2131" spans="1:9" x14ac:dyDescent="0.25">
      <c r="A2131" s="5" t="str">
        <f>TrendSheetPrdData[[#This Row],[Population]]&amp;TrendSheetPrdData[[#This Row],[Cost Basis]]&amp;TrendSheetPrdData[[#This Row],[Period]]&amp;TrendSheetPrdData[[#This Row],[Trend]]</f>
        <v>MSSP_NONATTRIBUTEDAllowed2016-12-01Readmission Cost</v>
      </c>
      <c r="B2131" t="s">
        <v>129</v>
      </c>
      <c r="C2131" t="s">
        <v>129</v>
      </c>
      <c r="D2131" t="s">
        <v>91</v>
      </c>
      <c r="E2131" s="1" t="s">
        <v>102</v>
      </c>
      <c r="F2131" t="s">
        <v>106</v>
      </c>
      <c r="G2131" t="s">
        <v>15</v>
      </c>
      <c r="H2131">
        <v>4</v>
      </c>
      <c r="I2131">
        <v>0</v>
      </c>
    </row>
    <row r="2132" spans="1:9" x14ac:dyDescent="0.25">
      <c r="A2132" s="5" t="str">
        <f>TrendSheetPrdData[[#This Row],[Population]]&amp;TrendSheetPrdData[[#This Row],[Cost Basis]]&amp;TrendSheetPrdData[[#This Row],[Period]]&amp;TrendSheetPrdData[[#This Row],[Trend]]</f>
        <v>MSSP_NONATTRIBUTEDAllowed2015-10-01Readmission Quality</v>
      </c>
      <c r="B2132" t="s">
        <v>129</v>
      </c>
      <c r="C2132" t="s">
        <v>129</v>
      </c>
      <c r="D2132" t="s">
        <v>91</v>
      </c>
      <c r="E2132" s="1" t="s">
        <v>134</v>
      </c>
      <c r="F2132" t="s">
        <v>93</v>
      </c>
      <c r="G2132" t="s">
        <v>16</v>
      </c>
      <c r="H2132">
        <v>5</v>
      </c>
      <c r="I2132">
        <v>31</v>
      </c>
    </row>
    <row r="2133" spans="1:9" x14ac:dyDescent="0.25">
      <c r="A2133" s="5" t="str">
        <f>TrendSheetPrdData[[#This Row],[Population]]&amp;TrendSheetPrdData[[#This Row],[Cost Basis]]&amp;TrendSheetPrdData[[#This Row],[Period]]&amp;TrendSheetPrdData[[#This Row],[Trend]]</f>
        <v>MSSP_NONATTRIBUTEDAllowed2015-11-01Readmission Quality</v>
      </c>
      <c r="B2133" t="s">
        <v>129</v>
      </c>
      <c r="C2133" t="s">
        <v>129</v>
      </c>
      <c r="D2133" t="s">
        <v>91</v>
      </c>
      <c r="E2133" s="1" t="s">
        <v>130</v>
      </c>
      <c r="F2133" t="s">
        <v>93</v>
      </c>
      <c r="G2133" t="s">
        <v>16</v>
      </c>
      <c r="H2133">
        <v>5</v>
      </c>
      <c r="I2133">
        <v>31</v>
      </c>
    </row>
    <row r="2134" spans="1:9" x14ac:dyDescent="0.25">
      <c r="A2134" s="5" t="str">
        <f>TrendSheetPrdData[[#This Row],[Population]]&amp;TrendSheetPrdData[[#This Row],[Cost Basis]]&amp;TrendSheetPrdData[[#This Row],[Period]]&amp;TrendSheetPrdData[[#This Row],[Trend]]</f>
        <v>MSSP_NONATTRIBUTEDAllowed2015-12-01Readmission Quality</v>
      </c>
      <c r="B2134" t="s">
        <v>129</v>
      </c>
      <c r="C2134" t="s">
        <v>129</v>
      </c>
      <c r="D2134" t="s">
        <v>91</v>
      </c>
      <c r="E2134" s="1" t="s">
        <v>131</v>
      </c>
      <c r="F2134" t="s">
        <v>93</v>
      </c>
      <c r="G2134" t="s">
        <v>16</v>
      </c>
      <c r="H2134">
        <v>5</v>
      </c>
      <c r="I2134">
        <v>32</v>
      </c>
    </row>
    <row r="2135" spans="1:9" x14ac:dyDescent="0.25">
      <c r="A2135" s="5" t="str">
        <f>TrendSheetPrdData[[#This Row],[Population]]&amp;TrendSheetPrdData[[#This Row],[Cost Basis]]&amp;TrendSheetPrdData[[#This Row],[Period]]&amp;TrendSheetPrdData[[#This Row],[Trend]]</f>
        <v>MSSP_NONATTRIBUTEDAllowed2016-01-01Readmission Quality</v>
      </c>
      <c r="B2135" t="s">
        <v>129</v>
      </c>
      <c r="C2135" t="s">
        <v>129</v>
      </c>
      <c r="D2135" t="s">
        <v>91</v>
      </c>
      <c r="E2135" s="1" t="s">
        <v>132</v>
      </c>
      <c r="F2135" t="s">
        <v>93</v>
      </c>
      <c r="G2135" t="s">
        <v>16</v>
      </c>
      <c r="H2135">
        <v>5</v>
      </c>
      <c r="I2135">
        <v>28</v>
      </c>
    </row>
    <row r="2136" spans="1:9" x14ac:dyDescent="0.25">
      <c r="A2136" s="5" t="str">
        <f>TrendSheetPrdData[[#This Row],[Population]]&amp;TrendSheetPrdData[[#This Row],[Cost Basis]]&amp;TrendSheetPrdData[[#This Row],[Period]]&amp;TrendSheetPrdData[[#This Row],[Trend]]</f>
        <v>MSSP_NONATTRIBUTEDAllowed2016-02-01Readmission Quality</v>
      </c>
      <c r="B2136" t="s">
        <v>129</v>
      </c>
      <c r="C2136" t="s">
        <v>129</v>
      </c>
      <c r="D2136" t="s">
        <v>91</v>
      </c>
      <c r="E2136" s="1" t="s">
        <v>133</v>
      </c>
      <c r="F2136" t="s">
        <v>93</v>
      </c>
      <c r="G2136" t="s">
        <v>16</v>
      </c>
      <c r="H2136">
        <v>5</v>
      </c>
      <c r="I2136">
        <v>21</v>
      </c>
    </row>
    <row r="2137" spans="1:9" x14ac:dyDescent="0.25">
      <c r="A2137" s="5" t="str">
        <f>TrendSheetPrdData[[#This Row],[Population]]&amp;TrendSheetPrdData[[#This Row],[Cost Basis]]&amp;TrendSheetPrdData[[#This Row],[Period]]&amp;TrendSheetPrdData[[#This Row],[Trend]]</f>
        <v>MSSP_NONATTRIBUTEDAllowed2016-03-01Readmission Quality</v>
      </c>
      <c r="B2137" t="s">
        <v>129</v>
      </c>
      <c r="C2137" t="s">
        <v>129</v>
      </c>
      <c r="D2137" t="s">
        <v>91</v>
      </c>
      <c r="E2137" s="1" t="s">
        <v>92</v>
      </c>
      <c r="F2137" t="s">
        <v>93</v>
      </c>
      <c r="G2137" t="s">
        <v>16</v>
      </c>
      <c r="H2137">
        <v>5</v>
      </c>
      <c r="I2137">
        <v>22</v>
      </c>
    </row>
    <row r="2138" spans="1:9" x14ac:dyDescent="0.25">
      <c r="A2138" s="5" t="str">
        <f>TrendSheetPrdData[[#This Row],[Population]]&amp;TrendSheetPrdData[[#This Row],[Cost Basis]]&amp;TrendSheetPrdData[[#This Row],[Period]]&amp;TrendSheetPrdData[[#This Row],[Trend]]</f>
        <v>MSSP_NONATTRIBUTEDAllowed2016-04-01Readmission Quality</v>
      </c>
      <c r="B2138" t="s">
        <v>129</v>
      </c>
      <c r="C2138" t="s">
        <v>129</v>
      </c>
      <c r="D2138" t="s">
        <v>91</v>
      </c>
      <c r="E2138" s="1" t="s">
        <v>94</v>
      </c>
      <c r="F2138" t="s">
        <v>93</v>
      </c>
      <c r="G2138" t="s">
        <v>16</v>
      </c>
      <c r="H2138">
        <v>5</v>
      </c>
      <c r="I2138">
        <v>15</v>
      </c>
    </row>
    <row r="2139" spans="1:9" x14ac:dyDescent="0.25">
      <c r="A2139" s="5" t="str">
        <f>TrendSheetPrdData[[#This Row],[Population]]&amp;TrendSheetPrdData[[#This Row],[Cost Basis]]&amp;TrendSheetPrdData[[#This Row],[Period]]&amp;TrendSheetPrdData[[#This Row],[Trend]]</f>
        <v>MSSP_NONATTRIBUTEDAllowed2016-05-01Readmission Quality</v>
      </c>
      <c r="B2139" t="s">
        <v>129</v>
      </c>
      <c r="C2139" t="s">
        <v>129</v>
      </c>
      <c r="D2139" t="s">
        <v>91</v>
      </c>
      <c r="E2139" s="1" t="s">
        <v>95</v>
      </c>
      <c r="F2139" t="s">
        <v>93</v>
      </c>
      <c r="G2139" t="s">
        <v>16</v>
      </c>
      <c r="H2139">
        <v>5</v>
      </c>
      <c r="I2139">
        <v>11</v>
      </c>
    </row>
    <row r="2140" spans="1:9" x14ac:dyDescent="0.25">
      <c r="A2140" s="5" t="str">
        <f>TrendSheetPrdData[[#This Row],[Population]]&amp;TrendSheetPrdData[[#This Row],[Cost Basis]]&amp;TrendSheetPrdData[[#This Row],[Period]]&amp;TrendSheetPrdData[[#This Row],[Trend]]</f>
        <v>MSSP_NONATTRIBUTEDAllowed2016-06-01Readmission Quality</v>
      </c>
      <c r="B2140" t="s">
        <v>129</v>
      </c>
      <c r="C2140" t="s">
        <v>129</v>
      </c>
      <c r="D2140" t="s">
        <v>91</v>
      </c>
      <c r="E2140" s="1" t="s">
        <v>96</v>
      </c>
      <c r="F2140" t="s">
        <v>93</v>
      </c>
      <c r="G2140" t="s">
        <v>16</v>
      </c>
      <c r="H2140">
        <v>5</v>
      </c>
      <c r="I2140">
        <v>13</v>
      </c>
    </row>
    <row r="2141" spans="1:9" x14ac:dyDescent="0.25">
      <c r="A2141" s="5" t="str">
        <f>TrendSheetPrdData[[#This Row],[Population]]&amp;TrendSheetPrdData[[#This Row],[Cost Basis]]&amp;TrendSheetPrdData[[#This Row],[Period]]&amp;TrendSheetPrdData[[#This Row],[Trend]]</f>
        <v>MSSP_NONATTRIBUTEDAllowed2016-07-01Readmission Quality</v>
      </c>
      <c r="B2141" t="s">
        <v>129</v>
      </c>
      <c r="C2141" t="s">
        <v>129</v>
      </c>
      <c r="D2141" t="s">
        <v>91</v>
      </c>
      <c r="E2141" s="1" t="s">
        <v>97</v>
      </c>
      <c r="F2141" t="s">
        <v>93</v>
      </c>
      <c r="G2141" t="s">
        <v>16</v>
      </c>
      <c r="H2141">
        <v>5</v>
      </c>
      <c r="I2141">
        <v>25</v>
      </c>
    </row>
    <row r="2142" spans="1:9" x14ac:dyDescent="0.25">
      <c r="A2142" s="5" t="str">
        <f>TrendSheetPrdData[[#This Row],[Population]]&amp;TrendSheetPrdData[[#This Row],[Cost Basis]]&amp;TrendSheetPrdData[[#This Row],[Period]]&amp;TrendSheetPrdData[[#This Row],[Trend]]</f>
        <v>MSSP_NONATTRIBUTEDAllowed2016-08-01Readmission Quality</v>
      </c>
      <c r="B2142" t="s">
        <v>129</v>
      </c>
      <c r="C2142" t="s">
        <v>129</v>
      </c>
      <c r="D2142" t="s">
        <v>91</v>
      </c>
      <c r="E2142" s="1" t="s">
        <v>98</v>
      </c>
      <c r="F2142" t="s">
        <v>93</v>
      </c>
      <c r="G2142" t="s">
        <v>16</v>
      </c>
      <c r="H2142">
        <v>5</v>
      </c>
      <c r="I2142">
        <v>19</v>
      </c>
    </row>
    <row r="2143" spans="1:9" x14ac:dyDescent="0.25">
      <c r="A2143" s="5" t="str">
        <f>TrendSheetPrdData[[#This Row],[Population]]&amp;TrendSheetPrdData[[#This Row],[Cost Basis]]&amp;TrendSheetPrdData[[#This Row],[Period]]&amp;TrendSheetPrdData[[#This Row],[Trend]]</f>
        <v>MSSP_NONATTRIBUTEDAllowed2016-09-01Readmission Quality</v>
      </c>
      <c r="B2143" t="s">
        <v>129</v>
      </c>
      <c r="C2143" t="s">
        <v>129</v>
      </c>
      <c r="D2143" t="s">
        <v>91</v>
      </c>
      <c r="E2143" s="1" t="s">
        <v>99</v>
      </c>
      <c r="F2143" t="s">
        <v>93</v>
      </c>
      <c r="G2143" t="s">
        <v>16</v>
      </c>
      <c r="H2143">
        <v>5</v>
      </c>
      <c r="I2143">
        <v>10</v>
      </c>
    </row>
    <row r="2144" spans="1:9" x14ac:dyDescent="0.25">
      <c r="A2144" s="5" t="str">
        <f>TrendSheetPrdData[[#This Row],[Population]]&amp;TrendSheetPrdData[[#This Row],[Cost Basis]]&amp;TrendSheetPrdData[[#This Row],[Period]]&amp;TrendSheetPrdData[[#This Row],[Trend]]</f>
        <v>MSSP_NONATTRIBUTEDAllowed2016-10-01Readmission Quality</v>
      </c>
      <c r="B2144" t="s">
        <v>129</v>
      </c>
      <c r="C2144" t="s">
        <v>129</v>
      </c>
      <c r="D2144" t="s">
        <v>91</v>
      </c>
      <c r="E2144" s="1" t="s">
        <v>100</v>
      </c>
      <c r="F2144" t="s">
        <v>106</v>
      </c>
      <c r="G2144" t="s">
        <v>16</v>
      </c>
      <c r="H2144">
        <v>5</v>
      </c>
      <c r="I2144">
        <v>14</v>
      </c>
    </row>
    <row r="2145" spans="1:9" x14ac:dyDescent="0.25">
      <c r="A2145" s="5" t="str">
        <f>TrendSheetPrdData[[#This Row],[Population]]&amp;TrendSheetPrdData[[#This Row],[Cost Basis]]&amp;TrendSheetPrdData[[#This Row],[Period]]&amp;TrendSheetPrdData[[#This Row],[Trend]]</f>
        <v>MSSP_NONATTRIBUTEDAllowed2016-11-01Readmission Quality</v>
      </c>
      <c r="B2145" t="s">
        <v>129</v>
      </c>
      <c r="C2145" t="s">
        <v>129</v>
      </c>
      <c r="D2145" t="s">
        <v>91</v>
      </c>
      <c r="E2145" s="1" t="s">
        <v>101</v>
      </c>
      <c r="F2145" t="s">
        <v>106</v>
      </c>
      <c r="G2145" t="s">
        <v>16</v>
      </c>
      <c r="H2145">
        <v>5</v>
      </c>
      <c r="I2145">
        <v>9</v>
      </c>
    </row>
    <row r="2146" spans="1:9" x14ac:dyDescent="0.25">
      <c r="A2146" s="5" t="str">
        <f>TrendSheetPrdData[[#This Row],[Population]]&amp;TrendSheetPrdData[[#This Row],[Cost Basis]]&amp;TrendSheetPrdData[[#This Row],[Period]]&amp;TrendSheetPrdData[[#This Row],[Trend]]</f>
        <v>MSSP_NONATTRIBUTEDAllowed2016-12-01Readmission Quality</v>
      </c>
      <c r="B2146" t="s">
        <v>129</v>
      </c>
      <c r="C2146" t="s">
        <v>129</v>
      </c>
      <c r="D2146" t="s">
        <v>91</v>
      </c>
      <c r="E2146" s="1" t="s">
        <v>102</v>
      </c>
      <c r="F2146" t="s">
        <v>106</v>
      </c>
      <c r="G2146" t="s">
        <v>16</v>
      </c>
      <c r="H2146">
        <v>5</v>
      </c>
      <c r="I2146">
        <v>0</v>
      </c>
    </row>
    <row r="2147" spans="1:9" x14ac:dyDescent="0.25">
      <c r="A2147" s="5" t="str">
        <f>TrendSheetPrdData[[#This Row],[Population]]&amp;TrendSheetPrdData[[#This Row],[Cost Basis]]&amp;TrendSheetPrdData[[#This Row],[Period]]&amp;TrendSheetPrdData[[#This Row],[Trend]]</f>
        <v>MSSP_NONATTRIBUTEDAllowed2015-10-01Avoidable Admission Cost</v>
      </c>
      <c r="B2147" t="s">
        <v>129</v>
      </c>
      <c r="C2147" t="s">
        <v>129</v>
      </c>
      <c r="D2147" t="s">
        <v>91</v>
      </c>
      <c r="E2147" s="1" t="s">
        <v>134</v>
      </c>
      <c r="F2147" t="s">
        <v>93</v>
      </c>
      <c r="G2147" t="s">
        <v>17</v>
      </c>
      <c r="H2147">
        <v>6</v>
      </c>
      <c r="I2147">
        <v>357289.08</v>
      </c>
    </row>
    <row r="2148" spans="1:9" x14ac:dyDescent="0.25">
      <c r="A2148" s="5" t="str">
        <f>TrendSheetPrdData[[#This Row],[Population]]&amp;TrendSheetPrdData[[#This Row],[Cost Basis]]&amp;TrendSheetPrdData[[#This Row],[Period]]&amp;TrendSheetPrdData[[#This Row],[Trend]]</f>
        <v>MSSP_NONATTRIBUTEDAllowed2015-11-01Avoidable Admission Cost</v>
      </c>
      <c r="B2148" t="s">
        <v>129</v>
      </c>
      <c r="C2148" t="s">
        <v>129</v>
      </c>
      <c r="D2148" t="s">
        <v>91</v>
      </c>
      <c r="E2148" s="1" t="s">
        <v>130</v>
      </c>
      <c r="F2148" t="s">
        <v>93</v>
      </c>
      <c r="G2148" t="s">
        <v>17</v>
      </c>
      <c r="H2148">
        <v>6</v>
      </c>
      <c r="I2148">
        <v>266511.12</v>
      </c>
    </row>
    <row r="2149" spans="1:9" x14ac:dyDescent="0.25">
      <c r="A2149" s="5" t="str">
        <f>TrendSheetPrdData[[#This Row],[Population]]&amp;TrendSheetPrdData[[#This Row],[Cost Basis]]&amp;TrendSheetPrdData[[#This Row],[Period]]&amp;TrendSheetPrdData[[#This Row],[Trend]]</f>
        <v>MSSP_NONATTRIBUTEDAllowed2015-12-01Avoidable Admission Cost</v>
      </c>
      <c r="B2149" t="s">
        <v>129</v>
      </c>
      <c r="C2149" t="s">
        <v>129</v>
      </c>
      <c r="D2149" t="s">
        <v>91</v>
      </c>
      <c r="E2149" s="1" t="s">
        <v>131</v>
      </c>
      <c r="F2149" t="s">
        <v>93</v>
      </c>
      <c r="G2149" t="s">
        <v>17</v>
      </c>
      <c r="H2149">
        <v>6</v>
      </c>
      <c r="I2149">
        <v>262526.75</v>
      </c>
    </row>
    <row r="2150" spans="1:9" x14ac:dyDescent="0.25">
      <c r="A2150" s="5" t="str">
        <f>TrendSheetPrdData[[#This Row],[Population]]&amp;TrendSheetPrdData[[#This Row],[Cost Basis]]&amp;TrendSheetPrdData[[#This Row],[Period]]&amp;TrendSheetPrdData[[#This Row],[Trend]]</f>
        <v>MSSP_NONATTRIBUTEDAllowed2016-01-01Avoidable Admission Cost</v>
      </c>
      <c r="B2150" t="s">
        <v>129</v>
      </c>
      <c r="C2150" t="s">
        <v>129</v>
      </c>
      <c r="D2150" t="s">
        <v>91</v>
      </c>
      <c r="E2150" s="1" t="s">
        <v>132</v>
      </c>
      <c r="F2150" t="s">
        <v>93</v>
      </c>
      <c r="G2150" t="s">
        <v>17</v>
      </c>
      <c r="H2150">
        <v>6</v>
      </c>
      <c r="I2150">
        <v>293378.34999999998</v>
      </c>
    </row>
    <row r="2151" spans="1:9" x14ac:dyDescent="0.25">
      <c r="A2151" s="5" t="str">
        <f>TrendSheetPrdData[[#This Row],[Population]]&amp;TrendSheetPrdData[[#This Row],[Cost Basis]]&amp;TrendSheetPrdData[[#This Row],[Period]]&amp;TrendSheetPrdData[[#This Row],[Trend]]</f>
        <v>MSSP_NONATTRIBUTEDAllowed2016-02-01Avoidable Admission Cost</v>
      </c>
      <c r="B2151" t="s">
        <v>129</v>
      </c>
      <c r="C2151" t="s">
        <v>129</v>
      </c>
      <c r="D2151" t="s">
        <v>91</v>
      </c>
      <c r="E2151" s="1" t="s">
        <v>133</v>
      </c>
      <c r="F2151" t="s">
        <v>93</v>
      </c>
      <c r="G2151" t="s">
        <v>17</v>
      </c>
      <c r="H2151">
        <v>6</v>
      </c>
      <c r="I2151">
        <v>240618.86</v>
      </c>
    </row>
    <row r="2152" spans="1:9" x14ac:dyDescent="0.25">
      <c r="A2152" s="5" t="str">
        <f>TrendSheetPrdData[[#This Row],[Population]]&amp;TrendSheetPrdData[[#This Row],[Cost Basis]]&amp;TrendSheetPrdData[[#This Row],[Period]]&amp;TrendSheetPrdData[[#This Row],[Trend]]</f>
        <v>MSSP_NONATTRIBUTEDAllowed2016-03-01Avoidable Admission Cost</v>
      </c>
      <c r="B2152" t="s">
        <v>129</v>
      </c>
      <c r="C2152" t="s">
        <v>129</v>
      </c>
      <c r="D2152" t="s">
        <v>91</v>
      </c>
      <c r="E2152" s="1" t="s">
        <v>92</v>
      </c>
      <c r="F2152" t="s">
        <v>93</v>
      </c>
      <c r="G2152" t="s">
        <v>17</v>
      </c>
      <c r="H2152">
        <v>6</v>
      </c>
      <c r="I2152">
        <v>184752.95</v>
      </c>
    </row>
    <row r="2153" spans="1:9" x14ac:dyDescent="0.25">
      <c r="A2153" s="5" t="str">
        <f>TrendSheetPrdData[[#This Row],[Population]]&amp;TrendSheetPrdData[[#This Row],[Cost Basis]]&amp;TrendSheetPrdData[[#This Row],[Period]]&amp;TrendSheetPrdData[[#This Row],[Trend]]</f>
        <v>MSSP_NONATTRIBUTEDAllowed2016-04-01Avoidable Admission Cost</v>
      </c>
      <c r="B2153" t="s">
        <v>129</v>
      </c>
      <c r="C2153" t="s">
        <v>129</v>
      </c>
      <c r="D2153" t="s">
        <v>91</v>
      </c>
      <c r="E2153" s="1" t="s">
        <v>94</v>
      </c>
      <c r="F2153" t="s">
        <v>93</v>
      </c>
      <c r="G2153" t="s">
        <v>17</v>
      </c>
      <c r="H2153">
        <v>6</v>
      </c>
      <c r="I2153">
        <v>126795.71</v>
      </c>
    </row>
    <row r="2154" spans="1:9" x14ac:dyDescent="0.25">
      <c r="A2154" s="5" t="str">
        <f>TrendSheetPrdData[[#This Row],[Population]]&amp;TrendSheetPrdData[[#This Row],[Cost Basis]]&amp;TrendSheetPrdData[[#This Row],[Period]]&amp;TrendSheetPrdData[[#This Row],[Trend]]</f>
        <v>MSSP_NONATTRIBUTEDAllowed2016-05-01Avoidable Admission Cost</v>
      </c>
      <c r="B2154" t="s">
        <v>129</v>
      </c>
      <c r="C2154" t="s">
        <v>129</v>
      </c>
      <c r="D2154" t="s">
        <v>91</v>
      </c>
      <c r="E2154" s="1" t="s">
        <v>95</v>
      </c>
      <c r="F2154" t="s">
        <v>93</v>
      </c>
      <c r="G2154" t="s">
        <v>17</v>
      </c>
      <c r="H2154">
        <v>6</v>
      </c>
      <c r="I2154">
        <v>170709.81</v>
      </c>
    </row>
    <row r="2155" spans="1:9" x14ac:dyDescent="0.25">
      <c r="A2155" s="5" t="str">
        <f>TrendSheetPrdData[[#This Row],[Population]]&amp;TrendSheetPrdData[[#This Row],[Cost Basis]]&amp;TrendSheetPrdData[[#This Row],[Period]]&amp;TrendSheetPrdData[[#This Row],[Trend]]</f>
        <v>MSSP_NONATTRIBUTEDAllowed2016-06-01Avoidable Admission Cost</v>
      </c>
      <c r="B2155" t="s">
        <v>129</v>
      </c>
      <c r="C2155" t="s">
        <v>129</v>
      </c>
      <c r="D2155" t="s">
        <v>91</v>
      </c>
      <c r="E2155" s="1" t="s">
        <v>96</v>
      </c>
      <c r="F2155" t="s">
        <v>93</v>
      </c>
      <c r="G2155" t="s">
        <v>17</v>
      </c>
      <c r="H2155">
        <v>6</v>
      </c>
      <c r="I2155">
        <v>104532.65</v>
      </c>
    </row>
    <row r="2156" spans="1:9" x14ac:dyDescent="0.25">
      <c r="A2156" s="5" t="str">
        <f>TrendSheetPrdData[[#This Row],[Population]]&amp;TrendSheetPrdData[[#This Row],[Cost Basis]]&amp;TrendSheetPrdData[[#This Row],[Period]]&amp;TrendSheetPrdData[[#This Row],[Trend]]</f>
        <v>MSSP_NONATTRIBUTEDAllowed2016-07-01Avoidable Admission Cost</v>
      </c>
      <c r="B2156" t="s">
        <v>129</v>
      </c>
      <c r="C2156" t="s">
        <v>129</v>
      </c>
      <c r="D2156" t="s">
        <v>91</v>
      </c>
      <c r="E2156" s="1" t="s">
        <v>97</v>
      </c>
      <c r="F2156" t="s">
        <v>93</v>
      </c>
      <c r="G2156" t="s">
        <v>17</v>
      </c>
      <c r="H2156">
        <v>6</v>
      </c>
      <c r="I2156">
        <v>106343.42</v>
      </c>
    </row>
    <row r="2157" spans="1:9" x14ac:dyDescent="0.25">
      <c r="A2157" s="5" t="str">
        <f>TrendSheetPrdData[[#This Row],[Population]]&amp;TrendSheetPrdData[[#This Row],[Cost Basis]]&amp;TrendSheetPrdData[[#This Row],[Period]]&amp;TrendSheetPrdData[[#This Row],[Trend]]</f>
        <v>MSSP_NONATTRIBUTEDAllowed2016-08-01Avoidable Admission Cost</v>
      </c>
      <c r="B2157" t="s">
        <v>129</v>
      </c>
      <c r="C2157" t="s">
        <v>129</v>
      </c>
      <c r="D2157" t="s">
        <v>91</v>
      </c>
      <c r="E2157" s="1" t="s">
        <v>98</v>
      </c>
      <c r="F2157" t="s">
        <v>93</v>
      </c>
      <c r="G2157" t="s">
        <v>17</v>
      </c>
      <c r="H2157">
        <v>6</v>
      </c>
      <c r="I2157">
        <v>226641.28</v>
      </c>
    </row>
    <row r="2158" spans="1:9" x14ac:dyDescent="0.25">
      <c r="A2158" s="5" t="str">
        <f>TrendSheetPrdData[[#This Row],[Population]]&amp;TrendSheetPrdData[[#This Row],[Cost Basis]]&amp;TrendSheetPrdData[[#This Row],[Period]]&amp;TrendSheetPrdData[[#This Row],[Trend]]</f>
        <v>MSSP_NONATTRIBUTEDAllowed2016-09-01Avoidable Admission Cost</v>
      </c>
      <c r="B2158" t="s">
        <v>129</v>
      </c>
      <c r="C2158" t="s">
        <v>129</v>
      </c>
      <c r="D2158" t="s">
        <v>91</v>
      </c>
      <c r="E2158" s="1" t="s">
        <v>99</v>
      </c>
      <c r="F2158" t="s">
        <v>93</v>
      </c>
      <c r="G2158" t="s">
        <v>17</v>
      </c>
      <c r="H2158">
        <v>6</v>
      </c>
      <c r="I2158">
        <v>144165.71</v>
      </c>
    </row>
    <row r="2159" spans="1:9" x14ac:dyDescent="0.25">
      <c r="A2159" s="5" t="str">
        <f>TrendSheetPrdData[[#This Row],[Population]]&amp;TrendSheetPrdData[[#This Row],[Cost Basis]]&amp;TrendSheetPrdData[[#This Row],[Period]]&amp;TrendSheetPrdData[[#This Row],[Trend]]</f>
        <v>MSSP_NONATTRIBUTEDAllowed2016-10-01Avoidable Admission Cost</v>
      </c>
      <c r="B2159" t="s">
        <v>129</v>
      </c>
      <c r="C2159" t="s">
        <v>129</v>
      </c>
      <c r="D2159" t="s">
        <v>91</v>
      </c>
      <c r="E2159" s="1" t="s">
        <v>100</v>
      </c>
      <c r="F2159" t="s">
        <v>106</v>
      </c>
      <c r="G2159" t="s">
        <v>17</v>
      </c>
      <c r="H2159">
        <v>6</v>
      </c>
      <c r="I2159">
        <v>166530.34</v>
      </c>
    </row>
    <row r="2160" spans="1:9" x14ac:dyDescent="0.25">
      <c r="A2160" s="5" t="str">
        <f>TrendSheetPrdData[[#This Row],[Population]]&amp;TrendSheetPrdData[[#This Row],[Cost Basis]]&amp;TrendSheetPrdData[[#This Row],[Period]]&amp;TrendSheetPrdData[[#This Row],[Trend]]</f>
        <v>MSSP_NONATTRIBUTEDAllowed2016-11-01Avoidable Admission Cost</v>
      </c>
      <c r="B2160" t="s">
        <v>129</v>
      </c>
      <c r="C2160" t="s">
        <v>129</v>
      </c>
      <c r="D2160" t="s">
        <v>91</v>
      </c>
      <c r="E2160" s="1" t="s">
        <v>101</v>
      </c>
      <c r="F2160" t="s">
        <v>106</v>
      </c>
      <c r="G2160" t="s">
        <v>17</v>
      </c>
      <c r="H2160">
        <v>6</v>
      </c>
      <c r="I2160">
        <v>140333.81</v>
      </c>
    </row>
    <row r="2161" spans="1:9" x14ac:dyDescent="0.25">
      <c r="A2161" s="5" t="str">
        <f>TrendSheetPrdData[[#This Row],[Population]]&amp;TrendSheetPrdData[[#This Row],[Cost Basis]]&amp;TrendSheetPrdData[[#This Row],[Period]]&amp;TrendSheetPrdData[[#This Row],[Trend]]</f>
        <v>MSSP_NONATTRIBUTEDAllowed2016-12-01Avoidable Admission Cost</v>
      </c>
      <c r="B2161" t="s">
        <v>129</v>
      </c>
      <c r="C2161" t="s">
        <v>129</v>
      </c>
      <c r="D2161" t="s">
        <v>91</v>
      </c>
      <c r="E2161" s="1" t="s">
        <v>102</v>
      </c>
      <c r="F2161" t="s">
        <v>106</v>
      </c>
      <c r="G2161" t="s">
        <v>17</v>
      </c>
      <c r="H2161">
        <v>6</v>
      </c>
      <c r="I2161">
        <v>85978.13</v>
      </c>
    </row>
    <row r="2162" spans="1:9" x14ac:dyDescent="0.25">
      <c r="A2162" s="5" t="str">
        <f>TrendSheetPrdData[[#This Row],[Population]]&amp;TrendSheetPrdData[[#This Row],[Cost Basis]]&amp;TrendSheetPrdData[[#This Row],[Period]]&amp;TrendSheetPrdData[[#This Row],[Trend]]</f>
        <v>MSSP_NONATTRIBUTEDAllowed2015-10-01Avoidable Admission Quality</v>
      </c>
      <c r="B2162" t="s">
        <v>129</v>
      </c>
      <c r="C2162" t="s">
        <v>129</v>
      </c>
      <c r="D2162" t="s">
        <v>91</v>
      </c>
      <c r="E2162" s="1" t="s">
        <v>134</v>
      </c>
      <c r="F2162" t="s">
        <v>93</v>
      </c>
      <c r="G2162" t="s">
        <v>18</v>
      </c>
      <c r="H2162">
        <v>7</v>
      </c>
      <c r="I2162">
        <v>54</v>
      </c>
    </row>
    <row r="2163" spans="1:9" x14ac:dyDescent="0.25">
      <c r="A2163" s="5" t="str">
        <f>TrendSheetPrdData[[#This Row],[Population]]&amp;TrendSheetPrdData[[#This Row],[Cost Basis]]&amp;TrendSheetPrdData[[#This Row],[Period]]&amp;TrendSheetPrdData[[#This Row],[Trend]]</f>
        <v>MSSP_NONATTRIBUTEDAllowed2015-11-01Avoidable Admission Quality</v>
      </c>
      <c r="B2163" t="s">
        <v>129</v>
      </c>
      <c r="C2163" t="s">
        <v>129</v>
      </c>
      <c r="D2163" t="s">
        <v>91</v>
      </c>
      <c r="E2163" s="1" t="s">
        <v>130</v>
      </c>
      <c r="F2163" t="s">
        <v>93</v>
      </c>
      <c r="G2163" t="s">
        <v>18</v>
      </c>
      <c r="H2163">
        <v>7</v>
      </c>
      <c r="I2163">
        <v>32</v>
      </c>
    </row>
    <row r="2164" spans="1:9" x14ac:dyDescent="0.25">
      <c r="A2164" s="5" t="str">
        <f>TrendSheetPrdData[[#This Row],[Population]]&amp;TrendSheetPrdData[[#This Row],[Cost Basis]]&amp;TrendSheetPrdData[[#This Row],[Period]]&amp;TrendSheetPrdData[[#This Row],[Trend]]</f>
        <v>MSSP_NONATTRIBUTEDAllowed2015-12-01Avoidable Admission Quality</v>
      </c>
      <c r="B2164" t="s">
        <v>129</v>
      </c>
      <c r="C2164" t="s">
        <v>129</v>
      </c>
      <c r="D2164" t="s">
        <v>91</v>
      </c>
      <c r="E2164" s="1" t="s">
        <v>131</v>
      </c>
      <c r="F2164" t="s">
        <v>93</v>
      </c>
      <c r="G2164" t="s">
        <v>18</v>
      </c>
      <c r="H2164">
        <v>7</v>
      </c>
      <c r="I2164">
        <v>32</v>
      </c>
    </row>
    <row r="2165" spans="1:9" x14ac:dyDescent="0.25">
      <c r="A2165" s="5" t="str">
        <f>TrendSheetPrdData[[#This Row],[Population]]&amp;TrendSheetPrdData[[#This Row],[Cost Basis]]&amp;TrendSheetPrdData[[#This Row],[Period]]&amp;TrendSheetPrdData[[#This Row],[Trend]]</f>
        <v>MSSP_NONATTRIBUTEDAllowed2016-01-01Avoidable Admission Quality</v>
      </c>
      <c r="B2165" t="s">
        <v>129</v>
      </c>
      <c r="C2165" t="s">
        <v>129</v>
      </c>
      <c r="D2165" t="s">
        <v>91</v>
      </c>
      <c r="E2165" s="1" t="s">
        <v>132</v>
      </c>
      <c r="F2165" t="s">
        <v>93</v>
      </c>
      <c r="G2165" t="s">
        <v>18</v>
      </c>
      <c r="H2165">
        <v>7</v>
      </c>
      <c r="I2165">
        <v>40</v>
      </c>
    </row>
    <row r="2166" spans="1:9" x14ac:dyDescent="0.25">
      <c r="A2166" s="5" t="str">
        <f>TrendSheetPrdData[[#This Row],[Population]]&amp;TrendSheetPrdData[[#This Row],[Cost Basis]]&amp;TrendSheetPrdData[[#This Row],[Period]]&amp;TrendSheetPrdData[[#This Row],[Trend]]</f>
        <v>MSSP_NONATTRIBUTEDAllowed2016-02-01Avoidable Admission Quality</v>
      </c>
      <c r="B2166" t="s">
        <v>129</v>
      </c>
      <c r="C2166" t="s">
        <v>129</v>
      </c>
      <c r="D2166" t="s">
        <v>91</v>
      </c>
      <c r="E2166" s="1" t="s">
        <v>133</v>
      </c>
      <c r="F2166" t="s">
        <v>93</v>
      </c>
      <c r="G2166" t="s">
        <v>18</v>
      </c>
      <c r="H2166">
        <v>7</v>
      </c>
      <c r="I2166">
        <v>30</v>
      </c>
    </row>
    <row r="2167" spans="1:9" x14ac:dyDescent="0.25">
      <c r="A2167" s="5" t="str">
        <f>TrendSheetPrdData[[#This Row],[Population]]&amp;TrendSheetPrdData[[#This Row],[Cost Basis]]&amp;TrendSheetPrdData[[#This Row],[Period]]&amp;TrendSheetPrdData[[#This Row],[Trend]]</f>
        <v>MSSP_NONATTRIBUTEDAllowed2016-03-01Avoidable Admission Quality</v>
      </c>
      <c r="B2167" t="s">
        <v>129</v>
      </c>
      <c r="C2167" t="s">
        <v>129</v>
      </c>
      <c r="D2167" t="s">
        <v>91</v>
      </c>
      <c r="E2167" s="1" t="s">
        <v>92</v>
      </c>
      <c r="F2167" t="s">
        <v>93</v>
      </c>
      <c r="G2167" t="s">
        <v>18</v>
      </c>
      <c r="H2167">
        <v>7</v>
      </c>
      <c r="I2167">
        <v>26</v>
      </c>
    </row>
    <row r="2168" spans="1:9" x14ac:dyDescent="0.25">
      <c r="A2168" s="5" t="str">
        <f>TrendSheetPrdData[[#This Row],[Population]]&amp;TrendSheetPrdData[[#This Row],[Cost Basis]]&amp;TrendSheetPrdData[[#This Row],[Period]]&amp;TrendSheetPrdData[[#This Row],[Trend]]</f>
        <v>MSSP_NONATTRIBUTEDAllowed2016-04-01Avoidable Admission Quality</v>
      </c>
      <c r="B2168" t="s">
        <v>129</v>
      </c>
      <c r="C2168" t="s">
        <v>129</v>
      </c>
      <c r="D2168" t="s">
        <v>91</v>
      </c>
      <c r="E2168" s="1" t="s">
        <v>94</v>
      </c>
      <c r="F2168" t="s">
        <v>93</v>
      </c>
      <c r="G2168" t="s">
        <v>18</v>
      </c>
      <c r="H2168">
        <v>7</v>
      </c>
      <c r="I2168">
        <v>16</v>
      </c>
    </row>
    <row r="2169" spans="1:9" x14ac:dyDescent="0.25">
      <c r="A2169" s="5" t="str">
        <f>TrendSheetPrdData[[#This Row],[Population]]&amp;TrendSheetPrdData[[#This Row],[Cost Basis]]&amp;TrendSheetPrdData[[#This Row],[Period]]&amp;TrendSheetPrdData[[#This Row],[Trend]]</f>
        <v>MSSP_NONATTRIBUTEDAllowed2016-05-01Avoidable Admission Quality</v>
      </c>
      <c r="B2169" t="s">
        <v>129</v>
      </c>
      <c r="C2169" t="s">
        <v>129</v>
      </c>
      <c r="D2169" t="s">
        <v>91</v>
      </c>
      <c r="E2169" s="1" t="s">
        <v>95</v>
      </c>
      <c r="F2169" t="s">
        <v>93</v>
      </c>
      <c r="G2169" t="s">
        <v>18</v>
      </c>
      <c r="H2169">
        <v>7</v>
      </c>
      <c r="I2169">
        <v>21</v>
      </c>
    </row>
    <row r="2170" spans="1:9" x14ac:dyDescent="0.25">
      <c r="A2170" s="5" t="str">
        <f>TrendSheetPrdData[[#This Row],[Population]]&amp;TrendSheetPrdData[[#This Row],[Cost Basis]]&amp;TrendSheetPrdData[[#This Row],[Period]]&amp;TrendSheetPrdData[[#This Row],[Trend]]</f>
        <v>MSSP_NONATTRIBUTEDAllowed2016-06-01Avoidable Admission Quality</v>
      </c>
      <c r="B2170" t="s">
        <v>129</v>
      </c>
      <c r="C2170" t="s">
        <v>129</v>
      </c>
      <c r="D2170" t="s">
        <v>91</v>
      </c>
      <c r="E2170" s="1" t="s">
        <v>96</v>
      </c>
      <c r="F2170" t="s">
        <v>93</v>
      </c>
      <c r="G2170" t="s">
        <v>18</v>
      </c>
      <c r="H2170">
        <v>7</v>
      </c>
      <c r="I2170">
        <v>13</v>
      </c>
    </row>
    <row r="2171" spans="1:9" x14ac:dyDescent="0.25">
      <c r="A2171" s="5" t="str">
        <f>TrendSheetPrdData[[#This Row],[Population]]&amp;TrendSheetPrdData[[#This Row],[Cost Basis]]&amp;TrendSheetPrdData[[#This Row],[Period]]&amp;TrendSheetPrdData[[#This Row],[Trend]]</f>
        <v>MSSP_NONATTRIBUTEDAllowed2016-07-01Avoidable Admission Quality</v>
      </c>
      <c r="B2171" t="s">
        <v>129</v>
      </c>
      <c r="C2171" t="s">
        <v>129</v>
      </c>
      <c r="D2171" t="s">
        <v>91</v>
      </c>
      <c r="E2171" s="1" t="s">
        <v>97</v>
      </c>
      <c r="F2171" t="s">
        <v>93</v>
      </c>
      <c r="G2171" t="s">
        <v>18</v>
      </c>
      <c r="H2171">
        <v>7</v>
      </c>
      <c r="I2171">
        <v>15</v>
      </c>
    </row>
    <row r="2172" spans="1:9" x14ac:dyDescent="0.25">
      <c r="A2172" s="5" t="str">
        <f>TrendSheetPrdData[[#This Row],[Population]]&amp;TrendSheetPrdData[[#This Row],[Cost Basis]]&amp;TrendSheetPrdData[[#This Row],[Period]]&amp;TrendSheetPrdData[[#This Row],[Trend]]</f>
        <v>MSSP_NONATTRIBUTEDAllowed2016-08-01Avoidable Admission Quality</v>
      </c>
      <c r="B2172" t="s">
        <v>129</v>
      </c>
      <c r="C2172" t="s">
        <v>129</v>
      </c>
      <c r="D2172" t="s">
        <v>91</v>
      </c>
      <c r="E2172" s="1" t="s">
        <v>98</v>
      </c>
      <c r="F2172" t="s">
        <v>93</v>
      </c>
      <c r="G2172" t="s">
        <v>18</v>
      </c>
      <c r="H2172">
        <v>7</v>
      </c>
      <c r="I2172">
        <v>29</v>
      </c>
    </row>
    <row r="2173" spans="1:9" x14ac:dyDescent="0.25">
      <c r="A2173" s="5" t="str">
        <f>TrendSheetPrdData[[#This Row],[Population]]&amp;TrendSheetPrdData[[#This Row],[Cost Basis]]&amp;TrendSheetPrdData[[#This Row],[Period]]&amp;TrendSheetPrdData[[#This Row],[Trend]]</f>
        <v>MSSP_NONATTRIBUTEDAllowed2016-09-01Avoidable Admission Quality</v>
      </c>
      <c r="B2173" t="s">
        <v>129</v>
      </c>
      <c r="C2173" t="s">
        <v>129</v>
      </c>
      <c r="D2173" t="s">
        <v>91</v>
      </c>
      <c r="E2173" s="1" t="s">
        <v>99</v>
      </c>
      <c r="F2173" t="s">
        <v>93</v>
      </c>
      <c r="G2173" t="s">
        <v>18</v>
      </c>
      <c r="H2173">
        <v>7</v>
      </c>
      <c r="I2173">
        <v>19</v>
      </c>
    </row>
    <row r="2174" spans="1:9" x14ac:dyDescent="0.25">
      <c r="A2174" s="5" t="str">
        <f>TrendSheetPrdData[[#This Row],[Population]]&amp;TrendSheetPrdData[[#This Row],[Cost Basis]]&amp;TrendSheetPrdData[[#This Row],[Period]]&amp;TrendSheetPrdData[[#This Row],[Trend]]</f>
        <v>MSSP_NONATTRIBUTEDAllowed2016-10-01Avoidable Admission Quality</v>
      </c>
      <c r="B2174" t="s">
        <v>129</v>
      </c>
      <c r="C2174" t="s">
        <v>129</v>
      </c>
      <c r="D2174" t="s">
        <v>91</v>
      </c>
      <c r="E2174" s="1" t="s">
        <v>100</v>
      </c>
      <c r="F2174" t="s">
        <v>106</v>
      </c>
      <c r="G2174" t="s">
        <v>18</v>
      </c>
      <c r="H2174">
        <v>7</v>
      </c>
      <c r="I2174">
        <v>17</v>
      </c>
    </row>
    <row r="2175" spans="1:9" x14ac:dyDescent="0.25">
      <c r="A2175" s="5" t="str">
        <f>TrendSheetPrdData[[#This Row],[Population]]&amp;TrendSheetPrdData[[#This Row],[Cost Basis]]&amp;TrendSheetPrdData[[#This Row],[Period]]&amp;TrendSheetPrdData[[#This Row],[Trend]]</f>
        <v>MSSP_NONATTRIBUTEDAllowed2016-11-01Avoidable Admission Quality</v>
      </c>
      <c r="B2175" t="s">
        <v>129</v>
      </c>
      <c r="C2175" t="s">
        <v>129</v>
      </c>
      <c r="D2175" t="s">
        <v>91</v>
      </c>
      <c r="E2175" s="1" t="s">
        <v>101</v>
      </c>
      <c r="F2175" t="s">
        <v>106</v>
      </c>
      <c r="G2175" t="s">
        <v>18</v>
      </c>
      <c r="H2175">
        <v>7</v>
      </c>
      <c r="I2175">
        <v>18</v>
      </c>
    </row>
    <row r="2176" spans="1:9" x14ac:dyDescent="0.25">
      <c r="A2176" s="5" t="str">
        <f>TrendSheetPrdData[[#This Row],[Population]]&amp;TrendSheetPrdData[[#This Row],[Cost Basis]]&amp;TrendSheetPrdData[[#This Row],[Period]]&amp;TrendSheetPrdData[[#This Row],[Trend]]</f>
        <v>MSSP_NONATTRIBUTEDAllowed2016-12-01Avoidable Admission Quality</v>
      </c>
      <c r="B2176" t="s">
        <v>129</v>
      </c>
      <c r="C2176" t="s">
        <v>129</v>
      </c>
      <c r="D2176" t="s">
        <v>91</v>
      </c>
      <c r="E2176" s="1" t="s">
        <v>102</v>
      </c>
      <c r="F2176" t="s">
        <v>106</v>
      </c>
      <c r="G2176" t="s">
        <v>18</v>
      </c>
      <c r="H2176">
        <v>7</v>
      </c>
      <c r="I2176">
        <v>11</v>
      </c>
    </row>
    <row r="2177" spans="1:9" x14ac:dyDescent="0.25">
      <c r="A2177" s="5" t="str">
        <f>TrendSheetPrdData[[#This Row],[Population]]&amp;TrendSheetPrdData[[#This Row],[Cost Basis]]&amp;TrendSheetPrdData[[#This Row],[Period]]&amp;TrendSheetPrdData[[#This Row],[Trend]]</f>
        <v>MSSP_NONATTRIBUTEDAllowed2015-10-01Outpatient Imaging Cost</v>
      </c>
      <c r="B2177" t="s">
        <v>129</v>
      </c>
      <c r="C2177" t="s">
        <v>129</v>
      </c>
      <c r="D2177" t="s">
        <v>91</v>
      </c>
      <c r="E2177" s="1" t="s">
        <v>134</v>
      </c>
      <c r="F2177" t="s">
        <v>93</v>
      </c>
      <c r="G2177" t="s">
        <v>19</v>
      </c>
      <c r="H2177">
        <v>8</v>
      </c>
      <c r="I2177">
        <v>57328.25</v>
      </c>
    </row>
    <row r="2178" spans="1:9" x14ac:dyDescent="0.25">
      <c r="A2178" s="5" t="str">
        <f>TrendSheetPrdData[[#This Row],[Population]]&amp;TrendSheetPrdData[[#This Row],[Cost Basis]]&amp;TrendSheetPrdData[[#This Row],[Period]]&amp;TrendSheetPrdData[[#This Row],[Trend]]</f>
        <v>MSSP_NONATTRIBUTEDAllowed2015-11-01Outpatient Imaging Cost</v>
      </c>
      <c r="B2178" t="s">
        <v>129</v>
      </c>
      <c r="C2178" t="s">
        <v>129</v>
      </c>
      <c r="D2178" t="s">
        <v>91</v>
      </c>
      <c r="E2178" s="1" t="s">
        <v>130</v>
      </c>
      <c r="F2178" t="s">
        <v>93</v>
      </c>
      <c r="G2178" t="s">
        <v>19</v>
      </c>
      <c r="H2178">
        <v>8</v>
      </c>
      <c r="I2178">
        <v>35355.300000000003</v>
      </c>
    </row>
    <row r="2179" spans="1:9" x14ac:dyDescent="0.25">
      <c r="A2179" s="5" t="str">
        <f>TrendSheetPrdData[[#This Row],[Population]]&amp;TrendSheetPrdData[[#This Row],[Cost Basis]]&amp;TrendSheetPrdData[[#This Row],[Period]]&amp;TrendSheetPrdData[[#This Row],[Trend]]</f>
        <v>MSSP_NONATTRIBUTEDAllowed2015-12-01Outpatient Imaging Cost</v>
      </c>
      <c r="B2179" t="s">
        <v>129</v>
      </c>
      <c r="C2179" t="s">
        <v>129</v>
      </c>
      <c r="D2179" t="s">
        <v>91</v>
      </c>
      <c r="E2179" s="1" t="s">
        <v>131</v>
      </c>
      <c r="F2179" t="s">
        <v>93</v>
      </c>
      <c r="G2179" t="s">
        <v>19</v>
      </c>
      <c r="H2179">
        <v>8</v>
      </c>
      <c r="I2179">
        <v>29087.97</v>
      </c>
    </row>
    <row r="2180" spans="1:9" x14ac:dyDescent="0.25">
      <c r="A2180" s="5" t="str">
        <f>TrendSheetPrdData[[#This Row],[Population]]&amp;TrendSheetPrdData[[#This Row],[Cost Basis]]&amp;TrendSheetPrdData[[#This Row],[Period]]&amp;TrendSheetPrdData[[#This Row],[Trend]]</f>
        <v>MSSP_NONATTRIBUTEDAllowed2016-01-01Outpatient Imaging Cost</v>
      </c>
      <c r="B2180" t="s">
        <v>129</v>
      </c>
      <c r="C2180" t="s">
        <v>129</v>
      </c>
      <c r="D2180" t="s">
        <v>91</v>
      </c>
      <c r="E2180" s="1" t="s">
        <v>132</v>
      </c>
      <c r="F2180" t="s">
        <v>93</v>
      </c>
      <c r="G2180" t="s">
        <v>19</v>
      </c>
      <c r="H2180">
        <v>8</v>
      </c>
      <c r="I2180">
        <v>17379.7</v>
      </c>
    </row>
    <row r="2181" spans="1:9" x14ac:dyDescent="0.25">
      <c r="A2181" s="5" t="str">
        <f>TrendSheetPrdData[[#This Row],[Population]]&amp;TrendSheetPrdData[[#This Row],[Cost Basis]]&amp;TrendSheetPrdData[[#This Row],[Period]]&amp;TrendSheetPrdData[[#This Row],[Trend]]</f>
        <v>MSSP_NONATTRIBUTEDAllowed2016-02-01Outpatient Imaging Cost</v>
      </c>
      <c r="B2181" t="s">
        <v>129</v>
      </c>
      <c r="C2181" t="s">
        <v>129</v>
      </c>
      <c r="D2181" t="s">
        <v>91</v>
      </c>
      <c r="E2181" s="1" t="s">
        <v>133</v>
      </c>
      <c r="F2181" t="s">
        <v>93</v>
      </c>
      <c r="G2181" t="s">
        <v>19</v>
      </c>
      <c r="H2181">
        <v>8</v>
      </c>
      <c r="I2181">
        <v>21269.57</v>
      </c>
    </row>
    <row r="2182" spans="1:9" x14ac:dyDescent="0.25">
      <c r="A2182" s="5" t="str">
        <f>TrendSheetPrdData[[#This Row],[Population]]&amp;TrendSheetPrdData[[#This Row],[Cost Basis]]&amp;TrendSheetPrdData[[#This Row],[Period]]&amp;TrendSheetPrdData[[#This Row],[Trend]]</f>
        <v>MSSP_NONATTRIBUTEDAllowed2016-03-01Outpatient Imaging Cost</v>
      </c>
      <c r="B2182" t="s">
        <v>129</v>
      </c>
      <c r="C2182" t="s">
        <v>129</v>
      </c>
      <c r="D2182" t="s">
        <v>91</v>
      </c>
      <c r="E2182" s="1" t="s">
        <v>92</v>
      </c>
      <c r="F2182" t="s">
        <v>93</v>
      </c>
      <c r="G2182" t="s">
        <v>19</v>
      </c>
      <c r="H2182">
        <v>8</v>
      </c>
      <c r="I2182">
        <v>24831.66</v>
      </c>
    </row>
    <row r="2183" spans="1:9" x14ac:dyDescent="0.25">
      <c r="A2183" s="5" t="str">
        <f>TrendSheetPrdData[[#This Row],[Population]]&amp;TrendSheetPrdData[[#This Row],[Cost Basis]]&amp;TrendSheetPrdData[[#This Row],[Period]]&amp;TrendSheetPrdData[[#This Row],[Trend]]</f>
        <v>MSSP_NONATTRIBUTEDAllowed2016-04-01Outpatient Imaging Cost</v>
      </c>
      <c r="B2183" t="s">
        <v>129</v>
      </c>
      <c r="C2183" t="s">
        <v>129</v>
      </c>
      <c r="D2183" t="s">
        <v>91</v>
      </c>
      <c r="E2183" s="1" t="s">
        <v>94</v>
      </c>
      <c r="F2183" t="s">
        <v>93</v>
      </c>
      <c r="G2183" t="s">
        <v>19</v>
      </c>
      <c r="H2183">
        <v>8</v>
      </c>
      <c r="I2183">
        <v>25407.15</v>
      </c>
    </row>
    <row r="2184" spans="1:9" x14ac:dyDescent="0.25">
      <c r="A2184" s="5" t="str">
        <f>TrendSheetPrdData[[#This Row],[Population]]&amp;TrendSheetPrdData[[#This Row],[Cost Basis]]&amp;TrendSheetPrdData[[#This Row],[Period]]&amp;TrendSheetPrdData[[#This Row],[Trend]]</f>
        <v>MSSP_NONATTRIBUTEDAllowed2016-05-01Outpatient Imaging Cost</v>
      </c>
      <c r="B2184" t="s">
        <v>129</v>
      </c>
      <c r="C2184" t="s">
        <v>129</v>
      </c>
      <c r="D2184" t="s">
        <v>91</v>
      </c>
      <c r="E2184" s="1" t="s">
        <v>95</v>
      </c>
      <c r="F2184" t="s">
        <v>93</v>
      </c>
      <c r="G2184" t="s">
        <v>19</v>
      </c>
      <c r="H2184">
        <v>8</v>
      </c>
      <c r="I2184">
        <v>22977.919999999998</v>
      </c>
    </row>
    <row r="2185" spans="1:9" x14ac:dyDescent="0.25">
      <c r="A2185" s="5" t="str">
        <f>TrendSheetPrdData[[#This Row],[Population]]&amp;TrendSheetPrdData[[#This Row],[Cost Basis]]&amp;TrendSheetPrdData[[#This Row],[Period]]&amp;TrendSheetPrdData[[#This Row],[Trend]]</f>
        <v>MSSP_NONATTRIBUTEDAllowed2016-06-01Outpatient Imaging Cost</v>
      </c>
      <c r="B2185" t="s">
        <v>129</v>
      </c>
      <c r="C2185" t="s">
        <v>129</v>
      </c>
      <c r="D2185" t="s">
        <v>91</v>
      </c>
      <c r="E2185" s="1" t="s">
        <v>96</v>
      </c>
      <c r="F2185" t="s">
        <v>93</v>
      </c>
      <c r="G2185" t="s">
        <v>19</v>
      </c>
      <c r="H2185">
        <v>8</v>
      </c>
      <c r="I2185">
        <v>21219.96</v>
      </c>
    </row>
    <row r="2186" spans="1:9" x14ac:dyDescent="0.25">
      <c r="A2186" s="5" t="str">
        <f>TrendSheetPrdData[[#This Row],[Population]]&amp;TrendSheetPrdData[[#This Row],[Cost Basis]]&amp;TrendSheetPrdData[[#This Row],[Period]]&amp;TrendSheetPrdData[[#This Row],[Trend]]</f>
        <v>MSSP_NONATTRIBUTEDAllowed2016-07-01Outpatient Imaging Cost</v>
      </c>
      <c r="B2186" t="s">
        <v>129</v>
      </c>
      <c r="C2186" t="s">
        <v>129</v>
      </c>
      <c r="D2186" t="s">
        <v>91</v>
      </c>
      <c r="E2186" s="1" t="s">
        <v>97</v>
      </c>
      <c r="F2186" t="s">
        <v>93</v>
      </c>
      <c r="G2186" t="s">
        <v>19</v>
      </c>
      <c r="H2186">
        <v>8</v>
      </c>
      <c r="I2186">
        <v>19345.759999999998</v>
      </c>
    </row>
    <row r="2187" spans="1:9" x14ac:dyDescent="0.25">
      <c r="A2187" s="5" t="str">
        <f>TrendSheetPrdData[[#This Row],[Population]]&amp;TrendSheetPrdData[[#This Row],[Cost Basis]]&amp;TrendSheetPrdData[[#This Row],[Period]]&amp;TrendSheetPrdData[[#This Row],[Trend]]</f>
        <v>MSSP_NONATTRIBUTEDAllowed2016-08-01Outpatient Imaging Cost</v>
      </c>
      <c r="B2187" t="s">
        <v>129</v>
      </c>
      <c r="C2187" t="s">
        <v>129</v>
      </c>
      <c r="D2187" t="s">
        <v>91</v>
      </c>
      <c r="E2187" s="1" t="s">
        <v>98</v>
      </c>
      <c r="F2187" t="s">
        <v>93</v>
      </c>
      <c r="G2187" t="s">
        <v>19</v>
      </c>
      <c r="H2187">
        <v>8</v>
      </c>
      <c r="I2187">
        <v>24505.279999999999</v>
      </c>
    </row>
    <row r="2188" spans="1:9" x14ac:dyDescent="0.25">
      <c r="A2188" s="5" t="str">
        <f>TrendSheetPrdData[[#This Row],[Population]]&amp;TrendSheetPrdData[[#This Row],[Cost Basis]]&amp;TrendSheetPrdData[[#This Row],[Period]]&amp;TrendSheetPrdData[[#This Row],[Trend]]</f>
        <v>MSSP_NONATTRIBUTEDAllowed2016-09-01Outpatient Imaging Cost</v>
      </c>
      <c r="B2188" t="s">
        <v>129</v>
      </c>
      <c r="C2188" t="s">
        <v>129</v>
      </c>
      <c r="D2188" t="s">
        <v>91</v>
      </c>
      <c r="E2188" s="1" t="s">
        <v>99</v>
      </c>
      <c r="F2188" t="s">
        <v>93</v>
      </c>
      <c r="G2188" t="s">
        <v>19</v>
      </c>
      <c r="H2188">
        <v>8</v>
      </c>
      <c r="I2188">
        <v>23863.85</v>
      </c>
    </row>
    <row r="2189" spans="1:9" x14ac:dyDescent="0.25">
      <c r="A2189" s="5" t="str">
        <f>TrendSheetPrdData[[#This Row],[Population]]&amp;TrendSheetPrdData[[#This Row],[Cost Basis]]&amp;TrendSheetPrdData[[#This Row],[Period]]&amp;TrendSheetPrdData[[#This Row],[Trend]]</f>
        <v>MSSP_NONATTRIBUTEDAllowed2016-10-01Outpatient Imaging Cost</v>
      </c>
      <c r="B2189" t="s">
        <v>129</v>
      </c>
      <c r="C2189" t="s">
        <v>129</v>
      </c>
      <c r="D2189" t="s">
        <v>91</v>
      </c>
      <c r="E2189" s="1" t="s">
        <v>100</v>
      </c>
      <c r="F2189" t="s">
        <v>106</v>
      </c>
      <c r="G2189" t="s">
        <v>19</v>
      </c>
      <c r="H2189">
        <v>8</v>
      </c>
      <c r="I2189">
        <v>32274.98</v>
      </c>
    </row>
    <row r="2190" spans="1:9" x14ac:dyDescent="0.25">
      <c r="A2190" s="5" t="str">
        <f>TrendSheetPrdData[[#This Row],[Population]]&amp;TrendSheetPrdData[[#This Row],[Cost Basis]]&amp;TrendSheetPrdData[[#This Row],[Period]]&amp;TrendSheetPrdData[[#This Row],[Trend]]</f>
        <v>MSSP_NONATTRIBUTEDAllowed2016-11-01Outpatient Imaging Cost</v>
      </c>
      <c r="B2190" t="s">
        <v>129</v>
      </c>
      <c r="C2190" t="s">
        <v>129</v>
      </c>
      <c r="D2190" t="s">
        <v>91</v>
      </c>
      <c r="E2190" s="1" t="s">
        <v>101</v>
      </c>
      <c r="F2190" t="s">
        <v>106</v>
      </c>
      <c r="G2190" t="s">
        <v>19</v>
      </c>
      <c r="H2190">
        <v>8</v>
      </c>
      <c r="I2190">
        <v>31139.97</v>
      </c>
    </row>
    <row r="2191" spans="1:9" x14ac:dyDescent="0.25">
      <c r="A2191" s="5" t="str">
        <f>TrendSheetPrdData[[#This Row],[Population]]&amp;TrendSheetPrdData[[#This Row],[Cost Basis]]&amp;TrendSheetPrdData[[#This Row],[Period]]&amp;TrendSheetPrdData[[#This Row],[Trend]]</f>
        <v>MSSP_NONATTRIBUTEDAllowed2016-12-01Outpatient Imaging Cost</v>
      </c>
      <c r="B2191" t="s">
        <v>129</v>
      </c>
      <c r="C2191" t="s">
        <v>129</v>
      </c>
      <c r="D2191" t="s">
        <v>91</v>
      </c>
      <c r="E2191" s="1" t="s">
        <v>102</v>
      </c>
      <c r="F2191" t="s">
        <v>106</v>
      </c>
      <c r="G2191" t="s">
        <v>19</v>
      </c>
      <c r="H2191">
        <v>8</v>
      </c>
      <c r="I2191">
        <v>11369.43</v>
      </c>
    </row>
    <row r="2192" spans="1:9" x14ac:dyDescent="0.25">
      <c r="A2192" s="5" t="str">
        <f>TrendSheetPrdData[[#This Row],[Population]]&amp;TrendSheetPrdData[[#This Row],[Cost Basis]]&amp;TrendSheetPrdData[[#This Row],[Period]]&amp;TrendSheetPrdData[[#This Row],[Trend]]</f>
        <v>MSSP_NONATTRIBUTEDAllowed2015-10-01Hospiatl Outpatient MRIs per 1k</v>
      </c>
      <c r="B2192" t="s">
        <v>129</v>
      </c>
      <c r="C2192" t="s">
        <v>129</v>
      </c>
      <c r="D2192" t="s">
        <v>91</v>
      </c>
      <c r="E2192" s="1" t="s">
        <v>134</v>
      </c>
      <c r="F2192" t="s">
        <v>93</v>
      </c>
      <c r="G2192" t="s">
        <v>20</v>
      </c>
      <c r="H2192">
        <v>9</v>
      </c>
      <c r="I2192">
        <v>92</v>
      </c>
    </row>
    <row r="2193" spans="1:9" x14ac:dyDescent="0.25">
      <c r="A2193" s="5" t="str">
        <f>TrendSheetPrdData[[#This Row],[Population]]&amp;TrendSheetPrdData[[#This Row],[Cost Basis]]&amp;TrendSheetPrdData[[#This Row],[Period]]&amp;TrendSheetPrdData[[#This Row],[Trend]]</f>
        <v>MSSP_NONATTRIBUTEDAllowed2015-11-01Hospiatl Outpatient MRIs per 1k</v>
      </c>
      <c r="B2193" t="s">
        <v>129</v>
      </c>
      <c r="C2193" t="s">
        <v>129</v>
      </c>
      <c r="D2193" t="s">
        <v>91</v>
      </c>
      <c r="E2193" s="1" t="s">
        <v>130</v>
      </c>
      <c r="F2193" t="s">
        <v>93</v>
      </c>
      <c r="G2193" t="s">
        <v>20</v>
      </c>
      <c r="H2193">
        <v>9</v>
      </c>
      <c r="I2193">
        <v>61</v>
      </c>
    </row>
    <row r="2194" spans="1:9" x14ac:dyDescent="0.25">
      <c r="A2194" s="5" t="str">
        <f>TrendSheetPrdData[[#This Row],[Population]]&amp;TrendSheetPrdData[[#This Row],[Cost Basis]]&amp;TrendSheetPrdData[[#This Row],[Period]]&amp;TrendSheetPrdData[[#This Row],[Trend]]</f>
        <v>MSSP_NONATTRIBUTEDAllowed2015-12-01Hospiatl Outpatient MRIs per 1k</v>
      </c>
      <c r="B2194" t="s">
        <v>129</v>
      </c>
      <c r="C2194" t="s">
        <v>129</v>
      </c>
      <c r="D2194" t="s">
        <v>91</v>
      </c>
      <c r="E2194" s="1" t="s">
        <v>131</v>
      </c>
      <c r="F2194" t="s">
        <v>93</v>
      </c>
      <c r="G2194" t="s">
        <v>20</v>
      </c>
      <c r="H2194">
        <v>9</v>
      </c>
      <c r="I2194">
        <v>92</v>
      </c>
    </row>
    <row r="2195" spans="1:9" x14ac:dyDescent="0.25">
      <c r="A2195" s="5" t="str">
        <f>TrendSheetPrdData[[#This Row],[Population]]&amp;TrendSheetPrdData[[#This Row],[Cost Basis]]&amp;TrendSheetPrdData[[#This Row],[Period]]&amp;TrendSheetPrdData[[#This Row],[Trend]]</f>
        <v>MSSP_NONATTRIBUTEDAllowed2016-01-01Hospiatl Outpatient MRIs per 1k</v>
      </c>
      <c r="B2195" t="s">
        <v>129</v>
      </c>
      <c r="C2195" t="s">
        <v>129</v>
      </c>
      <c r="D2195" t="s">
        <v>91</v>
      </c>
      <c r="E2195" s="1" t="s">
        <v>132</v>
      </c>
      <c r="F2195" t="s">
        <v>93</v>
      </c>
      <c r="G2195" t="s">
        <v>20</v>
      </c>
      <c r="H2195">
        <v>9</v>
      </c>
      <c r="I2195">
        <v>63</v>
      </c>
    </row>
    <row r="2196" spans="1:9" x14ac:dyDescent="0.25">
      <c r="A2196" s="5" t="str">
        <f>TrendSheetPrdData[[#This Row],[Population]]&amp;TrendSheetPrdData[[#This Row],[Cost Basis]]&amp;TrendSheetPrdData[[#This Row],[Period]]&amp;TrendSheetPrdData[[#This Row],[Trend]]</f>
        <v>MSSP_NONATTRIBUTEDAllowed2016-02-01Hospiatl Outpatient MRIs per 1k</v>
      </c>
      <c r="B2196" t="s">
        <v>129</v>
      </c>
      <c r="C2196" t="s">
        <v>129</v>
      </c>
      <c r="D2196" t="s">
        <v>91</v>
      </c>
      <c r="E2196" s="1" t="s">
        <v>133</v>
      </c>
      <c r="F2196" t="s">
        <v>93</v>
      </c>
      <c r="G2196" t="s">
        <v>20</v>
      </c>
      <c r="H2196">
        <v>9</v>
      </c>
      <c r="I2196">
        <v>77</v>
      </c>
    </row>
    <row r="2197" spans="1:9" x14ac:dyDescent="0.25">
      <c r="A2197" s="5" t="str">
        <f>TrendSheetPrdData[[#This Row],[Population]]&amp;TrendSheetPrdData[[#This Row],[Cost Basis]]&amp;TrendSheetPrdData[[#This Row],[Period]]&amp;TrendSheetPrdData[[#This Row],[Trend]]</f>
        <v>MSSP_NONATTRIBUTEDAllowed2016-03-01Hospiatl Outpatient MRIs per 1k</v>
      </c>
      <c r="B2197" t="s">
        <v>129</v>
      </c>
      <c r="C2197" t="s">
        <v>129</v>
      </c>
      <c r="D2197" t="s">
        <v>91</v>
      </c>
      <c r="E2197" s="1" t="s">
        <v>92</v>
      </c>
      <c r="F2197" t="s">
        <v>93</v>
      </c>
      <c r="G2197" t="s">
        <v>20</v>
      </c>
      <c r="H2197">
        <v>9</v>
      </c>
      <c r="I2197">
        <v>80</v>
      </c>
    </row>
    <row r="2198" spans="1:9" x14ac:dyDescent="0.25">
      <c r="A2198" s="5" t="str">
        <f>TrendSheetPrdData[[#This Row],[Population]]&amp;TrendSheetPrdData[[#This Row],[Cost Basis]]&amp;TrendSheetPrdData[[#This Row],[Period]]&amp;TrendSheetPrdData[[#This Row],[Trend]]</f>
        <v>MSSP_NONATTRIBUTEDAllowed2016-04-01Hospiatl Outpatient MRIs per 1k</v>
      </c>
      <c r="B2198" t="s">
        <v>129</v>
      </c>
      <c r="C2198" t="s">
        <v>129</v>
      </c>
      <c r="D2198" t="s">
        <v>91</v>
      </c>
      <c r="E2198" s="1" t="s">
        <v>94</v>
      </c>
      <c r="F2198" t="s">
        <v>93</v>
      </c>
      <c r="G2198" t="s">
        <v>20</v>
      </c>
      <c r="H2198">
        <v>9</v>
      </c>
      <c r="I2198">
        <v>86</v>
      </c>
    </row>
    <row r="2199" spans="1:9" x14ac:dyDescent="0.25">
      <c r="A2199" s="5" t="str">
        <f>TrendSheetPrdData[[#This Row],[Population]]&amp;TrendSheetPrdData[[#This Row],[Cost Basis]]&amp;TrendSheetPrdData[[#This Row],[Period]]&amp;TrendSheetPrdData[[#This Row],[Trend]]</f>
        <v>MSSP_NONATTRIBUTEDAllowed2016-05-01Hospiatl Outpatient MRIs per 1k</v>
      </c>
      <c r="B2199" t="s">
        <v>129</v>
      </c>
      <c r="C2199" t="s">
        <v>129</v>
      </c>
      <c r="D2199" t="s">
        <v>91</v>
      </c>
      <c r="E2199" s="1" t="s">
        <v>95</v>
      </c>
      <c r="F2199" t="s">
        <v>93</v>
      </c>
      <c r="G2199" t="s">
        <v>20</v>
      </c>
      <c r="H2199">
        <v>9</v>
      </c>
      <c r="I2199">
        <v>78</v>
      </c>
    </row>
    <row r="2200" spans="1:9" x14ac:dyDescent="0.25">
      <c r="A2200" s="5" t="str">
        <f>TrendSheetPrdData[[#This Row],[Population]]&amp;TrendSheetPrdData[[#This Row],[Cost Basis]]&amp;TrendSheetPrdData[[#This Row],[Period]]&amp;TrendSheetPrdData[[#This Row],[Trend]]</f>
        <v>MSSP_NONATTRIBUTEDAllowed2016-06-01Hospiatl Outpatient MRIs per 1k</v>
      </c>
      <c r="B2200" t="s">
        <v>129</v>
      </c>
      <c r="C2200" t="s">
        <v>129</v>
      </c>
      <c r="D2200" t="s">
        <v>91</v>
      </c>
      <c r="E2200" s="1" t="s">
        <v>96</v>
      </c>
      <c r="F2200" t="s">
        <v>93</v>
      </c>
      <c r="G2200" t="s">
        <v>20</v>
      </c>
      <c r="H2200">
        <v>9</v>
      </c>
      <c r="I2200">
        <v>73</v>
      </c>
    </row>
    <row r="2201" spans="1:9" x14ac:dyDescent="0.25">
      <c r="A2201" s="5" t="str">
        <f>TrendSheetPrdData[[#This Row],[Population]]&amp;TrendSheetPrdData[[#This Row],[Cost Basis]]&amp;TrendSheetPrdData[[#This Row],[Period]]&amp;TrendSheetPrdData[[#This Row],[Trend]]</f>
        <v>MSSP_NONATTRIBUTEDAllowed2016-07-01Hospiatl Outpatient MRIs per 1k</v>
      </c>
      <c r="B2201" t="s">
        <v>129</v>
      </c>
      <c r="C2201" t="s">
        <v>129</v>
      </c>
      <c r="D2201" t="s">
        <v>91</v>
      </c>
      <c r="E2201" s="1" t="s">
        <v>97</v>
      </c>
      <c r="F2201" t="s">
        <v>93</v>
      </c>
      <c r="G2201" t="s">
        <v>20</v>
      </c>
      <c r="H2201">
        <v>9</v>
      </c>
      <c r="I2201">
        <v>62</v>
      </c>
    </row>
    <row r="2202" spans="1:9" x14ac:dyDescent="0.25">
      <c r="A2202" s="5" t="str">
        <f>TrendSheetPrdData[[#This Row],[Population]]&amp;TrendSheetPrdData[[#This Row],[Cost Basis]]&amp;TrendSheetPrdData[[#This Row],[Period]]&amp;TrendSheetPrdData[[#This Row],[Trend]]</f>
        <v>MSSP_NONATTRIBUTEDAllowed2016-08-01Hospiatl Outpatient MRIs per 1k</v>
      </c>
      <c r="B2202" t="s">
        <v>129</v>
      </c>
      <c r="C2202" t="s">
        <v>129</v>
      </c>
      <c r="D2202" t="s">
        <v>91</v>
      </c>
      <c r="E2202" s="1" t="s">
        <v>98</v>
      </c>
      <c r="F2202" t="s">
        <v>93</v>
      </c>
      <c r="G2202" t="s">
        <v>20</v>
      </c>
      <c r="H2202">
        <v>9</v>
      </c>
      <c r="I2202">
        <v>78</v>
      </c>
    </row>
    <row r="2203" spans="1:9" x14ac:dyDescent="0.25">
      <c r="A2203" s="5" t="str">
        <f>TrendSheetPrdData[[#This Row],[Population]]&amp;TrendSheetPrdData[[#This Row],[Cost Basis]]&amp;TrendSheetPrdData[[#This Row],[Period]]&amp;TrendSheetPrdData[[#This Row],[Trend]]</f>
        <v>MSSP_NONATTRIBUTEDAllowed2016-09-01Hospiatl Outpatient MRIs per 1k</v>
      </c>
      <c r="B2203" t="s">
        <v>129</v>
      </c>
      <c r="C2203" t="s">
        <v>129</v>
      </c>
      <c r="D2203" t="s">
        <v>91</v>
      </c>
      <c r="E2203" s="1" t="s">
        <v>99</v>
      </c>
      <c r="F2203" t="s">
        <v>93</v>
      </c>
      <c r="G2203" t="s">
        <v>20</v>
      </c>
      <c r="H2203">
        <v>9</v>
      </c>
      <c r="I2203">
        <v>63</v>
      </c>
    </row>
    <row r="2204" spans="1:9" x14ac:dyDescent="0.25">
      <c r="A2204" s="5" t="str">
        <f>TrendSheetPrdData[[#This Row],[Population]]&amp;TrendSheetPrdData[[#This Row],[Cost Basis]]&amp;TrendSheetPrdData[[#This Row],[Period]]&amp;TrendSheetPrdData[[#This Row],[Trend]]</f>
        <v>MSSP_NONATTRIBUTEDAllowed2016-10-01Hospiatl Outpatient MRIs per 1k</v>
      </c>
      <c r="B2204" t="s">
        <v>129</v>
      </c>
      <c r="C2204" t="s">
        <v>129</v>
      </c>
      <c r="D2204" t="s">
        <v>91</v>
      </c>
      <c r="E2204" s="1" t="s">
        <v>100</v>
      </c>
      <c r="F2204" t="s">
        <v>106</v>
      </c>
      <c r="G2204" t="s">
        <v>20</v>
      </c>
      <c r="H2204">
        <v>9</v>
      </c>
      <c r="I2204">
        <v>105</v>
      </c>
    </row>
    <row r="2205" spans="1:9" x14ac:dyDescent="0.25">
      <c r="A2205" s="5" t="str">
        <f>TrendSheetPrdData[[#This Row],[Population]]&amp;TrendSheetPrdData[[#This Row],[Cost Basis]]&amp;TrendSheetPrdData[[#This Row],[Period]]&amp;TrendSheetPrdData[[#This Row],[Trend]]</f>
        <v>MSSP_NONATTRIBUTEDAllowed2016-11-01Hospiatl Outpatient MRIs per 1k</v>
      </c>
      <c r="B2205" t="s">
        <v>129</v>
      </c>
      <c r="C2205" t="s">
        <v>129</v>
      </c>
      <c r="D2205" t="s">
        <v>91</v>
      </c>
      <c r="E2205" s="1" t="s">
        <v>101</v>
      </c>
      <c r="F2205" t="s">
        <v>106</v>
      </c>
      <c r="G2205" t="s">
        <v>20</v>
      </c>
      <c r="H2205">
        <v>9</v>
      </c>
      <c r="I2205">
        <v>119</v>
      </c>
    </row>
    <row r="2206" spans="1:9" x14ac:dyDescent="0.25">
      <c r="A2206" s="5" t="str">
        <f>TrendSheetPrdData[[#This Row],[Population]]&amp;TrendSheetPrdData[[#This Row],[Cost Basis]]&amp;TrendSheetPrdData[[#This Row],[Period]]&amp;TrendSheetPrdData[[#This Row],[Trend]]</f>
        <v>MSSP_NONATTRIBUTEDAllowed2016-12-01Hospiatl Outpatient MRIs per 1k</v>
      </c>
      <c r="B2206" t="s">
        <v>129</v>
      </c>
      <c r="C2206" t="s">
        <v>129</v>
      </c>
      <c r="D2206" t="s">
        <v>91</v>
      </c>
      <c r="E2206" s="1" t="s">
        <v>102</v>
      </c>
      <c r="F2206" t="s">
        <v>106</v>
      </c>
      <c r="G2206" t="s">
        <v>20</v>
      </c>
      <c r="H2206">
        <v>9</v>
      </c>
      <c r="I2206">
        <v>35</v>
      </c>
    </row>
    <row r="2207" spans="1:9" x14ac:dyDescent="0.25">
      <c r="A2207" s="5" t="str">
        <f>TrendSheetPrdData[[#This Row],[Population]]&amp;TrendSheetPrdData[[#This Row],[Cost Basis]]&amp;TrendSheetPrdData[[#This Row],[Period]]&amp;TrendSheetPrdData[[#This Row],[Trend]]</f>
        <v>MSSP_NONATTRIBUTEDAllowed2015-10-01Hospiatl Outpatient CTs per 1k</v>
      </c>
      <c r="B2207" t="s">
        <v>129</v>
      </c>
      <c r="C2207" t="s">
        <v>129</v>
      </c>
      <c r="D2207" t="s">
        <v>91</v>
      </c>
      <c r="E2207" s="1" t="s">
        <v>134</v>
      </c>
      <c r="F2207" t="s">
        <v>93</v>
      </c>
      <c r="G2207" t="s">
        <v>21</v>
      </c>
      <c r="H2207">
        <v>10</v>
      </c>
      <c r="I2207">
        <v>147</v>
      </c>
    </row>
    <row r="2208" spans="1:9" x14ac:dyDescent="0.25">
      <c r="A2208" s="5" t="str">
        <f>TrendSheetPrdData[[#This Row],[Population]]&amp;TrendSheetPrdData[[#This Row],[Cost Basis]]&amp;TrendSheetPrdData[[#This Row],[Period]]&amp;TrendSheetPrdData[[#This Row],[Trend]]</f>
        <v>MSSP_NONATTRIBUTEDAllowed2015-11-01Hospiatl Outpatient CTs per 1k</v>
      </c>
      <c r="B2208" t="s">
        <v>129</v>
      </c>
      <c r="C2208" t="s">
        <v>129</v>
      </c>
      <c r="D2208" t="s">
        <v>91</v>
      </c>
      <c r="E2208" s="1" t="s">
        <v>130</v>
      </c>
      <c r="F2208" t="s">
        <v>93</v>
      </c>
      <c r="G2208" t="s">
        <v>21</v>
      </c>
      <c r="H2208">
        <v>10</v>
      </c>
      <c r="I2208">
        <v>83</v>
      </c>
    </row>
    <row r="2209" spans="1:9" x14ac:dyDescent="0.25">
      <c r="A2209" s="5" t="str">
        <f>TrendSheetPrdData[[#This Row],[Population]]&amp;TrendSheetPrdData[[#This Row],[Cost Basis]]&amp;TrendSheetPrdData[[#This Row],[Period]]&amp;TrendSheetPrdData[[#This Row],[Trend]]</f>
        <v>MSSP_NONATTRIBUTEDAllowed2015-12-01Hospiatl Outpatient CTs per 1k</v>
      </c>
      <c r="B2209" t="s">
        <v>129</v>
      </c>
      <c r="C2209" t="s">
        <v>129</v>
      </c>
      <c r="D2209" t="s">
        <v>91</v>
      </c>
      <c r="E2209" s="1" t="s">
        <v>131</v>
      </c>
      <c r="F2209" t="s">
        <v>93</v>
      </c>
      <c r="G2209" t="s">
        <v>21</v>
      </c>
      <c r="H2209">
        <v>10</v>
      </c>
      <c r="I2209">
        <v>150</v>
      </c>
    </row>
    <row r="2210" spans="1:9" x14ac:dyDescent="0.25">
      <c r="A2210" s="5" t="str">
        <f>TrendSheetPrdData[[#This Row],[Population]]&amp;TrendSheetPrdData[[#This Row],[Cost Basis]]&amp;TrendSheetPrdData[[#This Row],[Period]]&amp;TrendSheetPrdData[[#This Row],[Trend]]</f>
        <v>MSSP_NONATTRIBUTEDAllowed2016-01-01Hospiatl Outpatient CTs per 1k</v>
      </c>
      <c r="B2210" t="s">
        <v>129</v>
      </c>
      <c r="C2210" t="s">
        <v>129</v>
      </c>
      <c r="D2210" t="s">
        <v>91</v>
      </c>
      <c r="E2210" s="1" t="s">
        <v>132</v>
      </c>
      <c r="F2210" t="s">
        <v>93</v>
      </c>
      <c r="G2210" t="s">
        <v>21</v>
      </c>
      <c r="H2210">
        <v>10</v>
      </c>
      <c r="I2210">
        <v>89</v>
      </c>
    </row>
    <row r="2211" spans="1:9" x14ac:dyDescent="0.25">
      <c r="A2211" s="5" t="str">
        <f>TrendSheetPrdData[[#This Row],[Population]]&amp;TrendSheetPrdData[[#This Row],[Cost Basis]]&amp;TrendSheetPrdData[[#This Row],[Period]]&amp;TrendSheetPrdData[[#This Row],[Trend]]</f>
        <v>MSSP_NONATTRIBUTEDAllowed2016-02-01Hospiatl Outpatient CTs per 1k</v>
      </c>
      <c r="B2211" t="s">
        <v>129</v>
      </c>
      <c r="C2211" t="s">
        <v>129</v>
      </c>
      <c r="D2211" t="s">
        <v>91</v>
      </c>
      <c r="E2211" s="1" t="s">
        <v>133</v>
      </c>
      <c r="F2211" t="s">
        <v>93</v>
      </c>
      <c r="G2211" t="s">
        <v>21</v>
      </c>
      <c r="H2211">
        <v>10</v>
      </c>
      <c r="I2211">
        <v>125</v>
      </c>
    </row>
    <row r="2212" spans="1:9" x14ac:dyDescent="0.25">
      <c r="A2212" s="5" t="str">
        <f>TrendSheetPrdData[[#This Row],[Population]]&amp;TrendSheetPrdData[[#This Row],[Cost Basis]]&amp;TrendSheetPrdData[[#This Row],[Period]]&amp;TrendSheetPrdData[[#This Row],[Trend]]</f>
        <v>MSSP_NONATTRIBUTEDAllowed2016-03-01Hospiatl Outpatient CTs per 1k</v>
      </c>
      <c r="B2212" t="s">
        <v>129</v>
      </c>
      <c r="C2212" t="s">
        <v>129</v>
      </c>
      <c r="D2212" t="s">
        <v>91</v>
      </c>
      <c r="E2212" s="1" t="s">
        <v>92</v>
      </c>
      <c r="F2212" t="s">
        <v>93</v>
      </c>
      <c r="G2212" t="s">
        <v>21</v>
      </c>
      <c r="H2212">
        <v>10</v>
      </c>
      <c r="I2212">
        <v>150</v>
      </c>
    </row>
    <row r="2213" spans="1:9" x14ac:dyDescent="0.25">
      <c r="A2213" s="5" t="str">
        <f>TrendSheetPrdData[[#This Row],[Population]]&amp;TrendSheetPrdData[[#This Row],[Cost Basis]]&amp;TrendSheetPrdData[[#This Row],[Period]]&amp;TrendSheetPrdData[[#This Row],[Trend]]</f>
        <v>MSSP_NONATTRIBUTEDAllowed2016-04-01Hospiatl Outpatient CTs per 1k</v>
      </c>
      <c r="B2213" t="s">
        <v>129</v>
      </c>
      <c r="C2213" t="s">
        <v>129</v>
      </c>
      <c r="D2213" t="s">
        <v>91</v>
      </c>
      <c r="E2213" s="1" t="s">
        <v>94</v>
      </c>
      <c r="F2213" t="s">
        <v>93</v>
      </c>
      <c r="G2213" t="s">
        <v>21</v>
      </c>
      <c r="H2213">
        <v>10</v>
      </c>
      <c r="I2213">
        <v>126</v>
      </c>
    </row>
    <row r="2214" spans="1:9" x14ac:dyDescent="0.25">
      <c r="A2214" s="5" t="str">
        <f>TrendSheetPrdData[[#This Row],[Population]]&amp;TrendSheetPrdData[[#This Row],[Cost Basis]]&amp;TrendSheetPrdData[[#This Row],[Period]]&amp;TrendSheetPrdData[[#This Row],[Trend]]</f>
        <v>MSSP_NONATTRIBUTEDAllowed2016-05-01Hospiatl Outpatient CTs per 1k</v>
      </c>
      <c r="B2214" t="s">
        <v>129</v>
      </c>
      <c r="C2214" t="s">
        <v>129</v>
      </c>
      <c r="D2214" t="s">
        <v>91</v>
      </c>
      <c r="E2214" s="1" t="s">
        <v>95</v>
      </c>
      <c r="F2214" t="s">
        <v>93</v>
      </c>
      <c r="G2214" t="s">
        <v>21</v>
      </c>
      <c r="H2214">
        <v>10</v>
      </c>
      <c r="I2214">
        <v>162</v>
      </c>
    </row>
    <row r="2215" spans="1:9" x14ac:dyDescent="0.25">
      <c r="A2215" s="5" t="str">
        <f>TrendSheetPrdData[[#This Row],[Population]]&amp;TrendSheetPrdData[[#This Row],[Cost Basis]]&amp;TrendSheetPrdData[[#This Row],[Period]]&amp;TrendSheetPrdData[[#This Row],[Trend]]</f>
        <v>MSSP_NONATTRIBUTEDAllowed2016-06-01Hospiatl Outpatient CTs per 1k</v>
      </c>
      <c r="B2215" t="s">
        <v>129</v>
      </c>
      <c r="C2215" t="s">
        <v>129</v>
      </c>
      <c r="D2215" t="s">
        <v>91</v>
      </c>
      <c r="E2215" s="1" t="s">
        <v>96</v>
      </c>
      <c r="F2215" t="s">
        <v>93</v>
      </c>
      <c r="G2215" t="s">
        <v>21</v>
      </c>
      <c r="H2215">
        <v>10</v>
      </c>
      <c r="I2215">
        <v>159</v>
      </c>
    </row>
    <row r="2216" spans="1:9" x14ac:dyDescent="0.25">
      <c r="A2216" s="5" t="str">
        <f>TrendSheetPrdData[[#This Row],[Population]]&amp;TrendSheetPrdData[[#This Row],[Cost Basis]]&amp;TrendSheetPrdData[[#This Row],[Period]]&amp;TrendSheetPrdData[[#This Row],[Trend]]</f>
        <v>MSSP_NONATTRIBUTEDAllowed2016-07-01Hospiatl Outpatient CTs per 1k</v>
      </c>
      <c r="B2216" t="s">
        <v>129</v>
      </c>
      <c r="C2216" t="s">
        <v>129</v>
      </c>
      <c r="D2216" t="s">
        <v>91</v>
      </c>
      <c r="E2216" s="1" t="s">
        <v>97</v>
      </c>
      <c r="F2216" t="s">
        <v>93</v>
      </c>
      <c r="G2216" t="s">
        <v>21</v>
      </c>
      <c r="H2216">
        <v>10</v>
      </c>
      <c r="I2216">
        <v>120</v>
      </c>
    </row>
    <row r="2217" spans="1:9" x14ac:dyDescent="0.25">
      <c r="A2217" s="5" t="str">
        <f>TrendSheetPrdData[[#This Row],[Population]]&amp;TrendSheetPrdData[[#This Row],[Cost Basis]]&amp;TrendSheetPrdData[[#This Row],[Period]]&amp;TrendSheetPrdData[[#This Row],[Trend]]</f>
        <v>MSSP_NONATTRIBUTEDAllowed2016-08-01Hospiatl Outpatient CTs per 1k</v>
      </c>
      <c r="B2217" t="s">
        <v>129</v>
      </c>
      <c r="C2217" t="s">
        <v>129</v>
      </c>
      <c r="D2217" t="s">
        <v>91</v>
      </c>
      <c r="E2217" s="1" t="s">
        <v>98</v>
      </c>
      <c r="F2217" t="s">
        <v>93</v>
      </c>
      <c r="G2217" t="s">
        <v>21</v>
      </c>
      <c r="H2217">
        <v>10</v>
      </c>
      <c r="I2217">
        <v>153</v>
      </c>
    </row>
    <row r="2218" spans="1:9" x14ac:dyDescent="0.25">
      <c r="A2218" s="5" t="str">
        <f>TrendSheetPrdData[[#This Row],[Population]]&amp;TrendSheetPrdData[[#This Row],[Cost Basis]]&amp;TrendSheetPrdData[[#This Row],[Period]]&amp;TrendSheetPrdData[[#This Row],[Trend]]</f>
        <v>MSSP_NONATTRIBUTEDAllowed2016-09-01Hospiatl Outpatient CTs per 1k</v>
      </c>
      <c r="B2218" t="s">
        <v>129</v>
      </c>
      <c r="C2218" t="s">
        <v>129</v>
      </c>
      <c r="D2218" t="s">
        <v>91</v>
      </c>
      <c r="E2218" s="1" t="s">
        <v>99</v>
      </c>
      <c r="F2218" t="s">
        <v>93</v>
      </c>
      <c r="G2218" t="s">
        <v>21</v>
      </c>
      <c r="H2218">
        <v>10</v>
      </c>
      <c r="I2218">
        <v>180</v>
      </c>
    </row>
    <row r="2219" spans="1:9" x14ac:dyDescent="0.25">
      <c r="A2219" s="5" t="str">
        <f>TrendSheetPrdData[[#This Row],[Population]]&amp;TrendSheetPrdData[[#This Row],[Cost Basis]]&amp;TrendSheetPrdData[[#This Row],[Period]]&amp;TrendSheetPrdData[[#This Row],[Trend]]</f>
        <v>MSSP_NONATTRIBUTEDAllowed2016-10-01Hospiatl Outpatient CTs per 1k</v>
      </c>
      <c r="B2219" t="s">
        <v>129</v>
      </c>
      <c r="C2219" t="s">
        <v>129</v>
      </c>
      <c r="D2219" t="s">
        <v>91</v>
      </c>
      <c r="E2219" s="1" t="s">
        <v>100</v>
      </c>
      <c r="F2219" t="s">
        <v>106</v>
      </c>
      <c r="G2219" t="s">
        <v>21</v>
      </c>
      <c r="H2219">
        <v>10</v>
      </c>
      <c r="I2219">
        <v>218</v>
      </c>
    </row>
    <row r="2220" spans="1:9" x14ac:dyDescent="0.25">
      <c r="A2220" s="5" t="str">
        <f>TrendSheetPrdData[[#This Row],[Population]]&amp;TrendSheetPrdData[[#This Row],[Cost Basis]]&amp;TrendSheetPrdData[[#This Row],[Period]]&amp;TrendSheetPrdData[[#This Row],[Trend]]</f>
        <v>MSSP_NONATTRIBUTEDAllowed2016-11-01Hospiatl Outpatient CTs per 1k</v>
      </c>
      <c r="B2220" t="s">
        <v>129</v>
      </c>
      <c r="C2220" t="s">
        <v>129</v>
      </c>
      <c r="D2220" t="s">
        <v>91</v>
      </c>
      <c r="E2220" s="1" t="s">
        <v>101</v>
      </c>
      <c r="F2220" t="s">
        <v>106</v>
      </c>
      <c r="G2220" t="s">
        <v>21</v>
      </c>
      <c r="H2220">
        <v>10</v>
      </c>
      <c r="I2220">
        <v>176</v>
      </c>
    </row>
    <row r="2221" spans="1:9" x14ac:dyDescent="0.25">
      <c r="A2221" s="5" t="str">
        <f>TrendSheetPrdData[[#This Row],[Population]]&amp;TrendSheetPrdData[[#This Row],[Cost Basis]]&amp;TrendSheetPrdData[[#This Row],[Period]]&amp;TrendSheetPrdData[[#This Row],[Trend]]</f>
        <v>MSSP_NONATTRIBUTEDAllowed2016-12-01Hospiatl Outpatient CTs per 1k</v>
      </c>
      <c r="B2221" t="s">
        <v>129</v>
      </c>
      <c r="C2221" t="s">
        <v>129</v>
      </c>
      <c r="D2221" t="s">
        <v>91</v>
      </c>
      <c r="E2221" s="1" t="s">
        <v>102</v>
      </c>
      <c r="F2221" t="s">
        <v>106</v>
      </c>
      <c r="G2221" t="s">
        <v>21</v>
      </c>
      <c r="H2221">
        <v>10</v>
      </c>
      <c r="I2221">
        <v>78</v>
      </c>
    </row>
    <row r="2222" spans="1:9" x14ac:dyDescent="0.25">
      <c r="A2222" s="5" t="str">
        <f>TrendSheetPrdData[[#This Row],[Population]]&amp;TrendSheetPrdData[[#This Row],[Cost Basis]]&amp;TrendSheetPrdData[[#This Row],[Period]]&amp;TrendSheetPrdData[[#This Row],[Trend]]</f>
        <v>MSSP_NONATTRIBUTEDAllowed2015-10-01Office Based MRIs per 1k</v>
      </c>
      <c r="B2222" t="s">
        <v>129</v>
      </c>
      <c r="C2222" t="s">
        <v>129</v>
      </c>
      <c r="D2222" t="s">
        <v>91</v>
      </c>
      <c r="E2222" s="1" t="s">
        <v>134</v>
      </c>
      <c r="F2222" t="s">
        <v>93</v>
      </c>
      <c r="G2222" t="s">
        <v>22</v>
      </c>
      <c r="H2222">
        <v>11</v>
      </c>
      <c r="I2222">
        <v>27</v>
      </c>
    </row>
    <row r="2223" spans="1:9" x14ac:dyDescent="0.25">
      <c r="A2223" s="5" t="str">
        <f>TrendSheetPrdData[[#This Row],[Population]]&amp;TrendSheetPrdData[[#This Row],[Cost Basis]]&amp;TrendSheetPrdData[[#This Row],[Period]]&amp;TrendSheetPrdData[[#This Row],[Trend]]</f>
        <v>MSSP_NONATTRIBUTEDAllowed2015-11-01Office Based MRIs per 1k</v>
      </c>
      <c r="B2223" t="s">
        <v>129</v>
      </c>
      <c r="C2223" t="s">
        <v>129</v>
      </c>
      <c r="D2223" t="s">
        <v>91</v>
      </c>
      <c r="E2223" s="1" t="s">
        <v>130</v>
      </c>
      <c r="F2223" t="s">
        <v>93</v>
      </c>
      <c r="G2223" t="s">
        <v>22</v>
      </c>
      <c r="H2223">
        <v>11</v>
      </c>
      <c r="I2223">
        <v>8</v>
      </c>
    </row>
    <row r="2224" spans="1:9" x14ac:dyDescent="0.25">
      <c r="A2224" s="5" t="str">
        <f>TrendSheetPrdData[[#This Row],[Population]]&amp;TrendSheetPrdData[[#This Row],[Cost Basis]]&amp;TrendSheetPrdData[[#This Row],[Period]]&amp;TrendSheetPrdData[[#This Row],[Trend]]</f>
        <v>MSSP_NONATTRIBUTEDAllowed2015-12-01Office Based MRIs per 1k</v>
      </c>
      <c r="B2224" t="s">
        <v>129</v>
      </c>
      <c r="C2224" t="s">
        <v>129</v>
      </c>
      <c r="D2224" t="s">
        <v>91</v>
      </c>
      <c r="E2224" s="1" t="s">
        <v>131</v>
      </c>
      <c r="F2224" t="s">
        <v>93</v>
      </c>
      <c r="G2224" t="s">
        <v>22</v>
      </c>
      <c r="H2224">
        <v>11</v>
      </c>
      <c r="I2224">
        <v>7</v>
      </c>
    </row>
    <row r="2225" spans="1:9" x14ac:dyDescent="0.25">
      <c r="A2225" s="5" t="str">
        <f>TrendSheetPrdData[[#This Row],[Population]]&amp;TrendSheetPrdData[[#This Row],[Cost Basis]]&amp;TrendSheetPrdData[[#This Row],[Period]]&amp;TrendSheetPrdData[[#This Row],[Trend]]</f>
        <v>MSSP_NONATTRIBUTEDAllowed2016-01-01Office Based MRIs per 1k</v>
      </c>
      <c r="B2225" t="s">
        <v>129</v>
      </c>
      <c r="C2225" t="s">
        <v>129</v>
      </c>
      <c r="D2225" t="s">
        <v>91</v>
      </c>
      <c r="E2225" s="1" t="s">
        <v>132</v>
      </c>
      <c r="F2225" t="s">
        <v>93</v>
      </c>
      <c r="G2225" t="s">
        <v>22</v>
      </c>
      <c r="H2225">
        <v>11</v>
      </c>
      <c r="I2225">
        <v>17</v>
      </c>
    </row>
    <row r="2226" spans="1:9" x14ac:dyDescent="0.25">
      <c r="A2226" s="5" t="str">
        <f>TrendSheetPrdData[[#This Row],[Population]]&amp;TrendSheetPrdData[[#This Row],[Cost Basis]]&amp;TrendSheetPrdData[[#This Row],[Period]]&amp;TrendSheetPrdData[[#This Row],[Trend]]</f>
        <v>MSSP_NONATTRIBUTEDAllowed2016-02-01Office Based MRIs per 1k</v>
      </c>
      <c r="B2226" t="s">
        <v>129</v>
      </c>
      <c r="C2226" t="s">
        <v>129</v>
      </c>
      <c r="D2226" t="s">
        <v>91</v>
      </c>
      <c r="E2226" s="1" t="s">
        <v>133</v>
      </c>
      <c r="F2226" t="s">
        <v>93</v>
      </c>
      <c r="G2226" t="s">
        <v>22</v>
      </c>
      <c r="H2226">
        <v>11</v>
      </c>
      <c r="I2226">
        <v>11</v>
      </c>
    </row>
    <row r="2227" spans="1:9" x14ac:dyDescent="0.25">
      <c r="A2227" s="5" t="str">
        <f>TrendSheetPrdData[[#This Row],[Population]]&amp;TrendSheetPrdData[[#This Row],[Cost Basis]]&amp;TrendSheetPrdData[[#This Row],[Period]]&amp;TrendSheetPrdData[[#This Row],[Trend]]</f>
        <v>MSSP_NONATTRIBUTEDAllowed2016-03-01Office Based MRIs per 1k</v>
      </c>
      <c r="B2227" t="s">
        <v>129</v>
      </c>
      <c r="C2227" t="s">
        <v>129</v>
      </c>
      <c r="D2227" t="s">
        <v>91</v>
      </c>
      <c r="E2227" s="1" t="s">
        <v>92</v>
      </c>
      <c r="F2227" t="s">
        <v>93</v>
      </c>
      <c r="G2227" t="s">
        <v>22</v>
      </c>
      <c r="H2227">
        <v>11</v>
      </c>
      <c r="I2227">
        <v>17</v>
      </c>
    </row>
    <row r="2228" spans="1:9" x14ac:dyDescent="0.25">
      <c r="A2228" s="5" t="str">
        <f>TrendSheetPrdData[[#This Row],[Population]]&amp;TrendSheetPrdData[[#This Row],[Cost Basis]]&amp;TrendSheetPrdData[[#This Row],[Period]]&amp;TrendSheetPrdData[[#This Row],[Trend]]</f>
        <v>MSSP_NONATTRIBUTEDAllowed2016-04-01Office Based MRIs per 1k</v>
      </c>
      <c r="B2228" t="s">
        <v>129</v>
      </c>
      <c r="C2228" t="s">
        <v>129</v>
      </c>
      <c r="D2228" t="s">
        <v>91</v>
      </c>
      <c r="E2228" s="1" t="s">
        <v>94</v>
      </c>
      <c r="F2228" t="s">
        <v>93</v>
      </c>
      <c r="G2228" t="s">
        <v>22</v>
      </c>
      <c r="H2228">
        <v>11</v>
      </c>
      <c r="I2228">
        <v>17</v>
      </c>
    </row>
    <row r="2229" spans="1:9" x14ac:dyDescent="0.25">
      <c r="A2229" s="5" t="str">
        <f>TrendSheetPrdData[[#This Row],[Population]]&amp;TrendSheetPrdData[[#This Row],[Cost Basis]]&amp;TrendSheetPrdData[[#This Row],[Period]]&amp;TrendSheetPrdData[[#This Row],[Trend]]</f>
        <v>MSSP_NONATTRIBUTEDAllowed2016-05-01Office Based MRIs per 1k</v>
      </c>
      <c r="B2229" t="s">
        <v>129</v>
      </c>
      <c r="C2229" t="s">
        <v>129</v>
      </c>
      <c r="D2229" t="s">
        <v>91</v>
      </c>
      <c r="E2229" s="1" t="s">
        <v>95</v>
      </c>
      <c r="F2229" t="s">
        <v>93</v>
      </c>
      <c r="G2229" t="s">
        <v>22</v>
      </c>
      <c r="H2229">
        <v>11</v>
      </c>
      <c r="I2229">
        <v>29</v>
      </c>
    </row>
    <row r="2230" spans="1:9" x14ac:dyDescent="0.25">
      <c r="A2230" s="5" t="str">
        <f>TrendSheetPrdData[[#This Row],[Population]]&amp;TrendSheetPrdData[[#This Row],[Cost Basis]]&amp;TrendSheetPrdData[[#This Row],[Period]]&amp;TrendSheetPrdData[[#This Row],[Trend]]</f>
        <v>MSSP_NONATTRIBUTEDAllowed2016-06-01Office Based MRIs per 1k</v>
      </c>
      <c r="B2230" t="s">
        <v>129</v>
      </c>
      <c r="C2230" t="s">
        <v>129</v>
      </c>
      <c r="D2230" t="s">
        <v>91</v>
      </c>
      <c r="E2230" s="1" t="s">
        <v>96</v>
      </c>
      <c r="F2230" t="s">
        <v>93</v>
      </c>
      <c r="G2230" t="s">
        <v>22</v>
      </c>
      <c r="H2230">
        <v>11</v>
      </c>
      <c r="I2230">
        <v>9</v>
      </c>
    </row>
    <row r="2231" spans="1:9" x14ac:dyDescent="0.25">
      <c r="A2231" s="5" t="str">
        <f>TrendSheetPrdData[[#This Row],[Population]]&amp;TrendSheetPrdData[[#This Row],[Cost Basis]]&amp;TrendSheetPrdData[[#This Row],[Period]]&amp;TrendSheetPrdData[[#This Row],[Trend]]</f>
        <v>MSSP_NONATTRIBUTEDAllowed2016-07-01Office Based MRIs per 1k</v>
      </c>
      <c r="B2231" t="s">
        <v>129</v>
      </c>
      <c r="C2231" t="s">
        <v>129</v>
      </c>
      <c r="D2231" t="s">
        <v>91</v>
      </c>
      <c r="E2231" s="1" t="s">
        <v>97</v>
      </c>
      <c r="F2231" t="s">
        <v>93</v>
      </c>
      <c r="G2231" t="s">
        <v>22</v>
      </c>
      <c r="H2231">
        <v>11</v>
      </c>
      <c r="I2231">
        <v>17</v>
      </c>
    </row>
    <row r="2232" spans="1:9" x14ac:dyDescent="0.25">
      <c r="A2232" s="5" t="str">
        <f>TrendSheetPrdData[[#This Row],[Population]]&amp;TrendSheetPrdData[[#This Row],[Cost Basis]]&amp;TrendSheetPrdData[[#This Row],[Period]]&amp;TrendSheetPrdData[[#This Row],[Trend]]</f>
        <v>MSSP_NONATTRIBUTEDAllowed2016-08-01Office Based MRIs per 1k</v>
      </c>
      <c r="B2232" t="s">
        <v>129</v>
      </c>
      <c r="C2232" t="s">
        <v>129</v>
      </c>
      <c r="D2232" t="s">
        <v>91</v>
      </c>
      <c r="E2232" s="1" t="s">
        <v>98</v>
      </c>
      <c r="F2232" t="s">
        <v>93</v>
      </c>
      <c r="G2232" t="s">
        <v>22</v>
      </c>
      <c r="H2232">
        <v>11</v>
      </c>
      <c r="I2232">
        <v>16</v>
      </c>
    </row>
    <row r="2233" spans="1:9" x14ac:dyDescent="0.25">
      <c r="A2233" s="5" t="str">
        <f>TrendSheetPrdData[[#This Row],[Population]]&amp;TrendSheetPrdData[[#This Row],[Cost Basis]]&amp;TrendSheetPrdData[[#This Row],[Period]]&amp;TrendSheetPrdData[[#This Row],[Trend]]</f>
        <v>MSSP_NONATTRIBUTEDAllowed2016-09-01Office Based MRIs per 1k</v>
      </c>
      <c r="B2233" t="s">
        <v>129</v>
      </c>
      <c r="C2233" t="s">
        <v>129</v>
      </c>
      <c r="D2233" t="s">
        <v>91</v>
      </c>
      <c r="E2233" s="1" t="s">
        <v>99</v>
      </c>
      <c r="F2233" t="s">
        <v>93</v>
      </c>
      <c r="G2233" t="s">
        <v>22</v>
      </c>
      <c r="H2233">
        <v>11</v>
      </c>
      <c r="I2233">
        <v>7</v>
      </c>
    </row>
    <row r="2234" spans="1:9" x14ac:dyDescent="0.25">
      <c r="A2234" s="5" t="str">
        <f>TrendSheetPrdData[[#This Row],[Population]]&amp;TrendSheetPrdData[[#This Row],[Cost Basis]]&amp;TrendSheetPrdData[[#This Row],[Period]]&amp;TrendSheetPrdData[[#This Row],[Trend]]</f>
        <v>MSSP_NONATTRIBUTEDAllowed2016-10-01Office Based MRIs per 1k</v>
      </c>
      <c r="B2234" t="s">
        <v>129</v>
      </c>
      <c r="C2234" t="s">
        <v>129</v>
      </c>
      <c r="D2234" t="s">
        <v>91</v>
      </c>
      <c r="E2234" s="1" t="s">
        <v>100</v>
      </c>
      <c r="F2234" t="s">
        <v>106</v>
      </c>
      <c r="G2234" t="s">
        <v>22</v>
      </c>
      <c r="H2234">
        <v>11</v>
      </c>
      <c r="I2234">
        <v>2</v>
      </c>
    </row>
    <row r="2235" spans="1:9" x14ac:dyDescent="0.25">
      <c r="A2235" s="5" t="str">
        <f>TrendSheetPrdData[[#This Row],[Population]]&amp;TrendSheetPrdData[[#This Row],[Cost Basis]]&amp;TrendSheetPrdData[[#This Row],[Period]]&amp;TrendSheetPrdData[[#This Row],[Trend]]</f>
        <v>MSSP_NONATTRIBUTEDAllowed2016-11-01Office Based MRIs per 1k</v>
      </c>
      <c r="B2235" t="s">
        <v>129</v>
      </c>
      <c r="C2235" t="s">
        <v>129</v>
      </c>
      <c r="D2235" t="s">
        <v>91</v>
      </c>
      <c r="E2235" s="1" t="s">
        <v>101</v>
      </c>
      <c r="F2235" t="s">
        <v>106</v>
      </c>
      <c r="G2235" t="s">
        <v>22</v>
      </c>
      <c r="H2235">
        <v>11</v>
      </c>
      <c r="I2235">
        <v>32</v>
      </c>
    </row>
    <row r="2236" spans="1:9" x14ac:dyDescent="0.25">
      <c r="A2236" s="5" t="str">
        <f>TrendSheetPrdData[[#This Row],[Population]]&amp;TrendSheetPrdData[[#This Row],[Cost Basis]]&amp;TrendSheetPrdData[[#This Row],[Period]]&amp;TrendSheetPrdData[[#This Row],[Trend]]</f>
        <v>MSSP_NONATTRIBUTEDAllowed2016-12-01Office Based MRIs per 1k</v>
      </c>
      <c r="B2236" t="s">
        <v>129</v>
      </c>
      <c r="C2236" t="s">
        <v>129</v>
      </c>
      <c r="D2236" t="s">
        <v>91</v>
      </c>
      <c r="E2236" s="1" t="s">
        <v>102</v>
      </c>
      <c r="F2236" t="s">
        <v>106</v>
      </c>
      <c r="G2236" t="s">
        <v>22</v>
      </c>
      <c r="H2236">
        <v>11</v>
      </c>
      <c r="I2236">
        <v>9</v>
      </c>
    </row>
    <row r="2237" spans="1:9" x14ac:dyDescent="0.25">
      <c r="A2237" s="5" t="str">
        <f>TrendSheetPrdData[[#This Row],[Population]]&amp;TrendSheetPrdData[[#This Row],[Cost Basis]]&amp;TrendSheetPrdData[[#This Row],[Period]]&amp;TrendSheetPrdData[[#This Row],[Trend]]</f>
        <v>MSSP_NONATTRIBUTEDAllowed2015-10-01Office Based CTs per 1k</v>
      </c>
      <c r="B2237" t="s">
        <v>129</v>
      </c>
      <c r="C2237" t="s">
        <v>129</v>
      </c>
      <c r="D2237" t="s">
        <v>91</v>
      </c>
      <c r="E2237" s="1" t="s">
        <v>134</v>
      </c>
      <c r="F2237" t="s">
        <v>93</v>
      </c>
      <c r="G2237" t="s">
        <v>23</v>
      </c>
      <c r="H2237">
        <v>12</v>
      </c>
      <c r="I2237">
        <v>4</v>
      </c>
    </row>
    <row r="2238" spans="1:9" x14ac:dyDescent="0.25">
      <c r="A2238" s="5" t="str">
        <f>TrendSheetPrdData[[#This Row],[Population]]&amp;TrendSheetPrdData[[#This Row],[Cost Basis]]&amp;TrendSheetPrdData[[#This Row],[Period]]&amp;TrendSheetPrdData[[#This Row],[Trend]]</f>
        <v>MSSP_NONATTRIBUTEDAllowed2015-11-01Office Based CTs per 1k</v>
      </c>
      <c r="B2238" t="s">
        <v>129</v>
      </c>
      <c r="C2238" t="s">
        <v>129</v>
      </c>
      <c r="D2238" t="s">
        <v>91</v>
      </c>
      <c r="E2238" s="1" t="s">
        <v>130</v>
      </c>
      <c r="F2238" t="s">
        <v>93</v>
      </c>
      <c r="G2238" t="s">
        <v>23</v>
      </c>
      <c r="H2238">
        <v>12</v>
      </c>
      <c r="I2238">
        <v>4</v>
      </c>
    </row>
    <row r="2239" spans="1:9" x14ac:dyDescent="0.25">
      <c r="A2239" s="5" t="str">
        <f>TrendSheetPrdData[[#This Row],[Population]]&amp;TrendSheetPrdData[[#This Row],[Cost Basis]]&amp;TrendSheetPrdData[[#This Row],[Period]]&amp;TrendSheetPrdData[[#This Row],[Trend]]</f>
        <v>MSSP_NONATTRIBUTEDAllowed2015-12-01Office Based CTs per 1k</v>
      </c>
      <c r="B2239" t="s">
        <v>129</v>
      </c>
      <c r="C2239" t="s">
        <v>129</v>
      </c>
      <c r="D2239" t="s">
        <v>91</v>
      </c>
      <c r="E2239" s="1" t="s">
        <v>131</v>
      </c>
      <c r="F2239" t="s">
        <v>93</v>
      </c>
      <c r="G2239" t="s">
        <v>23</v>
      </c>
      <c r="H2239">
        <v>12</v>
      </c>
      <c r="I2239">
        <v>0</v>
      </c>
    </row>
    <row r="2240" spans="1:9" x14ac:dyDescent="0.25">
      <c r="A2240" s="5" t="str">
        <f>TrendSheetPrdData[[#This Row],[Population]]&amp;TrendSheetPrdData[[#This Row],[Cost Basis]]&amp;TrendSheetPrdData[[#This Row],[Period]]&amp;TrendSheetPrdData[[#This Row],[Trend]]</f>
        <v>MSSP_NONATTRIBUTEDAllowed2016-01-01Office Based CTs per 1k</v>
      </c>
      <c r="B2240" t="s">
        <v>129</v>
      </c>
      <c r="C2240" t="s">
        <v>129</v>
      </c>
      <c r="D2240" t="s">
        <v>91</v>
      </c>
      <c r="E2240" s="1" t="s">
        <v>132</v>
      </c>
      <c r="F2240" t="s">
        <v>93</v>
      </c>
      <c r="G2240" t="s">
        <v>23</v>
      </c>
      <c r="H2240">
        <v>12</v>
      </c>
      <c r="I2240">
        <v>0</v>
      </c>
    </row>
    <row r="2241" spans="1:9" x14ac:dyDescent="0.25">
      <c r="A2241" s="5" t="str">
        <f>TrendSheetPrdData[[#This Row],[Population]]&amp;TrendSheetPrdData[[#This Row],[Cost Basis]]&amp;TrendSheetPrdData[[#This Row],[Period]]&amp;TrendSheetPrdData[[#This Row],[Trend]]</f>
        <v>MSSP_NONATTRIBUTEDAllowed2016-02-01Office Based CTs per 1k</v>
      </c>
      <c r="B2241" t="s">
        <v>129</v>
      </c>
      <c r="C2241" t="s">
        <v>129</v>
      </c>
      <c r="D2241" t="s">
        <v>91</v>
      </c>
      <c r="E2241" s="1" t="s">
        <v>133</v>
      </c>
      <c r="F2241" t="s">
        <v>93</v>
      </c>
      <c r="G2241" t="s">
        <v>23</v>
      </c>
      <c r="H2241">
        <v>12</v>
      </c>
      <c r="I2241">
        <v>2</v>
      </c>
    </row>
    <row r="2242" spans="1:9" x14ac:dyDescent="0.25">
      <c r="A2242" s="5" t="str">
        <f>TrendSheetPrdData[[#This Row],[Population]]&amp;TrendSheetPrdData[[#This Row],[Cost Basis]]&amp;TrendSheetPrdData[[#This Row],[Period]]&amp;TrendSheetPrdData[[#This Row],[Trend]]</f>
        <v>MSSP_NONATTRIBUTEDAllowed2016-03-01Office Based CTs per 1k</v>
      </c>
      <c r="B2242" t="s">
        <v>129</v>
      </c>
      <c r="C2242" t="s">
        <v>129</v>
      </c>
      <c r="D2242" t="s">
        <v>91</v>
      </c>
      <c r="E2242" s="1" t="s">
        <v>92</v>
      </c>
      <c r="F2242" t="s">
        <v>93</v>
      </c>
      <c r="G2242" t="s">
        <v>23</v>
      </c>
      <c r="H2242">
        <v>12</v>
      </c>
      <c r="I2242">
        <v>2</v>
      </c>
    </row>
    <row r="2243" spans="1:9" x14ac:dyDescent="0.25">
      <c r="A2243" s="5" t="str">
        <f>TrendSheetPrdData[[#This Row],[Population]]&amp;TrendSheetPrdData[[#This Row],[Cost Basis]]&amp;TrendSheetPrdData[[#This Row],[Period]]&amp;TrendSheetPrdData[[#This Row],[Trend]]</f>
        <v>MSSP_NONATTRIBUTEDAllowed2016-04-01Office Based CTs per 1k</v>
      </c>
      <c r="B2243" t="s">
        <v>129</v>
      </c>
      <c r="C2243" t="s">
        <v>129</v>
      </c>
      <c r="D2243" t="s">
        <v>91</v>
      </c>
      <c r="E2243" s="1" t="s">
        <v>94</v>
      </c>
      <c r="F2243" t="s">
        <v>93</v>
      </c>
      <c r="G2243" t="s">
        <v>23</v>
      </c>
      <c r="H2243">
        <v>12</v>
      </c>
      <c r="I2243">
        <v>0</v>
      </c>
    </row>
    <row r="2244" spans="1:9" x14ac:dyDescent="0.25">
      <c r="A2244" s="5" t="str">
        <f>TrendSheetPrdData[[#This Row],[Population]]&amp;TrendSheetPrdData[[#This Row],[Cost Basis]]&amp;TrendSheetPrdData[[#This Row],[Period]]&amp;TrendSheetPrdData[[#This Row],[Trend]]</f>
        <v>MSSP_NONATTRIBUTEDAllowed2016-05-01Office Based CTs per 1k</v>
      </c>
      <c r="B2244" t="s">
        <v>129</v>
      </c>
      <c r="C2244" t="s">
        <v>129</v>
      </c>
      <c r="D2244" t="s">
        <v>91</v>
      </c>
      <c r="E2244" s="1" t="s">
        <v>95</v>
      </c>
      <c r="F2244" t="s">
        <v>93</v>
      </c>
      <c r="G2244" t="s">
        <v>23</v>
      </c>
      <c r="H2244">
        <v>12</v>
      </c>
      <c r="I2244">
        <v>10</v>
      </c>
    </row>
    <row r="2245" spans="1:9" x14ac:dyDescent="0.25">
      <c r="A2245" s="5" t="str">
        <f>TrendSheetPrdData[[#This Row],[Population]]&amp;TrendSheetPrdData[[#This Row],[Cost Basis]]&amp;TrendSheetPrdData[[#This Row],[Period]]&amp;TrendSheetPrdData[[#This Row],[Trend]]</f>
        <v>MSSP_NONATTRIBUTEDAllowed2016-06-01Office Based CTs per 1k</v>
      </c>
      <c r="B2245" t="s">
        <v>129</v>
      </c>
      <c r="C2245" t="s">
        <v>129</v>
      </c>
      <c r="D2245" t="s">
        <v>91</v>
      </c>
      <c r="E2245" s="1" t="s">
        <v>96</v>
      </c>
      <c r="F2245" t="s">
        <v>93</v>
      </c>
      <c r="G2245" t="s">
        <v>23</v>
      </c>
      <c r="H2245">
        <v>12</v>
      </c>
      <c r="I2245">
        <v>2</v>
      </c>
    </row>
    <row r="2246" spans="1:9" x14ac:dyDescent="0.25">
      <c r="A2246" s="5" t="str">
        <f>TrendSheetPrdData[[#This Row],[Population]]&amp;TrendSheetPrdData[[#This Row],[Cost Basis]]&amp;TrendSheetPrdData[[#This Row],[Period]]&amp;TrendSheetPrdData[[#This Row],[Trend]]</f>
        <v>MSSP_NONATTRIBUTEDAllowed2016-07-01Office Based CTs per 1k</v>
      </c>
      <c r="B2246" t="s">
        <v>129</v>
      </c>
      <c r="C2246" t="s">
        <v>129</v>
      </c>
      <c r="D2246" t="s">
        <v>91</v>
      </c>
      <c r="E2246" s="1" t="s">
        <v>97</v>
      </c>
      <c r="F2246" t="s">
        <v>93</v>
      </c>
      <c r="G2246" t="s">
        <v>23</v>
      </c>
      <c r="H2246">
        <v>12</v>
      </c>
      <c r="I2246">
        <v>5</v>
      </c>
    </row>
    <row r="2247" spans="1:9" x14ac:dyDescent="0.25">
      <c r="A2247" s="5" t="str">
        <f>TrendSheetPrdData[[#This Row],[Population]]&amp;TrendSheetPrdData[[#This Row],[Cost Basis]]&amp;TrendSheetPrdData[[#This Row],[Period]]&amp;TrendSheetPrdData[[#This Row],[Trend]]</f>
        <v>MSSP_NONATTRIBUTEDAllowed2016-08-01Office Based CTs per 1k</v>
      </c>
      <c r="B2247" t="s">
        <v>129</v>
      </c>
      <c r="C2247" t="s">
        <v>129</v>
      </c>
      <c r="D2247" t="s">
        <v>91</v>
      </c>
      <c r="E2247" s="1" t="s">
        <v>98</v>
      </c>
      <c r="F2247" t="s">
        <v>93</v>
      </c>
      <c r="G2247" t="s">
        <v>23</v>
      </c>
      <c r="H2247">
        <v>12</v>
      </c>
      <c r="I2247">
        <v>7</v>
      </c>
    </row>
    <row r="2248" spans="1:9" x14ac:dyDescent="0.25">
      <c r="A2248" s="5" t="str">
        <f>TrendSheetPrdData[[#This Row],[Population]]&amp;TrendSheetPrdData[[#This Row],[Cost Basis]]&amp;TrendSheetPrdData[[#This Row],[Period]]&amp;TrendSheetPrdData[[#This Row],[Trend]]</f>
        <v>MSSP_NONATTRIBUTEDAllowed2016-09-01Office Based CTs per 1k</v>
      </c>
      <c r="B2248" t="s">
        <v>129</v>
      </c>
      <c r="C2248" t="s">
        <v>129</v>
      </c>
      <c r="D2248" t="s">
        <v>91</v>
      </c>
      <c r="E2248" s="1" t="s">
        <v>99</v>
      </c>
      <c r="F2248" t="s">
        <v>93</v>
      </c>
      <c r="G2248" t="s">
        <v>23</v>
      </c>
      <c r="H2248">
        <v>12</v>
      </c>
      <c r="I2248">
        <v>2</v>
      </c>
    </row>
    <row r="2249" spans="1:9" x14ac:dyDescent="0.25">
      <c r="A2249" s="5" t="str">
        <f>TrendSheetPrdData[[#This Row],[Population]]&amp;TrendSheetPrdData[[#This Row],[Cost Basis]]&amp;TrendSheetPrdData[[#This Row],[Period]]&amp;TrendSheetPrdData[[#This Row],[Trend]]</f>
        <v>MSSP_NONATTRIBUTEDAllowed2016-10-01Office Based CTs per 1k</v>
      </c>
      <c r="B2249" t="s">
        <v>129</v>
      </c>
      <c r="C2249" t="s">
        <v>129</v>
      </c>
      <c r="D2249" t="s">
        <v>91</v>
      </c>
      <c r="E2249" s="1" t="s">
        <v>100</v>
      </c>
      <c r="F2249" t="s">
        <v>106</v>
      </c>
      <c r="G2249" t="s">
        <v>23</v>
      </c>
      <c r="H2249">
        <v>12</v>
      </c>
      <c r="I2249">
        <v>2</v>
      </c>
    </row>
    <row r="2250" spans="1:9" x14ac:dyDescent="0.25">
      <c r="A2250" s="5" t="str">
        <f>TrendSheetPrdData[[#This Row],[Population]]&amp;TrendSheetPrdData[[#This Row],[Cost Basis]]&amp;TrendSheetPrdData[[#This Row],[Period]]&amp;TrendSheetPrdData[[#This Row],[Trend]]</f>
        <v>MSSP_NONATTRIBUTEDAllowed2016-11-01Office Based CTs per 1k</v>
      </c>
      <c r="B2250" t="s">
        <v>129</v>
      </c>
      <c r="C2250" t="s">
        <v>129</v>
      </c>
      <c r="D2250" t="s">
        <v>91</v>
      </c>
      <c r="E2250" s="1" t="s">
        <v>101</v>
      </c>
      <c r="F2250" t="s">
        <v>106</v>
      </c>
      <c r="G2250" t="s">
        <v>23</v>
      </c>
      <c r="H2250">
        <v>12</v>
      </c>
      <c r="I2250">
        <v>2</v>
      </c>
    </row>
    <row r="2251" spans="1:9" x14ac:dyDescent="0.25">
      <c r="A2251" s="5" t="str">
        <f>TrendSheetPrdData[[#This Row],[Population]]&amp;TrendSheetPrdData[[#This Row],[Cost Basis]]&amp;TrendSheetPrdData[[#This Row],[Period]]&amp;TrendSheetPrdData[[#This Row],[Trend]]</f>
        <v>MSSP_NONATTRIBUTEDAllowed2016-12-01Office Based CTs per 1k</v>
      </c>
      <c r="B2251" t="s">
        <v>129</v>
      </c>
      <c r="C2251" t="s">
        <v>129</v>
      </c>
      <c r="D2251" t="s">
        <v>91</v>
      </c>
      <c r="E2251" s="1" t="s">
        <v>102</v>
      </c>
      <c r="F2251" t="s">
        <v>106</v>
      </c>
      <c r="G2251" t="s">
        <v>23</v>
      </c>
      <c r="H2251">
        <v>12</v>
      </c>
      <c r="I2251">
        <v>2</v>
      </c>
    </row>
    <row r="2252" spans="1:9" x14ac:dyDescent="0.25">
      <c r="A2252" s="5" t="str">
        <f>TrendSheetPrdData[[#This Row],[Population]]&amp;TrendSheetPrdData[[#This Row],[Cost Basis]]&amp;TrendSheetPrdData[[#This Row],[Period]]&amp;TrendSheetPrdData[[#This Row],[Trend]]</f>
        <v>MSSP_NONATTRIBUTEDAllowed2015-10-01ED Cost</v>
      </c>
      <c r="B2252" t="s">
        <v>129</v>
      </c>
      <c r="C2252" t="s">
        <v>129</v>
      </c>
      <c r="D2252" t="s">
        <v>91</v>
      </c>
      <c r="E2252" s="1" t="s">
        <v>134</v>
      </c>
      <c r="F2252" t="s">
        <v>93</v>
      </c>
      <c r="G2252" t="s">
        <v>24</v>
      </c>
      <c r="H2252">
        <v>13</v>
      </c>
      <c r="I2252">
        <v>184859</v>
      </c>
    </row>
    <row r="2253" spans="1:9" x14ac:dyDescent="0.25">
      <c r="A2253" s="5" t="str">
        <f>TrendSheetPrdData[[#This Row],[Population]]&amp;TrendSheetPrdData[[#This Row],[Cost Basis]]&amp;TrendSheetPrdData[[#This Row],[Period]]&amp;TrendSheetPrdData[[#This Row],[Trend]]</f>
        <v>MSSP_NONATTRIBUTEDAllowed2015-11-01ED Cost</v>
      </c>
      <c r="B2253" t="s">
        <v>129</v>
      </c>
      <c r="C2253" t="s">
        <v>129</v>
      </c>
      <c r="D2253" t="s">
        <v>91</v>
      </c>
      <c r="E2253" s="1" t="s">
        <v>130</v>
      </c>
      <c r="F2253" t="s">
        <v>93</v>
      </c>
      <c r="G2253" t="s">
        <v>24</v>
      </c>
      <c r="H2253">
        <v>13</v>
      </c>
      <c r="I2253">
        <v>102292</v>
      </c>
    </row>
    <row r="2254" spans="1:9" x14ac:dyDescent="0.25">
      <c r="A2254" s="5" t="str">
        <f>TrendSheetPrdData[[#This Row],[Population]]&amp;TrendSheetPrdData[[#This Row],[Cost Basis]]&amp;TrendSheetPrdData[[#This Row],[Period]]&amp;TrendSheetPrdData[[#This Row],[Trend]]</f>
        <v>MSSP_NONATTRIBUTEDAllowed2015-12-01ED Cost</v>
      </c>
      <c r="B2254" t="s">
        <v>129</v>
      </c>
      <c r="C2254" t="s">
        <v>129</v>
      </c>
      <c r="D2254" t="s">
        <v>91</v>
      </c>
      <c r="E2254" s="1" t="s">
        <v>131</v>
      </c>
      <c r="F2254" t="s">
        <v>93</v>
      </c>
      <c r="G2254" t="s">
        <v>24</v>
      </c>
      <c r="H2254">
        <v>13</v>
      </c>
      <c r="I2254">
        <v>114774</v>
      </c>
    </row>
    <row r="2255" spans="1:9" x14ac:dyDescent="0.25">
      <c r="A2255" s="5" t="str">
        <f>TrendSheetPrdData[[#This Row],[Population]]&amp;TrendSheetPrdData[[#This Row],[Cost Basis]]&amp;TrendSheetPrdData[[#This Row],[Period]]&amp;TrendSheetPrdData[[#This Row],[Trend]]</f>
        <v>MSSP_NONATTRIBUTEDAllowed2016-01-01ED Cost</v>
      </c>
      <c r="B2255" t="s">
        <v>129</v>
      </c>
      <c r="C2255" t="s">
        <v>129</v>
      </c>
      <c r="D2255" t="s">
        <v>91</v>
      </c>
      <c r="E2255" s="1" t="s">
        <v>132</v>
      </c>
      <c r="F2255" t="s">
        <v>93</v>
      </c>
      <c r="G2255" t="s">
        <v>24</v>
      </c>
      <c r="H2255">
        <v>13</v>
      </c>
      <c r="I2255">
        <v>77003</v>
      </c>
    </row>
    <row r="2256" spans="1:9" x14ac:dyDescent="0.25">
      <c r="A2256" s="5" t="str">
        <f>TrendSheetPrdData[[#This Row],[Population]]&amp;TrendSheetPrdData[[#This Row],[Cost Basis]]&amp;TrendSheetPrdData[[#This Row],[Period]]&amp;TrendSheetPrdData[[#This Row],[Trend]]</f>
        <v>MSSP_NONATTRIBUTEDAllowed2016-02-01ED Cost</v>
      </c>
      <c r="B2256" t="s">
        <v>129</v>
      </c>
      <c r="C2256" t="s">
        <v>129</v>
      </c>
      <c r="D2256" t="s">
        <v>91</v>
      </c>
      <c r="E2256" s="1" t="s">
        <v>133</v>
      </c>
      <c r="F2256" t="s">
        <v>93</v>
      </c>
      <c r="G2256" t="s">
        <v>24</v>
      </c>
      <c r="H2256">
        <v>13</v>
      </c>
      <c r="I2256">
        <v>73074</v>
      </c>
    </row>
    <row r="2257" spans="1:9" x14ac:dyDescent="0.25">
      <c r="A2257" s="5" t="str">
        <f>TrendSheetPrdData[[#This Row],[Population]]&amp;TrendSheetPrdData[[#This Row],[Cost Basis]]&amp;TrendSheetPrdData[[#This Row],[Period]]&amp;TrendSheetPrdData[[#This Row],[Trend]]</f>
        <v>MSSP_NONATTRIBUTEDAllowed2016-03-01ED Cost</v>
      </c>
      <c r="B2257" t="s">
        <v>129</v>
      </c>
      <c r="C2257" t="s">
        <v>129</v>
      </c>
      <c r="D2257" t="s">
        <v>91</v>
      </c>
      <c r="E2257" s="1" t="s">
        <v>92</v>
      </c>
      <c r="F2257" t="s">
        <v>93</v>
      </c>
      <c r="G2257" t="s">
        <v>24</v>
      </c>
      <c r="H2257">
        <v>13</v>
      </c>
      <c r="I2257">
        <v>88854</v>
      </c>
    </row>
    <row r="2258" spans="1:9" x14ac:dyDescent="0.25">
      <c r="A2258" s="5" t="str">
        <f>TrendSheetPrdData[[#This Row],[Population]]&amp;TrendSheetPrdData[[#This Row],[Cost Basis]]&amp;TrendSheetPrdData[[#This Row],[Period]]&amp;TrendSheetPrdData[[#This Row],[Trend]]</f>
        <v>MSSP_NONATTRIBUTEDAllowed2016-04-01ED Cost</v>
      </c>
      <c r="B2258" t="s">
        <v>129</v>
      </c>
      <c r="C2258" t="s">
        <v>129</v>
      </c>
      <c r="D2258" t="s">
        <v>91</v>
      </c>
      <c r="E2258" s="1" t="s">
        <v>94</v>
      </c>
      <c r="F2258" t="s">
        <v>93</v>
      </c>
      <c r="G2258" t="s">
        <v>24</v>
      </c>
      <c r="H2258">
        <v>13</v>
      </c>
      <c r="I2258">
        <v>90794</v>
      </c>
    </row>
    <row r="2259" spans="1:9" x14ac:dyDescent="0.25">
      <c r="A2259" s="5" t="str">
        <f>TrendSheetPrdData[[#This Row],[Population]]&amp;TrendSheetPrdData[[#This Row],[Cost Basis]]&amp;TrendSheetPrdData[[#This Row],[Period]]&amp;TrendSheetPrdData[[#This Row],[Trend]]</f>
        <v>MSSP_NONATTRIBUTEDAllowed2016-05-01ED Cost</v>
      </c>
      <c r="B2259" t="s">
        <v>129</v>
      </c>
      <c r="C2259" t="s">
        <v>129</v>
      </c>
      <c r="D2259" t="s">
        <v>91</v>
      </c>
      <c r="E2259" s="1" t="s">
        <v>95</v>
      </c>
      <c r="F2259" t="s">
        <v>93</v>
      </c>
      <c r="G2259" t="s">
        <v>24</v>
      </c>
      <c r="H2259">
        <v>13</v>
      </c>
      <c r="I2259">
        <v>89160</v>
      </c>
    </row>
    <row r="2260" spans="1:9" x14ac:dyDescent="0.25">
      <c r="A2260" s="5" t="str">
        <f>TrendSheetPrdData[[#This Row],[Population]]&amp;TrendSheetPrdData[[#This Row],[Cost Basis]]&amp;TrendSheetPrdData[[#This Row],[Period]]&amp;TrendSheetPrdData[[#This Row],[Trend]]</f>
        <v>MSSP_NONATTRIBUTEDAllowed2016-06-01ED Cost</v>
      </c>
      <c r="B2260" t="s">
        <v>129</v>
      </c>
      <c r="C2260" t="s">
        <v>129</v>
      </c>
      <c r="D2260" t="s">
        <v>91</v>
      </c>
      <c r="E2260" s="1" t="s">
        <v>96</v>
      </c>
      <c r="F2260" t="s">
        <v>93</v>
      </c>
      <c r="G2260" t="s">
        <v>24</v>
      </c>
      <c r="H2260">
        <v>13</v>
      </c>
      <c r="I2260">
        <v>84676</v>
      </c>
    </row>
    <row r="2261" spans="1:9" x14ac:dyDescent="0.25">
      <c r="A2261" s="5" t="str">
        <f>TrendSheetPrdData[[#This Row],[Population]]&amp;TrendSheetPrdData[[#This Row],[Cost Basis]]&amp;TrendSheetPrdData[[#This Row],[Period]]&amp;TrendSheetPrdData[[#This Row],[Trend]]</f>
        <v>MSSP_NONATTRIBUTEDAllowed2016-07-01ED Cost</v>
      </c>
      <c r="B2261" t="s">
        <v>129</v>
      </c>
      <c r="C2261" t="s">
        <v>129</v>
      </c>
      <c r="D2261" t="s">
        <v>91</v>
      </c>
      <c r="E2261" s="1" t="s">
        <v>97</v>
      </c>
      <c r="F2261" t="s">
        <v>93</v>
      </c>
      <c r="G2261" t="s">
        <v>24</v>
      </c>
      <c r="H2261">
        <v>13</v>
      </c>
      <c r="I2261">
        <v>80421</v>
      </c>
    </row>
    <row r="2262" spans="1:9" x14ac:dyDescent="0.25">
      <c r="A2262" s="5" t="str">
        <f>TrendSheetPrdData[[#This Row],[Population]]&amp;TrendSheetPrdData[[#This Row],[Cost Basis]]&amp;TrendSheetPrdData[[#This Row],[Period]]&amp;TrendSheetPrdData[[#This Row],[Trend]]</f>
        <v>MSSP_NONATTRIBUTEDAllowed2016-08-01ED Cost</v>
      </c>
      <c r="B2262" t="s">
        <v>129</v>
      </c>
      <c r="C2262" t="s">
        <v>129</v>
      </c>
      <c r="D2262" t="s">
        <v>91</v>
      </c>
      <c r="E2262" s="1" t="s">
        <v>98</v>
      </c>
      <c r="F2262" t="s">
        <v>93</v>
      </c>
      <c r="G2262" t="s">
        <v>24</v>
      </c>
      <c r="H2262">
        <v>13</v>
      </c>
      <c r="I2262">
        <v>69111</v>
      </c>
    </row>
    <row r="2263" spans="1:9" x14ac:dyDescent="0.25">
      <c r="A2263" s="5" t="str">
        <f>TrendSheetPrdData[[#This Row],[Population]]&amp;TrendSheetPrdData[[#This Row],[Cost Basis]]&amp;TrendSheetPrdData[[#This Row],[Period]]&amp;TrendSheetPrdData[[#This Row],[Trend]]</f>
        <v>MSSP_NONATTRIBUTEDAllowed2016-09-01ED Cost</v>
      </c>
      <c r="B2263" t="s">
        <v>129</v>
      </c>
      <c r="C2263" t="s">
        <v>129</v>
      </c>
      <c r="D2263" t="s">
        <v>91</v>
      </c>
      <c r="E2263" s="1" t="s">
        <v>99</v>
      </c>
      <c r="F2263" t="s">
        <v>93</v>
      </c>
      <c r="G2263" t="s">
        <v>24</v>
      </c>
      <c r="H2263">
        <v>13</v>
      </c>
      <c r="I2263">
        <v>92212</v>
      </c>
    </row>
    <row r="2264" spans="1:9" x14ac:dyDescent="0.25">
      <c r="A2264" s="5" t="str">
        <f>TrendSheetPrdData[[#This Row],[Population]]&amp;TrendSheetPrdData[[#This Row],[Cost Basis]]&amp;TrendSheetPrdData[[#This Row],[Period]]&amp;TrendSheetPrdData[[#This Row],[Trend]]</f>
        <v>MSSP_NONATTRIBUTEDAllowed2016-10-01ED Cost</v>
      </c>
      <c r="B2264" t="s">
        <v>129</v>
      </c>
      <c r="C2264" t="s">
        <v>129</v>
      </c>
      <c r="D2264" t="s">
        <v>91</v>
      </c>
      <c r="E2264" s="1" t="s">
        <v>100</v>
      </c>
      <c r="F2264" t="s">
        <v>106</v>
      </c>
      <c r="G2264" t="s">
        <v>24</v>
      </c>
      <c r="H2264">
        <v>13</v>
      </c>
      <c r="I2264">
        <v>74244</v>
      </c>
    </row>
    <row r="2265" spans="1:9" x14ac:dyDescent="0.25">
      <c r="A2265" s="5" t="str">
        <f>TrendSheetPrdData[[#This Row],[Population]]&amp;TrendSheetPrdData[[#This Row],[Cost Basis]]&amp;TrendSheetPrdData[[#This Row],[Period]]&amp;TrendSheetPrdData[[#This Row],[Trend]]</f>
        <v>MSSP_NONATTRIBUTEDAllowed2016-11-01ED Cost</v>
      </c>
      <c r="B2265" t="s">
        <v>129</v>
      </c>
      <c r="C2265" t="s">
        <v>129</v>
      </c>
      <c r="D2265" t="s">
        <v>91</v>
      </c>
      <c r="E2265" s="1" t="s">
        <v>101</v>
      </c>
      <c r="F2265" t="s">
        <v>106</v>
      </c>
      <c r="G2265" t="s">
        <v>24</v>
      </c>
      <c r="H2265">
        <v>13</v>
      </c>
      <c r="I2265">
        <v>81231</v>
      </c>
    </row>
    <row r="2266" spans="1:9" x14ac:dyDescent="0.25">
      <c r="A2266" s="5" t="str">
        <f>TrendSheetPrdData[[#This Row],[Population]]&amp;TrendSheetPrdData[[#This Row],[Cost Basis]]&amp;TrendSheetPrdData[[#This Row],[Period]]&amp;TrendSheetPrdData[[#This Row],[Trend]]</f>
        <v>MSSP_NONATTRIBUTEDAllowed2016-12-01ED Cost</v>
      </c>
      <c r="B2266" t="s">
        <v>129</v>
      </c>
      <c r="C2266" t="s">
        <v>129</v>
      </c>
      <c r="D2266" t="s">
        <v>91</v>
      </c>
      <c r="E2266" s="1" t="s">
        <v>102</v>
      </c>
      <c r="F2266" t="s">
        <v>106</v>
      </c>
      <c r="G2266" t="s">
        <v>24</v>
      </c>
      <c r="H2266">
        <v>13</v>
      </c>
      <c r="I2266">
        <v>19871</v>
      </c>
    </row>
    <row r="2267" spans="1:9" x14ac:dyDescent="0.25">
      <c r="A2267" s="5" t="str">
        <f>TrendSheetPrdData[[#This Row],[Population]]&amp;TrendSheetPrdData[[#This Row],[Cost Basis]]&amp;TrendSheetPrdData[[#This Row],[Period]]&amp;TrendSheetPrdData[[#This Row],[Trend]]</f>
        <v>MSSP_NONATTRIBUTEDAllowed2015-10-01ED Utilization</v>
      </c>
      <c r="B2267" t="s">
        <v>129</v>
      </c>
      <c r="C2267" t="s">
        <v>129</v>
      </c>
      <c r="D2267" t="s">
        <v>91</v>
      </c>
      <c r="E2267" s="1" t="s">
        <v>134</v>
      </c>
      <c r="F2267" t="s">
        <v>93</v>
      </c>
      <c r="G2267" t="s">
        <v>25</v>
      </c>
      <c r="H2267">
        <v>14</v>
      </c>
      <c r="I2267">
        <v>449</v>
      </c>
    </row>
    <row r="2268" spans="1:9" x14ac:dyDescent="0.25">
      <c r="A2268" s="5" t="str">
        <f>TrendSheetPrdData[[#This Row],[Population]]&amp;TrendSheetPrdData[[#This Row],[Cost Basis]]&amp;TrendSheetPrdData[[#This Row],[Period]]&amp;TrendSheetPrdData[[#This Row],[Trend]]</f>
        <v>MSSP_NONATTRIBUTEDAllowed2015-11-01ED Utilization</v>
      </c>
      <c r="B2268" t="s">
        <v>129</v>
      </c>
      <c r="C2268" t="s">
        <v>129</v>
      </c>
      <c r="D2268" t="s">
        <v>91</v>
      </c>
      <c r="E2268" s="1" t="s">
        <v>130</v>
      </c>
      <c r="F2268" t="s">
        <v>93</v>
      </c>
      <c r="G2268" t="s">
        <v>25</v>
      </c>
      <c r="H2268">
        <v>14</v>
      </c>
      <c r="I2268">
        <v>249</v>
      </c>
    </row>
    <row r="2269" spans="1:9" x14ac:dyDescent="0.25">
      <c r="A2269" s="5" t="str">
        <f>TrendSheetPrdData[[#This Row],[Population]]&amp;TrendSheetPrdData[[#This Row],[Cost Basis]]&amp;TrendSheetPrdData[[#This Row],[Period]]&amp;TrendSheetPrdData[[#This Row],[Trend]]</f>
        <v>MSSP_NONATTRIBUTEDAllowed2015-12-01ED Utilization</v>
      </c>
      <c r="B2269" t="s">
        <v>129</v>
      </c>
      <c r="C2269" t="s">
        <v>129</v>
      </c>
      <c r="D2269" t="s">
        <v>91</v>
      </c>
      <c r="E2269" s="1" t="s">
        <v>131</v>
      </c>
      <c r="F2269" t="s">
        <v>93</v>
      </c>
      <c r="G2269" t="s">
        <v>25</v>
      </c>
      <c r="H2269">
        <v>14</v>
      </c>
      <c r="I2269">
        <v>447</v>
      </c>
    </row>
    <row r="2270" spans="1:9" x14ac:dyDescent="0.25">
      <c r="A2270" s="5" t="str">
        <f>TrendSheetPrdData[[#This Row],[Population]]&amp;TrendSheetPrdData[[#This Row],[Cost Basis]]&amp;TrendSheetPrdData[[#This Row],[Period]]&amp;TrendSheetPrdData[[#This Row],[Trend]]</f>
        <v>MSSP_NONATTRIBUTEDAllowed2016-01-01ED Utilization</v>
      </c>
      <c r="B2270" t="s">
        <v>129</v>
      </c>
      <c r="C2270" t="s">
        <v>129</v>
      </c>
      <c r="D2270" t="s">
        <v>91</v>
      </c>
      <c r="E2270" s="1" t="s">
        <v>132</v>
      </c>
      <c r="F2270" t="s">
        <v>93</v>
      </c>
      <c r="G2270" t="s">
        <v>25</v>
      </c>
      <c r="H2270">
        <v>14</v>
      </c>
      <c r="I2270">
        <v>331</v>
      </c>
    </row>
    <row r="2271" spans="1:9" x14ac:dyDescent="0.25">
      <c r="A2271" s="5" t="str">
        <f>TrendSheetPrdData[[#This Row],[Population]]&amp;TrendSheetPrdData[[#This Row],[Cost Basis]]&amp;TrendSheetPrdData[[#This Row],[Period]]&amp;TrendSheetPrdData[[#This Row],[Trend]]</f>
        <v>MSSP_NONATTRIBUTEDAllowed2016-02-01ED Utilization</v>
      </c>
      <c r="B2271" t="s">
        <v>129</v>
      </c>
      <c r="C2271" t="s">
        <v>129</v>
      </c>
      <c r="D2271" t="s">
        <v>91</v>
      </c>
      <c r="E2271" s="1" t="s">
        <v>133</v>
      </c>
      <c r="F2271" t="s">
        <v>93</v>
      </c>
      <c r="G2271" t="s">
        <v>25</v>
      </c>
      <c r="H2271">
        <v>14</v>
      </c>
      <c r="I2271">
        <v>314</v>
      </c>
    </row>
    <row r="2272" spans="1:9" x14ac:dyDescent="0.25">
      <c r="A2272" s="5" t="str">
        <f>TrendSheetPrdData[[#This Row],[Population]]&amp;TrendSheetPrdData[[#This Row],[Cost Basis]]&amp;TrendSheetPrdData[[#This Row],[Period]]&amp;TrendSheetPrdData[[#This Row],[Trend]]</f>
        <v>MSSP_NONATTRIBUTEDAllowed2016-03-01ED Utilization</v>
      </c>
      <c r="B2272" t="s">
        <v>129</v>
      </c>
      <c r="C2272" t="s">
        <v>129</v>
      </c>
      <c r="D2272" t="s">
        <v>91</v>
      </c>
      <c r="E2272" s="1" t="s">
        <v>92</v>
      </c>
      <c r="F2272" t="s">
        <v>93</v>
      </c>
      <c r="G2272" t="s">
        <v>25</v>
      </c>
      <c r="H2272">
        <v>14</v>
      </c>
      <c r="I2272">
        <v>398</v>
      </c>
    </row>
    <row r="2273" spans="1:9" x14ac:dyDescent="0.25">
      <c r="A2273" s="5" t="str">
        <f>TrendSheetPrdData[[#This Row],[Population]]&amp;TrendSheetPrdData[[#This Row],[Cost Basis]]&amp;TrendSheetPrdData[[#This Row],[Period]]&amp;TrendSheetPrdData[[#This Row],[Trend]]</f>
        <v>MSSP_NONATTRIBUTEDAllowed2016-04-01ED Utilization</v>
      </c>
      <c r="B2273" t="s">
        <v>129</v>
      </c>
      <c r="C2273" t="s">
        <v>129</v>
      </c>
      <c r="D2273" t="s">
        <v>91</v>
      </c>
      <c r="E2273" s="1" t="s">
        <v>94</v>
      </c>
      <c r="F2273" t="s">
        <v>93</v>
      </c>
      <c r="G2273" t="s">
        <v>25</v>
      </c>
      <c r="H2273">
        <v>14</v>
      </c>
      <c r="I2273">
        <v>370</v>
      </c>
    </row>
    <row r="2274" spans="1:9" x14ac:dyDescent="0.25">
      <c r="A2274" s="5" t="str">
        <f>TrendSheetPrdData[[#This Row],[Population]]&amp;TrendSheetPrdData[[#This Row],[Cost Basis]]&amp;TrendSheetPrdData[[#This Row],[Period]]&amp;TrendSheetPrdData[[#This Row],[Trend]]</f>
        <v>MSSP_NONATTRIBUTEDAllowed2016-05-01ED Utilization</v>
      </c>
      <c r="B2274" t="s">
        <v>129</v>
      </c>
      <c r="C2274" t="s">
        <v>129</v>
      </c>
      <c r="D2274" t="s">
        <v>91</v>
      </c>
      <c r="E2274" s="1" t="s">
        <v>95</v>
      </c>
      <c r="F2274" t="s">
        <v>93</v>
      </c>
      <c r="G2274" t="s">
        <v>25</v>
      </c>
      <c r="H2274">
        <v>14</v>
      </c>
      <c r="I2274">
        <v>454</v>
      </c>
    </row>
    <row r="2275" spans="1:9" x14ac:dyDescent="0.25">
      <c r="A2275" s="5" t="str">
        <f>TrendSheetPrdData[[#This Row],[Population]]&amp;TrendSheetPrdData[[#This Row],[Cost Basis]]&amp;TrendSheetPrdData[[#This Row],[Period]]&amp;TrendSheetPrdData[[#This Row],[Trend]]</f>
        <v>MSSP_NONATTRIBUTEDAllowed2016-06-01ED Utilization</v>
      </c>
      <c r="B2275" t="s">
        <v>129</v>
      </c>
      <c r="C2275" t="s">
        <v>129</v>
      </c>
      <c r="D2275" t="s">
        <v>91</v>
      </c>
      <c r="E2275" s="1" t="s">
        <v>96</v>
      </c>
      <c r="F2275" t="s">
        <v>93</v>
      </c>
      <c r="G2275" t="s">
        <v>25</v>
      </c>
      <c r="H2275">
        <v>14</v>
      </c>
      <c r="I2275">
        <v>421</v>
      </c>
    </row>
    <row r="2276" spans="1:9" x14ac:dyDescent="0.25">
      <c r="A2276" s="5" t="str">
        <f>TrendSheetPrdData[[#This Row],[Population]]&amp;TrendSheetPrdData[[#This Row],[Cost Basis]]&amp;TrendSheetPrdData[[#This Row],[Period]]&amp;TrendSheetPrdData[[#This Row],[Trend]]</f>
        <v>MSSP_NONATTRIBUTEDAllowed2016-07-01ED Utilization</v>
      </c>
      <c r="B2276" t="s">
        <v>129</v>
      </c>
      <c r="C2276" t="s">
        <v>129</v>
      </c>
      <c r="D2276" t="s">
        <v>91</v>
      </c>
      <c r="E2276" s="1" t="s">
        <v>97</v>
      </c>
      <c r="F2276" t="s">
        <v>93</v>
      </c>
      <c r="G2276" t="s">
        <v>25</v>
      </c>
      <c r="H2276">
        <v>14</v>
      </c>
      <c r="I2276">
        <v>444</v>
      </c>
    </row>
    <row r="2277" spans="1:9" x14ac:dyDescent="0.25">
      <c r="A2277" s="5" t="str">
        <f>TrendSheetPrdData[[#This Row],[Population]]&amp;TrendSheetPrdData[[#This Row],[Cost Basis]]&amp;TrendSheetPrdData[[#This Row],[Period]]&amp;TrendSheetPrdData[[#This Row],[Trend]]</f>
        <v>MSSP_NONATTRIBUTEDAllowed2016-08-01ED Utilization</v>
      </c>
      <c r="B2277" t="s">
        <v>129</v>
      </c>
      <c r="C2277" t="s">
        <v>129</v>
      </c>
      <c r="D2277" t="s">
        <v>91</v>
      </c>
      <c r="E2277" s="1" t="s">
        <v>98</v>
      </c>
      <c r="F2277" t="s">
        <v>93</v>
      </c>
      <c r="G2277" t="s">
        <v>25</v>
      </c>
      <c r="H2277">
        <v>14</v>
      </c>
      <c r="I2277">
        <v>358</v>
      </c>
    </row>
    <row r="2278" spans="1:9" x14ac:dyDescent="0.25">
      <c r="A2278" s="5" t="str">
        <f>TrendSheetPrdData[[#This Row],[Population]]&amp;TrendSheetPrdData[[#This Row],[Cost Basis]]&amp;TrendSheetPrdData[[#This Row],[Period]]&amp;TrendSheetPrdData[[#This Row],[Trend]]</f>
        <v>MSSP_NONATTRIBUTEDAllowed2016-09-01ED Utilization</v>
      </c>
      <c r="B2278" t="s">
        <v>129</v>
      </c>
      <c r="C2278" t="s">
        <v>129</v>
      </c>
      <c r="D2278" t="s">
        <v>91</v>
      </c>
      <c r="E2278" s="1" t="s">
        <v>99</v>
      </c>
      <c r="F2278" t="s">
        <v>93</v>
      </c>
      <c r="G2278" t="s">
        <v>25</v>
      </c>
      <c r="H2278">
        <v>14</v>
      </c>
      <c r="I2278">
        <v>406</v>
      </c>
    </row>
    <row r="2279" spans="1:9" x14ac:dyDescent="0.25">
      <c r="A2279" s="5" t="str">
        <f>TrendSheetPrdData[[#This Row],[Population]]&amp;TrendSheetPrdData[[#This Row],[Cost Basis]]&amp;TrendSheetPrdData[[#This Row],[Period]]&amp;TrendSheetPrdData[[#This Row],[Trend]]</f>
        <v>MSSP_NONATTRIBUTEDAllowed2016-10-01ED Utilization</v>
      </c>
      <c r="B2279" t="s">
        <v>129</v>
      </c>
      <c r="C2279" t="s">
        <v>129</v>
      </c>
      <c r="D2279" t="s">
        <v>91</v>
      </c>
      <c r="E2279" s="1" t="s">
        <v>100</v>
      </c>
      <c r="F2279" t="s">
        <v>106</v>
      </c>
      <c r="G2279" t="s">
        <v>25</v>
      </c>
      <c r="H2279">
        <v>14</v>
      </c>
      <c r="I2279">
        <v>372</v>
      </c>
    </row>
    <row r="2280" spans="1:9" x14ac:dyDescent="0.25">
      <c r="A2280" s="5" t="str">
        <f>TrendSheetPrdData[[#This Row],[Population]]&amp;TrendSheetPrdData[[#This Row],[Cost Basis]]&amp;TrendSheetPrdData[[#This Row],[Period]]&amp;TrendSheetPrdData[[#This Row],[Trend]]</f>
        <v>MSSP_NONATTRIBUTEDAllowed2016-11-01ED Utilization</v>
      </c>
      <c r="B2280" t="s">
        <v>129</v>
      </c>
      <c r="C2280" t="s">
        <v>129</v>
      </c>
      <c r="D2280" t="s">
        <v>91</v>
      </c>
      <c r="E2280" s="1" t="s">
        <v>101</v>
      </c>
      <c r="F2280" t="s">
        <v>106</v>
      </c>
      <c r="G2280" t="s">
        <v>25</v>
      </c>
      <c r="H2280">
        <v>14</v>
      </c>
      <c r="I2280">
        <v>412</v>
      </c>
    </row>
    <row r="2281" spans="1:9" x14ac:dyDescent="0.25">
      <c r="A2281" s="5" t="str">
        <f>TrendSheetPrdData[[#This Row],[Population]]&amp;TrendSheetPrdData[[#This Row],[Cost Basis]]&amp;TrendSheetPrdData[[#This Row],[Period]]&amp;TrendSheetPrdData[[#This Row],[Trend]]</f>
        <v>MSSP_NONATTRIBUTEDAllowed2016-12-01ED Utilization</v>
      </c>
      <c r="B2281" t="s">
        <v>129</v>
      </c>
      <c r="C2281" t="s">
        <v>129</v>
      </c>
      <c r="D2281" t="s">
        <v>91</v>
      </c>
      <c r="E2281" s="1" t="s">
        <v>102</v>
      </c>
      <c r="F2281" t="s">
        <v>106</v>
      </c>
      <c r="G2281" t="s">
        <v>25</v>
      </c>
      <c r="H2281">
        <v>14</v>
      </c>
      <c r="I2281">
        <v>109</v>
      </c>
    </row>
    <row r="2282" spans="1:9" x14ac:dyDescent="0.25">
      <c r="A2282" s="5" t="str">
        <f>TrendSheetPrdData[[#This Row],[Population]]&amp;TrendSheetPrdData[[#This Row],[Cost Basis]]&amp;TrendSheetPrdData[[#This Row],[Period]]&amp;TrendSheetPrdData[[#This Row],[Trend]]</f>
        <v>MSSP_NONATTRIBUTEDAllowed2015-10-01Drug - Generic Utilization Cost</v>
      </c>
      <c r="B2282" t="s">
        <v>129</v>
      </c>
      <c r="C2282" t="s">
        <v>129</v>
      </c>
      <c r="D2282" t="s">
        <v>91</v>
      </c>
      <c r="E2282" s="1" t="s">
        <v>134</v>
      </c>
      <c r="F2282" t="s">
        <v>93</v>
      </c>
      <c r="G2282" t="s">
        <v>26</v>
      </c>
      <c r="H2282">
        <v>15</v>
      </c>
      <c r="I2282">
        <v>723643</v>
      </c>
    </row>
    <row r="2283" spans="1:9" x14ac:dyDescent="0.25">
      <c r="A2283" s="5" t="str">
        <f>TrendSheetPrdData[[#This Row],[Population]]&amp;TrendSheetPrdData[[#This Row],[Cost Basis]]&amp;TrendSheetPrdData[[#This Row],[Period]]&amp;TrendSheetPrdData[[#This Row],[Trend]]</f>
        <v>MSSP_NONATTRIBUTEDAllowed2015-11-01Drug - Generic Utilization Cost</v>
      </c>
      <c r="B2283" t="s">
        <v>129</v>
      </c>
      <c r="C2283" t="s">
        <v>129</v>
      </c>
      <c r="D2283" t="s">
        <v>91</v>
      </c>
      <c r="E2283" s="1" t="s">
        <v>130</v>
      </c>
      <c r="F2283" t="s">
        <v>93</v>
      </c>
      <c r="G2283" t="s">
        <v>26</v>
      </c>
      <c r="H2283">
        <v>15</v>
      </c>
      <c r="I2283">
        <v>520276</v>
      </c>
    </row>
    <row r="2284" spans="1:9" x14ac:dyDescent="0.25">
      <c r="A2284" s="5" t="str">
        <f>TrendSheetPrdData[[#This Row],[Population]]&amp;TrendSheetPrdData[[#This Row],[Cost Basis]]&amp;TrendSheetPrdData[[#This Row],[Period]]&amp;TrendSheetPrdData[[#This Row],[Trend]]</f>
        <v>MSSP_NONATTRIBUTEDAllowed2015-12-01Drug - Generic Utilization Cost</v>
      </c>
      <c r="B2284" t="s">
        <v>129</v>
      </c>
      <c r="C2284" t="s">
        <v>129</v>
      </c>
      <c r="D2284" t="s">
        <v>91</v>
      </c>
      <c r="E2284" s="1" t="s">
        <v>131</v>
      </c>
      <c r="F2284" t="s">
        <v>93</v>
      </c>
      <c r="G2284" t="s">
        <v>26</v>
      </c>
      <c r="H2284">
        <v>15</v>
      </c>
      <c r="I2284">
        <v>247081</v>
      </c>
    </row>
    <row r="2285" spans="1:9" x14ac:dyDescent="0.25">
      <c r="A2285" s="5" t="str">
        <f>TrendSheetPrdData[[#This Row],[Population]]&amp;TrendSheetPrdData[[#This Row],[Cost Basis]]&amp;TrendSheetPrdData[[#This Row],[Period]]&amp;TrendSheetPrdData[[#This Row],[Trend]]</f>
        <v>MSSP_NONATTRIBUTEDAllowed2016-01-01Drug - Generic Utilization Cost</v>
      </c>
      <c r="B2285" t="s">
        <v>129</v>
      </c>
      <c r="C2285" t="s">
        <v>129</v>
      </c>
      <c r="D2285" t="s">
        <v>91</v>
      </c>
      <c r="E2285" s="1" t="s">
        <v>132</v>
      </c>
      <c r="F2285" t="s">
        <v>93</v>
      </c>
      <c r="G2285" t="s">
        <v>26</v>
      </c>
      <c r="H2285">
        <v>15</v>
      </c>
      <c r="I2285">
        <v>348063</v>
      </c>
    </row>
    <row r="2286" spans="1:9" x14ac:dyDescent="0.25">
      <c r="A2286" s="5" t="str">
        <f>TrendSheetPrdData[[#This Row],[Population]]&amp;TrendSheetPrdData[[#This Row],[Cost Basis]]&amp;TrendSheetPrdData[[#This Row],[Period]]&amp;TrendSheetPrdData[[#This Row],[Trend]]</f>
        <v>MSSP_NONATTRIBUTEDAllowed2016-02-01Drug - Generic Utilization Cost</v>
      </c>
      <c r="B2286" t="s">
        <v>129</v>
      </c>
      <c r="C2286" t="s">
        <v>129</v>
      </c>
      <c r="D2286" t="s">
        <v>91</v>
      </c>
      <c r="E2286" s="1" t="s">
        <v>133</v>
      </c>
      <c r="F2286" t="s">
        <v>93</v>
      </c>
      <c r="G2286" t="s">
        <v>26</v>
      </c>
      <c r="H2286">
        <v>15</v>
      </c>
      <c r="I2286">
        <v>323791</v>
      </c>
    </row>
    <row r="2287" spans="1:9" x14ac:dyDescent="0.25">
      <c r="A2287" s="5" t="str">
        <f>TrendSheetPrdData[[#This Row],[Population]]&amp;TrendSheetPrdData[[#This Row],[Cost Basis]]&amp;TrendSheetPrdData[[#This Row],[Period]]&amp;TrendSheetPrdData[[#This Row],[Trend]]</f>
        <v>MSSP_NONATTRIBUTEDAllowed2016-03-01Drug - Generic Utilization Cost</v>
      </c>
      <c r="B2287" t="s">
        <v>129</v>
      </c>
      <c r="C2287" t="s">
        <v>129</v>
      </c>
      <c r="D2287" t="s">
        <v>91</v>
      </c>
      <c r="E2287" s="1" t="s">
        <v>92</v>
      </c>
      <c r="F2287" t="s">
        <v>93</v>
      </c>
      <c r="G2287" t="s">
        <v>26</v>
      </c>
      <c r="H2287">
        <v>15</v>
      </c>
      <c r="I2287">
        <v>339785</v>
      </c>
    </row>
    <row r="2288" spans="1:9" x14ac:dyDescent="0.25">
      <c r="A2288" s="5" t="str">
        <f>TrendSheetPrdData[[#This Row],[Population]]&amp;TrendSheetPrdData[[#This Row],[Cost Basis]]&amp;TrendSheetPrdData[[#This Row],[Period]]&amp;TrendSheetPrdData[[#This Row],[Trend]]</f>
        <v>MSSP_NONATTRIBUTEDAllowed2016-04-01Drug - Generic Utilization Cost</v>
      </c>
      <c r="B2288" t="s">
        <v>129</v>
      </c>
      <c r="C2288" t="s">
        <v>129</v>
      </c>
      <c r="D2288" t="s">
        <v>91</v>
      </c>
      <c r="E2288" s="1" t="s">
        <v>94</v>
      </c>
      <c r="F2288" t="s">
        <v>93</v>
      </c>
      <c r="G2288" t="s">
        <v>26</v>
      </c>
      <c r="H2288">
        <v>15</v>
      </c>
      <c r="I2288">
        <v>308307</v>
      </c>
    </row>
    <row r="2289" spans="1:9" x14ac:dyDescent="0.25">
      <c r="A2289" s="5" t="str">
        <f>TrendSheetPrdData[[#This Row],[Population]]&amp;TrendSheetPrdData[[#This Row],[Cost Basis]]&amp;TrendSheetPrdData[[#This Row],[Period]]&amp;TrendSheetPrdData[[#This Row],[Trend]]</f>
        <v>MSSP_NONATTRIBUTEDAllowed2016-05-01Drug - Generic Utilization Cost</v>
      </c>
      <c r="B2289" t="s">
        <v>129</v>
      </c>
      <c r="C2289" t="s">
        <v>129</v>
      </c>
      <c r="D2289" t="s">
        <v>91</v>
      </c>
      <c r="E2289" s="1" t="s">
        <v>95</v>
      </c>
      <c r="F2289" t="s">
        <v>93</v>
      </c>
      <c r="G2289" t="s">
        <v>26</v>
      </c>
      <c r="H2289">
        <v>15</v>
      </c>
      <c r="I2289">
        <v>284416</v>
      </c>
    </row>
    <row r="2290" spans="1:9" x14ac:dyDescent="0.25">
      <c r="A2290" s="5" t="str">
        <f>TrendSheetPrdData[[#This Row],[Population]]&amp;TrendSheetPrdData[[#This Row],[Cost Basis]]&amp;TrendSheetPrdData[[#This Row],[Period]]&amp;TrendSheetPrdData[[#This Row],[Trend]]</f>
        <v>MSSP_NONATTRIBUTEDAllowed2016-06-01Drug - Generic Utilization Cost</v>
      </c>
      <c r="B2290" t="s">
        <v>129</v>
      </c>
      <c r="C2290" t="s">
        <v>129</v>
      </c>
      <c r="D2290" t="s">
        <v>91</v>
      </c>
      <c r="E2290" s="1" t="s">
        <v>96</v>
      </c>
      <c r="F2290" t="s">
        <v>93</v>
      </c>
      <c r="G2290" t="s">
        <v>26</v>
      </c>
      <c r="H2290">
        <v>15</v>
      </c>
      <c r="I2290">
        <v>264904</v>
      </c>
    </row>
    <row r="2291" spans="1:9" x14ac:dyDescent="0.25">
      <c r="A2291" s="5" t="str">
        <f>TrendSheetPrdData[[#This Row],[Population]]&amp;TrendSheetPrdData[[#This Row],[Cost Basis]]&amp;TrendSheetPrdData[[#This Row],[Period]]&amp;TrendSheetPrdData[[#This Row],[Trend]]</f>
        <v>MSSP_NONATTRIBUTEDAllowed2016-07-01Drug - Generic Utilization Cost</v>
      </c>
      <c r="B2291" t="s">
        <v>129</v>
      </c>
      <c r="C2291" t="s">
        <v>129</v>
      </c>
      <c r="D2291" t="s">
        <v>91</v>
      </c>
      <c r="E2291" s="1" t="s">
        <v>97</v>
      </c>
      <c r="F2291" t="s">
        <v>93</v>
      </c>
      <c r="G2291" t="s">
        <v>26</v>
      </c>
      <c r="H2291">
        <v>15</v>
      </c>
      <c r="I2291">
        <v>270394</v>
      </c>
    </row>
    <row r="2292" spans="1:9" x14ac:dyDescent="0.25">
      <c r="A2292" s="5" t="str">
        <f>TrendSheetPrdData[[#This Row],[Population]]&amp;TrendSheetPrdData[[#This Row],[Cost Basis]]&amp;TrendSheetPrdData[[#This Row],[Period]]&amp;TrendSheetPrdData[[#This Row],[Trend]]</f>
        <v>MSSP_NONATTRIBUTEDAllowed2016-08-01Drug - Generic Utilization Cost</v>
      </c>
      <c r="B2292" t="s">
        <v>129</v>
      </c>
      <c r="C2292" t="s">
        <v>129</v>
      </c>
      <c r="D2292" t="s">
        <v>91</v>
      </c>
      <c r="E2292" s="1" t="s">
        <v>98</v>
      </c>
      <c r="F2292" t="s">
        <v>93</v>
      </c>
      <c r="G2292" t="s">
        <v>26</v>
      </c>
      <c r="H2292">
        <v>15</v>
      </c>
      <c r="I2292">
        <v>265306</v>
      </c>
    </row>
    <row r="2293" spans="1:9" x14ac:dyDescent="0.25">
      <c r="A2293" s="5" t="str">
        <f>TrendSheetPrdData[[#This Row],[Population]]&amp;TrendSheetPrdData[[#This Row],[Cost Basis]]&amp;TrendSheetPrdData[[#This Row],[Period]]&amp;TrendSheetPrdData[[#This Row],[Trend]]</f>
        <v>MSSP_NONATTRIBUTEDAllowed2016-09-01Drug - Generic Utilization Cost</v>
      </c>
      <c r="B2293" t="s">
        <v>129</v>
      </c>
      <c r="C2293" t="s">
        <v>129</v>
      </c>
      <c r="D2293" t="s">
        <v>91</v>
      </c>
      <c r="E2293" s="1" t="s">
        <v>99</v>
      </c>
      <c r="F2293" t="s">
        <v>93</v>
      </c>
      <c r="G2293" t="s">
        <v>26</v>
      </c>
      <c r="H2293">
        <v>15</v>
      </c>
      <c r="I2293">
        <v>264514</v>
      </c>
    </row>
    <row r="2294" spans="1:9" x14ac:dyDescent="0.25">
      <c r="A2294" s="5" t="str">
        <f>TrendSheetPrdData[[#This Row],[Population]]&amp;TrendSheetPrdData[[#This Row],[Cost Basis]]&amp;TrendSheetPrdData[[#This Row],[Period]]&amp;TrendSheetPrdData[[#This Row],[Trend]]</f>
        <v>MSSP_NONATTRIBUTEDAllowed2016-10-01Drug - Generic Utilization Cost</v>
      </c>
      <c r="B2294" t="s">
        <v>129</v>
      </c>
      <c r="C2294" t="s">
        <v>129</v>
      </c>
      <c r="D2294" t="s">
        <v>91</v>
      </c>
      <c r="E2294" s="1" t="s">
        <v>100</v>
      </c>
      <c r="F2294" t="s">
        <v>106</v>
      </c>
      <c r="G2294" t="s">
        <v>26</v>
      </c>
      <c r="H2294">
        <v>15</v>
      </c>
      <c r="I2294">
        <v>263095</v>
      </c>
    </row>
    <row r="2295" spans="1:9" x14ac:dyDescent="0.25">
      <c r="A2295" s="5" t="str">
        <f>TrendSheetPrdData[[#This Row],[Population]]&amp;TrendSheetPrdData[[#This Row],[Cost Basis]]&amp;TrendSheetPrdData[[#This Row],[Period]]&amp;TrendSheetPrdData[[#This Row],[Trend]]</f>
        <v>MSSP_NONATTRIBUTEDAllowed2016-11-01Drug - Generic Utilization Cost</v>
      </c>
      <c r="B2295" t="s">
        <v>129</v>
      </c>
      <c r="C2295" t="s">
        <v>129</v>
      </c>
      <c r="D2295" t="s">
        <v>91</v>
      </c>
      <c r="E2295" s="1" t="s">
        <v>101</v>
      </c>
      <c r="F2295" t="s">
        <v>106</v>
      </c>
      <c r="G2295" t="s">
        <v>26</v>
      </c>
      <c r="H2295">
        <v>15</v>
      </c>
      <c r="I2295">
        <v>276665</v>
      </c>
    </row>
    <row r="2296" spans="1:9" x14ac:dyDescent="0.25">
      <c r="A2296" s="5" t="str">
        <f>TrendSheetPrdData[[#This Row],[Population]]&amp;TrendSheetPrdData[[#This Row],[Cost Basis]]&amp;TrendSheetPrdData[[#This Row],[Period]]&amp;TrendSheetPrdData[[#This Row],[Trend]]</f>
        <v>MSSP_NONATTRIBUTEDAllowed2016-12-01Drug - Generic Utilization Cost</v>
      </c>
      <c r="B2296" t="s">
        <v>129</v>
      </c>
      <c r="C2296" t="s">
        <v>129</v>
      </c>
      <c r="D2296" t="s">
        <v>91</v>
      </c>
      <c r="E2296" s="1" t="s">
        <v>102</v>
      </c>
      <c r="F2296" t="s">
        <v>106</v>
      </c>
      <c r="G2296" t="s">
        <v>26</v>
      </c>
      <c r="H2296">
        <v>15</v>
      </c>
      <c r="I2296">
        <v>169921</v>
      </c>
    </row>
    <row r="2297" spans="1:9" x14ac:dyDescent="0.25">
      <c r="A2297" s="5" t="str">
        <f>TrendSheetPrdData[[#This Row],[Population]]&amp;TrendSheetPrdData[[#This Row],[Cost Basis]]&amp;TrendSheetPrdData[[#This Row],[Period]]&amp;TrendSheetPrdData[[#This Row],[Trend]]</f>
        <v>MSSP_NONATTRIBUTEDAllowed2015-10-01Drug - Generic Utilization</v>
      </c>
      <c r="B2297" t="s">
        <v>129</v>
      </c>
      <c r="C2297" t="s">
        <v>129</v>
      </c>
      <c r="D2297" t="s">
        <v>91</v>
      </c>
      <c r="E2297" s="1" t="s">
        <v>134</v>
      </c>
      <c r="F2297" t="s">
        <v>93</v>
      </c>
      <c r="G2297" t="s">
        <v>27</v>
      </c>
      <c r="H2297">
        <v>16</v>
      </c>
      <c r="I2297">
        <v>0.84</v>
      </c>
    </row>
    <row r="2298" spans="1:9" x14ac:dyDescent="0.25">
      <c r="A2298" s="5" t="str">
        <f>TrendSheetPrdData[[#This Row],[Population]]&amp;TrendSheetPrdData[[#This Row],[Cost Basis]]&amp;TrendSheetPrdData[[#This Row],[Period]]&amp;TrendSheetPrdData[[#This Row],[Trend]]</f>
        <v>MSSP_NONATTRIBUTEDAllowed2015-11-01Drug - Generic Utilization</v>
      </c>
      <c r="B2298" t="s">
        <v>129</v>
      </c>
      <c r="C2298" t="s">
        <v>129</v>
      </c>
      <c r="D2298" t="s">
        <v>91</v>
      </c>
      <c r="E2298" s="1" t="s">
        <v>130</v>
      </c>
      <c r="F2298" t="s">
        <v>93</v>
      </c>
      <c r="G2298" t="s">
        <v>27</v>
      </c>
      <c r="H2298">
        <v>16</v>
      </c>
      <c r="I2298">
        <v>0.84</v>
      </c>
    </row>
    <row r="2299" spans="1:9" x14ac:dyDescent="0.25">
      <c r="A2299" s="5" t="str">
        <f>TrendSheetPrdData[[#This Row],[Population]]&amp;TrendSheetPrdData[[#This Row],[Cost Basis]]&amp;TrendSheetPrdData[[#This Row],[Period]]&amp;TrendSheetPrdData[[#This Row],[Trend]]</f>
        <v>MSSP_NONATTRIBUTEDAllowed2015-12-01Drug - Generic Utilization</v>
      </c>
      <c r="B2299" t="s">
        <v>129</v>
      </c>
      <c r="C2299" t="s">
        <v>129</v>
      </c>
      <c r="D2299" t="s">
        <v>91</v>
      </c>
      <c r="E2299" s="1" t="s">
        <v>131</v>
      </c>
      <c r="F2299" t="s">
        <v>93</v>
      </c>
      <c r="G2299" t="s">
        <v>27</v>
      </c>
      <c r="H2299">
        <v>16</v>
      </c>
      <c r="I2299">
        <v>0.85</v>
      </c>
    </row>
    <row r="2300" spans="1:9" x14ac:dyDescent="0.25">
      <c r="A2300" s="5" t="str">
        <f>TrendSheetPrdData[[#This Row],[Population]]&amp;TrendSheetPrdData[[#This Row],[Cost Basis]]&amp;TrendSheetPrdData[[#This Row],[Period]]&amp;TrendSheetPrdData[[#This Row],[Trend]]</f>
        <v>MSSP_NONATTRIBUTEDAllowed2016-01-01Drug - Generic Utilization</v>
      </c>
      <c r="B2300" t="s">
        <v>129</v>
      </c>
      <c r="C2300" t="s">
        <v>129</v>
      </c>
      <c r="D2300" t="s">
        <v>91</v>
      </c>
      <c r="E2300" s="1" t="s">
        <v>132</v>
      </c>
      <c r="F2300" t="s">
        <v>93</v>
      </c>
      <c r="G2300" t="s">
        <v>27</v>
      </c>
      <c r="H2300">
        <v>16</v>
      </c>
      <c r="I2300">
        <v>0.85</v>
      </c>
    </row>
    <row r="2301" spans="1:9" x14ac:dyDescent="0.25">
      <c r="A2301" s="5" t="str">
        <f>TrendSheetPrdData[[#This Row],[Population]]&amp;TrendSheetPrdData[[#This Row],[Cost Basis]]&amp;TrendSheetPrdData[[#This Row],[Period]]&amp;TrendSheetPrdData[[#This Row],[Trend]]</f>
        <v>MSSP_NONATTRIBUTEDAllowed2016-02-01Drug - Generic Utilization</v>
      </c>
      <c r="B2301" t="s">
        <v>129</v>
      </c>
      <c r="C2301" t="s">
        <v>129</v>
      </c>
      <c r="D2301" t="s">
        <v>91</v>
      </c>
      <c r="E2301" s="1" t="s">
        <v>133</v>
      </c>
      <c r="F2301" t="s">
        <v>93</v>
      </c>
      <c r="G2301" t="s">
        <v>27</v>
      </c>
      <c r="H2301">
        <v>16</v>
      </c>
      <c r="I2301">
        <v>0.85</v>
      </c>
    </row>
    <row r="2302" spans="1:9" x14ac:dyDescent="0.25">
      <c r="A2302" s="5" t="str">
        <f>TrendSheetPrdData[[#This Row],[Population]]&amp;TrendSheetPrdData[[#This Row],[Cost Basis]]&amp;TrendSheetPrdData[[#This Row],[Period]]&amp;TrendSheetPrdData[[#This Row],[Trend]]</f>
        <v>MSSP_NONATTRIBUTEDAllowed2016-03-01Drug - Generic Utilization</v>
      </c>
      <c r="B2302" t="s">
        <v>129</v>
      </c>
      <c r="C2302" t="s">
        <v>129</v>
      </c>
      <c r="D2302" t="s">
        <v>91</v>
      </c>
      <c r="E2302" s="1" t="s">
        <v>92</v>
      </c>
      <c r="F2302" t="s">
        <v>93</v>
      </c>
      <c r="G2302" t="s">
        <v>27</v>
      </c>
      <c r="H2302">
        <v>16</v>
      </c>
      <c r="I2302">
        <v>0.85</v>
      </c>
    </row>
    <row r="2303" spans="1:9" x14ac:dyDescent="0.25">
      <c r="A2303" s="5" t="str">
        <f>TrendSheetPrdData[[#This Row],[Population]]&amp;TrendSheetPrdData[[#This Row],[Cost Basis]]&amp;TrendSheetPrdData[[#This Row],[Period]]&amp;TrendSheetPrdData[[#This Row],[Trend]]</f>
        <v>MSSP_NONATTRIBUTEDAllowed2016-04-01Drug - Generic Utilization</v>
      </c>
      <c r="B2303" t="s">
        <v>129</v>
      </c>
      <c r="C2303" t="s">
        <v>129</v>
      </c>
      <c r="D2303" t="s">
        <v>91</v>
      </c>
      <c r="E2303" s="1" t="s">
        <v>94</v>
      </c>
      <c r="F2303" t="s">
        <v>93</v>
      </c>
      <c r="G2303" t="s">
        <v>27</v>
      </c>
      <c r="H2303">
        <v>16</v>
      </c>
      <c r="I2303">
        <v>0.85</v>
      </c>
    </row>
    <row r="2304" spans="1:9" x14ac:dyDescent="0.25">
      <c r="A2304" s="5" t="str">
        <f>TrendSheetPrdData[[#This Row],[Population]]&amp;TrendSheetPrdData[[#This Row],[Cost Basis]]&amp;TrendSheetPrdData[[#This Row],[Period]]&amp;TrendSheetPrdData[[#This Row],[Trend]]</f>
        <v>MSSP_NONATTRIBUTEDAllowed2016-05-01Drug - Generic Utilization</v>
      </c>
      <c r="B2304" t="s">
        <v>129</v>
      </c>
      <c r="C2304" t="s">
        <v>129</v>
      </c>
      <c r="D2304" t="s">
        <v>91</v>
      </c>
      <c r="E2304" s="1" t="s">
        <v>95</v>
      </c>
      <c r="F2304" t="s">
        <v>93</v>
      </c>
      <c r="G2304" t="s">
        <v>27</v>
      </c>
      <c r="H2304">
        <v>16</v>
      </c>
      <c r="I2304">
        <v>0.85</v>
      </c>
    </row>
    <row r="2305" spans="1:9" x14ac:dyDescent="0.25">
      <c r="A2305" s="5" t="str">
        <f>TrendSheetPrdData[[#This Row],[Population]]&amp;TrendSheetPrdData[[#This Row],[Cost Basis]]&amp;TrendSheetPrdData[[#This Row],[Period]]&amp;TrendSheetPrdData[[#This Row],[Trend]]</f>
        <v>MSSP_NONATTRIBUTEDAllowed2016-06-01Drug - Generic Utilization</v>
      </c>
      <c r="B2305" t="s">
        <v>129</v>
      </c>
      <c r="C2305" t="s">
        <v>129</v>
      </c>
      <c r="D2305" t="s">
        <v>91</v>
      </c>
      <c r="E2305" s="1" t="s">
        <v>96</v>
      </c>
      <c r="F2305" t="s">
        <v>93</v>
      </c>
      <c r="G2305" t="s">
        <v>27</v>
      </c>
      <c r="H2305">
        <v>16</v>
      </c>
      <c r="I2305">
        <v>0.87</v>
      </c>
    </row>
    <row r="2306" spans="1:9" x14ac:dyDescent="0.25">
      <c r="A2306" s="5" t="str">
        <f>TrendSheetPrdData[[#This Row],[Population]]&amp;TrendSheetPrdData[[#This Row],[Cost Basis]]&amp;TrendSheetPrdData[[#This Row],[Period]]&amp;TrendSheetPrdData[[#This Row],[Trend]]</f>
        <v>MSSP_NONATTRIBUTEDAllowed2016-07-01Drug - Generic Utilization</v>
      </c>
      <c r="B2306" t="s">
        <v>129</v>
      </c>
      <c r="C2306" t="s">
        <v>129</v>
      </c>
      <c r="D2306" t="s">
        <v>91</v>
      </c>
      <c r="E2306" s="1" t="s">
        <v>97</v>
      </c>
      <c r="F2306" t="s">
        <v>93</v>
      </c>
      <c r="G2306" t="s">
        <v>27</v>
      </c>
      <c r="H2306">
        <v>16</v>
      </c>
      <c r="I2306">
        <v>0.87</v>
      </c>
    </row>
    <row r="2307" spans="1:9" x14ac:dyDescent="0.25">
      <c r="A2307" s="5" t="str">
        <f>TrendSheetPrdData[[#This Row],[Population]]&amp;TrendSheetPrdData[[#This Row],[Cost Basis]]&amp;TrendSheetPrdData[[#This Row],[Period]]&amp;TrendSheetPrdData[[#This Row],[Trend]]</f>
        <v>MSSP_NONATTRIBUTEDAllowed2016-08-01Drug - Generic Utilization</v>
      </c>
      <c r="B2307" t="s">
        <v>129</v>
      </c>
      <c r="C2307" t="s">
        <v>129</v>
      </c>
      <c r="D2307" t="s">
        <v>91</v>
      </c>
      <c r="E2307" s="1" t="s">
        <v>98</v>
      </c>
      <c r="F2307" t="s">
        <v>93</v>
      </c>
      <c r="G2307" t="s">
        <v>27</v>
      </c>
      <c r="H2307">
        <v>16</v>
      </c>
      <c r="I2307">
        <v>0.86</v>
      </c>
    </row>
    <row r="2308" spans="1:9" x14ac:dyDescent="0.25">
      <c r="A2308" s="5" t="str">
        <f>TrendSheetPrdData[[#This Row],[Population]]&amp;TrendSheetPrdData[[#This Row],[Cost Basis]]&amp;TrendSheetPrdData[[#This Row],[Period]]&amp;TrendSheetPrdData[[#This Row],[Trend]]</f>
        <v>MSSP_NONATTRIBUTEDAllowed2016-09-01Drug - Generic Utilization</v>
      </c>
      <c r="B2308" t="s">
        <v>129</v>
      </c>
      <c r="C2308" t="s">
        <v>129</v>
      </c>
      <c r="D2308" t="s">
        <v>91</v>
      </c>
      <c r="E2308" s="1" t="s">
        <v>99</v>
      </c>
      <c r="F2308" t="s">
        <v>93</v>
      </c>
      <c r="G2308" t="s">
        <v>27</v>
      </c>
      <c r="H2308">
        <v>16</v>
      </c>
      <c r="I2308">
        <v>0.88</v>
      </c>
    </row>
    <row r="2309" spans="1:9" x14ac:dyDescent="0.25">
      <c r="A2309" s="5" t="str">
        <f>TrendSheetPrdData[[#This Row],[Population]]&amp;TrendSheetPrdData[[#This Row],[Cost Basis]]&amp;TrendSheetPrdData[[#This Row],[Period]]&amp;TrendSheetPrdData[[#This Row],[Trend]]</f>
        <v>MSSP_NONATTRIBUTEDAllowed2016-10-01Drug - Generic Utilization</v>
      </c>
      <c r="B2309" t="s">
        <v>129</v>
      </c>
      <c r="C2309" t="s">
        <v>129</v>
      </c>
      <c r="D2309" t="s">
        <v>91</v>
      </c>
      <c r="E2309" s="1" t="s">
        <v>100</v>
      </c>
      <c r="F2309" t="s">
        <v>106</v>
      </c>
      <c r="G2309" t="s">
        <v>27</v>
      </c>
      <c r="H2309">
        <v>16</v>
      </c>
      <c r="I2309">
        <v>0.87</v>
      </c>
    </row>
    <row r="2310" spans="1:9" x14ac:dyDescent="0.25">
      <c r="A2310" s="5" t="str">
        <f>TrendSheetPrdData[[#This Row],[Population]]&amp;TrendSheetPrdData[[#This Row],[Cost Basis]]&amp;TrendSheetPrdData[[#This Row],[Period]]&amp;TrendSheetPrdData[[#This Row],[Trend]]</f>
        <v>MSSP_NONATTRIBUTEDAllowed2016-11-01Drug - Generic Utilization</v>
      </c>
      <c r="B2310" t="s">
        <v>129</v>
      </c>
      <c r="C2310" t="s">
        <v>129</v>
      </c>
      <c r="D2310" t="s">
        <v>91</v>
      </c>
      <c r="E2310" s="1" t="s">
        <v>101</v>
      </c>
      <c r="F2310" t="s">
        <v>106</v>
      </c>
      <c r="G2310" t="s">
        <v>27</v>
      </c>
      <c r="H2310">
        <v>16</v>
      </c>
      <c r="I2310">
        <v>0.86</v>
      </c>
    </row>
    <row r="2311" spans="1:9" x14ac:dyDescent="0.25">
      <c r="A2311" s="5" t="str">
        <f>TrendSheetPrdData[[#This Row],[Population]]&amp;TrendSheetPrdData[[#This Row],[Cost Basis]]&amp;TrendSheetPrdData[[#This Row],[Period]]&amp;TrendSheetPrdData[[#This Row],[Trend]]</f>
        <v>MSSP_NONATTRIBUTEDAllowed2016-12-01Drug - Generic Utilization</v>
      </c>
      <c r="B2311" t="s">
        <v>129</v>
      </c>
      <c r="C2311" t="s">
        <v>129</v>
      </c>
      <c r="D2311" t="s">
        <v>91</v>
      </c>
      <c r="E2311" s="1" t="s">
        <v>102</v>
      </c>
      <c r="F2311" t="s">
        <v>106</v>
      </c>
      <c r="G2311" t="s">
        <v>27</v>
      </c>
      <c r="H2311">
        <v>16</v>
      </c>
      <c r="I2311">
        <v>0.89</v>
      </c>
    </row>
    <row r="2312" spans="1:9" x14ac:dyDescent="0.25">
      <c r="A2312" s="5" t="str">
        <f>TrendSheetPrdData[[#This Row],[Population]]&amp;TrendSheetPrdData[[#This Row],[Cost Basis]]&amp;TrendSheetPrdData[[#This Row],[Period]]&amp;TrendSheetPrdData[[#This Row],[Trend]]</f>
        <v>MSSP_NONATTRIBUTEDAllowed2015-10-01Chronic Disease Management - Cost</v>
      </c>
      <c r="B2312" t="s">
        <v>129</v>
      </c>
      <c r="C2312" t="s">
        <v>129</v>
      </c>
      <c r="D2312" t="s">
        <v>91</v>
      </c>
      <c r="E2312" s="1" t="s">
        <v>134</v>
      </c>
      <c r="F2312" t="s">
        <v>93</v>
      </c>
      <c r="G2312" t="s">
        <v>28</v>
      </c>
      <c r="H2312">
        <v>17</v>
      </c>
      <c r="I2312">
        <v>9879749</v>
      </c>
    </row>
    <row r="2313" spans="1:9" x14ac:dyDescent="0.25">
      <c r="A2313" s="5" t="str">
        <f>TrendSheetPrdData[[#This Row],[Population]]&amp;TrendSheetPrdData[[#This Row],[Cost Basis]]&amp;TrendSheetPrdData[[#This Row],[Period]]&amp;TrendSheetPrdData[[#This Row],[Trend]]</f>
        <v>MSSP_NONATTRIBUTEDAllowed2015-11-01Chronic Disease Management - Cost</v>
      </c>
      <c r="B2313" t="s">
        <v>129</v>
      </c>
      <c r="C2313" t="s">
        <v>129</v>
      </c>
      <c r="D2313" t="s">
        <v>91</v>
      </c>
      <c r="E2313" s="1" t="s">
        <v>130</v>
      </c>
      <c r="F2313" t="s">
        <v>93</v>
      </c>
      <c r="G2313" t="s">
        <v>28</v>
      </c>
      <c r="H2313">
        <v>17</v>
      </c>
      <c r="I2313">
        <v>6371615</v>
      </c>
    </row>
    <row r="2314" spans="1:9" x14ac:dyDescent="0.25">
      <c r="A2314" s="5" t="str">
        <f>TrendSheetPrdData[[#This Row],[Population]]&amp;TrendSheetPrdData[[#This Row],[Cost Basis]]&amp;TrendSheetPrdData[[#This Row],[Period]]&amp;TrendSheetPrdData[[#This Row],[Trend]]</f>
        <v>MSSP_NONATTRIBUTEDAllowed2015-12-01Chronic Disease Management - Cost</v>
      </c>
      <c r="B2314" t="s">
        <v>129</v>
      </c>
      <c r="C2314" t="s">
        <v>129</v>
      </c>
      <c r="D2314" t="s">
        <v>91</v>
      </c>
      <c r="E2314" s="1" t="s">
        <v>131</v>
      </c>
      <c r="F2314" t="s">
        <v>93</v>
      </c>
      <c r="G2314" t="s">
        <v>28</v>
      </c>
      <c r="H2314">
        <v>17</v>
      </c>
      <c r="I2314">
        <v>5576940</v>
      </c>
    </row>
    <row r="2315" spans="1:9" x14ac:dyDescent="0.25">
      <c r="A2315" s="5" t="str">
        <f>TrendSheetPrdData[[#This Row],[Population]]&amp;TrendSheetPrdData[[#This Row],[Cost Basis]]&amp;TrendSheetPrdData[[#This Row],[Period]]&amp;TrendSheetPrdData[[#This Row],[Trend]]</f>
        <v>MSSP_NONATTRIBUTEDAllowed2016-01-01Chronic Disease Management - Cost</v>
      </c>
      <c r="B2315" t="s">
        <v>129</v>
      </c>
      <c r="C2315" t="s">
        <v>129</v>
      </c>
      <c r="D2315" t="s">
        <v>91</v>
      </c>
      <c r="E2315" s="1" t="s">
        <v>132</v>
      </c>
      <c r="F2315" t="s">
        <v>93</v>
      </c>
      <c r="G2315" t="s">
        <v>28</v>
      </c>
      <c r="H2315">
        <v>17</v>
      </c>
      <c r="I2315">
        <v>5779469</v>
      </c>
    </row>
    <row r="2316" spans="1:9" x14ac:dyDescent="0.25">
      <c r="A2316" s="5" t="str">
        <f>TrendSheetPrdData[[#This Row],[Population]]&amp;TrendSheetPrdData[[#This Row],[Cost Basis]]&amp;TrendSheetPrdData[[#This Row],[Period]]&amp;TrendSheetPrdData[[#This Row],[Trend]]</f>
        <v>MSSP_NONATTRIBUTEDAllowed2016-02-01Chronic Disease Management - Cost</v>
      </c>
      <c r="B2316" t="s">
        <v>129</v>
      </c>
      <c r="C2316" t="s">
        <v>129</v>
      </c>
      <c r="D2316" t="s">
        <v>91</v>
      </c>
      <c r="E2316" s="1" t="s">
        <v>133</v>
      </c>
      <c r="F2316" t="s">
        <v>93</v>
      </c>
      <c r="G2316" t="s">
        <v>28</v>
      </c>
      <c r="H2316">
        <v>17</v>
      </c>
      <c r="I2316">
        <v>5344238</v>
      </c>
    </row>
    <row r="2317" spans="1:9" x14ac:dyDescent="0.25">
      <c r="A2317" s="5" t="str">
        <f>TrendSheetPrdData[[#This Row],[Population]]&amp;TrendSheetPrdData[[#This Row],[Cost Basis]]&amp;TrendSheetPrdData[[#This Row],[Period]]&amp;TrendSheetPrdData[[#This Row],[Trend]]</f>
        <v>MSSP_NONATTRIBUTEDAllowed2016-03-01Chronic Disease Management - Cost</v>
      </c>
      <c r="B2317" t="s">
        <v>129</v>
      </c>
      <c r="C2317" t="s">
        <v>129</v>
      </c>
      <c r="D2317" t="s">
        <v>91</v>
      </c>
      <c r="E2317" s="1" t="s">
        <v>92</v>
      </c>
      <c r="F2317" t="s">
        <v>93</v>
      </c>
      <c r="G2317" t="s">
        <v>28</v>
      </c>
      <c r="H2317">
        <v>17</v>
      </c>
      <c r="I2317">
        <v>5107929</v>
      </c>
    </row>
    <row r="2318" spans="1:9" x14ac:dyDescent="0.25">
      <c r="A2318" s="5" t="str">
        <f>TrendSheetPrdData[[#This Row],[Population]]&amp;TrendSheetPrdData[[#This Row],[Cost Basis]]&amp;TrendSheetPrdData[[#This Row],[Period]]&amp;TrendSheetPrdData[[#This Row],[Trend]]</f>
        <v>MSSP_NONATTRIBUTEDAllowed2016-04-01Chronic Disease Management - Cost</v>
      </c>
      <c r="B2318" t="s">
        <v>129</v>
      </c>
      <c r="C2318" t="s">
        <v>129</v>
      </c>
      <c r="D2318" t="s">
        <v>91</v>
      </c>
      <c r="E2318" s="1" t="s">
        <v>94</v>
      </c>
      <c r="F2318" t="s">
        <v>93</v>
      </c>
      <c r="G2318" t="s">
        <v>28</v>
      </c>
      <c r="H2318">
        <v>17</v>
      </c>
      <c r="I2318">
        <v>3787997</v>
      </c>
    </row>
    <row r="2319" spans="1:9" x14ac:dyDescent="0.25">
      <c r="A2319" s="5" t="str">
        <f>TrendSheetPrdData[[#This Row],[Population]]&amp;TrendSheetPrdData[[#This Row],[Cost Basis]]&amp;TrendSheetPrdData[[#This Row],[Period]]&amp;TrendSheetPrdData[[#This Row],[Trend]]</f>
        <v>MSSP_NONATTRIBUTEDAllowed2016-05-01Chronic Disease Management - Cost</v>
      </c>
      <c r="B2319" t="s">
        <v>129</v>
      </c>
      <c r="C2319" t="s">
        <v>129</v>
      </c>
      <c r="D2319" t="s">
        <v>91</v>
      </c>
      <c r="E2319" s="1" t="s">
        <v>95</v>
      </c>
      <c r="F2319" t="s">
        <v>93</v>
      </c>
      <c r="G2319" t="s">
        <v>28</v>
      </c>
      <c r="H2319">
        <v>17</v>
      </c>
      <c r="I2319">
        <v>3843124</v>
      </c>
    </row>
    <row r="2320" spans="1:9" x14ac:dyDescent="0.25">
      <c r="A2320" s="5" t="str">
        <f>TrendSheetPrdData[[#This Row],[Population]]&amp;TrendSheetPrdData[[#This Row],[Cost Basis]]&amp;TrendSheetPrdData[[#This Row],[Period]]&amp;TrendSheetPrdData[[#This Row],[Trend]]</f>
        <v>MSSP_NONATTRIBUTEDAllowed2016-06-01Chronic Disease Management - Cost</v>
      </c>
      <c r="B2320" t="s">
        <v>129</v>
      </c>
      <c r="C2320" t="s">
        <v>129</v>
      </c>
      <c r="D2320" t="s">
        <v>91</v>
      </c>
      <c r="E2320" s="1" t="s">
        <v>96</v>
      </c>
      <c r="F2320" t="s">
        <v>93</v>
      </c>
      <c r="G2320" t="s">
        <v>28</v>
      </c>
      <c r="H2320">
        <v>17</v>
      </c>
      <c r="I2320">
        <v>4042308</v>
      </c>
    </row>
    <row r="2321" spans="1:9" x14ac:dyDescent="0.25">
      <c r="A2321" s="5" t="str">
        <f>TrendSheetPrdData[[#This Row],[Population]]&amp;TrendSheetPrdData[[#This Row],[Cost Basis]]&amp;TrendSheetPrdData[[#This Row],[Period]]&amp;TrendSheetPrdData[[#This Row],[Trend]]</f>
        <v>MSSP_NONATTRIBUTEDAllowed2016-07-01Chronic Disease Management - Cost</v>
      </c>
      <c r="B2321" t="s">
        <v>129</v>
      </c>
      <c r="C2321" t="s">
        <v>129</v>
      </c>
      <c r="D2321" t="s">
        <v>91</v>
      </c>
      <c r="E2321" s="1" t="s">
        <v>97</v>
      </c>
      <c r="F2321" t="s">
        <v>93</v>
      </c>
      <c r="G2321" t="s">
        <v>28</v>
      </c>
      <c r="H2321">
        <v>17</v>
      </c>
      <c r="I2321">
        <v>4184924</v>
      </c>
    </row>
    <row r="2322" spans="1:9" x14ac:dyDescent="0.25">
      <c r="A2322" s="5" t="str">
        <f>TrendSheetPrdData[[#This Row],[Population]]&amp;TrendSheetPrdData[[#This Row],[Cost Basis]]&amp;TrendSheetPrdData[[#This Row],[Period]]&amp;TrendSheetPrdData[[#This Row],[Trend]]</f>
        <v>MSSP_NONATTRIBUTEDAllowed2016-08-01Chronic Disease Management - Cost</v>
      </c>
      <c r="B2322" t="s">
        <v>129</v>
      </c>
      <c r="C2322" t="s">
        <v>129</v>
      </c>
      <c r="D2322" t="s">
        <v>91</v>
      </c>
      <c r="E2322" s="1" t="s">
        <v>98</v>
      </c>
      <c r="F2322" t="s">
        <v>93</v>
      </c>
      <c r="G2322" t="s">
        <v>28</v>
      </c>
      <c r="H2322">
        <v>17</v>
      </c>
      <c r="I2322">
        <v>4419282</v>
      </c>
    </row>
    <row r="2323" spans="1:9" x14ac:dyDescent="0.25">
      <c r="A2323" s="5" t="str">
        <f>TrendSheetPrdData[[#This Row],[Population]]&amp;TrendSheetPrdData[[#This Row],[Cost Basis]]&amp;TrendSheetPrdData[[#This Row],[Period]]&amp;TrendSheetPrdData[[#This Row],[Trend]]</f>
        <v>MSSP_NONATTRIBUTEDAllowed2016-09-01Chronic Disease Management - Cost</v>
      </c>
      <c r="B2323" t="s">
        <v>129</v>
      </c>
      <c r="C2323" t="s">
        <v>129</v>
      </c>
      <c r="D2323" t="s">
        <v>91</v>
      </c>
      <c r="E2323" s="1" t="s">
        <v>99</v>
      </c>
      <c r="F2323" t="s">
        <v>93</v>
      </c>
      <c r="G2323" t="s">
        <v>28</v>
      </c>
      <c r="H2323">
        <v>17</v>
      </c>
      <c r="I2323">
        <v>4621354</v>
      </c>
    </row>
    <row r="2324" spans="1:9" x14ac:dyDescent="0.25">
      <c r="A2324" s="5" t="str">
        <f>TrendSheetPrdData[[#This Row],[Population]]&amp;TrendSheetPrdData[[#This Row],[Cost Basis]]&amp;TrendSheetPrdData[[#This Row],[Period]]&amp;TrendSheetPrdData[[#This Row],[Trend]]</f>
        <v>MSSP_NONATTRIBUTEDAllowed2016-10-01Chronic Disease Management - Cost</v>
      </c>
      <c r="B2324" t="s">
        <v>129</v>
      </c>
      <c r="C2324" t="s">
        <v>129</v>
      </c>
      <c r="D2324" t="s">
        <v>91</v>
      </c>
      <c r="E2324" s="1" t="s">
        <v>100</v>
      </c>
      <c r="F2324" t="s">
        <v>106</v>
      </c>
      <c r="G2324" t="s">
        <v>28</v>
      </c>
      <c r="H2324">
        <v>17</v>
      </c>
      <c r="I2324">
        <v>4745514</v>
      </c>
    </row>
    <row r="2325" spans="1:9" x14ac:dyDescent="0.25">
      <c r="A2325" s="5" t="str">
        <f>TrendSheetPrdData[[#This Row],[Population]]&amp;TrendSheetPrdData[[#This Row],[Cost Basis]]&amp;TrendSheetPrdData[[#This Row],[Period]]&amp;TrendSheetPrdData[[#This Row],[Trend]]</f>
        <v>MSSP_NONATTRIBUTEDAllowed2016-11-01Chronic Disease Management - Cost</v>
      </c>
      <c r="B2325" t="s">
        <v>129</v>
      </c>
      <c r="C2325" t="s">
        <v>129</v>
      </c>
      <c r="D2325" t="s">
        <v>91</v>
      </c>
      <c r="E2325" s="1" t="s">
        <v>101</v>
      </c>
      <c r="F2325" t="s">
        <v>106</v>
      </c>
      <c r="G2325" t="s">
        <v>28</v>
      </c>
      <c r="H2325">
        <v>17</v>
      </c>
      <c r="I2325">
        <v>4112950</v>
      </c>
    </row>
    <row r="2326" spans="1:9" x14ac:dyDescent="0.25">
      <c r="A2326" s="5" t="str">
        <f>TrendSheetPrdData[[#This Row],[Population]]&amp;TrendSheetPrdData[[#This Row],[Cost Basis]]&amp;TrendSheetPrdData[[#This Row],[Period]]&amp;TrendSheetPrdData[[#This Row],[Trend]]</f>
        <v>MSSP_NONATTRIBUTEDAllowed2016-12-01Chronic Disease Management - Cost</v>
      </c>
      <c r="B2326" t="s">
        <v>129</v>
      </c>
      <c r="C2326" t="s">
        <v>129</v>
      </c>
      <c r="D2326" t="s">
        <v>91</v>
      </c>
      <c r="E2326" s="1" t="s">
        <v>102</v>
      </c>
      <c r="F2326" t="s">
        <v>106</v>
      </c>
      <c r="G2326" t="s">
        <v>28</v>
      </c>
      <c r="H2326">
        <v>17</v>
      </c>
      <c r="I2326">
        <v>1208292</v>
      </c>
    </row>
    <row r="2327" spans="1:9" x14ac:dyDescent="0.25">
      <c r="A2327" s="5" t="str">
        <f>TrendSheetPrdData[[#This Row],[Population]]&amp;TrendSheetPrdData[[#This Row],[Cost Basis]]&amp;TrendSheetPrdData[[#This Row],[Period]]&amp;TrendSheetPrdData[[#This Row],[Trend]]</f>
        <v>MSSP_NONATTRIBUTEDAllowed2015-10-01Chronic Disease Management - Members</v>
      </c>
      <c r="B2327" t="s">
        <v>129</v>
      </c>
      <c r="C2327" t="s">
        <v>129</v>
      </c>
      <c r="D2327" t="s">
        <v>91</v>
      </c>
      <c r="E2327" s="1" t="s">
        <v>134</v>
      </c>
      <c r="F2327" t="s">
        <v>93</v>
      </c>
      <c r="G2327" t="s">
        <v>29</v>
      </c>
      <c r="H2327">
        <v>18</v>
      </c>
      <c r="I2327">
        <v>814.61</v>
      </c>
    </row>
    <row r="2328" spans="1:9" x14ac:dyDescent="0.25">
      <c r="A2328" s="5" t="str">
        <f>TrendSheetPrdData[[#This Row],[Population]]&amp;TrendSheetPrdData[[#This Row],[Cost Basis]]&amp;TrendSheetPrdData[[#This Row],[Period]]&amp;TrendSheetPrdData[[#This Row],[Trend]]</f>
        <v>MSSP_NONATTRIBUTEDAllowed2015-11-01Chronic Disease Management - Members</v>
      </c>
      <c r="B2328" t="s">
        <v>129</v>
      </c>
      <c r="C2328" t="s">
        <v>129</v>
      </c>
      <c r="D2328" t="s">
        <v>91</v>
      </c>
      <c r="E2328" s="1" t="s">
        <v>130</v>
      </c>
      <c r="F2328" t="s">
        <v>93</v>
      </c>
      <c r="G2328" t="s">
        <v>29</v>
      </c>
      <c r="H2328">
        <v>18</v>
      </c>
      <c r="I2328">
        <v>808.65</v>
      </c>
    </row>
    <row r="2329" spans="1:9" x14ac:dyDescent="0.25">
      <c r="A2329" s="5" t="str">
        <f>TrendSheetPrdData[[#This Row],[Population]]&amp;TrendSheetPrdData[[#This Row],[Cost Basis]]&amp;TrendSheetPrdData[[#This Row],[Period]]&amp;TrendSheetPrdData[[#This Row],[Trend]]</f>
        <v>MSSP_NONATTRIBUTEDAllowed2015-12-01Chronic Disease Management - Members</v>
      </c>
      <c r="B2329" t="s">
        <v>129</v>
      </c>
      <c r="C2329" t="s">
        <v>129</v>
      </c>
      <c r="D2329" t="s">
        <v>91</v>
      </c>
      <c r="E2329" s="1" t="s">
        <v>131</v>
      </c>
      <c r="F2329" t="s">
        <v>93</v>
      </c>
      <c r="G2329" t="s">
        <v>29</v>
      </c>
      <c r="H2329">
        <v>18</v>
      </c>
      <c r="I2329">
        <v>836.84</v>
      </c>
    </row>
    <row r="2330" spans="1:9" x14ac:dyDescent="0.25">
      <c r="A2330" s="5" t="str">
        <f>TrendSheetPrdData[[#This Row],[Population]]&amp;TrendSheetPrdData[[#This Row],[Cost Basis]]&amp;TrendSheetPrdData[[#This Row],[Period]]&amp;TrendSheetPrdData[[#This Row],[Trend]]</f>
        <v>MSSP_NONATTRIBUTEDAllowed2016-01-01Chronic Disease Management - Members</v>
      </c>
      <c r="B2330" t="s">
        <v>129</v>
      </c>
      <c r="C2330" t="s">
        <v>129</v>
      </c>
      <c r="D2330" t="s">
        <v>91</v>
      </c>
      <c r="E2330" s="1" t="s">
        <v>132</v>
      </c>
      <c r="F2330" t="s">
        <v>93</v>
      </c>
      <c r="G2330" t="s">
        <v>29</v>
      </c>
      <c r="H2330">
        <v>18</v>
      </c>
      <c r="I2330">
        <v>823.07</v>
      </c>
    </row>
    <row r="2331" spans="1:9" x14ac:dyDescent="0.25">
      <c r="A2331" s="5" t="str">
        <f>TrendSheetPrdData[[#This Row],[Population]]&amp;TrendSheetPrdData[[#This Row],[Cost Basis]]&amp;TrendSheetPrdData[[#This Row],[Period]]&amp;TrendSheetPrdData[[#This Row],[Trend]]</f>
        <v>MSSP_NONATTRIBUTEDAllowed2016-02-01Chronic Disease Management - Members</v>
      </c>
      <c r="B2331" t="s">
        <v>129</v>
      </c>
      <c r="C2331" t="s">
        <v>129</v>
      </c>
      <c r="D2331" t="s">
        <v>91</v>
      </c>
      <c r="E2331" s="1" t="s">
        <v>133</v>
      </c>
      <c r="F2331" t="s">
        <v>93</v>
      </c>
      <c r="G2331" t="s">
        <v>29</v>
      </c>
      <c r="H2331">
        <v>18</v>
      </c>
      <c r="I2331">
        <v>818.08</v>
      </c>
    </row>
    <row r="2332" spans="1:9" x14ac:dyDescent="0.25">
      <c r="A2332" s="5" t="str">
        <f>TrendSheetPrdData[[#This Row],[Population]]&amp;TrendSheetPrdData[[#This Row],[Cost Basis]]&amp;TrendSheetPrdData[[#This Row],[Period]]&amp;TrendSheetPrdData[[#This Row],[Trend]]</f>
        <v>MSSP_NONATTRIBUTEDAllowed2016-03-01Chronic Disease Management - Members</v>
      </c>
      <c r="B2332" t="s">
        <v>129</v>
      </c>
      <c r="C2332" t="s">
        <v>129</v>
      </c>
      <c r="D2332" t="s">
        <v>91</v>
      </c>
      <c r="E2332" s="1" t="s">
        <v>92</v>
      </c>
      <c r="F2332" t="s">
        <v>93</v>
      </c>
      <c r="G2332" t="s">
        <v>29</v>
      </c>
      <c r="H2332">
        <v>18</v>
      </c>
      <c r="I2332">
        <v>808.54</v>
      </c>
    </row>
    <row r="2333" spans="1:9" x14ac:dyDescent="0.25">
      <c r="A2333" s="5" t="str">
        <f>TrendSheetPrdData[[#This Row],[Population]]&amp;TrendSheetPrdData[[#This Row],[Cost Basis]]&amp;TrendSheetPrdData[[#This Row],[Period]]&amp;TrendSheetPrdData[[#This Row],[Trend]]</f>
        <v>MSSP_NONATTRIBUTEDAllowed2016-04-01Chronic Disease Management - Members</v>
      </c>
      <c r="B2333" t="s">
        <v>129</v>
      </c>
      <c r="C2333" t="s">
        <v>129</v>
      </c>
      <c r="D2333" t="s">
        <v>91</v>
      </c>
      <c r="E2333" s="1" t="s">
        <v>94</v>
      </c>
      <c r="F2333" t="s">
        <v>93</v>
      </c>
      <c r="G2333" t="s">
        <v>29</v>
      </c>
      <c r="H2333">
        <v>18</v>
      </c>
      <c r="I2333">
        <v>815.15</v>
      </c>
    </row>
    <row r="2334" spans="1:9" x14ac:dyDescent="0.25">
      <c r="A2334" s="5" t="str">
        <f>TrendSheetPrdData[[#This Row],[Population]]&amp;TrendSheetPrdData[[#This Row],[Cost Basis]]&amp;TrendSheetPrdData[[#This Row],[Period]]&amp;TrendSheetPrdData[[#This Row],[Trend]]</f>
        <v>MSSP_NONATTRIBUTEDAllowed2016-05-01Chronic Disease Management - Members</v>
      </c>
      <c r="B2334" t="s">
        <v>129</v>
      </c>
      <c r="C2334" t="s">
        <v>129</v>
      </c>
      <c r="D2334" t="s">
        <v>91</v>
      </c>
      <c r="E2334" s="1" t="s">
        <v>95</v>
      </c>
      <c r="F2334" t="s">
        <v>93</v>
      </c>
      <c r="G2334" t="s">
        <v>29</v>
      </c>
      <c r="H2334">
        <v>18</v>
      </c>
      <c r="I2334">
        <v>800.53</v>
      </c>
    </row>
    <row r="2335" spans="1:9" x14ac:dyDescent="0.25">
      <c r="A2335" s="5" t="str">
        <f>TrendSheetPrdData[[#This Row],[Population]]&amp;TrendSheetPrdData[[#This Row],[Cost Basis]]&amp;TrendSheetPrdData[[#This Row],[Period]]&amp;TrendSheetPrdData[[#This Row],[Trend]]</f>
        <v>MSSP_NONATTRIBUTEDAllowed2016-06-01Chronic Disease Management - Members</v>
      </c>
      <c r="B2335" t="s">
        <v>129</v>
      </c>
      <c r="C2335" t="s">
        <v>129</v>
      </c>
      <c r="D2335" t="s">
        <v>91</v>
      </c>
      <c r="E2335" s="1" t="s">
        <v>96</v>
      </c>
      <c r="F2335" t="s">
        <v>93</v>
      </c>
      <c r="G2335" t="s">
        <v>29</v>
      </c>
      <c r="H2335">
        <v>18</v>
      </c>
      <c r="I2335">
        <v>810.26</v>
      </c>
    </row>
    <row r="2336" spans="1:9" x14ac:dyDescent="0.25">
      <c r="A2336" s="5" t="str">
        <f>TrendSheetPrdData[[#This Row],[Population]]&amp;TrendSheetPrdData[[#This Row],[Cost Basis]]&amp;TrendSheetPrdData[[#This Row],[Period]]&amp;TrendSheetPrdData[[#This Row],[Trend]]</f>
        <v>MSSP_NONATTRIBUTEDAllowed2016-07-01Chronic Disease Management - Members</v>
      </c>
      <c r="B2336" t="s">
        <v>129</v>
      </c>
      <c r="C2336" t="s">
        <v>129</v>
      </c>
      <c r="D2336" t="s">
        <v>91</v>
      </c>
      <c r="E2336" s="1" t="s">
        <v>97</v>
      </c>
      <c r="F2336" t="s">
        <v>93</v>
      </c>
      <c r="G2336" t="s">
        <v>29</v>
      </c>
      <c r="H2336">
        <v>18</v>
      </c>
      <c r="I2336">
        <v>820.04</v>
      </c>
    </row>
    <row r="2337" spans="1:9" x14ac:dyDescent="0.25">
      <c r="A2337" s="5" t="str">
        <f>TrendSheetPrdData[[#This Row],[Population]]&amp;TrendSheetPrdData[[#This Row],[Cost Basis]]&amp;TrendSheetPrdData[[#This Row],[Period]]&amp;TrendSheetPrdData[[#This Row],[Trend]]</f>
        <v>MSSP_NONATTRIBUTEDAllowed2016-08-01Chronic Disease Management - Members</v>
      </c>
      <c r="B2337" t="s">
        <v>129</v>
      </c>
      <c r="C2337" t="s">
        <v>129</v>
      </c>
      <c r="D2337" t="s">
        <v>91</v>
      </c>
      <c r="E2337" s="1" t="s">
        <v>98</v>
      </c>
      <c r="F2337" t="s">
        <v>93</v>
      </c>
      <c r="G2337" t="s">
        <v>29</v>
      </c>
      <c r="H2337">
        <v>18</v>
      </c>
      <c r="I2337">
        <v>825.29</v>
      </c>
    </row>
    <row r="2338" spans="1:9" x14ac:dyDescent="0.25">
      <c r="A2338" s="5" t="str">
        <f>TrendSheetPrdData[[#This Row],[Population]]&amp;TrendSheetPrdData[[#This Row],[Cost Basis]]&amp;TrendSheetPrdData[[#This Row],[Period]]&amp;TrendSheetPrdData[[#This Row],[Trend]]</f>
        <v>MSSP_NONATTRIBUTEDAllowed2016-09-01Chronic Disease Management - Members</v>
      </c>
      <c r="B2338" t="s">
        <v>129</v>
      </c>
      <c r="C2338" t="s">
        <v>129</v>
      </c>
      <c r="D2338" t="s">
        <v>91</v>
      </c>
      <c r="E2338" s="1" t="s">
        <v>99</v>
      </c>
      <c r="F2338" t="s">
        <v>93</v>
      </c>
      <c r="G2338" t="s">
        <v>29</v>
      </c>
      <c r="H2338">
        <v>18</v>
      </c>
      <c r="I2338">
        <v>831.92</v>
      </c>
    </row>
    <row r="2339" spans="1:9" x14ac:dyDescent="0.25">
      <c r="A2339" s="5" t="str">
        <f>TrendSheetPrdData[[#This Row],[Population]]&amp;TrendSheetPrdData[[#This Row],[Cost Basis]]&amp;TrendSheetPrdData[[#This Row],[Period]]&amp;TrendSheetPrdData[[#This Row],[Trend]]</f>
        <v>MSSP_NONATTRIBUTEDAllowed2016-10-01Chronic Disease Management - Members</v>
      </c>
      <c r="B2339" t="s">
        <v>129</v>
      </c>
      <c r="C2339" t="s">
        <v>129</v>
      </c>
      <c r="D2339" t="s">
        <v>91</v>
      </c>
      <c r="E2339" s="1" t="s">
        <v>100</v>
      </c>
      <c r="F2339" t="s">
        <v>106</v>
      </c>
      <c r="G2339" t="s">
        <v>29</v>
      </c>
      <c r="H2339">
        <v>18</v>
      </c>
      <c r="I2339">
        <v>835.64</v>
      </c>
    </row>
    <row r="2340" spans="1:9" x14ac:dyDescent="0.25">
      <c r="A2340" s="5" t="str">
        <f>TrendSheetPrdData[[#This Row],[Population]]&amp;TrendSheetPrdData[[#This Row],[Cost Basis]]&amp;TrendSheetPrdData[[#This Row],[Period]]&amp;TrendSheetPrdData[[#This Row],[Trend]]</f>
        <v>MSSP_NONATTRIBUTEDAllowed2016-11-01Chronic Disease Management - Members</v>
      </c>
      <c r="B2340" t="s">
        <v>129</v>
      </c>
      <c r="C2340" t="s">
        <v>129</v>
      </c>
      <c r="D2340" t="s">
        <v>91</v>
      </c>
      <c r="E2340" s="1" t="s">
        <v>101</v>
      </c>
      <c r="F2340" t="s">
        <v>106</v>
      </c>
      <c r="G2340" t="s">
        <v>29</v>
      </c>
      <c r="H2340">
        <v>18</v>
      </c>
      <c r="I2340">
        <v>852.77</v>
      </c>
    </row>
    <row r="2341" spans="1:9" x14ac:dyDescent="0.25">
      <c r="A2341" s="5" t="str">
        <f>TrendSheetPrdData[[#This Row],[Population]]&amp;TrendSheetPrdData[[#This Row],[Cost Basis]]&amp;TrendSheetPrdData[[#This Row],[Period]]&amp;TrendSheetPrdData[[#This Row],[Trend]]</f>
        <v>MSSP_NONATTRIBUTEDAllowed2016-12-01Chronic Disease Management - Members</v>
      </c>
      <c r="B2341" t="s">
        <v>129</v>
      </c>
      <c r="C2341" t="s">
        <v>129</v>
      </c>
      <c r="D2341" t="s">
        <v>91</v>
      </c>
      <c r="E2341" s="1" t="s">
        <v>102</v>
      </c>
      <c r="F2341" t="s">
        <v>106</v>
      </c>
      <c r="G2341" t="s">
        <v>29</v>
      </c>
      <c r="H2341">
        <v>18</v>
      </c>
      <c r="I2341">
        <v>862.59</v>
      </c>
    </row>
    <row r="2342" spans="1:9" x14ac:dyDescent="0.25">
      <c r="A2342" s="5" t="str">
        <f>TrendSheetPrdData[[#This Row],[Population]]&amp;TrendSheetPrdData[[#This Row],[Cost Basis]]&amp;TrendSheetPrdData[[#This Row],[Period]]&amp;TrendSheetPrdData[[#This Row],[Trend]]</f>
        <v>MSSP_NONATTRIBUTEDAllowed2015-10-01Inpatient Claim Count</v>
      </c>
      <c r="B2342" t="s">
        <v>129</v>
      </c>
      <c r="C2342" t="s">
        <v>129</v>
      </c>
      <c r="D2342" t="s">
        <v>91</v>
      </c>
      <c r="E2342" s="1" t="s">
        <v>134</v>
      </c>
      <c r="F2342" t="s">
        <v>93</v>
      </c>
      <c r="G2342" t="s">
        <v>30</v>
      </c>
      <c r="H2342">
        <v>19</v>
      </c>
      <c r="I2342">
        <v>5955</v>
      </c>
    </row>
    <row r="2343" spans="1:9" x14ac:dyDescent="0.25">
      <c r="A2343" s="5" t="str">
        <f>TrendSheetPrdData[[#This Row],[Population]]&amp;TrendSheetPrdData[[#This Row],[Cost Basis]]&amp;TrendSheetPrdData[[#This Row],[Period]]&amp;TrendSheetPrdData[[#This Row],[Trend]]</f>
        <v>MSSP_NONATTRIBUTEDAllowed2015-11-01Inpatient Claim Count</v>
      </c>
      <c r="B2343" t="s">
        <v>129</v>
      </c>
      <c r="C2343" t="s">
        <v>129</v>
      </c>
      <c r="D2343" t="s">
        <v>91</v>
      </c>
      <c r="E2343" s="1" t="s">
        <v>130</v>
      </c>
      <c r="F2343" t="s">
        <v>93</v>
      </c>
      <c r="G2343" t="s">
        <v>30</v>
      </c>
      <c r="H2343">
        <v>19</v>
      </c>
      <c r="I2343">
        <v>4164</v>
      </c>
    </row>
    <row r="2344" spans="1:9" x14ac:dyDescent="0.25">
      <c r="A2344" s="5" t="str">
        <f>TrendSheetPrdData[[#This Row],[Population]]&amp;TrendSheetPrdData[[#This Row],[Cost Basis]]&amp;TrendSheetPrdData[[#This Row],[Period]]&amp;TrendSheetPrdData[[#This Row],[Trend]]</f>
        <v>MSSP_NONATTRIBUTEDAllowed2015-12-01Inpatient Claim Count</v>
      </c>
      <c r="B2344" t="s">
        <v>129</v>
      </c>
      <c r="C2344" t="s">
        <v>129</v>
      </c>
      <c r="D2344" t="s">
        <v>91</v>
      </c>
      <c r="E2344" s="1" t="s">
        <v>131</v>
      </c>
      <c r="F2344" t="s">
        <v>93</v>
      </c>
      <c r="G2344" t="s">
        <v>30</v>
      </c>
      <c r="H2344">
        <v>19</v>
      </c>
      <c r="I2344">
        <v>4590</v>
      </c>
    </row>
    <row r="2345" spans="1:9" x14ac:dyDescent="0.25">
      <c r="A2345" s="5" t="str">
        <f>TrendSheetPrdData[[#This Row],[Population]]&amp;TrendSheetPrdData[[#This Row],[Cost Basis]]&amp;TrendSheetPrdData[[#This Row],[Period]]&amp;TrendSheetPrdData[[#This Row],[Trend]]</f>
        <v>MSSP_NONATTRIBUTEDAllowed2016-01-01Inpatient Claim Count</v>
      </c>
      <c r="B2345" t="s">
        <v>129</v>
      </c>
      <c r="C2345" t="s">
        <v>129</v>
      </c>
      <c r="D2345" t="s">
        <v>91</v>
      </c>
      <c r="E2345" s="1" t="s">
        <v>132</v>
      </c>
      <c r="F2345" t="s">
        <v>93</v>
      </c>
      <c r="G2345" t="s">
        <v>30</v>
      </c>
      <c r="H2345">
        <v>19</v>
      </c>
      <c r="I2345">
        <v>7213</v>
      </c>
    </row>
    <row r="2346" spans="1:9" x14ac:dyDescent="0.25">
      <c r="A2346" s="5" t="str">
        <f>TrendSheetPrdData[[#This Row],[Population]]&amp;TrendSheetPrdData[[#This Row],[Cost Basis]]&amp;TrendSheetPrdData[[#This Row],[Period]]&amp;TrendSheetPrdData[[#This Row],[Trend]]</f>
        <v>MSSP_NONATTRIBUTEDAllowed2016-02-01Inpatient Claim Count</v>
      </c>
      <c r="B2346" t="s">
        <v>129</v>
      </c>
      <c r="C2346" t="s">
        <v>129</v>
      </c>
      <c r="D2346" t="s">
        <v>91</v>
      </c>
      <c r="E2346" s="1" t="s">
        <v>133</v>
      </c>
      <c r="F2346" t="s">
        <v>93</v>
      </c>
      <c r="G2346" t="s">
        <v>30</v>
      </c>
      <c r="H2346">
        <v>19</v>
      </c>
      <c r="I2346">
        <v>6556</v>
      </c>
    </row>
    <row r="2347" spans="1:9" x14ac:dyDescent="0.25">
      <c r="A2347" s="5" t="str">
        <f>TrendSheetPrdData[[#This Row],[Population]]&amp;TrendSheetPrdData[[#This Row],[Cost Basis]]&amp;TrendSheetPrdData[[#This Row],[Period]]&amp;TrendSheetPrdData[[#This Row],[Trend]]</f>
        <v>MSSP_NONATTRIBUTEDAllowed2016-03-01Inpatient Claim Count</v>
      </c>
      <c r="B2347" t="s">
        <v>129</v>
      </c>
      <c r="C2347" t="s">
        <v>129</v>
      </c>
      <c r="D2347" t="s">
        <v>91</v>
      </c>
      <c r="E2347" s="1" t="s">
        <v>92</v>
      </c>
      <c r="F2347" t="s">
        <v>93</v>
      </c>
      <c r="G2347" t="s">
        <v>30</v>
      </c>
      <c r="H2347">
        <v>19</v>
      </c>
      <c r="I2347">
        <v>4964</v>
      </c>
    </row>
    <row r="2348" spans="1:9" x14ac:dyDescent="0.25">
      <c r="A2348" s="5" t="str">
        <f>TrendSheetPrdData[[#This Row],[Population]]&amp;TrendSheetPrdData[[#This Row],[Cost Basis]]&amp;TrendSheetPrdData[[#This Row],[Period]]&amp;TrendSheetPrdData[[#This Row],[Trend]]</f>
        <v>MSSP_NONATTRIBUTEDAllowed2016-04-01Inpatient Claim Count</v>
      </c>
      <c r="B2348" t="s">
        <v>129</v>
      </c>
      <c r="C2348" t="s">
        <v>129</v>
      </c>
      <c r="D2348" t="s">
        <v>91</v>
      </c>
      <c r="E2348" s="1" t="s">
        <v>94</v>
      </c>
      <c r="F2348" t="s">
        <v>93</v>
      </c>
      <c r="G2348" t="s">
        <v>30</v>
      </c>
      <c r="H2348">
        <v>19</v>
      </c>
      <c r="I2348">
        <v>2083</v>
      </c>
    </row>
    <row r="2349" spans="1:9" x14ac:dyDescent="0.25">
      <c r="A2349" s="5" t="str">
        <f>TrendSheetPrdData[[#This Row],[Population]]&amp;TrendSheetPrdData[[#This Row],[Cost Basis]]&amp;TrendSheetPrdData[[#This Row],[Period]]&amp;TrendSheetPrdData[[#This Row],[Trend]]</f>
        <v>MSSP_NONATTRIBUTEDAllowed2016-05-01Inpatient Claim Count</v>
      </c>
      <c r="B2349" t="s">
        <v>129</v>
      </c>
      <c r="C2349" t="s">
        <v>129</v>
      </c>
      <c r="D2349" t="s">
        <v>91</v>
      </c>
      <c r="E2349" s="1" t="s">
        <v>95</v>
      </c>
      <c r="F2349" t="s">
        <v>93</v>
      </c>
      <c r="G2349" t="s">
        <v>30</v>
      </c>
      <c r="H2349">
        <v>19</v>
      </c>
      <c r="I2349">
        <v>2365</v>
      </c>
    </row>
    <row r="2350" spans="1:9" x14ac:dyDescent="0.25">
      <c r="A2350" s="5" t="str">
        <f>TrendSheetPrdData[[#This Row],[Population]]&amp;TrendSheetPrdData[[#This Row],[Cost Basis]]&amp;TrendSheetPrdData[[#This Row],[Period]]&amp;TrendSheetPrdData[[#This Row],[Trend]]</f>
        <v>MSSP_NONATTRIBUTEDAllowed2016-06-01Inpatient Claim Count</v>
      </c>
      <c r="B2350" t="s">
        <v>129</v>
      </c>
      <c r="C2350" t="s">
        <v>129</v>
      </c>
      <c r="D2350" t="s">
        <v>91</v>
      </c>
      <c r="E2350" s="1" t="s">
        <v>96</v>
      </c>
      <c r="F2350" t="s">
        <v>93</v>
      </c>
      <c r="G2350" t="s">
        <v>30</v>
      </c>
      <c r="H2350">
        <v>19</v>
      </c>
      <c r="I2350">
        <v>1892</v>
      </c>
    </row>
    <row r="2351" spans="1:9" x14ac:dyDescent="0.25">
      <c r="A2351" s="5" t="str">
        <f>TrendSheetPrdData[[#This Row],[Population]]&amp;TrendSheetPrdData[[#This Row],[Cost Basis]]&amp;TrendSheetPrdData[[#This Row],[Period]]&amp;TrendSheetPrdData[[#This Row],[Trend]]</f>
        <v>MSSP_NONATTRIBUTEDAllowed2016-07-01Inpatient Claim Count</v>
      </c>
      <c r="B2351" t="s">
        <v>129</v>
      </c>
      <c r="C2351" t="s">
        <v>129</v>
      </c>
      <c r="D2351" t="s">
        <v>91</v>
      </c>
      <c r="E2351" s="1" t="s">
        <v>97</v>
      </c>
      <c r="F2351" t="s">
        <v>93</v>
      </c>
      <c r="G2351" t="s">
        <v>30</v>
      </c>
      <c r="H2351">
        <v>19</v>
      </c>
      <c r="I2351">
        <v>2535</v>
      </c>
    </row>
    <row r="2352" spans="1:9" x14ac:dyDescent="0.25">
      <c r="A2352" s="5" t="str">
        <f>TrendSheetPrdData[[#This Row],[Population]]&amp;TrendSheetPrdData[[#This Row],[Cost Basis]]&amp;TrendSheetPrdData[[#This Row],[Period]]&amp;TrendSheetPrdData[[#This Row],[Trend]]</f>
        <v>MSSP_NONATTRIBUTEDAllowed2016-08-01Inpatient Claim Count</v>
      </c>
      <c r="B2352" t="s">
        <v>129</v>
      </c>
      <c r="C2352" t="s">
        <v>129</v>
      </c>
      <c r="D2352" t="s">
        <v>91</v>
      </c>
      <c r="E2352" s="1" t="s">
        <v>98</v>
      </c>
      <c r="F2352" t="s">
        <v>93</v>
      </c>
      <c r="G2352" t="s">
        <v>30</v>
      </c>
      <c r="H2352">
        <v>19</v>
      </c>
      <c r="I2352">
        <v>2462</v>
      </c>
    </row>
    <row r="2353" spans="1:9" x14ac:dyDescent="0.25">
      <c r="A2353" s="5" t="str">
        <f>TrendSheetPrdData[[#This Row],[Population]]&amp;TrendSheetPrdData[[#This Row],[Cost Basis]]&amp;TrendSheetPrdData[[#This Row],[Period]]&amp;TrendSheetPrdData[[#This Row],[Trend]]</f>
        <v>MSSP_NONATTRIBUTEDAllowed2016-09-01Inpatient Claim Count</v>
      </c>
      <c r="B2353" t="s">
        <v>129</v>
      </c>
      <c r="C2353" t="s">
        <v>129</v>
      </c>
      <c r="D2353" t="s">
        <v>91</v>
      </c>
      <c r="E2353" s="1" t="s">
        <v>99</v>
      </c>
      <c r="F2353" t="s">
        <v>93</v>
      </c>
      <c r="G2353" t="s">
        <v>30</v>
      </c>
      <c r="H2353">
        <v>19</v>
      </c>
      <c r="I2353">
        <v>2424</v>
      </c>
    </row>
    <row r="2354" spans="1:9" x14ac:dyDescent="0.25">
      <c r="A2354" s="5" t="str">
        <f>TrendSheetPrdData[[#This Row],[Population]]&amp;TrendSheetPrdData[[#This Row],[Cost Basis]]&amp;TrendSheetPrdData[[#This Row],[Period]]&amp;TrendSheetPrdData[[#This Row],[Trend]]</f>
        <v>MSSP_NONATTRIBUTEDAllowed2016-10-01Inpatient Claim Count</v>
      </c>
      <c r="B2354" t="s">
        <v>129</v>
      </c>
      <c r="C2354" t="s">
        <v>129</v>
      </c>
      <c r="D2354" t="s">
        <v>91</v>
      </c>
      <c r="E2354" s="1" t="s">
        <v>100</v>
      </c>
      <c r="F2354" t="s">
        <v>106</v>
      </c>
      <c r="G2354" t="s">
        <v>30</v>
      </c>
      <c r="H2354">
        <v>19</v>
      </c>
      <c r="I2354">
        <v>2333</v>
      </c>
    </row>
    <row r="2355" spans="1:9" x14ac:dyDescent="0.25">
      <c r="A2355" s="5" t="str">
        <f>TrendSheetPrdData[[#This Row],[Population]]&amp;TrendSheetPrdData[[#This Row],[Cost Basis]]&amp;TrendSheetPrdData[[#This Row],[Period]]&amp;TrendSheetPrdData[[#This Row],[Trend]]</f>
        <v>MSSP_NONATTRIBUTEDAllowed2016-11-01Inpatient Claim Count</v>
      </c>
      <c r="B2355" t="s">
        <v>129</v>
      </c>
      <c r="C2355" t="s">
        <v>129</v>
      </c>
      <c r="D2355" t="s">
        <v>91</v>
      </c>
      <c r="E2355" s="1" t="s">
        <v>101</v>
      </c>
      <c r="F2355" t="s">
        <v>106</v>
      </c>
      <c r="G2355" t="s">
        <v>30</v>
      </c>
      <c r="H2355">
        <v>19</v>
      </c>
      <c r="I2355">
        <v>1857</v>
      </c>
    </row>
    <row r="2356" spans="1:9" x14ac:dyDescent="0.25">
      <c r="A2356" s="5" t="str">
        <f>TrendSheetPrdData[[#This Row],[Population]]&amp;TrendSheetPrdData[[#This Row],[Cost Basis]]&amp;TrendSheetPrdData[[#This Row],[Period]]&amp;TrendSheetPrdData[[#This Row],[Trend]]</f>
        <v>MSSP_NONATTRIBUTEDAllowed2016-12-01Inpatient Claim Count</v>
      </c>
      <c r="B2356" t="s">
        <v>129</v>
      </c>
      <c r="C2356" t="s">
        <v>129</v>
      </c>
      <c r="D2356" t="s">
        <v>91</v>
      </c>
      <c r="E2356" s="1" t="s">
        <v>102</v>
      </c>
      <c r="F2356" t="s">
        <v>106</v>
      </c>
      <c r="G2356" t="s">
        <v>30</v>
      </c>
      <c r="H2356">
        <v>19</v>
      </c>
      <c r="I2356">
        <v>466</v>
      </c>
    </row>
    <row r="2357" spans="1:9" x14ac:dyDescent="0.25">
      <c r="A2357" s="5" t="str">
        <f>TrendSheetPrdData[[#This Row],[Population]]&amp;TrendSheetPrdData[[#This Row],[Cost Basis]]&amp;TrendSheetPrdData[[#This Row],[Period]]&amp;TrendSheetPrdData[[#This Row],[Trend]]</f>
        <v>MSSP_NONATTRIBUTEDAllowed2015-10-01Outpatient Claim Count</v>
      </c>
      <c r="B2357" t="s">
        <v>129</v>
      </c>
      <c r="C2357" t="s">
        <v>129</v>
      </c>
      <c r="D2357" t="s">
        <v>91</v>
      </c>
      <c r="E2357" s="1" t="s">
        <v>134</v>
      </c>
      <c r="F2357" t="s">
        <v>93</v>
      </c>
      <c r="G2357" t="s">
        <v>31</v>
      </c>
      <c r="H2357">
        <v>20</v>
      </c>
      <c r="I2357">
        <v>27392</v>
      </c>
    </row>
    <row r="2358" spans="1:9" x14ac:dyDescent="0.25">
      <c r="A2358" s="5" t="str">
        <f>TrendSheetPrdData[[#This Row],[Population]]&amp;TrendSheetPrdData[[#This Row],[Cost Basis]]&amp;TrendSheetPrdData[[#This Row],[Period]]&amp;TrendSheetPrdData[[#This Row],[Trend]]</f>
        <v>MSSP_NONATTRIBUTEDAllowed2015-11-01Outpatient Claim Count</v>
      </c>
      <c r="B2358" t="s">
        <v>129</v>
      </c>
      <c r="C2358" t="s">
        <v>129</v>
      </c>
      <c r="D2358" t="s">
        <v>91</v>
      </c>
      <c r="E2358" s="1" t="s">
        <v>130</v>
      </c>
      <c r="F2358" t="s">
        <v>93</v>
      </c>
      <c r="G2358" t="s">
        <v>31</v>
      </c>
      <c r="H2358">
        <v>20</v>
      </c>
      <c r="I2358">
        <v>14604</v>
      </c>
    </row>
    <row r="2359" spans="1:9" x14ac:dyDescent="0.25">
      <c r="A2359" s="5" t="str">
        <f>TrendSheetPrdData[[#This Row],[Population]]&amp;TrendSheetPrdData[[#This Row],[Cost Basis]]&amp;TrendSheetPrdData[[#This Row],[Period]]&amp;TrendSheetPrdData[[#This Row],[Trend]]</f>
        <v>MSSP_NONATTRIBUTEDAllowed2015-12-01Outpatient Claim Count</v>
      </c>
      <c r="B2359" t="s">
        <v>129</v>
      </c>
      <c r="C2359" t="s">
        <v>129</v>
      </c>
      <c r="D2359" t="s">
        <v>91</v>
      </c>
      <c r="E2359" s="1" t="s">
        <v>131</v>
      </c>
      <c r="F2359" t="s">
        <v>93</v>
      </c>
      <c r="G2359" t="s">
        <v>31</v>
      </c>
      <c r="H2359">
        <v>20</v>
      </c>
      <c r="I2359">
        <v>14604</v>
      </c>
    </row>
    <row r="2360" spans="1:9" x14ac:dyDescent="0.25">
      <c r="A2360" s="5" t="str">
        <f>TrendSheetPrdData[[#This Row],[Population]]&amp;TrendSheetPrdData[[#This Row],[Cost Basis]]&amp;TrendSheetPrdData[[#This Row],[Period]]&amp;TrendSheetPrdData[[#This Row],[Trend]]</f>
        <v>MSSP_NONATTRIBUTEDAllowed2016-01-01Outpatient Claim Count</v>
      </c>
      <c r="B2360" t="s">
        <v>129</v>
      </c>
      <c r="C2360" t="s">
        <v>129</v>
      </c>
      <c r="D2360" t="s">
        <v>91</v>
      </c>
      <c r="E2360" s="1" t="s">
        <v>132</v>
      </c>
      <c r="F2360" t="s">
        <v>93</v>
      </c>
      <c r="G2360" t="s">
        <v>31</v>
      </c>
      <c r="H2360">
        <v>20</v>
      </c>
      <c r="I2360">
        <v>14656</v>
      </c>
    </row>
    <row r="2361" spans="1:9" x14ac:dyDescent="0.25">
      <c r="A2361" s="5" t="str">
        <f>TrendSheetPrdData[[#This Row],[Population]]&amp;TrendSheetPrdData[[#This Row],[Cost Basis]]&amp;TrendSheetPrdData[[#This Row],[Period]]&amp;TrendSheetPrdData[[#This Row],[Trend]]</f>
        <v>MSSP_NONATTRIBUTEDAllowed2016-02-01Outpatient Claim Count</v>
      </c>
      <c r="B2361" t="s">
        <v>129</v>
      </c>
      <c r="C2361" t="s">
        <v>129</v>
      </c>
      <c r="D2361" t="s">
        <v>91</v>
      </c>
      <c r="E2361" s="1" t="s">
        <v>133</v>
      </c>
      <c r="F2361" t="s">
        <v>93</v>
      </c>
      <c r="G2361" t="s">
        <v>31</v>
      </c>
      <c r="H2361">
        <v>20</v>
      </c>
      <c r="I2361">
        <v>14073</v>
      </c>
    </row>
    <row r="2362" spans="1:9" x14ac:dyDescent="0.25">
      <c r="A2362" s="5" t="str">
        <f>TrendSheetPrdData[[#This Row],[Population]]&amp;TrendSheetPrdData[[#This Row],[Cost Basis]]&amp;TrendSheetPrdData[[#This Row],[Period]]&amp;TrendSheetPrdData[[#This Row],[Trend]]</f>
        <v>MSSP_NONATTRIBUTEDAllowed2016-03-01Outpatient Claim Count</v>
      </c>
      <c r="B2362" t="s">
        <v>129</v>
      </c>
      <c r="C2362" t="s">
        <v>129</v>
      </c>
      <c r="D2362" t="s">
        <v>91</v>
      </c>
      <c r="E2362" s="1" t="s">
        <v>92</v>
      </c>
      <c r="F2362" t="s">
        <v>93</v>
      </c>
      <c r="G2362" t="s">
        <v>31</v>
      </c>
      <c r="H2362">
        <v>20</v>
      </c>
      <c r="I2362">
        <v>14979</v>
      </c>
    </row>
    <row r="2363" spans="1:9" x14ac:dyDescent="0.25">
      <c r="A2363" s="5" t="str">
        <f>TrendSheetPrdData[[#This Row],[Population]]&amp;TrendSheetPrdData[[#This Row],[Cost Basis]]&amp;TrendSheetPrdData[[#This Row],[Period]]&amp;TrendSheetPrdData[[#This Row],[Trend]]</f>
        <v>MSSP_NONATTRIBUTEDAllowed2016-04-01Outpatient Claim Count</v>
      </c>
      <c r="B2363" t="s">
        <v>129</v>
      </c>
      <c r="C2363" t="s">
        <v>129</v>
      </c>
      <c r="D2363" t="s">
        <v>91</v>
      </c>
      <c r="E2363" s="1" t="s">
        <v>94</v>
      </c>
      <c r="F2363" t="s">
        <v>93</v>
      </c>
      <c r="G2363" t="s">
        <v>31</v>
      </c>
      <c r="H2363">
        <v>20</v>
      </c>
      <c r="I2363">
        <v>11445</v>
      </c>
    </row>
    <row r="2364" spans="1:9" x14ac:dyDescent="0.25">
      <c r="A2364" s="5" t="str">
        <f>TrendSheetPrdData[[#This Row],[Population]]&amp;TrendSheetPrdData[[#This Row],[Cost Basis]]&amp;TrendSheetPrdData[[#This Row],[Period]]&amp;TrendSheetPrdData[[#This Row],[Trend]]</f>
        <v>MSSP_NONATTRIBUTEDAllowed2016-05-01Outpatient Claim Count</v>
      </c>
      <c r="B2364" t="s">
        <v>129</v>
      </c>
      <c r="C2364" t="s">
        <v>129</v>
      </c>
      <c r="D2364" t="s">
        <v>91</v>
      </c>
      <c r="E2364" s="1" t="s">
        <v>95</v>
      </c>
      <c r="F2364" t="s">
        <v>93</v>
      </c>
      <c r="G2364" t="s">
        <v>31</v>
      </c>
      <c r="H2364">
        <v>20</v>
      </c>
      <c r="I2364">
        <v>12408</v>
      </c>
    </row>
    <row r="2365" spans="1:9" x14ac:dyDescent="0.25">
      <c r="A2365" s="5" t="str">
        <f>TrendSheetPrdData[[#This Row],[Population]]&amp;TrendSheetPrdData[[#This Row],[Cost Basis]]&amp;TrendSheetPrdData[[#This Row],[Period]]&amp;TrendSheetPrdData[[#This Row],[Trend]]</f>
        <v>MSSP_NONATTRIBUTEDAllowed2016-06-01Outpatient Claim Count</v>
      </c>
      <c r="B2365" t="s">
        <v>129</v>
      </c>
      <c r="C2365" t="s">
        <v>129</v>
      </c>
      <c r="D2365" t="s">
        <v>91</v>
      </c>
      <c r="E2365" s="1" t="s">
        <v>96</v>
      </c>
      <c r="F2365" t="s">
        <v>93</v>
      </c>
      <c r="G2365" t="s">
        <v>31</v>
      </c>
      <c r="H2365">
        <v>20</v>
      </c>
      <c r="I2365">
        <v>13378</v>
      </c>
    </row>
    <row r="2366" spans="1:9" x14ac:dyDescent="0.25">
      <c r="A2366" s="5" t="str">
        <f>TrendSheetPrdData[[#This Row],[Population]]&amp;TrendSheetPrdData[[#This Row],[Cost Basis]]&amp;TrendSheetPrdData[[#This Row],[Period]]&amp;TrendSheetPrdData[[#This Row],[Trend]]</f>
        <v>MSSP_NONATTRIBUTEDAllowed2016-07-01Outpatient Claim Count</v>
      </c>
      <c r="B2366" t="s">
        <v>129</v>
      </c>
      <c r="C2366" t="s">
        <v>129</v>
      </c>
      <c r="D2366" t="s">
        <v>91</v>
      </c>
      <c r="E2366" s="1" t="s">
        <v>97</v>
      </c>
      <c r="F2366" t="s">
        <v>93</v>
      </c>
      <c r="G2366" t="s">
        <v>31</v>
      </c>
      <c r="H2366">
        <v>20</v>
      </c>
      <c r="I2366">
        <v>11574</v>
      </c>
    </row>
    <row r="2367" spans="1:9" x14ac:dyDescent="0.25">
      <c r="A2367" s="5" t="str">
        <f>TrendSheetPrdData[[#This Row],[Population]]&amp;TrendSheetPrdData[[#This Row],[Cost Basis]]&amp;TrendSheetPrdData[[#This Row],[Period]]&amp;TrendSheetPrdData[[#This Row],[Trend]]</f>
        <v>MSSP_NONATTRIBUTEDAllowed2016-08-01Outpatient Claim Count</v>
      </c>
      <c r="B2367" t="s">
        <v>129</v>
      </c>
      <c r="C2367" t="s">
        <v>129</v>
      </c>
      <c r="D2367" t="s">
        <v>91</v>
      </c>
      <c r="E2367" s="1" t="s">
        <v>98</v>
      </c>
      <c r="F2367" t="s">
        <v>93</v>
      </c>
      <c r="G2367" t="s">
        <v>31</v>
      </c>
      <c r="H2367">
        <v>20</v>
      </c>
      <c r="I2367">
        <v>12636</v>
      </c>
    </row>
    <row r="2368" spans="1:9" x14ac:dyDescent="0.25">
      <c r="A2368" s="5" t="str">
        <f>TrendSheetPrdData[[#This Row],[Population]]&amp;TrendSheetPrdData[[#This Row],[Cost Basis]]&amp;TrendSheetPrdData[[#This Row],[Period]]&amp;TrendSheetPrdData[[#This Row],[Trend]]</f>
        <v>MSSP_NONATTRIBUTEDAllowed2016-09-01Outpatient Claim Count</v>
      </c>
      <c r="B2368" t="s">
        <v>129</v>
      </c>
      <c r="C2368" t="s">
        <v>129</v>
      </c>
      <c r="D2368" t="s">
        <v>91</v>
      </c>
      <c r="E2368" s="1" t="s">
        <v>99</v>
      </c>
      <c r="F2368" t="s">
        <v>93</v>
      </c>
      <c r="G2368" t="s">
        <v>31</v>
      </c>
      <c r="H2368">
        <v>20</v>
      </c>
      <c r="I2368">
        <v>13181</v>
      </c>
    </row>
    <row r="2369" spans="1:9" x14ac:dyDescent="0.25">
      <c r="A2369" s="5" t="str">
        <f>TrendSheetPrdData[[#This Row],[Population]]&amp;TrendSheetPrdData[[#This Row],[Cost Basis]]&amp;TrendSheetPrdData[[#This Row],[Period]]&amp;TrendSheetPrdData[[#This Row],[Trend]]</f>
        <v>MSSP_NONATTRIBUTEDAllowed2016-10-01Outpatient Claim Count</v>
      </c>
      <c r="B2369" t="s">
        <v>129</v>
      </c>
      <c r="C2369" t="s">
        <v>129</v>
      </c>
      <c r="D2369" t="s">
        <v>91</v>
      </c>
      <c r="E2369" s="1" t="s">
        <v>100</v>
      </c>
      <c r="F2369" t="s">
        <v>106</v>
      </c>
      <c r="G2369" t="s">
        <v>31</v>
      </c>
      <c r="H2369">
        <v>20</v>
      </c>
      <c r="I2369">
        <v>12673</v>
      </c>
    </row>
    <row r="2370" spans="1:9" x14ac:dyDescent="0.25">
      <c r="A2370" s="5" t="str">
        <f>TrendSheetPrdData[[#This Row],[Population]]&amp;TrendSheetPrdData[[#This Row],[Cost Basis]]&amp;TrendSheetPrdData[[#This Row],[Period]]&amp;TrendSheetPrdData[[#This Row],[Trend]]</f>
        <v>MSSP_NONATTRIBUTEDAllowed2016-11-01Outpatient Claim Count</v>
      </c>
      <c r="B2370" t="s">
        <v>129</v>
      </c>
      <c r="C2370" t="s">
        <v>129</v>
      </c>
      <c r="D2370" t="s">
        <v>91</v>
      </c>
      <c r="E2370" s="1" t="s">
        <v>101</v>
      </c>
      <c r="F2370" t="s">
        <v>106</v>
      </c>
      <c r="G2370" t="s">
        <v>31</v>
      </c>
      <c r="H2370">
        <v>20</v>
      </c>
      <c r="I2370">
        <v>11560</v>
      </c>
    </row>
    <row r="2371" spans="1:9" x14ac:dyDescent="0.25">
      <c r="A2371" s="5" t="str">
        <f>TrendSheetPrdData[[#This Row],[Population]]&amp;TrendSheetPrdData[[#This Row],[Cost Basis]]&amp;TrendSheetPrdData[[#This Row],[Period]]&amp;TrendSheetPrdData[[#This Row],[Trend]]</f>
        <v>MSSP_NONATTRIBUTEDAllowed2016-12-01Outpatient Claim Count</v>
      </c>
      <c r="B2371" t="s">
        <v>129</v>
      </c>
      <c r="C2371" t="s">
        <v>129</v>
      </c>
      <c r="D2371" t="s">
        <v>91</v>
      </c>
      <c r="E2371" s="1" t="s">
        <v>102</v>
      </c>
      <c r="F2371" t="s">
        <v>106</v>
      </c>
      <c r="G2371" t="s">
        <v>31</v>
      </c>
      <c r="H2371">
        <v>20</v>
      </c>
      <c r="I2371">
        <v>1705</v>
      </c>
    </row>
    <row r="2372" spans="1:9" x14ac:dyDescent="0.25">
      <c r="A2372" s="5" t="str">
        <f>TrendSheetPrdData[[#This Row],[Population]]&amp;TrendSheetPrdData[[#This Row],[Cost Basis]]&amp;TrendSheetPrdData[[#This Row],[Period]]&amp;TrendSheetPrdData[[#This Row],[Trend]]</f>
        <v>MSSP_NONATTRIBUTEDAllowed2015-10-01Professional Claim Count</v>
      </c>
      <c r="B2372" t="s">
        <v>129</v>
      </c>
      <c r="C2372" t="s">
        <v>129</v>
      </c>
      <c r="D2372" t="s">
        <v>91</v>
      </c>
      <c r="E2372" s="1" t="s">
        <v>134</v>
      </c>
      <c r="F2372" t="s">
        <v>93</v>
      </c>
      <c r="G2372" t="s">
        <v>32</v>
      </c>
      <c r="H2372">
        <v>21</v>
      </c>
      <c r="I2372">
        <v>50826</v>
      </c>
    </row>
    <row r="2373" spans="1:9" x14ac:dyDescent="0.25">
      <c r="A2373" s="5" t="str">
        <f>TrendSheetPrdData[[#This Row],[Population]]&amp;TrendSheetPrdData[[#This Row],[Cost Basis]]&amp;TrendSheetPrdData[[#This Row],[Period]]&amp;TrendSheetPrdData[[#This Row],[Trend]]</f>
        <v>MSSP_NONATTRIBUTEDAllowed2015-11-01Professional Claim Count</v>
      </c>
      <c r="B2373" t="s">
        <v>129</v>
      </c>
      <c r="C2373" t="s">
        <v>129</v>
      </c>
      <c r="D2373" t="s">
        <v>91</v>
      </c>
      <c r="E2373" s="1" t="s">
        <v>130</v>
      </c>
      <c r="F2373" t="s">
        <v>93</v>
      </c>
      <c r="G2373" t="s">
        <v>32</v>
      </c>
      <c r="H2373">
        <v>21</v>
      </c>
      <c r="I2373">
        <v>30600</v>
      </c>
    </row>
    <row r="2374" spans="1:9" x14ac:dyDescent="0.25">
      <c r="A2374" s="5" t="str">
        <f>TrendSheetPrdData[[#This Row],[Population]]&amp;TrendSheetPrdData[[#This Row],[Cost Basis]]&amp;TrendSheetPrdData[[#This Row],[Period]]&amp;TrendSheetPrdData[[#This Row],[Trend]]</f>
        <v>MSSP_NONATTRIBUTEDAllowed2015-12-01Professional Claim Count</v>
      </c>
      <c r="B2374" t="s">
        <v>129</v>
      </c>
      <c r="C2374" t="s">
        <v>129</v>
      </c>
      <c r="D2374" t="s">
        <v>91</v>
      </c>
      <c r="E2374" s="1" t="s">
        <v>131</v>
      </c>
      <c r="F2374" t="s">
        <v>93</v>
      </c>
      <c r="G2374" t="s">
        <v>32</v>
      </c>
      <c r="H2374">
        <v>21</v>
      </c>
      <c r="I2374">
        <v>24244</v>
      </c>
    </row>
    <row r="2375" spans="1:9" x14ac:dyDescent="0.25">
      <c r="A2375" s="5" t="str">
        <f>TrendSheetPrdData[[#This Row],[Population]]&amp;TrendSheetPrdData[[#This Row],[Cost Basis]]&amp;TrendSheetPrdData[[#This Row],[Period]]&amp;TrendSheetPrdData[[#This Row],[Trend]]</f>
        <v>MSSP_NONATTRIBUTEDAllowed2016-01-01Professional Claim Count</v>
      </c>
      <c r="B2375" t="s">
        <v>129</v>
      </c>
      <c r="C2375" t="s">
        <v>129</v>
      </c>
      <c r="D2375" t="s">
        <v>91</v>
      </c>
      <c r="E2375" s="1" t="s">
        <v>132</v>
      </c>
      <c r="F2375" t="s">
        <v>93</v>
      </c>
      <c r="G2375" t="s">
        <v>32</v>
      </c>
      <c r="H2375">
        <v>21</v>
      </c>
      <c r="I2375">
        <v>22243</v>
      </c>
    </row>
    <row r="2376" spans="1:9" x14ac:dyDescent="0.25">
      <c r="A2376" s="5" t="str">
        <f>TrendSheetPrdData[[#This Row],[Population]]&amp;TrendSheetPrdData[[#This Row],[Cost Basis]]&amp;TrendSheetPrdData[[#This Row],[Period]]&amp;TrendSheetPrdData[[#This Row],[Trend]]</f>
        <v>MSSP_NONATTRIBUTEDAllowed2016-02-01Professional Claim Count</v>
      </c>
      <c r="B2376" t="s">
        <v>129</v>
      </c>
      <c r="C2376" t="s">
        <v>129</v>
      </c>
      <c r="D2376" t="s">
        <v>91</v>
      </c>
      <c r="E2376" s="1" t="s">
        <v>133</v>
      </c>
      <c r="F2376" t="s">
        <v>93</v>
      </c>
      <c r="G2376" t="s">
        <v>32</v>
      </c>
      <c r="H2376">
        <v>21</v>
      </c>
      <c r="I2376">
        <v>20918</v>
      </c>
    </row>
    <row r="2377" spans="1:9" x14ac:dyDescent="0.25">
      <c r="A2377" s="5" t="str">
        <f>TrendSheetPrdData[[#This Row],[Population]]&amp;TrendSheetPrdData[[#This Row],[Cost Basis]]&amp;TrendSheetPrdData[[#This Row],[Period]]&amp;TrendSheetPrdData[[#This Row],[Trend]]</f>
        <v>MSSP_NONATTRIBUTEDAllowed2016-03-01Professional Claim Count</v>
      </c>
      <c r="B2377" t="s">
        <v>129</v>
      </c>
      <c r="C2377" t="s">
        <v>129</v>
      </c>
      <c r="D2377" t="s">
        <v>91</v>
      </c>
      <c r="E2377" s="1" t="s">
        <v>92</v>
      </c>
      <c r="F2377" t="s">
        <v>93</v>
      </c>
      <c r="G2377" t="s">
        <v>32</v>
      </c>
      <c r="H2377">
        <v>21</v>
      </c>
      <c r="I2377">
        <v>20987</v>
      </c>
    </row>
    <row r="2378" spans="1:9" x14ac:dyDescent="0.25">
      <c r="A2378" s="5" t="str">
        <f>TrendSheetPrdData[[#This Row],[Population]]&amp;TrendSheetPrdData[[#This Row],[Cost Basis]]&amp;TrendSheetPrdData[[#This Row],[Period]]&amp;TrendSheetPrdData[[#This Row],[Trend]]</f>
        <v>MSSP_NONATTRIBUTEDAllowed2016-04-01Professional Claim Count</v>
      </c>
      <c r="B2378" t="s">
        <v>129</v>
      </c>
      <c r="C2378" t="s">
        <v>129</v>
      </c>
      <c r="D2378" t="s">
        <v>91</v>
      </c>
      <c r="E2378" s="1" t="s">
        <v>94</v>
      </c>
      <c r="F2378" t="s">
        <v>93</v>
      </c>
      <c r="G2378" t="s">
        <v>32</v>
      </c>
      <c r="H2378">
        <v>21</v>
      </c>
      <c r="I2378">
        <v>18220</v>
      </c>
    </row>
    <row r="2379" spans="1:9" x14ac:dyDescent="0.25">
      <c r="A2379" s="5" t="str">
        <f>TrendSheetPrdData[[#This Row],[Population]]&amp;TrendSheetPrdData[[#This Row],[Cost Basis]]&amp;TrendSheetPrdData[[#This Row],[Period]]&amp;TrendSheetPrdData[[#This Row],[Trend]]</f>
        <v>MSSP_NONATTRIBUTEDAllowed2016-05-01Professional Claim Count</v>
      </c>
      <c r="B2379" t="s">
        <v>129</v>
      </c>
      <c r="C2379" t="s">
        <v>129</v>
      </c>
      <c r="D2379" t="s">
        <v>91</v>
      </c>
      <c r="E2379" s="1" t="s">
        <v>95</v>
      </c>
      <c r="F2379" t="s">
        <v>93</v>
      </c>
      <c r="G2379" t="s">
        <v>32</v>
      </c>
      <c r="H2379">
        <v>21</v>
      </c>
      <c r="I2379">
        <v>17919</v>
      </c>
    </row>
    <row r="2380" spans="1:9" x14ac:dyDescent="0.25">
      <c r="A2380" s="5" t="str">
        <f>TrendSheetPrdData[[#This Row],[Population]]&amp;TrendSheetPrdData[[#This Row],[Cost Basis]]&amp;TrendSheetPrdData[[#This Row],[Period]]&amp;TrendSheetPrdData[[#This Row],[Trend]]</f>
        <v>MSSP_NONATTRIBUTEDAllowed2016-06-01Professional Claim Count</v>
      </c>
      <c r="B2380" t="s">
        <v>129</v>
      </c>
      <c r="C2380" t="s">
        <v>129</v>
      </c>
      <c r="D2380" t="s">
        <v>91</v>
      </c>
      <c r="E2380" s="1" t="s">
        <v>96</v>
      </c>
      <c r="F2380" t="s">
        <v>93</v>
      </c>
      <c r="G2380" t="s">
        <v>32</v>
      </c>
      <c r="H2380">
        <v>21</v>
      </c>
      <c r="I2380">
        <v>18366</v>
      </c>
    </row>
    <row r="2381" spans="1:9" x14ac:dyDescent="0.25">
      <c r="A2381" s="5" t="str">
        <f>TrendSheetPrdData[[#This Row],[Population]]&amp;TrendSheetPrdData[[#This Row],[Cost Basis]]&amp;TrendSheetPrdData[[#This Row],[Period]]&amp;TrendSheetPrdData[[#This Row],[Trend]]</f>
        <v>MSSP_NONATTRIBUTEDAllowed2016-07-01Professional Claim Count</v>
      </c>
      <c r="B2381" t="s">
        <v>129</v>
      </c>
      <c r="C2381" t="s">
        <v>129</v>
      </c>
      <c r="D2381" t="s">
        <v>91</v>
      </c>
      <c r="E2381" s="1" t="s">
        <v>97</v>
      </c>
      <c r="F2381" t="s">
        <v>93</v>
      </c>
      <c r="G2381" t="s">
        <v>32</v>
      </c>
      <c r="H2381">
        <v>21</v>
      </c>
      <c r="I2381">
        <v>18028</v>
      </c>
    </row>
    <row r="2382" spans="1:9" x14ac:dyDescent="0.25">
      <c r="A2382" s="5" t="str">
        <f>TrendSheetPrdData[[#This Row],[Population]]&amp;TrendSheetPrdData[[#This Row],[Cost Basis]]&amp;TrendSheetPrdData[[#This Row],[Period]]&amp;TrendSheetPrdData[[#This Row],[Trend]]</f>
        <v>MSSP_NONATTRIBUTEDAllowed2016-08-01Professional Claim Count</v>
      </c>
      <c r="B2382" t="s">
        <v>129</v>
      </c>
      <c r="C2382" t="s">
        <v>129</v>
      </c>
      <c r="D2382" t="s">
        <v>91</v>
      </c>
      <c r="E2382" s="1" t="s">
        <v>98</v>
      </c>
      <c r="F2382" t="s">
        <v>93</v>
      </c>
      <c r="G2382" t="s">
        <v>32</v>
      </c>
      <c r="H2382">
        <v>21</v>
      </c>
      <c r="I2382">
        <v>21141</v>
      </c>
    </row>
    <row r="2383" spans="1:9" x14ac:dyDescent="0.25">
      <c r="A2383" s="5" t="str">
        <f>TrendSheetPrdData[[#This Row],[Population]]&amp;TrendSheetPrdData[[#This Row],[Cost Basis]]&amp;TrendSheetPrdData[[#This Row],[Period]]&amp;TrendSheetPrdData[[#This Row],[Trend]]</f>
        <v>MSSP_NONATTRIBUTEDAllowed2016-09-01Professional Claim Count</v>
      </c>
      <c r="B2383" t="s">
        <v>129</v>
      </c>
      <c r="C2383" t="s">
        <v>129</v>
      </c>
      <c r="D2383" t="s">
        <v>91</v>
      </c>
      <c r="E2383" s="1" t="s">
        <v>99</v>
      </c>
      <c r="F2383" t="s">
        <v>93</v>
      </c>
      <c r="G2383" t="s">
        <v>32</v>
      </c>
      <c r="H2383">
        <v>21</v>
      </c>
      <c r="I2383">
        <v>22280</v>
      </c>
    </row>
    <row r="2384" spans="1:9" x14ac:dyDescent="0.25">
      <c r="A2384" s="5" t="str">
        <f>TrendSheetPrdData[[#This Row],[Population]]&amp;TrendSheetPrdData[[#This Row],[Cost Basis]]&amp;TrendSheetPrdData[[#This Row],[Period]]&amp;TrendSheetPrdData[[#This Row],[Trend]]</f>
        <v>MSSP_NONATTRIBUTEDAllowed2016-10-01Professional Claim Count</v>
      </c>
      <c r="B2384" t="s">
        <v>129</v>
      </c>
      <c r="C2384" t="s">
        <v>129</v>
      </c>
      <c r="D2384" t="s">
        <v>91</v>
      </c>
      <c r="E2384" s="1" t="s">
        <v>100</v>
      </c>
      <c r="F2384" t="s">
        <v>106</v>
      </c>
      <c r="G2384" t="s">
        <v>32</v>
      </c>
      <c r="H2384">
        <v>21</v>
      </c>
      <c r="I2384">
        <v>23265</v>
      </c>
    </row>
    <row r="2385" spans="1:9" x14ac:dyDescent="0.25">
      <c r="A2385" s="5" t="str">
        <f>TrendSheetPrdData[[#This Row],[Population]]&amp;TrendSheetPrdData[[#This Row],[Cost Basis]]&amp;TrendSheetPrdData[[#This Row],[Period]]&amp;TrendSheetPrdData[[#This Row],[Trend]]</f>
        <v>MSSP_NONATTRIBUTEDAllowed2016-11-01Professional Claim Count</v>
      </c>
      <c r="B2385" t="s">
        <v>129</v>
      </c>
      <c r="C2385" t="s">
        <v>129</v>
      </c>
      <c r="D2385" t="s">
        <v>91</v>
      </c>
      <c r="E2385" s="1" t="s">
        <v>101</v>
      </c>
      <c r="F2385" t="s">
        <v>106</v>
      </c>
      <c r="G2385" t="s">
        <v>32</v>
      </c>
      <c r="H2385">
        <v>21</v>
      </c>
      <c r="I2385">
        <v>22437</v>
      </c>
    </row>
    <row r="2386" spans="1:9" x14ac:dyDescent="0.25">
      <c r="A2386" s="5" t="str">
        <f>TrendSheetPrdData[[#This Row],[Population]]&amp;TrendSheetPrdData[[#This Row],[Cost Basis]]&amp;TrendSheetPrdData[[#This Row],[Period]]&amp;TrendSheetPrdData[[#This Row],[Trend]]</f>
        <v>MSSP_NONATTRIBUTEDAllowed2016-12-01Professional Claim Count</v>
      </c>
      <c r="B2386" t="s">
        <v>129</v>
      </c>
      <c r="C2386" t="s">
        <v>129</v>
      </c>
      <c r="D2386" t="s">
        <v>91</v>
      </c>
      <c r="E2386" s="1" t="s">
        <v>102</v>
      </c>
      <c r="F2386" t="s">
        <v>106</v>
      </c>
      <c r="G2386" t="s">
        <v>32</v>
      </c>
      <c r="H2386">
        <v>21</v>
      </c>
      <c r="I2386">
        <v>8495</v>
      </c>
    </row>
    <row r="2387" spans="1:9" x14ac:dyDescent="0.25">
      <c r="A2387" s="5" t="str">
        <f>TrendSheetPrdData[[#This Row],[Population]]&amp;TrendSheetPrdData[[#This Row],[Cost Basis]]&amp;TrendSheetPrdData[[#This Row],[Period]]&amp;TrendSheetPrdData[[#This Row],[Trend]]</f>
        <v>MSSP_NONATTRIBUTEDAllowed2015-10-01Ancillary Claim Count</v>
      </c>
      <c r="B2387" t="s">
        <v>129</v>
      </c>
      <c r="C2387" t="s">
        <v>129</v>
      </c>
      <c r="D2387" t="s">
        <v>91</v>
      </c>
      <c r="E2387" s="1" t="s">
        <v>134</v>
      </c>
      <c r="F2387" t="s">
        <v>93</v>
      </c>
      <c r="G2387" t="s">
        <v>33</v>
      </c>
      <c r="H2387">
        <v>22</v>
      </c>
      <c r="I2387">
        <v>16690</v>
      </c>
    </row>
    <row r="2388" spans="1:9" x14ac:dyDescent="0.25">
      <c r="A2388" s="5" t="str">
        <f>TrendSheetPrdData[[#This Row],[Population]]&amp;TrendSheetPrdData[[#This Row],[Cost Basis]]&amp;TrendSheetPrdData[[#This Row],[Period]]&amp;TrendSheetPrdData[[#This Row],[Trend]]</f>
        <v>MSSP_NONATTRIBUTEDAllowed2015-11-01Ancillary Claim Count</v>
      </c>
      <c r="B2388" t="s">
        <v>129</v>
      </c>
      <c r="C2388" t="s">
        <v>129</v>
      </c>
      <c r="D2388" t="s">
        <v>91</v>
      </c>
      <c r="E2388" s="1" t="s">
        <v>130</v>
      </c>
      <c r="F2388" t="s">
        <v>93</v>
      </c>
      <c r="G2388" t="s">
        <v>33</v>
      </c>
      <c r="H2388">
        <v>22</v>
      </c>
      <c r="I2388">
        <v>10037</v>
      </c>
    </row>
    <row r="2389" spans="1:9" x14ac:dyDescent="0.25">
      <c r="A2389" s="5" t="str">
        <f>TrendSheetPrdData[[#This Row],[Population]]&amp;TrendSheetPrdData[[#This Row],[Cost Basis]]&amp;TrendSheetPrdData[[#This Row],[Period]]&amp;TrendSheetPrdData[[#This Row],[Trend]]</f>
        <v>MSSP_NONATTRIBUTEDAllowed2015-12-01Ancillary Claim Count</v>
      </c>
      <c r="B2389" t="s">
        <v>129</v>
      </c>
      <c r="C2389" t="s">
        <v>129</v>
      </c>
      <c r="D2389" t="s">
        <v>91</v>
      </c>
      <c r="E2389" s="1" t="s">
        <v>131</v>
      </c>
      <c r="F2389" t="s">
        <v>93</v>
      </c>
      <c r="G2389" t="s">
        <v>33</v>
      </c>
      <c r="H2389">
        <v>22</v>
      </c>
      <c r="I2389">
        <v>8554</v>
      </c>
    </row>
    <row r="2390" spans="1:9" x14ac:dyDescent="0.25">
      <c r="A2390" s="5" t="str">
        <f>TrendSheetPrdData[[#This Row],[Population]]&amp;TrendSheetPrdData[[#This Row],[Cost Basis]]&amp;TrendSheetPrdData[[#This Row],[Period]]&amp;TrendSheetPrdData[[#This Row],[Trend]]</f>
        <v>MSSP_NONATTRIBUTEDAllowed2016-01-01Ancillary Claim Count</v>
      </c>
      <c r="B2390" t="s">
        <v>129</v>
      </c>
      <c r="C2390" t="s">
        <v>129</v>
      </c>
      <c r="D2390" t="s">
        <v>91</v>
      </c>
      <c r="E2390" s="1" t="s">
        <v>132</v>
      </c>
      <c r="F2390" t="s">
        <v>93</v>
      </c>
      <c r="G2390" t="s">
        <v>33</v>
      </c>
      <c r="H2390">
        <v>22</v>
      </c>
      <c r="I2390">
        <v>7707</v>
      </c>
    </row>
    <row r="2391" spans="1:9" x14ac:dyDescent="0.25">
      <c r="A2391" s="5" t="str">
        <f>TrendSheetPrdData[[#This Row],[Population]]&amp;TrendSheetPrdData[[#This Row],[Cost Basis]]&amp;TrendSheetPrdData[[#This Row],[Period]]&amp;TrendSheetPrdData[[#This Row],[Trend]]</f>
        <v>MSSP_NONATTRIBUTEDAllowed2016-02-01Ancillary Claim Count</v>
      </c>
      <c r="B2391" t="s">
        <v>129</v>
      </c>
      <c r="C2391" t="s">
        <v>129</v>
      </c>
      <c r="D2391" t="s">
        <v>91</v>
      </c>
      <c r="E2391" s="1" t="s">
        <v>133</v>
      </c>
      <c r="F2391" t="s">
        <v>93</v>
      </c>
      <c r="G2391" t="s">
        <v>33</v>
      </c>
      <c r="H2391">
        <v>22</v>
      </c>
      <c r="I2391">
        <v>7648</v>
      </c>
    </row>
    <row r="2392" spans="1:9" x14ac:dyDescent="0.25">
      <c r="A2392" s="5" t="str">
        <f>TrendSheetPrdData[[#This Row],[Population]]&amp;TrendSheetPrdData[[#This Row],[Cost Basis]]&amp;TrendSheetPrdData[[#This Row],[Period]]&amp;TrendSheetPrdData[[#This Row],[Trend]]</f>
        <v>MSSP_NONATTRIBUTEDAllowed2016-03-01Ancillary Claim Count</v>
      </c>
      <c r="B2392" t="s">
        <v>129</v>
      </c>
      <c r="C2392" t="s">
        <v>129</v>
      </c>
      <c r="D2392" t="s">
        <v>91</v>
      </c>
      <c r="E2392" s="1" t="s">
        <v>92</v>
      </c>
      <c r="F2392" t="s">
        <v>93</v>
      </c>
      <c r="G2392" t="s">
        <v>33</v>
      </c>
      <c r="H2392">
        <v>22</v>
      </c>
      <c r="I2392">
        <v>7224</v>
      </c>
    </row>
    <row r="2393" spans="1:9" x14ac:dyDescent="0.25">
      <c r="A2393" s="5" t="str">
        <f>TrendSheetPrdData[[#This Row],[Population]]&amp;TrendSheetPrdData[[#This Row],[Cost Basis]]&amp;TrendSheetPrdData[[#This Row],[Period]]&amp;TrendSheetPrdData[[#This Row],[Trend]]</f>
        <v>MSSP_NONATTRIBUTEDAllowed2016-04-01Ancillary Claim Count</v>
      </c>
      <c r="B2393" t="s">
        <v>129</v>
      </c>
      <c r="C2393" t="s">
        <v>129</v>
      </c>
      <c r="D2393" t="s">
        <v>91</v>
      </c>
      <c r="E2393" s="1" t="s">
        <v>94</v>
      </c>
      <c r="F2393" t="s">
        <v>93</v>
      </c>
      <c r="G2393" t="s">
        <v>33</v>
      </c>
      <c r="H2393">
        <v>22</v>
      </c>
      <c r="I2393">
        <v>6128</v>
      </c>
    </row>
    <row r="2394" spans="1:9" x14ac:dyDescent="0.25">
      <c r="A2394" s="5" t="str">
        <f>TrendSheetPrdData[[#This Row],[Population]]&amp;TrendSheetPrdData[[#This Row],[Cost Basis]]&amp;TrendSheetPrdData[[#This Row],[Period]]&amp;TrendSheetPrdData[[#This Row],[Trend]]</f>
        <v>MSSP_NONATTRIBUTEDAllowed2016-05-01Ancillary Claim Count</v>
      </c>
      <c r="B2394" t="s">
        <v>129</v>
      </c>
      <c r="C2394" t="s">
        <v>129</v>
      </c>
      <c r="D2394" t="s">
        <v>91</v>
      </c>
      <c r="E2394" s="1" t="s">
        <v>95</v>
      </c>
      <c r="F2394" t="s">
        <v>93</v>
      </c>
      <c r="G2394" t="s">
        <v>33</v>
      </c>
      <c r="H2394">
        <v>22</v>
      </c>
      <c r="I2394">
        <v>5626</v>
      </c>
    </row>
    <row r="2395" spans="1:9" x14ac:dyDescent="0.25">
      <c r="A2395" s="5" t="str">
        <f>TrendSheetPrdData[[#This Row],[Population]]&amp;TrendSheetPrdData[[#This Row],[Cost Basis]]&amp;TrendSheetPrdData[[#This Row],[Period]]&amp;TrendSheetPrdData[[#This Row],[Trend]]</f>
        <v>MSSP_NONATTRIBUTEDAllowed2016-06-01Ancillary Claim Count</v>
      </c>
      <c r="B2395" t="s">
        <v>129</v>
      </c>
      <c r="C2395" t="s">
        <v>129</v>
      </c>
      <c r="D2395" t="s">
        <v>91</v>
      </c>
      <c r="E2395" s="1" t="s">
        <v>96</v>
      </c>
      <c r="F2395" t="s">
        <v>93</v>
      </c>
      <c r="G2395" t="s">
        <v>33</v>
      </c>
      <c r="H2395">
        <v>22</v>
      </c>
      <c r="I2395">
        <v>5874</v>
      </c>
    </row>
    <row r="2396" spans="1:9" x14ac:dyDescent="0.25">
      <c r="A2396" s="5" t="str">
        <f>TrendSheetPrdData[[#This Row],[Population]]&amp;TrendSheetPrdData[[#This Row],[Cost Basis]]&amp;TrendSheetPrdData[[#This Row],[Period]]&amp;TrendSheetPrdData[[#This Row],[Trend]]</f>
        <v>MSSP_NONATTRIBUTEDAllowed2016-07-01Ancillary Claim Count</v>
      </c>
      <c r="B2396" t="s">
        <v>129</v>
      </c>
      <c r="C2396" t="s">
        <v>129</v>
      </c>
      <c r="D2396" t="s">
        <v>91</v>
      </c>
      <c r="E2396" s="1" t="s">
        <v>97</v>
      </c>
      <c r="F2396" t="s">
        <v>93</v>
      </c>
      <c r="G2396" t="s">
        <v>33</v>
      </c>
      <c r="H2396">
        <v>22</v>
      </c>
      <c r="I2396">
        <v>5880</v>
      </c>
    </row>
    <row r="2397" spans="1:9" x14ac:dyDescent="0.25">
      <c r="A2397" s="5" t="str">
        <f>TrendSheetPrdData[[#This Row],[Population]]&amp;TrendSheetPrdData[[#This Row],[Cost Basis]]&amp;TrendSheetPrdData[[#This Row],[Period]]&amp;TrendSheetPrdData[[#This Row],[Trend]]</f>
        <v>MSSP_NONATTRIBUTEDAllowed2016-08-01Ancillary Claim Count</v>
      </c>
      <c r="B2397" t="s">
        <v>129</v>
      </c>
      <c r="C2397" t="s">
        <v>129</v>
      </c>
      <c r="D2397" t="s">
        <v>91</v>
      </c>
      <c r="E2397" s="1" t="s">
        <v>98</v>
      </c>
      <c r="F2397" t="s">
        <v>93</v>
      </c>
      <c r="G2397" t="s">
        <v>33</v>
      </c>
      <c r="H2397">
        <v>22</v>
      </c>
      <c r="I2397">
        <v>6722</v>
      </c>
    </row>
    <row r="2398" spans="1:9" x14ac:dyDescent="0.25">
      <c r="A2398" s="5" t="str">
        <f>TrendSheetPrdData[[#This Row],[Population]]&amp;TrendSheetPrdData[[#This Row],[Cost Basis]]&amp;TrendSheetPrdData[[#This Row],[Period]]&amp;TrendSheetPrdData[[#This Row],[Trend]]</f>
        <v>MSSP_NONATTRIBUTEDAllowed2016-09-01Ancillary Claim Count</v>
      </c>
      <c r="B2398" t="s">
        <v>129</v>
      </c>
      <c r="C2398" t="s">
        <v>129</v>
      </c>
      <c r="D2398" t="s">
        <v>91</v>
      </c>
      <c r="E2398" s="1" t="s">
        <v>99</v>
      </c>
      <c r="F2398" t="s">
        <v>93</v>
      </c>
      <c r="G2398" t="s">
        <v>33</v>
      </c>
      <c r="H2398">
        <v>22</v>
      </c>
      <c r="I2398">
        <v>6053</v>
      </c>
    </row>
    <row r="2399" spans="1:9" x14ac:dyDescent="0.25">
      <c r="A2399" s="5" t="str">
        <f>TrendSheetPrdData[[#This Row],[Population]]&amp;TrendSheetPrdData[[#This Row],[Cost Basis]]&amp;TrendSheetPrdData[[#This Row],[Period]]&amp;TrendSheetPrdData[[#This Row],[Trend]]</f>
        <v>MSSP_NONATTRIBUTEDAllowed2016-10-01Ancillary Claim Count</v>
      </c>
      <c r="B2399" t="s">
        <v>129</v>
      </c>
      <c r="C2399" t="s">
        <v>129</v>
      </c>
      <c r="D2399" t="s">
        <v>91</v>
      </c>
      <c r="E2399" s="1" t="s">
        <v>100</v>
      </c>
      <c r="F2399" t="s">
        <v>106</v>
      </c>
      <c r="G2399" t="s">
        <v>33</v>
      </c>
      <c r="H2399">
        <v>22</v>
      </c>
      <c r="I2399">
        <v>5767</v>
      </c>
    </row>
    <row r="2400" spans="1:9" x14ac:dyDescent="0.25">
      <c r="A2400" s="5" t="str">
        <f>TrendSheetPrdData[[#This Row],[Population]]&amp;TrendSheetPrdData[[#This Row],[Cost Basis]]&amp;TrendSheetPrdData[[#This Row],[Period]]&amp;TrendSheetPrdData[[#This Row],[Trend]]</f>
        <v>MSSP_NONATTRIBUTEDAllowed2016-11-01Ancillary Claim Count</v>
      </c>
      <c r="B2400" t="s">
        <v>129</v>
      </c>
      <c r="C2400" t="s">
        <v>129</v>
      </c>
      <c r="D2400" t="s">
        <v>91</v>
      </c>
      <c r="E2400" s="1" t="s">
        <v>101</v>
      </c>
      <c r="F2400" t="s">
        <v>106</v>
      </c>
      <c r="G2400" t="s">
        <v>33</v>
      </c>
      <c r="H2400">
        <v>22</v>
      </c>
      <c r="I2400">
        <v>4687</v>
      </c>
    </row>
    <row r="2401" spans="1:9" x14ac:dyDescent="0.25">
      <c r="A2401" s="5" t="str">
        <f>TrendSheetPrdData[[#This Row],[Population]]&amp;TrendSheetPrdData[[#This Row],[Cost Basis]]&amp;TrendSheetPrdData[[#This Row],[Period]]&amp;TrendSheetPrdData[[#This Row],[Trend]]</f>
        <v>MSSP_NONATTRIBUTEDAllowed2016-12-01Ancillary Claim Count</v>
      </c>
      <c r="B2401" t="s">
        <v>129</v>
      </c>
      <c r="C2401" t="s">
        <v>129</v>
      </c>
      <c r="D2401" t="s">
        <v>91</v>
      </c>
      <c r="E2401" s="1" t="s">
        <v>102</v>
      </c>
      <c r="F2401" t="s">
        <v>106</v>
      </c>
      <c r="G2401" t="s">
        <v>33</v>
      </c>
      <c r="H2401">
        <v>22</v>
      </c>
      <c r="I2401">
        <v>1487</v>
      </c>
    </row>
    <row r="2402" spans="1:9" x14ac:dyDescent="0.25">
      <c r="A2402" s="5" t="str">
        <f>TrendSheetPrdData[[#This Row],[Population]]&amp;TrendSheetPrdData[[#This Row],[Cost Basis]]&amp;TrendSheetPrdData[[#This Row],[Period]]&amp;TrendSheetPrdData[[#This Row],[Trend]]</f>
        <v>MSSP_NONATTRIBUTEDAllowed2015-10-01Drug Claim Count</v>
      </c>
      <c r="B2402" t="s">
        <v>129</v>
      </c>
      <c r="C2402" t="s">
        <v>129</v>
      </c>
      <c r="D2402" t="s">
        <v>91</v>
      </c>
      <c r="E2402" s="1" t="s">
        <v>134</v>
      </c>
      <c r="F2402" t="s">
        <v>93</v>
      </c>
      <c r="G2402" t="s">
        <v>34</v>
      </c>
      <c r="H2402">
        <v>23</v>
      </c>
      <c r="I2402">
        <v>28353</v>
      </c>
    </row>
    <row r="2403" spans="1:9" x14ac:dyDescent="0.25">
      <c r="A2403" s="5" t="str">
        <f>TrendSheetPrdData[[#This Row],[Population]]&amp;TrendSheetPrdData[[#This Row],[Cost Basis]]&amp;TrendSheetPrdData[[#This Row],[Period]]&amp;TrendSheetPrdData[[#This Row],[Trend]]</f>
        <v>MSSP_NONATTRIBUTEDAllowed2015-11-01Drug Claim Count</v>
      </c>
      <c r="B2403" t="s">
        <v>129</v>
      </c>
      <c r="C2403" t="s">
        <v>129</v>
      </c>
      <c r="D2403" t="s">
        <v>91</v>
      </c>
      <c r="E2403" s="1" t="s">
        <v>130</v>
      </c>
      <c r="F2403" t="s">
        <v>93</v>
      </c>
      <c r="G2403" t="s">
        <v>34</v>
      </c>
      <c r="H2403">
        <v>23</v>
      </c>
      <c r="I2403">
        <v>20434</v>
      </c>
    </row>
    <row r="2404" spans="1:9" x14ac:dyDescent="0.25">
      <c r="A2404" s="5" t="str">
        <f>TrendSheetPrdData[[#This Row],[Population]]&amp;TrendSheetPrdData[[#This Row],[Cost Basis]]&amp;TrendSheetPrdData[[#This Row],[Period]]&amp;TrendSheetPrdData[[#This Row],[Trend]]</f>
        <v>MSSP_NONATTRIBUTEDAllowed2015-12-01Drug Claim Count</v>
      </c>
      <c r="B2404" t="s">
        <v>129</v>
      </c>
      <c r="C2404" t="s">
        <v>129</v>
      </c>
      <c r="D2404" t="s">
        <v>91</v>
      </c>
      <c r="E2404" s="1" t="s">
        <v>131</v>
      </c>
      <c r="F2404" t="s">
        <v>93</v>
      </c>
      <c r="G2404" t="s">
        <v>34</v>
      </c>
      <c r="H2404">
        <v>23</v>
      </c>
      <c r="I2404">
        <v>10134</v>
      </c>
    </row>
    <row r="2405" spans="1:9" x14ac:dyDescent="0.25">
      <c r="A2405" s="5" t="str">
        <f>TrendSheetPrdData[[#This Row],[Population]]&amp;TrendSheetPrdData[[#This Row],[Cost Basis]]&amp;TrendSheetPrdData[[#This Row],[Period]]&amp;TrendSheetPrdData[[#This Row],[Trend]]</f>
        <v>MSSP_NONATTRIBUTEDAllowed2016-01-01Drug Claim Count</v>
      </c>
      <c r="B2405" t="s">
        <v>129</v>
      </c>
      <c r="C2405" t="s">
        <v>129</v>
      </c>
      <c r="D2405" t="s">
        <v>91</v>
      </c>
      <c r="E2405" s="1" t="s">
        <v>132</v>
      </c>
      <c r="F2405" t="s">
        <v>93</v>
      </c>
      <c r="G2405" t="s">
        <v>34</v>
      </c>
      <c r="H2405">
        <v>23</v>
      </c>
      <c r="I2405">
        <v>12156</v>
      </c>
    </row>
    <row r="2406" spans="1:9" x14ac:dyDescent="0.25">
      <c r="A2406" s="5" t="str">
        <f>TrendSheetPrdData[[#This Row],[Population]]&amp;TrendSheetPrdData[[#This Row],[Cost Basis]]&amp;TrendSheetPrdData[[#This Row],[Period]]&amp;TrendSheetPrdData[[#This Row],[Trend]]</f>
        <v>MSSP_NONATTRIBUTEDAllowed2016-02-01Drug Claim Count</v>
      </c>
      <c r="B2406" t="s">
        <v>129</v>
      </c>
      <c r="C2406" t="s">
        <v>129</v>
      </c>
      <c r="D2406" t="s">
        <v>91</v>
      </c>
      <c r="E2406" s="1" t="s">
        <v>133</v>
      </c>
      <c r="F2406" t="s">
        <v>93</v>
      </c>
      <c r="G2406" t="s">
        <v>34</v>
      </c>
      <c r="H2406">
        <v>23</v>
      </c>
      <c r="I2406">
        <v>11784</v>
      </c>
    </row>
    <row r="2407" spans="1:9" x14ac:dyDescent="0.25">
      <c r="A2407" s="5" t="str">
        <f>TrendSheetPrdData[[#This Row],[Population]]&amp;TrendSheetPrdData[[#This Row],[Cost Basis]]&amp;TrendSheetPrdData[[#This Row],[Period]]&amp;TrendSheetPrdData[[#This Row],[Trend]]</f>
        <v>MSSP_NONATTRIBUTEDAllowed2016-03-01Drug Claim Count</v>
      </c>
      <c r="B2407" t="s">
        <v>129</v>
      </c>
      <c r="C2407" t="s">
        <v>129</v>
      </c>
      <c r="D2407" t="s">
        <v>91</v>
      </c>
      <c r="E2407" s="1" t="s">
        <v>92</v>
      </c>
      <c r="F2407" t="s">
        <v>93</v>
      </c>
      <c r="G2407" t="s">
        <v>34</v>
      </c>
      <c r="H2407">
        <v>23</v>
      </c>
      <c r="I2407">
        <v>12866</v>
      </c>
    </row>
    <row r="2408" spans="1:9" x14ac:dyDescent="0.25">
      <c r="A2408" s="5" t="str">
        <f>TrendSheetPrdData[[#This Row],[Population]]&amp;TrendSheetPrdData[[#This Row],[Cost Basis]]&amp;TrendSheetPrdData[[#This Row],[Period]]&amp;TrendSheetPrdData[[#This Row],[Trend]]</f>
        <v>MSSP_NONATTRIBUTEDAllowed2016-04-01Drug Claim Count</v>
      </c>
      <c r="B2408" t="s">
        <v>129</v>
      </c>
      <c r="C2408" t="s">
        <v>129</v>
      </c>
      <c r="D2408" t="s">
        <v>91</v>
      </c>
      <c r="E2408" s="1" t="s">
        <v>94</v>
      </c>
      <c r="F2408" t="s">
        <v>93</v>
      </c>
      <c r="G2408" t="s">
        <v>34</v>
      </c>
      <c r="H2408">
        <v>23</v>
      </c>
      <c r="I2408">
        <v>11276</v>
      </c>
    </row>
    <row r="2409" spans="1:9" x14ac:dyDescent="0.25">
      <c r="A2409" s="5" t="str">
        <f>TrendSheetPrdData[[#This Row],[Population]]&amp;TrendSheetPrdData[[#This Row],[Cost Basis]]&amp;TrendSheetPrdData[[#This Row],[Period]]&amp;TrendSheetPrdData[[#This Row],[Trend]]</f>
        <v>MSSP_NONATTRIBUTEDAllowed2016-05-01Drug Claim Count</v>
      </c>
      <c r="B2409" t="s">
        <v>129</v>
      </c>
      <c r="C2409" t="s">
        <v>129</v>
      </c>
      <c r="D2409" t="s">
        <v>91</v>
      </c>
      <c r="E2409" s="1" t="s">
        <v>95</v>
      </c>
      <c r="F2409" t="s">
        <v>93</v>
      </c>
      <c r="G2409" t="s">
        <v>34</v>
      </c>
      <c r="H2409">
        <v>23</v>
      </c>
      <c r="I2409">
        <v>10391</v>
      </c>
    </row>
    <row r="2410" spans="1:9" x14ac:dyDescent="0.25">
      <c r="A2410" s="5" t="str">
        <f>TrendSheetPrdData[[#This Row],[Population]]&amp;TrendSheetPrdData[[#This Row],[Cost Basis]]&amp;TrendSheetPrdData[[#This Row],[Period]]&amp;TrendSheetPrdData[[#This Row],[Trend]]</f>
        <v>MSSP_NONATTRIBUTEDAllowed2016-06-01Drug Claim Count</v>
      </c>
      <c r="B2410" t="s">
        <v>129</v>
      </c>
      <c r="C2410" t="s">
        <v>129</v>
      </c>
      <c r="D2410" t="s">
        <v>91</v>
      </c>
      <c r="E2410" s="1" t="s">
        <v>96</v>
      </c>
      <c r="F2410" t="s">
        <v>93</v>
      </c>
      <c r="G2410" t="s">
        <v>34</v>
      </c>
      <c r="H2410">
        <v>23</v>
      </c>
      <c r="I2410">
        <v>9935</v>
      </c>
    </row>
    <row r="2411" spans="1:9" x14ac:dyDescent="0.25">
      <c r="A2411" s="5" t="str">
        <f>TrendSheetPrdData[[#This Row],[Population]]&amp;TrendSheetPrdData[[#This Row],[Cost Basis]]&amp;TrendSheetPrdData[[#This Row],[Period]]&amp;TrendSheetPrdData[[#This Row],[Trend]]</f>
        <v>MSSP_NONATTRIBUTEDAllowed2016-07-01Drug Claim Count</v>
      </c>
      <c r="B2411" t="s">
        <v>129</v>
      </c>
      <c r="C2411" t="s">
        <v>129</v>
      </c>
      <c r="D2411" t="s">
        <v>91</v>
      </c>
      <c r="E2411" s="1" t="s">
        <v>97</v>
      </c>
      <c r="F2411" t="s">
        <v>93</v>
      </c>
      <c r="G2411" t="s">
        <v>34</v>
      </c>
      <c r="H2411">
        <v>23</v>
      </c>
      <c r="I2411">
        <v>9737</v>
      </c>
    </row>
    <row r="2412" spans="1:9" x14ac:dyDescent="0.25">
      <c r="A2412" s="5" t="str">
        <f>TrendSheetPrdData[[#This Row],[Population]]&amp;TrendSheetPrdData[[#This Row],[Cost Basis]]&amp;TrendSheetPrdData[[#This Row],[Period]]&amp;TrendSheetPrdData[[#This Row],[Trend]]</f>
        <v>MSSP_NONATTRIBUTEDAllowed2016-08-01Drug Claim Count</v>
      </c>
      <c r="B2412" t="s">
        <v>129</v>
      </c>
      <c r="C2412" t="s">
        <v>129</v>
      </c>
      <c r="D2412" t="s">
        <v>91</v>
      </c>
      <c r="E2412" s="1" t="s">
        <v>98</v>
      </c>
      <c r="F2412" t="s">
        <v>93</v>
      </c>
      <c r="G2412" t="s">
        <v>34</v>
      </c>
      <c r="H2412">
        <v>23</v>
      </c>
      <c r="I2412">
        <v>9908</v>
      </c>
    </row>
    <row r="2413" spans="1:9" x14ac:dyDescent="0.25">
      <c r="A2413" s="5" t="str">
        <f>TrendSheetPrdData[[#This Row],[Population]]&amp;TrendSheetPrdData[[#This Row],[Cost Basis]]&amp;TrendSheetPrdData[[#This Row],[Period]]&amp;TrendSheetPrdData[[#This Row],[Trend]]</f>
        <v>MSSP_NONATTRIBUTEDAllowed2016-09-01Drug Claim Count</v>
      </c>
      <c r="B2413" t="s">
        <v>129</v>
      </c>
      <c r="C2413" t="s">
        <v>129</v>
      </c>
      <c r="D2413" t="s">
        <v>91</v>
      </c>
      <c r="E2413" s="1" t="s">
        <v>99</v>
      </c>
      <c r="F2413" t="s">
        <v>93</v>
      </c>
      <c r="G2413" t="s">
        <v>34</v>
      </c>
      <c r="H2413">
        <v>23</v>
      </c>
      <c r="I2413">
        <v>9643</v>
      </c>
    </row>
    <row r="2414" spans="1:9" x14ac:dyDescent="0.25">
      <c r="A2414" s="5" t="str">
        <f>TrendSheetPrdData[[#This Row],[Population]]&amp;TrendSheetPrdData[[#This Row],[Cost Basis]]&amp;TrendSheetPrdData[[#This Row],[Period]]&amp;TrendSheetPrdData[[#This Row],[Trend]]</f>
        <v>MSSP_NONATTRIBUTEDAllowed2016-10-01Drug Claim Count</v>
      </c>
      <c r="B2414" t="s">
        <v>129</v>
      </c>
      <c r="C2414" t="s">
        <v>129</v>
      </c>
      <c r="D2414" t="s">
        <v>91</v>
      </c>
      <c r="E2414" s="1" t="s">
        <v>100</v>
      </c>
      <c r="F2414" t="s">
        <v>106</v>
      </c>
      <c r="G2414" t="s">
        <v>34</v>
      </c>
      <c r="H2414">
        <v>23</v>
      </c>
      <c r="I2414">
        <v>9608</v>
      </c>
    </row>
    <row r="2415" spans="1:9" x14ac:dyDescent="0.25">
      <c r="A2415" s="5" t="str">
        <f>TrendSheetPrdData[[#This Row],[Population]]&amp;TrendSheetPrdData[[#This Row],[Cost Basis]]&amp;TrendSheetPrdData[[#This Row],[Period]]&amp;TrendSheetPrdData[[#This Row],[Trend]]</f>
        <v>MSSP_NONATTRIBUTEDAllowed2016-11-01Drug Claim Count</v>
      </c>
      <c r="B2415" t="s">
        <v>129</v>
      </c>
      <c r="C2415" t="s">
        <v>129</v>
      </c>
      <c r="D2415" t="s">
        <v>91</v>
      </c>
      <c r="E2415" s="1" t="s">
        <v>101</v>
      </c>
      <c r="F2415" t="s">
        <v>106</v>
      </c>
      <c r="G2415" t="s">
        <v>34</v>
      </c>
      <c r="H2415">
        <v>23</v>
      </c>
      <c r="I2415">
        <v>9546</v>
      </c>
    </row>
    <row r="2416" spans="1:9" x14ac:dyDescent="0.25">
      <c r="A2416" s="5" t="str">
        <f>TrendSheetPrdData[[#This Row],[Population]]&amp;TrendSheetPrdData[[#This Row],[Cost Basis]]&amp;TrendSheetPrdData[[#This Row],[Period]]&amp;TrendSheetPrdData[[#This Row],[Trend]]</f>
        <v>MSSP_NONATTRIBUTEDAllowed2016-12-01Drug Claim Count</v>
      </c>
      <c r="B2416" t="s">
        <v>129</v>
      </c>
      <c r="C2416" t="s">
        <v>129</v>
      </c>
      <c r="D2416" t="s">
        <v>91</v>
      </c>
      <c r="E2416" s="1" t="s">
        <v>102</v>
      </c>
      <c r="F2416" t="s">
        <v>106</v>
      </c>
      <c r="G2416" t="s">
        <v>34</v>
      </c>
      <c r="H2416">
        <v>23</v>
      </c>
      <c r="I2416">
        <v>6185</v>
      </c>
    </row>
    <row r="2417" spans="1:9" x14ac:dyDescent="0.25">
      <c r="A2417" s="5" t="str">
        <f>TrendSheetPrdData[[#This Row],[Population]]&amp;TrendSheetPrdData[[#This Row],[Cost Basis]]&amp;TrendSheetPrdData[[#This Row],[Period]]&amp;TrendSheetPrdData[[#This Row],[Trend]]</f>
        <v>MSSP_NONATTRIBUTEDPaid2015-10-01Medical PMPM</v>
      </c>
      <c r="B2417" t="s">
        <v>129</v>
      </c>
      <c r="C2417" t="s">
        <v>129</v>
      </c>
      <c r="D2417" t="s">
        <v>78</v>
      </c>
      <c r="E2417" s="1" t="s">
        <v>134</v>
      </c>
      <c r="F2417" t="s">
        <v>93</v>
      </c>
      <c r="G2417" t="s">
        <v>12</v>
      </c>
      <c r="H2417">
        <v>1</v>
      </c>
      <c r="I2417">
        <v>717.19</v>
      </c>
    </row>
    <row r="2418" spans="1:9" x14ac:dyDescent="0.25">
      <c r="A2418" s="5" t="str">
        <f>TrendSheetPrdData[[#This Row],[Population]]&amp;TrendSheetPrdData[[#This Row],[Cost Basis]]&amp;TrendSheetPrdData[[#This Row],[Period]]&amp;TrendSheetPrdData[[#This Row],[Trend]]</f>
        <v>MSSP_NONATTRIBUTEDPaid2015-11-01Medical PMPM</v>
      </c>
      <c r="B2418" t="s">
        <v>129</v>
      </c>
      <c r="C2418" t="s">
        <v>129</v>
      </c>
      <c r="D2418" t="s">
        <v>78</v>
      </c>
      <c r="E2418" s="1" t="s">
        <v>130</v>
      </c>
      <c r="F2418" t="s">
        <v>93</v>
      </c>
      <c r="G2418" t="s">
        <v>12</v>
      </c>
      <c r="H2418">
        <v>1</v>
      </c>
      <c r="I2418">
        <v>459.92</v>
      </c>
    </row>
    <row r="2419" spans="1:9" x14ac:dyDescent="0.25">
      <c r="A2419" s="5" t="str">
        <f>TrendSheetPrdData[[#This Row],[Population]]&amp;TrendSheetPrdData[[#This Row],[Cost Basis]]&amp;TrendSheetPrdData[[#This Row],[Period]]&amp;TrendSheetPrdData[[#This Row],[Trend]]</f>
        <v>MSSP_NONATTRIBUTEDPaid2015-12-01Medical PMPM</v>
      </c>
      <c r="B2419" t="s">
        <v>129</v>
      </c>
      <c r="C2419" t="s">
        <v>129</v>
      </c>
      <c r="D2419" t="s">
        <v>78</v>
      </c>
      <c r="E2419" s="1" t="s">
        <v>131</v>
      </c>
      <c r="F2419" t="s">
        <v>93</v>
      </c>
      <c r="G2419" t="s">
        <v>12</v>
      </c>
      <c r="H2419">
        <v>1</v>
      </c>
      <c r="I2419">
        <v>836.19</v>
      </c>
    </row>
    <row r="2420" spans="1:9" x14ac:dyDescent="0.25">
      <c r="A2420" s="5" t="str">
        <f>TrendSheetPrdData[[#This Row],[Population]]&amp;TrendSheetPrdData[[#This Row],[Cost Basis]]&amp;TrendSheetPrdData[[#This Row],[Period]]&amp;TrendSheetPrdData[[#This Row],[Trend]]</f>
        <v>MSSP_NONATTRIBUTEDPaid2016-01-01Medical PMPM</v>
      </c>
      <c r="B2420" t="s">
        <v>129</v>
      </c>
      <c r="C2420" t="s">
        <v>129</v>
      </c>
      <c r="D2420" t="s">
        <v>78</v>
      </c>
      <c r="E2420" s="1" t="s">
        <v>132</v>
      </c>
      <c r="F2420" t="s">
        <v>93</v>
      </c>
      <c r="G2420" t="s">
        <v>12</v>
      </c>
      <c r="H2420">
        <v>1</v>
      </c>
      <c r="I2420">
        <v>797.63</v>
      </c>
    </row>
    <row r="2421" spans="1:9" x14ac:dyDescent="0.25">
      <c r="A2421" s="5" t="str">
        <f>TrendSheetPrdData[[#This Row],[Population]]&amp;TrendSheetPrdData[[#This Row],[Cost Basis]]&amp;TrendSheetPrdData[[#This Row],[Period]]&amp;TrendSheetPrdData[[#This Row],[Trend]]</f>
        <v>MSSP_NONATTRIBUTEDPaid2016-02-01Medical PMPM</v>
      </c>
      <c r="B2421" t="s">
        <v>129</v>
      </c>
      <c r="C2421" t="s">
        <v>129</v>
      </c>
      <c r="D2421" t="s">
        <v>78</v>
      </c>
      <c r="E2421" s="1" t="s">
        <v>133</v>
      </c>
      <c r="F2421" t="s">
        <v>93</v>
      </c>
      <c r="G2421" t="s">
        <v>12</v>
      </c>
      <c r="H2421">
        <v>1</v>
      </c>
      <c r="I2421">
        <v>736.21</v>
      </c>
    </row>
    <row r="2422" spans="1:9" x14ac:dyDescent="0.25">
      <c r="A2422" s="5" t="str">
        <f>TrendSheetPrdData[[#This Row],[Population]]&amp;TrendSheetPrdData[[#This Row],[Cost Basis]]&amp;TrendSheetPrdData[[#This Row],[Period]]&amp;TrendSheetPrdData[[#This Row],[Trend]]</f>
        <v>MSSP_NONATTRIBUTEDPaid2016-03-01Medical PMPM</v>
      </c>
      <c r="B2422" t="s">
        <v>129</v>
      </c>
      <c r="C2422" t="s">
        <v>129</v>
      </c>
      <c r="D2422" t="s">
        <v>78</v>
      </c>
      <c r="E2422" s="1" t="s">
        <v>92</v>
      </c>
      <c r="F2422" t="s">
        <v>93</v>
      </c>
      <c r="G2422" t="s">
        <v>12</v>
      </c>
      <c r="H2422">
        <v>1</v>
      </c>
      <c r="I2422">
        <v>692.97</v>
      </c>
    </row>
    <row r="2423" spans="1:9" x14ac:dyDescent="0.25">
      <c r="A2423" s="5" t="str">
        <f>TrendSheetPrdData[[#This Row],[Population]]&amp;TrendSheetPrdData[[#This Row],[Cost Basis]]&amp;TrendSheetPrdData[[#This Row],[Period]]&amp;TrendSheetPrdData[[#This Row],[Trend]]</f>
        <v>MSSP_NONATTRIBUTEDPaid2016-04-01Medical PMPM</v>
      </c>
      <c r="B2423" t="s">
        <v>129</v>
      </c>
      <c r="C2423" t="s">
        <v>129</v>
      </c>
      <c r="D2423" t="s">
        <v>78</v>
      </c>
      <c r="E2423" s="1" t="s">
        <v>94</v>
      </c>
      <c r="F2423" t="s">
        <v>93</v>
      </c>
      <c r="G2423" t="s">
        <v>12</v>
      </c>
      <c r="H2423">
        <v>1</v>
      </c>
      <c r="I2423">
        <v>503.78</v>
      </c>
    </row>
    <row r="2424" spans="1:9" x14ac:dyDescent="0.25">
      <c r="A2424" s="5" t="str">
        <f>TrendSheetPrdData[[#This Row],[Population]]&amp;TrendSheetPrdData[[#This Row],[Cost Basis]]&amp;TrendSheetPrdData[[#This Row],[Period]]&amp;TrendSheetPrdData[[#This Row],[Trend]]</f>
        <v>MSSP_NONATTRIBUTEDPaid2016-05-01Medical PMPM</v>
      </c>
      <c r="B2424" t="s">
        <v>129</v>
      </c>
      <c r="C2424" t="s">
        <v>129</v>
      </c>
      <c r="D2424" t="s">
        <v>78</v>
      </c>
      <c r="E2424" s="1" t="s">
        <v>95</v>
      </c>
      <c r="F2424" t="s">
        <v>93</v>
      </c>
      <c r="G2424" t="s">
        <v>12</v>
      </c>
      <c r="H2424">
        <v>1</v>
      </c>
      <c r="I2424">
        <v>606.36</v>
      </c>
    </row>
    <row r="2425" spans="1:9" x14ac:dyDescent="0.25">
      <c r="A2425" s="5" t="str">
        <f>TrendSheetPrdData[[#This Row],[Population]]&amp;TrendSheetPrdData[[#This Row],[Cost Basis]]&amp;TrendSheetPrdData[[#This Row],[Period]]&amp;TrendSheetPrdData[[#This Row],[Trend]]</f>
        <v>MSSP_NONATTRIBUTEDPaid2016-06-01Medical PMPM</v>
      </c>
      <c r="B2425" t="s">
        <v>129</v>
      </c>
      <c r="C2425" t="s">
        <v>129</v>
      </c>
      <c r="D2425" t="s">
        <v>78</v>
      </c>
      <c r="E2425" s="1" t="s">
        <v>96</v>
      </c>
      <c r="F2425" t="s">
        <v>93</v>
      </c>
      <c r="G2425" t="s">
        <v>12</v>
      </c>
      <c r="H2425">
        <v>1</v>
      </c>
      <c r="I2425">
        <v>628.91</v>
      </c>
    </row>
    <row r="2426" spans="1:9" x14ac:dyDescent="0.25">
      <c r="A2426" s="5" t="str">
        <f>TrendSheetPrdData[[#This Row],[Population]]&amp;TrendSheetPrdData[[#This Row],[Cost Basis]]&amp;TrendSheetPrdData[[#This Row],[Period]]&amp;TrendSheetPrdData[[#This Row],[Trend]]</f>
        <v>MSSP_NONATTRIBUTEDPaid2016-07-01Medical PMPM</v>
      </c>
      <c r="B2426" t="s">
        <v>129</v>
      </c>
      <c r="C2426" t="s">
        <v>129</v>
      </c>
      <c r="D2426" t="s">
        <v>78</v>
      </c>
      <c r="E2426" s="1" t="s">
        <v>97</v>
      </c>
      <c r="F2426" t="s">
        <v>93</v>
      </c>
      <c r="G2426" t="s">
        <v>12</v>
      </c>
      <c r="H2426">
        <v>1</v>
      </c>
      <c r="I2426">
        <v>662.28</v>
      </c>
    </row>
    <row r="2427" spans="1:9" x14ac:dyDescent="0.25">
      <c r="A2427" s="5" t="str">
        <f>TrendSheetPrdData[[#This Row],[Population]]&amp;TrendSheetPrdData[[#This Row],[Cost Basis]]&amp;TrendSheetPrdData[[#This Row],[Period]]&amp;TrendSheetPrdData[[#This Row],[Trend]]</f>
        <v>MSSP_NONATTRIBUTEDPaid2016-08-01Medical PMPM</v>
      </c>
      <c r="B2427" t="s">
        <v>129</v>
      </c>
      <c r="C2427" t="s">
        <v>129</v>
      </c>
      <c r="D2427" t="s">
        <v>78</v>
      </c>
      <c r="E2427" s="1" t="s">
        <v>98</v>
      </c>
      <c r="F2427" t="s">
        <v>93</v>
      </c>
      <c r="G2427" t="s">
        <v>12</v>
      </c>
      <c r="H2427">
        <v>1</v>
      </c>
      <c r="I2427">
        <v>668.57</v>
      </c>
    </row>
    <row r="2428" spans="1:9" x14ac:dyDescent="0.25">
      <c r="A2428" s="5" t="str">
        <f>TrendSheetPrdData[[#This Row],[Population]]&amp;TrendSheetPrdData[[#This Row],[Cost Basis]]&amp;TrendSheetPrdData[[#This Row],[Period]]&amp;TrendSheetPrdData[[#This Row],[Trend]]</f>
        <v>MSSP_NONATTRIBUTEDPaid2016-09-01Medical PMPM</v>
      </c>
      <c r="B2428" t="s">
        <v>129</v>
      </c>
      <c r="C2428" t="s">
        <v>129</v>
      </c>
      <c r="D2428" t="s">
        <v>78</v>
      </c>
      <c r="E2428" s="1" t="s">
        <v>99</v>
      </c>
      <c r="F2428" t="s">
        <v>93</v>
      </c>
      <c r="G2428" t="s">
        <v>12</v>
      </c>
      <c r="H2428">
        <v>1</v>
      </c>
      <c r="I2428">
        <v>701.24</v>
      </c>
    </row>
    <row r="2429" spans="1:9" x14ac:dyDescent="0.25">
      <c r="A2429" s="5" t="str">
        <f>TrendSheetPrdData[[#This Row],[Population]]&amp;TrendSheetPrdData[[#This Row],[Cost Basis]]&amp;TrendSheetPrdData[[#This Row],[Period]]&amp;TrendSheetPrdData[[#This Row],[Trend]]</f>
        <v>MSSP_NONATTRIBUTEDPaid2016-10-01Medical PMPM</v>
      </c>
      <c r="B2429" t="s">
        <v>129</v>
      </c>
      <c r="C2429" t="s">
        <v>129</v>
      </c>
      <c r="D2429" t="s">
        <v>78</v>
      </c>
      <c r="E2429" s="1" t="s">
        <v>100</v>
      </c>
      <c r="F2429" t="s">
        <v>106</v>
      </c>
      <c r="G2429" t="s">
        <v>12</v>
      </c>
      <c r="H2429">
        <v>1</v>
      </c>
      <c r="I2429">
        <v>723.15</v>
      </c>
    </row>
    <row r="2430" spans="1:9" x14ac:dyDescent="0.25">
      <c r="A2430" s="5" t="str">
        <f>TrendSheetPrdData[[#This Row],[Population]]&amp;TrendSheetPrdData[[#This Row],[Cost Basis]]&amp;TrendSheetPrdData[[#This Row],[Period]]&amp;TrendSheetPrdData[[#This Row],[Trend]]</f>
        <v>MSSP_NONATTRIBUTEDPaid2016-11-01Medical PMPM</v>
      </c>
      <c r="B2430" t="s">
        <v>129</v>
      </c>
      <c r="C2430" t="s">
        <v>129</v>
      </c>
      <c r="D2430" t="s">
        <v>78</v>
      </c>
      <c r="E2430" s="1" t="s">
        <v>101</v>
      </c>
      <c r="F2430" t="s">
        <v>106</v>
      </c>
      <c r="G2430" t="s">
        <v>12</v>
      </c>
      <c r="H2430">
        <v>1</v>
      </c>
      <c r="I2430">
        <v>618.85</v>
      </c>
    </row>
    <row r="2431" spans="1:9" x14ac:dyDescent="0.25">
      <c r="A2431" s="5" t="str">
        <f>TrendSheetPrdData[[#This Row],[Population]]&amp;TrendSheetPrdData[[#This Row],[Cost Basis]]&amp;TrendSheetPrdData[[#This Row],[Period]]&amp;TrendSheetPrdData[[#This Row],[Trend]]</f>
        <v>MSSP_NONATTRIBUTEDPaid2016-12-01Medical PMPM</v>
      </c>
      <c r="B2431" t="s">
        <v>129</v>
      </c>
      <c r="C2431" t="s">
        <v>129</v>
      </c>
      <c r="D2431" t="s">
        <v>78</v>
      </c>
      <c r="E2431" s="1" t="s">
        <v>102</v>
      </c>
      <c r="F2431" t="s">
        <v>106</v>
      </c>
      <c r="G2431" t="s">
        <v>12</v>
      </c>
      <c r="H2431">
        <v>1</v>
      </c>
      <c r="I2431">
        <v>173.69</v>
      </c>
    </row>
    <row r="2432" spans="1:9" x14ac:dyDescent="0.25">
      <c r="A2432" s="5" t="str">
        <f>TrendSheetPrdData[[#This Row],[Population]]&amp;TrendSheetPrdData[[#This Row],[Cost Basis]]&amp;TrendSheetPrdData[[#This Row],[Period]]&amp;TrendSheetPrdData[[#This Row],[Trend]]</f>
        <v>MSSP_NONATTRIBUTEDPaid2015-10-01Drug PMPM</v>
      </c>
      <c r="B2432" t="s">
        <v>129</v>
      </c>
      <c r="C2432" t="s">
        <v>129</v>
      </c>
      <c r="D2432" t="s">
        <v>78</v>
      </c>
      <c r="E2432" s="1" t="s">
        <v>134</v>
      </c>
      <c r="F2432" t="s">
        <v>93</v>
      </c>
      <c r="G2432" t="s">
        <v>13</v>
      </c>
      <c r="H2432">
        <v>2</v>
      </c>
      <c r="I2432">
        <v>29.09</v>
      </c>
    </row>
    <row r="2433" spans="1:9" x14ac:dyDescent="0.25">
      <c r="A2433" s="5" t="str">
        <f>TrendSheetPrdData[[#This Row],[Population]]&amp;TrendSheetPrdData[[#This Row],[Cost Basis]]&amp;TrendSheetPrdData[[#This Row],[Period]]&amp;TrendSheetPrdData[[#This Row],[Trend]]</f>
        <v>MSSP_NONATTRIBUTEDPaid2015-11-01Drug PMPM</v>
      </c>
      <c r="B2433" t="s">
        <v>129</v>
      </c>
      <c r="C2433" t="s">
        <v>129</v>
      </c>
      <c r="D2433" t="s">
        <v>78</v>
      </c>
      <c r="E2433" s="1" t="s">
        <v>130</v>
      </c>
      <c r="F2433" t="s">
        <v>93</v>
      </c>
      <c r="G2433" t="s">
        <v>13</v>
      </c>
      <c r="H2433">
        <v>2</v>
      </c>
      <c r="I2433">
        <v>20.61</v>
      </c>
    </row>
    <row r="2434" spans="1:9" x14ac:dyDescent="0.25">
      <c r="A2434" s="5" t="str">
        <f>TrendSheetPrdData[[#This Row],[Population]]&amp;TrendSheetPrdData[[#This Row],[Cost Basis]]&amp;TrendSheetPrdData[[#This Row],[Period]]&amp;TrendSheetPrdData[[#This Row],[Trend]]</f>
        <v>MSSP_NONATTRIBUTEDPaid2015-12-01Drug PMPM</v>
      </c>
      <c r="B2434" t="s">
        <v>129</v>
      </c>
      <c r="C2434" t="s">
        <v>129</v>
      </c>
      <c r="D2434" t="s">
        <v>78</v>
      </c>
      <c r="E2434" s="1" t="s">
        <v>131</v>
      </c>
      <c r="F2434" t="s">
        <v>93</v>
      </c>
      <c r="G2434" t="s">
        <v>13</v>
      </c>
      <c r="H2434">
        <v>2</v>
      </c>
      <c r="I2434">
        <v>18.46</v>
      </c>
    </row>
    <row r="2435" spans="1:9" x14ac:dyDescent="0.25">
      <c r="A2435" s="5" t="str">
        <f>TrendSheetPrdData[[#This Row],[Population]]&amp;TrendSheetPrdData[[#This Row],[Cost Basis]]&amp;TrendSheetPrdData[[#This Row],[Period]]&amp;TrendSheetPrdData[[#This Row],[Trend]]</f>
        <v>MSSP_NONATTRIBUTEDPaid2016-01-01Drug PMPM</v>
      </c>
      <c r="B2435" t="s">
        <v>129</v>
      </c>
      <c r="C2435" t="s">
        <v>129</v>
      </c>
      <c r="D2435" t="s">
        <v>78</v>
      </c>
      <c r="E2435" s="1" t="s">
        <v>132</v>
      </c>
      <c r="F2435" t="s">
        <v>93</v>
      </c>
      <c r="G2435" t="s">
        <v>13</v>
      </c>
      <c r="H2435">
        <v>2</v>
      </c>
      <c r="I2435">
        <v>31.19</v>
      </c>
    </row>
    <row r="2436" spans="1:9" x14ac:dyDescent="0.25">
      <c r="A2436" s="5" t="str">
        <f>TrendSheetPrdData[[#This Row],[Population]]&amp;TrendSheetPrdData[[#This Row],[Cost Basis]]&amp;TrendSheetPrdData[[#This Row],[Period]]&amp;TrendSheetPrdData[[#This Row],[Trend]]</f>
        <v>MSSP_NONATTRIBUTEDPaid2016-02-01Drug PMPM</v>
      </c>
      <c r="B2436" t="s">
        <v>129</v>
      </c>
      <c r="C2436" t="s">
        <v>129</v>
      </c>
      <c r="D2436" t="s">
        <v>78</v>
      </c>
      <c r="E2436" s="1" t="s">
        <v>133</v>
      </c>
      <c r="F2436" t="s">
        <v>93</v>
      </c>
      <c r="G2436" t="s">
        <v>13</v>
      </c>
      <c r="H2436">
        <v>2</v>
      </c>
      <c r="I2436">
        <v>27.42</v>
      </c>
    </row>
    <row r="2437" spans="1:9" x14ac:dyDescent="0.25">
      <c r="A2437" s="5" t="str">
        <f>TrendSheetPrdData[[#This Row],[Population]]&amp;TrendSheetPrdData[[#This Row],[Cost Basis]]&amp;TrendSheetPrdData[[#This Row],[Period]]&amp;TrendSheetPrdData[[#This Row],[Trend]]</f>
        <v>MSSP_NONATTRIBUTEDPaid2016-03-01Drug PMPM</v>
      </c>
      <c r="B2437" t="s">
        <v>129</v>
      </c>
      <c r="C2437" t="s">
        <v>129</v>
      </c>
      <c r="D2437" t="s">
        <v>78</v>
      </c>
      <c r="E2437" s="1" t="s">
        <v>92</v>
      </c>
      <c r="F2437" t="s">
        <v>93</v>
      </c>
      <c r="G2437" t="s">
        <v>13</v>
      </c>
      <c r="H2437">
        <v>2</v>
      </c>
      <c r="I2437">
        <v>26.82</v>
      </c>
    </row>
    <row r="2438" spans="1:9" x14ac:dyDescent="0.25">
      <c r="A2438" s="5" t="str">
        <f>TrendSheetPrdData[[#This Row],[Population]]&amp;TrendSheetPrdData[[#This Row],[Cost Basis]]&amp;TrendSheetPrdData[[#This Row],[Period]]&amp;TrendSheetPrdData[[#This Row],[Trend]]</f>
        <v>MSSP_NONATTRIBUTEDPaid2016-04-01Drug PMPM</v>
      </c>
      <c r="B2438" t="s">
        <v>129</v>
      </c>
      <c r="C2438" t="s">
        <v>129</v>
      </c>
      <c r="D2438" t="s">
        <v>78</v>
      </c>
      <c r="E2438" s="1" t="s">
        <v>94</v>
      </c>
      <c r="F2438" t="s">
        <v>93</v>
      </c>
      <c r="G2438" t="s">
        <v>13</v>
      </c>
      <c r="H2438">
        <v>2</v>
      </c>
      <c r="I2438">
        <v>25.29</v>
      </c>
    </row>
    <row r="2439" spans="1:9" x14ac:dyDescent="0.25">
      <c r="A2439" s="5" t="str">
        <f>TrendSheetPrdData[[#This Row],[Population]]&amp;TrendSheetPrdData[[#This Row],[Cost Basis]]&amp;TrendSheetPrdData[[#This Row],[Period]]&amp;TrendSheetPrdData[[#This Row],[Trend]]</f>
        <v>MSSP_NONATTRIBUTEDPaid2016-05-01Drug PMPM</v>
      </c>
      <c r="B2439" t="s">
        <v>129</v>
      </c>
      <c r="C2439" t="s">
        <v>129</v>
      </c>
      <c r="D2439" t="s">
        <v>78</v>
      </c>
      <c r="E2439" s="1" t="s">
        <v>95</v>
      </c>
      <c r="F2439" t="s">
        <v>93</v>
      </c>
      <c r="G2439" t="s">
        <v>13</v>
      </c>
      <c r="H2439">
        <v>2</v>
      </c>
      <c r="I2439">
        <v>27.33</v>
      </c>
    </row>
    <row r="2440" spans="1:9" x14ac:dyDescent="0.25">
      <c r="A2440" s="5" t="str">
        <f>TrendSheetPrdData[[#This Row],[Population]]&amp;TrendSheetPrdData[[#This Row],[Cost Basis]]&amp;TrendSheetPrdData[[#This Row],[Period]]&amp;TrendSheetPrdData[[#This Row],[Trend]]</f>
        <v>MSSP_NONATTRIBUTEDPaid2016-06-01Drug PMPM</v>
      </c>
      <c r="B2440" t="s">
        <v>129</v>
      </c>
      <c r="C2440" t="s">
        <v>129</v>
      </c>
      <c r="D2440" t="s">
        <v>78</v>
      </c>
      <c r="E2440" s="1" t="s">
        <v>96</v>
      </c>
      <c r="F2440" t="s">
        <v>93</v>
      </c>
      <c r="G2440" t="s">
        <v>13</v>
      </c>
      <c r="H2440">
        <v>2</v>
      </c>
      <c r="I2440">
        <v>23.71</v>
      </c>
    </row>
    <row r="2441" spans="1:9" x14ac:dyDescent="0.25">
      <c r="A2441" s="5" t="str">
        <f>TrendSheetPrdData[[#This Row],[Population]]&amp;TrendSheetPrdData[[#This Row],[Cost Basis]]&amp;TrendSheetPrdData[[#This Row],[Period]]&amp;TrendSheetPrdData[[#This Row],[Trend]]</f>
        <v>MSSP_NONATTRIBUTEDPaid2016-07-01Drug PMPM</v>
      </c>
      <c r="B2441" t="s">
        <v>129</v>
      </c>
      <c r="C2441" t="s">
        <v>129</v>
      </c>
      <c r="D2441" t="s">
        <v>78</v>
      </c>
      <c r="E2441" s="1" t="s">
        <v>97</v>
      </c>
      <c r="F2441" t="s">
        <v>93</v>
      </c>
      <c r="G2441" t="s">
        <v>13</v>
      </c>
      <c r="H2441">
        <v>2</v>
      </c>
      <c r="I2441">
        <v>25.67</v>
      </c>
    </row>
    <row r="2442" spans="1:9" x14ac:dyDescent="0.25">
      <c r="A2442" s="5" t="str">
        <f>TrendSheetPrdData[[#This Row],[Population]]&amp;TrendSheetPrdData[[#This Row],[Cost Basis]]&amp;TrendSheetPrdData[[#This Row],[Period]]&amp;TrendSheetPrdData[[#This Row],[Trend]]</f>
        <v>MSSP_NONATTRIBUTEDPaid2016-08-01Drug PMPM</v>
      </c>
      <c r="B2442" t="s">
        <v>129</v>
      </c>
      <c r="C2442" t="s">
        <v>129</v>
      </c>
      <c r="D2442" t="s">
        <v>78</v>
      </c>
      <c r="E2442" s="1" t="s">
        <v>98</v>
      </c>
      <c r="F2442" t="s">
        <v>93</v>
      </c>
      <c r="G2442" t="s">
        <v>13</v>
      </c>
      <c r="H2442">
        <v>2</v>
      </c>
      <c r="I2442">
        <v>22.87</v>
      </c>
    </row>
    <row r="2443" spans="1:9" x14ac:dyDescent="0.25">
      <c r="A2443" s="5" t="str">
        <f>TrendSheetPrdData[[#This Row],[Population]]&amp;TrendSheetPrdData[[#This Row],[Cost Basis]]&amp;TrendSheetPrdData[[#This Row],[Period]]&amp;TrendSheetPrdData[[#This Row],[Trend]]</f>
        <v>MSSP_NONATTRIBUTEDPaid2016-09-01Drug PMPM</v>
      </c>
      <c r="B2443" t="s">
        <v>129</v>
      </c>
      <c r="C2443" t="s">
        <v>129</v>
      </c>
      <c r="D2443" t="s">
        <v>78</v>
      </c>
      <c r="E2443" s="1" t="s">
        <v>99</v>
      </c>
      <c r="F2443" t="s">
        <v>93</v>
      </c>
      <c r="G2443" t="s">
        <v>13</v>
      </c>
      <c r="H2443">
        <v>2</v>
      </c>
      <c r="I2443">
        <v>23.04</v>
      </c>
    </row>
    <row r="2444" spans="1:9" x14ac:dyDescent="0.25">
      <c r="A2444" s="5" t="str">
        <f>TrendSheetPrdData[[#This Row],[Population]]&amp;TrendSheetPrdData[[#This Row],[Cost Basis]]&amp;TrendSheetPrdData[[#This Row],[Period]]&amp;TrendSheetPrdData[[#This Row],[Trend]]</f>
        <v>MSSP_NONATTRIBUTEDPaid2016-10-01Drug PMPM</v>
      </c>
      <c r="B2444" t="s">
        <v>129</v>
      </c>
      <c r="C2444" t="s">
        <v>129</v>
      </c>
      <c r="D2444" t="s">
        <v>78</v>
      </c>
      <c r="E2444" s="1" t="s">
        <v>100</v>
      </c>
      <c r="F2444" t="s">
        <v>106</v>
      </c>
      <c r="G2444" t="s">
        <v>13</v>
      </c>
      <c r="H2444">
        <v>2</v>
      </c>
      <c r="I2444">
        <v>22.88</v>
      </c>
    </row>
    <row r="2445" spans="1:9" x14ac:dyDescent="0.25">
      <c r="A2445" s="5" t="str">
        <f>TrendSheetPrdData[[#This Row],[Population]]&amp;TrendSheetPrdData[[#This Row],[Cost Basis]]&amp;TrendSheetPrdData[[#This Row],[Period]]&amp;TrendSheetPrdData[[#This Row],[Trend]]</f>
        <v>MSSP_NONATTRIBUTEDPaid2016-11-01Drug PMPM</v>
      </c>
      <c r="B2445" t="s">
        <v>129</v>
      </c>
      <c r="C2445" t="s">
        <v>129</v>
      </c>
      <c r="D2445" t="s">
        <v>78</v>
      </c>
      <c r="E2445" s="1" t="s">
        <v>101</v>
      </c>
      <c r="F2445" t="s">
        <v>106</v>
      </c>
      <c r="G2445" t="s">
        <v>13</v>
      </c>
      <c r="H2445">
        <v>2</v>
      </c>
      <c r="I2445">
        <v>25.85</v>
      </c>
    </row>
    <row r="2446" spans="1:9" x14ac:dyDescent="0.25">
      <c r="A2446" s="5" t="str">
        <f>TrendSheetPrdData[[#This Row],[Population]]&amp;TrendSheetPrdData[[#This Row],[Cost Basis]]&amp;TrendSheetPrdData[[#This Row],[Period]]&amp;TrendSheetPrdData[[#This Row],[Trend]]</f>
        <v>MSSP_NONATTRIBUTEDPaid2016-12-01Drug PMPM</v>
      </c>
      <c r="B2446" t="s">
        <v>129</v>
      </c>
      <c r="C2446" t="s">
        <v>129</v>
      </c>
      <c r="D2446" t="s">
        <v>78</v>
      </c>
      <c r="E2446" s="1" t="s">
        <v>102</v>
      </c>
      <c r="F2446" t="s">
        <v>106</v>
      </c>
      <c r="G2446" t="s">
        <v>13</v>
      </c>
      <c r="H2446">
        <v>2</v>
      </c>
      <c r="I2446">
        <v>15.4</v>
      </c>
    </row>
    <row r="2447" spans="1:9" x14ac:dyDescent="0.25">
      <c r="A2447" s="5" t="str">
        <f>TrendSheetPrdData[[#This Row],[Population]]&amp;TrendSheetPrdData[[#This Row],[Cost Basis]]&amp;TrendSheetPrdData[[#This Row],[Period]]&amp;TrendSheetPrdData[[#This Row],[Trend]]</f>
        <v>MSSP_NONATTRIBUTEDPaid2015-10-01Overall PMPM</v>
      </c>
      <c r="B2447" t="s">
        <v>129</v>
      </c>
      <c r="C2447" t="s">
        <v>129</v>
      </c>
      <c r="D2447" t="s">
        <v>78</v>
      </c>
      <c r="E2447" s="1" t="s">
        <v>134</v>
      </c>
      <c r="F2447" t="s">
        <v>93</v>
      </c>
      <c r="G2447" t="s">
        <v>14</v>
      </c>
      <c r="H2447">
        <v>3</v>
      </c>
      <c r="I2447">
        <v>746.28</v>
      </c>
    </row>
    <row r="2448" spans="1:9" x14ac:dyDescent="0.25">
      <c r="A2448" s="5" t="str">
        <f>TrendSheetPrdData[[#This Row],[Population]]&amp;TrendSheetPrdData[[#This Row],[Cost Basis]]&amp;TrendSheetPrdData[[#This Row],[Period]]&amp;TrendSheetPrdData[[#This Row],[Trend]]</f>
        <v>MSSP_NONATTRIBUTEDPaid2015-11-01Overall PMPM</v>
      </c>
      <c r="B2448" t="s">
        <v>129</v>
      </c>
      <c r="C2448" t="s">
        <v>129</v>
      </c>
      <c r="D2448" t="s">
        <v>78</v>
      </c>
      <c r="E2448" s="1" t="s">
        <v>130</v>
      </c>
      <c r="F2448" t="s">
        <v>93</v>
      </c>
      <c r="G2448" t="s">
        <v>14</v>
      </c>
      <c r="H2448">
        <v>3</v>
      </c>
      <c r="I2448">
        <v>480.53</v>
      </c>
    </row>
    <row r="2449" spans="1:9" x14ac:dyDescent="0.25">
      <c r="A2449" s="5" t="str">
        <f>TrendSheetPrdData[[#This Row],[Population]]&amp;TrendSheetPrdData[[#This Row],[Cost Basis]]&amp;TrendSheetPrdData[[#This Row],[Period]]&amp;TrendSheetPrdData[[#This Row],[Trend]]</f>
        <v>MSSP_NONATTRIBUTEDPaid2015-12-01Overall PMPM</v>
      </c>
      <c r="B2449" t="s">
        <v>129</v>
      </c>
      <c r="C2449" t="s">
        <v>129</v>
      </c>
      <c r="D2449" t="s">
        <v>78</v>
      </c>
      <c r="E2449" s="1" t="s">
        <v>131</v>
      </c>
      <c r="F2449" t="s">
        <v>93</v>
      </c>
      <c r="G2449" t="s">
        <v>14</v>
      </c>
      <c r="H2449">
        <v>3</v>
      </c>
      <c r="I2449">
        <v>854.65</v>
      </c>
    </row>
    <row r="2450" spans="1:9" x14ac:dyDescent="0.25">
      <c r="A2450" s="5" t="str">
        <f>TrendSheetPrdData[[#This Row],[Population]]&amp;TrendSheetPrdData[[#This Row],[Cost Basis]]&amp;TrendSheetPrdData[[#This Row],[Period]]&amp;TrendSheetPrdData[[#This Row],[Trend]]</f>
        <v>MSSP_NONATTRIBUTEDPaid2016-01-01Overall PMPM</v>
      </c>
      <c r="B2450" t="s">
        <v>129</v>
      </c>
      <c r="C2450" t="s">
        <v>129</v>
      </c>
      <c r="D2450" t="s">
        <v>78</v>
      </c>
      <c r="E2450" s="1" t="s">
        <v>132</v>
      </c>
      <c r="F2450" t="s">
        <v>93</v>
      </c>
      <c r="G2450" t="s">
        <v>14</v>
      </c>
      <c r="H2450">
        <v>3</v>
      </c>
      <c r="I2450">
        <v>828.82</v>
      </c>
    </row>
    <row r="2451" spans="1:9" x14ac:dyDescent="0.25">
      <c r="A2451" s="5" t="str">
        <f>TrendSheetPrdData[[#This Row],[Population]]&amp;TrendSheetPrdData[[#This Row],[Cost Basis]]&amp;TrendSheetPrdData[[#This Row],[Period]]&amp;TrendSheetPrdData[[#This Row],[Trend]]</f>
        <v>MSSP_NONATTRIBUTEDPaid2016-02-01Overall PMPM</v>
      </c>
      <c r="B2451" t="s">
        <v>129</v>
      </c>
      <c r="C2451" t="s">
        <v>129</v>
      </c>
      <c r="D2451" t="s">
        <v>78</v>
      </c>
      <c r="E2451" s="1" t="s">
        <v>133</v>
      </c>
      <c r="F2451" t="s">
        <v>93</v>
      </c>
      <c r="G2451" t="s">
        <v>14</v>
      </c>
      <c r="H2451">
        <v>3</v>
      </c>
      <c r="I2451">
        <v>763.63</v>
      </c>
    </row>
    <row r="2452" spans="1:9" x14ac:dyDescent="0.25">
      <c r="A2452" s="5" t="str">
        <f>TrendSheetPrdData[[#This Row],[Population]]&amp;TrendSheetPrdData[[#This Row],[Cost Basis]]&amp;TrendSheetPrdData[[#This Row],[Period]]&amp;TrendSheetPrdData[[#This Row],[Trend]]</f>
        <v>MSSP_NONATTRIBUTEDPaid2016-03-01Overall PMPM</v>
      </c>
      <c r="B2452" t="s">
        <v>129</v>
      </c>
      <c r="C2452" t="s">
        <v>129</v>
      </c>
      <c r="D2452" t="s">
        <v>78</v>
      </c>
      <c r="E2452" s="1" t="s">
        <v>92</v>
      </c>
      <c r="F2452" t="s">
        <v>93</v>
      </c>
      <c r="G2452" t="s">
        <v>14</v>
      </c>
      <c r="H2452">
        <v>3</v>
      </c>
      <c r="I2452">
        <v>719.79</v>
      </c>
    </row>
    <row r="2453" spans="1:9" x14ac:dyDescent="0.25">
      <c r="A2453" s="5" t="str">
        <f>TrendSheetPrdData[[#This Row],[Population]]&amp;TrendSheetPrdData[[#This Row],[Cost Basis]]&amp;TrendSheetPrdData[[#This Row],[Period]]&amp;TrendSheetPrdData[[#This Row],[Trend]]</f>
        <v>MSSP_NONATTRIBUTEDPaid2016-04-01Overall PMPM</v>
      </c>
      <c r="B2453" t="s">
        <v>129</v>
      </c>
      <c r="C2453" t="s">
        <v>129</v>
      </c>
      <c r="D2453" t="s">
        <v>78</v>
      </c>
      <c r="E2453" s="1" t="s">
        <v>94</v>
      </c>
      <c r="F2453" t="s">
        <v>93</v>
      </c>
      <c r="G2453" t="s">
        <v>14</v>
      </c>
      <c r="H2453">
        <v>3</v>
      </c>
      <c r="I2453">
        <v>529.07000000000005</v>
      </c>
    </row>
    <row r="2454" spans="1:9" x14ac:dyDescent="0.25">
      <c r="A2454" s="5" t="str">
        <f>TrendSheetPrdData[[#This Row],[Population]]&amp;TrendSheetPrdData[[#This Row],[Cost Basis]]&amp;TrendSheetPrdData[[#This Row],[Period]]&amp;TrendSheetPrdData[[#This Row],[Trend]]</f>
        <v>MSSP_NONATTRIBUTEDPaid2016-05-01Overall PMPM</v>
      </c>
      <c r="B2454" t="s">
        <v>129</v>
      </c>
      <c r="C2454" t="s">
        <v>129</v>
      </c>
      <c r="D2454" t="s">
        <v>78</v>
      </c>
      <c r="E2454" s="1" t="s">
        <v>95</v>
      </c>
      <c r="F2454" t="s">
        <v>93</v>
      </c>
      <c r="G2454" t="s">
        <v>14</v>
      </c>
      <c r="H2454">
        <v>3</v>
      </c>
      <c r="I2454">
        <v>633.69000000000005</v>
      </c>
    </row>
    <row r="2455" spans="1:9" x14ac:dyDescent="0.25">
      <c r="A2455" s="5" t="str">
        <f>TrendSheetPrdData[[#This Row],[Population]]&amp;TrendSheetPrdData[[#This Row],[Cost Basis]]&amp;TrendSheetPrdData[[#This Row],[Period]]&amp;TrendSheetPrdData[[#This Row],[Trend]]</f>
        <v>MSSP_NONATTRIBUTEDPaid2016-06-01Overall PMPM</v>
      </c>
      <c r="B2455" t="s">
        <v>129</v>
      </c>
      <c r="C2455" t="s">
        <v>129</v>
      </c>
      <c r="D2455" t="s">
        <v>78</v>
      </c>
      <c r="E2455" s="1" t="s">
        <v>96</v>
      </c>
      <c r="F2455" t="s">
        <v>93</v>
      </c>
      <c r="G2455" t="s">
        <v>14</v>
      </c>
      <c r="H2455">
        <v>3</v>
      </c>
      <c r="I2455">
        <v>652.62</v>
      </c>
    </row>
    <row r="2456" spans="1:9" x14ac:dyDescent="0.25">
      <c r="A2456" s="5" t="str">
        <f>TrendSheetPrdData[[#This Row],[Population]]&amp;TrendSheetPrdData[[#This Row],[Cost Basis]]&amp;TrendSheetPrdData[[#This Row],[Period]]&amp;TrendSheetPrdData[[#This Row],[Trend]]</f>
        <v>MSSP_NONATTRIBUTEDPaid2016-07-01Overall PMPM</v>
      </c>
      <c r="B2456" t="s">
        <v>129</v>
      </c>
      <c r="C2456" t="s">
        <v>129</v>
      </c>
      <c r="D2456" t="s">
        <v>78</v>
      </c>
      <c r="E2456" s="1" t="s">
        <v>97</v>
      </c>
      <c r="F2456" t="s">
        <v>93</v>
      </c>
      <c r="G2456" t="s">
        <v>14</v>
      </c>
      <c r="H2456">
        <v>3</v>
      </c>
      <c r="I2456">
        <v>687.95</v>
      </c>
    </row>
    <row r="2457" spans="1:9" x14ac:dyDescent="0.25">
      <c r="A2457" s="5" t="str">
        <f>TrendSheetPrdData[[#This Row],[Population]]&amp;TrendSheetPrdData[[#This Row],[Cost Basis]]&amp;TrendSheetPrdData[[#This Row],[Period]]&amp;TrendSheetPrdData[[#This Row],[Trend]]</f>
        <v>MSSP_NONATTRIBUTEDPaid2016-08-01Overall PMPM</v>
      </c>
      <c r="B2457" t="s">
        <v>129</v>
      </c>
      <c r="C2457" t="s">
        <v>129</v>
      </c>
      <c r="D2457" t="s">
        <v>78</v>
      </c>
      <c r="E2457" s="1" t="s">
        <v>98</v>
      </c>
      <c r="F2457" t="s">
        <v>93</v>
      </c>
      <c r="G2457" t="s">
        <v>14</v>
      </c>
      <c r="H2457">
        <v>3</v>
      </c>
      <c r="I2457">
        <v>691.44</v>
      </c>
    </row>
    <row r="2458" spans="1:9" x14ac:dyDescent="0.25">
      <c r="A2458" s="5" t="str">
        <f>TrendSheetPrdData[[#This Row],[Population]]&amp;TrendSheetPrdData[[#This Row],[Cost Basis]]&amp;TrendSheetPrdData[[#This Row],[Period]]&amp;TrendSheetPrdData[[#This Row],[Trend]]</f>
        <v>MSSP_NONATTRIBUTEDPaid2016-09-01Overall PMPM</v>
      </c>
      <c r="B2458" t="s">
        <v>129</v>
      </c>
      <c r="C2458" t="s">
        <v>129</v>
      </c>
      <c r="D2458" t="s">
        <v>78</v>
      </c>
      <c r="E2458" s="1" t="s">
        <v>99</v>
      </c>
      <c r="F2458" t="s">
        <v>93</v>
      </c>
      <c r="G2458" t="s">
        <v>14</v>
      </c>
      <c r="H2458">
        <v>3</v>
      </c>
      <c r="I2458">
        <v>724.28</v>
      </c>
    </row>
    <row r="2459" spans="1:9" x14ac:dyDescent="0.25">
      <c r="A2459" s="5" t="str">
        <f>TrendSheetPrdData[[#This Row],[Population]]&amp;TrendSheetPrdData[[#This Row],[Cost Basis]]&amp;TrendSheetPrdData[[#This Row],[Period]]&amp;TrendSheetPrdData[[#This Row],[Trend]]</f>
        <v>MSSP_NONATTRIBUTEDPaid2016-10-01Overall PMPM</v>
      </c>
      <c r="B2459" t="s">
        <v>129</v>
      </c>
      <c r="C2459" t="s">
        <v>129</v>
      </c>
      <c r="D2459" t="s">
        <v>78</v>
      </c>
      <c r="E2459" s="1" t="s">
        <v>100</v>
      </c>
      <c r="F2459" t="s">
        <v>106</v>
      </c>
      <c r="G2459" t="s">
        <v>14</v>
      </c>
      <c r="H2459">
        <v>3</v>
      </c>
      <c r="I2459">
        <v>746.03</v>
      </c>
    </row>
    <row r="2460" spans="1:9" x14ac:dyDescent="0.25">
      <c r="A2460" s="5" t="str">
        <f>TrendSheetPrdData[[#This Row],[Population]]&amp;TrendSheetPrdData[[#This Row],[Cost Basis]]&amp;TrendSheetPrdData[[#This Row],[Period]]&amp;TrendSheetPrdData[[#This Row],[Trend]]</f>
        <v>MSSP_NONATTRIBUTEDPaid2016-11-01Overall PMPM</v>
      </c>
      <c r="B2460" t="s">
        <v>129</v>
      </c>
      <c r="C2460" t="s">
        <v>129</v>
      </c>
      <c r="D2460" t="s">
        <v>78</v>
      </c>
      <c r="E2460" s="1" t="s">
        <v>101</v>
      </c>
      <c r="F2460" t="s">
        <v>106</v>
      </c>
      <c r="G2460" t="s">
        <v>14</v>
      </c>
      <c r="H2460">
        <v>3</v>
      </c>
      <c r="I2460">
        <v>644.70000000000005</v>
      </c>
    </row>
    <row r="2461" spans="1:9" x14ac:dyDescent="0.25">
      <c r="A2461" s="5" t="str">
        <f>TrendSheetPrdData[[#This Row],[Population]]&amp;TrendSheetPrdData[[#This Row],[Cost Basis]]&amp;TrendSheetPrdData[[#This Row],[Period]]&amp;TrendSheetPrdData[[#This Row],[Trend]]</f>
        <v>MSSP_NONATTRIBUTEDPaid2016-12-01Overall PMPM</v>
      </c>
      <c r="B2461" t="s">
        <v>129</v>
      </c>
      <c r="C2461" t="s">
        <v>129</v>
      </c>
      <c r="D2461" t="s">
        <v>78</v>
      </c>
      <c r="E2461" s="1" t="s">
        <v>102</v>
      </c>
      <c r="F2461" t="s">
        <v>106</v>
      </c>
      <c r="G2461" t="s">
        <v>14</v>
      </c>
      <c r="H2461">
        <v>3</v>
      </c>
      <c r="I2461">
        <v>189.09</v>
      </c>
    </row>
    <row r="2462" spans="1:9" x14ac:dyDescent="0.25">
      <c r="A2462" s="5" t="str">
        <f>TrendSheetPrdData[[#This Row],[Population]]&amp;TrendSheetPrdData[[#This Row],[Cost Basis]]&amp;TrendSheetPrdData[[#This Row],[Period]]&amp;TrendSheetPrdData[[#This Row],[Trend]]</f>
        <v>MSSP_NONATTRIBUTEDPaid2015-10-01Readmission Cost</v>
      </c>
      <c r="B2462" t="s">
        <v>129</v>
      </c>
      <c r="C2462" t="s">
        <v>129</v>
      </c>
      <c r="D2462" t="s">
        <v>78</v>
      </c>
      <c r="E2462" s="1" t="s">
        <v>134</v>
      </c>
      <c r="F2462" t="s">
        <v>93</v>
      </c>
      <c r="G2462" t="s">
        <v>15</v>
      </c>
      <c r="H2462">
        <v>4</v>
      </c>
      <c r="I2462">
        <v>235511.39</v>
      </c>
    </row>
    <row r="2463" spans="1:9" x14ac:dyDescent="0.25">
      <c r="A2463" s="5" t="str">
        <f>TrendSheetPrdData[[#This Row],[Population]]&amp;TrendSheetPrdData[[#This Row],[Cost Basis]]&amp;TrendSheetPrdData[[#This Row],[Period]]&amp;TrendSheetPrdData[[#This Row],[Trend]]</f>
        <v>MSSP_NONATTRIBUTEDPaid2015-11-01Readmission Cost</v>
      </c>
      <c r="B2463" t="s">
        <v>129</v>
      </c>
      <c r="C2463" t="s">
        <v>129</v>
      </c>
      <c r="D2463" t="s">
        <v>78</v>
      </c>
      <c r="E2463" s="1" t="s">
        <v>130</v>
      </c>
      <c r="F2463" t="s">
        <v>93</v>
      </c>
      <c r="G2463" t="s">
        <v>15</v>
      </c>
      <c r="H2463">
        <v>4</v>
      </c>
      <c r="I2463">
        <v>334445.59999999998</v>
      </c>
    </row>
    <row r="2464" spans="1:9" x14ac:dyDescent="0.25">
      <c r="A2464" s="5" t="str">
        <f>TrendSheetPrdData[[#This Row],[Population]]&amp;TrendSheetPrdData[[#This Row],[Cost Basis]]&amp;TrendSheetPrdData[[#This Row],[Period]]&amp;TrendSheetPrdData[[#This Row],[Trend]]</f>
        <v>MSSP_NONATTRIBUTEDPaid2015-12-01Readmission Cost</v>
      </c>
      <c r="B2464" t="s">
        <v>129</v>
      </c>
      <c r="C2464" t="s">
        <v>129</v>
      </c>
      <c r="D2464" t="s">
        <v>78</v>
      </c>
      <c r="E2464" s="1" t="s">
        <v>131</v>
      </c>
      <c r="F2464" t="s">
        <v>93</v>
      </c>
      <c r="G2464" t="s">
        <v>15</v>
      </c>
      <c r="H2464">
        <v>4</v>
      </c>
      <c r="I2464">
        <v>300180.25</v>
      </c>
    </row>
    <row r="2465" spans="1:9" x14ac:dyDescent="0.25">
      <c r="A2465" s="5" t="str">
        <f>TrendSheetPrdData[[#This Row],[Population]]&amp;TrendSheetPrdData[[#This Row],[Cost Basis]]&amp;TrendSheetPrdData[[#This Row],[Period]]&amp;TrendSheetPrdData[[#This Row],[Trend]]</f>
        <v>MSSP_NONATTRIBUTEDPaid2016-01-01Readmission Cost</v>
      </c>
      <c r="B2465" t="s">
        <v>129</v>
      </c>
      <c r="C2465" t="s">
        <v>129</v>
      </c>
      <c r="D2465" t="s">
        <v>78</v>
      </c>
      <c r="E2465" s="1" t="s">
        <v>132</v>
      </c>
      <c r="F2465" t="s">
        <v>93</v>
      </c>
      <c r="G2465" t="s">
        <v>15</v>
      </c>
      <c r="H2465">
        <v>4</v>
      </c>
      <c r="I2465">
        <v>348617.13</v>
      </c>
    </row>
    <row r="2466" spans="1:9" x14ac:dyDescent="0.25">
      <c r="A2466" s="5" t="str">
        <f>TrendSheetPrdData[[#This Row],[Population]]&amp;TrendSheetPrdData[[#This Row],[Cost Basis]]&amp;TrendSheetPrdData[[#This Row],[Period]]&amp;TrendSheetPrdData[[#This Row],[Trend]]</f>
        <v>MSSP_NONATTRIBUTEDPaid2016-02-01Readmission Cost</v>
      </c>
      <c r="B2466" t="s">
        <v>129</v>
      </c>
      <c r="C2466" t="s">
        <v>129</v>
      </c>
      <c r="D2466" t="s">
        <v>78</v>
      </c>
      <c r="E2466" s="1" t="s">
        <v>133</v>
      </c>
      <c r="F2466" t="s">
        <v>93</v>
      </c>
      <c r="G2466" t="s">
        <v>15</v>
      </c>
      <c r="H2466">
        <v>4</v>
      </c>
      <c r="I2466">
        <v>158739.93</v>
      </c>
    </row>
    <row r="2467" spans="1:9" x14ac:dyDescent="0.25">
      <c r="A2467" s="5" t="str">
        <f>TrendSheetPrdData[[#This Row],[Population]]&amp;TrendSheetPrdData[[#This Row],[Cost Basis]]&amp;TrendSheetPrdData[[#This Row],[Period]]&amp;TrendSheetPrdData[[#This Row],[Trend]]</f>
        <v>MSSP_NONATTRIBUTEDPaid2016-03-01Readmission Cost</v>
      </c>
      <c r="B2467" t="s">
        <v>129</v>
      </c>
      <c r="C2467" t="s">
        <v>129</v>
      </c>
      <c r="D2467" t="s">
        <v>78</v>
      </c>
      <c r="E2467" s="1" t="s">
        <v>92</v>
      </c>
      <c r="F2467" t="s">
        <v>93</v>
      </c>
      <c r="G2467" t="s">
        <v>15</v>
      </c>
      <c r="H2467">
        <v>4</v>
      </c>
      <c r="I2467">
        <v>192170.11</v>
      </c>
    </row>
    <row r="2468" spans="1:9" x14ac:dyDescent="0.25">
      <c r="A2468" s="5" t="str">
        <f>TrendSheetPrdData[[#This Row],[Population]]&amp;TrendSheetPrdData[[#This Row],[Cost Basis]]&amp;TrendSheetPrdData[[#This Row],[Period]]&amp;TrendSheetPrdData[[#This Row],[Trend]]</f>
        <v>MSSP_NONATTRIBUTEDPaid2016-04-01Readmission Cost</v>
      </c>
      <c r="B2468" t="s">
        <v>129</v>
      </c>
      <c r="C2468" t="s">
        <v>129</v>
      </c>
      <c r="D2468" t="s">
        <v>78</v>
      </c>
      <c r="E2468" s="1" t="s">
        <v>94</v>
      </c>
      <c r="F2468" t="s">
        <v>93</v>
      </c>
      <c r="G2468" t="s">
        <v>15</v>
      </c>
      <c r="H2468">
        <v>4</v>
      </c>
      <c r="I2468">
        <v>155365.75</v>
      </c>
    </row>
    <row r="2469" spans="1:9" x14ac:dyDescent="0.25">
      <c r="A2469" s="5" t="str">
        <f>TrendSheetPrdData[[#This Row],[Population]]&amp;TrendSheetPrdData[[#This Row],[Cost Basis]]&amp;TrendSheetPrdData[[#This Row],[Period]]&amp;TrendSheetPrdData[[#This Row],[Trend]]</f>
        <v>MSSP_NONATTRIBUTEDPaid2016-05-01Readmission Cost</v>
      </c>
      <c r="B2469" t="s">
        <v>129</v>
      </c>
      <c r="C2469" t="s">
        <v>129</v>
      </c>
      <c r="D2469" t="s">
        <v>78</v>
      </c>
      <c r="E2469" s="1" t="s">
        <v>95</v>
      </c>
      <c r="F2469" t="s">
        <v>93</v>
      </c>
      <c r="G2469" t="s">
        <v>15</v>
      </c>
      <c r="H2469">
        <v>4</v>
      </c>
      <c r="I2469">
        <v>103629.26</v>
      </c>
    </row>
    <row r="2470" spans="1:9" x14ac:dyDescent="0.25">
      <c r="A2470" s="5" t="str">
        <f>TrendSheetPrdData[[#This Row],[Population]]&amp;TrendSheetPrdData[[#This Row],[Cost Basis]]&amp;TrendSheetPrdData[[#This Row],[Period]]&amp;TrendSheetPrdData[[#This Row],[Trend]]</f>
        <v>MSSP_NONATTRIBUTEDPaid2016-06-01Readmission Cost</v>
      </c>
      <c r="B2470" t="s">
        <v>129</v>
      </c>
      <c r="C2470" t="s">
        <v>129</v>
      </c>
      <c r="D2470" t="s">
        <v>78</v>
      </c>
      <c r="E2470" s="1" t="s">
        <v>96</v>
      </c>
      <c r="F2470" t="s">
        <v>93</v>
      </c>
      <c r="G2470" t="s">
        <v>15</v>
      </c>
      <c r="H2470">
        <v>4</v>
      </c>
      <c r="I2470">
        <v>117384.39</v>
      </c>
    </row>
    <row r="2471" spans="1:9" x14ac:dyDescent="0.25">
      <c r="A2471" s="5" t="str">
        <f>TrendSheetPrdData[[#This Row],[Population]]&amp;TrendSheetPrdData[[#This Row],[Cost Basis]]&amp;TrendSheetPrdData[[#This Row],[Period]]&amp;TrendSheetPrdData[[#This Row],[Trend]]</f>
        <v>MSSP_NONATTRIBUTEDPaid2016-07-01Readmission Cost</v>
      </c>
      <c r="B2471" t="s">
        <v>129</v>
      </c>
      <c r="C2471" t="s">
        <v>129</v>
      </c>
      <c r="D2471" t="s">
        <v>78</v>
      </c>
      <c r="E2471" s="1" t="s">
        <v>97</v>
      </c>
      <c r="F2471" t="s">
        <v>93</v>
      </c>
      <c r="G2471" t="s">
        <v>15</v>
      </c>
      <c r="H2471">
        <v>4</v>
      </c>
      <c r="I2471">
        <v>284138.5</v>
      </c>
    </row>
    <row r="2472" spans="1:9" x14ac:dyDescent="0.25">
      <c r="A2472" s="5" t="str">
        <f>TrendSheetPrdData[[#This Row],[Population]]&amp;TrendSheetPrdData[[#This Row],[Cost Basis]]&amp;TrendSheetPrdData[[#This Row],[Period]]&amp;TrendSheetPrdData[[#This Row],[Trend]]</f>
        <v>MSSP_NONATTRIBUTEDPaid2016-08-01Readmission Cost</v>
      </c>
      <c r="B2472" t="s">
        <v>129</v>
      </c>
      <c r="C2472" t="s">
        <v>129</v>
      </c>
      <c r="D2472" t="s">
        <v>78</v>
      </c>
      <c r="E2472" s="1" t="s">
        <v>98</v>
      </c>
      <c r="F2472" t="s">
        <v>93</v>
      </c>
      <c r="G2472" t="s">
        <v>15</v>
      </c>
      <c r="H2472">
        <v>4</v>
      </c>
      <c r="I2472">
        <v>217409.62</v>
      </c>
    </row>
    <row r="2473" spans="1:9" x14ac:dyDescent="0.25">
      <c r="A2473" s="5" t="str">
        <f>TrendSheetPrdData[[#This Row],[Population]]&amp;TrendSheetPrdData[[#This Row],[Cost Basis]]&amp;TrendSheetPrdData[[#This Row],[Period]]&amp;TrendSheetPrdData[[#This Row],[Trend]]</f>
        <v>MSSP_NONATTRIBUTEDPaid2016-09-01Readmission Cost</v>
      </c>
      <c r="B2473" t="s">
        <v>129</v>
      </c>
      <c r="C2473" t="s">
        <v>129</v>
      </c>
      <c r="D2473" t="s">
        <v>78</v>
      </c>
      <c r="E2473" s="1" t="s">
        <v>99</v>
      </c>
      <c r="F2473" t="s">
        <v>93</v>
      </c>
      <c r="G2473" t="s">
        <v>15</v>
      </c>
      <c r="H2473">
        <v>4</v>
      </c>
      <c r="I2473">
        <v>85451.82</v>
      </c>
    </row>
    <row r="2474" spans="1:9" x14ac:dyDescent="0.25">
      <c r="A2474" s="5" t="str">
        <f>TrendSheetPrdData[[#This Row],[Population]]&amp;TrendSheetPrdData[[#This Row],[Cost Basis]]&amp;TrendSheetPrdData[[#This Row],[Period]]&amp;TrendSheetPrdData[[#This Row],[Trend]]</f>
        <v>MSSP_NONATTRIBUTEDPaid2016-10-01Readmission Cost</v>
      </c>
      <c r="B2474" t="s">
        <v>129</v>
      </c>
      <c r="C2474" t="s">
        <v>129</v>
      </c>
      <c r="D2474" t="s">
        <v>78</v>
      </c>
      <c r="E2474" s="1" t="s">
        <v>100</v>
      </c>
      <c r="F2474" t="s">
        <v>106</v>
      </c>
      <c r="G2474" t="s">
        <v>15</v>
      </c>
      <c r="H2474">
        <v>4</v>
      </c>
      <c r="I2474">
        <v>130842.97</v>
      </c>
    </row>
    <row r="2475" spans="1:9" x14ac:dyDescent="0.25">
      <c r="A2475" s="5" t="str">
        <f>TrendSheetPrdData[[#This Row],[Population]]&amp;TrendSheetPrdData[[#This Row],[Cost Basis]]&amp;TrendSheetPrdData[[#This Row],[Period]]&amp;TrendSheetPrdData[[#This Row],[Trend]]</f>
        <v>MSSP_NONATTRIBUTEDPaid2016-11-01Readmission Cost</v>
      </c>
      <c r="B2475" t="s">
        <v>129</v>
      </c>
      <c r="C2475" t="s">
        <v>129</v>
      </c>
      <c r="D2475" t="s">
        <v>78</v>
      </c>
      <c r="E2475" s="1" t="s">
        <v>101</v>
      </c>
      <c r="F2475" t="s">
        <v>106</v>
      </c>
      <c r="G2475" t="s">
        <v>15</v>
      </c>
      <c r="H2475">
        <v>4</v>
      </c>
      <c r="I2475">
        <v>87272.55</v>
      </c>
    </row>
    <row r="2476" spans="1:9" x14ac:dyDescent="0.25">
      <c r="A2476" s="5" t="str">
        <f>TrendSheetPrdData[[#This Row],[Population]]&amp;TrendSheetPrdData[[#This Row],[Cost Basis]]&amp;TrendSheetPrdData[[#This Row],[Period]]&amp;TrendSheetPrdData[[#This Row],[Trend]]</f>
        <v>MSSP_NONATTRIBUTEDPaid2016-12-01Readmission Cost</v>
      </c>
      <c r="B2476" t="s">
        <v>129</v>
      </c>
      <c r="C2476" t="s">
        <v>129</v>
      </c>
      <c r="D2476" t="s">
        <v>78</v>
      </c>
      <c r="E2476" s="1" t="s">
        <v>102</v>
      </c>
      <c r="F2476" t="s">
        <v>106</v>
      </c>
      <c r="G2476" t="s">
        <v>15</v>
      </c>
      <c r="H2476">
        <v>4</v>
      </c>
      <c r="I2476">
        <v>0</v>
      </c>
    </row>
    <row r="2477" spans="1:9" x14ac:dyDescent="0.25">
      <c r="A2477" s="5" t="str">
        <f>TrendSheetPrdData[[#This Row],[Population]]&amp;TrendSheetPrdData[[#This Row],[Cost Basis]]&amp;TrendSheetPrdData[[#This Row],[Period]]&amp;TrendSheetPrdData[[#This Row],[Trend]]</f>
        <v>MSSP_NONATTRIBUTEDPaid2015-10-01Readmission Quality</v>
      </c>
      <c r="B2477" t="s">
        <v>129</v>
      </c>
      <c r="C2477" t="s">
        <v>129</v>
      </c>
      <c r="D2477" t="s">
        <v>78</v>
      </c>
      <c r="E2477" s="1" t="s">
        <v>134</v>
      </c>
      <c r="F2477" t="s">
        <v>93</v>
      </c>
      <c r="G2477" t="s">
        <v>16</v>
      </c>
      <c r="H2477">
        <v>5</v>
      </c>
      <c r="I2477">
        <v>31</v>
      </c>
    </row>
    <row r="2478" spans="1:9" x14ac:dyDescent="0.25">
      <c r="A2478" s="5" t="str">
        <f>TrendSheetPrdData[[#This Row],[Population]]&amp;TrendSheetPrdData[[#This Row],[Cost Basis]]&amp;TrendSheetPrdData[[#This Row],[Period]]&amp;TrendSheetPrdData[[#This Row],[Trend]]</f>
        <v>MSSP_NONATTRIBUTEDPaid2015-11-01Readmission Quality</v>
      </c>
      <c r="B2478" t="s">
        <v>129</v>
      </c>
      <c r="C2478" t="s">
        <v>129</v>
      </c>
      <c r="D2478" t="s">
        <v>78</v>
      </c>
      <c r="E2478" s="1" t="s">
        <v>130</v>
      </c>
      <c r="F2478" t="s">
        <v>93</v>
      </c>
      <c r="G2478" t="s">
        <v>16</v>
      </c>
      <c r="H2478">
        <v>5</v>
      </c>
      <c r="I2478">
        <v>31</v>
      </c>
    </row>
    <row r="2479" spans="1:9" x14ac:dyDescent="0.25">
      <c r="A2479" s="5" t="str">
        <f>TrendSheetPrdData[[#This Row],[Population]]&amp;TrendSheetPrdData[[#This Row],[Cost Basis]]&amp;TrendSheetPrdData[[#This Row],[Period]]&amp;TrendSheetPrdData[[#This Row],[Trend]]</f>
        <v>MSSP_NONATTRIBUTEDPaid2015-12-01Readmission Quality</v>
      </c>
      <c r="B2479" t="s">
        <v>129</v>
      </c>
      <c r="C2479" t="s">
        <v>129</v>
      </c>
      <c r="D2479" t="s">
        <v>78</v>
      </c>
      <c r="E2479" s="1" t="s">
        <v>131</v>
      </c>
      <c r="F2479" t="s">
        <v>93</v>
      </c>
      <c r="G2479" t="s">
        <v>16</v>
      </c>
      <c r="H2479">
        <v>5</v>
      </c>
      <c r="I2479">
        <v>32</v>
      </c>
    </row>
    <row r="2480" spans="1:9" x14ac:dyDescent="0.25">
      <c r="A2480" s="5" t="str">
        <f>TrendSheetPrdData[[#This Row],[Population]]&amp;TrendSheetPrdData[[#This Row],[Cost Basis]]&amp;TrendSheetPrdData[[#This Row],[Period]]&amp;TrendSheetPrdData[[#This Row],[Trend]]</f>
        <v>MSSP_NONATTRIBUTEDPaid2016-01-01Readmission Quality</v>
      </c>
      <c r="B2480" t="s">
        <v>129</v>
      </c>
      <c r="C2480" t="s">
        <v>129</v>
      </c>
      <c r="D2480" t="s">
        <v>78</v>
      </c>
      <c r="E2480" s="1" t="s">
        <v>132</v>
      </c>
      <c r="F2480" t="s">
        <v>93</v>
      </c>
      <c r="G2480" t="s">
        <v>16</v>
      </c>
      <c r="H2480">
        <v>5</v>
      </c>
      <c r="I2480">
        <v>28</v>
      </c>
    </row>
    <row r="2481" spans="1:9" x14ac:dyDescent="0.25">
      <c r="A2481" s="5" t="str">
        <f>TrendSheetPrdData[[#This Row],[Population]]&amp;TrendSheetPrdData[[#This Row],[Cost Basis]]&amp;TrendSheetPrdData[[#This Row],[Period]]&amp;TrendSheetPrdData[[#This Row],[Trend]]</f>
        <v>MSSP_NONATTRIBUTEDPaid2016-02-01Readmission Quality</v>
      </c>
      <c r="B2481" t="s">
        <v>129</v>
      </c>
      <c r="C2481" t="s">
        <v>129</v>
      </c>
      <c r="D2481" t="s">
        <v>78</v>
      </c>
      <c r="E2481" s="1" t="s">
        <v>133</v>
      </c>
      <c r="F2481" t="s">
        <v>93</v>
      </c>
      <c r="G2481" t="s">
        <v>16</v>
      </c>
      <c r="H2481">
        <v>5</v>
      </c>
      <c r="I2481">
        <v>21</v>
      </c>
    </row>
    <row r="2482" spans="1:9" x14ac:dyDescent="0.25">
      <c r="A2482" s="5" t="str">
        <f>TrendSheetPrdData[[#This Row],[Population]]&amp;TrendSheetPrdData[[#This Row],[Cost Basis]]&amp;TrendSheetPrdData[[#This Row],[Period]]&amp;TrendSheetPrdData[[#This Row],[Trend]]</f>
        <v>MSSP_NONATTRIBUTEDPaid2016-03-01Readmission Quality</v>
      </c>
      <c r="B2482" t="s">
        <v>129</v>
      </c>
      <c r="C2482" t="s">
        <v>129</v>
      </c>
      <c r="D2482" t="s">
        <v>78</v>
      </c>
      <c r="E2482" s="1" t="s">
        <v>92</v>
      </c>
      <c r="F2482" t="s">
        <v>93</v>
      </c>
      <c r="G2482" t="s">
        <v>16</v>
      </c>
      <c r="H2482">
        <v>5</v>
      </c>
      <c r="I2482">
        <v>22</v>
      </c>
    </row>
    <row r="2483" spans="1:9" x14ac:dyDescent="0.25">
      <c r="A2483" s="5" t="str">
        <f>TrendSheetPrdData[[#This Row],[Population]]&amp;TrendSheetPrdData[[#This Row],[Cost Basis]]&amp;TrendSheetPrdData[[#This Row],[Period]]&amp;TrendSheetPrdData[[#This Row],[Trend]]</f>
        <v>MSSP_NONATTRIBUTEDPaid2016-04-01Readmission Quality</v>
      </c>
      <c r="B2483" t="s">
        <v>129</v>
      </c>
      <c r="C2483" t="s">
        <v>129</v>
      </c>
      <c r="D2483" t="s">
        <v>78</v>
      </c>
      <c r="E2483" s="1" t="s">
        <v>94</v>
      </c>
      <c r="F2483" t="s">
        <v>93</v>
      </c>
      <c r="G2483" t="s">
        <v>16</v>
      </c>
      <c r="H2483">
        <v>5</v>
      </c>
      <c r="I2483">
        <v>15</v>
      </c>
    </row>
    <row r="2484" spans="1:9" x14ac:dyDescent="0.25">
      <c r="A2484" s="5" t="str">
        <f>TrendSheetPrdData[[#This Row],[Population]]&amp;TrendSheetPrdData[[#This Row],[Cost Basis]]&amp;TrendSheetPrdData[[#This Row],[Period]]&amp;TrendSheetPrdData[[#This Row],[Trend]]</f>
        <v>MSSP_NONATTRIBUTEDPaid2016-05-01Readmission Quality</v>
      </c>
      <c r="B2484" t="s">
        <v>129</v>
      </c>
      <c r="C2484" t="s">
        <v>129</v>
      </c>
      <c r="D2484" t="s">
        <v>78</v>
      </c>
      <c r="E2484" s="1" t="s">
        <v>95</v>
      </c>
      <c r="F2484" t="s">
        <v>93</v>
      </c>
      <c r="G2484" t="s">
        <v>16</v>
      </c>
      <c r="H2484">
        <v>5</v>
      </c>
      <c r="I2484">
        <v>11</v>
      </c>
    </row>
    <row r="2485" spans="1:9" x14ac:dyDescent="0.25">
      <c r="A2485" s="5" t="str">
        <f>TrendSheetPrdData[[#This Row],[Population]]&amp;TrendSheetPrdData[[#This Row],[Cost Basis]]&amp;TrendSheetPrdData[[#This Row],[Period]]&amp;TrendSheetPrdData[[#This Row],[Trend]]</f>
        <v>MSSP_NONATTRIBUTEDPaid2016-06-01Readmission Quality</v>
      </c>
      <c r="B2485" t="s">
        <v>129</v>
      </c>
      <c r="C2485" t="s">
        <v>129</v>
      </c>
      <c r="D2485" t="s">
        <v>78</v>
      </c>
      <c r="E2485" s="1" t="s">
        <v>96</v>
      </c>
      <c r="F2485" t="s">
        <v>93</v>
      </c>
      <c r="G2485" t="s">
        <v>16</v>
      </c>
      <c r="H2485">
        <v>5</v>
      </c>
      <c r="I2485">
        <v>13</v>
      </c>
    </row>
    <row r="2486" spans="1:9" x14ac:dyDescent="0.25">
      <c r="A2486" s="5" t="str">
        <f>TrendSheetPrdData[[#This Row],[Population]]&amp;TrendSheetPrdData[[#This Row],[Cost Basis]]&amp;TrendSheetPrdData[[#This Row],[Period]]&amp;TrendSheetPrdData[[#This Row],[Trend]]</f>
        <v>MSSP_NONATTRIBUTEDPaid2016-07-01Readmission Quality</v>
      </c>
      <c r="B2486" t="s">
        <v>129</v>
      </c>
      <c r="C2486" t="s">
        <v>129</v>
      </c>
      <c r="D2486" t="s">
        <v>78</v>
      </c>
      <c r="E2486" s="1" t="s">
        <v>97</v>
      </c>
      <c r="F2486" t="s">
        <v>93</v>
      </c>
      <c r="G2486" t="s">
        <v>16</v>
      </c>
      <c r="H2486">
        <v>5</v>
      </c>
      <c r="I2486">
        <v>25</v>
      </c>
    </row>
    <row r="2487" spans="1:9" x14ac:dyDescent="0.25">
      <c r="A2487" s="5" t="str">
        <f>TrendSheetPrdData[[#This Row],[Population]]&amp;TrendSheetPrdData[[#This Row],[Cost Basis]]&amp;TrendSheetPrdData[[#This Row],[Period]]&amp;TrendSheetPrdData[[#This Row],[Trend]]</f>
        <v>MSSP_NONATTRIBUTEDPaid2016-08-01Readmission Quality</v>
      </c>
      <c r="B2487" t="s">
        <v>129</v>
      </c>
      <c r="C2487" t="s">
        <v>129</v>
      </c>
      <c r="D2487" t="s">
        <v>78</v>
      </c>
      <c r="E2487" s="1" t="s">
        <v>98</v>
      </c>
      <c r="F2487" t="s">
        <v>93</v>
      </c>
      <c r="G2487" t="s">
        <v>16</v>
      </c>
      <c r="H2487">
        <v>5</v>
      </c>
      <c r="I2487">
        <v>19</v>
      </c>
    </row>
    <row r="2488" spans="1:9" x14ac:dyDescent="0.25">
      <c r="A2488" s="5" t="str">
        <f>TrendSheetPrdData[[#This Row],[Population]]&amp;TrendSheetPrdData[[#This Row],[Cost Basis]]&amp;TrendSheetPrdData[[#This Row],[Period]]&amp;TrendSheetPrdData[[#This Row],[Trend]]</f>
        <v>MSSP_NONATTRIBUTEDPaid2016-09-01Readmission Quality</v>
      </c>
      <c r="B2488" t="s">
        <v>129</v>
      </c>
      <c r="C2488" t="s">
        <v>129</v>
      </c>
      <c r="D2488" t="s">
        <v>78</v>
      </c>
      <c r="E2488" s="1" t="s">
        <v>99</v>
      </c>
      <c r="F2488" t="s">
        <v>93</v>
      </c>
      <c r="G2488" t="s">
        <v>16</v>
      </c>
      <c r="H2488">
        <v>5</v>
      </c>
      <c r="I2488">
        <v>10</v>
      </c>
    </row>
    <row r="2489" spans="1:9" x14ac:dyDescent="0.25">
      <c r="A2489" s="5" t="str">
        <f>TrendSheetPrdData[[#This Row],[Population]]&amp;TrendSheetPrdData[[#This Row],[Cost Basis]]&amp;TrendSheetPrdData[[#This Row],[Period]]&amp;TrendSheetPrdData[[#This Row],[Trend]]</f>
        <v>MSSP_NONATTRIBUTEDPaid2016-10-01Readmission Quality</v>
      </c>
      <c r="B2489" t="s">
        <v>129</v>
      </c>
      <c r="C2489" t="s">
        <v>129</v>
      </c>
      <c r="D2489" t="s">
        <v>78</v>
      </c>
      <c r="E2489" s="1" t="s">
        <v>100</v>
      </c>
      <c r="F2489" t="s">
        <v>106</v>
      </c>
      <c r="G2489" t="s">
        <v>16</v>
      </c>
      <c r="H2489">
        <v>5</v>
      </c>
      <c r="I2489">
        <v>14</v>
      </c>
    </row>
    <row r="2490" spans="1:9" x14ac:dyDescent="0.25">
      <c r="A2490" s="5" t="str">
        <f>TrendSheetPrdData[[#This Row],[Population]]&amp;TrendSheetPrdData[[#This Row],[Cost Basis]]&amp;TrendSheetPrdData[[#This Row],[Period]]&amp;TrendSheetPrdData[[#This Row],[Trend]]</f>
        <v>MSSP_NONATTRIBUTEDPaid2016-11-01Readmission Quality</v>
      </c>
      <c r="B2490" t="s">
        <v>129</v>
      </c>
      <c r="C2490" t="s">
        <v>129</v>
      </c>
      <c r="D2490" t="s">
        <v>78</v>
      </c>
      <c r="E2490" s="1" t="s">
        <v>101</v>
      </c>
      <c r="F2490" t="s">
        <v>106</v>
      </c>
      <c r="G2490" t="s">
        <v>16</v>
      </c>
      <c r="H2490">
        <v>5</v>
      </c>
      <c r="I2490">
        <v>9</v>
      </c>
    </row>
    <row r="2491" spans="1:9" x14ac:dyDescent="0.25">
      <c r="A2491" s="5" t="str">
        <f>TrendSheetPrdData[[#This Row],[Population]]&amp;TrendSheetPrdData[[#This Row],[Cost Basis]]&amp;TrendSheetPrdData[[#This Row],[Period]]&amp;TrendSheetPrdData[[#This Row],[Trend]]</f>
        <v>MSSP_NONATTRIBUTEDPaid2016-12-01Readmission Quality</v>
      </c>
      <c r="B2491" t="s">
        <v>129</v>
      </c>
      <c r="C2491" t="s">
        <v>129</v>
      </c>
      <c r="D2491" t="s">
        <v>78</v>
      </c>
      <c r="E2491" s="1" t="s">
        <v>102</v>
      </c>
      <c r="F2491" t="s">
        <v>106</v>
      </c>
      <c r="G2491" t="s">
        <v>16</v>
      </c>
      <c r="H2491">
        <v>5</v>
      </c>
      <c r="I2491">
        <v>0</v>
      </c>
    </row>
    <row r="2492" spans="1:9" x14ac:dyDescent="0.25">
      <c r="A2492" s="5" t="str">
        <f>TrendSheetPrdData[[#This Row],[Population]]&amp;TrendSheetPrdData[[#This Row],[Cost Basis]]&amp;TrendSheetPrdData[[#This Row],[Period]]&amp;TrendSheetPrdData[[#This Row],[Trend]]</f>
        <v>MSSP_NONATTRIBUTEDPaid2015-10-01Avoidable Admission Cost</v>
      </c>
      <c r="B2492" t="s">
        <v>129</v>
      </c>
      <c r="C2492" t="s">
        <v>129</v>
      </c>
      <c r="D2492" t="s">
        <v>78</v>
      </c>
      <c r="E2492" s="1" t="s">
        <v>134</v>
      </c>
      <c r="F2492" t="s">
        <v>93</v>
      </c>
      <c r="G2492" t="s">
        <v>17</v>
      </c>
      <c r="H2492">
        <v>6</v>
      </c>
      <c r="I2492">
        <v>296179.02</v>
      </c>
    </row>
    <row r="2493" spans="1:9" x14ac:dyDescent="0.25">
      <c r="A2493" s="5" t="str">
        <f>TrendSheetPrdData[[#This Row],[Population]]&amp;TrendSheetPrdData[[#This Row],[Cost Basis]]&amp;TrendSheetPrdData[[#This Row],[Period]]&amp;TrendSheetPrdData[[#This Row],[Trend]]</f>
        <v>MSSP_NONATTRIBUTEDPaid2015-11-01Avoidable Admission Cost</v>
      </c>
      <c r="B2493" t="s">
        <v>129</v>
      </c>
      <c r="C2493" t="s">
        <v>129</v>
      </c>
      <c r="D2493" t="s">
        <v>78</v>
      </c>
      <c r="E2493" s="1" t="s">
        <v>130</v>
      </c>
      <c r="F2493" t="s">
        <v>93</v>
      </c>
      <c r="G2493" t="s">
        <v>17</v>
      </c>
      <c r="H2493">
        <v>6</v>
      </c>
      <c r="I2493">
        <v>223671.18</v>
      </c>
    </row>
    <row r="2494" spans="1:9" x14ac:dyDescent="0.25">
      <c r="A2494" s="5" t="str">
        <f>TrendSheetPrdData[[#This Row],[Population]]&amp;TrendSheetPrdData[[#This Row],[Cost Basis]]&amp;TrendSheetPrdData[[#This Row],[Period]]&amp;TrendSheetPrdData[[#This Row],[Trend]]</f>
        <v>MSSP_NONATTRIBUTEDPaid2015-12-01Avoidable Admission Cost</v>
      </c>
      <c r="B2494" t="s">
        <v>129</v>
      </c>
      <c r="C2494" t="s">
        <v>129</v>
      </c>
      <c r="D2494" t="s">
        <v>78</v>
      </c>
      <c r="E2494" s="1" t="s">
        <v>131</v>
      </c>
      <c r="F2494" t="s">
        <v>93</v>
      </c>
      <c r="G2494" t="s">
        <v>17</v>
      </c>
      <c r="H2494">
        <v>6</v>
      </c>
      <c r="I2494">
        <v>217166.77</v>
      </c>
    </row>
    <row r="2495" spans="1:9" x14ac:dyDescent="0.25">
      <c r="A2495" s="5" t="str">
        <f>TrendSheetPrdData[[#This Row],[Population]]&amp;TrendSheetPrdData[[#This Row],[Cost Basis]]&amp;TrendSheetPrdData[[#This Row],[Period]]&amp;TrendSheetPrdData[[#This Row],[Trend]]</f>
        <v>MSSP_NONATTRIBUTEDPaid2016-01-01Avoidable Admission Cost</v>
      </c>
      <c r="B2495" t="s">
        <v>129</v>
      </c>
      <c r="C2495" t="s">
        <v>129</v>
      </c>
      <c r="D2495" t="s">
        <v>78</v>
      </c>
      <c r="E2495" s="1" t="s">
        <v>132</v>
      </c>
      <c r="F2495" t="s">
        <v>93</v>
      </c>
      <c r="G2495" t="s">
        <v>17</v>
      </c>
      <c r="H2495">
        <v>6</v>
      </c>
      <c r="I2495">
        <v>244434.46</v>
      </c>
    </row>
    <row r="2496" spans="1:9" x14ac:dyDescent="0.25">
      <c r="A2496" s="5" t="str">
        <f>TrendSheetPrdData[[#This Row],[Population]]&amp;TrendSheetPrdData[[#This Row],[Cost Basis]]&amp;TrendSheetPrdData[[#This Row],[Period]]&amp;TrendSheetPrdData[[#This Row],[Trend]]</f>
        <v>MSSP_NONATTRIBUTEDPaid2016-02-01Avoidable Admission Cost</v>
      </c>
      <c r="B2496" t="s">
        <v>129</v>
      </c>
      <c r="C2496" t="s">
        <v>129</v>
      </c>
      <c r="D2496" t="s">
        <v>78</v>
      </c>
      <c r="E2496" s="1" t="s">
        <v>133</v>
      </c>
      <c r="F2496" t="s">
        <v>93</v>
      </c>
      <c r="G2496" t="s">
        <v>17</v>
      </c>
      <c r="H2496">
        <v>6</v>
      </c>
      <c r="I2496">
        <v>198115.07</v>
      </c>
    </row>
    <row r="2497" spans="1:9" x14ac:dyDescent="0.25">
      <c r="A2497" s="5" t="str">
        <f>TrendSheetPrdData[[#This Row],[Population]]&amp;TrendSheetPrdData[[#This Row],[Cost Basis]]&amp;TrendSheetPrdData[[#This Row],[Period]]&amp;TrendSheetPrdData[[#This Row],[Trend]]</f>
        <v>MSSP_NONATTRIBUTEDPaid2016-03-01Avoidable Admission Cost</v>
      </c>
      <c r="B2497" t="s">
        <v>129</v>
      </c>
      <c r="C2497" t="s">
        <v>129</v>
      </c>
      <c r="D2497" t="s">
        <v>78</v>
      </c>
      <c r="E2497" s="1" t="s">
        <v>92</v>
      </c>
      <c r="F2497" t="s">
        <v>93</v>
      </c>
      <c r="G2497" t="s">
        <v>17</v>
      </c>
      <c r="H2497">
        <v>6</v>
      </c>
      <c r="I2497">
        <v>151264.85</v>
      </c>
    </row>
    <row r="2498" spans="1:9" x14ac:dyDescent="0.25">
      <c r="A2498" s="5" t="str">
        <f>TrendSheetPrdData[[#This Row],[Population]]&amp;TrendSheetPrdData[[#This Row],[Cost Basis]]&amp;TrendSheetPrdData[[#This Row],[Period]]&amp;TrendSheetPrdData[[#This Row],[Trend]]</f>
        <v>MSSP_NONATTRIBUTEDPaid2016-04-01Avoidable Admission Cost</v>
      </c>
      <c r="B2498" t="s">
        <v>129</v>
      </c>
      <c r="C2498" t="s">
        <v>129</v>
      </c>
      <c r="D2498" t="s">
        <v>78</v>
      </c>
      <c r="E2498" s="1" t="s">
        <v>94</v>
      </c>
      <c r="F2498" t="s">
        <v>93</v>
      </c>
      <c r="G2498" t="s">
        <v>17</v>
      </c>
      <c r="H2498">
        <v>6</v>
      </c>
      <c r="I2498">
        <v>106187.66</v>
      </c>
    </row>
    <row r="2499" spans="1:9" x14ac:dyDescent="0.25">
      <c r="A2499" s="5" t="str">
        <f>TrendSheetPrdData[[#This Row],[Population]]&amp;TrendSheetPrdData[[#This Row],[Cost Basis]]&amp;TrendSheetPrdData[[#This Row],[Period]]&amp;TrendSheetPrdData[[#This Row],[Trend]]</f>
        <v>MSSP_NONATTRIBUTEDPaid2016-05-01Avoidable Admission Cost</v>
      </c>
      <c r="B2499" t="s">
        <v>129</v>
      </c>
      <c r="C2499" t="s">
        <v>129</v>
      </c>
      <c r="D2499" t="s">
        <v>78</v>
      </c>
      <c r="E2499" s="1" t="s">
        <v>95</v>
      </c>
      <c r="F2499" t="s">
        <v>93</v>
      </c>
      <c r="G2499" t="s">
        <v>17</v>
      </c>
      <c r="H2499">
        <v>6</v>
      </c>
      <c r="I2499">
        <v>141085.88</v>
      </c>
    </row>
    <row r="2500" spans="1:9" x14ac:dyDescent="0.25">
      <c r="A2500" s="5" t="str">
        <f>TrendSheetPrdData[[#This Row],[Population]]&amp;TrendSheetPrdData[[#This Row],[Cost Basis]]&amp;TrendSheetPrdData[[#This Row],[Period]]&amp;TrendSheetPrdData[[#This Row],[Trend]]</f>
        <v>MSSP_NONATTRIBUTEDPaid2016-06-01Avoidable Admission Cost</v>
      </c>
      <c r="B2500" t="s">
        <v>129</v>
      </c>
      <c r="C2500" t="s">
        <v>129</v>
      </c>
      <c r="D2500" t="s">
        <v>78</v>
      </c>
      <c r="E2500" s="1" t="s">
        <v>96</v>
      </c>
      <c r="F2500" t="s">
        <v>93</v>
      </c>
      <c r="G2500" t="s">
        <v>17</v>
      </c>
      <c r="H2500">
        <v>6</v>
      </c>
      <c r="I2500">
        <v>85212.71</v>
      </c>
    </row>
    <row r="2501" spans="1:9" x14ac:dyDescent="0.25">
      <c r="A2501" s="5" t="str">
        <f>TrendSheetPrdData[[#This Row],[Population]]&amp;TrendSheetPrdData[[#This Row],[Cost Basis]]&amp;TrendSheetPrdData[[#This Row],[Period]]&amp;TrendSheetPrdData[[#This Row],[Trend]]</f>
        <v>MSSP_NONATTRIBUTEDPaid2016-07-01Avoidable Admission Cost</v>
      </c>
      <c r="B2501" t="s">
        <v>129</v>
      </c>
      <c r="C2501" t="s">
        <v>129</v>
      </c>
      <c r="D2501" t="s">
        <v>78</v>
      </c>
      <c r="E2501" s="1" t="s">
        <v>97</v>
      </c>
      <c r="F2501" t="s">
        <v>93</v>
      </c>
      <c r="G2501" t="s">
        <v>17</v>
      </c>
      <c r="H2501">
        <v>6</v>
      </c>
      <c r="I2501">
        <v>84447.43</v>
      </c>
    </row>
    <row r="2502" spans="1:9" x14ac:dyDescent="0.25">
      <c r="A2502" s="5" t="str">
        <f>TrendSheetPrdData[[#This Row],[Population]]&amp;TrendSheetPrdData[[#This Row],[Cost Basis]]&amp;TrendSheetPrdData[[#This Row],[Period]]&amp;TrendSheetPrdData[[#This Row],[Trend]]</f>
        <v>MSSP_NONATTRIBUTEDPaid2016-08-01Avoidable Admission Cost</v>
      </c>
      <c r="B2502" t="s">
        <v>129</v>
      </c>
      <c r="C2502" t="s">
        <v>129</v>
      </c>
      <c r="D2502" t="s">
        <v>78</v>
      </c>
      <c r="E2502" s="1" t="s">
        <v>98</v>
      </c>
      <c r="F2502" t="s">
        <v>93</v>
      </c>
      <c r="G2502" t="s">
        <v>17</v>
      </c>
      <c r="H2502">
        <v>6</v>
      </c>
      <c r="I2502">
        <v>189289.18</v>
      </c>
    </row>
    <row r="2503" spans="1:9" x14ac:dyDescent="0.25">
      <c r="A2503" s="5" t="str">
        <f>TrendSheetPrdData[[#This Row],[Population]]&amp;TrendSheetPrdData[[#This Row],[Cost Basis]]&amp;TrendSheetPrdData[[#This Row],[Period]]&amp;TrendSheetPrdData[[#This Row],[Trend]]</f>
        <v>MSSP_NONATTRIBUTEDPaid2016-09-01Avoidable Admission Cost</v>
      </c>
      <c r="B2503" t="s">
        <v>129</v>
      </c>
      <c r="C2503" t="s">
        <v>129</v>
      </c>
      <c r="D2503" t="s">
        <v>78</v>
      </c>
      <c r="E2503" s="1" t="s">
        <v>99</v>
      </c>
      <c r="F2503" t="s">
        <v>93</v>
      </c>
      <c r="G2503" t="s">
        <v>17</v>
      </c>
      <c r="H2503">
        <v>6</v>
      </c>
      <c r="I2503">
        <v>117117.69</v>
      </c>
    </row>
    <row r="2504" spans="1:9" x14ac:dyDescent="0.25">
      <c r="A2504" s="5" t="str">
        <f>TrendSheetPrdData[[#This Row],[Population]]&amp;TrendSheetPrdData[[#This Row],[Cost Basis]]&amp;TrendSheetPrdData[[#This Row],[Period]]&amp;TrendSheetPrdData[[#This Row],[Trend]]</f>
        <v>MSSP_NONATTRIBUTEDPaid2016-10-01Avoidable Admission Cost</v>
      </c>
      <c r="B2504" t="s">
        <v>129</v>
      </c>
      <c r="C2504" t="s">
        <v>129</v>
      </c>
      <c r="D2504" t="s">
        <v>78</v>
      </c>
      <c r="E2504" s="1" t="s">
        <v>100</v>
      </c>
      <c r="F2504" t="s">
        <v>106</v>
      </c>
      <c r="G2504" t="s">
        <v>17</v>
      </c>
      <c r="H2504">
        <v>6</v>
      </c>
      <c r="I2504">
        <v>143346.22</v>
      </c>
    </row>
    <row r="2505" spans="1:9" x14ac:dyDescent="0.25">
      <c r="A2505" s="5" t="str">
        <f>TrendSheetPrdData[[#This Row],[Population]]&amp;TrendSheetPrdData[[#This Row],[Cost Basis]]&amp;TrendSheetPrdData[[#This Row],[Period]]&amp;TrendSheetPrdData[[#This Row],[Trend]]</f>
        <v>MSSP_NONATTRIBUTEDPaid2016-11-01Avoidable Admission Cost</v>
      </c>
      <c r="B2505" t="s">
        <v>129</v>
      </c>
      <c r="C2505" t="s">
        <v>129</v>
      </c>
      <c r="D2505" t="s">
        <v>78</v>
      </c>
      <c r="E2505" s="1" t="s">
        <v>101</v>
      </c>
      <c r="F2505" t="s">
        <v>106</v>
      </c>
      <c r="G2505" t="s">
        <v>17</v>
      </c>
      <c r="H2505">
        <v>6</v>
      </c>
      <c r="I2505">
        <v>117149.89</v>
      </c>
    </row>
    <row r="2506" spans="1:9" x14ac:dyDescent="0.25">
      <c r="A2506" s="5" t="str">
        <f>TrendSheetPrdData[[#This Row],[Population]]&amp;TrendSheetPrdData[[#This Row],[Cost Basis]]&amp;TrendSheetPrdData[[#This Row],[Period]]&amp;TrendSheetPrdData[[#This Row],[Trend]]</f>
        <v>MSSP_NONATTRIBUTEDPaid2016-12-01Avoidable Admission Cost</v>
      </c>
      <c r="B2506" t="s">
        <v>129</v>
      </c>
      <c r="C2506" t="s">
        <v>129</v>
      </c>
      <c r="D2506" t="s">
        <v>78</v>
      </c>
      <c r="E2506" s="1" t="s">
        <v>102</v>
      </c>
      <c r="F2506" t="s">
        <v>106</v>
      </c>
      <c r="G2506" t="s">
        <v>17</v>
      </c>
      <c r="H2506">
        <v>6</v>
      </c>
      <c r="I2506">
        <v>71810.039999999994</v>
      </c>
    </row>
    <row r="2507" spans="1:9" x14ac:dyDescent="0.25">
      <c r="A2507" s="5" t="str">
        <f>TrendSheetPrdData[[#This Row],[Population]]&amp;TrendSheetPrdData[[#This Row],[Cost Basis]]&amp;TrendSheetPrdData[[#This Row],[Period]]&amp;TrendSheetPrdData[[#This Row],[Trend]]</f>
        <v>MSSP_NONATTRIBUTEDPaid2015-10-01Avoidable Admission Quality</v>
      </c>
      <c r="B2507" t="s">
        <v>129</v>
      </c>
      <c r="C2507" t="s">
        <v>129</v>
      </c>
      <c r="D2507" t="s">
        <v>78</v>
      </c>
      <c r="E2507" s="1" t="s">
        <v>134</v>
      </c>
      <c r="F2507" t="s">
        <v>93</v>
      </c>
      <c r="G2507" t="s">
        <v>18</v>
      </c>
      <c r="H2507">
        <v>7</v>
      </c>
      <c r="I2507">
        <v>54</v>
      </c>
    </row>
    <row r="2508" spans="1:9" x14ac:dyDescent="0.25">
      <c r="A2508" s="5" t="str">
        <f>TrendSheetPrdData[[#This Row],[Population]]&amp;TrendSheetPrdData[[#This Row],[Cost Basis]]&amp;TrendSheetPrdData[[#This Row],[Period]]&amp;TrendSheetPrdData[[#This Row],[Trend]]</f>
        <v>MSSP_NONATTRIBUTEDPaid2015-11-01Avoidable Admission Quality</v>
      </c>
      <c r="B2508" t="s">
        <v>129</v>
      </c>
      <c r="C2508" t="s">
        <v>129</v>
      </c>
      <c r="D2508" t="s">
        <v>78</v>
      </c>
      <c r="E2508" s="1" t="s">
        <v>130</v>
      </c>
      <c r="F2508" t="s">
        <v>93</v>
      </c>
      <c r="G2508" t="s">
        <v>18</v>
      </c>
      <c r="H2508">
        <v>7</v>
      </c>
      <c r="I2508">
        <v>32</v>
      </c>
    </row>
    <row r="2509" spans="1:9" x14ac:dyDescent="0.25">
      <c r="A2509" s="5" t="str">
        <f>TrendSheetPrdData[[#This Row],[Population]]&amp;TrendSheetPrdData[[#This Row],[Cost Basis]]&amp;TrendSheetPrdData[[#This Row],[Period]]&amp;TrendSheetPrdData[[#This Row],[Trend]]</f>
        <v>MSSP_NONATTRIBUTEDPaid2015-12-01Avoidable Admission Quality</v>
      </c>
      <c r="B2509" t="s">
        <v>129</v>
      </c>
      <c r="C2509" t="s">
        <v>129</v>
      </c>
      <c r="D2509" t="s">
        <v>78</v>
      </c>
      <c r="E2509" s="1" t="s">
        <v>131</v>
      </c>
      <c r="F2509" t="s">
        <v>93</v>
      </c>
      <c r="G2509" t="s">
        <v>18</v>
      </c>
      <c r="H2509">
        <v>7</v>
      </c>
      <c r="I2509">
        <v>32</v>
      </c>
    </row>
    <row r="2510" spans="1:9" x14ac:dyDescent="0.25">
      <c r="A2510" s="5" t="str">
        <f>TrendSheetPrdData[[#This Row],[Population]]&amp;TrendSheetPrdData[[#This Row],[Cost Basis]]&amp;TrendSheetPrdData[[#This Row],[Period]]&amp;TrendSheetPrdData[[#This Row],[Trend]]</f>
        <v>MSSP_NONATTRIBUTEDPaid2016-01-01Avoidable Admission Quality</v>
      </c>
      <c r="B2510" t="s">
        <v>129</v>
      </c>
      <c r="C2510" t="s">
        <v>129</v>
      </c>
      <c r="D2510" t="s">
        <v>78</v>
      </c>
      <c r="E2510" s="1" t="s">
        <v>132</v>
      </c>
      <c r="F2510" t="s">
        <v>93</v>
      </c>
      <c r="G2510" t="s">
        <v>18</v>
      </c>
      <c r="H2510">
        <v>7</v>
      </c>
      <c r="I2510">
        <v>40</v>
      </c>
    </row>
    <row r="2511" spans="1:9" x14ac:dyDescent="0.25">
      <c r="A2511" s="5" t="str">
        <f>TrendSheetPrdData[[#This Row],[Population]]&amp;TrendSheetPrdData[[#This Row],[Cost Basis]]&amp;TrendSheetPrdData[[#This Row],[Period]]&amp;TrendSheetPrdData[[#This Row],[Trend]]</f>
        <v>MSSP_NONATTRIBUTEDPaid2016-02-01Avoidable Admission Quality</v>
      </c>
      <c r="B2511" t="s">
        <v>129</v>
      </c>
      <c r="C2511" t="s">
        <v>129</v>
      </c>
      <c r="D2511" t="s">
        <v>78</v>
      </c>
      <c r="E2511" s="1" t="s">
        <v>133</v>
      </c>
      <c r="F2511" t="s">
        <v>93</v>
      </c>
      <c r="G2511" t="s">
        <v>18</v>
      </c>
      <c r="H2511">
        <v>7</v>
      </c>
      <c r="I2511">
        <v>30</v>
      </c>
    </row>
    <row r="2512" spans="1:9" x14ac:dyDescent="0.25">
      <c r="A2512" s="5" t="str">
        <f>TrendSheetPrdData[[#This Row],[Population]]&amp;TrendSheetPrdData[[#This Row],[Cost Basis]]&amp;TrendSheetPrdData[[#This Row],[Period]]&amp;TrendSheetPrdData[[#This Row],[Trend]]</f>
        <v>MSSP_NONATTRIBUTEDPaid2016-03-01Avoidable Admission Quality</v>
      </c>
      <c r="B2512" t="s">
        <v>129</v>
      </c>
      <c r="C2512" t="s">
        <v>129</v>
      </c>
      <c r="D2512" t="s">
        <v>78</v>
      </c>
      <c r="E2512" s="1" t="s">
        <v>92</v>
      </c>
      <c r="F2512" t="s">
        <v>93</v>
      </c>
      <c r="G2512" t="s">
        <v>18</v>
      </c>
      <c r="H2512">
        <v>7</v>
      </c>
      <c r="I2512">
        <v>26</v>
      </c>
    </row>
    <row r="2513" spans="1:9" x14ac:dyDescent="0.25">
      <c r="A2513" s="5" t="str">
        <f>TrendSheetPrdData[[#This Row],[Population]]&amp;TrendSheetPrdData[[#This Row],[Cost Basis]]&amp;TrendSheetPrdData[[#This Row],[Period]]&amp;TrendSheetPrdData[[#This Row],[Trend]]</f>
        <v>MSSP_NONATTRIBUTEDPaid2016-04-01Avoidable Admission Quality</v>
      </c>
      <c r="B2513" t="s">
        <v>129</v>
      </c>
      <c r="C2513" t="s">
        <v>129</v>
      </c>
      <c r="D2513" t="s">
        <v>78</v>
      </c>
      <c r="E2513" s="1" t="s">
        <v>94</v>
      </c>
      <c r="F2513" t="s">
        <v>93</v>
      </c>
      <c r="G2513" t="s">
        <v>18</v>
      </c>
      <c r="H2513">
        <v>7</v>
      </c>
      <c r="I2513">
        <v>16</v>
      </c>
    </row>
    <row r="2514" spans="1:9" x14ac:dyDescent="0.25">
      <c r="A2514" s="5" t="str">
        <f>TrendSheetPrdData[[#This Row],[Population]]&amp;TrendSheetPrdData[[#This Row],[Cost Basis]]&amp;TrendSheetPrdData[[#This Row],[Period]]&amp;TrendSheetPrdData[[#This Row],[Trend]]</f>
        <v>MSSP_NONATTRIBUTEDPaid2016-05-01Avoidable Admission Quality</v>
      </c>
      <c r="B2514" t="s">
        <v>129</v>
      </c>
      <c r="C2514" t="s">
        <v>129</v>
      </c>
      <c r="D2514" t="s">
        <v>78</v>
      </c>
      <c r="E2514" s="1" t="s">
        <v>95</v>
      </c>
      <c r="F2514" t="s">
        <v>93</v>
      </c>
      <c r="G2514" t="s">
        <v>18</v>
      </c>
      <c r="H2514">
        <v>7</v>
      </c>
      <c r="I2514">
        <v>21</v>
      </c>
    </row>
    <row r="2515" spans="1:9" x14ac:dyDescent="0.25">
      <c r="A2515" s="5" t="str">
        <f>TrendSheetPrdData[[#This Row],[Population]]&amp;TrendSheetPrdData[[#This Row],[Cost Basis]]&amp;TrendSheetPrdData[[#This Row],[Period]]&amp;TrendSheetPrdData[[#This Row],[Trend]]</f>
        <v>MSSP_NONATTRIBUTEDPaid2016-06-01Avoidable Admission Quality</v>
      </c>
      <c r="B2515" t="s">
        <v>129</v>
      </c>
      <c r="C2515" t="s">
        <v>129</v>
      </c>
      <c r="D2515" t="s">
        <v>78</v>
      </c>
      <c r="E2515" s="1" t="s">
        <v>96</v>
      </c>
      <c r="F2515" t="s">
        <v>93</v>
      </c>
      <c r="G2515" t="s">
        <v>18</v>
      </c>
      <c r="H2515">
        <v>7</v>
      </c>
      <c r="I2515">
        <v>13</v>
      </c>
    </row>
    <row r="2516" spans="1:9" x14ac:dyDescent="0.25">
      <c r="A2516" s="5" t="str">
        <f>TrendSheetPrdData[[#This Row],[Population]]&amp;TrendSheetPrdData[[#This Row],[Cost Basis]]&amp;TrendSheetPrdData[[#This Row],[Period]]&amp;TrendSheetPrdData[[#This Row],[Trend]]</f>
        <v>MSSP_NONATTRIBUTEDPaid2016-07-01Avoidable Admission Quality</v>
      </c>
      <c r="B2516" t="s">
        <v>129</v>
      </c>
      <c r="C2516" t="s">
        <v>129</v>
      </c>
      <c r="D2516" t="s">
        <v>78</v>
      </c>
      <c r="E2516" s="1" t="s">
        <v>97</v>
      </c>
      <c r="F2516" t="s">
        <v>93</v>
      </c>
      <c r="G2516" t="s">
        <v>18</v>
      </c>
      <c r="H2516">
        <v>7</v>
      </c>
      <c r="I2516">
        <v>15</v>
      </c>
    </row>
    <row r="2517" spans="1:9" x14ac:dyDescent="0.25">
      <c r="A2517" s="5" t="str">
        <f>TrendSheetPrdData[[#This Row],[Population]]&amp;TrendSheetPrdData[[#This Row],[Cost Basis]]&amp;TrendSheetPrdData[[#This Row],[Period]]&amp;TrendSheetPrdData[[#This Row],[Trend]]</f>
        <v>MSSP_NONATTRIBUTEDPaid2016-08-01Avoidable Admission Quality</v>
      </c>
      <c r="B2517" t="s">
        <v>129</v>
      </c>
      <c r="C2517" t="s">
        <v>129</v>
      </c>
      <c r="D2517" t="s">
        <v>78</v>
      </c>
      <c r="E2517" s="1" t="s">
        <v>98</v>
      </c>
      <c r="F2517" t="s">
        <v>93</v>
      </c>
      <c r="G2517" t="s">
        <v>18</v>
      </c>
      <c r="H2517">
        <v>7</v>
      </c>
      <c r="I2517">
        <v>29</v>
      </c>
    </row>
    <row r="2518" spans="1:9" x14ac:dyDescent="0.25">
      <c r="A2518" s="5" t="str">
        <f>TrendSheetPrdData[[#This Row],[Population]]&amp;TrendSheetPrdData[[#This Row],[Cost Basis]]&amp;TrendSheetPrdData[[#This Row],[Period]]&amp;TrendSheetPrdData[[#This Row],[Trend]]</f>
        <v>MSSP_NONATTRIBUTEDPaid2016-09-01Avoidable Admission Quality</v>
      </c>
      <c r="B2518" t="s">
        <v>129</v>
      </c>
      <c r="C2518" t="s">
        <v>129</v>
      </c>
      <c r="D2518" t="s">
        <v>78</v>
      </c>
      <c r="E2518" s="1" t="s">
        <v>99</v>
      </c>
      <c r="F2518" t="s">
        <v>93</v>
      </c>
      <c r="G2518" t="s">
        <v>18</v>
      </c>
      <c r="H2518">
        <v>7</v>
      </c>
      <c r="I2518">
        <v>19</v>
      </c>
    </row>
    <row r="2519" spans="1:9" x14ac:dyDescent="0.25">
      <c r="A2519" s="5" t="str">
        <f>TrendSheetPrdData[[#This Row],[Population]]&amp;TrendSheetPrdData[[#This Row],[Cost Basis]]&amp;TrendSheetPrdData[[#This Row],[Period]]&amp;TrendSheetPrdData[[#This Row],[Trend]]</f>
        <v>MSSP_NONATTRIBUTEDPaid2016-10-01Avoidable Admission Quality</v>
      </c>
      <c r="B2519" t="s">
        <v>129</v>
      </c>
      <c r="C2519" t="s">
        <v>129</v>
      </c>
      <c r="D2519" t="s">
        <v>78</v>
      </c>
      <c r="E2519" s="1" t="s">
        <v>100</v>
      </c>
      <c r="F2519" t="s">
        <v>106</v>
      </c>
      <c r="G2519" t="s">
        <v>18</v>
      </c>
      <c r="H2519">
        <v>7</v>
      </c>
      <c r="I2519">
        <v>17</v>
      </c>
    </row>
    <row r="2520" spans="1:9" x14ac:dyDescent="0.25">
      <c r="A2520" s="5" t="str">
        <f>TrendSheetPrdData[[#This Row],[Population]]&amp;TrendSheetPrdData[[#This Row],[Cost Basis]]&amp;TrendSheetPrdData[[#This Row],[Period]]&amp;TrendSheetPrdData[[#This Row],[Trend]]</f>
        <v>MSSP_NONATTRIBUTEDPaid2016-11-01Avoidable Admission Quality</v>
      </c>
      <c r="B2520" t="s">
        <v>129</v>
      </c>
      <c r="C2520" t="s">
        <v>129</v>
      </c>
      <c r="D2520" t="s">
        <v>78</v>
      </c>
      <c r="E2520" s="1" t="s">
        <v>101</v>
      </c>
      <c r="F2520" t="s">
        <v>106</v>
      </c>
      <c r="G2520" t="s">
        <v>18</v>
      </c>
      <c r="H2520">
        <v>7</v>
      </c>
      <c r="I2520">
        <v>18</v>
      </c>
    </row>
    <row r="2521" spans="1:9" x14ac:dyDescent="0.25">
      <c r="A2521" s="5" t="str">
        <f>TrendSheetPrdData[[#This Row],[Population]]&amp;TrendSheetPrdData[[#This Row],[Cost Basis]]&amp;TrendSheetPrdData[[#This Row],[Period]]&amp;TrendSheetPrdData[[#This Row],[Trend]]</f>
        <v>MSSP_NONATTRIBUTEDPaid2016-12-01Avoidable Admission Quality</v>
      </c>
      <c r="B2521" t="s">
        <v>129</v>
      </c>
      <c r="C2521" t="s">
        <v>129</v>
      </c>
      <c r="D2521" t="s">
        <v>78</v>
      </c>
      <c r="E2521" s="1" t="s">
        <v>102</v>
      </c>
      <c r="F2521" t="s">
        <v>106</v>
      </c>
      <c r="G2521" t="s">
        <v>18</v>
      </c>
      <c r="H2521">
        <v>7</v>
      </c>
      <c r="I2521">
        <v>11</v>
      </c>
    </row>
    <row r="2522" spans="1:9" x14ac:dyDescent="0.25">
      <c r="A2522" s="5" t="str">
        <f>TrendSheetPrdData[[#This Row],[Population]]&amp;TrendSheetPrdData[[#This Row],[Cost Basis]]&amp;TrendSheetPrdData[[#This Row],[Period]]&amp;TrendSheetPrdData[[#This Row],[Trend]]</f>
        <v>MSSP_NONATTRIBUTEDPaid2015-10-01Outpatient Imaging Cost</v>
      </c>
      <c r="B2522" t="s">
        <v>129</v>
      </c>
      <c r="C2522" t="s">
        <v>129</v>
      </c>
      <c r="D2522" t="s">
        <v>78</v>
      </c>
      <c r="E2522" s="1" t="s">
        <v>134</v>
      </c>
      <c r="F2522" t="s">
        <v>93</v>
      </c>
      <c r="G2522" t="s">
        <v>19</v>
      </c>
      <c r="H2522">
        <v>8</v>
      </c>
      <c r="I2522">
        <v>45747.06</v>
      </c>
    </row>
    <row r="2523" spans="1:9" x14ac:dyDescent="0.25">
      <c r="A2523" s="5" t="str">
        <f>TrendSheetPrdData[[#This Row],[Population]]&amp;TrendSheetPrdData[[#This Row],[Cost Basis]]&amp;TrendSheetPrdData[[#This Row],[Period]]&amp;TrendSheetPrdData[[#This Row],[Trend]]</f>
        <v>MSSP_NONATTRIBUTEDPaid2015-11-01Outpatient Imaging Cost</v>
      </c>
      <c r="B2523" t="s">
        <v>129</v>
      </c>
      <c r="C2523" t="s">
        <v>129</v>
      </c>
      <c r="D2523" t="s">
        <v>78</v>
      </c>
      <c r="E2523" s="1" t="s">
        <v>130</v>
      </c>
      <c r="F2523" t="s">
        <v>93</v>
      </c>
      <c r="G2523" t="s">
        <v>19</v>
      </c>
      <c r="H2523">
        <v>8</v>
      </c>
      <c r="I2523">
        <v>28242.79</v>
      </c>
    </row>
    <row r="2524" spans="1:9" x14ac:dyDescent="0.25">
      <c r="A2524" s="5" t="str">
        <f>TrendSheetPrdData[[#This Row],[Population]]&amp;TrendSheetPrdData[[#This Row],[Cost Basis]]&amp;TrendSheetPrdData[[#This Row],[Period]]&amp;TrendSheetPrdData[[#This Row],[Trend]]</f>
        <v>MSSP_NONATTRIBUTEDPaid2015-12-01Outpatient Imaging Cost</v>
      </c>
      <c r="B2524" t="s">
        <v>129</v>
      </c>
      <c r="C2524" t="s">
        <v>129</v>
      </c>
      <c r="D2524" t="s">
        <v>78</v>
      </c>
      <c r="E2524" s="1" t="s">
        <v>131</v>
      </c>
      <c r="F2524" t="s">
        <v>93</v>
      </c>
      <c r="G2524" t="s">
        <v>19</v>
      </c>
      <c r="H2524">
        <v>8</v>
      </c>
      <c r="I2524">
        <v>23255.83</v>
      </c>
    </row>
    <row r="2525" spans="1:9" x14ac:dyDescent="0.25">
      <c r="A2525" s="5" t="str">
        <f>TrendSheetPrdData[[#This Row],[Population]]&amp;TrendSheetPrdData[[#This Row],[Cost Basis]]&amp;TrendSheetPrdData[[#This Row],[Period]]&amp;TrendSheetPrdData[[#This Row],[Trend]]</f>
        <v>MSSP_NONATTRIBUTEDPaid2016-01-01Outpatient Imaging Cost</v>
      </c>
      <c r="B2525" t="s">
        <v>129</v>
      </c>
      <c r="C2525" t="s">
        <v>129</v>
      </c>
      <c r="D2525" t="s">
        <v>78</v>
      </c>
      <c r="E2525" s="1" t="s">
        <v>132</v>
      </c>
      <c r="F2525" t="s">
        <v>93</v>
      </c>
      <c r="G2525" t="s">
        <v>19</v>
      </c>
      <c r="H2525">
        <v>8</v>
      </c>
      <c r="I2525">
        <v>13592.39</v>
      </c>
    </row>
    <row r="2526" spans="1:9" x14ac:dyDescent="0.25">
      <c r="A2526" s="5" t="str">
        <f>TrendSheetPrdData[[#This Row],[Population]]&amp;TrendSheetPrdData[[#This Row],[Cost Basis]]&amp;TrendSheetPrdData[[#This Row],[Period]]&amp;TrendSheetPrdData[[#This Row],[Trend]]</f>
        <v>MSSP_NONATTRIBUTEDPaid2016-02-01Outpatient Imaging Cost</v>
      </c>
      <c r="B2526" t="s">
        <v>129</v>
      </c>
      <c r="C2526" t="s">
        <v>129</v>
      </c>
      <c r="D2526" t="s">
        <v>78</v>
      </c>
      <c r="E2526" s="1" t="s">
        <v>133</v>
      </c>
      <c r="F2526" t="s">
        <v>93</v>
      </c>
      <c r="G2526" t="s">
        <v>19</v>
      </c>
      <c r="H2526">
        <v>8</v>
      </c>
      <c r="I2526">
        <v>16935.79</v>
      </c>
    </row>
    <row r="2527" spans="1:9" x14ac:dyDescent="0.25">
      <c r="A2527" s="5" t="str">
        <f>TrendSheetPrdData[[#This Row],[Population]]&amp;TrendSheetPrdData[[#This Row],[Cost Basis]]&amp;TrendSheetPrdData[[#This Row],[Period]]&amp;TrendSheetPrdData[[#This Row],[Trend]]</f>
        <v>MSSP_NONATTRIBUTEDPaid2016-03-01Outpatient Imaging Cost</v>
      </c>
      <c r="B2527" t="s">
        <v>129</v>
      </c>
      <c r="C2527" t="s">
        <v>129</v>
      </c>
      <c r="D2527" t="s">
        <v>78</v>
      </c>
      <c r="E2527" s="1" t="s">
        <v>92</v>
      </c>
      <c r="F2527" t="s">
        <v>93</v>
      </c>
      <c r="G2527" t="s">
        <v>19</v>
      </c>
      <c r="H2527">
        <v>8</v>
      </c>
      <c r="I2527">
        <v>19789.439999999999</v>
      </c>
    </row>
    <row r="2528" spans="1:9" x14ac:dyDescent="0.25">
      <c r="A2528" s="5" t="str">
        <f>TrendSheetPrdData[[#This Row],[Population]]&amp;TrendSheetPrdData[[#This Row],[Cost Basis]]&amp;TrendSheetPrdData[[#This Row],[Period]]&amp;TrendSheetPrdData[[#This Row],[Trend]]</f>
        <v>MSSP_NONATTRIBUTEDPaid2016-04-01Outpatient Imaging Cost</v>
      </c>
      <c r="B2528" t="s">
        <v>129</v>
      </c>
      <c r="C2528" t="s">
        <v>129</v>
      </c>
      <c r="D2528" t="s">
        <v>78</v>
      </c>
      <c r="E2528" s="1" t="s">
        <v>94</v>
      </c>
      <c r="F2528" t="s">
        <v>93</v>
      </c>
      <c r="G2528" t="s">
        <v>19</v>
      </c>
      <c r="H2528">
        <v>8</v>
      </c>
      <c r="I2528">
        <v>20168.7</v>
      </c>
    </row>
    <row r="2529" spans="1:9" x14ac:dyDescent="0.25">
      <c r="A2529" s="5" t="str">
        <f>TrendSheetPrdData[[#This Row],[Population]]&amp;TrendSheetPrdData[[#This Row],[Cost Basis]]&amp;TrendSheetPrdData[[#This Row],[Period]]&amp;TrendSheetPrdData[[#This Row],[Trend]]</f>
        <v>MSSP_NONATTRIBUTEDPaid2016-05-01Outpatient Imaging Cost</v>
      </c>
      <c r="B2529" t="s">
        <v>129</v>
      </c>
      <c r="C2529" t="s">
        <v>129</v>
      </c>
      <c r="D2529" t="s">
        <v>78</v>
      </c>
      <c r="E2529" s="1" t="s">
        <v>95</v>
      </c>
      <c r="F2529" t="s">
        <v>93</v>
      </c>
      <c r="G2529" t="s">
        <v>19</v>
      </c>
      <c r="H2529">
        <v>8</v>
      </c>
      <c r="I2529">
        <v>18246.830000000002</v>
      </c>
    </row>
    <row r="2530" spans="1:9" x14ac:dyDescent="0.25">
      <c r="A2530" s="5" t="str">
        <f>TrendSheetPrdData[[#This Row],[Population]]&amp;TrendSheetPrdData[[#This Row],[Cost Basis]]&amp;TrendSheetPrdData[[#This Row],[Period]]&amp;TrendSheetPrdData[[#This Row],[Trend]]</f>
        <v>MSSP_NONATTRIBUTEDPaid2016-06-01Outpatient Imaging Cost</v>
      </c>
      <c r="B2530" t="s">
        <v>129</v>
      </c>
      <c r="C2530" t="s">
        <v>129</v>
      </c>
      <c r="D2530" t="s">
        <v>78</v>
      </c>
      <c r="E2530" s="1" t="s">
        <v>96</v>
      </c>
      <c r="F2530" t="s">
        <v>93</v>
      </c>
      <c r="G2530" t="s">
        <v>19</v>
      </c>
      <c r="H2530">
        <v>8</v>
      </c>
      <c r="I2530">
        <v>16958.88</v>
      </c>
    </row>
    <row r="2531" spans="1:9" x14ac:dyDescent="0.25">
      <c r="A2531" s="5" t="str">
        <f>TrendSheetPrdData[[#This Row],[Population]]&amp;TrendSheetPrdData[[#This Row],[Cost Basis]]&amp;TrendSheetPrdData[[#This Row],[Period]]&amp;TrendSheetPrdData[[#This Row],[Trend]]</f>
        <v>MSSP_NONATTRIBUTEDPaid2016-07-01Outpatient Imaging Cost</v>
      </c>
      <c r="B2531" t="s">
        <v>129</v>
      </c>
      <c r="C2531" t="s">
        <v>129</v>
      </c>
      <c r="D2531" t="s">
        <v>78</v>
      </c>
      <c r="E2531" s="1" t="s">
        <v>97</v>
      </c>
      <c r="F2531" t="s">
        <v>93</v>
      </c>
      <c r="G2531" t="s">
        <v>19</v>
      </c>
      <c r="H2531">
        <v>8</v>
      </c>
      <c r="I2531">
        <v>15443.84</v>
      </c>
    </row>
    <row r="2532" spans="1:9" x14ac:dyDescent="0.25">
      <c r="A2532" s="5" t="str">
        <f>TrendSheetPrdData[[#This Row],[Population]]&amp;TrendSheetPrdData[[#This Row],[Cost Basis]]&amp;TrendSheetPrdData[[#This Row],[Period]]&amp;TrendSheetPrdData[[#This Row],[Trend]]</f>
        <v>MSSP_NONATTRIBUTEDPaid2016-08-01Outpatient Imaging Cost</v>
      </c>
      <c r="B2532" t="s">
        <v>129</v>
      </c>
      <c r="C2532" t="s">
        <v>129</v>
      </c>
      <c r="D2532" t="s">
        <v>78</v>
      </c>
      <c r="E2532" s="1" t="s">
        <v>98</v>
      </c>
      <c r="F2532" t="s">
        <v>93</v>
      </c>
      <c r="G2532" t="s">
        <v>19</v>
      </c>
      <c r="H2532">
        <v>8</v>
      </c>
      <c r="I2532">
        <v>19460.12</v>
      </c>
    </row>
    <row r="2533" spans="1:9" x14ac:dyDescent="0.25">
      <c r="A2533" s="5" t="str">
        <f>TrendSheetPrdData[[#This Row],[Population]]&amp;TrendSheetPrdData[[#This Row],[Cost Basis]]&amp;TrendSheetPrdData[[#This Row],[Period]]&amp;TrendSheetPrdData[[#This Row],[Trend]]</f>
        <v>MSSP_NONATTRIBUTEDPaid2016-09-01Outpatient Imaging Cost</v>
      </c>
      <c r="B2533" t="s">
        <v>129</v>
      </c>
      <c r="C2533" t="s">
        <v>129</v>
      </c>
      <c r="D2533" t="s">
        <v>78</v>
      </c>
      <c r="E2533" s="1" t="s">
        <v>99</v>
      </c>
      <c r="F2533" t="s">
        <v>93</v>
      </c>
      <c r="G2533" t="s">
        <v>19</v>
      </c>
      <c r="H2533">
        <v>8</v>
      </c>
      <c r="I2533">
        <v>19077.52</v>
      </c>
    </row>
    <row r="2534" spans="1:9" x14ac:dyDescent="0.25">
      <c r="A2534" s="5" t="str">
        <f>TrendSheetPrdData[[#This Row],[Population]]&amp;TrendSheetPrdData[[#This Row],[Cost Basis]]&amp;TrendSheetPrdData[[#This Row],[Period]]&amp;TrendSheetPrdData[[#This Row],[Trend]]</f>
        <v>MSSP_NONATTRIBUTEDPaid2016-10-01Outpatient Imaging Cost</v>
      </c>
      <c r="B2534" t="s">
        <v>129</v>
      </c>
      <c r="C2534" t="s">
        <v>129</v>
      </c>
      <c r="D2534" t="s">
        <v>78</v>
      </c>
      <c r="E2534" s="1" t="s">
        <v>100</v>
      </c>
      <c r="F2534" t="s">
        <v>106</v>
      </c>
      <c r="G2534" t="s">
        <v>19</v>
      </c>
      <c r="H2534">
        <v>8</v>
      </c>
      <c r="I2534">
        <v>25813.72</v>
      </c>
    </row>
    <row r="2535" spans="1:9" x14ac:dyDescent="0.25">
      <c r="A2535" s="5" t="str">
        <f>TrendSheetPrdData[[#This Row],[Population]]&amp;TrendSheetPrdData[[#This Row],[Cost Basis]]&amp;TrendSheetPrdData[[#This Row],[Period]]&amp;TrendSheetPrdData[[#This Row],[Trend]]</f>
        <v>MSSP_NONATTRIBUTEDPaid2016-11-01Outpatient Imaging Cost</v>
      </c>
      <c r="B2535" t="s">
        <v>129</v>
      </c>
      <c r="C2535" t="s">
        <v>129</v>
      </c>
      <c r="D2535" t="s">
        <v>78</v>
      </c>
      <c r="E2535" s="1" t="s">
        <v>101</v>
      </c>
      <c r="F2535" t="s">
        <v>106</v>
      </c>
      <c r="G2535" t="s">
        <v>19</v>
      </c>
      <c r="H2535">
        <v>8</v>
      </c>
      <c r="I2535">
        <v>24860.95</v>
      </c>
    </row>
    <row r="2536" spans="1:9" x14ac:dyDescent="0.25">
      <c r="A2536" s="5" t="str">
        <f>TrendSheetPrdData[[#This Row],[Population]]&amp;TrendSheetPrdData[[#This Row],[Cost Basis]]&amp;TrendSheetPrdData[[#This Row],[Period]]&amp;TrendSheetPrdData[[#This Row],[Trend]]</f>
        <v>MSSP_NONATTRIBUTEDPaid2016-12-01Outpatient Imaging Cost</v>
      </c>
      <c r="B2536" t="s">
        <v>129</v>
      </c>
      <c r="C2536" t="s">
        <v>129</v>
      </c>
      <c r="D2536" t="s">
        <v>78</v>
      </c>
      <c r="E2536" s="1" t="s">
        <v>102</v>
      </c>
      <c r="F2536" t="s">
        <v>106</v>
      </c>
      <c r="G2536" t="s">
        <v>19</v>
      </c>
      <c r="H2536">
        <v>8</v>
      </c>
      <c r="I2536">
        <v>9078.06</v>
      </c>
    </row>
    <row r="2537" spans="1:9" x14ac:dyDescent="0.25">
      <c r="A2537" s="5" t="str">
        <f>TrendSheetPrdData[[#This Row],[Population]]&amp;TrendSheetPrdData[[#This Row],[Cost Basis]]&amp;TrendSheetPrdData[[#This Row],[Period]]&amp;TrendSheetPrdData[[#This Row],[Trend]]</f>
        <v>MSSP_NONATTRIBUTEDPaid2015-10-01Hospiatl Outpatient MRIs per 1k</v>
      </c>
      <c r="B2537" t="s">
        <v>129</v>
      </c>
      <c r="C2537" t="s">
        <v>129</v>
      </c>
      <c r="D2537" t="s">
        <v>78</v>
      </c>
      <c r="E2537" s="1" t="s">
        <v>134</v>
      </c>
      <c r="F2537" t="s">
        <v>93</v>
      </c>
      <c r="G2537" t="s">
        <v>20</v>
      </c>
      <c r="H2537">
        <v>9</v>
      </c>
      <c r="I2537">
        <v>92</v>
      </c>
    </row>
    <row r="2538" spans="1:9" x14ac:dyDescent="0.25">
      <c r="A2538" s="5" t="str">
        <f>TrendSheetPrdData[[#This Row],[Population]]&amp;TrendSheetPrdData[[#This Row],[Cost Basis]]&amp;TrendSheetPrdData[[#This Row],[Period]]&amp;TrendSheetPrdData[[#This Row],[Trend]]</f>
        <v>MSSP_NONATTRIBUTEDPaid2015-11-01Hospiatl Outpatient MRIs per 1k</v>
      </c>
      <c r="B2538" t="s">
        <v>129</v>
      </c>
      <c r="C2538" t="s">
        <v>129</v>
      </c>
      <c r="D2538" t="s">
        <v>78</v>
      </c>
      <c r="E2538" s="1" t="s">
        <v>130</v>
      </c>
      <c r="F2538" t="s">
        <v>93</v>
      </c>
      <c r="G2538" t="s">
        <v>20</v>
      </c>
      <c r="H2538">
        <v>9</v>
      </c>
      <c r="I2538">
        <v>61</v>
      </c>
    </row>
    <row r="2539" spans="1:9" x14ac:dyDescent="0.25">
      <c r="A2539" s="5" t="str">
        <f>TrendSheetPrdData[[#This Row],[Population]]&amp;TrendSheetPrdData[[#This Row],[Cost Basis]]&amp;TrendSheetPrdData[[#This Row],[Period]]&amp;TrendSheetPrdData[[#This Row],[Trend]]</f>
        <v>MSSP_NONATTRIBUTEDPaid2015-12-01Hospiatl Outpatient MRIs per 1k</v>
      </c>
      <c r="B2539" t="s">
        <v>129</v>
      </c>
      <c r="C2539" t="s">
        <v>129</v>
      </c>
      <c r="D2539" t="s">
        <v>78</v>
      </c>
      <c r="E2539" s="1" t="s">
        <v>131</v>
      </c>
      <c r="F2539" t="s">
        <v>93</v>
      </c>
      <c r="G2539" t="s">
        <v>20</v>
      </c>
      <c r="H2539">
        <v>9</v>
      </c>
      <c r="I2539">
        <v>92</v>
      </c>
    </row>
    <row r="2540" spans="1:9" x14ac:dyDescent="0.25">
      <c r="A2540" s="5" t="str">
        <f>TrendSheetPrdData[[#This Row],[Population]]&amp;TrendSheetPrdData[[#This Row],[Cost Basis]]&amp;TrendSheetPrdData[[#This Row],[Period]]&amp;TrendSheetPrdData[[#This Row],[Trend]]</f>
        <v>MSSP_NONATTRIBUTEDPaid2016-01-01Hospiatl Outpatient MRIs per 1k</v>
      </c>
      <c r="B2540" t="s">
        <v>129</v>
      </c>
      <c r="C2540" t="s">
        <v>129</v>
      </c>
      <c r="D2540" t="s">
        <v>78</v>
      </c>
      <c r="E2540" s="1" t="s">
        <v>132</v>
      </c>
      <c r="F2540" t="s">
        <v>93</v>
      </c>
      <c r="G2540" t="s">
        <v>20</v>
      </c>
      <c r="H2540">
        <v>9</v>
      </c>
      <c r="I2540">
        <v>63</v>
      </c>
    </row>
    <row r="2541" spans="1:9" x14ac:dyDescent="0.25">
      <c r="A2541" s="5" t="str">
        <f>TrendSheetPrdData[[#This Row],[Population]]&amp;TrendSheetPrdData[[#This Row],[Cost Basis]]&amp;TrendSheetPrdData[[#This Row],[Period]]&amp;TrendSheetPrdData[[#This Row],[Trend]]</f>
        <v>MSSP_NONATTRIBUTEDPaid2016-02-01Hospiatl Outpatient MRIs per 1k</v>
      </c>
      <c r="B2541" t="s">
        <v>129</v>
      </c>
      <c r="C2541" t="s">
        <v>129</v>
      </c>
      <c r="D2541" t="s">
        <v>78</v>
      </c>
      <c r="E2541" s="1" t="s">
        <v>133</v>
      </c>
      <c r="F2541" t="s">
        <v>93</v>
      </c>
      <c r="G2541" t="s">
        <v>20</v>
      </c>
      <c r="H2541">
        <v>9</v>
      </c>
      <c r="I2541">
        <v>77</v>
      </c>
    </row>
    <row r="2542" spans="1:9" x14ac:dyDescent="0.25">
      <c r="A2542" s="5" t="str">
        <f>TrendSheetPrdData[[#This Row],[Population]]&amp;TrendSheetPrdData[[#This Row],[Cost Basis]]&amp;TrendSheetPrdData[[#This Row],[Period]]&amp;TrendSheetPrdData[[#This Row],[Trend]]</f>
        <v>MSSP_NONATTRIBUTEDPaid2016-03-01Hospiatl Outpatient MRIs per 1k</v>
      </c>
      <c r="B2542" t="s">
        <v>129</v>
      </c>
      <c r="C2542" t="s">
        <v>129</v>
      </c>
      <c r="D2542" t="s">
        <v>78</v>
      </c>
      <c r="E2542" s="1" t="s">
        <v>92</v>
      </c>
      <c r="F2542" t="s">
        <v>93</v>
      </c>
      <c r="G2542" t="s">
        <v>20</v>
      </c>
      <c r="H2542">
        <v>9</v>
      </c>
      <c r="I2542">
        <v>80</v>
      </c>
    </row>
    <row r="2543" spans="1:9" x14ac:dyDescent="0.25">
      <c r="A2543" s="5" t="str">
        <f>TrendSheetPrdData[[#This Row],[Population]]&amp;TrendSheetPrdData[[#This Row],[Cost Basis]]&amp;TrendSheetPrdData[[#This Row],[Period]]&amp;TrendSheetPrdData[[#This Row],[Trend]]</f>
        <v>MSSP_NONATTRIBUTEDPaid2016-04-01Hospiatl Outpatient MRIs per 1k</v>
      </c>
      <c r="B2543" t="s">
        <v>129</v>
      </c>
      <c r="C2543" t="s">
        <v>129</v>
      </c>
      <c r="D2543" t="s">
        <v>78</v>
      </c>
      <c r="E2543" s="1" t="s">
        <v>94</v>
      </c>
      <c r="F2543" t="s">
        <v>93</v>
      </c>
      <c r="G2543" t="s">
        <v>20</v>
      </c>
      <c r="H2543">
        <v>9</v>
      </c>
      <c r="I2543">
        <v>86</v>
      </c>
    </row>
    <row r="2544" spans="1:9" x14ac:dyDescent="0.25">
      <c r="A2544" s="5" t="str">
        <f>TrendSheetPrdData[[#This Row],[Population]]&amp;TrendSheetPrdData[[#This Row],[Cost Basis]]&amp;TrendSheetPrdData[[#This Row],[Period]]&amp;TrendSheetPrdData[[#This Row],[Trend]]</f>
        <v>MSSP_NONATTRIBUTEDPaid2016-05-01Hospiatl Outpatient MRIs per 1k</v>
      </c>
      <c r="B2544" t="s">
        <v>129</v>
      </c>
      <c r="C2544" t="s">
        <v>129</v>
      </c>
      <c r="D2544" t="s">
        <v>78</v>
      </c>
      <c r="E2544" s="1" t="s">
        <v>95</v>
      </c>
      <c r="F2544" t="s">
        <v>93</v>
      </c>
      <c r="G2544" t="s">
        <v>20</v>
      </c>
      <c r="H2544">
        <v>9</v>
      </c>
      <c r="I2544">
        <v>78</v>
      </c>
    </row>
    <row r="2545" spans="1:9" x14ac:dyDescent="0.25">
      <c r="A2545" s="5" t="str">
        <f>TrendSheetPrdData[[#This Row],[Population]]&amp;TrendSheetPrdData[[#This Row],[Cost Basis]]&amp;TrendSheetPrdData[[#This Row],[Period]]&amp;TrendSheetPrdData[[#This Row],[Trend]]</f>
        <v>MSSP_NONATTRIBUTEDPaid2016-06-01Hospiatl Outpatient MRIs per 1k</v>
      </c>
      <c r="B2545" t="s">
        <v>129</v>
      </c>
      <c r="C2545" t="s">
        <v>129</v>
      </c>
      <c r="D2545" t="s">
        <v>78</v>
      </c>
      <c r="E2545" s="1" t="s">
        <v>96</v>
      </c>
      <c r="F2545" t="s">
        <v>93</v>
      </c>
      <c r="G2545" t="s">
        <v>20</v>
      </c>
      <c r="H2545">
        <v>9</v>
      </c>
      <c r="I2545">
        <v>73</v>
      </c>
    </row>
    <row r="2546" spans="1:9" x14ac:dyDescent="0.25">
      <c r="A2546" s="5" t="str">
        <f>TrendSheetPrdData[[#This Row],[Population]]&amp;TrendSheetPrdData[[#This Row],[Cost Basis]]&amp;TrendSheetPrdData[[#This Row],[Period]]&amp;TrendSheetPrdData[[#This Row],[Trend]]</f>
        <v>MSSP_NONATTRIBUTEDPaid2016-07-01Hospiatl Outpatient MRIs per 1k</v>
      </c>
      <c r="B2546" t="s">
        <v>129</v>
      </c>
      <c r="C2546" t="s">
        <v>129</v>
      </c>
      <c r="D2546" t="s">
        <v>78</v>
      </c>
      <c r="E2546" s="1" t="s">
        <v>97</v>
      </c>
      <c r="F2546" t="s">
        <v>93</v>
      </c>
      <c r="G2546" t="s">
        <v>20</v>
      </c>
      <c r="H2546">
        <v>9</v>
      </c>
      <c r="I2546">
        <v>62</v>
      </c>
    </row>
    <row r="2547" spans="1:9" x14ac:dyDescent="0.25">
      <c r="A2547" s="5" t="str">
        <f>TrendSheetPrdData[[#This Row],[Population]]&amp;TrendSheetPrdData[[#This Row],[Cost Basis]]&amp;TrendSheetPrdData[[#This Row],[Period]]&amp;TrendSheetPrdData[[#This Row],[Trend]]</f>
        <v>MSSP_NONATTRIBUTEDPaid2016-08-01Hospiatl Outpatient MRIs per 1k</v>
      </c>
      <c r="B2547" t="s">
        <v>129</v>
      </c>
      <c r="C2547" t="s">
        <v>129</v>
      </c>
      <c r="D2547" t="s">
        <v>78</v>
      </c>
      <c r="E2547" s="1" t="s">
        <v>98</v>
      </c>
      <c r="F2547" t="s">
        <v>93</v>
      </c>
      <c r="G2547" t="s">
        <v>20</v>
      </c>
      <c r="H2547">
        <v>9</v>
      </c>
      <c r="I2547">
        <v>78</v>
      </c>
    </row>
    <row r="2548" spans="1:9" x14ac:dyDescent="0.25">
      <c r="A2548" s="5" t="str">
        <f>TrendSheetPrdData[[#This Row],[Population]]&amp;TrendSheetPrdData[[#This Row],[Cost Basis]]&amp;TrendSheetPrdData[[#This Row],[Period]]&amp;TrendSheetPrdData[[#This Row],[Trend]]</f>
        <v>MSSP_NONATTRIBUTEDPaid2016-09-01Hospiatl Outpatient MRIs per 1k</v>
      </c>
      <c r="B2548" t="s">
        <v>129</v>
      </c>
      <c r="C2548" t="s">
        <v>129</v>
      </c>
      <c r="D2548" t="s">
        <v>78</v>
      </c>
      <c r="E2548" s="1" t="s">
        <v>99</v>
      </c>
      <c r="F2548" t="s">
        <v>93</v>
      </c>
      <c r="G2548" t="s">
        <v>20</v>
      </c>
      <c r="H2548">
        <v>9</v>
      </c>
      <c r="I2548">
        <v>63</v>
      </c>
    </row>
    <row r="2549" spans="1:9" x14ac:dyDescent="0.25">
      <c r="A2549" s="5" t="str">
        <f>TrendSheetPrdData[[#This Row],[Population]]&amp;TrendSheetPrdData[[#This Row],[Cost Basis]]&amp;TrendSheetPrdData[[#This Row],[Period]]&amp;TrendSheetPrdData[[#This Row],[Trend]]</f>
        <v>MSSP_NONATTRIBUTEDPaid2016-10-01Hospiatl Outpatient MRIs per 1k</v>
      </c>
      <c r="B2549" t="s">
        <v>129</v>
      </c>
      <c r="C2549" t="s">
        <v>129</v>
      </c>
      <c r="D2549" t="s">
        <v>78</v>
      </c>
      <c r="E2549" s="1" t="s">
        <v>100</v>
      </c>
      <c r="F2549" t="s">
        <v>106</v>
      </c>
      <c r="G2549" t="s">
        <v>20</v>
      </c>
      <c r="H2549">
        <v>9</v>
      </c>
      <c r="I2549">
        <v>105</v>
      </c>
    </row>
    <row r="2550" spans="1:9" x14ac:dyDescent="0.25">
      <c r="A2550" s="5" t="str">
        <f>TrendSheetPrdData[[#This Row],[Population]]&amp;TrendSheetPrdData[[#This Row],[Cost Basis]]&amp;TrendSheetPrdData[[#This Row],[Period]]&amp;TrendSheetPrdData[[#This Row],[Trend]]</f>
        <v>MSSP_NONATTRIBUTEDPaid2016-11-01Hospiatl Outpatient MRIs per 1k</v>
      </c>
      <c r="B2550" t="s">
        <v>129</v>
      </c>
      <c r="C2550" t="s">
        <v>129</v>
      </c>
      <c r="D2550" t="s">
        <v>78</v>
      </c>
      <c r="E2550" s="1" t="s">
        <v>101</v>
      </c>
      <c r="F2550" t="s">
        <v>106</v>
      </c>
      <c r="G2550" t="s">
        <v>20</v>
      </c>
      <c r="H2550">
        <v>9</v>
      </c>
      <c r="I2550">
        <v>119</v>
      </c>
    </row>
    <row r="2551" spans="1:9" x14ac:dyDescent="0.25">
      <c r="A2551" s="5" t="str">
        <f>TrendSheetPrdData[[#This Row],[Population]]&amp;TrendSheetPrdData[[#This Row],[Cost Basis]]&amp;TrendSheetPrdData[[#This Row],[Period]]&amp;TrendSheetPrdData[[#This Row],[Trend]]</f>
        <v>MSSP_NONATTRIBUTEDPaid2016-12-01Hospiatl Outpatient MRIs per 1k</v>
      </c>
      <c r="B2551" t="s">
        <v>129</v>
      </c>
      <c r="C2551" t="s">
        <v>129</v>
      </c>
      <c r="D2551" t="s">
        <v>78</v>
      </c>
      <c r="E2551" s="1" t="s">
        <v>102</v>
      </c>
      <c r="F2551" t="s">
        <v>106</v>
      </c>
      <c r="G2551" t="s">
        <v>20</v>
      </c>
      <c r="H2551">
        <v>9</v>
      </c>
      <c r="I2551">
        <v>35</v>
      </c>
    </row>
    <row r="2552" spans="1:9" x14ac:dyDescent="0.25">
      <c r="A2552" s="5" t="str">
        <f>TrendSheetPrdData[[#This Row],[Population]]&amp;TrendSheetPrdData[[#This Row],[Cost Basis]]&amp;TrendSheetPrdData[[#This Row],[Period]]&amp;TrendSheetPrdData[[#This Row],[Trend]]</f>
        <v>MSSP_NONATTRIBUTEDPaid2015-10-01Hospiatl Outpatient CTs per 1k</v>
      </c>
      <c r="B2552" t="s">
        <v>129</v>
      </c>
      <c r="C2552" t="s">
        <v>129</v>
      </c>
      <c r="D2552" t="s">
        <v>78</v>
      </c>
      <c r="E2552" s="1" t="s">
        <v>134</v>
      </c>
      <c r="F2552" t="s">
        <v>93</v>
      </c>
      <c r="G2552" t="s">
        <v>21</v>
      </c>
      <c r="H2552">
        <v>10</v>
      </c>
      <c r="I2552">
        <v>147</v>
      </c>
    </row>
    <row r="2553" spans="1:9" x14ac:dyDescent="0.25">
      <c r="A2553" s="5" t="str">
        <f>TrendSheetPrdData[[#This Row],[Population]]&amp;TrendSheetPrdData[[#This Row],[Cost Basis]]&amp;TrendSheetPrdData[[#This Row],[Period]]&amp;TrendSheetPrdData[[#This Row],[Trend]]</f>
        <v>MSSP_NONATTRIBUTEDPaid2015-11-01Hospiatl Outpatient CTs per 1k</v>
      </c>
      <c r="B2553" t="s">
        <v>129</v>
      </c>
      <c r="C2553" t="s">
        <v>129</v>
      </c>
      <c r="D2553" t="s">
        <v>78</v>
      </c>
      <c r="E2553" s="1" t="s">
        <v>130</v>
      </c>
      <c r="F2553" t="s">
        <v>93</v>
      </c>
      <c r="G2553" t="s">
        <v>21</v>
      </c>
      <c r="H2553">
        <v>10</v>
      </c>
      <c r="I2553">
        <v>83</v>
      </c>
    </row>
    <row r="2554" spans="1:9" x14ac:dyDescent="0.25">
      <c r="A2554" s="5" t="str">
        <f>TrendSheetPrdData[[#This Row],[Population]]&amp;TrendSheetPrdData[[#This Row],[Cost Basis]]&amp;TrendSheetPrdData[[#This Row],[Period]]&amp;TrendSheetPrdData[[#This Row],[Trend]]</f>
        <v>MSSP_NONATTRIBUTEDPaid2015-12-01Hospiatl Outpatient CTs per 1k</v>
      </c>
      <c r="B2554" t="s">
        <v>129</v>
      </c>
      <c r="C2554" t="s">
        <v>129</v>
      </c>
      <c r="D2554" t="s">
        <v>78</v>
      </c>
      <c r="E2554" s="1" t="s">
        <v>131</v>
      </c>
      <c r="F2554" t="s">
        <v>93</v>
      </c>
      <c r="G2554" t="s">
        <v>21</v>
      </c>
      <c r="H2554">
        <v>10</v>
      </c>
      <c r="I2554">
        <v>150</v>
      </c>
    </row>
    <row r="2555" spans="1:9" x14ac:dyDescent="0.25">
      <c r="A2555" s="5" t="str">
        <f>TrendSheetPrdData[[#This Row],[Population]]&amp;TrendSheetPrdData[[#This Row],[Cost Basis]]&amp;TrendSheetPrdData[[#This Row],[Period]]&amp;TrendSheetPrdData[[#This Row],[Trend]]</f>
        <v>MSSP_NONATTRIBUTEDPaid2016-01-01Hospiatl Outpatient CTs per 1k</v>
      </c>
      <c r="B2555" t="s">
        <v>129</v>
      </c>
      <c r="C2555" t="s">
        <v>129</v>
      </c>
      <c r="D2555" t="s">
        <v>78</v>
      </c>
      <c r="E2555" s="1" t="s">
        <v>132</v>
      </c>
      <c r="F2555" t="s">
        <v>93</v>
      </c>
      <c r="G2555" t="s">
        <v>21</v>
      </c>
      <c r="H2555">
        <v>10</v>
      </c>
      <c r="I2555">
        <v>89</v>
      </c>
    </row>
    <row r="2556" spans="1:9" x14ac:dyDescent="0.25">
      <c r="A2556" s="5" t="str">
        <f>TrendSheetPrdData[[#This Row],[Population]]&amp;TrendSheetPrdData[[#This Row],[Cost Basis]]&amp;TrendSheetPrdData[[#This Row],[Period]]&amp;TrendSheetPrdData[[#This Row],[Trend]]</f>
        <v>MSSP_NONATTRIBUTEDPaid2016-02-01Hospiatl Outpatient CTs per 1k</v>
      </c>
      <c r="B2556" t="s">
        <v>129</v>
      </c>
      <c r="C2556" t="s">
        <v>129</v>
      </c>
      <c r="D2556" t="s">
        <v>78</v>
      </c>
      <c r="E2556" s="1" t="s">
        <v>133</v>
      </c>
      <c r="F2556" t="s">
        <v>93</v>
      </c>
      <c r="G2556" t="s">
        <v>21</v>
      </c>
      <c r="H2556">
        <v>10</v>
      </c>
      <c r="I2556">
        <v>125</v>
      </c>
    </row>
    <row r="2557" spans="1:9" x14ac:dyDescent="0.25">
      <c r="A2557" s="5" t="str">
        <f>TrendSheetPrdData[[#This Row],[Population]]&amp;TrendSheetPrdData[[#This Row],[Cost Basis]]&amp;TrendSheetPrdData[[#This Row],[Period]]&amp;TrendSheetPrdData[[#This Row],[Trend]]</f>
        <v>MSSP_NONATTRIBUTEDPaid2016-03-01Hospiatl Outpatient CTs per 1k</v>
      </c>
      <c r="B2557" t="s">
        <v>129</v>
      </c>
      <c r="C2557" t="s">
        <v>129</v>
      </c>
      <c r="D2557" t="s">
        <v>78</v>
      </c>
      <c r="E2557" s="1" t="s">
        <v>92</v>
      </c>
      <c r="F2557" t="s">
        <v>93</v>
      </c>
      <c r="G2557" t="s">
        <v>21</v>
      </c>
      <c r="H2557">
        <v>10</v>
      </c>
      <c r="I2557">
        <v>150</v>
      </c>
    </row>
    <row r="2558" spans="1:9" x14ac:dyDescent="0.25">
      <c r="A2558" s="5" t="str">
        <f>TrendSheetPrdData[[#This Row],[Population]]&amp;TrendSheetPrdData[[#This Row],[Cost Basis]]&amp;TrendSheetPrdData[[#This Row],[Period]]&amp;TrendSheetPrdData[[#This Row],[Trend]]</f>
        <v>MSSP_NONATTRIBUTEDPaid2016-04-01Hospiatl Outpatient CTs per 1k</v>
      </c>
      <c r="B2558" t="s">
        <v>129</v>
      </c>
      <c r="C2558" t="s">
        <v>129</v>
      </c>
      <c r="D2558" t="s">
        <v>78</v>
      </c>
      <c r="E2558" s="1" t="s">
        <v>94</v>
      </c>
      <c r="F2558" t="s">
        <v>93</v>
      </c>
      <c r="G2558" t="s">
        <v>21</v>
      </c>
      <c r="H2558">
        <v>10</v>
      </c>
      <c r="I2558">
        <v>126</v>
      </c>
    </row>
    <row r="2559" spans="1:9" x14ac:dyDescent="0.25">
      <c r="A2559" s="5" t="str">
        <f>TrendSheetPrdData[[#This Row],[Population]]&amp;TrendSheetPrdData[[#This Row],[Cost Basis]]&amp;TrendSheetPrdData[[#This Row],[Period]]&amp;TrendSheetPrdData[[#This Row],[Trend]]</f>
        <v>MSSP_NONATTRIBUTEDPaid2016-05-01Hospiatl Outpatient CTs per 1k</v>
      </c>
      <c r="B2559" t="s">
        <v>129</v>
      </c>
      <c r="C2559" t="s">
        <v>129</v>
      </c>
      <c r="D2559" t="s">
        <v>78</v>
      </c>
      <c r="E2559" s="1" t="s">
        <v>95</v>
      </c>
      <c r="F2559" t="s">
        <v>93</v>
      </c>
      <c r="G2559" t="s">
        <v>21</v>
      </c>
      <c r="H2559">
        <v>10</v>
      </c>
      <c r="I2559">
        <v>162</v>
      </c>
    </row>
    <row r="2560" spans="1:9" x14ac:dyDescent="0.25">
      <c r="A2560" s="5" t="str">
        <f>TrendSheetPrdData[[#This Row],[Population]]&amp;TrendSheetPrdData[[#This Row],[Cost Basis]]&amp;TrendSheetPrdData[[#This Row],[Period]]&amp;TrendSheetPrdData[[#This Row],[Trend]]</f>
        <v>MSSP_NONATTRIBUTEDPaid2016-06-01Hospiatl Outpatient CTs per 1k</v>
      </c>
      <c r="B2560" t="s">
        <v>129</v>
      </c>
      <c r="C2560" t="s">
        <v>129</v>
      </c>
      <c r="D2560" t="s">
        <v>78</v>
      </c>
      <c r="E2560" s="1" t="s">
        <v>96</v>
      </c>
      <c r="F2560" t="s">
        <v>93</v>
      </c>
      <c r="G2560" t="s">
        <v>21</v>
      </c>
      <c r="H2560">
        <v>10</v>
      </c>
      <c r="I2560">
        <v>159</v>
      </c>
    </row>
    <row r="2561" spans="1:9" x14ac:dyDescent="0.25">
      <c r="A2561" s="5" t="str">
        <f>TrendSheetPrdData[[#This Row],[Population]]&amp;TrendSheetPrdData[[#This Row],[Cost Basis]]&amp;TrendSheetPrdData[[#This Row],[Period]]&amp;TrendSheetPrdData[[#This Row],[Trend]]</f>
        <v>MSSP_NONATTRIBUTEDPaid2016-07-01Hospiatl Outpatient CTs per 1k</v>
      </c>
      <c r="B2561" t="s">
        <v>129</v>
      </c>
      <c r="C2561" t="s">
        <v>129</v>
      </c>
      <c r="D2561" t="s">
        <v>78</v>
      </c>
      <c r="E2561" s="1" t="s">
        <v>97</v>
      </c>
      <c r="F2561" t="s">
        <v>93</v>
      </c>
      <c r="G2561" t="s">
        <v>21</v>
      </c>
      <c r="H2561">
        <v>10</v>
      </c>
      <c r="I2561">
        <v>120</v>
      </c>
    </row>
    <row r="2562" spans="1:9" x14ac:dyDescent="0.25">
      <c r="A2562" s="5" t="str">
        <f>TrendSheetPrdData[[#This Row],[Population]]&amp;TrendSheetPrdData[[#This Row],[Cost Basis]]&amp;TrendSheetPrdData[[#This Row],[Period]]&amp;TrendSheetPrdData[[#This Row],[Trend]]</f>
        <v>MSSP_NONATTRIBUTEDPaid2016-08-01Hospiatl Outpatient CTs per 1k</v>
      </c>
      <c r="B2562" t="s">
        <v>129</v>
      </c>
      <c r="C2562" t="s">
        <v>129</v>
      </c>
      <c r="D2562" t="s">
        <v>78</v>
      </c>
      <c r="E2562" s="1" t="s">
        <v>98</v>
      </c>
      <c r="F2562" t="s">
        <v>93</v>
      </c>
      <c r="G2562" t="s">
        <v>21</v>
      </c>
      <c r="H2562">
        <v>10</v>
      </c>
      <c r="I2562">
        <v>153</v>
      </c>
    </row>
    <row r="2563" spans="1:9" x14ac:dyDescent="0.25">
      <c r="A2563" s="5" t="str">
        <f>TrendSheetPrdData[[#This Row],[Population]]&amp;TrendSheetPrdData[[#This Row],[Cost Basis]]&amp;TrendSheetPrdData[[#This Row],[Period]]&amp;TrendSheetPrdData[[#This Row],[Trend]]</f>
        <v>MSSP_NONATTRIBUTEDPaid2016-09-01Hospiatl Outpatient CTs per 1k</v>
      </c>
      <c r="B2563" t="s">
        <v>129</v>
      </c>
      <c r="C2563" t="s">
        <v>129</v>
      </c>
      <c r="D2563" t="s">
        <v>78</v>
      </c>
      <c r="E2563" s="1" t="s">
        <v>99</v>
      </c>
      <c r="F2563" t="s">
        <v>93</v>
      </c>
      <c r="G2563" t="s">
        <v>21</v>
      </c>
      <c r="H2563">
        <v>10</v>
      </c>
      <c r="I2563">
        <v>180</v>
      </c>
    </row>
    <row r="2564" spans="1:9" x14ac:dyDescent="0.25">
      <c r="A2564" s="5" t="str">
        <f>TrendSheetPrdData[[#This Row],[Population]]&amp;TrendSheetPrdData[[#This Row],[Cost Basis]]&amp;TrendSheetPrdData[[#This Row],[Period]]&amp;TrendSheetPrdData[[#This Row],[Trend]]</f>
        <v>MSSP_NONATTRIBUTEDPaid2016-10-01Hospiatl Outpatient CTs per 1k</v>
      </c>
      <c r="B2564" t="s">
        <v>129</v>
      </c>
      <c r="C2564" t="s">
        <v>129</v>
      </c>
      <c r="D2564" t="s">
        <v>78</v>
      </c>
      <c r="E2564" s="1" t="s">
        <v>100</v>
      </c>
      <c r="F2564" t="s">
        <v>106</v>
      </c>
      <c r="G2564" t="s">
        <v>21</v>
      </c>
      <c r="H2564">
        <v>10</v>
      </c>
      <c r="I2564">
        <v>218</v>
      </c>
    </row>
    <row r="2565" spans="1:9" x14ac:dyDescent="0.25">
      <c r="A2565" s="5" t="str">
        <f>TrendSheetPrdData[[#This Row],[Population]]&amp;TrendSheetPrdData[[#This Row],[Cost Basis]]&amp;TrendSheetPrdData[[#This Row],[Period]]&amp;TrendSheetPrdData[[#This Row],[Trend]]</f>
        <v>MSSP_NONATTRIBUTEDPaid2016-11-01Hospiatl Outpatient CTs per 1k</v>
      </c>
      <c r="B2565" t="s">
        <v>129</v>
      </c>
      <c r="C2565" t="s">
        <v>129</v>
      </c>
      <c r="D2565" t="s">
        <v>78</v>
      </c>
      <c r="E2565" s="1" t="s">
        <v>101</v>
      </c>
      <c r="F2565" t="s">
        <v>106</v>
      </c>
      <c r="G2565" t="s">
        <v>21</v>
      </c>
      <c r="H2565">
        <v>10</v>
      </c>
      <c r="I2565">
        <v>176</v>
      </c>
    </row>
    <row r="2566" spans="1:9" x14ac:dyDescent="0.25">
      <c r="A2566" s="5" t="str">
        <f>TrendSheetPrdData[[#This Row],[Population]]&amp;TrendSheetPrdData[[#This Row],[Cost Basis]]&amp;TrendSheetPrdData[[#This Row],[Period]]&amp;TrendSheetPrdData[[#This Row],[Trend]]</f>
        <v>MSSP_NONATTRIBUTEDPaid2016-12-01Hospiatl Outpatient CTs per 1k</v>
      </c>
      <c r="B2566" t="s">
        <v>129</v>
      </c>
      <c r="C2566" t="s">
        <v>129</v>
      </c>
      <c r="D2566" t="s">
        <v>78</v>
      </c>
      <c r="E2566" s="1" t="s">
        <v>102</v>
      </c>
      <c r="F2566" t="s">
        <v>106</v>
      </c>
      <c r="G2566" t="s">
        <v>21</v>
      </c>
      <c r="H2566">
        <v>10</v>
      </c>
      <c r="I2566">
        <v>78</v>
      </c>
    </row>
    <row r="2567" spans="1:9" x14ac:dyDescent="0.25">
      <c r="A2567" s="5" t="str">
        <f>TrendSheetPrdData[[#This Row],[Population]]&amp;TrendSheetPrdData[[#This Row],[Cost Basis]]&amp;TrendSheetPrdData[[#This Row],[Period]]&amp;TrendSheetPrdData[[#This Row],[Trend]]</f>
        <v>MSSP_NONATTRIBUTEDPaid2015-10-01Office Based MRIs per 1k</v>
      </c>
      <c r="B2567" t="s">
        <v>129</v>
      </c>
      <c r="C2567" t="s">
        <v>129</v>
      </c>
      <c r="D2567" t="s">
        <v>78</v>
      </c>
      <c r="E2567" s="1" t="s">
        <v>134</v>
      </c>
      <c r="F2567" t="s">
        <v>93</v>
      </c>
      <c r="G2567" t="s">
        <v>22</v>
      </c>
      <c r="H2567">
        <v>11</v>
      </c>
      <c r="I2567">
        <v>27</v>
      </c>
    </row>
    <row r="2568" spans="1:9" x14ac:dyDescent="0.25">
      <c r="A2568" s="5" t="str">
        <f>TrendSheetPrdData[[#This Row],[Population]]&amp;TrendSheetPrdData[[#This Row],[Cost Basis]]&amp;TrendSheetPrdData[[#This Row],[Period]]&amp;TrendSheetPrdData[[#This Row],[Trend]]</f>
        <v>MSSP_NONATTRIBUTEDPaid2015-11-01Office Based MRIs per 1k</v>
      </c>
      <c r="B2568" t="s">
        <v>129</v>
      </c>
      <c r="C2568" t="s">
        <v>129</v>
      </c>
      <c r="D2568" t="s">
        <v>78</v>
      </c>
      <c r="E2568" s="1" t="s">
        <v>130</v>
      </c>
      <c r="F2568" t="s">
        <v>93</v>
      </c>
      <c r="G2568" t="s">
        <v>22</v>
      </c>
      <c r="H2568">
        <v>11</v>
      </c>
      <c r="I2568">
        <v>8</v>
      </c>
    </row>
    <row r="2569" spans="1:9" x14ac:dyDescent="0.25">
      <c r="A2569" s="5" t="str">
        <f>TrendSheetPrdData[[#This Row],[Population]]&amp;TrendSheetPrdData[[#This Row],[Cost Basis]]&amp;TrendSheetPrdData[[#This Row],[Period]]&amp;TrendSheetPrdData[[#This Row],[Trend]]</f>
        <v>MSSP_NONATTRIBUTEDPaid2015-12-01Office Based MRIs per 1k</v>
      </c>
      <c r="B2569" t="s">
        <v>129</v>
      </c>
      <c r="C2569" t="s">
        <v>129</v>
      </c>
      <c r="D2569" t="s">
        <v>78</v>
      </c>
      <c r="E2569" s="1" t="s">
        <v>131</v>
      </c>
      <c r="F2569" t="s">
        <v>93</v>
      </c>
      <c r="G2569" t="s">
        <v>22</v>
      </c>
      <c r="H2569">
        <v>11</v>
      </c>
      <c r="I2569">
        <v>7</v>
      </c>
    </row>
    <row r="2570" spans="1:9" x14ac:dyDescent="0.25">
      <c r="A2570" s="5" t="str">
        <f>TrendSheetPrdData[[#This Row],[Population]]&amp;TrendSheetPrdData[[#This Row],[Cost Basis]]&amp;TrendSheetPrdData[[#This Row],[Period]]&amp;TrendSheetPrdData[[#This Row],[Trend]]</f>
        <v>MSSP_NONATTRIBUTEDPaid2016-01-01Office Based MRIs per 1k</v>
      </c>
      <c r="B2570" t="s">
        <v>129</v>
      </c>
      <c r="C2570" t="s">
        <v>129</v>
      </c>
      <c r="D2570" t="s">
        <v>78</v>
      </c>
      <c r="E2570" s="1" t="s">
        <v>132</v>
      </c>
      <c r="F2570" t="s">
        <v>93</v>
      </c>
      <c r="G2570" t="s">
        <v>22</v>
      </c>
      <c r="H2570">
        <v>11</v>
      </c>
      <c r="I2570">
        <v>17</v>
      </c>
    </row>
    <row r="2571" spans="1:9" x14ac:dyDescent="0.25">
      <c r="A2571" s="5" t="str">
        <f>TrendSheetPrdData[[#This Row],[Population]]&amp;TrendSheetPrdData[[#This Row],[Cost Basis]]&amp;TrendSheetPrdData[[#This Row],[Period]]&amp;TrendSheetPrdData[[#This Row],[Trend]]</f>
        <v>MSSP_NONATTRIBUTEDPaid2016-02-01Office Based MRIs per 1k</v>
      </c>
      <c r="B2571" t="s">
        <v>129</v>
      </c>
      <c r="C2571" t="s">
        <v>129</v>
      </c>
      <c r="D2571" t="s">
        <v>78</v>
      </c>
      <c r="E2571" s="1" t="s">
        <v>133</v>
      </c>
      <c r="F2571" t="s">
        <v>93</v>
      </c>
      <c r="G2571" t="s">
        <v>22</v>
      </c>
      <c r="H2571">
        <v>11</v>
      </c>
      <c r="I2571">
        <v>11</v>
      </c>
    </row>
    <row r="2572" spans="1:9" x14ac:dyDescent="0.25">
      <c r="A2572" s="5" t="str">
        <f>TrendSheetPrdData[[#This Row],[Population]]&amp;TrendSheetPrdData[[#This Row],[Cost Basis]]&amp;TrendSheetPrdData[[#This Row],[Period]]&amp;TrendSheetPrdData[[#This Row],[Trend]]</f>
        <v>MSSP_NONATTRIBUTEDPaid2016-03-01Office Based MRIs per 1k</v>
      </c>
      <c r="B2572" t="s">
        <v>129</v>
      </c>
      <c r="C2572" t="s">
        <v>129</v>
      </c>
      <c r="D2572" t="s">
        <v>78</v>
      </c>
      <c r="E2572" s="1" t="s">
        <v>92</v>
      </c>
      <c r="F2572" t="s">
        <v>93</v>
      </c>
      <c r="G2572" t="s">
        <v>22</v>
      </c>
      <c r="H2572">
        <v>11</v>
      </c>
      <c r="I2572">
        <v>17</v>
      </c>
    </row>
    <row r="2573" spans="1:9" x14ac:dyDescent="0.25">
      <c r="A2573" s="5" t="str">
        <f>TrendSheetPrdData[[#This Row],[Population]]&amp;TrendSheetPrdData[[#This Row],[Cost Basis]]&amp;TrendSheetPrdData[[#This Row],[Period]]&amp;TrendSheetPrdData[[#This Row],[Trend]]</f>
        <v>MSSP_NONATTRIBUTEDPaid2016-04-01Office Based MRIs per 1k</v>
      </c>
      <c r="B2573" t="s">
        <v>129</v>
      </c>
      <c r="C2573" t="s">
        <v>129</v>
      </c>
      <c r="D2573" t="s">
        <v>78</v>
      </c>
      <c r="E2573" s="1" t="s">
        <v>94</v>
      </c>
      <c r="F2573" t="s">
        <v>93</v>
      </c>
      <c r="G2573" t="s">
        <v>22</v>
      </c>
      <c r="H2573">
        <v>11</v>
      </c>
      <c r="I2573">
        <v>17</v>
      </c>
    </row>
    <row r="2574" spans="1:9" x14ac:dyDescent="0.25">
      <c r="A2574" s="5" t="str">
        <f>TrendSheetPrdData[[#This Row],[Population]]&amp;TrendSheetPrdData[[#This Row],[Cost Basis]]&amp;TrendSheetPrdData[[#This Row],[Period]]&amp;TrendSheetPrdData[[#This Row],[Trend]]</f>
        <v>MSSP_NONATTRIBUTEDPaid2016-05-01Office Based MRIs per 1k</v>
      </c>
      <c r="B2574" t="s">
        <v>129</v>
      </c>
      <c r="C2574" t="s">
        <v>129</v>
      </c>
      <c r="D2574" t="s">
        <v>78</v>
      </c>
      <c r="E2574" s="1" t="s">
        <v>95</v>
      </c>
      <c r="F2574" t="s">
        <v>93</v>
      </c>
      <c r="G2574" t="s">
        <v>22</v>
      </c>
      <c r="H2574">
        <v>11</v>
      </c>
      <c r="I2574">
        <v>29</v>
      </c>
    </row>
    <row r="2575" spans="1:9" x14ac:dyDescent="0.25">
      <c r="A2575" s="5" t="str">
        <f>TrendSheetPrdData[[#This Row],[Population]]&amp;TrendSheetPrdData[[#This Row],[Cost Basis]]&amp;TrendSheetPrdData[[#This Row],[Period]]&amp;TrendSheetPrdData[[#This Row],[Trend]]</f>
        <v>MSSP_NONATTRIBUTEDPaid2016-06-01Office Based MRIs per 1k</v>
      </c>
      <c r="B2575" t="s">
        <v>129</v>
      </c>
      <c r="C2575" t="s">
        <v>129</v>
      </c>
      <c r="D2575" t="s">
        <v>78</v>
      </c>
      <c r="E2575" s="1" t="s">
        <v>96</v>
      </c>
      <c r="F2575" t="s">
        <v>93</v>
      </c>
      <c r="G2575" t="s">
        <v>22</v>
      </c>
      <c r="H2575">
        <v>11</v>
      </c>
      <c r="I2575">
        <v>9</v>
      </c>
    </row>
    <row r="2576" spans="1:9" x14ac:dyDescent="0.25">
      <c r="A2576" s="5" t="str">
        <f>TrendSheetPrdData[[#This Row],[Population]]&amp;TrendSheetPrdData[[#This Row],[Cost Basis]]&amp;TrendSheetPrdData[[#This Row],[Period]]&amp;TrendSheetPrdData[[#This Row],[Trend]]</f>
        <v>MSSP_NONATTRIBUTEDPaid2016-07-01Office Based MRIs per 1k</v>
      </c>
      <c r="B2576" t="s">
        <v>129</v>
      </c>
      <c r="C2576" t="s">
        <v>129</v>
      </c>
      <c r="D2576" t="s">
        <v>78</v>
      </c>
      <c r="E2576" s="1" t="s">
        <v>97</v>
      </c>
      <c r="F2576" t="s">
        <v>93</v>
      </c>
      <c r="G2576" t="s">
        <v>22</v>
      </c>
      <c r="H2576">
        <v>11</v>
      </c>
      <c r="I2576">
        <v>17</v>
      </c>
    </row>
    <row r="2577" spans="1:9" x14ac:dyDescent="0.25">
      <c r="A2577" s="5" t="str">
        <f>TrendSheetPrdData[[#This Row],[Population]]&amp;TrendSheetPrdData[[#This Row],[Cost Basis]]&amp;TrendSheetPrdData[[#This Row],[Period]]&amp;TrendSheetPrdData[[#This Row],[Trend]]</f>
        <v>MSSP_NONATTRIBUTEDPaid2016-08-01Office Based MRIs per 1k</v>
      </c>
      <c r="B2577" t="s">
        <v>129</v>
      </c>
      <c r="C2577" t="s">
        <v>129</v>
      </c>
      <c r="D2577" t="s">
        <v>78</v>
      </c>
      <c r="E2577" s="1" t="s">
        <v>98</v>
      </c>
      <c r="F2577" t="s">
        <v>93</v>
      </c>
      <c r="G2577" t="s">
        <v>22</v>
      </c>
      <c r="H2577">
        <v>11</v>
      </c>
      <c r="I2577">
        <v>16</v>
      </c>
    </row>
    <row r="2578" spans="1:9" x14ac:dyDescent="0.25">
      <c r="A2578" s="5" t="str">
        <f>TrendSheetPrdData[[#This Row],[Population]]&amp;TrendSheetPrdData[[#This Row],[Cost Basis]]&amp;TrendSheetPrdData[[#This Row],[Period]]&amp;TrendSheetPrdData[[#This Row],[Trend]]</f>
        <v>MSSP_NONATTRIBUTEDPaid2016-09-01Office Based MRIs per 1k</v>
      </c>
      <c r="B2578" t="s">
        <v>129</v>
      </c>
      <c r="C2578" t="s">
        <v>129</v>
      </c>
      <c r="D2578" t="s">
        <v>78</v>
      </c>
      <c r="E2578" s="1" t="s">
        <v>99</v>
      </c>
      <c r="F2578" t="s">
        <v>93</v>
      </c>
      <c r="G2578" t="s">
        <v>22</v>
      </c>
      <c r="H2578">
        <v>11</v>
      </c>
      <c r="I2578">
        <v>7</v>
      </c>
    </row>
    <row r="2579" spans="1:9" x14ac:dyDescent="0.25">
      <c r="A2579" s="5" t="str">
        <f>TrendSheetPrdData[[#This Row],[Population]]&amp;TrendSheetPrdData[[#This Row],[Cost Basis]]&amp;TrendSheetPrdData[[#This Row],[Period]]&amp;TrendSheetPrdData[[#This Row],[Trend]]</f>
        <v>MSSP_NONATTRIBUTEDPaid2016-10-01Office Based MRIs per 1k</v>
      </c>
      <c r="B2579" t="s">
        <v>129</v>
      </c>
      <c r="C2579" t="s">
        <v>129</v>
      </c>
      <c r="D2579" t="s">
        <v>78</v>
      </c>
      <c r="E2579" s="1" t="s">
        <v>100</v>
      </c>
      <c r="F2579" t="s">
        <v>106</v>
      </c>
      <c r="G2579" t="s">
        <v>22</v>
      </c>
      <c r="H2579">
        <v>11</v>
      </c>
      <c r="I2579">
        <v>2</v>
      </c>
    </row>
    <row r="2580" spans="1:9" x14ac:dyDescent="0.25">
      <c r="A2580" s="5" t="str">
        <f>TrendSheetPrdData[[#This Row],[Population]]&amp;TrendSheetPrdData[[#This Row],[Cost Basis]]&amp;TrendSheetPrdData[[#This Row],[Period]]&amp;TrendSheetPrdData[[#This Row],[Trend]]</f>
        <v>MSSP_NONATTRIBUTEDPaid2016-11-01Office Based MRIs per 1k</v>
      </c>
      <c r="B2580" t="s">
        <v>129</v>
      </c>
      <c r="C2580" t="s">
        <v>129</v>
      </c>
      <c r="D2580" t="s">
        <v>78</v>
      </c>
      <c r="E2580" s="1" t="s">
        <v>101</v>
      </c>
      <c r="F2580" t="s">
        <v>106</v>
      </c>
      <c r="G2580" t="s">
        <v>22</v>
      </c>
      <c r="H2580">
        <v>11</v>
      </c>
      <c r="I2580">
        <v>32</v>
      </c>
    </row>
    <row r="2581" spans="1:9" x14ac:dyDescent="0.25">
      <c r="A2581" s="5" t="str">
        <f>TrendSheetPrdData[[#This Row],[Population]]&amp;TrendSheetPrdData[[#This Row],[Cost Basis]]&amp;TrendSheetPrdData[[#This Row],[Period]]&amp;TrendSheetPrdData[[#This Row],[Trend]]</f>
        <v>MSSP_NONATTRIBUTEDPaid2016-12-01Office Based MRIs per 1k</v>
      </c>
      <c r="B2581" t="s">
        <v>129</v>
      </c>
      <c r="C2581" t="s">
        <v>129</v>
      </c>
      <c r="D2581" t="s">
        <v>78</v>
      </c>
      <c r="E2581" s="1" t="s">
        <v>102</v>
      </c>
      <c r="F2581" t="s">
        <v>106</v>
      </c>
      <c r="G2581" t="s">
        <v>22</v>
      </c>
      <c r="H2581">
        <v>11</v>
      </c>
      <c r="I2581">
        <v>9</v>
      </c>
    </row>
    <row r="2582" spans="1:9" x14ac:dyDescent="0.25">
      <c r="A2582" s="5" t="str">
        <f>TrendSheetPrdData[[#This Row],[Population]]&amp;TrendSheetPrdData[[#This Row],[Cost Basis]]&amp;TrendSheetPrdData[[#This Row],[Period]]&amp;TrendSheetPrdData[[#This Row],[Trend]]</f>
        <v>MSSP_NONATTRIBUTEDPaid2015-10-01Office Based CTs per 1k</v>
      </c>
      <c r="B2582" t="s">
        <v>129</v>
      </c>
      <c r="C2582" t="s">
        <v>129</v>
      </c>
      <c r="D2582" t="s">
        <v>78</v>
      </c>
      <c r="E2582" s="1" t="s">
        <v>134</v>
      </c>
      <c r="F2582" t="s">
        <v>93</v>
      </c>
      <c r="G2582" t="s">
        <v>23</v>
      </c>
      <c r="H2582">
        <v>12</v>
      </c>
      <c r="I2582">
        <v>4</v>
      </c>
    </row>
    <row r="2583" spans="1:9" x14ac:dyDescent="0.25">
      <c r="A2583" s="5" t="str">
        <f>TrendSheetPrdData[[#This Row],[Population]]&amp;TrendSheetPrdData[[#This Row],[Cost Basis]]&amp;TrendSheetPrdData[[#This Row],[Period]]&amp;TrendSheetPrdData[[#This Row],[Trend]]</f>
        <v>MSSP_NONATTRIBUTEDPaid2015-11-01Office Based CTs per 1k</v>
      </c>
      <c r="B2583" t="s">
        <v>129</v>
      </c>
      <c r="C2583" t="s">
        <v>129</v>
      </c>
      <c r="D2583" t="s">
        <v>78</v>
      </c>
      <c r="E2583" s="1" t="s">
        <v>130</v>
      </c>
      <c r="F2583" t="s">
        <v>93</v>
      </c>
      <c r="G2583" t="s">
        <v>23</v>
      </c>
      <c r="H2583">
        <v>12</v>
      </c>
      <c r="I2583">
        <v>4</v>
      </c>
    </row>
    <row r="2584" spans="1:9" x14ac:dyDescent="0.25">
      <c r="A2584" s="5" t="str">
        <f>TrendSheetPrdData[[#This Row],[Population]]&amp;TrendSheetPrdData[[#This Row],[Cost Basis]]&amp;TrendSheetPrdData[[#This Row],[Period]]&amp;TrendSheetPrdData[[#This Row],[Trend]]</f>
        <v>MSSP_NONATTRIBUTEDPaid2015-12-01Office Based CTs per 1k</v>
      </c>
      <c r="B2584" t="s">
        <v>129</v>
      </c>
      <c r="C2584" t="s">
        <v>129</v>
      </c>
      <c r="D2584" t="s">
        <v>78</v>
      </c>
      <c r="E2584" s="1" t="s">
        <v>131</v>
      </c>
      <c r="F2584" t="s">
        <v>93</v>
      </c>
      <c r="G2584" t="s">
        <v>23</v>
      </c>
      <c r="H2584">
        <v>12</v>
      </c>
      <c r="I2584">
        <v>0</v>
      </c>
    </row>
    <row r="2585" spans="1:9" x14ac:dyDescent="0.25">
      <c r="A2585" s="5" t="str">
        <f>TrendSheetPrdData[[#This Row],[Population]]&amp;TrendSheetPrdData[[#This Row],[Cost Basis]]&amp;TrendSheetPrdData[[#This Row],[Period]]&amp;TrendSheetPrdData[[#This Row],[Trend]]</f>
        <v>MSSP_NONATTRIBUTEDPaid2016-01-01Office Based CTs per 1k</v>
      </c>
      <c r="B2585" t="s">
        <v>129</v>
      </c>
      <c r="C2585" t="s">
        <v>129</v>
      </c>
      <c r="D2585" t="s">
        <v>78</v>
      </c>
      <c r="E2585" s="1" t="s">
        <v>132</v>
      </c>
      <c r="F2585" t="s">
        <v>93</v>
      </c>
      <c r="G2585" t="s">
        <v>23</v>
      </c>
      <c r="H2585">
        <v>12</v>
      </c>
      <c r="I2585">
        <v>0</v>
      </c>
    </row>
    <row r="2586" spans="1:9" x14ac:dyDescent="0.25">
      <c r="A2586" s="5" t="str">
        <f>TrendSheetPrdData[[#This Row],[Population]]&amp;TrendSheetPrdData[[#This Row],[Cost Basis]]&amp;TrendSheetPrdData[[#This Row],[Period]]&amp;TrendSheetPrdData[[#This Row],[Trend]]</f>
        <v>MSSP_NONATTRIBUTEDPaid2016-02-01Office Based CTs per 1k</v>
      </c>
      <c r="B2586" t="s">
        <v>129</v>
      </c>
      <c r="C2586" t="s">
        <v>129</v>
      </c>
      <c r="D2586" t="s">
        <v>78</v>
      </c>
      <c r="E2586" s="1" t="s">
        <v>133</v>
      </c>
      <c r="F2586" t="s">
        <v>93</v>
      </c>
      <c r="G2586" t="s">
        <v>23</v>
      </c>
      <c r="H2586">
        <v>12</v>
      </c>
      <c r="I2586">
        <v>2</v>
      </c>
    </row>
    <row r="2587" spans="1:9" x14ac:dyDescent="0.25">
      <c r="A2587" s="5" t="str">
        <f>TrendSheetPrdData[[#This Row],[Population]]&amp;TrendSheetPrdData[[#This Row],[Cost Basis]]&amp;TrendSheetPrdData[[#This Row],[Period]]&amp;TrendSheetPrdData[[#This Row],[Trend]]</f>
        <v>MSSP_NONATTRIBUTEDPaid2016-03-01Office Based CTs per 1k</v>
      </c>
      <c r="B2587" t="s">
        <v>129</v>
      </c>
      <c r="C2587" t="s">
        <v>129</v>
      </c>
      <c r="D2587" t="s">
        <v>78</v>
      </c>
      <c r="E2587" s="1" t="s">
        <v>92</v>
      </c>
      <c r="F2587" t="s">
        <v>93</v>
      </c>
      <c r="G2587" t="s">
        <v>23</v>
      </c>
      <c r="H2587">
        <v>12</v>
      </c>
      <c r="I2587">
        <v>2</v>
      </c>
    </row>
    <row r="2588" spans="1:9" x14ac:dyDescent="0.25">
      <c r="A2588" s="5" t="str">
        <f>TrendSheetPrdData[[#This Row],[Population]]&amp;TrendSheetPrdData[[#This Row],[Cost Basis]]&amp;TrendSheetPrdData[[#This Row],[Period]]&amp;TrendSheetPrdData[[#This Row],[Trend]]</f>
        <v>MSSP_NONATTRIBUTEDPaid2016-04-01Office Based CTs per 1k</v>
      </c>
      <c r="B2588" t="s">
        <v>129</v>
      </c>
      <c r="C2588" t="s">
        <v>129</v>
      </c>
      <c r="D2588" t="s">
        <v>78</v>
      </c>
      <c r="E2588" s="1" t="s">
        <v>94</v>
      </c>
      <c r="F2588" t="s">
        <v>93</v>
      </c>
      <c r="G2588" t="s">
        <v>23</v>
      </c>
      <c r="H2588">
        <v>12</v>
      </c>
      <c r="I2588">
        <v>0</v>
      </c>
    </row>
    <row r="2589" spans="1:9" x14ac:dyDescent="0.25">
      <c r="A2589" s="5" t="str">
        <f>TrendSheetPrdData[[#This Row],[Population]]&amp;TrendSheetPrdData[[#This Row],[Cost Basis]]&amp;TrendSheetPrdData[[#This Row],[Period]]&amp;TrendSheetPrdData[[#This Row],[Trend]]</f>
        <v>MSSP_NONATTRIBUTEDPaid2016-05-01Office Based CTs per 1k</v>
      </c>
      <c r="B2589" t="s">
        <v>129</v>
      </c>
      <c r="C2589" t="s">
        <v>129</v>
      </c>
      <c r="D2589" t="s">
        <v>78</v>
      </c>
      <c r="E2589" s="1" t="s">
        <v>95</v>
      </c>
      <c r="F2589" t="s">
        <v>93</v>
      </c>
      <c r="G2589" t="s">
        <v>23</v>
      </c>
      <c r="H2589">
        <v>12</v>
      </c>
      <c r="I2589">
        <v>10</v>
      </c>
    </row>
    <row r="2590" spans="1:9" x14ac:dyDescent="0.25">
      <c r="A2590" s="5" t="str">
        <f>TrendSheetPrdData[[#This Row],[Population]]&amp;TrendSheetPrdData[[#This Row],[Cost Basis]]&amp;TrendSheetPrdData[[#This Row],[Period]]&amp;TrendSheetPrdData[[#This Row],[Trend]]</f>
        <v>MSSP_NONATTRIBUTEDPaid2016-06-01Office Based CTs per 1k</v>
      </c>
      <c r="B2590" t="s">
        <v>129</v>
      </c>
      <c r="C2590" t="s">
        <v>129</v>
      </c>
      <c r="D2590" t="s">
        <v>78</v>
      </c>
      <c r="E2590" s="1" t="s">
        <v>96</v>
      </c>
      <c r="F2590" t="s">
        <v>93</v>
      </c>
      <c r="G2590" t="s">
        <v>23</v>
      </c>
      <c r="H2590">
        <v>12</v>
      </c>
      <c r="I2590">
        <v>2</v>
      </c>
    </row>
    <row r="2591" spans="1:9" x14ac:dyDescent="0.25">
      <c r="A2591" s="5" t="str">
        <f>TrendSheetPrdData[[#This Row],[Population]]&amp;TrendSheetPrdData[[#This Row],[Cost Basis]]&amp;TrendSheetPrdData[[#This Row],[Period]]&amp;TrendSheetPrdData[[#This Row],[Trend]]</f>
        <v>MSSP_NONATTRIBUTEDPaid2016-07-01Office Based CTs per 1k</v>
      </c>
      <c r="B2591" t="s">
        <v>129</v>
      </c>
      <c r="C2591" t="s">
        <v>129</v>
      </c>
      <c r="D2591" t="s">
        <v>78</v>
      </c>
      <c r="E2591" s="1" t="s">
        <v>97</v>
      </c>
      <c r="F2591" t="s">
        <v>93</v>
      </c>
      <c r="G2591" t="s">
        <v>23</v>
      </c>
      <c r="H2591">
        <v>12</v>
      </c>
      <c r="I2591">
        <v>5</v>
      </c>
    </row>
    <row r="2592" spans="1:9" x14ac:dyDescent="0.25">
      <c r="A2592" s="5" t="str">
        <f>TrendSheetPrdData[[#This Row],[Population]]&amp;TrendSheetPrdData[[#This Row],[Cost Basis]]&amp;TrendSheetPrdData[[#This Row],[Period]]&amp;TrendSheetPrdData[[#This Row],[Trend]]</f>
        <v>MSSP_NONATTRIBUTEDPaid2016-08-01Office Based CTs per 1k</v>
      </c>
      <c r="B2592" t="s">
        <v>129</v>
      </c>
      <c r="C2592" t="s">
        <v>129</v>
      </c>
      <c r="D2592" t="s">
        <v>78</v>
      </c>
      <c r="E2592" s="1" t="s">
        <v>98</v>
      </c>
      <c r="F2592" t="s">
        <v>93</v>
      </c>
      <c r="G2592" t="s">
        <v>23</v>
      </c>
      <c r="H2592">
        <v>12</v>
      </c>
      <c r="I2592">
        <v>7</v>
      </c>
    </row>
    <row r="2593" spans="1:9" x14ac:dyDescent="0.25">
      <c r="A2593" s="5" t="str">
        <f>TrendSheetPrdData[[#This Row],[Population]]&amp;TrendSheetPrdData[[#This Row],[Cost Basis]]&amp;TrendSheetPrdData[[#This Row],[Period]]&amp;TrendSheetPrdData[[#This Row],[Trend]]</f>
        <v>MSSP_NONATTRIBUTEDPaid2016-09-01Office Based CTs per 1k</v>
      </c>
      <c r="B2593" t="s">
        <v>129</v>
      </c>
      <c r="C2593" t="s">
        <v>129</v>
      </c>
      <c r="D2593" t="s">
        <v>78</v>
      </c>
      <c r="E2593" s="1" t="s">
        <v>99</v>
      </c>
      <c r="F2593" t="s">
        <v>93</v>
      </c>
      <c r="G2593" t="s">
        <v>23</v>
      </c>
      <c r="H2593">
        <v>12</v>
      </c>
      <c r="I2593">
        <v>2</v>
      </c>
    </row>
    <row r="2594" spans="1:9" x14ac:dyDescent="0.25">
      <c r="A2594" s="5" t="str">
        <f>TrendSheetPrdData[[#This Row],[Population]]&amp;TrendSheetPrdData[[#This Row],[Cost Basis]]&amp;TrendSheetPrdData[[#This Row],[Period]]&amp;TrendSheetPrdData[[#This Row],[Trend]]</f>
        <v>MSSP_NONATTRIBUTEDPaid2016-10-01Office Based CTs per 1k</v>
      </c>
      <c r="B2594" t="s">
        <v>129</v>
      </c>
      <c r="C2594" t="s">
        <v>129</v>
      </c>
      <c r="D2594" t="s">
        <v>78</v>
      </c>
      <c r="E2594" s="1" t="s">
        <v>100</v>
      </c>
      <c r="F2594" t="s">
        <v>106</v>
      </c>
      <c r="G2594" t="s">
        <v>23</v>
      </c>
      <c r="H2594">
        <v>12</v>
      </c>
      <c r="I2594">
        <v>2</v>
      </c>
    </row>
    <row r="2595" spans="1:9" x14ac:dyDescent="0.25">
      <c r="A2595" s="5" t="str">
        <f>TrendSheetPrdData[[#This Row],[Population]]&amp;TrendSheetPrdData[[#This Row],[Cost Basis]]&amp;TrendSheetPrdData[[#This Row],[Period]]&amp;TrendSheetPrdData[[#This Row],[Trend]]</f>
        <v>MSSP_NONATTRIBUTEDPaid2016-11-01Office Based CTs per 1k</v>
      </c>
      <c r="B2595" t="s">
        <v>129</v>
      </c>
      <c r="C2595" t="s">
        <v>129</v>
      </c>
      <c r="D2595" t="s">
        <v>78</v>
      </c>
      <c r="E2595" s="1" t="s">
        <v>101</v>
      </c>
      <c r="F2595" t="s">
        <v>106</v>
      </c>
      <c r="G2595" t="s">
        <v>23</v>
      </c>
      <c r="H2595">
        <v>12</v>
      </c>
      <c r="I2595">
        <v>2</v>
      </c>
    </row>
    <row r="2596" spans="1:9" x14ac:dyDescent="0.25">
      <c r="A2596" s="5" t="str">
        <f>TrendSheetPrdData[[#This Row],[Population]]&amp;TrendSheetPrdData[[#This Row],[Cost Basis]]&amp;TrendSheetPrdData[[#This Row],[Period]]&amp;TrendSheetPrdData[[#This Row],[Trend]]</f>
        <v>MSSP_NONATTRIBUTEDPaid2016-12-01Office Based CTs per 1k</v>
      </c>
      <c r="B2596" t="s">
        <v>129</v>
      </c>
      <c r="C2596" t="s">
        <v>129</v>
      </c>
      <c r="D2596" t="s">
        <v>78</v>
      </c>
      <c r="E2596" s="1" t="s">
        <v>102</v>
      </c>
      <c r="F2596" t="s">
        <v>106</v>
      </c>
      <c r="G2596" t="s">
        <v>23</v>
      </c>
      <c r="H2596">
        <v>12</v>
      </c>
      <c r="I2596">
        <v>2</v>
      </c>
    </row>
    <row r="2597" spans="1:9" x14ac:dyDescent="0.25">
      <c r="A2597" s="5" t="str">
        <f>TrendSheetPrdData[[#This Row],[Population]]&amp;TrendSheetPrdData[[#This Row],[Cost Basis]]&amp;TrendSheetPrdData[[#This Row],[Period]]&amp;TrendSheetPrdData[[#This Row],[Trend]]</f>
        <v>MSSP_NONATTRIBUTEDPaid2015-10-01ED Cost</v>
      </c>
      <c r="B2597" t="s">
        <v>129</v>
      </c>
      <c r="C2597" t="s">
        <v>129</v>
      </c>
      <c r="D2597" t="s">
        <v>78</v>
      </c>
      <c r="E2597" s="1" t="s">
        <v>134</v>
      </c>
      <c r="F2597" t="s">
        <v>93</v>
      </c>
      <c r="G2597" t="s">
        <v>24</v>
      </c>
      <c r="H2597">
        <v>13</v>
      </c>
      <c r="I2597">
        <v>147885</v>
      </c>
    </row>
    <row r="2598" spans="1:9" x14ac:dyDescent="0.25">
      <c r="A2598" s="5" t="str">
        <f>TrendSheetPrdData[[#This Row],[Population]]&amp;TrendSheetPrdData[[#This Row],[Cost Basis]]&amp;TrendSheetPrdData[[#This Row],[Period]]&amp;TrendSheetPrdData[[#This Row],[Trend]]</f>
        <v>MSSP_NONATTRIBUTEDPaid2015-11-01ED Cost</v>
      </c>
      <c r="B2598" t="s">
        <v>129</v>
      </c>
      <c r="C2598" t="s">
        <v>129</v>
      </c>
      <c r="D2598" t="s">
        <v>78</v>
      </c>
      <c r="E2598" s="1" t="s">
        <v>130</v>
      </c>
      <c r="F2598" t="s">
        <v>93</v>
      </c>
      <c r="G2598" t="s">
        <v>24</v>
      </c>
      <c r="H2598">
        <v>13</v>
      </c>
      <c r="I2598">
        <v>81833</v>
      </c>
    </row>
    <row r="2599" spans="1:9" x14ac:dyDescent="0.25">
      <c r="A2599" s="5" t="str">
        <f>TrendSheetPrdData[[#This Row],[Population]]&amp;TrendSheetPrdData[[#This Row],[Cost Basis]]&amp;TrendSheetPrdData[[#This Row],[Period]]&amp;TrendSheetPrdData[[#This Row],[Trend]]</f>
        <v>MSSP_NONATTRIBUTEDPaid2015-12-01ED Cost</v>
      </c>
      <c r="B2599" t="s">
        <v>129</v>
      </c>
      <c r="C2599" t="s">
        <v>129</v>
      </c>
      <c r="D2599" t="s">
        <v>78</v>
      </c>
      <c r="E2599" s="1" t="s">
        <v>131</v>
      </c>
      <c r="F2599" t="s">
        <v>93</v>
      </c>
      <c r="G2599" t="s">
        <v>24</v>
      </c>
      <c r="H2599">
        <v>13</v>
      </c>
      <c r="I2599">
        <v>91818</v>
      </c>
    </row>
    <row r="2600" spans="1:9" x14ac:dyDescent="0.25">
      <c r="A2600" s="5" t="str">
        <f>TrendSheetPrdData[[#This Row],[Population]]&amp;TrendSheetPrdData[[#This Row],[Cost Basis]]&amp;TrendSheetPrdData[[#This Row],[Period]]&amp;TrendSheetPrdData[[#This Row],[Trend]]</f>
        <v>MSSP_NONATTRIBUTEDPaid2016-01-01ED Cost</v>
      </c>
      <c r="B2600" t="s">
        <v>129</v>
      </c>
      <c r="C2600" t="s">
        <v>129</v>
      </c>
      <c r="D2600" t="s">
        <v>78</v>
      </c>
      <c r="E2600" s="1" t="s">
        <v>132</v>
      </c>
      <c r="F2600" t="s">
        <v>93</v>
      </c>
      <c r="G2600" t="s">
        <v>24</v>
      </c>
      <c r="H2600">
        <v>13</v>
      </c>
      <c r="I2600">
        <v>61602</v>
      </c>
    </row>
    <row r="2601" spans="1:9" x14ac:dyDescent="0.25">
      <c r="A2601" s="5" t="str">
        <f>TrendSheetPrdData[[#This Row],[Population]]&amp;TrendSheetPrdData[[#This Row],[Cost Basis]]&amp;TrendSheetPrdData[[#This Row],[Period]]&amp;TrendSheetPrdData[[#This Row],[Trend]]</f>
        <v>MSSP_NONATTRIBUTEDPaid2016-02-01ED Cost</v>
      </c>
      <c r="B2601" t="s">
        <v>129</v>
      </c>
      <c r="C2601" t="s">
        <v>129</v>
      </c>
      <c r="D2601" t="s">
        <v>78</v>
      </c>
      <c r="E2601" s="1" t="s">
        <v>133</v>
      </c>
      <c r="F2601" t="s">
        <v>93</v>
      </c>
      <c r="G2601" t="s">
        <v>24</v>
      </c>
      <c r="H2601">
        <v>13</v>
      </c>
      <c r="I2601">
        <v>58459</v>
      </c>
    </row>
    <row r="2602" spans="1:9" x14ac:dyDescent="0.25">
      <c r="A2602" s="5" t="str">
        <f>TrendSheetPrdData[[#This Row],[Population]]&amp;TrendSheetPrdData[[#This Row],[Cost Basis]]&amp;TrendSheetPrdData[[#This Row],[Period]]&amp;TrendSheetPrdData[[#This Row],[Trend]]</f>
        <v>MSSP_NONATTRIBUTEDPaid2016-03-01ED Cost</v>
      </c>
      <c r="B2602" t="s">
        <v>129</v>
      </c>
      <c r="C2602" t="s">
        <v>129</v>
      </c>
      <c r="D2602" t="s">
        <v>78</v>
      </c>
      <c r="E2602" s="1" t="s">
        <v>92</v>
      </c>
      <c r="F2602" t="s">
        <v>93</v>
      </c>
      <c r="G2602" t="s">
        <v>24</v>
      </c>
      <c r="H2602">
        <v>13</v>
      </c>
      <c r="I2602">
        <v>71082</v>
      </c>
    </row>
    <row r="2603" spans="1:9" x14ac:dyDescent="0.25">
      <c r="A2603" s="5" t="str">
        <f>TrendSheetPrdData[[#This Row],[Population]]&amp;TrendSheetPrdData[[#This Row],[Cost Basis]]&amp;TrendSheetPrdData[[#This Row],[Period]]&amp;TrendSheetPrdData[[#This Row],[Trend]]</f>
        <v>MSSP_NONATTRIBUTEDPaid2016-04-01ED Cost</v>
      </c>
      <c r="B2603" t="s">
        <v>129</v>
      </c>
      <c r="C2603" t="s">
        <v>129</v>
      </c>
      <c r="D2603" t="s">
        <v>78</v>
      </c>
      <c r="E2603" s="1" t="s">
        <v>94</v>
      </c>
      <c r="F2603" t="s">
        <v>93</v>
      </c>
      <c r="G2603" t="s">
        <v>24</v>
      </c>
      <c r="H2603">
        <v>13</v>
      </c>
      <c r="I2603">
        <v>72635</v>
      </c>
    </row>
    <row r="2604" spans="1:9" x14ac:dyDescent="0.25">
      <c r="A2604" s="5" t="str">
        <f>TrendSheetPrdData[[#This Row],[Population]]&amp;TrendSheetPrdData[[#This Row],[Cost Basis]]&amp;TrendSheetPrdData[[#This Row],[Period]]&amp;TrendSheetPrdData[[#This Row],[Trend]]</f>
        <v>MSSP_NONATTRIBUTEDPaid2016-05-01ED Cost</v>
      </c>
      <c r="B2604" t="s">
        <v>129</v>
      </c>
      <c r="C2604" t="s">
        <v>129</v>
      </c>
      <c r="D2604" t="s">
        <v>78</v>
      </c>
      <c r="E2604" s="1" t="s">
        <v>95</v>
      </c>
      <c r="F2604" t="s">
        <v>93</v>
      </c>
      <c r="G2604" t="s">
        <v>24</v>
      </c>
      <c r="H2604">
        <v>13</v>
      </c>
      <c r="I2604">
        <v>71328</v>
      </c>
    </row>
    <row r="2605" spans="1:9" x14ac:dyDescent="0.25">
      <c r="A2605" s="5" t="str">
        <f>TrendSheetPrdData[[#This Row],[Population]]&amp;TrendSheetPrdData[[#This Row],[Cost Basis]]&amp;TrendSheetPrdData[[#This Row],[Period]]&amp;TrendSheetPrdData[[#This Row],[Trend]]</f>
        <v>MSSP_NONATTRIBUTEDPaid2016-06-01ED Cost</v>
      </c>
      <c r="B2605" t="s">
        <v>129</v>
      </c>
      <c r="C2605" t="s">
        <v>129</v>
      </c>
      <c r="D2605" t="s">
        <v>78</v>
      </c>
      <c r="E2605" s="1" t="s">
        <v>96</v>
      </c>
      <c r="F2605" t="s">
        <v>93</v>
      </c>
      <c r="G2605" t="s">
        <v>24</v>
      </c>
      <c r="H2605">
        <v>13</v>
      </c>
      <c r="I2605">
        <v>67740</v>
      </c>
    </row>
    <row r="2606" spans="1:9" x14ac:dyDescent="0.25">
      <c r="A2606" s="5" t="str">
        <f>TrendSheetPrdData[[#This Row],[Population]]&amp;TrendSheetPrdData[[#This Row],[Cost Basis]]&amp;TrendSheetPrdData[[#This Row],[Period]]&amp;TrendSheetPrdData[[#This Row],[Trend]]</f>
        <v>MSSP_NONATTRIBUTEDPaid2016-07-01ED Cost</v>
      </c>
      <c r="B2606" t="s">
        <v>129</v>
      </c>
      <c r="C2606" t="s">
        <v>129</v>
      </c>
      <c r="D2606" t="s">
        <v>78</v>
      </c>
      <c r="E2606" s="1" t="s">
        <v>97</v>
      </c>
      <c r="F2606" t="s">
        <v>93</v>
      </c>
      <c r="G2606" t="s">
        <v>24</v>
      </c>
      <c r="H2606">
        <v>13</v>
      </c>
      <c r="I2606">
        <v>64337</v>
      </c>
    </row>
    <row r="2607" spans="1:9" x14ac:dyDescent="0.25">
      <c r="A2607" s="5" t="str">
        <f>TrendSheetPrdData[[#This Row],[Population]]&amp;TrendSheetPrdData[[#This Row],[Cost Basis]]&amp;TrendSheetPrdData[[#This Row],[Period]]&amp;TrendSheetPrdData[[#This Row],[Trend]]</f>
        <v>MSSP_NONATTRIBUTEDPaid2016-08-01ED Cost</v>
      </c>
      <c r="B2607" t="s">
        <v>129</v>
      </c>
      <c r="C2607" t="s">
        <v>129</v>
      </c>
      <c r="D2607" t="s">
        <v>78</v>
      </c>
      <c r="E2607" s="1" t="s">
        <v>98</v>
      </c>
      <c r="F2607" t="s">
        <v>93</v>
      </c>
      <c r="G2607" t="s">
        <v>24</v>
      </c>
      <c r="H2607">
        <v>13</v>
      </c>
      <c r="I2607">
        <v>55288</v>
      </c>
    </row>
    <row r="2608" spans="1:9" x14ac:dyDescent="0.25">
      <c r="A2608" s="5" t="str">
        <f>TrendSheetPrdData[[#This Row],[Population]]&amp;TrendSheetPrdData[[#This Row],[Cost Basis]]&amp;TrendSheetPrdData[[#This Row],[Period]]&amp;TrendSheetPrdData[[#This Row],[Trend]]</f>
        <v>MSSP_NONATTRIBUTEDPaid2016-09-01ED Cost</v>
      </c>
      <c r="B2608" t="s">
        <v>129</v>
      </c>
      <c r="C2608" t="s">
        <v>129</v>
      </c>
      <c r="D2608" t="s">
        <v>78</v>
      </c>
      <c r="E2608" s="1" t="s">
        <v>99</v>
      </c>
      <c r="F2608" t="s">
        <v>93</v>
      </c>
      <c r="G2608" t="s">
        <v>24</v>
      </c>
      <c r="H2608">
        <v>13</v>
      </c>
      <c r="I2608">
        <v>73769</v>
      </c>
    </row>
    <row r="2609" spans="1:9" x14ac:dyDescent="0.25">
      <c r="A2609" s="5" t="str">
        <f>TrendSheetPrdData[[#This Row],[Population]]&amp;TrendSheetPrdData[[#This Row],[Cost Basis]]&amp;TrendSheetPrdData[[#This Row],[Period]]&amp;TrendSheetPrdData[[#This Row],[Trend]]</f>
        <v>MSSP_NONATTRIBUTEDPaid2016-10-01ED Cost</v>
      </c>
      <c r="B2609" t="s">
        <v>129</v>
      </c>
      <c r="C2609" t="s">
        <v>129</v>
      </c>
      <c r="D2609" t="s">
        <v>78</v>
      </c>
      <c r="E2609" s="1" t="s">
        <v>100</v>
      </c>
      <c r="F2609" t="s">
        <v>106</v>
      </c>
      <c r="G2609" t="s">
        <v>24</v>
      </c>
      <c r="H2609">
        <v>13</v>
      </c>
      <c r="I2609">
        <v>59395</v>
      </c>
    </row>
    <row r="2610" spans="1:9" x14ac:dyDescent="0.25">
      <c r="A2610" s="5" t="str">
        <f>TrendSheetPrdData[[#This Row],[Population]]&amp;TrendSheetPrdData[[#This Row],[Cost Basis]]&amp;TrendSheetPrdData[[#This Row],[Period]]&amp;TrendSheetPrdData[[#This Row],[Trend]]</f>
        <v>MSSP_NONATTRIBUTEDPaid2016-11-01ED Cost</v>
      </c>
      <c r="B2610" t="s">
        <v>129</v>
      </c>
      <c r="C2610" t="s">
        <v>129</v>
      </c>
      <c r="D2610" t="s">
        <v>78</v>
      </c>
      <c r="E2610" s="1" t="s">
        <v>101</v>
      </c>
      <c r="F2610" t="s">
        <v>106</v>
      </c>
      <c r="G2610" t="s">
        <v>24</v>
      </c>
      <c r="H2610">
        <v>13</v>
      </c>
      <c r="I2610">
        <v>64984</v>
      </c>
    </row>
    <row r="2611" spans="1:9" x14ac:dyDescent="0.25">
      <c r="A2611" s="5" t="str">
        <f>TrendSheetPrdData[[#This Row],[Population]]&amp;TrendSheetPrdData[[#This Row],[Cost Basis]]&amp;TrendSheetPrdData[[#This Row],[Period]]&amp;TrendSheetPrdData[[#This Row],[Trend]]</f>
        <v>MSSP_NONATTRIBUTEDPaid2016-12-01ED Cost</v>
      </c>
      <c r="B2611" t="s">
        <v>129</v>
      </c>
      <c r="C2611" t="s">
        <v>129</v>
      </c>
      <c r="D2611" t="s">
        <v>78</v>
      </c>
      <c r="E2611" s="1" t="s">
        <v>102</v>
      </c>
      <c r="F2611" t="s">
        <v>106</v>
      </c>
      <c r="G2611" t="s">
        <v>24</v>
      </c>
      <c r="H2611">
        <v>13</v>
      </c>
      <c r="I2611">
        <v>15896</v>
      </c>
    </row>
    <row r="2612" spans="1:9" x14ac:dyDescent="0.25">
      <c r="A2612" s="5" t="str">
        <f>TrendSheetPrdData[[#This Row],[Population]]&amp;TrendSheetPrdData[[#This Row],[Cost Basis]]&amp;TrendSheetPrdData[[#This Row],[Period]]&amp;TrendSheetPrdData[[#This Row],[Trend]]</f>
        <v>MSSP_NONATTRIBUTEDPaid2015-10-01ED Utilization</v>
      </c>
      <c r="B2612" t="s">
        <v>129</v>
      </c>
      <c r="C2612" t="s">
        <v>129</v>
      </c>
      <c r="D2612" t="s">
        <v>78</v>
      </c>
      <c r="E2612" s="1" t="s">
        <v>134</v>
      </c>
      <c r="F2612" t="s">
        <v>93</v>
      </c>
      <c r="G2612" t="s">
        <v>25</v>
      </c>
      <c r="H2612">
        <v>14</v>
      </c>
      <c r="I2612">
        <v>449</v>
      </c>
    </row>
    <row r="2613" spans="1:9" x14ac:dyDescent="0.25">
      <c r="A2613" s="5" t="str">
        <f>TrendSheetPrdData[[#This Row],[Population]]&amp;TrendSheetPrdData[[#This Row],[Cost Basis]]&amp;TrendSheetPrdData[[#This Row],[Period]]&amp;TrendSheetPrdData[[#This Row],[Trend]]</f>
        <v>MSSP_NONATTRIBUTEDPaid2015-11-01ED Utilization</v>
      </c>
      <c r="B2613" t="s">
        <v>129</v>
      </c>
      <c r="C2613" t="s">
        <v>129</v>
      </c>
      <c r="D2613" t="s">
        <v>78</v>
      </c>
      <c r="E2613" s="1" t="s">
        <v>130</v>
      </c>
      <c r="F2613" t="s">
        <v>93</v>
      </c>
      <c r="G2613" t="s">
        <v>25</v>
      </c>
      <c r="H2613">
        <v>14</v>
      </c>
      <c r="I2613">
        <v>249</v>
      </c>
    </row>
    <row r="2614" spans="1:9" x14ac:dyDescent="0.25">
      <c r="A2614" s="5" t="str">
        <f>TrendSheetPrdData[[#This Row],[Population]]&amp;TrendSheetPrdData[[#This Row],[Cost Basis]]&amp;TrendSheetPrdData[[#This Row],[Period]]&amp;TrendSheetPrdData[[#This Row],[Trend]]</f>
        <v>MSSP_NONATTRIBUTEDPaid2015-12-01ED Utilization</v>
      </c>
      <c r="B2614" t="s">
        <v>129</v>
      </c>
      <c r="C2614" t="s">
        <v>129</v>
      </c>
      <c r="D2614" t="s">
        <v>78</v>
      </c>
      <c r="E2614" s="1" t="s">
        <v>131</v>
      </c>
      <c r="F2614" t="s">
        <v>93</v>
      </c>
      <c r="G2614" t="s">
        <v>25</v>
      </c>
      <c r="H2614">
        <v>14</v>
      </c>
      <c r="I2614">
        <v>447</v>
      </c>
    </row>
    <row r="2615" spans="1:9" x14ac:dyDescent="0.25">
      <c r="A2615" s="5" t="str">
        <f>TrendSheetPrdData[[#This Row],[Population]]&amp;TrendSheetPrdData[[#This Row],[Cost Basis]]&amp;TrendSheetPrdData[[#This Row],[Period]]&amp;TrendSheetPrdData[[#This Row],[Trend]]</f>
        <v>MSSP_NONATTRIBUTEDPaid2016-01-01ED Utilization</v>
      </c>
      <c r="B2615" t="s">
        <v>129</v>
      </c>
      <c r="C2615" t="s">
        <v>129</v>
      </c>
      <c r="D2615" t="s">
        <v>78</v>
      </c>
      <c r="E2615" s="1" t="s">
        <v>132</v>
      </c>
      <c r="F2615" t="s">
        <v>93</v>
      </c>
      <c r="G2615" t="s">
        <v>25</v>
      </c>
      <c r="H2615">
        <v>14</v>
      </c>
      <c r="I2615">
        <v>331</v>
      </c>
    </row>
    <row r="2616" spans="1:9" x14ac:dyDescent="0.25">
      <c r="A2616" s="5" t="str">
        <f>TrendSheetPrdData[[#This Row],[Population]]&amp;TrendSheetPrdData[[#This Row],[Cost Basis]]&amp;TrendSheetPrdData[[#This Row],[Period]]&amp;TrendSheetPrdData[[#This Row],[Trend]]</f>
        <v>MSSP_NONATTRIBUTEDPaid2016-02-01ED Utilization</v>
      </c>
      <c r="B2616" t="s">
        <v>129</v>
      </c>
      <c r="C2616" t="s">
        <v>129</v>
      </c>
      <c r="D2616" t="s">
        <v>78</v>
      </c>
      <c r="E2616" s="1" t="s">
        <v>133</v>
      </c>
      <c r="F2616" t="s">
        <v>93</v>
      </c>
      <c r="G2616" t="s">
        <v>25</v>
      </c>
      <c r="H2616">
        <v>14</v>
      </c>
      <c r="I2616">
        <v>314</v>
      </c>
    </row>
    <row r="2617" spans="1:9" x14ac:dyDescent="0.25">
      <c r="A2617" s="5" t="str">
        <f>TrendSheetPrdData[[#This Row],[Population]]&amp;TrendSheetPrdData[[#This Row],[Cost Basis]]&amp;TrendSheetPrdData[[#This Row],[Period]]&amp;TrendSheetPrdData[[#This Row],[Trend]]</f>
        <v>MSSP_NONATTRIBUTEDPaid2016-03-01ED Utilization</v>
      </c>
      <c r="B2617" t="s">
        <v>129</v>
      </c>
      <c r="C2617" t="s">
        <v>129</v>
      </c>
      <c r="D2617" t="s">
        <v>78</v>
      </c>
      <c r="E2617" s="1" t="s">
        <v>92</v>
      </c>
      <c r="F2617" t="s">
        <v>93</v>
      </c>
      <c r="G2617" t="s">
        <v>25</v>
      </c>
      <c r="H2617">
        <v>14</v>
      </c>
      <c r="I2617">
        <v>398</v>
      </c>
    </row>
    <row r="2618" spans="1:9" x14ac:dyDescent="0.25">
      <c r="A2618" s="5" t="str">
        <f>TrendSheetPrdData[[#This Row],[Population]]&amp;TrendSheetPrdData[[#This Row],[Cost Basis]]&amp;TrendSheetPrdData[[#This Row],[Period]]&amp;TrendSheetPrdData[[#This Row],[Trend]]</f>
        <v>MSSP_NONATTRIBUTEDPaid2016-04-01ED Utilization</v>
      </c>
      <c r="B2618" t="s">
        <v>129</v>
      </c>
      <c r="C2618" t="s">
        <v>129</v>
      </c>
      <c r="D2618" t="s">
        <v>78</v>
      </c>
      <c r="E2618" s="1" t="s">
        <v>94</v>
      </c>
      <c r="F2618" t="s">
        <v>93</v>
      </c>
      <c r="G2618" t="s">
        <v>25</v>
      </c>
      <c r="H2618">
        <v>14</v>
      </c>
      <c r="I2618">
        <v>370</v>
      </c>
    </row>
    <row r="2619" spans="1:9" x14ac:dyDescent="0.25">
      <c r="A2619" s="5" t="str">
        <f>TrendSheetPrdData[[#This Row],[Population]]&amp;TrendSheetPrdData[[#This Row],[Cost Basis]]&amp;TrendSheetPrdData[[#This Row],[Period]]&amp;TrendSheetPrdData[[#This Row],[Trend]]</f>
        <v>MSSP_NONATTRIBUTEDPaid2016-05-01ED Utilization</v>
      </c>
      <c r="B2619" t="s">
        <v>129</v>
      </c>
      <c r="C2619" t="s">
        <v>129</v>
      </c>
      <c r="D2619" t="s">
        <v>78</v>
      </c>
      <c r="E2619" s="1" t="s">
        <v>95</v>
      </c>
      <c r="F2619" t="s">
        <v>93</v>
      </c>
      <c r="G2619" t="s">
        <v>25</v>
      </c>
      <c r="H2619">
        <v>14</v>
      </c>
      <c r="I2619">
        <v>454</v>
      </c>
    </row>
    <row r="2620" spans="1:9" x14ac:dyDescent="0.25">
      <c r="A2620" s="5" t="str">
        <f>TrendSheetPrdData[[#This Row],[Population]]&amp;TrendSheetPrdData[[#This Row],[Cost Basis]]&amp;TrendSheetPrdData[[#This Row],[Period]]&amp;TrendSheetPrdData[[#This Row],[Trend]]</f>
        <v>MSSP_NONATTRIBUTEDPaid2016-06-01ED Utilization</v>
      </c>
      <c r="B2620" t="s">
        <v>129</v>
      </c>
      <c r="C2620" t="s">
        <v>129</v>
      </c>
      <c r="D2620" t="s">
        <v>78</v>
      </c>
      <c r="E2620" s="1" t="s">
        <v>96</v>
      </c>
      <c r="F2620" t="s">
        <v>93</v>
      </c>
      <c r="G2620" t="s">
        <v>25</v>
      </c>
      <c r="H2620">
        <v>14</v>
      </c>
      <c r="I2620">
        <v>421</v>
      </c>
    </row>
    <row r="2621" spans="1:9" x14ac:dyDescent="0.25">
      <c r="A2621" s="5" t="str">
        <f>TrendSheetPrdData[[#This Row],[Population]]&amp;TrendSheetPrdData[[#This Row],[Cost Basis]]&amp;TrendSheetPrdData[[#This Row],[Period]]&amp;TrendSheetPrdData[[#This Row],[Trend]]</f>
        <v>MSSP_NONATTRIBUTEDPaid2016-07-01ED Utilization</v>
      </c>
      <c r="B2621" t="s">
        <v>129</v>
      </c>
      <c r="C2621" t="s">
        <v>129</v>
      </c>
      <c r="D2621" t="s">
        <v>78</v>
      </c>
      <c r="E2621" s="1" t="s">
        <v>97</v>
      </c>
      <c r="F2621" t="s">
        <v>93</v>
      </c>
      <c r="G2621" t="s">
        <v>25</v>
      </c>
      <c r="H2621">
        <v>14</v>
      </c>
      <c r="I2621">
        <v>444</v>
      </c>
    </row>
    <row r="2622" spans="1:9" x14ac:dyDescent="0.25">
      <c r="A2622" s="5" t="str">
        <f>TrendSheetPrdData[[#This Row],[Population]]&amp;TrendSheetPrdData[[#This Row],[Cost Basis]]&amp;TrendSheetPrdData[[#This Row],[Period]]&amp;TrendSheetPrdData[[#This Row],[Trend]]</f>
        <v>MSSP_NONATTRIBUTEDPaid2016-08-01ED Utilization</v>
      </c>
      <c r="B2622" t="s">
        <v>129</v>
      </c>
      <c r="C2622" t="s">
        <v>129</v>
      </c>
      <c r="D2622" t="s">
        <v>78</v>
      </c>
      <c r="E2622" s="1" t="s">
        <v>98</v>
      </c>
      <c r="F2622" t="s">
        <v>93</v>
      </c>
      <c r="G2622" t="s">
        <v>25</v>
      </c>
      <c r="H2622">
        <v>14</v>
      </c>
      <c r="I2622">
        <v>358</v>
      </c>
    </row>
    <row r="2623" spans="1:9" x14ac:dyDescent="0.25">
      <c r="A2623" s="5" t="str">
        <f>TrendSheetPrdData[[#This Row],[Population]]&amp;TrendSheetPrdData[[#This Row],[Cost Basis]]&amp;TrendSheetPrdData[[#This Row],[Period]]&amp;TrendSheetPrdData[[#This Row],[Trend]]</f>
        <v>MSSP_NONATTRIBUTEDPaid2016-09-01ED Utilization</v>
      </c>
      <c r="B2623" t="s">
        <v>129</v>
      </c>
      <c r="C2623" t="s">
        <v>129</v>
      </c>
      <c r="D2623" t="s">
        <v>78</v>
      </c>
      <c r="E2623" s="1" t="s">
        <v>99</v>
      </c>
      <c r="F2623" t="s">
        <v>93</v>
      </c>
      <c r="G2623" t="s">
        <v>25</v>
      </c>
      <c r="H2623">
        <v>14</v>
      </c>
      <c r="I2623">
        <v>406</v>
      </c>
    </row>
    <row r="2624" spans="1:9" x14ac:dyDescent="0.25">
      <c r="A2624" s="5" t="str">
        <f>TrendSheetPrdData[[#This Row],[Population]]&amp;TrendSheetPrdData[[#This Row],[Cost Basis]]&amp;TrendSheetPrdData[[#This Row],[Period]]&amp;TrendSheetPrdData[[#This Row],[Trend]]</f>
        <v>MSSP_NONATTRIBUTEDPaid2016-10-01ED Utilization</v>
      </c>
      <c r="B2624" t="s">
        <v>129</v>
      </c>
      <c r="C2624" t="s">
        <v>129</v>
      </c>
      <c r="D2624" t="s">
        <v>78</v>
      </c>
      <c r="E2624" s="1" t="s">
        <v>100</v>
      </c>
      <c r="F2624" t="s">
        <v>106</v>
      </c>
      <c r="G2624" t="s">
        <v>25</v>
      </c>
      <c r="H2624">
        <v>14</v>
      </c>
      <c r="I2624">
        <v>372</v>
      </c>
    </row>
    <row r="2625" spans="1:9" x14ac:dyDescent="0.25">
      <c r="A2625" s="5" t="str">
        <f>TrendSheetPrdData[[#This Row],[Population]]&amp;TrendSheetPrdData[[#This Row],[Cost Basis]]&amp;TrendSheetPrdData[[#This Row],[Period]]&amp;TrendSheetPrdData[[#This Row],[Trend]]</f>
        <v>MSSP_NONATTRIBUTEDPaid2016-11-01ED Utilization</v>
      </c>
      <c r="B2625" t="s">
        <v>129</v>
      </c>
      <c r="C2625" t="s">
        <v>129</v>
      </c>
      <c r="D2625" t="s">
        <v>78</v>
      </c>
      <c r="E2625" s="1" t="s">
        <v>101</v>
      </c>
      <c r="F2625" t="s">
        <v>106</v>
      </c>
      <c r="G2625" t="s">
        <v>25</v>
      </c>
      <c r="H2625">
        <v>14</v>
      </c>
      <c r="I2625">
        <v>412</v>
      </c>
    </row>
    <row r="2626" spans="1:9" x14ac:dyDescent="0.25">
      <c r="A2626" s="5" t="str">
        <f>TrendSheetPrdData[[#This Row],[Population]]&amp;TrendSheetPrdData[[#This Row],[Cost Basis]]&amp;TrendSheetPrdData[[#This Row],[Period]]&amp;TrendSheetPrdData[[#This Row],[Trend]]</f>
        <v>MSSP_NONATTRIBUTEDPaid2016-12-01ED Utilization</v>
      </c>
      <c r="B2626" t="s">
        <v>129</v>
      </c>
      <c r="C2626" t="s">
        <v>129</v>
      </c>
      <c r="D2626" t="s">
        <v>78</v>
      </c>
      <c r="E2626" s="1" t="s">
        <v>102</v>
      </c>
      <c r="F2626" t="s">
        <v>106</v>
      </c>
      <c r="G2626" t="s">
        <v>25</v>
      </c>
      <c r="H2626">
        <v>14</v>
      </c>
      <c r="I2626">
        <v>109</v>
      </c>
    </row>
    <row r="2627" spans="1:9" x14ac:dyDescent="0.25">
      <c r="A2627" s="5" t="str">
        <f>TrendSheetPrdData[[#This Row],[Population]]&amp;TrendSheetPrdData[[#This Row],[Cost Basis]]&amp;TrendSheetPrdData[[#This Row],[Period]]&amp;TrendSheetPrdData[[#This Row],[Trend]]</f>
        <v>MSSP_NONATTRIBUTEDPaid2015-10-01Drug - Generic Utilization Cost</v>
      </c>
      <c r="B2627" t="s">
        <v>129</v>
      </c>
      <c r="C2627" t="s">
        <v>129</v>
      </c>
      <c r="D2627" t="s">
        <v>78</v>
      </c>
      <c r="E2627" s="1" t="s">
        <v>134</v>
      </c>
      <c r="F2627" t="s">
        <v>93</v>
      </c>
      <c r="G2627" t="s">
        <v>26</v>
      </c>
      <c r="H2627">
        <v>15</v>
      </c>
      <c r="I2627">
        <v>310648</v>
      </c>
    </row>
    <row r="2628" spans="1:9" x14ac:dyDescent="0.25">
      <c r="A2628" s="5" t="str">
        <f>TrendSheetPrdData[[#This Row],[Population]]&amp;TrendSheetPrdData[[#This Row],[Cost Basis]]&amp;TrendSheetPrdData[[#This Row],[Period]]&amp;TrendSheetPrdData[[#This Row],[Trend]]</f>
        <v>MSSP_NONATTRIBUTEDPaid2015-11-01Drug - Generic Utilization Cost</v>
      </c>
      <c r="B2628" t="s">
        <v>129</v>
      </c>
      <c r="C2628" t="s">
        <v>129</v>
      </c>
      <c r="D2628" t="s">
        <v>78</v>
      </c>
      <c r="E2628" s="1" t="s">
        <v>130</v>
      </c>
      <c r="F2628" t="s">
        <v>93</v>
      </c>
      <c r="G2628" t="s">
        <v>26</v>
      </c>
      <c r="H2628">
        <v>15</v>
      </c>
      <c r="I2628">
        <v>220636</v>
      </c>
    </row>
    <row r="2629" spans="1:9" x14ac:dyDescent="0.25">
      <c r="A2629" s="5" t="str">
        <f>TrendSheetPrdData[[#This Row],[Population]]&amp;TrendSheetPrdData[[#This Row],[Cost Basis]]&amp;TrendSheetPrdData[[#This Row],[Period]]&amp;TrendSheetPrdData[[#This Row],[Trend]]</f>
        <v>MSSP_NONATTRIBUTEDPaid2015-12-01Drug - Generic Utilization Cost</v>
      </c>
      <c r="B2629" t="s">
        <v>129</v>
      </c>
      <c r="C2629" t="s">
        <v>129</v>
      </c>
      <c r="D2629" t="s">
        <v>78</v>
      </c>
      <c r="E2629" s="1" t="s">
        <v>131</v>
      </c>
      <c r="F2629" t="s">
        <v>93</v>
      </c>
      <c r="G2629" t="s">
        <v>26</v>
      </c>
      <c r="H2629">
        <v>15</v>
      </c>
      <c r="I2629">
        <v>99136</v>
      </c>
    </row>
    <row r="2630" spans="1:9" x14ac:dyDescent="0.25">
      <c r="A2630" s="5" t="str">
        <f>TrendSheetPrdData[[#This Row],[Population]]&amp;TrendSheetPrdData[[#This Row],[Cost Basis]]&amp;TrendSheetPrdData[[#This Row],[Period]]&amp;TrendSheetPrdData[[#This Row],[Trend]]</f>
        <v>MSSP_NONATTRIBUTEDPaid2016-01-01Drug - Generic Utilization Cost</v>
      </c>
      <c r="B2630" t="s">
        <v>129</v>
      </c>
      <c r="C2630" t="s">
        <v>129</v>
      </c>
      <c r="D2630" t="s">
        <v>78</v>
      </c>
      <c r="E2630" s="1" t="s">
        <v>132</v>
      </c>
      <c r="F2630" t="s">
        <v>93</v>
      </c>
      <c r="G2630" t="s">
        <v>26</v>
      </c>
      <c r="H2630">
        <v>15</v>
      </c>
      <c r="I2630">
        <v>171693</v>
      </c>
    </row>
    <row r="2631" spans="1:9" x14ac:dyDescent="0.25">
      <c r="A2631" s="5" t="str">
        <f>TrendSheetPrdData[[#This Row],[Population]]&amp;TrendSheetPrdData[[#This Row],[Cost Basis]]&amp;TrendSheetPrdData[[#This Row],[Period]]&amp;TrendSheetPrdData[[#This Row],[Trend]]</f>
        <v>MSSP_NONATTRIBUTEDPaid2016-02-01Drug - Generic Utilization Cost</v>
      </c>
      <c r="B2631" t="s">
        <v>129</v>
      </c>
      <c r="C2631" t="s">
        <v>129</v>
      </c>
      <c r="D2631" t="s">
        <v>78</v>
      </c>
      <c r="E2631" s="1" t="s">
        <v>133</v>
      </c>
      <c r="F2631" t="s">
        <v>93</v>
      </c>
      <c r="G2631" t="s">
        <v>26</v>
      </c>
      <c r="H2631">
        <v>15</v>
      </c>
      <c r="I2631">
        <v>153136</v>
      </c>
    </row>
    <row r="2632" spans="1:9" x14ac:dyDescent="0.25">
      <c r="A2632" s="5" t="str">
        <f>TrendSheetPrdData[[#This Row],[Population]]&amp;TrendSheetPrdData[[#This Row],[Cost Basis]]&amp;TrendSheetPrdData[[#This Row],[Period]]&amp;TrendSheetPrdData[[#This Row],[Trend]]</f>
        <v>MSSP_NONATTRIBUTEDPaid2016-03-01Drug - Generic Utilization Cost</v>
      </c>
      <c r="B2632" t="s">
        <v>129</v>
      </c>
      <c r="C2632" t="s">
        <v>129</v>
      </c>
      <c r="D2632" t="s">
        <v>78</v>
      </c>
      <c r="E2632" s="1" t="s">
        <v>92</v>
      </c>
      <c r="F2632" t="s">
        <v>93</v>
      </c>
      <c r="G2632" t="s">
        <v>26</v>
      </c>
      <c r="H2632">
        <v>15</v>
      </c>
      <c r="I2632">
        <v>152675</v>
      </c>
    </row>
    <row r="2633" spans="1:9" x14ac:dyDescent="0.25">
      <c r="A2633" s="5" t="str">
        <f>TrendSheetPrdData[[#This Row],[Population]]&amp;TrendSheetPrdData[[#This Row],[Cost Basis]]&amp;TrendSheetPrdData[[#This Row],[Period]]&amp;TrendSheetPrdData[[#This Row],[Trend]]</f>
        <v>MSSP_NONATTRIBUTEDPaid2016-04-01Drug - Generic Utilization Cost</v>
      </c>
      <c r="B2633" t="s">
        <v>129</v>
      </c>
      <c r="C2633" t="s">
        <v>129</v>
      </c>
      <c r="D2633" t="s">
        <v>78</v>
      </c>
      <c r="E2633" s="1" t="s">
        <v>94</v>
      </c>
      <c r="F2633" t="s">
        <v>93</v>
      </c>
      <c r="G2633" t="s">
        <v>26</v>
      </c>
      <c r="H2633">
        <v>15</v>
      </c>
      <c r="I2633">
        <v>144207</v>
      </c>
    </row>
    <row r="2634" spans="1:9" x14ac:dyDescent="0.25">
      <c r="A2634" s="5" t="str">
        <f>TrendSheetPrdData[[#This Row],[Population]]&amp;TrendSheetPrdData[[#This Row],[Cost Basis]]&amp;TrendSheetPrdData[[#This Row],[Period]]&amp;TrendSheetPrdData[[#This Row],[Trend]]</f>
        <v>MSSP_NONATTRIBUTEDPaid2016-05-01Drug - Generic Utilization Cost</v>
      </c>
      <c r="B2634" t="s">
        <v>129</v>
      </c>
      <c r="C2634" t="s">
        <v>129</v>
      </c>
      <c r="D2634" t="s">
        <v>78</v>
      </c>
      <c r="E2634" s="1" t="s">
        <v>95</v>
      </c>
      <c r="F2634" t="s">
        <v>93</v>
      </c>
      <c r="G2634" t="s">
        <v>26</v>
      </c>
      <c r="H2634">
        <v>15</v>
      </c>
      <c r="I2634">
        <v>133741</v>
      </c>
    </row>
    <row r="2635" spans="1:9" x14ac:dyDescent="0.25">
      <c r="A2635" s="5" t="str">
        <f>TrendSheetPrdData[[#This Row],[Population]]&amp;TrendSheetPrdData[[#This Row],[Cost Basis]]&amp;TrendSheetPrdData[[#This Row],[Period]]&amp;TrendSheetPrdData[[#This Row],[Trend]]</f>
        <v>MSSP_NONATTRIBUTEDPaid2016-06-01Drug - Generic Utilization Cost</v>
      </c>
      <c r="B2635" t="s">
        <v>129</v>
      </c>
      <c r="C2635" t="s">
        <v>129</v>
      </c>
      <c r="D2635" t="s">
        <v>78</v>
      </c>
      <c r="E2635" s="1" t="s">
        <v>96</v>
      </c>
      <c r="F2635" t="s">
        <v>93</v>
      </c>
      <c r="G2635" t="s">
        <v>26</v>
      </c>
      <c r="H2635">
        <v>15</v>
      </c>
      <c r="I2635">
        <v>120199</v>
      </c>
    </row>
    <row r="2636" spans="1:9" x14ac:dyDescent="0.25">
      <c r="A2636" s="5" t="str">
        <f>TrendSheetPrdData[[#This Row],[Population]]&amp;TrendSheetPrdData[[#This Row],[Cost Basis]]&amp;TrendSheetPrdData[[#This Row],[Period]]&amp;TrendSheetPrdData[[#This Row],[Trend]]</f>
        <v>MSSP_NONATTRIBUTEDPaid2016-07-01Drug - Generic Utilization Cost</v>
      </c>
      <c r="B2636" t="s">
        <v>129</v>
      </c>
      <c r="C2636" t="s">
        <v>129</v>
      </c>
      <c r="D2636" t="s">
        <v>78</v>
      </c>
      <c r="E2636" s="1" t="s">
        <v>97</v>
      </c>
      <c r="F2636" t="s">
        <v>93</v>
      </c>
      <c r="G2636" t="s">
        <v>26</v>
      </c>
      <c r="H2636">
        <v>15</v>
      </c>
      <c r="I2636">
        <v>128389</v>
      </c>
    </row>
    <row r="2637" spans="1:9" x14ac:dyDescent="0.25">
      <c r="A2637" s="5" t="str">
        <f>TrendSheetPrdData[[#This Row],[Population]]&amp;TrendSheetPrdData[[#This Row],[Cost Basis]]&amp;TrendSheetPrdData[[#This Row],[Period]]&amp;TrendSheetPrdData[[#This Row],[Trend]]</f>
        <v>MSSP_NONATTRIBUTEDPaid2016-08-01Drug - Generic Utilization Cost</v>
      </c>
      <c r="B2637" t="s">
        <v>129</v>
      </c>
      <c r="C2637" t="s">
        <v>129</v>
      </c>
      <c r="D2637" t="s">
        <v>78</v>
      </c>
      <c r="E2637" s="1" t="s">
        <v>98</v>
      </c>
      <c r="F2637" t="s">
        <v>93</v>
      </c>
      <c r="G2637" t="s">
        <v>26</v>
      </c>
      <c r="H2637">
        <v>15</v>
      </c>
      <c r="I2637">
        <v>120286</v>
      </c>
    </row>
    <row r="2638" spans="1:9" x14ac:dyDescent="0.25">
      <c r="A2638" s="5" t="str">
        <f>TrendSheetPrdData[[#This Row],[Population]]&amp;TrendSheetPrdData[[#This Row],[Cost Basis]]&amp;TrendSheetPrdData[[#This Row],[Period]]&amp;TrendSheetPrdData[[#This Row],[Trend]]</f>
        <v>MSSP_NONATTRIBUTEDPaid2016-09-01Drug - Generic Utilization Cost</v>
      </c>
      <c r="B2638" t="s">
        <v>129</v>
      </c>
      <c r="C2638" t="s">
        <v>129</v>
      </c>
      <c r="D2638" t="s">
        <v>78</v>
      </c>
      <c r="E2638" s="1" t="s">
        <v>99</v>
      </c>
      <c r="F2638" t="s">
        <v>93</v>
      </c>
      <c r="G2638" t="s">
        <v>26</v>
      </c>
      <c r="H2638">
        <v>15</v>
      </c>
      <c r="I2638">
        <v>122524</v>
      </c>
    </row>
    <row r="2639" spans="1:9" x14ac:dyDescent="0.25">
      <c r="A2639" s="5" t="str">
        <f>TrendSheetPrdData[[#This Row],[Population]]&amp;TrendSheetPrdData[[#This Row],[Cost Basis]]&amp;TrendSheetPrdData[[#This Row],[Period]]&amp;TrendSheetPrdData[[#This Row],[Trend]]</f>
        <v>MSSP_NONATTRIBUTEDPaid2016-10-01Drug - Generic Utilization Cost</v>
      </c>
      <c r="B2639" t="s">
        <v>129</v>
      </c>
      <c r="C2639" t="s">
        <v>129</v>
      </c>
      <c r="D2639" t="s">
        <v>78</v>
      </c>
      <c r="E2639" s="1" t="s">
        <v>100</v>
      </c>
      <c r="F2639" t="s">
        <v>106</v>
      </c>
      <c r="G2639" t="s">
        <v>26</v>
      </c>
      <c r="H2639">
        <v>15</v>
      </c>
      <c r="I2639">
        <v>122365</v>
      </c>
    </row>
    <row r="2640" spans="1:9" x14ac:dyDescent="0.25">
      <c r="A2640" s="5" t="str">
        <f>TrendSheetPrdData[[#This Row],[Population]]&amp;TrendSheetPrdData[[#This Row],[Cost Basis]]&amp;TrendSheetPrdData[[#This Row],[Period]]&amp;TrendSheetPrdData[[#This Row],[Trend]]</f>
        <v>MSSP_NONATTRIBUTEDPaid2016-11-01Drug - Generic Utilization Cost</v>
      </c>
      <c r="B2640" t="s">
        <v>129</v>
      </c>
      <c r="C2640" t="s">
        <v>129</v>
      </c>
      <c r="D2640" t="s">
        <v>78</v>
      </c>
      <c r="E2640" s="1" t="s">
        <v>101</v>
      </c>
      <c r="F2640" t="s">
        <v>106</v>
      </c>
      <c r="G2640" t="s">
        <v>26</v>
      </c>
      <c r="H2640">
        <v>15</v>
      </c>
      <c r="I2640">
        <v>137630</v>
      </c>
    </row>
    <row r="2641" spans="1:9" x14ac:dyDescent="0.25">
      <c r="A2641" s="5" t="str">
        <f>TrendSheetPrdData[[#This Row],[Population]]&amp;TrendSheetPrdData[[#This Row],[Cost Basis]]&amp;TrendSheetPrdData[[#This Row],[Period]]&amp;TrendSheetPrdData[[#This Row],[Trend]]</f>
        <v>MSSP_NONATTRIBUTEDPaid2016-12-01Drug - Generic Utilization Cost</v>
      </c>
      <c r="B2641" t="s">
        <v>129</v>
      </c>
      <c r="C2641" t="s">
        <v>129</v>
      </c>
      <c r="D2641" t="s">
        <v>78</v>
      </c>
      <c r="E2641" s="1" t="s">
        <v>102</v>
      </c>
      <c r="F2641" t="s">
        <v>106</v>
      </c>
      <c r="G2641" t="s">
        <v>26</v>
      </c>
      <c r="H2641">
        <v>15</v>
      </c>
      <c r="I2641">
        <v>78331</v>
      </c>
    </row>
    <row r="2642" spans="1:9" x14ac:dyDescent="0.25">
      <c r="A2642" s="5" t="str">
        <f>TrendSheetPrdData[[#This Row],[Population]]&amp;TrendSheetPrdData[[#This Row],[Cost Basis]]&amp;TrendSheetPrdData[[#This Row],[Period]]&amp;TrendSheetPrdData[[#This Row],[Trend]]</f>
        <v>MSSP_NONATTRIBUTEDPaid2015-10-01Drug - Generic Utilization</v>
      </c>
      <c r="B2642" t="s">
        <v>129</v>
      </c>
      <c r="C2642" t="s">
        <v>129</v>
      </c>
      <c r="D2642" t="s">
        <v>78</v>
      </c>
      <c r="E2642" s="1" t="s">
        <v>134</v>
      </c>
      <c r="F2642" t="s">
        <v>93</v>
      </c>
      <c r="G2642" t="s">
        <v>27</v>
      </c>
      <c r="H2642">
        <v>16</v>
      </c>
      <c r="I2642">
        <v>0.84</v>
      </c>
    </row>
    <row r="2643" spans="1:9" x14ac:dyDescent="0.25">
      <c r="A2643" s="5" t="str">
        <f>TrendSheetPrdData[[#This Row],[Population]]&amp;TrendSheetPrdData[[#This Row],[Cost Basis]]&amp;TrendSheetPrdData[[#This Row],[Period]]&amp;TrendSheetPrdData[[#This Row],[Trend]]</f>
        <v>MSSP_NONATTRIBUTEDPaid2015-11-01Drug - Generic Utilization</v>
      </c>
      <c r="B2643" t="s">
        <v>129</v>
      </c>
      <c r="C2643" t="s">
        <v>129</v>
      </c>
      <c r="D2643" t="s">
        <v>78</v>
      </c>
      <c r="E2643" s="1" t="s">
        <v>130</v>
      </c>
      <c r="F2643" t="s">
        <v>93</v>
      </c>
      <c r="G2643" t="s">
        <v>27</v>
      </c>
      <c r="H2643">
        <v>16</v>
      </c>
      <c r="I2643">
        <v>0.84</v>
      </c>
    </row>
    <row r="2644" spans="1:9" x14ac:dyDescent="0.25">
      <c r="A2644" s="5" t="str">
        <f>TrendSheetPrdData[[#This Row],[Population]]&amp;TrendSheetPrdData[[#This Row],[Cost Basis]]&amp;TrendSheetPrdData[[#This Row],[Period]]&amp;TrendSheetPrdData[[#This Row],[Trend]]</f>
        <v>MSSP_NONATTRIBUTEDPaid2015-12-01Drug - Generic Utilization</v>
      </c>
      <c r="B2644" t="s">
        <v>129</v>
      </c>
      <c r="C2644" t="s">
        <v>129</v>
      </c>
      <c r="D2644" t="s">
        <v>78</v>
      </c>
      <c r="E2644" s="1" t="s">
        <v>131</v>
      </c>
      <c r="F2644" t="s">
        <v>93</v>
      </c>
      <c r="G2644" t="s">
        <v>27</v>
      </c>
      <c r="H2644">
        <v>16</v>
      </c>
      <c r="I2644">
        <v>0.85</v>
      </c>
    </row>
    <row r="2645" spans="1:9" x14ac:dyDescent="0.25">
      <c r="A2645" s="5" t="str">
        <f>TrendSheetPrdData[[#This Row],[Population]]&amp;TrendSheetPrdData[[#This Row],[Cost Basis]]&amp;TrendSheetPrdData[[#This Row],[Period]]&amp;TrendSheetPrdData[[#This Row],[Trend]]</f>
        <v>MSSP_NONATTRIBUTEDPaid2016-01-01Drug - Generic Utilization</v>
      </c>
      <c r="B2645" t="s">
        <v>129</v>
      </c>
      <c r="C2645" t="s">
        <v>129</v>
      </c>
      <c r="D2645" t="s">
        <v>78</v>
      </c>
      <c r="E2645" s="1" t="s">
        <v>132</v>
      </c>
      <c r="F2645" t="s">
        <v>93</v>
      </c>
      <c r="G2645" t="s">
        <v>27</v>
      </c>
      <c r="H2645">
        <v>16</v>
      </c>
      <c r="I2645">
        <v>0.85</v>
      </c>
    </row>
    <row r="2646" spans="1:9" x14ac:dyDescent="0.25">
      <c r="A2646" s="5" t="str">
        <f>TrendSheetPrdData[[#This Row],[Population]]&amp;TrendSheetPrdData[[#This Row],[Cost Basis]]&amp;TrendSheetPrdData[[#This Row],[Period]]&amp;TrendSheetPrdData[[#This Row],[Trend]]</f>
        <v>MSSP_NONATTRIBUTEDPaid2016-02-01Drug - Generic Utilization</v>
      </c>
      <c r="B2646" t="s">
        <v>129</v>
      </c>
      <c r="C2646" t="s">
        <v>129</v>
      </c>
      <c r="D2646" t="s">
        <v>78</v>
      </c>
      <c r="E2646" s="1" t="s">
        <v>133</v>
      </c>
      <c r="F2646" t="s">
        <v>93</v>
      </c>
      <c r="G2646" t="s">
        <v>27</v>
      </c>
      <c r="H2646">
        <v>16</v>
      </c>
      <c r="I2646">
        <v>0.85</v>
      </c>
    </row>
    <row r="2647" spans="1:9" x14ac:dyDescent="0.25">
      <c r="A2647" s="5" t="str">
        <f>TrendSheetPrdData[[#This Row],[Population]]&amp;TrendSheetPrdData[[#This Row],[Cost Basis]]&amp;TrendSheetPrdData[[#This Row],[Period]]&amp;TrendSheetPrdData[[#This Row],[Trend]]</f>
        <v>MSSP_NONATTRIBUTEDPaid2016-03-01Drug - Generic Utilization</v>
      </c>
      <c r="B2647" t="s">
        <v>129</v>
      </c>
      <c r="C2647" t="s">
        <v>129</v>
      </c>
      <c r="D2647" t="s">
        <v>78</v>
      </c>
      <c r="E2647" s="1" t="s">
        <v>92</v>
      </c>
      <c r="F2647" t="s">
        <v>93</v>
      </c>
      <c r="G2647" t="s">
        <v>27</v>
      </c>
      <c r="H2647">
        <v>16</v>
      </c>
      <c r="I2647">
        <v>0.85</v>
      </c>
    </row>
    <row r="2648" spans="1:9" x14ac:dyDescent="0.25">
      <c r="A2648" s="5" t="str">
        <f>TrendSheetPrdData[[#This Row],[Population]]&amp;TrendSheetPrdData[[#This Row],[Cost Basis]]&amp;TrendSheetPrdData[[#This Row],[Period]]&amp;TrendSheetPrdData[[#This Row],[Trend]]</f>
        <v>MSSP_NONATTRIBUTEDPaid2016-04-01Drug - Generic Utilization</v>
      </c>
      <c r="B2648" t="s">
        <v>129</v>
      </c>
      <c r="C2648" t="s">
        <v>129</v>
      </c>
      <c r="D2648" t="s">
        <v>78</v>
      </c>
      <c r="E2648" s="1" t="s">
        <v>94</v>
      </c>
      <c r="F2648" t="s">
        <v>93</v>
      </c>
      <c r="G2648" t="s">
        <v>27</v>
      </c>
      <c r="H2648">
        <v>16</v>
      </c>
      <c r="I2648">
        <v>0.85</v>
      </c>
    </row>
    <row r="2649" spans="1:9" x14ac:dyDescent="0.25">
      <c r="A2649" s="5" t="str">
        <f>TrendSheetPrdData[[#This Row],[Population]]&amp;TrendSheetPrdData[[#This Row],[Cost Basis]]&amp;TrendSheetPrdData[[#This Row],[Period]]&amp;TrendSheetPrdData[[#This Row],[Trend]]</f>
        <v>MSSP_NONATTRIBUTEDPaid2016-05-01Drug - Generic Utilization</v>
      </c>
      <c r="B2649" t="s">
        <v>129</v>
      </c>
      <c r="C2649" t="s">
        <v>129</v>
      </c>
      <c r="D2649" t="s">
        <v>78</v>
      </c>
      <c r="E2649" s="1" t="s">
        <v>95</v>
      </c>
      <c r="F2649" t="s">
        <v>93</v>
      </c>
      <c r="G2649" t="s">
        <v>27</v>
      </c>
      <c r="H2649">
        <v>16</v>
      </c>
      <c r="I2649">
        <v>0.85</v>
      </c>
    </row>
    <row r="2650" spans="1:9" x14ac:dyDescent="0.25">
      <c r="A2650" s="5" t="str">
        <f>TrendSheetPrdData[[#This Row],[Population]]&amp;TrendSheetPrdData[[#This Row],[Cost Basis]]&amp;TrendSheetPrdData[[#This Row],[Period]]&amp;TrendSheetPrdData[[#This Row],[Trend]]</f>
        <v>MSSP_NONATTRIBUTEDPaid2016-06-01Drug - Generic Utilization</v>
      </c>
      <c r="B2650" t="s">
        <v>129</v>
      </c>
      <c r="C2650" t="s">
        <v>129</v>
      </c>
      <c r="D2650" t="s">
        <v>78</v>
      </c>
      <c r="E2650" s="1" t="s">
        <v>96</v>
      </c>
      <c r="F2650" t="s">
        <v>93</v>
      </c>
      <c r="G2650" t="s">
        <v>27</v>
      </c>
      <c r="H2650">
        <v>16</v>
      </c>
      <c r="I2650">
        <v>0.87</v>
      </c>
    </row>
    <row r="2651" spans="1:9" x14ac:dyDescent="0.25">
      <c r="A2651" s="5" t="str">
        <f>TrendSheetPrdData[[#This Row],[Population]]&amp;TrendSheetPrdData[[#This Row],[Cost Basis]]&amp;TrendSheetPrdData[[#This Row],[Period]]&amp;TrendSheetPrdData[[#This Row],[Trend]]</f>
        <v>MSSP_NONATTRIBUTEDPaid2016-07-01Drug - Generic Utilization</v>
      </c>
      <c r="B2651" t="s">
        <v>129</v>
      </c>
      <c r="C2651" t="s">
        <v>129</v>
      </c>
      <c r="D2651" t="s">
        <v>78</v>
      </c>
      <c r="E2651" s="1" t="s">
        <v>97</v>
      </c>
      <c r="F2651" t="s">
        <v>93</v>
      </c>
      <c r="G2651" t="s">
        <v>27</v>
      </c>
      <c r="H2651">
        <v>16</v>
      </c>
      <c r="I2651">
        <v>0.87</v>
      </c>
    </row>
    <row r="2652" spans="1:9" x14ac:dyDescent="0.25">
      <c r="A2652" s="5" t="str">
        <f>TrendSheetPrdData[[#This Row],[Population]]&amp;TrendSheetPrdData[[#This Row],[Cost Basis]]&amp;TrendSheetPrdData[[#This Row],[Period]]&amp;TrendSheetPrdData[[#This Row],[Trend]]</f>
        <v>MSSP_NONATTRIBUTEDPaid2016-08-01Drug - Generic Utilization</v>
      </c>
      <c r="B2652" t="s">
        <v>129</v>
      </c>
      <c r="C2652" t="s">
        <v>129</v>
      </c>
      <c r="D2652" t="s">
        <v>78</v>
      </c>
      <c r="E2652" s="1" t="s">
        <v>98</v>
      </c>
      <c r="F2652" t="s">
        <v>93</v>
      </c>
      <c r="G2652" t="s">
        <v>27</v>
      </c>
      <c r="H2652">
        <v>16</v>
      </c>
      <c r="I2652">
        <v>0.86</v>
      </c>
    </row>
    <row r="2653" spans="1:9" x14ac:dyDescent="0.25">
      <c r="A2653" s="5" t="str">
        <f>TrendSheetPrdData[[#This Row],[Population]]&amp;TrendSheetPrdData[[#This Row],[Cost Basis]]&amp;TrendSheetPrdData[[#This Row],[Period]]&amp;TrendSheetPrdData[[#This Row],[Trend]]</f>
        <v>MSSP_NONATTRIBUTEDPaid2016-09-01Drug - Generic Utilization</v>
      </c>
      <c r="B2653" t="s">
        <v>129</v>
      </c>
      <c r="C2653" t="s">
        <v>129</v>
      </c>
      <c r="D2653" t="s">
        <v>78</v>
      </c>
      <c r="E2653" s="1" t="s">
        <v>99</v>
      </c>
      <c r="F2653" t="s">
        <v>93</v>
      </c>
      <c r="G2653" t="s">
        <v>27</v>
      </c>
      <c r="H2653">
        <v>16</v>
      </c>
      <c r="I2653">
        <v>0.88</v>
      </c>
    </row>
    <row r="2654" spans="1:9" x14ac:dyDescent="0.25">
      <c r="A2654" s="5" t="str">
        <f>TrendSheetPrdData[[#This Row],[Population]]&amp;TrendSheetPrdData[[#This Row],[Cost Basis]]&amp;TrendSheetPrdData[[#This Row],[Period]]&amp;TrendSheetPrdData[[#This Row],[Trend]]</f>
        <v>MSSP_NONATTRIBUTEDPaid2016-10-01Drug - Generic Utilization</v>
      </c>
      <c r="B2654" t="s">
        <v>129</v>
      </c>
      <c r="C2654" t="s">
        <v>129</v>
      </c>
      <c r="D2654" t="s">
        <v>78</v>
      </c>
      <c r="E2654" s="1" t="s">
        <v>100</v>
      </c>
      <c r="F2654" t="s">
        <v>106</v>
      </c>
      <c r="G2654" t="s">
        <v>27</v>
      </c>
      <c r="H2654">
        <v>16</v>
      </c>
      <c r="I2654">
        <v>0.87</v>
      </c>
    </row>
    <row r="2655" spans="1:9" x14ac:dyDescent="0.25">
      <c r="A2655" s="5" t="str">
        <f>TrendSheetPrdData[[#This Row],[Population]]&amp;TrendSheetPrdData[[#This Row],[Cost Basis]]&amp;TrendSheetPrdData[[#This Row],[Period]]&amp;TrendSheetPrdData[[#This Row],[Trend]]</f>
        <v>MSSP_NONATTRIBUTEDPaid2016-11-01Drug - Generic Utilization</v>
      </c>
      <c r="B2655" t="s">
        <v>129</v>
      </c>
      <c r="C2655" t="s">
        <v>129</v>
      </c>
      <c r="D2655" t="s">
        <v>78</v>
      </c>
      <c r="E2655" s="1" t="s">
        <v>101</v>
      </c>
      <c r="F2655" t="s">
        <v>106</v>
      </c>
      <c r="G2655" t="s">
        <v>27</v>
      </c>
      <c r="H2655">
        <v>16</v>
      </c>
      <c r="I2655">
        <v>0.86</v>
      </c>
    </row>
    <row r="2656" spans="1:9" x14ac:dyDescent="0.25">
      <c r="A2656" s="5" t="str">
        <f>TrendSheetPrdData[[#This Row],[Population]]&amp;TrendSheetPrdData[[#This Row],[Cost Basis]]&amp;TrendSheetPrdData[[#This Row],[Period]]&amp;TrendSheetPrdData[[#This Row],[Trend]]</f>
        <v>MSSP_NONATTRIBUTEDPaid2016-12-01Drug - Generic Utilization</v>
      </c>
      <c r="B2656" t="s">
        <v>129</v>
      </c>
      <c r="C2656" t="s">
        <v>129</v>
      </c>
      <c r="D2656" t="s">
        <v>78</v>
      </c>
      <c r="E2656" s="1" t="s">
        <v>102</v>
      </c>
      <c r="F2656" t="s">
        <v>106</v>
      </c>
      <c r="G2656" t="s">
        <v>27</v>
      </c>
      <c r="H2656">
        <v>16</v>
      </c>
      <c r="I2656">
        <v>0.89</v>
      </c>
    </row>
    <row r="2657" spans="1:9" x14ac:dyDescent="0.25">
      <c r="A2657" s="5" t="str">
        <f>TrendSheetPrdData[[#This Row],[Population]]&amp;TrendSheetPrdData[[#This Row],[Cost Basis]]&amp;TrendSheetPrdData[[#This Row],[Period]]&amp;TrendSheetPrdData[[#This Row],[Trend]]</f>
        <v>MSSP_NONATTRIBUTEDPaid2015-10-01Chronic Disease Management - Cost</v>
      </c>
      <c r="B2657" t="s">
        <v>129</v>
      </c>
      <c r="C2657" t="s">
        <v>129</v>
      </c>
      <c r="D2657" t="s">
        <v>78</v>
      </c>
      <c r="E2657" s="1" t="s">
        <v>134</v>
      </c>
      <c r="F2657" t="s">
        <v>93</v>
      </c>
      <c r="G2657" t="s">
        <v>28</v>
      </c>
      <c r="H2657">
        <v>17</v>
      </c>
      <c r="I2657">
        <v>7819047</v>
      </c>
    </row>
    <row r="2658" spans="1:9" x14ac:dyDescent="0.25">
      <c r="A2658" s="5" t="str">
        <f>TrendSheetPrdData[[#This Row],[Population]]&amp;TrendSheetPrdData[[#This Row],[Cost Basis]]&amp;TrendSheetPrdData[[#This Row],[Period]]&amp;TrendSheetPrdData[[#This Row],[Trend]]</f>
        <v>MSSP_NONATTRIBUTEDPaid2015-11-01Chronic Disease Management - Cost</v>
      </c>
      <c r="B2658" t="s">
        <v>129</v>
      </c>
      <c r="C2658" t="s">
        <v>129</v>
      </c>
      <c r="D2658" t="s">
        <v>78</v>
      </c>
      <c r="E2658" s="1" t="s">
        <v>130</v>
      </c>
      <c r="F2658" t="s">
        <v>93</v>
      </c>
      <c r="G2658" t="s">
        <v>28</v>
      </c>
      <c r="H2658">
        <v>17</v>
      </c>
      <c r="I2658">
        <v>5076020</v>
      </c>
    </row>
    <row r="2659" spans="1:9" x14ac:dyDescent="0.25">
      <c r="A2659" s="5" t="str">
        <f>TrendSheetPrdData[[#This Row],[Population]]&amp;TrendSheetPrdData[[#This Row],[Cost Basis]]&amp;TrendSheetPrdData[[#This Row],[Period]]&amp;TrendSheetPrdData[[#This Row],[Trend]]</f>
        <v>MSSP_NONATTRIBUTEDPaid2015-12-01Chronic Disease Management - Cost</v>
      </c>
      <c r="B2659" t="s">
        <v>129</v>
      </c>
      <c r="C2659" t="s">
        <v>129</v>
      </c>
      <c r="D2659" t="s">
        <v>78</v>
      </c>
      <c r="E2659" s="1" t="s">
        <v>131</v>
      </c>
      <c r="F2659" t="s">
        <v>93</v>
      </c>
      <c r="G2659" t="s">
        <v>28</v>
      </c>
      <c r="H2659">
        <v>17</v>
      </c>
      <c r="I2659">
        <v>4482124</v>
      </c>
    </row>
    <row r="2660" spans="1:9" x14ac:dyDescent="0.25">
      <c r="A2660" s="5" t="str">
        <f>TrendSheetPrdData[[#This Row],[Population]]&amp;TrendSheetPrdData[[#This Row],[Cost Basis]]&amp;TrendSheetPrdData[[#This Row],[Period]]&amp;TrendSheetPrdData[[#This Row],[Trend]]</f>
        <v>MSSP_NONATTRIBUTEDPaid2016-01-01Chronic Disease Management - Cost</v>
      </c>
      <c r="B2660" t="s">
        <v>129</v>
      </c>
      <c r="C2660" t="s">
        <v>129</v>
      </c>
      <c r="D2660" t="s">
        <v>78</v>
      </c>
      <c r="E2660" s="1" t="s">
        <v>132</v>
      </c>
      <c r="F2660" t="s">
        <v>93</v>
      </c>
      <c r="G2660" t="s">
        <v>28</v>
      </c>
      <c r="H2660">
        <v>17</v>
      </c>
      <c r="I2660">
        <v>4454501</v>
      </c>
    </row>
    <row r="2661" spans="1:9" x14ac:dyDescent="0.25">
      <c r="A2661" s="5" t="str">
        <f>TrendSheetPrdData[[#This Row],[Population]]&amp;TrendSheetPrdData[[#This Row],[Cost Basis]]&amp;TrendSheetPrdData[[#This Row],[Period]]&amp;TrendSheetPrdData[[#This Row],[Trend]]</f>
        <v>MSSP_NONATTRIBUTEDPaid2016-02-01Chronic Disease Management - Cost</v>
      </c>
      <c r="B2661" t="s">
        <v>129</v>
      </c>
      <c r="C2661" t="s">
        <v>129</v>
      </c>
      <c r="D2661" t="s">
        <v>78</v>
      </c>
      <c r="E2661" s="1" t="s">
        <v>133</v>
      </c>
      <c r="F2661" t="s">
        <v>93</v>
      </c>
      <c r="G2661" t="s">
        <v>28</v>
      </c>
      <c r="H2661">
        <v>17</v>
      </c>
      <c r="I2661">
        <v>4186228</v>
      </c>
    </row>
    <row r="2662" spans="1:9" x14ac:dyDescent="0.25">
      <c r="A2662" s="5" t="str">
        <f>TrendSheetPrdData[[#This Row],[Population]]&amp;TrendSheetPrdData[[#This Row],[Cost Basis]]&amp;TrendSheetPrdData[[#This Row],[Period]]&amp;TrendSheetPrdData[[#This Row],[Trend]]</f>
        <v>MSSP_NONATTRIBUTEDPaid2016-03-01Chronic Disease Management - Cost</v>
      </c>
      <c r="B2662" t="s">
        <v>129</v>
      </c>
      <c r="C2662" t="s">
        <v>129</v>
      </c>
      <c r="D2662" t="s">
        <v>78</v>
      </c>
      <c r="E2662" s="1" t="s">
        <v>92</v>
      </c>
      <c r="F2662" t="s">
        <v>93</v>
      </c>
      <c r="G2662" t="s">
        <v>28</v>
      </c>
      <c r="H2662">
        <v>17</v>
      </c>
      <c r="I2662">
        <v>4006918</v>
      </c>
    </row>
    <row r="2663" spans="1:9" x14ac:dyDescent="0.25">
      <c r="A2663" s="5" t="str">
        <f>TrendSheetPrdData[[#This Row],[Population]]&amp;TrendSheetPrdData[[#This Row],[Cost Basis]]&amp;TrendSheetPrdData[[#This Row],[Period]]&amp;TrendSheetPrdData[[#This Row],[Trend]]</f>
        <v>MSSP_NONATTRIBUTEDPaid2016-04-01Chronic Disease Management - Cost</v>
      </c>
      <c r="B2663" t="s">
        <v>129</v>
      </c>
      <c r="C2663" t="s">
        <v>129</v>
      </c>
      <c r="D2663" t="s">
        <v>78</v>
      </c>
      <c r="E2663" s="1" t="s">
        <v>94</v>
      </c>
      <c r="F2663" t="s">
        <v>93</v>
      </c>
      <c r="G2663" t="s">
        <v>28</v>
      </c>
      <c r="H2663">
        <v>17</v>
      </c>
      <c r="I2663">
        <v>2946069</v>
      </c>
    </row>
    <row r="2664" spans="1:9" x14ac:dyDescent="0.25">
      <c r="A2664" s="5" t="str">
        <f>TrendSheetPrdData[[#This Row],[Population]]&amp;TrendSheetPrdData[[#This Row],[Cost Basis]]&amp;TrendSheetPrdData[[#This Row],[Period]]&amp;TrendSheetPrdData[[#This Row],[Trend]]</f>
        <v>MSSP_NONATTRIBUTEDPaid2016-05-01Chronic Disease Management - Cost</v>
      </c>
      <c r="B2664" t="s">
        <v>129</v>
      </c>
      <c r="C2664" t="s">
        <v>129</v>
      </c>
      <c r="D2664" t="s">
        <v>78</v>
      </c>
      <c r="E2664" s="1" t="s">
        <v>95</v>
      </c>
      <c r="F2664" t="s">
        <v>93</v>
      </c>
      <c r="G2664" t="s">
        <v>28</v>
      </c>
      <c r="H2664">
        <v>17</v>
      </c>
      <c r="I2664">
        <v>3026087</v>
      </c>
    </row>
    <row r="2665" spans="1:9" x14ac:dyDescent="0.25">
      <c r="A2665" s="5" t="str">
        <f>TrendSheetPrdData[[#This Row],[Population]]&amp;TrendSheetPrdData[[#This Row],[Cost Basis]]&amp;TrendSheetPrdData[[#This Row],[Period]]&amp;TrendSheetPrdData[[#This Row],[Trend]]</f>
        <v>MSSP_NONATTRIBUTEDPaid2016-06-01Chronic Disease Management - Cost</v>
      </c>
      <c r="B2665" t="s">
        <v>129</v>
      </c>
      <c r="C2665" t="s">
        <v>129</v>
      </c>
      <c r="D2665" t="s">
        <v>78</v>
      </c>
      <c r="E2665" s="1" t="s">
        <v>96</v>
      </c>
      <c r="F2665" t="s">
        <v>93</v>
      </c>
      <c r="G2665" t="s">
        <v>28</v>
      </c>
      <c r="H2665">
        <v>17</v>
      </c>
      <c r="I2665">
        <v>3205781</v>
      </c>
    </row>
    <row r="2666" spans="1:9" x14ac:dyDescent="0.25">
      <c r="A2666" s="5" t="str">
        <f>TrendSheetPrdData[[#This Row],[Population]]&amp;TrendSheetPrdData[[#This Row],[Cost Basis]]&amp;TrendSheetPrdData[[#This Row],[Period]]&amp;TrendSheetPrdData[[#This Row],[Trend]]</f>
        <v>MSSP_NONATTRIBUTEDPaid2016-07-01Chronic Disease Management - Cost</v>
      </c>
      <c r="B2666" t="s">
        <v>129</v>
      </c>
      <c r="C2666" t="s">
        <v>129</v>
      </c>
      <c r="D2666" t="s">
        <v>78</v>
      </c>
      <c r="E2666" s="1" t="s">
        <v>97</v>
      </c>
      <c r="F2666" t="s">
        <v>93</v>
      </c>
      <c r="G2666" t="s">
        <v>28</v>
      </c>
      <c r="H2666">
        <v>17</v>
      </c>
      <c r="I2666">
        <v>3336976</v>
      </c>
    </row>
    <row r="2667" spans="1:9" x14ac:dyDescent="0.25">
      <c r="A2667" s="5" t="str">
        <f>TrendSheetPrdData[[#This Row],[Population]]&amp;TrendSheetPrdData[[#This Row],[Cost Basis]]&amp;TrendSheetPrdData[[#This Row],[Period]]&amp;TrendSheetPrdData[[#This Row],[Trend]]</f>
        <v>MSSP_NONATTRIBUTEDPaid2016-08-01Chronic Disease Management - Cost</v>
      </c>
      <c r="B2667" t="s">
        <v>129</v>
      </c>
      <c r="C2667" t="s">
        <v>129</v>
      </c>
      <c r="D2667" t="s">
        <v>78</v>
      </c>
      <c r="E2667" s="1" t="s">
        <v>98</v>
      </c>
      <c r="F2667" t="s">
        <v>93</v>
      </c>
      <c r="G2667" t="s">
        <v>28</v>
      </c>
      <c r="H2667">
        <v>17</v>
      </c>
      <c r="I2667">
        <v>3513443</v>
      </c>
    </row>
    <row r="2668" spans="1:9" x14ac:dyDescent="0.25">
      <c r="A2668" s="5" t="str">
        <f>TrendSheetPrdData[[#This Row],[Population]]&amp;TrendSheetPrdData[[#This Row],[Cost Basis]]&amp;TrendSheetPrdData[[#This Row],[Period]]&amp;TrendSheetPrdData[[#This Row],[Trend]]</f>
        <v>MSSP_NONATTRIBUTEDPaid2016-09-01Chronic Disease Management - Cost</v>
      </c>
      <c r="B2668" t="s">
        <v>129</v>
      </c>
      <c r="C2668" t="s">
        <v>129</v>
      </c>
      <c r="D2668" t="s">
        <v>78</v>
      </c>
      <c r="E2668" s="1" t="s">
        <v>99</v>
      </c>
      <c r="F2668" t="s">
        <v>93</v>
      </c>
      <c r="G2668" t="s">
        <v>28</v>
      </c>
      <c r="H2668">
        <v>17</v>
      </c>
      <c r="I2668">
        <v>3705348</v>
      </c>
    </row>
    <row r="2669" spans="1:9" x14ac:dyDescent="0.25">
      <c r="A2669" s="5" t="str">
        <f>TrendSheetPrdData[[#This Row],[Population]]&amp;TrendSheetPrdData[[#This Row],[Cost Basis]]&amp;TrendSheetPrdData[[#This Row],[Period]]&amp;TrendSheetPrdData[[#This Row],[Trend]]</f>
        <v>MSSP_NONATTRIBUTEDPaid2016-10-01Chronic Disease Management - Cost</v>
      </c>
      <c r="B2669" t="s">
        <v>129</v>
      </c>
      <c r="C2669" t="s">
        <v>129</v>
      </c>
      <c r="D2669" t="s">
        <v>78</v>
      </c>
      <c r="E2669" s="1" t="s">
        <v>100</v>
      </c>
      <c r="F2669" t="s">
        <v>106</v>
      </c>
      <c r="G2669" t="s">
        <v>28</v>
      </c>
      <c r="H2669">
        <v>17</v>
      </c>
      <c r="I2669">
        <v>3834914</v>
      </c>
    </row>
    <row r="2670" spans="1:9" x14ac:dyDescent="0.25">
      <c r="A2670" s="5" t="str">
        <f>TrendSheetPrdData[[#This Row],[Population]]&amp;TrendSheetPrdData[[#This Row],[Cost Basis]]&amp;TrendSheetPrdData[[#This Row],[Period]]&amp;TrendSheetPrdData[[#This Row],[Trend]]</f>
        <v>MSSP_NONATTRIBUTEDPaid2016-11-01Chronic Disease Management - Cost</v>
      </c>
      <c r="B2670" t="s">
        <v>129</v>
      </c>
      <c r="C2670" t="s">
        <v>129</v>
      </c>
      <c r="D2670" t="s">
        <v>78</v>
      </c>
      <c r="E2670" s="1" t="s">
        <v>101</v>
      </c>
      <c r="F2670" t="s">
        <v>106</v>
      </c>
      <c r="G2670" t="s">
        <v>28</v>
      </c>
      <c r="H2670">
        <v>17</v>
      </c>
      <c r="I2670">
        <v>3301045</v>
      </c>
    </row>
    <row r="2671" spans="1:9" x14ac:dyDescent="0.25">
      <c r="A2671" s="5" t="str">
        <f>TrendSheetPrdData[[#This Row],[Population]]&amp;TrendSheetPrdData[[#This Row],[Cost Basis]]&amp;TrendSheetPrdData[[#This Row],[Period]]&amp;TrendSheetPrdData[[#This Row],[Trend]]</f>
        <v>MSSP_NONATTRIBUTEDPaid2016-12-01Chronic Disease Management - Cost</v>
      </c>
      <c r="B2671" t="s">
        <v>129</v>
      </c>
      <c r="C2671" t="s">
        <v>129</v>
      </c>
      <c r="D2671" t="s">
        <v>78</v>
      </c>
      <c r="E2671" s="1" t="s">
        <v>102</v>
      </c>
      <c r="F2671" t="s">
        <v>106</v>
      </c>
      <c r="G2671" t="s">
        <v>28</v>
      </c>
      <c r="H2671">
        <v>17</v>
      </c>
      <c r="I2671">
        <v>932815</v>
      </c>
    </row>
    <row r="2672" spans="1:9" x14ac:dyDescent="0.25">
      <c r="A2672" s="5" t="str">
        <f>TrendSheetPrdData[[#This Row],[Population]]&amp;TrendSheetPrdData[[#This Row],[Cost Basis]]&amp;TrendSheetPrdData[[#This Row],[Period]]&amp;TrendSheetPrdData[[#This Row],[Trend]]</f>
        <v>MSSP_NONATTRIBUTEDPaid2015-10-01Chronic Disease Management - Members</v>
      </c>
      <c r="B2672" t="s">
        <v>129</v>
      </c>
      <c r="C2672" t="s">
        <v>129</v>
      </c>
      <c r="D2672" t="s">
        <v>78</v>
      </c>
      <c r="E2672" s="1" t="s">
        <v>134</v>
      </c>
      <c r="F2672" t="s">
        <v>93</v>
      </c>
      <c r="G2672" t="s">
        <v>29</v>
      </c>
      <c r="H2672">
        <v>18</v>
      </c>
      <c r="I2672">
        <v>814.61</v>
      </c>
    </row>
    <row r="2673" spans="1:9" x14ac:dyDescent="0.25">
      <c r="A2673" s="5" t="str">
        <f>TrendSheetPrdData[[#This Row],[Population]]&amp;TrendSheetPrdData[[#This Row],[Cost Basis]]&amp;TrendSheetPrdData[[#This Row],[Period]]&amp;TrendSheetPrdData[[#This Row],[Trend]]</f>
        <v>MSSP_NONATTRIBUTEDPaid2015-11-01Chronic Disease Management - Members</v>
      </c>
      <c r="B2673" t="s">
        <v>129</v>
      </c>
      <c r="C2673" t="s">
        <v>129</v>
      </c>
      <c r="D2673" t="s">
        <v>78</v>
      </c>
      <c r="E2673" s="1" t="s">
        <v>130</v>
      </c>
      <c r="F2673" t="s">
        <v>93</v>
      </c>
      <c r="G2673" t="s">
        <v>29</v>
      </c>
      <c r="H2673">
        <v>18</v>
      </c>
      <c r="I2673">
        <v>808.65</v>
      </c>
    </row>
    <row r="2674" spans="1:9" x14ac:dyDescent="0.25">
      <c r="A2674" s="5" t="str">
        <f>TrendSheetPrdData[[#This Row],[Population]]&amp;TrendSheetPrdData[[#This Row],[Cost Basis]]&amp;TrendSheetPrdData[[#This Row],[Period]]&amp;TrendSheetPrdData[[#This Row],[Trend]]</f>
        <v>MSSP_NONATTRIBUTEDPaid2015-12-01Chronic Disease Management - Members</v>
      </c>
      <c r="B2674" t="s">
        <v>129</v>
      </c>
      <c r="C2674" t="s">
        <v>129</v>
      </c>
      <c r="D2674" t="s">
        <v>78</v>
      </c>
      <c r="E2674" s="1" t="s">
        <v>131</v>
      </c>
      <c r="F2674" t="s">
        <v>93</v>
      </c>
      <c r="G2674" t="s">
        <v>29</v>
      </c>
      <c r="H2674">
        <v>18</v>
      </c>
      <c r="I2674">
        <v>836.84</v>
      </c>
    </row>
    <row r="2675" spans="1:9" x14ac:dyDescent="0.25">
      <c r="A2675" s="5" t="str">
        <f>TrendSheetPrdData[[#This Row],[Population]]&amp;TrendSheetPrdData[[#This Row],[Cost Basis]]&amp;TrendSheetPrdData[[#This Row],[Period]]&amp;TrendSheetPrdData[[#This Row],[Trend]]</f>
        <v>MSSP_NONATTRIBUTEDPaid2016-01-01Chronic Disease Management - Members</v>
      </c>
      <c r="B2675" t="s">
        <v>129</v>
      </c>
      <c r="C2675" t="s">
        <v>129</v>
      </c>
      <c r="D2675" t="s">
        <v>78</v>
      </c>
      <c r="E2675" s="1" t="s">
        <v>132</v>
      </c>
      <c r="F2675" t="s">
        <v>93</v>
      </c>
      <c r="G2675" t="s">
        <v>29</v>
      </c>
      <c r="H2675">
        <v>18</v>
      </c>
      <c r="I2675">
        <v>823.07</v>
      </c>
    </row>
    <row r="2676" spans="1:9" x14ac:dyDescent="0.25">
      <c r="A2676" s="5" t="str">
        <f>TrendSheetPrdData[[#This Row],[Population]]&amp;TrendSheetPrdData[[#This Row],[Cost Basis]]&amp;TrendSheetPrdData[[#This Row],[Period]]&amp;TrendSheetPrdData[[#This Row],[Trend]]</f>
        <v>MSSP_NONATTRIBUTEDPaid2016-02-01Chronic Disease Management - Members</v>
      </c>
      <c r="B2676" t="s">
        <v>129</v>
      </c>
      <c r="C2676" t="s">
        <v>129</v>
      </c>
      <c r="D2676" t="s">
        <v>78</v>
      </c>
      <c r="E2676" s="1" t="s">
        <v>133</v>
      </c>
      <c r="F2676" t="s">
        <v>93</v>
      </c>
      <c r="G2676" t="s">
        <v>29</v>
      </c>
      <c r="H2676">
        <v>18</v>
      </c>
      <c r="I2676">
        <v>818.08</v>
      </c>
    </row>
    <row r="2677" spans="1:9" x14ac:dyDescent="0.25">
      <c r="A2677" s="5" t="str">
        <f>TrendSheetPrdData[[#This Row],[Population]]&amp;TrendSheetPrdData[[#This Row],[Cost Basis]]&amp;TrendSheetPrdData[[#This Row],[Period]]&amp;TrendSheetPrdData[[#This Row],[Trend]]</f>
        <v>MSSP_NONATTRIBUTEDPaid2016-03-01Chronic Disease Management - Members</v>
      </c>
      <c r="B2677" t="s">
        <v>129</v>
      </c>
      <c r="C2677" t="s">
        <v>129</v>
      </c>
      <c r="D2677" t="s">
        <v>78</v>
      </c>
      <c r="E2677" s="1" t="s">
        <v>92</v>
      </c>
      <c r="F2677" t="s">
        <v>93</v>
      </c>
      <c r="G2677" t="s">
        <v>29</v>
      </c>
      <c r="H2677">
        <v>18</v>
      </c>
      <c r="I2677">
        <v>808.54</v>
      </c>
    </row>
    <row r="2678" spans="1:9" x14ac:dyDescent="0.25">
      <c r="A2678" s="5" t="str">
        <f>TrendSheetPrdData[[#This Row],[Population]]&amp;TrendSheetPrdData[[#This Row],[Cost Basis]]&amp;TrendSheetPrdData[[#This Row],[Period]]&amp;TrendSheetPrdData[[#This Row],[Trend]]</f>
        <v>MSSP_NONATTRIBUTEDPaid2016-04-01Chronic Disease Management - Members</v>
      </c>
      <c r="B2678" t="s">
        <v>129</v>
      </c>
      <c r="C2678" t="s">
        <v>129</v>
      </c>
      <c r="D2678" t="s">
        <v>78</v>
      </c>
      <c r="E2678" s="1" t="s">
        <v>94</v>
      </c>
      <c r="F2678" t="s">
        <v>93</v>
      </c>
      <c r="G2678" t="s">
        <v>29</v>
      </c>
      <c r="H2678">
        <v>18</v>
      </c>
      <c r="I2678">
        <v>815.15</v>
      </c>
    </row>
    <row r="2679" spans="1:9" x14ac:dyDescent="0.25">
      <c r="A2679" s="5" t="str">
        <f>TrendSheetPrdData[[#This Row],[Population]]&amp;TrendSheetPrdData[[#This Row],[Cost Basis]]&amp;TrendSheetPrdData[[#This Row],[Period]]&amp;TrendSheetPrdData[[#This Row],[Trend]]</f>
        <v>MSSP_NONATTRIBUTEDPaid2016-05-01Chronic Disease Management - Members</v>
      </c>
      <c r="B2679" t="s">
        <v>129</v>
      </c>
      <c r="C2679" t="s">
        <v>129</v>
      </c>
      <c r="D2679" t="s">
        <v>78</v>
      </c>
      <c r="E2679" s="1" t="s">
        <v>95</v>
      </c>
      <c r="F2679" t="s">
        <v>93</v>
      </c>
      <c r="G2679" t="s">
        <v>29</v>
      </c>
      <c r="H2679">
        <v>18</v>
      </c>
      <c r="I2679">
        <v>800.53</v>
      </c>
    </row>
    <row r="2680" spans="1:9" x14ac:dyDescent="0.25">
      <c r="A2680" s="5" t="str">
        <f>TrendSheetPrdData[[#This Row],[Population]]&amp;TrendSheetPrdData[[#This Row],[Cost Basis]]&amp;TrendSheetPrdData[[#This Row],[Period]]&amp;TrendSheetPrdData[[#This Row],[Trend]]</f>
        <v>MSSP_NONATTRIBUTEDPaid2016-06-01Chronic Disease Management - Members</v>
      </c>
      <c r="B2680" t="s">
        <v>129</v>
      </c>
      <c r="C2680" t="s">
        <v>129</v>
      </c>
      <c r="D2680" t="s">
        <v>78</v>
      </c>
      <c r="E2680" s="1" t="s">
        <v>96</v>
      </c>
      <c r="F2680" t="s">
        <v>93</v>
      </c>
      <c r="G2680" t="s">
        <v>29</v>
      </c>
      <c r="H2680">
        <v>18</v>
      </c>
      <c r="I2680">
        <v>810.26</v>
      </c>
    </row>
    <row r="2681" spans="1:9" x14ac:dyDescent="0.25">
      <c r="A2681" s="5" t="str">
        <f>TrendSheetPrdData[[#This Row],[Population]]&amp;TrendSheetPrdData[[#This Row],[Cost Basis]]&amp;TrendSheetPrdData[[#This Row],[Period]]&amp;TrendSheetPrdData[[#This Row],[Trend]]</f>
        <v>MSSP_NONATTRIBUTEDPaid2016-07-01Chronic Disease Management - Members</v>
      </c>
      <c r="B2681" t="s">
        <v>129</v>
      </c>
      <c r="C2681" t="s">
        <v>129</v>
      </c>
      <c r="D2681" t="s">
        <v>78</v>
      </c>
      <c r="E2681" s="1" t="s">
        <v>97</v>
      </c>
      <c r="F2681" t="s">
        <v>93</v>
      </c>
      <c r="G2681" t="s">
        <v>29</v>
      </c>
      <c r="H2681">
        <v>18</v>
      </c>
      <c r="I2681">
        <v>820.04</v>
      </c>
    </row>
    <row r="2682" spans="1:9" x14ac:dyDescent="0.25">
      <c r="A2682" s="5" t="str">
        <f>TrendSheetPrdData[[#This Row],[Population]]&amp;TrendSheetPrdData[[#This Row],[Cost Basis]]&amp;TrendSheetPrdData[[#This Row],[Period]]&amp;TrendSheetPrdData[[#This Row],[Trend]]</f>
        <v>MSSP_NONATTRIBUTEDPaid2016-08-01Chronic Disease Management - Members</v>
      </c>
      <c r="B2682" t="s">
        <v>129</v>
      </c>
      <c r="C2682" t="s">
        <v>129</v>
      </c>
      <c r="D2682" t="s">
        <v>78</v>
      </c>
      <c r="E2682" s="1" t="s">
        <v>98</v>
      </c>
      <c r="F2682" t="s">
        <v>93</v>
      </c>
      <c r="G2682" t="s">
        <v>29</v>
      </c>
      <c r="H2682">
        <v>18</v>
      </c>
      <c r="I2682">
        <v>825.29</v>
      </c>
    </row>
    <row r="2683" spans="1:9" x14ac:dyDescent="0.25">
      <c r="A2683" s="5" t="str">
        <f>TrendSheetPrdData[[#This Row],[Population]]&amp;TrendSheetPrdData[[#This Row],[Cost Basis]]&amp;TrendSheetPrdData[[#This Row],[Period]]&amp;TrendSheetPrdData[[#This Row],[Trend]]</f>
        <v>MSSP_NONATTRIBUTEDPaid2016-09-01Chronic Disease Management - Members</v>
      </c>
      <c r="B2683" t="s">
        <v>129</v>
      </c>
      <c r="C2683" t="s">
        <v>129</v>
      </c>
      <c r="D2683" t="s">
        <v>78</v>
      </c>
      <c r="E2683" s="1" t="s">
        <v>99</v>
      </c>
      <c r="F2683" t="s">
        <v>93</v>
      </c>
      <c r="G2683" t="s">
        <v>29</v>
      </c>
      <c r="H2683">
        <v>18</v>
      </c>
      <c r="I2683">
        <v>831.92</v>
      </c>
    </row>
    <row r="2684" spans="1:9" x14ac:dyDescent="0.25">
      <c r="A2684" s="5" t="str">
        <f>TrendSheetPrdData[[#This Row],[Population]]&amp;TrendSheetPrdData[[#This Row],[Cost Basis]]&amp;TrendSheetPrdData[[#This Row],[Period]]&amp;TrendSheetPrdData[[#This Row],[Trend]]</f>
        <v>MSSP_NONATTRIBUTEDPaid2016-10-01Chronic Disease Management - Members</v>
      </c>
      <c r="B2684" t="s">
        <v>129</v>
      </c>
      <c r="C2684" t="s">
        <v>129</v>
      </c>
      <c r="D2684" t="s">
        <v>78</v>
      </c>
      <c r="E2684" s="1" t="s">
        <v>100</v>
      </c>
      <c r="F2684" t="s">
        <v>106</v>
      </c>
      <c r="G2684" t="s">
        <v>29</v>
      </c>
      <c r="H2684">
        <v>18</v>
      </c>
      <c r="I2684">
        <v>835.64</v>
      </c>
    </row>
    <row r="2685" spans="1:9" x14ac:dyDescent="0.25">
      <c r="A2685" s="5" t="str">
        <f>TrendSheetPrdData[[#This Row],[Population]]&amp;TrendSheetPrdData[[#This Row],[Cost Basis]]&amp;TrendSheetPrdData[[#This Row],[Period]]&amp;TrendSheetPrdData[[#This Row],[Trend]]</f>
        <v>MSSP_NONATTRIBUTEDPaid2016-11-01Chronic Disease Management - Members</v>
      </c>
      <c r="B2685" t="s">
        <v>129</v>
      </c>
      <c r="C2685" t="s">
        <v>129</v>
      </c>
      <c r="D2685" t="s">
        <v>78</v>
      </c>
      <c r="E2685" s="1" t="s">
        <v>101</v>
      </c>
      <c r="F2685" t="s">
        <v>106</v>
      </c>
      <c r="G2685" t="s">
        <v>29</v>
      </c>
      <c r="H2685">
        <v>18</v>
      </c>
      <c r="I2685">
        <v>852.77</v>
      </c>
    </row>
    <row r="2686" spans="1:9" x14ac:dyDescent="0.25">
      <c r="A2686" s="5" t="str">
        <f>TrendSheetPrdData[[#This Row],[Population]]&amp;TrendSheetPrdData[[#This Row],[Cost Basis]]&amp;TrendSheetPrdData[[#This Row],[Period]]&amp;TrendSheetPrdData[[#This Row],[Trend]]</f>
        <v>MSSP_NONATTRIBUTEDPaid2016-12-01Chronic Disease Management - Members</v>
      </c>
      <c r="B2686" t="s">
        <v>129</v>
      </c>
      <c r="C2686" t="s">
        <v>129</v>
      </c>
      <c r="D2686" t="s">
        <v>78</v>
      </c>
      <c r="E2686" s="1" t="s">
        <v>102</v>
      </c>
      <c r="F2686" t="s">
        <v>106</v>
      </c>
      <c r="G2686" t="s">
        <v>29</v>
      </c>
      <c r="H2686">
        <v>18</v>
      </c>
      <c r="I2686">
        <v>862.59</v>
      </c>
    </row>
    <row r="2687" spans="1:9" x14ac:dyDescent="0.25">
      <c r="A2687" s="5" t="str">
        <f>TrendSheetPrdData[[#This Row],[Population]]&amp;TrendSheetPrdData[[#This Row],[Cost Basis]]&amp;TrendSheetPrdData[[#This Row],[Period]]&amp;TrendSheetPrdData[[#This Row],[Trend]]</f>
        <v>MSSP_NONATTRIBUTEDPaid2015-10-01Inpatient Claim Count</v>
      </c>
      <c r="B2687" t="s">
        <v>129</v>
      </c>
      <c r="C2687" t="s">
        <v>129</v>
      </c>
      <c r="D2687" t="s">
        <v>78</v>
      </c>
      <c r="E2687" s="1" t="s">
        <v>134</v>
      </c>
      <c r="F2687" t="s">
        <v>93</v>
      </c>
      <c r="G2687" t="s">
        <v>30</v>
      </c>
      <c r="H2687">
        <v>19</v>
      </c>
      <c r="I2687">
        <v>5955</v>
      </c>
    </row>
    <row r="2688" spans="1:9" x14ac:dyDescent="0.25">
      <c r="A2688" s="5" t="str">
        <f>TrendSheetPrdData[[#This Row],[Population]]&amp;TrendSheetPrdData[[#This Row],[Cost Basis]]&amp;TrendSheetPrdData[[#This Row],[Period]]&amp;TrendSheetPrdData[[#This Row],[Trend]]</f>
        <v>MSSP_NONATTRIBUTEDPaid2015-11-01Inpatient Claim Count</v>
      </c>
      <c r="B2688" t="s">
        <v>129</v>
      </c>
      <c r="C2688" t="s">
        <v>129</v>
      </c>
      <c r="D2688" t="s">
        <v>78</v>
      </c>
      <c r="E2688" s="1" t="s">
        <v>130</v>
      </c>
      <c r="F2688" t="s">
        <v>93</v>
      </c>
      <c r="G2688" t="s">
        <v>30</v>
      </c>
      <c r="H2688">
        <v>19</v>
      </c>
      <c r="I2688">
        <v>4164</v>
      </c>
    </row>
    <row r="2689" spans="1:9" x14ac:dyDescent="0.25">
      <c r="A2689" s="5" t="str">
        <f>TrendSheetPrdData[[#This Row],[Population]]&amp;TrendSheetPrdData[[#This Row],[Cost Basis]]&amp;TrendSheetPrdData[[#This Row],[Period]]&amp;TrendSheetPrdData[[#This Row],[Trend]]</f>
        <v>MSSP_NONATTRIBUTEDPaid2015-12-01Inpatient Claim Count</v>
      </c>
      <c r="B2689" t="s">
        <v>129</v>
      </c>
      <c r="C2689" t="s">
        <v>129</v>
      </c>
      <c r="D2689" t="s">
        <v>78</v>
      </c>
      <c r="E2689" s="1" t="s">
        <v>131</v>
      </c>
      <c r="F2689" t="s">
        <v>93</v>
      </c>
      <c r="G2689" t="s">
        <v>30</v>
      </c>
      <c r="H2689">
        <v>19</v>
      </c>
      <c r="I2689">
        <v>4590</v>
      </c>
    </row>
    <row r="2690" spans="1:9" x14ac:dyDescent="0.25">
      <c r="A2690" s="5" t="str">
        <f>TrendSheetPrdData[[#This Row],[Population]]&amp;TrendSheetPrdData[[#This Row],[Cost Basis]]&amp;TrendSheetPrdData[[#This Row],[Period]]&amp;TrendSheetPrdData[[#This Row],[Trend]]</f>
        <v>MSSP_NONATTRIBUTEDPaid2016-01-01Inpatient Claim Count</v>
      </c>
      <c r="B2690" t="s">
        <v>129</v>
      </c>
      <c r="C2690" t="s">
        <v>129</v>
      </c>
      <c r="D2690" t="s">
        <v>78</v>
      </c>
      <c r="E2690" s="1" t="s">
        <v>132</v>
      </c>
      <c r="F2690" t="s">
        <v>93</v>
      </c>
      <c r="G2690" t="s">
        <v>30</v>
      </c>
      <c r="H2690">
        <v>19</v>
      </c>
      <c r="I2690">
        <v>7213</v>
      </c>
    </row>
    <row r="2691" spans="1:9" x14ac:dyDescent="0.25">
      <c r="A2691" s="5" t="str">
        <f>TrendSheetPrdData[[#This Row],[Population]]&amp;TrendSheetPrdData[[#This Row],[Cost Basis]]&amp;TrendSheetPrdData[[#This Row],[Period]]&amp;TrendSheetPrdData[[#This Row],[Trend]]</f>
        <v>MSSP_NONATTRIBUTEDPaid2016-02-01Inpatient Claim Count</v>
      </c>
      <c r="B2691" t="s">
        <v>129</v>
      </c>
      <c r="C2691" t="s">
        <v>129</v>
      </c>
      <c r="D2691" t="s">
        <v>78</v>
      </c>
      <c r="E2691" s="1" t="s">
        <v>133</v>
      </c>
      <c r="F2691" t="s">
        <v>93</v>
      </c>
      <c r="G2691" t="s">
        <v>30</v>
      </c>
      <c r="H2691">
        <v>19</v>
      </c>
      <c r="I2691">
        <v>6556</v>
      </c>
    </row>
    <row r="2692" spans="1:9" x14ac:dyDescent="0.25">
      <c r="A2692" s="5" t="str">
        <f>TrendSheetPrdData[[#This Row],[Population]]&amp;TrendSheetPrdData[[#This Row],[Cost Basis]]&amp;TrendSheetPrdData[[#This Row],[Period]]&amp;TrendSheetPrdData[[#This Row],[Trend]]</f>
        <v>MSSP_NONATTRIBUTEDPaid2016-03-01Inpatient Claim Count</v>
      </c>
      <c r="B2692" t="s">
        <v>129</v>
      </c>
      <c r="C2692" t="s">
        <v>129</v>
      </c>
      <c r="D2692" t="s">
        <v>78</v>
      </c>
      <c r="E2692" s="1" t="s">
        <v>92</v>
      </c>
      <c r="F2692" t="s">
        <v>93</v>
      </c>
      <c r="G2692" t="s">
        <v>30</v>
      </c>
      <c r="H2692">
        <v>19</v>
      </c>
      <c r="I2692">
        <v>4964</v>
      </c>
    </row>
    <row r="2693" spans="1:9" x14ac:dyDescent="0.25">
      <c r="A2693" s="5" t="str">
        <f>TrendSheetPrdData[[#This Row],[Population]]&amp;TrendSheetPrdData[[#This Row],[Cost Basis]]&amp;TrendSheetPrdData[[#This Row],[Period]]&amp;TrendSheetPrdData[[#This Row],[Trend]]</f>
        <v>MSSP_NONATTRIBUTEDPaid2016-04-01Inpatient Claim Count</v>
      </c>
      <c r="B2693" t="s">
        <v>129</v>
      </c>
      <c r="C2693" t="s">
        <v>129</v>
      </c>
      <c r="D2693" t="s">
        <v>78</v>
      </c>
      <c r="E2693" s="1" t="s">
        <v>94</v>
      </c>
      <c r="F2693" t="s">
        <v>93</v>
      </c>
      <c r="G2693" t="s">
        <v>30</v>
      </c>
      <c r="H2693">
        <v>19</v>
      </c>
      <c r="I2693">
        <v>2083</v>
      </c>
    </row>
    <row r="2694" spans="1:9" x14ac:dyDescent="0.25">
      <c r="A2694" s="5" t="str">
        <f>TrendSheetPrdData[[#This Row],[Population]]&amp;TrendSheetPrdData[[#This Row],[Cost Basis]]&amp;TrendSheetPrdData[[#This Row],[Period]]&amp;TrendSheetPrdData[[#This Row],[Trend]]</f>
        <v>MSSP_NONATTRIBUTEDPaid2016-05-01Inpatient Claim Count</v>
      </c>
      <c r="B2694" t="s">
        <v>129</v>
      </c>
      <c r="C2694" t="s">
        <v>129</v>
      </c>
      <c r="D2694" t="s">
        <v>78</v>
      </c>
      <c r="E2694" s="1" t="s">
        <v>95</v>
      </c>
      <c r="F2694" t="s">
        <v>93</v>
      </c>
      <c r="G2694" t="s">
        <v>30</v>
      </c>
      <c r="H2694">
        <v>19</v>
      </c>
      <c r="I2694">
        <v>2365</v>
      </c>
    </row>
    <row r="2695" spans="1:9" x14ac:dyDescent="0.25">
      <c r="A2695" s="5" t="str">
        <f>TrendSheetPrdData[[#This Row],[Population]]&amp;TrendSheetPrdData[[#This Row],[Cost Basis]]&amp;TrendSheetPrdData[[#This Row],[Period]]&amp;TrendSheetPrdData[[#This Row],[Trend]]</f>
        <v>MSSP_NONATTRIBUTEDPaid2016-06-01Inpatient Claim Count</v>
      </c>
      <c r="B2695" t="s">
        <v>129</v>
      </c>
      <c r="C2695" t="s">
        <v>129</v>
      </c>
      <c r="D2695" t="s">
        <v>78</v>
      </c>
      <c r="E2695" s="1" t="s">
        <v>96</v>
      </c>
      <c r="F2695" t="s">
        <v>93</v>
      </c>
      <c r="G2695" t="s">
        <v>30</v>
      </c>
      <c r="H2695">
        <v>19</v>
      </c>
      <c r="I2695">
        <v>1892</v>
      </c>
    </row>
    <row r="2696" spans="1:9" x14ac:dyDescent="0.25">
      <c r="A2696" s="5" t="str">
        <f>TrendSheetPrdData[[#This Row],[Population]]&amp;TrendSheetPrdData[[#This Row],[Cost Basis]]&amp;TrendSheetPrdData[[#This Row],[Period]]&amp;TrendSheetPrdData[[#This Row],[Trend]]</f>
        <v>MSSP_NONATTRIBUTEDPaid2016-07-01Inpatient Claim Count</v>
      </c>
      <c r="B2696" t="s">
        <v>129</v>
      </c>
      <c r="C2696" t="s">
        <v>129</v>
      </c>
      <c r="D2696" t="s">
        <v>78</v>
      </c>
      <c r="E2696" s="1" t="s">
        <v>97</v>
      </c>
      <c r="F2696" t="s">
        <v>93</v>
      </c>
      <c r="G2696" t="s">
        <v>30</v>
      </c>
      <c r="H2696">
        <v>19</v>
      </c>
      <c r="I2696">
        <v>2535</v>
      </c>
    </row>
    <row r="2697" spans="1:9" x14ac:dyDescent="0.25">
      <c r="A2697" s="5" t="str">
        <f>TrendSheetPrdData[[#This Row],[Population]]&amp;TrendSheetPrdData[[#This Row],[Cost Basis]]&amp;TrendSheetPrdData[[#This Row],[Period]]&amp;TrendSheetPrdData[[#This Row],[Trend]]</f>
        <v>MSSP_NONATTRIBUTEDPaid2016-08-01Inpatient Claim Count</v>
      </c>
      <c r="B2697" t="s">
        <v>129</v>
      </c>
      <c r="C2697" t="s">
        <v>129</v>
      </c>
      <c r="D2697" t="s">
        <v>78</v>
      </c>
      <c r="E2697" s="1" t="s">
        <v>98</v>
      </c>
      <c r="F2697" t="s">
        <v>93</v>
      </c>
      <c r="G2697" t="s">
        <v>30</v>
      </c>
      <c r="H2697">
        <v>19</v>
      </c>
      <c r="I2697">
        <v>2462</v>
      </c>
    </row>
    <row r="2698" spans="1:9" x14ac:dyDescent="0.25">
      <c r="A2698" s="5" t="str">
        <f>TrendSheetPrdData[[#This Row],[Population]]&amp;TrendSheetPrdData[[#This Row],[Cost Basis]]&amp;TrendSheetPrdData[[#This Row],[Period]]&amp;TrendSheetPrdData[[#This Row],[Trend]]</f>
        <v>MSSP_NONATTRIBUTEDPaid2016-09-01Inpatient Claim Count</v>
      </c>
      <c r="B2698" t="s">
        <v>129</v>
      </c>
      <c r="C2698" t="s">
        <v>129</v>
      </c>
      <c r="D2698" t="s">
        <v>78</v>
      </c>
      <c r="E2698" s="1" t="s">
        <v>99</v>
      </c>
      <c r="F2698" t="s">
        <v>93</v>
      </c>
      <c r="G2698" t="s">
        <v>30</v>
      </c>
      <c r="H2698">
        <v>19</v>
      </c>
      <c r="I2698">
        <v>2424</v>
      </c>
    </row>
    <row r="2699" spans="1:9" x14ac:dyDescent="0.25">
      <c r="A2699" s="5" t="str">
        <f>TrendSheetPrdData[[#This Row],[Population]]&amp;TrendSheetPrdData[[#This Row],[Cost Basis]]&amp;TrendSheetPrdData[[#This Row],[Period]]&amp;TrendSheetPrdData[[#This Row],[Trend]]</f>
        <v>MSSP_NONATTRIBUTEDPaid2016-10-01Inpatient Claim Count</v>
      </c>
      <c r="B2699" t="s">
        <v>129</v>
      </c>
      <c r="C2699" t="s">
        <v>129</v>
      </c>
      <c r="D2699" t="s">
        <v>78</v>
      </c>
      <c r="E2699" s="1" t="s">
        <v>100</v>
      </c>
      <c r="F2699" t="s">
        <v>106</v>
      </c>
      <c r="G2699" t="s">
        <v>30</v>
      </c>
      <c r="H2699">
        <v>19</v>
      </c>
      <c r="I2699">
        <v>2333</v>
      </c>
    </row>
    <row r="2700" spans="1:9" x14ac:dyDescent="0.25">
      <c r="A2700" s="5" t="str">
        <f>TrendSheetPrdData[[#This Row],[Population]]&amp;TrendSheetPrdData[[#This Row],[Cost Basis]]&amp;TrendSheetPrdData[[#This Row],[Period]]&amp;TrendSheetPrdData[[#This Row],[Trend]]</f>
        <v>MSSP_NONATTRIBUTEDPaid2016-11-01Inpatient Claim Count</v>
      </c>
      <c r="B2700" t="s">
        <v>129</v>
      </c>
      <c r="C2700" t="s">
        <v>129</v>
      </c>
      <c r="D2700" t="s">
        <v>78</v>
      </c>
      <c r="E2700" s="1" t="s">
        <v>101</v>
      </c>
      <c r="F2700" t="s">
        <v>106</v>
      </c>
      <c r="G2700" t="s">
        <v>30</v>
      </c>
      <c r="H2700">
        <v>19</v>
      </c>
      <c r="I2700">
        <v>1857</v>
      </c>
    </row>
    <row r="2701" spans="1:9" x14ac:dyDescent="0.25">
      <c r="A2701" s="5" t="str">
        <f>TrendSheetPrdData[[#This Row],[Population]]&amp;TrendSheetPrdData[[#This Row],[Cost Basis]]&amp;TrendSheetPrdData[[#This Row],[Period]]&amp;TrendSheetPrdData[[#This Row],[Trend]]</f>
        <v>MSSP_NONATTRIBUTEDPaid2016-12-01Inpatient Claim Count</v>
      </c>
      <c r="B2701" t="s">
        <v>129</v>
      </c>
      <c r="C2701" t="s">
        <v>129</v>
      </c>
      <c r="D2701" t="s">
        <v>78</v>
      </c>
      <c r="E2701" s="1" t="s">
        <v>102</v>
      </c>
      <c r="F2701" t="s">
        <v>106</v>
      </c>
      <c r="G2701" t="s">
        <v>30</v>
      </c>
      <c r="H2701">
        <v>19</v>
      </c>
      <c r="I2701">
        <v>466</v>
      </c>
    </row>
    <row r="2702" spans="1:9" x14ac:dyDescent="0.25">
      <c r="A2702" s="5" t="str">
        <f>TrendSheetPrdData[[#This Row],[Population]]&amp;TrendSheetPrdData[[#This Row],[Cost Basis]]&amp;TrendSheetPrdData[[#This Row],[Period]]&amp;TrendSheetPrdData[[#This Row],[Trend]]</f>
        <v>MSSP_NONATTRIBUTEDPaid2015-10-01Outpatient Claim Count</v>
      </c>
      <c r="B2702" t="s">
        <v>129</v>
      </c>
      <c r="C2702" t="s">
        <v>129</v>
      </c>
      <c r="D2702" t="s">
        <v>78</v>
      </c>
      <c r="E2702" s="1" t="s">
        <v>134</v>
      </c>
      <c r="F2702" t="s">
        <v>93</v>
      </c>
      <c r="G2702" t="s">
        <v>31</v>
      </c>
      <c r="H2702">
        <v>20</v>
      </c>
      <c r="I2702">
        <v>27392</v>
      </c>
    </row>
    <row r="2703" spans="1:9" x14ac:dyDescent="0.25">
      <c r="A2703" s="5" t="str">
        <f>TrendSheetPrdData[[#This Row],[Population]]&amp;TrendSheetPrdData[[#This Row],[Cost Basis]]&amp;TrendSheetPrdData[[#This Row],[Period]]&amp;TrendSheetPrdData[[#This Row],[Trend]]</f>
        <v>MSSP_NONATTRIBUTEDPaid2015-11-01Outpatient Claim Count</v>
      </c>
      <c r="B2703" t="s">
        <v>129</v>
      </c>
      <c r="C2703" t="s">
        <v>129</v>
      </c>
      <c r="D2703" t="s">
        <v>78</v>
      </c>
      <c r="E2703" s="1" t="s">
        <v>130</v>
      </c>
      <c r="F2703" t="s">
        <v>93</v>
      </c>
      <c r="G2703" t="s">
        <v>31</v>
      </c>
      <c r="H2703">
        <v>20</v>
      </c>
      <c r="I2703">
        <v>14604</v>
      </c>
    </row>
    <row r="2704" spans="1:9" x14ac:dyDescent="0.25">
      <c r="A2704" s="5" t="str">
        <f>TrendSheetPrdData[[#This Row],[Population]]&amp;TrendSheetPrdData[[#This Row],[Cost Basis]]&amp;TrendSheetPrdData[[#This Row],[Period]]&amp;TrendSheetPrdData[[#This Row],[Trend]]</f>
        <v>MSSP_NONATTRIBUTEDPaid2015-12-01Outpatient Claim Count</v>
      </c>
      <c r="B2704" t="s">
        <v>129</v>
      </c>
      <c r="C2704" t="s">
        <v>129</v>
      </c>
      <c r="D2704" t="s">
        <v>78</v>
      </c>
      <c r="E2704" s="1" t="s">
        <v>131</v>
      </c>
      <c r="F2704" t="s">
        <v>93</v>
      </c>
      <c r="G2704" t="s">
        <v>31</v>
      </c>
      <c r="H2704">
        <v>20</v>
      </c>
      <c r="I2704">
        <v>14604</v>
      </c>
    </row>
    <row r="2705" spans="1:9" x14ac:dyDescent="0.25">
      <c r="A2705" s="5" t="str">
        <f>TrendSheetPrdData[[#This Row],[Population]]&amp;TrendSheetPrdData[[#This Row],[Cost Basis]]&amp;TrendSheetPrdData[[#This Row],[Period]]&amp;TrendSheetPrdData[[#This Row],[Trend]]</f>
        <v>MSSP_NONATTRIBUTEDPaid2016-01-01Outpatient Claim Count</v>
      </c>
      <c r="B2705" t="s">
        <v>129</v>
      </c>
      <c r="C2705" t="s">
        <v>129</v>
      </c>
      <c r="D2705" t="s">
        <v>78</v>
      </c>
      <c r="E2705" s="1" t="s">
        <v>132</v>
      </c>
      <c r="F2705" t="s">
        <v>93</v>
      </c>
      <c r="G2705" t="s">
        <v>31</v>
      </c>
      <c r="H2705">
        <v>20</v>
      </c>
      <c r="I2705">
        <v>14656</v>
      </c>
    </row>
    <row r="2706" spans="1:9" x14ac:dyDescent="0.25">
      <c r="A2706" s="5" t="str">
        <f>TrendSheetPrdData[[#This Row],[Population]]&amp;TrendSheetPrdData[[#This Row],[Cost Basis]]&amp;TrendSheetPrdData[[#This Row],[Period]]&amp;TrendSheetPrdData[[#This Row],[Trend]]</f>
        <v>MSSP_NONATTRIBUTEDPaid2016-02-01Outpatient Claim Count</v>
      </c>
      <c r="B2706" t="s">
        <v>129</v>
      </c>
      <c r="C2706" t="s">
        <v>129</v>
      </c>
      <c r="D2706" t="s">
        <v>78</v>
      </c>
      <c r="E2706" s="1" t="s">
        <v>133</v>
      </c>
      <c r="F2706" t="s">
        <v>93</v>
      </c>
      <c r="G2706" t="s">
        <v>31</v>
      </c>
      <c r="H2706">
        <v>20</v>
      </c>
      <c r="I2706">
        <v>14073</v>
      </c>
    </row>
    <row r="2707" spans="1:9" x14ac:dyDescent="0.25">
      <c r="A2707" s="5" t="str">
        <f>TrendSheetPrdData[[#This Row],[Population]]&amp;TrendSheetPrdData[[#This Row],[Cost Basis]]&amp;TrendSheetPrdData[[#This Row],[Period]]&amp;TrendSheetPrdData[[#This Row],[Trend]]</f>
        <v>MSSP_NONATTRIBUTEDPaid2016-03-01Outpatient Claim Count</v>
      </c>
      <c r="B2707" t="s">
        <v>129</v>
      </c>
      <c r="C2707" t="s">
        <v>129</v>
      </c>
      <c r="D2707" t="s">
        <v>78</v>
      </c>
      <c r="E2707" s="1" t="s">
        <v>92</v>
      </c>
      <c r="F2707" t="s">
        <v>93</v>
      </c>
      <c r="G2707" t="s">
        <v>31</v>
      </c>
      <c r="H2707">
        <v>20</v>
      </c>
      <c r="I2707">
        <v>14979</v>
      </c>
    </row>
    <row r="2708" spans="1:9" x14ac:dyDescent="0.25">
      <c r="A2708" s="5" t="str">
        <f>TrendSheetPrdData[[#This Row],[Population]]&amp;TrendSheetPrdData[[#This Row],[Cost Basis]]&amp;TrendSheetPrdData[[#This Row],[Period]]&amp;TrendSheetPrdData[[#This Row],[Trend]]</f>
        <v>MSSP_NONATTRIBUTEDPaid2016-04-01Outpatient Claim Count</v>
      </c>
      <c r="B2708" t="s">
        <v>129</v>
      </c>
      <c r="C2708" t="s">
        <v>129</v>
      </c>
      <c r="D2708" t="s">
        <v>78</v>
      </c>
      <c r="E2708" s="1" t="s">
        <v>94</v>
      </c>
      <c r="F2708" t="s">
        <v>93</v>
      </c>
      <c r="G2708" t="s">
        <v>31</v>
      </c>
      <c r="H2708">
        <v>20</v>
      </c>
      <c r="I2708">
        <v>11445</v>
      </c>
    </row>
    <row r="2709" spans="1:9" x14ac:dyDescent="0.25">
      <c r="A2709" s="5" t="str">
        <f>TrendSheetPrdData[[#This Row],[Population]]&amp;TrendSheetPrdData[[#This Row],[Cost Basis]]&amp;TrendSheetPrdData[[#This Row],[Period]]&amp;TrendSheetPrdData[[#This Row],[Trend]]</f>
        <v>MSSP_NONATTRIBUTEDPaid2016-05-01Outpatient Claim Count</v>
      </c>
      <c r="B2709" t="s">
        <v>129</v>
      </c>
      <c r="C2709" t="s">
        <v>129</v>
      </c>
      <c r="D2709" t="s">
        <v>78</v>
      </c>
      <c r="E2709" s="1" t="s">
        <v>95</v>
      </c>
      <c r="F2709" t="s">
        <v>93</v>
      </c>
      <c r="G2709" t="s">
        <v>31</v>
      </c>
      <c r="H2709">
        <v>20</v>
      </c>
      <c r="I2709">
        <v>12408</v>
      </c>
    </row>
    <row r="2710" spans="1:9" x14ac:dyDescent="0.25">
      <c r="A2710" s="5" t="str">
        <f>TrendSheetPrdData[[#This Row],[Population]]&amp;TrendSheetPrdData[[#This Row],[Cost Basis]]&amp;TrendSheetPrdData[[#This Row],[Period]]&amp;TrendSheetPrdData[[#This Row],[Trend]]</f>
        <v>MSSP_NONATTRIBUTEDPaid2016-06-01Outpatient Claim Count</v>
      </c>
      <c r="B2710" t="s">
        <v>129</v>
      </c>
      <c r="C2710" t="s">
        <v>129</v>
      </c>
      <c r="D2710" t="s">
        <v>78</v>
      </c>
      <c r="E2710" s="1" t="s">
        <v>96</v>
      </c>
      <c r="F2710" t="s">
        <v>93</v>
      </c>
      <c r="G2710" t="s">
        <v>31</v>
      </c>
      <c r="H2710">
        <v>20</v>
      </c>
      <c r="I2710">
        <v>13378</v>
      </c>
    </row>
    <row r="2711" spans="1:9" x14ac:dyDescent="0.25">
      <c r="A2711" s="5" t="str">
        <f>TrendSheetPrdData[[#This Row],[Population]]&amp;TrendSheetPrdData[[#This Row],[Cost Basis]]&amp;TrendSheetPrdData[[#This Row],[Period]]&amp;TrendSheetPrdData[[#This Row],[Trend]]</f>
        <v>MSSP_NONATTRIBUTEDPaid2016-07-01Outpatient Claim Count</v>
      </c>
      <c r="B2711" t="s">
        <v>129</v>
      </c>
      <c r="C2711" t="s">
        <v>129</v>
      </c>
      <c r="D2711" t="s">
        <v>78</v>
      </c>
      <c r="E2711" s="1" t="s">
        <v>97</v>
      </c>
      <c r="F2711" t="s">
        <v>93</v>
      </c>
      <c r="G2711" t="s">
        <v>31</v>
      </c>
      <c r="H2711">
        <v>20</v>
      </c>
      <c r="I2711">
        <v>11574</v>
      </c>
    </row>
    <row r="2712" spans="1:9" x14ac:dyDescent="0.25">
      <c r="A2712" s="5" t="str">
        <f>TrendSheetPrdData[[#This Row],[Population]]&amp;TrendSheetPrdData[[#This Row],[Cost Basis]]&amp;TrendSheetPrdData[[#This Row],[Period]]&amp;TrendSheetPrdData[[#This Row],[Trend]]</f>
        <v>MSSP_NONATTRIBUTEDPaid2016-08-01Outpatient Claim Count</v>
      </c>
      <c r="B2712" t="s">
        <v>129</v>
      </c>
      <c r="C2712" t="s">
        <v>129</v>
      </c>
      <c r="D2712" t="s">
        <v>78</v>
      </c>
      <c r="E2712" s="1" t="s">
        <v>98</v>
      </c>
      <c r="F2712" t="s">
        <v>93</v>
      </c>
      <c r="G2712" t="s">
        <v>31</v>
      </c>
      <c r="H2712">
        <v>20</v>
      </c>
      <c r="I2712">
        <v>12636</v>
      </c>
    </row>
    <row r="2713" spans="1:9" x14ac:dyDescent="0.25">
      <c r="A2713" s="5" t="str">
        <f>TrendSheetPrdData[[#This Row],[Population]]&amp;TrendSheetPrdData[[#This Row],[Cost Basis]]&amp;TrendSheetPrdData[[#This Row],[Period]]&amp;TrendSheetPrdData[[#This Row],[Trend]]</f>
        <v>MSSP_NONATTRIBUTEDPaid2016-09-01Outpatient Claim Count</v>
      </c>
      <c r="B2713" t="s">
        <v>129</v>
      </c>
      <c r="C2713" t="s">
        <v>129</v>
      </c>
      <c r="D2713" t="s">
        <v>78</v>
      </c>
      <c r="E2713" s="1" t="s">
        <v>99</v>
      </c>
      <c r="F2713" t="s">
        <v>93</v>
      </c>
      <c r="G2713" t="s">
        <v>31</v>
      </c>
      <c r="H2713">
        <v>20</v>
      </c>
      <c r="I2713">
        <v>13181</v>
      </c>
    </row>
    <row r="2714" spans="1:9" x14ac:dyDescent="0.25">
      <c r="A2714" s="5" t="str">
        <f>TrendSheetPrdData[[#This Row],[Population]]&amp;TrendSheetPrdData[[#This Row],[Cost Basis]]&amp;TrendSheetPrdData[[#This Row],[Period]]&amp;TrendSheetPrdData[[#This Row],[Trend]]</f>
        <v>MSSP_NONATTRIBUTEDPaid2016-10-01Outpatient Claim Count</v>
      </c>
      <c r="B2714" t="s">
        <v>129</v>
      </c>
      <c r="C2714" t="s">
        <v>129</v>
      </c>
      <c r="D2714" t="s">
        <v>78</v>
      </c>
      <c r="E2714" s="1" t="s">
        <v>100</v>
      </c>
      <c r="F2714" t="s">
        <v>106</v>
      </c>
      <c r="G2714" t="s">
        <v>31</v>
      </c>
      <c r="H2714">
        <v>20</v>
      </c>
      <c r="I2714">
        <v>12673</v>
      </c>
    </row>
    <row r="2715" spans="1:9" x14ac:dyDescent="0.25">
      <c r="A2715" s="5" t="str">
        <f>TrendSheetPrdData[[#This Row],[Population]]&amp;TrendSheetPrdData[[#This Row],[Cost Basis]]&amp;TrendSheetPrdData[[#This Row],[Period]]&amp;TrendSheetPrdData[[#This Row],[Trend]]</f>
        <v>MSSP_NONATTRIBUTEDPaid2016-11-01Outpatient Claim Count</v>
      </c>
      <c r="B2715" t="s">
        <v>129</v>
      </c>
      <c r="C2715" t="s">
        <v>129</v>
      </c>
      <c r="D2715" t="s">
        <v>78</v>
      </c>
      <c r="E2715" s="1" t="s">
        <v>101</v>
      </c>
      <c r="F2715" t="s">
        <v>106</v>
      </c>
      <c r="G2715" t="s">
        <v>31</v>
      </c>
      <c r="H2715">
        <v>20</v>
      </c>
      <c r="I2715">
        <v>11560</v>
      </c>
    </row>
    <row r="2716" spans="1:9" x14ac:dyDescent="0.25">
      <c r="A2716" s="5" t="str">
        <f>TrendSheetPrdData[[#This Row],[Population]]&amp;TrendSheetPrdData[[#This Row],[Cost Basis]]&amp;TrendSheetPrdData[[#This Row],[Period]]&amp;TrendSheetPrdData[[#This Row],[Trend]]</f>
        <v>MSSP_NONATTRIBUTEDPaid2016-12-01Outpatient Claim Count</v>
      </c>
      <c r="B2716" t="s">
        <v>129</v>
      </c>
      <c r="C2716" t="s">
        <v>129</v>
      </c>
      <c r="D2716" t="s">
        <v>78</v>
      </c>
      <c r="E2716" s="1" t="s">
        <v>102</v>
      </c>
      <c r="F2716" t="s">
        <v>106</v>
      </c>
      <c r="G2716" t="s">
        <v>31</v>
      </c>
      <c r="H2716">
        <v>20</v>
      </c>
      <c r="I2716">
        <v>1705</v>
      </c>
    </row>
    <row r="2717" spans="1:9" x14ac:dyDescent="0.25">
      <c r="A2717" s="5" t="str">
        <f>TrendSheetPrdData[[#This Row],[Population]]&amp;TrendSheetPrdData[[#This Row],[Cost Basis]]&amp;TrendSheetPrdData[[#This Row],[Period]]&amp;TrendSheetPrdData[[#This Row],[Trend]]</f>
        <v>MSSP_NONATTRIBUTEDPaid2015-10-01Professional Claim Count</v>
      </c>
      <c r="B2717" t="s">
        <v>129</v>
      </c>
      <c r="C2717" t="s">
        <v>129</v>
      </c>
      <c r="D2717" t="s">
        <v>78</v>
      </c>
      <c r="E2717" s="1" t="s">
        <v>134</v>
      </c>
      <c r="F2717" t="s">
        <v>93</v>
      </c>
      <c r="G2717" t="s">
        <v>32</v>
      </c>
      <c r="H2717">
        <v>21</v>
      </c>
      <c r="I2717">
        <v>50826</v>
      </c>
    </row>
    <row r="2718" spans="1:9" x14ac:dyDescent="0.25">
      <c r="A2718" s="5" t="str">
        <f>TrendSheetPrdData[[#This Row],[Population]]&amp;TrendSheetPrdData[[#This Row],[Cost Basis]]&amp;TrendSheetPrdData[[#This Row],[Period]]&amp;TrendSheetPrdData[[#This Row],[Trend]]</f>
        <v>MSSP_NONATTRIBUTEDPaid2015-11-01Professional Claim Count</v>
      </c>
      <c r="B2718" t="s">
        <v>129</v>
      </c>
      <c r="C2718" t="s">
        <v>129</v>
      </c>
      <c r="D2718" t="s">
        <v>78</v>
      </c>
      <c r="E2718" s="1" t="s">
        <v>130</v>
      </c>
      <c r="F2718" t="s">
        <v>93</v>
      </c>
      <c r="G2718" t="s">
        <v>32</v>
      </c>
      <c r="H2718">
        <v>21</v>
      </c>
      <c r="I2718">
        <v>30600</v>
      </c>
    </row>
    <row r="2719" spans="1:9" x14ac:dyDescent="0.25">
      <c r="A2719" s="5" t="str">
        <f>TrendSheetPrdData[[#This Row],[Population]]&amp;TrendSheetPrdData[[#This Row],[Cost Basis]]&amp;TrendSheetPrdData[[#This Row],[Period]]&amp;TrendSheetPrdData[[#This Row],[Trend]]</f>
        <v>MSSP_NONATTRIBUTEDPaid2015-12-01Professional Claim Count</v>
      </c>
      <c r="B2719" t="s">
        <v>129</v>
      </c>
      <c r="C2719" t="s">
        <v>129</v>
      </c>
      <c r="D2719" t="s">
        <v>78</v>
      </c>
      <c r="E2719" s="1" t="s">
        <v>131</v>
      </c>
      <c r="F2719" t="s">
        <v>93</v>
      </c>
      <c r="G2719" t="s">
        <v>32</v>
      </c>
      <c r="H2719">
        <v>21</v>
      </c>
      <c r="I2719">
        <v>24244</v>
      </c>
    </row>
    <row r="2720" spans="1:9" x14ac:dyDescent="0.25">
      <c r="A2720" s="5" t="str">
        <f>TrendSheetPrdData[[#This Row],[Population]]&amp;TrendSheetPrdData[[#This Row],[Cost Basis]]&amp;TrendSheetPrdData[[#This Row],[Period]]&amp;TrendSheetPrdData[[#This Row],[Trend]]</f>
        <v>MSSP_NONATTRIBUTEDPaid2016-01-01Professional Claim Count</v>
      </c>
      <c r="B2720" t="s">
        <v>129</v>
      </c>
      <c r="C2720" t="s">
        <v>129</v>
      </c>
      <c r="D2720" t="s">
        <v>78</v>
      </c>
      <c r="E2720" s="1" t="s">
        <v>132</v>
      </c>
      <c r="F2720" t="s">
        <v>93</v>
      </c>
      <c r="G2720" t="s">
        <v>32</v>
      </c>
      <c r="H2720">
        <v>21</v>
      </c>
      <c r="I2720">
        <v>22243</v>
      </c>
    </row>
    <row r="2721" spans="1:9" x14ac:dyDescent="0.25">
      <c r="A2721" s="5" t="str">
        <f>TrendSheetPrdData[[#This Row],[Population]]&amp;TrendSheetPrdData[[#This Row],[Cost Basis]]&amp;TrendSheetPrdData[[#This Row],[Period]]&amp;TrendSheetPrdData[[#This Row],[Trend]]</f>
        <v>MSSP_NONATTRIBUTEDPaid2016-02-01Professional Claim Count</v>
      </c>
      <c r="B2721" t="s">
        <v>129</v>
      </c>
      <c r="C2721" t="s">
        <v>129</v>
      </c>
      <c r="D2721" t="s">
        <v>78</v>
      </c>
      <c r="E2721" s="1" t="s">
        <v>133</v>
      </c>
      <c r="F2721" t="s">
        <v>93</v>
      </c>
      <c r="G2721" t="s">
        <v>32</v>
      </c>
      <c r="H2721">
        <v>21</v>
      </c>
      <c r="I2721">
        <v>20918</v>
      </c>
    </row>
    <row r="2722" spans="1:9" x14ac:dyDescent="0.25">
      <c r="A2722" s="5" t="str">
        <f>TrendSheetPrdData[[#This Row],[Population]]&amp;TrendSheetPrdData[[#This Row],[Cost Basis]]&amp;TrendSheetPrdData[[#This Row],[Period]]&amp;TrendSheetPrdData[[#This Row],[Trend]]</f>
        <v>MSSP_NONATTRIBUTEDPaid2016-03-01Professional Claim Count</v>
      </c>
      <c r="B2722" t="s">
        <v>129</v>
      </c>
      <c r="C2722" t="s">
        <v>129</v>
      </c>
      <c r="D2722" t="s">
        <v>78</v>
      </c>
      <c r="E2722" s="1" t="s">
        <v>92</v>
      </c>
      <c r="F2722" t="s">
        <v>93</v>
      </c>
      <c r="G2722" t="s">
        <v>32</v>
      </c>
      <c r="H2722">
        <v>21</v>
      </c>
      <c r="I2722">
        <v>20987</v>
      </c>
    </row>
    <row r="2723" spans="1:9" x14ac:dyDescent="0.25">
      <c r="A2723" s="5" t="str">
        <f>TrendSheetPrdData[[#This Row],[Population]]&amp;TrendSheetPrdData[[#This Row],[Cost Basis]]&amp;TrendSheetPrdData[[#This Row],[Period]]&amp;TrendSheetPrdData[[#This Row],[Trend]]</f>
        <v>MSSP_NONATTRIBUTEDPaid2016-04-01Professional Claim Count</v>
      </c>
      <c r="B2723" t="s">
        <v>129</v>
      </c>
      <c r="C2723" t="s">
        <v>129</v>
      </c>
      <c r="D2723" t="s">
        <v>78</v>
      </c>
      <c r="E2723" s="1" t="s">
        <v>94</v>
      </c>
      <c r="F2723" t="s">
        <v>93</v>
      </c>
      <c r="G2723" t="s">
        <v>32</v>
      </c>
      <c r="H2723">
        <v>21</v>
      </c>
      <c r="I2723">
        <v>18220</v>
      </c>
    </row>
    <row r="2724" spans="1:9" x14ac:dyDescent="0.25">
      <c r="A2724" s="5" t="str">
        <f>TrendSheetPrdData[[#This Row],[Population]]&amp;TrendSheetPrdData[[#This Row],[Cost Basis]]&amp;TrendSheetPrdData[[#This Row],[Period]]&amp;TrendSheetPrdData[[#This Row],[Trend]]</f>
        <v>MSSP_NONATTRIBUTEDPaid2016-05-01Professional Claim Count</v>
      </c>
      <c r="B2724" t="s">
        <v>129</v>
      </c>
      <c r="C2724" t="s">
        <v>129</v>
      </c>
      <c r="D2724" t="s">
        <v>78</v>
      </c>
      <c r="E2724" s="1" t="s">
        <v>95</v>
      </c>
      <c r="F2724" t="s">
        <v>93</v>
      </c>
      <c r="G2724" t="s">
        <v>32</v>
      </c>
      <c r="H2724">
        <v>21</v>
      </c>
      <c r="I2724">
        <v>17919</v>
      </c>
    </row>
    <row r="2725" spans="1:9" x14ac:dyDescent="0.25">
      <c r="A2725" s="5" t="str">
        <f>TrendSheetPrdData[[#This Row],[Population]]&amp;TrendSheetPrdData[[#This Row],[Cost Basis]]&amp;TrendSheetPrdData[[#This Row],[Period]]&amp;TrendSheetPrdData[[#This Row],[Trend]]</f>
        <v>MSSP_NONATTRIBUTEDPaid2016-06-01Professional Claim Count</v>
      </c>
      <c r="B2725" t="s">
        <v>129</v>
      </c>
      <c r="C2725" t="s">
        <v>129</v>
      </c>
      <c r="D2725" t="s">
        <v>78</v>
      </c>
      <c r="E2725" s="1" t="s">
        <v>96</v>
      </c>
      <c r="F2725" t="s">
        <v>93</v>
      </c>
      <c r="G2725" t="s">
        <v>32</v>
      </c>
      <c r="H2725">
        <v>21</v>
      </c>
      <c r="I2725">
        <v>18366</v>
      </c>
    </row>
    <row r="2726" spans="1:9" x14ac:dyDescent="0.25">
      <c r="A2726" s="5" t="str">
        <f>TrendSheetPrdData[[#This Row],[Population]]&amp;TrendSheetPrdData[[#This Row],[Cost Basis]]&amp;TrendSheetPrdData[[#This Row],[Period]]&amp;TrendSheetPrdData[[#This Row],[Trend]]</f>
        <v>MSSP_NONATTRIBUTEDPaid2016-07-01Professional Claim Count</v>
      </c>
      <c r="B2726" t="s">
        <v>129</v>
      </c>
      <c r="C2726" t="s">
        <v>129</v>
      </c>
      <c r="D2726" t="s">
        <v>78</v>
      </c>
      <c r="E2726" s="1" t="s">
        <v>97</v>
      </c>
      <c r="F2726" t="s">
        <v>93</v>
      </c>
      <c r="G2726" t="s">
        <v>32</v>
      </c>
      <c r="H2726">
        <v>21</v>
      </c>
      <c r="I2726">
        <v>18028</v>
      </c>
    </row>
    <row r="2727" spans="1:9" x14ac:dyDescent="0.25">
      <c r="A2727" s="5" t="str">
        <f>TrendSheetPrdData[[#This Row],[Population]]&amp;TrendSheetPrdData[[#This Row],[Cost Basis]]&amp;TrendSheetPrdData[[#This Row],[Period]]&amp;TrendSheetPrdData[[#This Row],[Trend]]</f>
        <v>MSSP_NONATTRIBUTEDPaid2016-08-01Professional Claim Count</v>
      </c>
      <c r="B2727" t="s">
        <v>129</v>
      </c>
      <c r="C2727" t="s">
        <v>129</v>
      </c>
      <c r="D2727" t="s">
        <v>78</v>
      </c>
      <c r="E2727" s="1" t="s">
        <v>98</v>
      </c>
      <c r="F2727" t="s">
        <v>93</v>
      </c>
      <c r="G2727" t="s">
        <v>32</v>
      </c>
      <c r="H2727">
        <v>21</v>
      </c>
      <c r="I2727">
        <v>21141</v>
      </c>
    </row>
    <row r="2728" spans="1:9" x14ac:dyDescent="0.25">
      <c r="A2728" s="5" t="str">
        <f>TrendSheetPrdData[[#This Row],[Population]]&amp;TrendSheetPrdData[[#This Row],[Cost Basis]]&amp;TrendSheetPrdData[[#This Row],[Period]]&amp;TrendSheetPrdData[[#This Row],[Trend]]</f>
        <v>MSSP_NONATTRIBUTEDPaid2016-09-01Professional Claim Count</v>
      </c>
      <c r="B2728" t="s">
        <v>129</v>
      </c>
      <c r="C2728" t="s">
        <v>129</v>
      </c>
      <c r="D2728" t="s">
        <v>78</v>
      </c>
      <c r="E2728" s="1" t="s">
        <v>99</v>
      </c>
      <c r="F2728" t="s">
        <v>93</v>
      </c>
      <c r="G2728" t="s">
        <v>32</v>
      </c>
      <c r="H2728">
        <v>21</v>
      </c>
      <c r="I2728">
        <v>22280</v>
      </c>
    </row>
    <row r="2729" spans="1:9" x14ac:dyDescent="0.25">
      <c r="A2729" s="5" t="str">
        <f>TrendSheetPrdData[[#This Row],[Population]]&amp;TrendSheetPrdData[[#This Row],[Cost Basis]]&amp;TrendSheetPrdData[[#This Row],[Period]]&amp;TrendSheetPrdData[[#This Row],[Trend]]</f>
        <v>MSSP_NONATTRIBUTEDPaid2016-10-01Professional Claim Count</v>
      </c>
      <c r="B2729" t="s">
        <v>129</v>
      </c>
      <c r="C2729" t="s">
        <v>129</v>
      </c>
      <c r="D2729" t="s">
        <v>78</v>
      </c>
      <c r="E2729" s="1" t="s">
        <v>100</v>
      </c>
      <c r="F2729" t="s">
        <v>106</v>
      </c>
      <c r="G2729" t="s">
        <v>32</v>
      </c>
      <c r="H2729">
        <v>21</v>
      </c>
      <c r="I2729">
        <v>23265</v>
      </c>
    </row>
    <row r="2730" spans="1:9" x14ac:dyDescent="0.25">
      <c r="A2730" s="5" t="str">
        <f>TrendSheetPrdData[[#This Row],[Population]]&amp;TrendSheetPrdData[[#This Row],[Cost Basis]]&amp;TrendSheetPrdData[[#This Row],[Period]]&amp;TrendSheetPrdData[[#This Row],[Trend]]</f>
        <v>MSSP_NONATTRIBUTEDPaid2016-11-01Professional Claim Count</v>
      </c>
      <c r="B2730" t="s">
        <v>129</v>
      </c>
      <c r="C2730" t="s">
        <v>129</v>
      </c>
      <c r="D2730" t="s">
        <v>78</v>
      </c>
      <c r="E2730" s="1" t="s">
        <v>101</v>
      </c>
      <c r="F2730" t="s">
        <v>106</v>
      </c>
      <c r="G2730" t="s">
        <v>32</v>
      </c>
      <c r="H2730">
        <v>21</v>
      </c>
      <c r="I2730">
        <v>22437</v>
      </c>
    </row>
    <row r="2731" spans="1:9" x14ac:dyDescent="0.25">
      <c r="A2731" s="5" t="str">
        <f>TrendSheetPrdData[[#This Row],[Population]]&amp;TrendSheetPrdData[[#This Row],[Cost Basis]]&amp;TrendSheetPrdData[[#This Row],[Period]]&amp;TrendSheetPrdData[[#This Row],[Trend]]</f>
        <v>MSSP_NONATTRIBUTEDPaid2016-12-01Professional Claim Count</v>
      </c>
      <c r="B2731" t="s">
        <v>129</v>
      </c>
      <c r="C2731" t="s">
        <v>129</v>
      </c>
      <c r="D2731" t="s">
        <v>78</v>
      </c>
      <c r="E2731" s="1" t="s">
        <v>102</v>
      </c>
      <c r="F2731" t="s">
        <v>106</v>
      </c>
      <c r="G2731" t="s">
        <v>32</v>
      </c>
      <c r="H2731">
        <v>21</v>
      </c>
      <c r="I2731">
        <v>8495</v>
      </c>
    </row>
    <row r="2732" spans="1:9" x14ac:dyDescent="0.25">
      <c r="A2732" s="5" t="str">
        <f>TrendSheetPrdData[[#This Row],[Population]]&amp;TrendSheetPrdData[[#This Row],[Cost Basis]]&amp;TrendSheetPrdData[[#This Row],[Period]]&amp;TrendSheetPrdData[[#This Row],[Trend]]</f>
        <v>MSSP_NONATTRIBUTEDPaid2015-10-01Ancillary Claim Count</v>
      </c>
      <c r="B2732" t="s">
        <v>129</v>
      </c>
      <c r="C2732" t="s">
        <v>129</v>
      </c>
      <c r="D2732" t="s">
        <v>78</v>
      </c>
      <c r="E2732" s="1" t="s">
        <v>134</v>
      </c>
      <c r="F2732" t="s">
        <v>93</v>
      </c>
      <c r="G2732" t="s">
        <v>33</v>
      </c>
      <c r="H2732">
        <v>22</v>
      </c>
      <c r="I2732">
        <v>16690</v>
      </c>
    </row>
    <row r="2733" spans="1:9" x14ac:dyDescent="0.25">
      <c r="A2733" s="5" t="str">
        <f>TrendSheetPrdData[[#This Row],[Population]]&amp;TrendSheetPrdData[[#This Row],[Cost Basis]]&amp;TrendSheetPrdData[[#This Row],[Period]]&amp;TrendSheetPrdData[[#This Row],[Trend]]</f>
        <v>MSSP_NONATTRIBUTEDPaid2015-11-01Ancillary Claim Count</v>
      </c>
      <c r="B2733" t="s">
        <v>129</v>
      </c>
      <c r="C2733" t="s">
        <v>129</v>
      </c>
      <c r="D2733" t="s">
        <v>78</v>
      </c>
      <c r="E2733" s="1" t="s">
        <v>130</v>
      </c>
      <c r="F2733" t="s">
        <v>93</v>
      </c>
      <c r="G2733" t="s">
        <v>33</v>
      </c>
      <c r="H2733">
        <v>22</v>
      </c>
      <c r="I2733">
        <v>10037</v>
      </c>
    </row>
    <row r="2734" spans="1:9" x14ac:dyDescent="0.25">
      <c r="A2734" s="5" t="str">
        <f>TrendSheetPrdData[[#This Row],[Population]]&amp;TrendSheetPrdData[[#This Row],[Cost Basis]]&amp;TrendSheetPrdData[[#This Row],[Period]]&amp;TrendSheetPrdData[[#This Row],[Trend]]</f>
        <v>MSSP_NONATTRIBUTEDPaid2015-12-01Ancillary Claim Count</v>
      </c>
      <c r="B2734" t="s">
        <v>129</v>
      </c>
      <c r="C2734" t="s">
        <v>129</v>
      </c>
      <c r="D2734" t="s">
        <v>78</v>
      </c>
      <c r="E2734" s="1" t="s">
        <v>131</v>
      </c>
      <c r="F2734" t="s">
        <v>93</v>
      </c>
      <c r="G2734" t="s">
        <v>33</v>
      </c>
      <c r="H2734">
        <v>22</v>
      </c>
      <c r="I2734">
        <v>8554</v>
      </c>
    </row>
    <row r="2735" spans="1:9" x14ac:dyDescent="0.25">
      <c r="A2735" s="5" t="str">
        <f>TrendSheetPrdData[[#This Row],[Population]]&amp;TrendSheetPrdData[[#This Row],[Cost Basis]]&amp;TrendSheetPrdData[[#This Row],[Period]]&amp;TrendSheetPrdData[[#This Row],[Trend]]</f>
        <v>MSSP_NONATTRIBUTEDPaid2016-01-01Ancillary Claim Count</v>
      </c>
      <c r="B2735" t="s">
        <v>129</v>
      </c>
      <c r="C2735" t="s">
        <v>129</v>
      </c>
      <c r="D2735" t="s">
        <v>78</v>
      </c>
      <c r="E2735" s="1" t="s">
        <v>132</v>
      </c>
      <c r="F2735" t="s">
        <v>93</v>
      </c>
      <c r="G2735" t="s">
        <v>33</v>
      </c>
      <c r="H2735">
        <v>22</v>
      </c>
      <c r="I2735">
        <v>7707</v>
      </c>
    </row>
    <row r="2736" spans="1:9" x14ac:dyDescent="0.25">
      <c r="A2736" s="5" t="str">
        <f>TrendSheetPrdData[[#This Row],[Population]]&amp;TrendSheetPrdData[[#This Row],[Cost Basis]]&amp;TrendSheetPrdData[[#This Row],[Period]]&amp;TrendSheetPrdData[[#This Row],[Trend]]</f>
        <v>MSSP_NONATTRIBUTEDPaid2016-02-01Ancillary Claim Count</v>
      </c>
      <c r="B2736" t="s">
        <v>129</v>
      </c>
      <c r="C2736" t="s">
        <v>129</v>
      </c>
      <c r="D2736" t="s">
        <v>78</v>
      </c>
      <c r="E2736" s="1" t="s">
        <v>133</v>
      </c>
      <c r="F2736" t="s">
        <v>93</v>
      </c>
      <c r="G2736" t="s">
        <v>33</v>
      </c>
      <c r="H2736">
        <v>22</v>
      </c>
      <c r="I2736">
        <v>7648</v>
      </c>
    </row>
    <row r="2737" spans="1:9" x14ac:dyDescent="0.25">
      <c r="A2737" s="5" t="str">
        <f>TrendSheetPrdData[[#This Row],[Population]]&amp;TrendSheetPrdData[[#This Row],[Cost Basis]]&amp;TrendSheetPrdData[[#This Row],[Period]]&amp;TrendSheetPrdData[[#This Row],[Trend]]</f>
        <v>MSSP_NONATTRIBUTEDPaid2016-03-01Ancillary Claim Count</v>
      </c>
      <c r="B2737" t="s">
        <v>129</v>
      </c>
      <c r="C2737" t="s">
        <v>129</v>
      </c>
      <c r="D2737" t="s">
        <v>78</v>
      </c>
      <c r="E2737" s="1" t="s">
        <v>92</v>
      </c>
      <c r="F2737" t="s">
        <v>93</v>
      </c>
      <c r="G2737" t="s">
        <v>33</v>
      </c>
      <c r="H2737">
        <v>22</v>
      </c>
      <c r="I2737">
        <v>7224</v>
      </c>
    </row>
    <row r="2738" spans="1:9" x14ac:dyDescent="0.25">
      <c r="A2738" s="5" t="str">
        <f>TrendSheetPrdData[[#This Row],[Population]]&amp;TrendSheetPrdData[[#This Row],[Cost Basis]]&amp;TrendSheetPrdData[[#This Row],[Period]]&amp;TrendSheetPrdData[[#This Row],[Trend]]</f>
        <v>MSSP_NONATTRIBUTEDPaid2016-04-01Ancillary Claim Count</v>
      </c>
      <c r="B2738" t="s">
        <v>129</v>
      </c>
      <c r="C2738" t="s">
        <v>129</v>
      </c>
      <c r="D2738" t="s">
        <v>78</v>
      </c>
      <c r="E2738" s="1" t="s">
        <v>94</v>
      </c>
      <c r="F2738" t="s">
        <v>93</v>
      </c>
      <c r="G2738" t="s">
        <v>33</v>
      </c>
      <c r="H2738">
        <v>22</v>
      </c>
      <c r="I2738">
        <v>6128</v>
      </c>
    </row>
    <row r="2739" spans="1:9" x14ac:dyDescent="0.25">
      <c r="A2739" s="5" t="str">
        <f>TrendSheetPrdData[[#This Row],[Population]]&amp;TrendSheetPrdData[[#This Row],[Cost Basis]]&amp;TrendSheetPrdData[[#This Row],[Period]]&amp;TrendSheetPrdData[[#This Row],[Trend]]</f>
        <v>MSSP_NONATTRIBUTEDPaid2016-05-01Ancillary Claim Count</v>
      </c>
      <c r="B2739" t="s">
        <v>129</v>
      </c>
      <c r="C2739" t="s">
        <v>129</v>
      </c>
      <c r="D2739" t="s">
        <v>78</v>
      </c>
      <c r="E2739" s="1" t="s">
        <v>95</v>
      </c>
      <c r="F2739" t="s">
        <v>93</v>
      </c>
      <c r="G2739" t="s">
        <v>33</v>
      </c>
      <c r="H2739">
        <v>22</v>
      </c>
      <c r="I2739">
        <v>5626</v>
      </c>
    </row>
    <row r="2740" spans="1:9" x14ac:dyDescent="0.25">
      <c r="A2740" s="5" t="str">
        <f>TrendSheetPrdData[[#This Row],[Population]]&amp;TrendSheetPrdData[[#This Row],[Cost Basis]]&amp;TrendSheetPrdData[[#This Row],[Period]]&amp;TrendSheetPrdData[[#This Row],[Trend]]</f>
        <v>MSSP_NONATTRIBUTEDPaid2016-06-01Ancillary Claim Count</v>
      </c>
      <c r="B2740" t="s">
        <v>129</v>
      </c>
      <c r="C2740" t="s">
        <v>129</v>
      </c>
      <c r="D2740" t="s">
        <v>78</v>
      </c>
      <c r="E2740" s="1" t="s">
        <v>96</v>
      </c>
      <c r="F2740" t="s">
        <v>93</v>
      </c>
      <c r="G2740" t="s">
        <v>33</v>
      </c>
      <c r="H2740">
        <v>22</v>
      </c>
      <c r="I2740">
        <v>5874</v>
      </c>
    </row>
    <row r="2741" spans="1:9" x14ac:dyDescent="0.25">
      <c r="A2741" s="5" t="str">
        <f>TrendSheetPrdData[[#This Row],[Population]]&amp;TrendSheetPrdData[[#This Row],[Cost Basis]]&amp;TrendSheetPrdData[[#This Row],[Period]]&amp;TrendSheetPrdData[[#This Row],[Trend]]</f>
        <v>MSSP_NONATTRIBUTEDPaid2016-07-01Ancillary Claim Count</v>
      </c>
      <c r="B2741" t="s">
        <v>129</v>
      </c>
      <c r="C2741" t="s">
        <v>129</v>
      </c>
      <c r="D2741" t="s">
        <v>78</v>
      </c>
      <c r="E2741" s="1" t="s">
        <v>97</v>
      </c>
      <c r="F2741" t="s">
        <v>93</v>
      </c>
      <c r="G2741" t="s">
        <v>33</v>
      </c>
      <c r="H2741">
        <v>22</v>
      </c>
      <c r="I2741">
        <v>5880</v>
      </c>
    </row>
    <row r="2742" spans="1:9" x14ac:dyDescent="0.25">
      <c r="A2742" s="5" t="str">
        <f>TrendSheetPrdData[[#This Row],[Population]]&amp;TrendSheetPrdData[[#This Row],[Cost Basis]]&amp;TrendSheetPrdData[[#This Row],[Period]]&amp;TrendSheetPrdData[[#This Row],[Trend]]</f>
        <v>MSSP_NONATTRIBUTEDPaid2016-08-01Ancillary Claim Count</v>
      </c>
      <c r="B2742" t="s">
        <v>129</v>
      </c>
      <c r="C2742" t="s">
        <v>129</v>
      </c>
      <c r="D2742" t="s">
        <v>78</v>
      </c>
      <c r="E2742" s="1" t="s">
        <v>98</v>
      </c>
      <c r="F2742" t="s">
        <v>93</v>
      </c>
      <c r="G2742" t="s">
        <v>33</v>
      </c>
      <c r="H2742">
        <v>22</v>
      </c>
      <c r="I2742">
        <v>6722</v>
      </c>
    </row>
    <row r="2743" spans="1:9" x14ac:dyDescent="0.25">
      <c r="A2743" s="5" t="str">
        <f>TrendSheetPrdData[[#This Row],[Population]]&amp;TrendSheetPrdData[[#This Row],[Cost Basis]]&amp;TrendSheetPrdData[[#This Row],[Period]]&amp;TrendSheetPrdData[[#This Row],[Trend]]</f>
        <v>MSSP_NONATTRIBUTEDPaid2016-09-01Ancillary Claim Count</v>
      </c>
      <c r="B2743" t="s">
        <v>129</v>
      </c>
      <c r="C2743" t="s">
        <v>129</v>
      </c>
      <c r="D2743" t="s">
        <v>78</v>
      </c>
      <c r="E2743" s="1" t="s">
        <v>99</v>
      </c>
      <c r="F2743" t="s">
        <v>93</v>
      </c>
      <c r="G2743" t="s">
        <v>33</v>
      </c>
      <c r="H2743">
        <v>22</v>
      </c>
      <c r="I2743">
        <v>6053</v>
      </c>
    </row>
    <row r="2744" spans="1:9" x14ac:dyDescent="0.25">
      <c r="A2744" s="5" t="str">
        <f>TrendSheetPrdData[[#This Row],[Population]]&amp;TrendSheetPrdData[[#This Row],[Cost Basis]]&amp;TrendSheetPrdData[[#This Row],[Period]]&amp;TrendSheetPrdData[[#This Row],[Trend]]</f>
        <v>MSSP_NONATTRIBUTEDPaid2016-10-01Ancillary Claim Count</v>
      </c>
      <c r="B2744" t="s">
        <v>129</v>
      </c>
      <c r="C2744" t="s">
        <v>129</v>
      </c>
      <c r="D2744" t="s">
        <v>78</v>
      </c>
      <c r="E2744" s="1" t="s">
        <v>100</v>
      </c>
      <c r="F2744" t="s">
        <v>106</v>
      </c>
      <c r="G2744" t="s">
        <v>33</v>
      </c>
      <c r="H2744">
        <v>22</v>
      </c>
      <c r="I2744">
        <v>5767</v>
      </c>
    </row>
    <row r="2745" spans="1:9" x14ac:dyDescent="0.25">
      <c r="A2745" s="5" t="str">
        <f>TrendSheetPrdData[[#This Row],[Population]]&amp;TrendSheetPrdData[[#This Row],[Cost Basis]]&amp;TrendSheetPrdData[[#This Row],[Period]]&amp;TrendSheetPrdData[[#This Row],[Trend]]</f>
        <v>MSSP_NONATTRIBUTEDPaid2016-11-01Ancillary Claim Count</v>
      </c>
      <c r="B2745" t="s">
        <v>129</v>
      </c>
      <c r="C2745" t="s">
        <v>129</v>
      </c>
      <c r="D2745" t="s">
        <v>78</v>
      </c>
      <c r="E2745" s="1" t="s">
        <v>101</v>
      </c>
      <c r="F2745" t="s">
        <v>106</v>
      </c>
      <c r="G2745" t="s">
        <v>33</v>
      </c>
      <c r="H2745">
        <v>22</v>
      </c>
      <c r="I2745">
        <v>4687</v>
      </c>
    </row>
    <row r="2746" spans="1:9" x14ac:dyDescent="0.25">
      <c r="A2746" s="5" t="str">
        <f>TrendSheetPrdData[[#This Row],[Population]]&amp;TrendSheetPrdData[[#This Row],[Cost Basis]]&amp;TrendSheetPrdData[[#This Row],[Period]]&amp;TrendSheetPrdData[[#This Row],[Trend]]</f>
        <v>MSSP_NONATTRIBUTEDPaid2016-12-01Ancillary Claim Count</v>
      </c>
      <c r="B2746" t="s">
        <v>129</v>
      </c>
      <c r="C2746" t="s">
        <v>129</v>
      </c>
      <c r="D2746" t="s">
        <v>78</v>
      </c>
      <c r="E2746" s="1" t="s">
        <v>102</v>
      </c>
      <c r="F2746" t="s">
        <v>106</v>
      </c>
      <c r="G2746" t="s">
        <v>33</v>
      </c>
      <c r="H2746">
        <v>22</v>
      </c>
      <c r="I2746">
        <v>1487</v>
      </c>
    </row>
    <row r="2747" spans="1:9" x14ac:dyDescent="0.25">
      <c r="A2747" s="5" t="str">
        <f>TrendSheetPrdData[[#This Row],[Population]]&amp;TrendSheetPrdData[[#This Row],[Cost Basis]]&amp;TrendSheetPrdData[[#This Row],[Period]]&amp;TrendSheetPrdData[[#This Row],[Trend]]</f>
        <v>MSSP_NONATTRIBUTEDPaid2015-10-01Drug Claim Count</v>
      </c>
      <c r="B2747" t="s">
        <v>129</v>
      </c>
      <c r="C2747" t="s">
        <v>129</v>
      </c>
      <c r="D2747" t="s">
        <v>78</v>
      </c>
      <c r="E2747" s="1" t="s">
        <v>134</v>
      </c>
      <c r="F2747" t="s">
        <v>93</v>
      </c>
      <c r="G2747" t="s">
        <v>34</v>
      </c>
      <c r="H2747">
        <v>23</v>
      </c>
      <c r="I2747">
        <v>28353</v>
      </c>
    </row>
    <row r="2748" spans="1:9" x14ac:dyDescent="0.25">
      <c r="A2748" s="5" t="str">
        <f>TrendSheetPrdData[[#This Row],[Population]]&amp;TrendSheetPrdData[[#This Row],[Cost Basis]]&amp;TrendSheetPrdData[[#This Row],[Period]]&amp;TrendSheetPrdData[[#This Row],[Trend]]</f>
        <v>MSSP_NONATTRIBUTEDPaid2015-11-01Drug Claim Count</v>
      </c>
      <c r="B2748" t="s">
        <v>129</v>
      </c>
      <c r="C2748" t="s">
        <v>129</v>
      </c>
      <c r="D2748" t="s">
        <v>78</v>
      </c>
      <c r="E2748" s="1" t="s">
        <v>130</v>
      </c>
      <c r="F2748" t="s">
        <v>93</v>
      </c>
      <c r="G2748" t="s">
        <v>34</v>
      </c>
      <c r="H2748">
        <v>23</v>
      </c>
      <c r="I2748">
        <v>20434</v>
      </c>
    </row>
    <row r="2749" spans="1:9" x14ac:dyDescent="0.25">
      <c r="A2749" s="5" t="str">
        <f>TrendSheetPrdData[[#This Row],[Population]]&amp;TrendSheetPrdData[[#This Row],[Cost Basis]]&amp;TrendSheetPrdData[[#This Row],[Period]]&amp;TrendSheetPrdData[[#This Row],[Trend]]</f>
        <v>MSSP_NONATTRIBUTEDPaid2015-12-01Drug Claim Count</v>
      </c>
      <c r="B2749" t="s">
        <v>129</v>
      </c>
      <c r="C2749" t="s">
        <v>129</v>
      </c>
      <c r="D2749" t="s">
        <v>78</v>
      </c>
      <c r="E2749" s="1" t="s">
        <v>131</v>
      </c>
      <c r="F2749" t="s">
        <v>93</v>
      </c>
      <c r="G2749" t="s">
        <v>34</v>
      </c>
      <c r="H2749">
        <v>23</v>
      </c>
      <c r="I2749">
        <v>10134</v>
      </c>
    </row>
    <row r="2750" spans="1:9" x14ac:dyDescent="0.25">
      <c r="A2750" s="5" t="str">
        <f>TrendSheetPrdData[[#This Row],[Population]]&amp;TrendSheetPrdData[[#This Row],[Cost Basis]]&amp;TrendSheetPrdData[[#This Row],[Period]]&amp;TrendSheetPrdData[[#This Row],[Trend]]</f>
        <v>MSSP_NONATTRIBUTEDPaid2016-01-01Drug Claim Count</v>
      </c>
      <c r="B2750" t="s">
        <v>129</v>
      </c>
      <c r="C2750" t="s">
        <v>129</v>
      </c>
      <c r="D2750" t="s">
        <v>78</v>
      </c>
      <c r="E2750" s="1" t="s">
        <v>132</v>
      </c>
      <c r="F2750" t="s">
        <v>93</v>
      </c>
      <c r="G2750" t="s">
        <v>34</v>
      </c>
      <c r="H2750">
        <v>23</v>
      </c>
      <c r="I2750">
        <v>12156</v>
      </c>
    </row>
    <row r="2751" spans="1:9" x14ac:dyDescent="0.25">
      <c r="A2751" s="5" t="str">
        <f>TrendSheetPrdData[[#This Row],[Population]]&amp;TrendSheetPrdData[[#This Row],[Cost Basis]]&amp;TrendSheetPrdData[[#This Row],[Period]]&amp;TrendSheetPrdData[[#This Row],[Trend]]</f>
        <v>MSSP_NONATTRIBUTEDPaid2016-02-01Drug Claim Count</v>
      </c>
      <c r="B2751" t="s">
        <v>129</v>
      </c>
      <c r="C2751" t="s">
        <v>129</v>
      </c>
      <c r="D2751" t="s">
        <v>78</v>
      </c>
      <c r="E2751" s="1" t="s">
        <v>133</v>
      </c>
      <c r="F2751" t="s">
        <v>93</v>
      </c>
      <c r="G2751" t="s">
        <v>34</v>
      </c>
      <c r="H2751">
        <v>23</v>
      </c>
      <c r="I2751">
        <v>11784</v>
      </c>
    </row>
    <row r="2752" spans="1:9" x14ac:dyDescent="0.25">
      <c r="A2752" s="5" t="str">
        <f>TrendSheetPrdData[[#This Row],[Population]]&amp;TrendSheetPrdData[[#This Row],[Cost Basis]]&amp;TrendSheetPrdData[[#This Row],[Period]]&amp;TrendSheetPrdData[[#This Row],[Trend]]</f>
        <v>MSSP_NONATTRIBUTEDPaid2016-03-01Drug Claim Count</v>
      </c>
      <c r="B2752" t="s">
        <v>129</v>
      </c>
      <c r="C2752" t="s">
        <v>129</v>
      </c>
      <c r="D2752" t="s">
        <v>78</v>
      </c>
      <c r="E2752" s="1" t="s">
        <v>92</v>
      </c>
      <c r="F2752" t="s">
        <v>93</v>
      </c>
      <c r="G2752" t="s">
        <v>34</v>
      </c>
      <c r="H2752">
        <v>23</v>
      </c>
      <c r="I2752">
        <v>12866</v>
      </c>
    </row>
    <row r="2753" spans="1:9" x14ac:dyDescent="0.25">
      <c r="A2753" s="5" t="str">
        <f>TrendSheetPrdData[[#This Row],[Population]]&amp;TrendSheetPrdData[[#This Row],[Cost Basis]]&amp;TrendSheetPrdData[[#This Row],[Period]]&amp;TrendSheetPrdData[[#This Row],[Trend]]</f>
        <v>MSSP_NONATTRIBUTEDPaid2016-04-01Drug Claim Count</v>
      </c>
      <c r="B2753" t="s">
        <v>129</v>
      </c>
      <c r="C2753" t="s">
        <v>129</v>
      </c>
      <c r="D2753" t="s">
        <v>78</v>
      </c>
      <c r="E2753" s="1" t="s">
        <v>94</v>
      </c>
      <c r="F2753" t="s">
        <v>93</v>
      </c>
      <c r="G2753" t="s">
        <v>34</v>
      </c>
      <c r="H2753">
        <v>23</v>
      </c>
      <c r="I2753">
        <v>11276</v>
      </c>
    </row>
    <row r="2754" spans="1:9" x14ac:dyDescent="0.25">
      <c r="A2754" s="5" t="str">
        <f>TrendSheetPrdData[[#This Row],[Population]]&amp;TrendSheetPrdData[[#This Row],[Cost Basis]]&amp;TrendSheetPrdData[[#This Row],[Period]]&amp;TrendSheetPrdData[[#This Row],[Trend]]</f>
        <v>MSSP_NONATTRIBUTEDPaid2016-05-01Drug Claim Count</v>
      </c>
      <c r="B2754" t="s">
        <v>129</v>
      </c>
      <c r="C2754" t="s">
        <v>129</v>
      </c>
      <c r="D2754" t="s">
        <v>78</v>
      </c>
      <c r="E2754" s="1" t="s">
        <v>95</v>
      </c>
      <c r="F2754" t="s">
        <v>93</v>
      </c>
      <c r="G2754" t="s">
        <v>34</v>
      </c>
      <c r="H2754">
        <v>23</v>
      </c>
      <c r="I2754">
        <v>10391</v>
      </c>
    </row>
    <row r="2755" spans="1:9" x14ac:dyDescent="0.25">
      <c r="A2755" s="5" t="str">
        <f>TrendSheetPrdData[[#This Row],[Population]]&amp;TrendSheetPrdData[[#This Row],[Cost Basis]]&amp;TrendSheetPrdData[[#This Row],[Period]]&amp;TrendSheetPrdData[[#This Row],[Trend]]</f>
        <v>MSSP_NONATTRIBUTEDPaid2016-06-01Drug Claim Count</v>
      </c>
      <c r="B2755" t="s">
        <v>129</v>
      </c>
      <c r="C2755" t="s">
        <v>129</v>
      </c>
      <c r="D2755" t="s">
        <v>78</v>
      </c>
      <c r="E2755" s="1" t="s">
        <v>96</v>
      </c>
      <c r="F2755" t="s">
        <v>93</v>
      </c>
      <c r="G2755" t="s">
        <v>34</v>
      </c>
      <c r="H2755">
        <v>23</v>
      </c>
      <c r="I2755">
        <v>9935</v>
      </c>
    </row>
    <row r="2756" spans="1:9" x14ac:dyDescent="0.25">
      <c r="A2756" s="5" t="str">
        <f>TrendSheetPrdData[[#This Row],[Population]]&amp;TrendSheetPrdData[[#This Row],[Cost Basis]]&amp;TrendSheetPrdData[[#This Row],[Period]]&amp;TrendSheetPrdData[[#This Row],[Trend]]</f>
        <v>MSSP_NONATTRIBUTEDPaid2016-07-01Drug Claim Count</v>
      </c>
      <c r="B2756" t="s">
        <v>129</v>
      </c>
      <c r="C2756" t="s">
        <v>129</v>
      </c>
      <c r="D2756" t="s">
        <v>78</v>
      </c>
      <c r="E2756" s="1" t="s">
        <v>97</v>
      </c>
      <c r="F2756" t="s">
        <v>93</v>
      </c>
      <c r="G2756" t="s">
        <v>34</v>
      </c>
      <c r="H2756">
        <v>23</v>
      </c>
      <c r="I2756">
        <v>9737</v>
      </c>
    </row>
    <row r="2757" spans="1:9" x14ac:dyDescent="0.25">
      <c r="A2757" s="5" t="str">
        <f>TrendSheetPrdData[[#This Row],[Population]]&amp;TrendSheetPrdData[[#This Row],[Cost Basis]]&amp;TrendSheetPrdData[[#This Row],[Period]]&amp;TrendSheetPrdData[[#This Row],[Trend]]</f>
        <v>MSSP_NONATTRIBUTEDPaid2016-08-01Drug Claim Count</v>
      </c>
      <c r="B2757" t="s">
        <v>129</v>
      </c>
      <c r="C2757" t="s">
        <v>129</v>
      </c>
      <c r="D2757" t="s">
        <v>78</v>
      </c>
      <c r="E2757" s="1" t="s">
        <v>98</v>
      </c>
      <c r="F2757" t="s">
        <v>93</v>
      </c>
      <c r="G2757" t="s">
        <v>34</v>
      </c>
      <c r="H2757">
        <v>23</v>
      </c>
      <c r="I2757">
        <v>9908</v>
      </c>
    </row>
    <row r="2758" spans="1:9" x14ac:dyDescent="0.25">
      <c r="A2758" s="5" t="str">
        <f>TrendSheetPrdData[[#This Row],[Population]]&amp;TrendSheetPrdData[[#This Row],[Cost Basis]]&amp;TrendSheetPrdData[[#This Row],[Period]]&amp;TrendSheetPrdData[[#This Row],[Trend]]</f>
        <v>MSSP_NONATTRIBUTEDPaid2016-09-01Drug Claim Count</v>
      </c>
      <c r="B2758" t="s">
        <v>129</v>
      </c>
      <c r="C2758" t="s">
        <v>129</v>
      </c>
      <c r="D2758" t="s">
        <v>78</v>
      </c>
      <c r="E2758" s="1" t="s">
        <v>99</v>
      </c>
      <c r="F2758" t="s">
        <v>93</v>
      </c>
      <c r="G2758" t="s">
        <v>34</v>
      </c>
      <c r="H2758">
        <v>23</v>
      </c>
      <c r="I2758">
        <v>9643</v>
      </c>
    </row>
    <row r="2759" spans="1:9" x14ac:dyDescent="0.25">
      <c r="A2759" s="5" t="str">
        <f>TrendSheetPrdData[[#This Row],[Population]]&amp;TrendSheetPrdData[[#This Row],[Cost Basis]]&amp;TrendSheetPrdData[[#This Row],[Period]]&amp;TrendSheetPrdData[[#This Row],[Trend]]</f>
        <v>MSSP_NONATTRIBUTEDPaid2016-10-01Drug Claim Count</v>
      </c>
      <c r="B2759" t="s">
        <v>129</v>
      </c>
      <c r="C2759" t="s">
        <v>129</v>
      </c>
      <c r="D2759" t="s">
        <v>78</v>
      </c>
      <c r="E2759" s="1" t="s">
        <v>100</v>
      </c>
      <c r="F2759" t="s">
        <v>106</v>
      </c>
      <c r="G2759" t="s">
        <v>34</v>
      </c>
      <c r="H2759">
        <v>23</v>
      </c>
      <c r="I2759">
        <v>9608</v>
      </c>
    </row>
    <row r="2760" spans="1:9" x14ac:dyDescent="0.25">
      <c r="A2760" s="5" t="str">
        <f>TrendSheetPrdData[[#This Row],[Population]]&amp;TrendSheetPrdData[[#This Row],[Cost Basis]]&amp;TrendSheetPrdData[[#This Row],[Period]]&amp;TrendSheetPrdData[[#This Row],[Trend]]</f>
        <v>MSSP_NONATTRIBUTEDPaid2016-11-01Drug Claim Count</v>
      </c>
      <c r="B2760" t="s">
        <v>129</v>
      </c>
      <c r="C2760" t="s">
        <v>129</v>
      </c>
      <c r="D2760" t="s">
        <v>78</v>
      </c>
      <c r="E2760" s="1" t="s">
        <v>101</v>
      </c>
      <c r="F2760" t="s">
        <v>106</v>
      </c>
      <c r="G2760" t="s">
        <v>34</v>
      </c>
      <c r="H2760">
        <v>23</v>
      </c>
      <c r="I2760">
        <v>9546</v>
      </c>
    </row>
    <row r="2761" spans="1:9" x14ac:dyDescent="0.25">
      <c r="A2761" s="5" t="str">
        <f>TrendSheetPrdData[[#This Row],[Population]]&amp;TrendSheetPrdData[[#This Row],[Cost Basis]]&amp;TrendSheetPrdData[[#This Row],[Period]]&amp;TrendSheetPrdData[[#This Row],[Trend]]</f>
        <v>MSSP_NONATTRIBUTEDPaid2016-12-01Drug Claim Count</v>
      </c>
      <c r="B2761" t="s">
        <v>129</v>
      </c>
      <c r="C2761" t="s">
        <v>129</v>
      </c>
      <c r="D2761" t="s">
        <v>78</v>
      </c>
      <c r="E2761" s="1" t="s">
        <v>102</v>
      </c>
      <c r="F2761" t="s">
        <v>106</v>
      </c>
      <c r="G2761" t="s">
        <v>34</v>
      </c>
      <c r="H2761">
        <v>23</v>
      </c>
      <c r="I2761">
        <v>6185</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1"/>
  <sheetViews>
    <sheetView workbookViewId="0">
      <selection activeCell="H2" sqref="H2"/>
    </sheetView>
  </sheetViews>
  <sheetFormatPr defaultColWidth="9" defaultRowHeight="15" x14ac:dyDescent="0.25"/>
  <cols>
    <col min="1" max="1" width="28.7109375" bestFit="1" customWidth="1"/>
    <col min="2" max="2" width="28.7109375" customWidth="1"/>
    <col min="3" max="3" width="11.85546875" customWidth="1"/>
    <col min="4" max="4" width="9" customWidth="1"/>
    <col min="5" max="5" width="24.28515625" bestFit="1" customWidth="1"/>
    <col min="6" max="6" width="20.5703125" bestFit="1" customWidth="1"/>
    <col min="7" max="7" width="27.5703125" bestFit="1" customWidth="1"/>
    <col min="8" max="8" width="24" bestFit="1" customWidth="1"/>
  </cols>
  <sheetData>
    <row r="1" spans="1:8" x14ac:dyDescent="0.25">
      <c r="A1" t="s">
        <v>0</v>
      </c>
      <c r="B1" t="s">
        <v>85</v>
      </c>
      <c r="C1" t="s">
        <v>1</v>
      </c>
      <c r="D1" t="s">
        <v>2</v>
      </c>
      <c r="E1" t="s">
        <v>8</v>
      </c>
      <c r="F1" t="s">
        <v>9</v>
      </c>
      <c r="G1" t="s">
        <v>10</v>
      </c>
      <c r="H1" t="s">
        <v>11</v>
      </c>
    </row>
    <row r="2" spans="1:8" x14ac:dyDescent="0.25">
      <c r="A2" t="s">
        <v>90</v>
      </c>
      <c r="B2" t="s">
        <v>90</v>
      </c>
      <c r="C2" t="s">
        <v>91</v>
      </c>
      <c r="D2" s="1" t="s">
        <v>103</v>
      </c>
      <c r="E2">
        <v>1167603.92</v>
      </c>
      <c r="F2">
        <v>1125322.69</v>
      </c>
      <c r="G2">
        <f>VLOOKUP(StgIBNRTrendData[[#This Row],[Population]]&amp;StgIBNRTrendData[[#This Row],[Cost Basis]]&amp;StgIBNRTrendData[[#This Row],[Period]],PrdIBNRTrendData[],6,FALSE)</f>
        <v>1115625.02</v>
      </c>
      <c r="H2">
        <f>VLOOKUP(StgIBNRTrendData[[#This Row],[Population]]&amp;StgIBNRTrendData[[#This Row],[Cost Basis]]&amp;StgIBNRTrendData[[#This Row],[Period]],PrdIBNRTrendData[],7,FALSE)</f>
        <v>1068217.94</v>
      </c>
    </row>
    <row r="3" spans="1:8" x14ac:dyDescent="0.25">
      <c r="A3" t="s">
        <v>90</v>
      </c>
      <c r="B3" t="s">
        <v>90</v>
      </c>
      <c r="C3" t="s">
        <v>91</v>
      </c>
      <c r="D3" s="1" t="s">
        <v>104</v>
      </c>
      <c r="E3">
        <v>2380787.23</v>
      </c>
      <c r="F3">
        <v>2277707.59</v>
      </c>
      <c r="G3" s="5">
        <f>VLOOKUP(StgIBNRTrendData[[#This Row],[Population]]&amp;StgIBNRTrendData[[#This Row],[Cost Basis]]&amp;StgIBNRTrendData[[#This Row],[Period]],PrdIBNRTrendData[],6,FALSE)</f>
        <v>2406984.88</v>
      </c>
      <c r="H3" s="5">
        <f>VLOOKUP(StgIBNRTrendData[[#This Row],[Population]]&amp;StgIBNRTrendData[[#This Row],[Cost Basis]]&amp;StgIBNRTrendData[[#This Row],[Period]],PrdIBNRTrendData[],7,FALSE)</f>
        <v>2197563.37</v>
      </c>
    </row>
    <row r="4" spans="1:8" x14ac:dyDescent="0.25">
      <c r="A4" t="s">
        <v>90</v>
      </c>
      <c r="B4" t="s">
        <v>90</v>
      </c>
      <c r="C4" t="s">
        <v>91</v>
      </c>
      <c r="D4" s="1" t="s">
        <v>105</v>
      </c>
      <c r="E4">
        <v>4237391.9400000004</v>
      </c>
      <c r="F4">
        <v>3646264.42</v>
      </c>
      <c r="G4" s="5">
        <f>VLOOKUP(StgIBNRTrendData[[#This Row],[Population]]&amp;StgIBNRTrendData[[#This Row],[Cost Basis]]&amp;StgIBNRTrendData[[#This Row],[Period]],PrdIBNRTrendData[],6,FALSE)</f>
        <v>3769274.65</v>
      </c>
      <c r="H4" s="5">
        <f>VLOOKUP(StgIBNRTrendData[[#This Row],[Population]]&amp;StgIBNRTrendData[[#This Row],[Cost Basis]]&amp;StgIBNRTrendData[[#This Row],[Period]],PrdIBNRTrendData[],7,FALSE)</f>
        <v>3469382.07</v>
      </c>
    </row>
    <row r="5" spans="1:8" x14ac:dyDescent="0.25">
      <c r="A5" t="s">
        <v>90</v>
      </c>
      <c r="B5" t="s">
        <v>90</v>
      </c>
      <c r="C5" t="s">
        <v>91</v>
      </c>
      <c r="D5" s="1" t="s">
        <v>107</v>
      </c>
      <c r="E5">
        <v>6341718.04</v>
      </c>
      <c r="F5">
        <v>5621674.6600000001</v>
      </c>
      <c r="G5" s="5">
        <f>VLOOKUP(StgIBNRTrendData[[#This Row],[Population]]&amp;StgIBNRTrendData[[#This Row],[Cost Basis]]&amp;StgIBNRTrendData[[#This Row],[Period]],PrdIBNRTrendData[],6,FALSE)</f>
        <v>5159599.5199999996</v>
      </c>
      <c r="H5" s="5">
        <f>VLOOKUP(StgIBNRTrendData[[#This Row],[Population]]&amp;StgIBNRTrendData[[#This Row],[Cost Basis]]&amp;StgIBNRTrendData[[#This Row],[Period]],PrdIBNRTrendData[],7,FALSE)</f>
        <v>4027103.76</v>
      </c>
    </row>
    <row r="6" spans="1:8" x14ac:dyDescent="0.25">
      <c r="A6" t="s">
        <v>90</v>
      </c>
      <c r="B6" t="s">
        <v>90</v>
      </c>
      <c r="C6" t="s">
        <v>91</v>
      </c>
      <c r="D6" s="1" t="s">
        <v>108</v>
      </c>
      <c r="E6">
        <v>8041989.9500000002</v>
      </c>
      <c r="F6">
        <v>6272675.8399999999</v>
      </c>
      <c r="G6" s="5" t="e">
        <f>VLOOKUP(StgIBNRTrendData[[#This Row],[Population]]&amp;StgIBNRTrendData[[#This Row],[Cost Basis]]&amp;StgIBNRTrendData[[#This Row],[Period]],PrdIBNRTrendData[],6,FALSE)</f>
        <v>#N/A</v>
      </c>
      <c r="H6" s="5" t="e">
        <f>VLOOKUP(StgIBNRTrendData[[#This Row],[Population]]&amp;StgIBNRTrendData[[#This Row],[Cost Basis]]&amp;StgIBNRTrendData[[#This Row],[Period]],PrdIBNRTrendData[],7,FALSE)</f>
        <v>#N/A</v>
      </c>
    </row>
    <row r="7" spans="1:8" x14ac:dyDescent="0.25">
      <c r="A7" t="s">
        <v>90</v>
      </c>
      <c r="B7" t="s">
        <v>90</v>
      </c>
      <c r="C7" t="s">
        <v>78</v>
      </c>
      <c r="D7" s="1" t="s">
        <v>103</v>
      </c>
      <c r="E7">
        <v>911060.52</v>
      </c>
      <c r="F7">
        <v>874873.92</v>
      </c>
      <c r="G7" s="5">
        <f>VLOOKUP(StgIBNRTrendData[[#This Row],[Population]]&amp;StgIBNRTrendData[[#This Row],[Cost Basis]]&amp;StgIBNRTrendData[[#This Row],[Period]],PrdIBNRTrendData[],6,FALSE)</f>
        <v>856729.56</v>
      </c>
      <c r="H7" s="5">
        <f>VLOOKUP(StgIBNRTrendData[[#This Row],[Population]]&amp;StgIBNRTrendData[[#This Row],[Cost Basis]]&amp;StgIBNRTrendData[[#This Row],[Period]],PrdIBNRTrendData[],7,FALSE)</f>
        <v>818439.42</v>
      </c>
    </row>
    <row r="8" spans="1:8" x14ac:dyDescent="0.25">
      <c r="A8" t="s">
        <v>90</v>
      </c>
      <c r="B8" t="s">
        <v>90</v>
      </c>
      <c r="C8" t="s">
        <v>78</v>
      </c>
      <c r="D8" s="1" t="s">
        <v>104</v>
      </c>
      <c r="E8">
        <v>1913468.81</v>
      </c>
      <c r="F8">
        <v>1823278.18</v>
      </c>
      <c r="G8" s="5">
        <f>VLOOKUP(StgIBNRTrendData[[#This Row],[Population]]&amp;StgIBNRTrendData[[#This Row],[Cost Basis]]&amp;StgIBNRTrendData[[#This Row],[Period]],PrdIBNRTrendData[],6,FALSE)</f>
        <v>1921662.97</v>
      </c>
      <c r="H8" s="5">
        <f>VLOOKUP(StgIBNRTrendData[[#This Row],[Population]]&amp;StgIBNRTrendData[[#This Row],[Cost Basis]]&amp;StgIBNRTrendData[[#This Row],[Period]],PrdIBNRTrendData[],7,FALSE)</f>
        <v>1747383.26</v>
      </c>
    </row>
    <row r="9" spans="1:8" x14ac:dyDescent="0.25">
      <c r="A9" t="s">
        <v>90</v>
      </c>
      <c r="B9" t="s">
        <v>90</v>
      </c>
      <c r="C9" t="s">
        <v>78</v>
      </c>
      <c r="D9" s="1" t="s">
        <v>105</v>
      </c>
      <c r="E9">
        <v>3443289.19</v>
      </c>
      <c r="F9">
        <v>2935612.31</v>
      </c>
      <c r="G9" s="5">
        <f>VLOOKUP(StgIBNRTrendData[[#This Row],[Population]]&amp;StgIBNRTrendData[[#This Row],[Cost Basis]]&amp;StgIBNRTrendData[[#This Row],[Period]],PrdIBNRTrendData[],6,FALSE)</f>
        <v>3018962.96</v>
      </c>
      <c r="H9" s="5">
        <f>VLOOKUP(StgIBNRTrendData[[#This Row],[Population]]&amp;StgIBNRTrendData[[#This Row],[Cost Basis]]&amp;StgIBNRTrendData[[#This Row],[Period]],PrdIBNRTrendData[],7,FALSE)</f>
        <v>2772253.66</v>
      </c>
    </row>
    <row r="10" spans="1:8" x14ac:dyDescent="0.25">
      <c r="A10" t="s">
        <v>90</v>
      </c>
      <c r="B10" t="s">
        <v>90</v>
      </c>
      <c r="C10" t="s">
        <v>78</v>
      </c>
      <c r="D10" s="1" t="s">
        <v>107</v>
      </c>
      <c r="E10">
        <v>5329372.46</v>
      </c>
      <c r="F10">
        <v>4724547.3</v>
      </c>
      <c r="G10" s="5">
        <f>VLOOKUP(StgIBNRTrendData[[#This Row],[Population]]&amp;StgIBNRTrendData[[#This Row],[Cost Basis]]&amp;StgIBNRTrendData[[#This Row],[Period]],PrdIBNRTrendData[],6,FALSE)</f>
        <v>4132049.3</v>
      </c>
      <c r="H10" s="5">
        <f>VLOOKUP(StgIBNRTrendData[[#This Row],[Population]]&amp;StgIBNRTrendData[[#This Row],[Cost Basis]]&amp;StgIBNRTrendData[[#This Row],[Period]],PrdIBNRTrendData[],7,FALSE)</f>
        <v>3241845.27</v>
      </c>
    </row>
    <row r="11" spans="1:8" x14ac:dyDescent="0.25">
      <c r="A11" t="s">
        <v>90</v>
      </c>
      <c r="B11" t="s">
        <v>90</v>
      </c>
      <c r="C11" t="s">
        <v>78</v>
      </c>
      <c r="D11" s="1" t="s">
        <v>108</v>
      </c>
      <c r="E11">
        <v>6743573.7599999998</v>
      </c>
      <c r="F11">
        <v>5270779.0999999996</v>
      </c>
      <c r="G11" s="5" t="e">
        <f>VLOOKUP(StgIBNRTrendData[[#This Row],[Population]]&amp;StgIBNRTrendData[[#This Row],[Cost Basis]]&amp;StgIBNRTrendData[[#This Row],[Period]],PrdIBNRTrendData[],6,FALSE)</f>
        <v>#N/A</v>
      </c>
      <c r="H11" s="5" t="e">
        <f>VLOOKUP(StgIBNRTrendData[[#This Row],[Population]]&amp;StgIBNRTrendData[[#This Row],[Cost Basis]]&amp;StgIBNRTrendData[[#This Row],[Period]],PrdIBNRTrendData[],7,FALSE)</f>
        <v>#N/A</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9"/>
  <sheetViews>
    <sheetView workbookViewId="0"/>
  </sheetViews>
  <sheetFormatPr defaultColWidth="9.28515625" defaultRowHeight="15" x14ac:dyDescent="0.25"/>
  <cols>
    <col min="1" max="1" width="41.5703125" bestFit="1" customWidth="1"/>
    <col min="2" max="2" width="28.7109375" bestFit="1" customWidth="1"/>
    <col min="3" max="3" width="28.7109375" customWidth="1"/>
    <col min="4" max="4" width="11.85546875" customWidth="1"/>
    <col min="5" max="5" width="9" customWidth="1"/>
    <col min="6" max="6" width="16.85546875" customWidth="1"/>
    <col min="7" max="7" width="13.28515625" customWidth="1"/>
  </cols>
  <sheetData>
    <row r="1" spans="1:7" x14ac:dyDescent="0.25">
      <c r="A1" t="s">
        <v>38</v>
      </c>
      <c r="B1" t="s">
        <v>0</v>
      </c>
      <c r="C1" t="s">
        <v>85</v>
      </c>
      <c r="D1" t="s">
        <v>1</v>
      </c>
      <c r="E1" t="s">
        <v>2</v>
      </c>
      <c r="F1" t="s">
        <v>36</v>
      </c>
      <c r="G1" t="s">
        <v>37</v>
      </c>
    </row>
    <row r="2" spans="1:7" x14ac:dyDescent="0.25">
      <c r="A2" t="str">
        <f>PrdIBNRTrendData[[#This Row],[Population]]&amp;PrdIBNRTrendData[[#This Row],[Cost Basis]]&amp;PrdIBNRTrendData[[#This Row],[Period]]</f>
        <v>BAYVIEW EMPLOYEEAllowed2017-01-01</v>
      </c>
      <c r="B2" t="s">
        <v>127</v>
      </c>
      <c r="C2" t="s">
        <v>127</v>
      </c>
      <c r="D2" t="s">
        <v>91</v>
      </c>
      <c r="E2" s="1" t="s">
        <v>103</v>
      </c>
      <c r="F2">
        <v>2338675.9700000002</v>
      </c>
      <c r="G2">
        <v>167385.07999999999</v>
      </c>
    </row>
    <row r="3" spans="1:7" x14ac:dyDescent="0.25">
      <c r="A3" s="5" t="str">
        <f>PrdIBNRTrendData[[#This Row],[Population]]&amp;PrdIBNRTrendData[[#This Row],[Cost Basis]]&amp;PrdIBNRTrendData[[#This Row],[Period]]</f>
        <v>BAYVIEW EMPLOYEEPaid2017-01-01</v>
      </c>
      <c r="B3" t="s">
        <v>127</v>
      </c>
      <c r="C3" t="s">
        <v>127</v>
      </c>
      <c r="D3" t="s">
        <v>78</v>
      </c>
      <c r="E3" s="1" t="s">
        <v>103</v>
      </c>
      <c r="F3">
        <v>338482.34</v>
      </c>
      <c r="G3">
        <v>112541.81</v>
      </c>
    </row>
    <row r="4" spans="1:7" x14ac:dyDescent="0.25">
      <c r="A4" s="5" t="str">
        <f>PrdIBNRTrendData[[#This Row],[Population]]&amp;PrdIBNRTrendData[[#This Row],[Cost Basis]]&amp;PrdIBNRTrendData[[#This Row],[Period]]</f>
        <v>CHESAPEAKE EMPLOYEEAllowed2017-01-01</v>
      </c>
      <c r="B4" t="s">
        <v>90</v>
      </c>
      <c r="C4" t="s">
        <v>90</v>
      </c>
      <c r="D4" t="s">
        <v>91</v>
      </c>
      <c r="E4" s="1" t="s">
        <v>103</v>
      </c>
      <c r="F4">
        <v>1115625.02</v>
      </c>
      <c r="G4">
        <v>1068217.94</v>
      </c>
    </row>
    <row r="5" spans="1:7" x14ac:dyDescent="0.25">
      <c r="A5" s="5" t="str">
        <f>PrdIBNRTrendData[[#This Row],[Population]]&amp;PrdIBNRTrendData[[#This Row],[Cost Basis]]&amp;PrdIBNRTrendData[[#This Row],[Period]]</f>
        <v>CHESAPEAKE EMPLOYEEAllowed2017-02-01</v>
      </c>
      <c r="B5" t="s">
        <v>90</v>
      </c>
      <c r="C5" t="s">
        <v>90</v>
      </c>
      <c r="D5" t="s">
        <v>91</v>
      </c>
      <c r="E5" s="1" t="s">
        <v>104</v>
      </c>
      <c r="F5">
        <v>2406984.88</v>
      </c>
      <c r="G5">
        <v>2197563.37</v>
      </c>
    </row>
    <row r="6" spans="1:7" x14ac:dyDescent="0.25">
      <c r="A6" s="5" t="str">
        <f>PrdIBNRTrendData[[#This Row],[Population]]&amp;PrdIBNRTrendData[[#This Row],[Cost Basis]]&amp;PrdIBNRTrendData[[#This Row],[Period]]</f>
        <v>CHESAPEAKE EMPLOYEEAllowed2017-03-01</v>
      </c>
      <c r="B6" t="s">
        <v>90</v>
      </c>
      <c r="C6" t="s">
        <v>90</v>
      </c>
      <c r="D6" t="s">
        <v>91</v>
      </c>
      <c r="E6" s="1" t="s">
        <v>105</v>
      </c>
      <c r="F6">
        <v>3769274.65</v>
      </c>
      <c r="G6">
        <v>3469382.07</v>
      </c>
    </row>
    <row r="7" spans="1:7" x14ac:dyDescent="0.25">
      <c r="A7" s="5" t="str">
        <f>PrdIBNRTrendData[[#This Row],[Population]]&amp;PrdIBNRTrendData[[#This Row],[Cost Basis]]&amp;PrdIBNRTrendData[[#This Row],[Period]]</f>
        <v>CHESAPEAKE EMPLOYEEAllowed2017-04-01</v>
      </c>
      <c r="B7" t="s">
        <v>90</v>
      </c>
      <c r="C7" t="s">
        <v>90</v>
      </c>
      <c r="D7" t="s">
        <v>91</v>
      </c>
      <c r="E7" s="1" t="s">
        <v>107</v>
      </c>
      <c r="F7">
        <v>5159599.5199999996</v>
      </c>
      <c r="G7">
        <v>4027103.76</v>
      </c>
    </row>
    <row r="8" spans="1:7" x14ac:dyDescent="0.25">
      <c r="A8" s="5" t="str">
        <f>PrdIBNRTrendData[[#This Row],[Population]]&amp;PrdIBNRTrendData[[#This Row],[Cost Basis]]&amp;PrdIBNRTrendData[[#This Row],[Period]]</f>
        <v>CHESAPEAKE EMPLOYEEPaid2017-01-01</v>
      </c>
      <c r="B8" t="s">
        <v>90</v>
      </c>
      <c r="C8" t="s">
        <v>90</v>
      </c>
      <c r="D8" t="s">
        <v>78</v>
      </c>
      <c r="E8" s="1" t="s">
        <v>103</v>
      </c>
      <c r="F8">
        <v>856729.56</v>
      </c>
      <c r="G8">
        <v>818439.42</v>
      </c>
    </row>
    <row r="9" spans="1:7" x14ac:dyDescent="0.25">
      <c r="A9" s="5" t="str">
        <f>PrdIBNRTrendData[[#This Row],[Population]]&amp;PrdIBNRTrendData[[#This Row],[Cost Basis]]&amp;PrdIBNRTrendData[[#This Row],[Period]]</f>
        <v>CHESAPEAKE EMPLOYEEPaid2017-02-01</v>
      </c>
      <c r="B9" t="s">
        <v>90</v>
      </c>
      <c r="C9" t="s">
        <v>90</v>
      </c>
      <c r="D9" t="s">
        <v>78</v>
      </c>
      <c r="E9" s="1" t="s">
        <v>104</v>
      </c>
      <c r="F9">
        <v>1921662.97</v>
      </c>
      <c r="G9">
        <v>1747383.26</v>
      </c>
    </row>
    <row r="10" spans="1:7" x14ac:dyDescent="0.25">
      <c r="A10" s="5" t="str">
        <f>PrdIBNRTrendData[[#This Row],[Population]]&amp;PrdIBNRTrendData[[#This Row],[Cost Basis]]&amp;PrdIBNRTrendData[[#This Row],[Period]]</f>
        <v>CHESAPEAKE EMPLOYEEPaid2017-03-01</v>
      </c>
      <c r="B10" t="s">
        <v>90</v>
      </c>
      <c r="C10" t="s">
        <v>90</v>
      </c>
      <c r="D10" t="s">
        <v>78</v>
      </c>
      <c r="E10" s="1" t="s">
        <v>105</v>
      </c>
      <c r="F10">
        <v>3018962.96</v>
      </c>
      <c r="G10">
        <v>2772253.66</v>
      </c>
    </row>
    <row r="11" spans="1:7" x14ac:dyDescent="0.25">
      <c r="A11" s="5" t="str">
        <f>PrdIBNRTrendData[[#This Row],[Population]]&amp;PrdIBNRTrendData[[#This Row],[Cost Basis]]&amp;PrdIBNRTrendData[[#This Row],[Period]]</f>
        <v>CHESAPEAKE EMPLOYEEPaid2017-04-01</v>
      </c>
      <c r="B11" t="s">
        <v>90</v>
      </c>
      <c r="C11" t="s">
        <v>90</v>
      </c>
      <c r="D11" t="s">
        <v>78</v>
      </c>
      <c r="E11" s="1" t="s">
        <v>107</v>
      </c>
      <c r="F11">
        <v>4132049.3</v>
      </c>
      <c r="G11">
        <v>3241845.27</v>
      </c>
    </row>
    <row r="12" spans="1:7" x14ac:dyDescent="0.25">
      <c r="A12" s="5" t="str">
        <f>PrdIBNRTrendData[[#This Row],[Population]]&amp;PrdIBNRTrendData[[#This Row],[Cost Basis]]&amp;PrdIBNRTrendData[[#This Row],[Period]]</f>
        <v>MSSP_ATTRIBUTEDAllowed2016-01-01</v>
      </c>
      <c r="B12" t="s">
        <v>128</v>
      </c>
      <c r="C12" t="s">
        <v>128</v>
      </c>
      <c r="D12" t="s">
        <v>91</v>
      </c>
      <c r="E12" s="1" t="s">
        <v>132</v>
      </c>
      <c r="F12">
        <v>17952651.5</v>
      </c>
      <c r="G12">
        <v>17800540.98</v>
      </c>
    </row>
    <row r="13" spans="1:7" x14ac:dyDescent="0.25">
      <c r="A13" s="5" t="str">
        <f>PrdIBNRTrendData[[#This Row],[Population]]&amp;PrdIBNRTrendData[[#This Row],[Cost Basis]]&amp;PrdIBNRTrendData[[#This Row],[Period]]</f>
        <v>MSSP_ATTRIBUTEDAllowed2016-02-01</v>
      </c>
      <c r="B13" t="s">
        <v>128</v>
      </c>
      <c r="C13" t="s">
        <v>128</v>
      </c>
      <c r="D13" t="s">
        <v>91</v>
      </c>
      <c r="E13" s="1" t="s">
        <v>133</v>
      </c>
      <c r="F13">
        <v>36658478.619999997</v>
      </c>
      <c r="G13">
        <v>36351904.560000002</v>
      </c>
    </row>
    <row r="14" spans="1:7" x14ac:dyDescent="0.25">
      <c r="A14" s="5" t="str">
        <f>PrdIBNRTrendData[[#This Row],[Population]]&amp;PrdIBNRTrendData[[#This Row],[Cost Basis]]&amp;PrdIBNRTrendData[[#This Row],[Period]]</f>
        <v>MSSP_ATTRIBUTEDAllowed2016-03-01</v>
      </c>
      <c r="B14" t="s">
        <v>128</v>
      </c>
      <c r="C14" t="s">
        <v>128</v>
      </c>
      <c r="D14" t="s">
        <v>91</v>
      </c>
      <c r="E14" s="1" t="s">
        <v>92</v>
      </c>
      <c r="F14">
        <v>56711423.490000002</v>
      </c>
      <c r="G14">
        <v>56216013.100000001</v>
      </c>
    </row>
    <row r="15" spans="1:7" x14ac:dyDescent="0.25">
      <c r="A15" s="5" t="str">
        <f>PrdIBNRTrendData[[#This Row],[Population]]&amp;PrdIBNRTrendData[[#This Row],[Cost Basis]]&amp;PrdIBNRTrendData[[#This Row],[Period]]</f>
        <v>MSSP_ATTRIBUTEDAllowed2016-04-01</v>
      </c>
      <c r="B15" t="s">
        <v>128</v>
      </c>
      <c r="C15" t="s">
        <v>128</v>
      </c>
      <c r="D15" t="s">
        <v>91</v>
      </c>
      <c r="E15" s="1" t="s">
        <v>94</v>
      </c>
      <c r="F15">
        <v>75562112.680000007</v>
      </c>
      <c r="G15">
        <v>74849331.819999993</v>
      </c>
    </row>
    <row r="16" spans="1:7" x14ac:dyDescent="0.25">
      <c r="A16" s="5" t="str">
        <f>PrdIBNRTrendData[[#This Row],[Population]]&amp;PrdIBNRTrendData[[#This Row],[Cost Basis]]&amp;PrdIBNRTrendData[[#This Row],[Period]]</f>
        <v>MSSP_ATTRIBUTEDAllowed2016-05-01</v>
      </c>
      <c r="B16" t="s">
        <v>128</v>
      </c>
      <c r="C16" t="s">
        <v>128</v>
      </c>
      <c r="D16" t="s">
        <v>91</v>
      </c>
      <c r="E16" s="1" t="s">
        <v>95</v>
      </c>
      <c r="F16">
        <v>94971930.969999999</v>
      </c>
      <c r="G16">
        <v>93970477.269999996</v>
      </c>
    </row>
    <row r="17" spans="1:7" x14ac:dyDescent="0.25">
      <c r="A17" s="5" t="str">
        <f>PrdIBNRTrendData[[#This Row],[Population]]&amp;PrdIBNRTrendData[[#This Row],[Cost Basis]]&amp;PrdIBNRTrendData[[#This Row],[Period]]</f>
        <v>MSSP_ATTRIBUTEDAllowed2016-06-01</v>
      </c>
      <c r="B17" t="s">
        <v>128</v>
      </c>
      <c r="C17" t="s">
        <v>128</v>
      </c>
      <c r="D17" t="s">
        <v>91</v>
      </c>
      <c r="E17" s="1" t="s">
        <v>96</v>
      </c>
      <c r="F17">
        <v>114511986.97</v>
      </c>
      <c r="G17">
        <v>113137305.84</v>
      </c>
    </row>
    <row r="18" spans="1:7" x14ac:dyDescent="0.25">
      <c r="A18" s="5" t="str">
        <f>PrdIBNRTrendData[[#This Row],[Population]]&amp;PrdIBNRTrendData[[#This Row],[Cost Basis]]&amp;PrdIBNRTrendData[[#This Row],[Period]]</f>
        <v>MSSP_ATTRIBUTEDAllowed2016-07-01</v>
      </c>
      <c r="B18" t="s">
        <v>128</v>
      </c>
      <c r="C18" t="s">
        <v>128</v>
      </c>
      <c r="D18" t="s">
        <v>91</v>
      </c>
      <c r="E18" s="1" t="s">
        <v>97</v>
      </c>
      <c r="F18">
        <v>132818861.31</v>
      </c>
      <c r="G18">
        <v>130990304.01000001</v>
      </c>
    </row>
    <row r="19" spans="1:7" x14ac:dyDescent="0.25">
      <c r="A19" s="5" t="str">
        <f>PrdIBNRTrendData[[#This Row],[Population]]&amp;PrdIBNRTrendData[[#This Row],[Cost Basis]]&amp;PrdIBNRTrendData[[#This Row],[Period]]</f>
        <v>MSSP_ATTRIBUTEDAllowed2016-08-01</v>
      </c>
      <c r="B19" t="s">
        <v>128</v>
      </c>
      <c r="C19" t="s">
        <v>128</v>
      </c>
      <c r="D19" t="s">
        <v>91</v>
      </c>
      <c r="E19" s="1" t="s">
        <v>98</v>
      </c>
      <c r="F19">
        <v>152429901.16</v>
      </c>
      <c r="G19">
        <v>149954031.93000001</v>
      </c>
    </row>
    <row r="20" spans="1:7" x14ac:dyDescent="0.25">
      <c r="A20" s="5" t="str">
        <f>PrdIBNRTrendData[[#This Row],[Population]]&amp;PrdIBNRTrendData[[#This Row],[Cost Basis]]&amp;PrdIBNRTrendData[[#This Row],[Period]]</f>
        <v>MSSP_ATTRIBUTEDAllowed2016-09-01</v>
      </c>
      <c r="B20" t="s">
        <v>128</v>
      </c>
      <c r="C20" t="s">
        <v>128</v>
      </c>
      <c r="D20" t="s">
        <v>91</v>
      </c>
      <c r="E20" s="1" t="s">
        <v>99</v>
      </c>
      <c r="F20">
        <v>171808539.31999999</v>
      </c>
      <c r="G20">
        <v>168521781.37</v>
      </c>
    </row>
    <row r="21" spans="1:7" x14ac:dyDescent="0.25">
      <c r="A21" s="5" t="str">
        <f>PrdIBNRTrendData[[#This Row],[Population]]&amp;PrdIBNRTrendData[[#This Row],[Cost Basis]]&amp;PrdIBNRTrendData[[#This Row],[Period]]</f>
        <v>MSSP_ATTRIBUTEDAllowed2016-10-01</v>
      </c>
      <c r="B21" t="s">
        <v>128</v>
      </c>
      <c r="C21" t="s">
        <v>128</v>
      </c>
      <c r="D21" t="s">
        <v>91</v>
      </c>
      <c r="E21" s="1" t="s">
        <v>100</v>
      </c>
      <c r="F21">
        <v>191665854.03999999</v>
      </c>
      <c r="G21">
        <v>186663824.66999999</v>
      </c>
    </row>
    <row r="22" spans="1:7" x14ac:dyDescent="0.25">
      <c r="A22" s="5" t="str">
        <f>PrdIBNRTrendData[[#This Row],[Population]]&amp;PrdIBNRTrendData[[#This Row],[Cost Basis]]&amp;PrdIBNRTrendData[[#This Row],[Period]]</f>
        <v>MSSP_ATTRIBUTEDAllowed2016-11-01</v>
      </c>
      <c r="B22" t="s">
        <v>128</v>
      </c>
      <c r="C22" t="s">
        <v>128</v>
      </c>
      <c r="D22" t="s">
        <v>91</v>
      </c>
      <c r="E22" s="1" t="s">
        <v>101</v>
      </c>
      <c r="F22">
        <v>211637217.34999999</v>
      </c>
      <c r="G22">
        <v>202311002.65000001</v>
      </c>
    </row>
    <row r="23" spans="1:7" x14ac:dyDescent="0.25">
      <c r="A23" s="5" t="str">
        <f>PrdIBNRTrendData[[#This Row],[Population]]&amp;PrdIBNRTrendData[[#This Row],[Cost Basis]]&amp;PrdIBNRTrendData[[#This Row],[Period]]</f>
        <v>MSSP_ATTRIBUTEDAllowed2016-12-01</v>
      </c>
      <c r="B23" t="s">
        <v>128</v>
      </c>
      <c r="C23" t="s">
        <v>128</v>
      </c>
      <c r="D23" t="s">
        <v>91</v>
      </c>
      <c r="E23" s="1" t="s">
        <v>102</v>
      </c>
      <c r="F23">
        <v>231610134.97999999</v>
      </c>
      <c r="G23">
        <v>206507127.69999999</v>
      </c>
    </row>
    <row r="24" spans="1:7" x14ac:dyDescent="0.25">
      <c r="A24" s="5" t="str">
        <f>PrdIBNRTrendData[[#This Row],[Population]]&amp;PrdIBNRTrendData[[#This Row],[Cost Basis]]&amp;PrdIBNRTrendData[[#This Row],[Period]]</f>
        <v>MSSP_ATTRIBUTEDPaid2016-01-01</v>
      </c>
      <c r="B24" t="s">
        <v>128</v>
      </c>
      <c r="C24" t="s">
        <v>128</v>
      </c>
      <c r="D24" t="s">
        <v>78</v>
      </c>
      <c r="E24" s="1" t="s">
        <v>132</v>
      </c>
      <c r="F24">
        <v>13131849.119999999</v>
      </c>
      <c r="G24">
        <v>13042678.210000001</v>
      </c>
    </row>
    <row r="25" spans="1:7" x14ac:dyDescent="0.25">
      <c r="A25" s="5" t="str">
        <f>PrdIBNRTrendData[[#This Row],[Population]]&amp;PrdIBNRTrendData[[#This Row],[Cost Basis]]&amp;PrdIBNRTrendData[[#This Row],[Period]]</f>
        <v>MSSP_ATTRIBUTEDPaid2016-02-01</v>
      </c>
      <c r="B25" t="s">
        <v>128</v>
      </c>
      <c r="C25" t="s">
        <v>128</v>
      </c>
      <c r="D25" t="s">
        <v>78</v>
      </c>
      <c r="E25" s="1" t="s">
        <v>133</v>
      </c>
      <c r="F25">
        <v>27673026.489999998</v>
      </c>
      <c r="G25">
        <v>27497041.699999999</v>
      </c>
    </row>
    <row r="26" spans="1:7" x14ac:dyDescent="0.25">
      <c r="A26" s="5" t="str">
        <f>PrdIBNRTrendData[[#This Row],[Population]]&amp;PrdIBNRTrendData[[#This Row],[Cost Basis]]&amp;PrdIBNRTrendData[[#This Row],[Period]]</f>
        <v>MSSP_ATTRIBUTEDPaid2016-03-01</v>
      </c>
      <c r="B26" t="s">
        <v>128</v>
      </c>
      <c r="C26" t="s">
        <v>128</v>
      </c>
      <c r="D26" t="s">
        <v>78</v>
      </c>
      <c r="E26" s="1" t="s">
        <v>92</v>
      </c>
      <c r="F26">
        <v>43427620</v>
      </c>
      <c r="G26">
        <v>43144845.289999999</v>
      </c>
    </row>
    <row r="27" spans="1:7" x14ac:dyDescent="0.25">
      <c r="A27" s="5" t="str">
        <f>PrdIBNRTrendData[[#This Row],[Population]]&amp;PrdIBNRTrendData[[#This Row],[Cost Basis]]&amp;PrdIBNRTrendData[[#This Row],[Period]]</f>
        <v>MSSP_ATTRIBUTEDPaid2016-04-01</v>
      </c>
      <c r="B27" t="s">
        <v>128</v>
      </c>
      <c r="C27" t="s">
        <v>128</v>
      </c>
      <c r="D27" t="s">
        <v>78</v>
      </c>
      <c r="E27" s="1" t="s">
        <v>94</v>
      </c>
      <c r="F27">
        <v>58333572.810000002</v>
      </c>
      <c r="G27">
        <v>57923526.950000003</v>
      </c>
    </row>
    <row r="28" spans="1:7" x14ac:dyDescent="0.25">
      <c r="A28" s="5" t="str">
        <f>PrdIBNRTrendData[[#This Row],[Population]]&amp;PrdIBNRTrendData[[#This Row],[Cost Basis]]&amp;PrdIBNRTrendData[[#This Row],[Period]]</f>
        <v>MSSP_ATTRIBUTEDPaid2016-05-01</v>
      </c>
      <c r="B28" t="s">
        <v>128</v>
      </c>
      <c r="C28" t="s">
        <v>128</v>
      </c>
      <c r="D28" t="s">
        <v>78</v>
      </c>
      <c r="E28" s="1" t="s">
        <v>95</v>
      </c>
      <c r="F28">
        <v>73786374.030000001</v>
      </c>
      <c r="G28">
        <v>73198905.450000003</v>
      </c>
    </row>
    <row r="29" spans="1:7" x14ac:dyDescent="0.25">
      <c r="A29" s="5" t="str">
        <f>PrdIBNRTrendData[[#This Row],[Population]]&amp;PrdIBNRTrendData[[#This Row],[Cost Basis]]&amp;PrdIBNRTrendData[[#This Row],[Period]]</f>
        <v>MSSP_ATTRIBUTEDPaid2016-06-01</v>
      </c>
      <c r="B29" t="s">
        <v>128</v>
      </c>
      <c r="C29" t="s">
        <v>128</v>
      </c>
      <c r="D29" t="s">
        <v>78</v>
      </c>
      <c r="E29" s="1" t="s">
        <v>96</v>
      </c>
      <c r="F29">
        <v>89358762.010000005</v>
      </c>
      <c r="G29">
        <v>88532326.469999999</v>
      </c>
    </row>
    <row r="30" spans="1:7" x14ac:dyDescent="0.25">
      <c r="A30" s="5" t="str">
        <f>PrdIBNRTrendData[[#This Row],[Population]]&amp;PrdIBNRTrendData[[#This Row],[Cost Basis]]&amp;PrdIBNRTrendData[[#This Row],[Period]]</f>
        <v>MSSP_ATTRIBUTEDPaid2016-07-01</v>
      </c>
      <c r="B30" t="s">
        <v>128</v>
      </c>
      <c r="C30" t="s">
        <v>128</v>
      </c>
      <c r="D30" t="s">
        <v>78</v>
      </c>
      <c r="E30" s="1" t="s">
        <v>97</v>
      </c>
      <c r="F30">
        <v>103942319.06</v>
      </c>
      <c r="G30">
        <v>102816905.58</v>
      </c>
    </row>
    <row r="31" spans="1:7" x14ac:dyDescent="0.25">
      <c r="A31" s="5" t="str">
        <f>PrdIBNRTrendData[[#This Row],[Population]]&amp;PrdIBNRTrendData[[#This Row],[Cost Basis]]&amp;PrdIBNRTrendData[[#This Row],[Period]]</f>
        <v>MSSP_ATTRIBUTEDPaid2016-08-01</v>
      </c>
      <c r="B31" t="s">
        <v>128</v>
      </c>
      <c r="C31" t="s">
        <v>128</v>
      </c>
      <c r="D31" t="s">
        <v>78</v>
      </c>
      <c r="E31" s="1" t="s">
        <v>98</v>
      </c>
      <c r="F31">
        <v>119573835.8</v>
      </c>
      <c r="G31">
        <v>118008318.59999999</v>
      </c>
    </row>
    <row r="32" spans="1:7" x14ac:dyDescent="0.25">
      <c r="A32" s="5" t="str">
        <f>PrdIBNRTrendData[[#This Row],[Population]]&amp;PrdIBNRTrendData[[#This Row],[Cost Basis]]&amp;PrdIBNRTrendData[[#This Row],[Period]]</f>
        <v>MSSP_ATTRIBUTEDPaid2016-09-01</v>
      </c>
      <c r="B32" t="s">
        <v>128</v>
      </c>
      <c r="C32" t="s">
        <v>128</v>
      </c>
      <c r="D32" t="s">
        <v>78</v>
      </c>
      <c r="E32" s="1" t="s">
        <v>99</v>
      </c>
      <c r="F32">
        <v>135114945.30000001</v>
      </c>
      <c r="G32">
        <v>132977517.52</v>
      </c>
    </row>
    <row r="33" spans="1:7" x14ac:dyDescent="0.25">
      <c r="A33" s="5" t="str">
        <f>PrdIBNRTrendData[[#This Row],[Population]]&amp;PrdIBNRTrendData[[#This Row],[Cost Basis]]&amp;PrdIBNRTrendData[[#This Row],[Period]]</f>
        <v>MSSP_ATTRIBUTEDPaid2016-10-01</v>
      </c>
      <c r="B33" t="s">
        <v>128</v>
      </c>
      <c r="C33" t="s">
        <v>128</v>
      </c>
      <c r="D33" t="s">
        <v>78</v>
      </c>
      <c r="E33" s="1" t="s">
        <v>100</v>
      </c>
      <c r="F33">
        <v>151070681.69999999</v>
      </c>
      <c r="G33">
        <v>147632414.63999999</v>
      </c>
    </row>
    <row r="34" spans="1:7" x14ac:dyDescent="0.25">
      <c r="A34" s="5" t="str">
        <f>PrdIBNRTrendData[[#This Row],[Population]]&amp;PrdIBNRTrendData[[#This Row],[Cost Basis]]&amp;PrdIBNRTrendData[[#This Row],[Period]]</f>
        <v>MSSP_ATTRIBUTEDPaid2016-11-01</v>
      </c>
      <c r="B34" t="s">
        <v>128</v>
      </c>
      <c r="C34" t="s">
        <v>128</v>
      </c>
      <c r="D34" t="s">
        <v>78</v>
      </c>
      <c r="E34" s="1" t="s">
        <v>101</v>
      </c>
      <c r="F34">
        <v>167026430</v>
      </c>
      <c r="G34">
        <v>160153779.83000001</v>
      </c>
    </row>
    <row r="35" spans="1:7" x14ac:dyDescent="0.25">
      <c r="A35" s="5" t="str">
        <f>PrdIBNRTrendData[[#This Row],[Population]]&amp;PrdIBNRTrendData[[#This Row],[Cost Basis]]&amp;PrdIBNRTrendData[[#This Row],[Period]]</f>
        <v>MSSP_ATTRIBUTEDPaid2016-12-01</v>
      </c>
      <c r="B35" t="s">
        <v>128</v>
      </c>
      <c r="C35" t="s">
        <v>128</v>
      </c>
      <c r="D35" t="s">
        <v>78</v>
      </c>
      <c r="E35" s="1" t="s">
        <v>102</v>
      </c>
      <c r="F35">
        <v>183090521.69</v>
      </c>
      <c r="G35">
        <v>163384935.03</v>
      </c>
    </row>
    <row r="36" spans="1:7" x14ac:dyDescent="0.25">
      <c r="A36" s="5" t="str">
        <f>PrdIBNRTrendData[[#This Row],[Population]]&amp;PrdIBNRTrendData[[#This Row],[Cost Basis]]&amp;PrdIBNRTrendData[[#This Row],[Period]]</f>
        <v>MSSP_NONATTRIBUTEDAllowed2016-01-01</v>
      </c>
      <c r="B36" t="s">
        <v>129</v>
      </c>
      <c r="C36" t="s">
        <v>129</v>
      </c>
      <c r="D36" t="s">
        <v>91</v>
      </c>
      <c r="E36" s="1" t="s">
        <v>132</v>
      </c>
      <c r="F36">
        <v>5971008.4800000004</v>
      </c>
      <c r="G36">
        <v>5942711</v>
      </c>
    </row>
    <row r="37" spans="1:7" x14ac:dyDescent="0.25">
      <c r="A37" s="5" t="str">
        <f>PrdIBNRTrendData[[#This Row],[Population]]&amp;PrdIBNRTrendData[[#This Row],[Cost Basis]]&amp;PrdIBNRTrendData[[#This Row],[Period]]</f>
        <v>MSSP_NONATTRIBUTEDAllowed2016-02-01</v>
      </c>
      <c r="B37" t="s">
        <v>129</v>
      </c>
      <c r="C37" t="s">
        <v>129</v>
      </c>
      <c r="D37" t="s">
        <v>91</v>
      </c>
      <c r="E37" s="1" t="s">
        <v>133</v>
      </c>
      <c r="F37">
        <v>11468958.84</v>
      </c>
      <c r="G37">
        <v>11406261.890000001</v>
      </c>
    </row>
    <row r="38" spans="1:7" x14ac:dyDescent="0.25">
      <c r="A38" s="5" t="str">
        <f>PrdIBNRTrendData[[#This Row],[Population]]&amp;PrdIBNRTrendData[[#This Row],[Cost Basis]]&amp;PrdIBNRTrendData[[#This Row],[Period]]</f>
        <v>MSSP_NONATTRIBUTEDAllowed2016-03-01</v>
      </c>
      <c r="B38" t="s">
        <v>129</v>
      </c>
      <c r="C38" t="s">
        <v>129</v>
      </c>
      <c r="D38" t="s">
        <v>91</v>
      </c>
      <c r="E38" s="1" t="s">
        <v>92</v>
      </c>
      <c r="F38">
        <v>16760715.710000001</v>
      </c>
      <c r="G38">
        <v>16651123.23</v>
      </c>
    </row>
    <row r="39" spans="1:7" x14ac:dyDescent="0.25">
      <c r="A39" s="5" t="str">
        <f>PrdIBNRTrendData[[#This Row],[Population]]&amp;PrdIBNRTrendData[[#This Row],[Cost Basis]]&amp;PrdIBNRTrendData[[#This Row],[Period]]</f>
        <v>MSSP_NONATTRIBUTEDAllowed2016-04-01</v>
      </c>
      <c r="B39" t="s">
        <v>129</v>
      </c>
      <c r="C39" t="s">
        <v>129</v>
      </c>
      <c r="D39" t="s">
        <v>91</v>
      </c>
      <c r="E39" s="1" t="s">
        <v>94</v>
      </c>
      <c r="F39">
        <v>20712516.489999998</v>
      </c>
      <c r="G39">
        <v>20551347.079999998</v>
      </c>
    </row>
    <row r="40" spans="1:7" x14ac:dyDescent="0.25">
      <c r="A40" s="5" t="str">
        <f>PrdIBNRTrendData[[#This Row],[Population]]&amp;PrdIBNRTrendData[[#This Row],[Cost Basis]]&amp;PrdIBNRTrendData[[#This Row],[Period]]</f>
        <v>MSSP_NONATTRIBUTEDAllowed2016-05-01</v>
      </c>
      <c r="B40" t="s">
        <v>129</v>
      </c>
      <c r="C40" t="s">
        <v>129</v>
      </c>
      <c r="D40" t="s">
        <v>91</v>
      </c>
      <c r="E40" s="1" t="s">
        <v>95</v>
      </c>
      <c r="F40">
        <v>24739074.850000001</v>
      </c>
      <c r="G40">
        <v>24511215.190000001</v>
      </c>
    </row>
    <row r="41" spans="1:7" x14ac:dyDescent="0.25">
      <c r="A41" s="5" t="str">
        <f>PrdIBNRTrendData[[#This Row],[Population]]&amp;PrdIBNRTrendData[[#This Row],[Cost Basis]]&amp;PrdIBNRTrendData[[#This Row],[Period]]</f>
        <v>MSSP_NONATTRIBUTEDAllowed2016-06-01</v>
      </c>
      <c r="B41" t="s">
        <v>129</v>
      </c>
      <c r="C41" t="s">
        <v>129</v>
      </c>
      <c r="D41" t="s">
        <v>91</v>
      </c>
      <c r="E41" s="1" t="s">
        <v>96</v>
      </c>
      <c r="F41">
        <v>29015609.620000001</v>
      </c>
      <c r="G41">
        <v>28702367.370000001</v>
      </c>
    </row>
    <row r="42" spans="1:7" x14ac:dyDescent="0.25">
      <c r="A42" s="5" t="str">
        <f>PrdIBNRTrendData[[#This Row],[Population]]&amp;PrdIBNRTrendData[[#This Row],[Cost Basis]]&amp;PrdIBNRTrendData[[#This Row],[Period]]</f>
        <v>MSSP_NONATTRIBUTEDAllowed2016-07-01</v>
      </c>
      <c r="B42" t="s">
        <v>129</v>
      </c>
      <c r="C42" t="s">
        <v>129</v>
      </c>
      <c r="D42" t="s">
        <v>91</v>
      </c>
      <c r="E42" s="1" t="s">
        <v>97</v>
      </c>
      <c r="F42">
        <v>33459845.579999998</v>
      </c>
      <c r="G42">
        <v>33034923.530000001</v>
      </c>
    </row>
    <row r="43" spans="1:7" x14ac:dyDescent="0.25">
      <c r="A43" s="5" t="str">
        <f>PrdIBNRTrendData[[#This Row],[Population]]&amp;PrdIBNRTrendData[[#This Row],[Cost Basis]]&amp;PrdIBNRTrendData[[#This Row],[Period]]</f>
        <v>MSSP_NONATTRIBUTEDAllowed2016-08-01</v>
      </c>
      <c r="B43" t="s">
        <v>129</v>
      </c>
      <c r="C43" t="s">
        <v>129</v>
      </c>
      <c r="D43" t="s">
        <v>91</v>
      </c>
      <c r="E43" s="1" t="s">
        <v>98</v>
      </c>
      <c r="F43">
        <v>38212975</v>
      </c>
      <c r="G43">
        <v>37629375.649999999</v>
      </c>
    </row>
    <row r="44" spans="1:7" x14ac:dyDescent="0.25">
      <c r="A44" s="5" t="str">
        <f>PrdIBNRTrendData[[#This Row],[Population]]&amp;PrdIBNRTrendData[[#This Row],[Cost Basis]]&amp;PrdIBNRTrendData[[#This Row],[Period]]</f>
        <v>MSSP_NONATTRIBUTEDAllowed2016-09-01</v>
      </c>
      <c r="B44" t="s">
        <v>129</v>
      </c>
      <c r="C44" t="s">
        <v>129</v>
      </c>
      <c r="D44" t="s">
        <v>91</v>
      </c>
      <c r="E44" s="1" t="s">
        <v>99</v>
      </c>
      <c r="F44">
        <v>43275184.840000004</v>
      </c>
      <c r="G44">
        <v>42450298.469999999</v>
      </c>
    </row>
    <row r="45" spans="1:7" x14ac:dyDescent="0.25">
      <c r="A45" s="5" t="str">
        <f>PrdIBNRTrendData[[#This Row],[Population]]&amp;PrdIBNRTrendData[[#This Row],[Cost Basis]]&amp;PrdIBNRTrendData[[#This Row],[Period]]</f>
        <v>MSSP_NONATTRIBUTEDAllowed2016-10-01</v>
      </c>
      <c r="B45" t="s">
        <v>129</v>
      </c>
      <c r="C45" t="s">
        <v>129</v>
      </c>
      <c r="D45" t="s">
        <v>91</v>
      </c>
      <c r="E45" s="1" t="s">
        <v>100</v>
      </c>
      <c r="F45">
        <v>48654585.340000004</v>
      </c>
      <c r="G45">
        <v>47396666.509999998</v>
      </c>
    </row>
    <row r="46" spans="1:7" x14ac:dyDescent="0.25">
      <c r="A46" s="5" t="str">
        <f>PrdIBNRTrendData[[#This Row],[Population]]&amp;PrdIBNRTrendData[[#This Row],[Cost Basis]]&amp;PrdIBNRTrendData[[#This Row],[Period]]</f>
        <v>MSSP_NONATTRIBUTEDAllowed2016-11-01</v>
      </c>
      <c r="B46" t="s">
        <v>129</v>
      </c>
      <c r="C46" t="s">
        <v>129</v>
      </c>
      <c r="D46" t="s">
        <v>91</v>
      </c>
      <c r="E46" s="1" t="s">
        <v>101</v>
      </c>
      <c r="F46">
        <v>54019225.789999999</v>
      </c>
      <c r="G46">
        <v>51687797.75</v>
      </c>
    </row>
    <row r="47" spans="1:7" x14ac:dyDescent="0.25">
      <c r="A47" s="5" t="str">
        <f>PrdIBNRTrendData[[#This Row],[Population]]&amp;PrdIBNRTrendData[[#This Row],[Cost Basis]]&amp;PrdIBNRTrendData[[#This Row],[Period]]</f>
        <v>MSSP_NONATTRIBUTEDAllowed2016-12-01</v>
      </c>
      <c r="B47" t="s">
        <v>129</v>
      </c>
      <c r="C47" t="s">
        <v>129</v>
      </c>
      <c r="D47" t="s">
        <v>91</v>
      </c>
      <c r="E47" s="1" t="s">
        <v>102</v>
      </c>
      <c r="F47">
        <v>59552170.25</v>
      </c>
      <c r="G47">
        <v>52939650.490000002</v>
      </c>
    </row>
    <row r="48" spans="1:7" x14ac:dyDescent="0.25">
      <c r="A48" s="5" t="str">
        <f>PrdIBNRTrendData[[#This Row],[Population]]&amp;PrdIBNRTrendData[[#This Row],[Cost Basis]]&amp;PrdIBNRTrendData[[#This Row],[Period]]</f>
        <v>MSSP_NONATTRIBUTEDPaid2016-01-01</v>
      </c>
      <c r="B48" t="s">
        <v>129</v>
      </c>
      <c r="C48" t="s">
        <v>129</v>
      </c>
      <c r="D48" t="s">
        <v>78</v>
      </c>
      <c r="E48" s="1" t="s">
        <v>132</v>
      </c>
      <c r="F48">
        <v>4578530.66</v>
      </c>
      <c r="G48">
        <v>4562659.8499999996</v>
      </c>
    </row>
    <row r="49" spans="1:7" x14ac:dyDescent="0.25">
      <c r="A49" s="5" t="str">
        <f>PrdIBNRTrendData[[#This Row],[Population]]&amp;PrdIBNRTrendData[[#This Row],[Cost Basis]]&amp;PrdIBNRTrendData[[#This Row],[Period]]</f>
        <v>MSSP_NONATTRIBUTEDPaid2016-02-01</v>
      </c>
      <c r="B49" t="s">
        <v>129</v>
      </c>
      <c r="C49" t="s">
        <v>129</v>
      </c>
      <c r="D49" t="s">
        <v>78</v>
      </c>
      <c r="E49" s="1" t="s">
        <v>133</v>
      </c>
      <c r="F49">
        <v>8863206.2899999991</v>
      </c>
      <c r="G49">
        <v>8827534.6699999999</v>
      </c>
    </row>
    <row r="50" spans="1:7" x14ac:dyDescent="0.25">
      <c r="A50" s="5" t="str">
        <f>PrdIBNRTrendData[[#This Row],[Population]]&amp;PrdIBNRTrendData[[#This Row],[Cost Basis]]&amp;PrdIBNRTrendData[[#This Row],[Period]]</f>
        <v>MSSP_NONATTRIBUTEDPaid2016-03-01</v>
      </c>
      <c r="B50" t="s">
        <v>129</v>
      </c>
      <c r="C50" t="s">
        <v>129</v>
      </c>
      <c r="D50" t="s">
        <v>78</v>
      </c>
      <c r="E50" s="1" t="s">
        <v>92</v>
      </c>
      <c r="F50">
        <v>12988262.380000001</v>
      </c>
      <c r="G50">
        <v>12925280.779999999</v>
      </c>
    </row>
    <row r="51" spans="1:7" x14ac:dyDescent="0.25">
      <c r="A51" s="5" t="str">
        <f>PrdIBNRTrendData[[#This Row],[Population]]&amp;PrdIBNRTrendData[[#This Row],[Cost Basis]]&amp;PrdIBNRTrendData[[#This Row],[Period]]</f>
        <v>MSSP_NONATTRIBUTEDPaid2016-04-01</v>
      </c>
      <c r="B51" t="s">
        <v>129</v>
      </c>
      <c r="C51" t="s">
        <v>129</v>
      </c>
      <c r="D51" t="s">
        <v>78</v>
      </c>
      <c r="E51" s="1" t="s">
        <v>94</v>
      </c>
      <c r="F51">
        <v>16036074.01</v>
      </c>
      <c r="G51">
        <v>15942036.970000001</v>
      </c>
    </row>
    <row r="52" spans="1:7" x14ac:dyDescent="0.25">
      <c r="A52" s="5" t="str">
        <f>PrdIBNRTrendData[[#This Row],[Population]]&amp;PrdIBNRTrendData[[#This Row],[Cost Basis]]&amp;PrdIBNRTrendData[[#This Row],[Period]]</f>
        <v>MSSP_NONATTRIBUTEDPaid2016-05-01</v>
      </c>
      <c r="B52" t="s">
        <v>129</v>
      </c>
      <c r="C52" t="s">
        <v>129</v>
      </c>
      <c r="D52" t="s">
        <v>78</v>
      </c>
      <c r="E52" s="1" t="s">
        <v>95</v>
      </c>
      <c r="F52">
        <v>19179675.73</v>
      </c>
      <c r="G52">
        <v>19042678.57</v>
      </c>
    </row>
    <row r="53" spans="1:7" x14ac:dyDescent="0.25">
      <c r="A53" s="5" t="str">
        <f>PrdIBNRTrendData[[#This Row],[Population]]&amp;PrdIBNRTrendData[[#This Row],[Cost Basis]]&amp;PrdIBNRTrendData[[#This Row],[Period]]</f>
        <v>MSSP_NONATTRIBUTEDPaid2016-06-01</v>
      </c>
      <c r="B53" t="s">
        <v>129</v>
      </c>
      <c r="C53" t="s">
        <v>129</v>
      </c>
      <c r="D53" t="s">
        <v>78</v>
      </c>
      <c r="E53" s="1" t="s">
        <v>96</v>
      </c>
      <c r="F53">
        <v>22545446.870000001</v>
      </c>
      <c r="G53">
        <v>22351458.379999999</v>
      </c>
    </row>
    <row r="54" spans="1:7" x14ac:dyDescent="0.25">
      <c r="A54" s="5" t="str">
        <f>PrdIBNRTrendData[[#This Row],[Population]]&amp;PrdIBNRTrendData[[#This Row],[Cost Basis]]&amp;PrdIBNRTrendData[[#This Row],[Period]]</f>
        <v>MSSP_NONATTRIBUTEDPaid2016-07-01</v>
      </c>
      <c r="B54" t="s">
        <v>129</v>
      </c>
      <c r="C54" t="s">
        <v>129</v>
      </c>
      <c r="D54" t="s">
        <v>78</v>
      </c>
      <c r="E54" s="1" t="s">
        <v>97</v>
      </c>
      <c r="F54">
        <v>26062487.43</v>
      </c>
      <c r="G54">
        <v>25791905.449999999</v>
      </c>
    </row>
    <row r="55" spans="1:7" x14ac:dyDescent="0.25">
      <c r="A55" s="5" t="str">
        <f>PrdIBNRTrendData[[#This Row],[Population]]&amp;PrdIBNRTrendData[[#This Row],[Cost Basis]]&amp;PrdIBNRTrendData[[#This Row],[Period]]</f>
        <v>MSSP_NONATTRIBUTEDPaid2016-08-01</v>
      </c>
      <c r="B55" t="s">
        <v>129</v>
      </c>
      <c r="C55" t="s">
        <v>129</v>
      </c>
      <c r="D55" t="s">
        <v>78</v>
      </c>
      <c r="E55" s="1" t="s">
        <v>98</v>
      </c>
      <c r="F55">
        <v>29810411.48</v>
      </c>
      <c r="G55">
        <v>29428886.949999999</v>
      </c>
    </row>
    <row r="56" spans="1:7" x14ac:dyDescent="0.25">
      <c r="A56" s="5" t="str">
        <f>PrdIBNRTrendData[[#This Row],[Population]]&amp;PrdIBNRTrendData[[#This Row],[Cost Basis]]&amp;PrdIBNRTrendData[[#This Row],[Period]]</f>
        <v>MSSP_NONATTRIBUTEDPaid2016-09-01</v>
      </c>
      <c r="B56" t="s">
        <v>129</v>
      </c>
      <c r="C56" t="s">
        <v>129</v>
      </c>
      <c r="D56" t="s">
        <v>78</v>
      </c>
      <c r="E56" s="1" t="s">
        <v>99</v>
      </c>
      <c r="F56">
        <v>33839720.359999999</v>
      </c>
      <c r="G56">
        <v>33281284.960000001</v>
      </c>
    </row>
    <row r="57" spans="1:7" x14ac:dyDescent="0.25">
      <c r="A57" s="5" t="str">
        <f>PrdIBNRTrendData[[#This Row],[Population]]&amp;PrdIBNRTrendData[[#This Row],[Cost Basis]]&amp;PrdIBNRTrendData[[#This Row],[Period]]</f>
        <v>MSSP_NONATTRIBUTEDPaid2016-10-01</v>
      </c>
      <c r="B57" t="s">
        <v>129</v>
      </c>
      <c r="C57" t="s">
        <v>129</v>
      </c>
      <c r="D57" t="s">
        <v>78</v>
      </c>
      <c r="E57" s="1" t="s">
        <v>100</v>
      </c>
      <c r="F57">
        <v>38152554.219999999</v>
      </c>
      <c r="G57">
        <v>37271047.25</v>
      </c>
    </row>
    <row r="58" spans="1:7" x14ac:dyDescent="0.25">
      <c r="A58" s="5" t="str">
        <f>PrdIBNRTrendData[[#This Row],[Population]]&amp;PrdIBNRTrendData[[#This Row],[Cost Basis]]&amp;PrdIBNRTrendData[[#This Row],[Period]]</f>
        <v>MSSP_NONATTRIBUTEDPaid2016-11-01</v>
      </c>
      <c r="B58" t="s">
        <v>129</v>
      </c>
      <c r="C58" t="s">
        <v>129</v>
      </c>
      <c r="D58" t="s">
        <v>78</v>
      </c>
      <c r="E58" s="1" t="s">
        <v>101</v>
      </c>
      <c r="F58">
        <v>42465389.700000003</v>
      </c>
      <c r="G58">
        <v>40704041.32</v>
      </c>
    </row>
    <row r="59" spans="1:7" x14ac:dyDescent="0.25">
      <c r="A59" s="5" t="str">
        <f>PrdIBNRTrendData[[#This Row],[Population]]&amp;PrdIBNRTrendData[[#This Row],[Cost Basis]]&amp;PrdIBNRTrendData[[#This Row],[Period]]</f>
        <v>MSSP_NONATTRIBUTEDPaid2016-12-01</v>
      </c>
      <c r="B59" t="s">
        <v>129</v>
      </c>
      <c r="C59" t="s">
        <v>129</v>
      </c>
      <c r="D59" t="s">
        <v>78</v>
      </c>
      <c r="E59" s="1" t="s">
        <v>102</v>
      </c>
      <c r="F59">
        <v>46861591.109999999</v>
      </c>
      <c r="G59">
        <v>41665949.950000003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7"/>
  <sheetViews>
    <sheetView workbookViewId="0">
      <selection activeCell="A2" sqref="A2"/>
    </sheetView>
  </sheetViews>
  <sheetFormatPr defaultRowHeight="15" x14ac:dyDescent="0.25"/>
  <cols>
    <col min="1" max="1" width="13.140625" customWidth="1"/>
    <col min="2" max="2" width="10.7109375" bestFit="1" customWidth="1"/>
    <col min="3" max="3" width="7.42578125" bestFit="1" customWidth="1"/>
    <col min="4" max="4" width="27.140625" customWidth="1"/>
    <col min="5" max="5" width="23.7109375" customWidth="1"/>
    <col min="6" max="6" width="27.140625" bestFit="1" customWidth="1"/>
    <col min="7" max="7" width="23.7109375" customWidth="1"/>
  </cols>
  <sheetData>
    <row r="1" spans="1:3" x14ac:dyDescent="0.25">
      <c r="A1" s="2" t="s">
        <v>39</v>
      </c>
      <c r="B1" t="s">
        <v>44</v>
      </c>
      <c r="C1" t="s">
        <v>43</v>
      </c>
    </row>
    <row r="2" spans="1:3" x14ac:dyDescent="0.25">
      <c r="A2" s="3" t="s">
        <v>92</v>
      </c>
      <c r="B2" s="5">
        <v>212</v>
      </c>
      <c r="C2" s="5">
        <v>208</v>
      </c>
    </row>
    <row r="3" spans="1:3" x14ac:dyDescent="0.25">
      <c r="A3" s="3" t="s">
        <v>94</v>
      </c>
      <c r="B3" s="5">
        <v>183</v>
      </c>
      <c r="C3" s="5">
        <v>171</v>
      </c>
    </row>
    <row r="4" spans="1:3" x14ac:dyDescent="0.25">
      <c r="A4" s="3" t="s">
        <v>95</v>
      </c>
      <c r="B4" s="5">
        <v>204</v>
      </c>
      <c r="C4" s="5">
        <v>196</v>
      </c>
    </row>
    <row r="5" spans="1:3" x14ac:dyDescent="0.25">
      <c r="A5" s="3" t="s">
        <v>96</v>
      </c>
      <c r="B5" s="5">
        <v>233</v>
      </c>
      <c r="C5" s="5">
        <v>230</v>
      </c>
    </row>
    <row r="6" spans="1:3" x14ac:dyDescent="0.25">
      <c r="A6" s="3" t="s">
        <v>97</v>
      </c>
      <c r="B6" s="5">
        <v>218</v>
      </c>
      <c r="C6" s="5">
        <v>215</v>
      </c>
    </row>
    <row r="7" spans="1:3" x14ac:dyDescent="0.25">
      <c r="A7" s="3" t="s">
        <v>98</v>
      </c>
      <c r="B7" s="5">
        <v>321</v>
      </c>
      <c r="C7" s="5">
        <v>318</v>
      </c>
    </row>
    <row r="8" spans="1:3" x14ac:dyDescent="0.25">
      <c r="A8" s="3" t="s">
        <v>99</v>
      </c>
      <c r="B8" s="5">
        <v>287</v>
      </c>
      <c r="C8" s="5">
        <v>299</v>
      </c>
    </row>
    <row r="9" spans="1:3" x14ac:dyDescent="0.25">
      <c r="A9" s="3" t="s">
        <v>100</v>
      </c>
      <c r="B9" s="5">
        <v>368</v>
      </c>
      <c r="C9" s="5">
        <v>352</v>
      </c>
    </row>
    <row r="10" spans="1:3" x14ac:dyDescent="0.25">
      <c r="A10" s="3" t="s">
        <v>101</v>
      </c>
      <c r="B10" s="5">
        <v>386</v>
      </c>
      <c r="C10" s="5">
        <v>365</v>
      </c>
    </row>
    <row r="11" spans="1:3" x14ac:dyDescent="0.25">
      <c r="A11" s="3" t="s">
        <v>102</v>
      </c>
      <c r="B11" s="5">
        <v>304</v>
      </c>
      <c r="C11" s="5">
        <v>300</v>
      </c>
    </row>
    <row r="12" spans="1:3" x14ac:dyDescent="0.25">
      <c r="A12" s="3" t="s">
        <v>103</v>
      </c>
      <c r="B12" s="5">
        <v>309</v>
      </c>
      <c r="C12" s="5">
        <v>306</v>
      </c>
    </row>
    <row r="13" spans="1:3" x14ac:dyDescent="0.25">
      <c r="A13" s="3" t="s">
        <v>104</v>
      </c>
      <c r="B13" s="5">
        <v>323</v>
      </c>
      <c r="C13" s="5">
        <v>377</v>
      </c>
    </row>
    <row r="14" spans="1:3" x14ac:dyDescent="0.25">
      <c r="A14" s="3" t="s">
        <v>105</v>
      </c>
      <c r="B14" s="5">
        <v>241</v>
      </c>
      <c r="C14" s="5">
        <v>268</v>
      </c>
    </row>
    <row r="15" spans="1:3" x14ac:dyDescent="0.25">
      <c r="A15" s="3" t="s">
        <v>107</v>
      </c>
      <c r="B15" s="5">
        <v>85</v>
      </c>
      <c r="C15" s="5">
        <v>191</v>
      </c>
    </row>
    <row r="16" spans="1:3" x14ac:dyDescent="0.25">
      <c r="A16" s="3" t="s">
        <v>108</v>
      </c>
      <c r="B16" s="5">
        <v>0</v>
      </c>
      <c r="C16" s="5">
        <v>143</v>
      </c>
    </row>
    <row r="17" spans="1:3" x14ac:dyDescent="0.25">
      <c r="A17" s="3" t="s">
        <v>40</v>
      </c>
      <c r="B17" s="5">
        <v>3674</v>
      </c>
      <c r="C17" s="5">
        <v>3939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7"/>
  <sheetViews>
    <sheetView workbookViewId="0">
      <selection activeCell="N1" sqref="N1:P3"/>
    </sheetView>
  </sheetViews>
  <sheetFormatPr defaultRowHeight="15" x14ac:dyDescent="0.25"/>
  <cols>
    <col min="1" max="1" width="13.140625" customWidth="1"/>
    <col min="2" max="2" width="12" bestFit="1" customWidth="1"/>
    <col min="3" max="3" width="11" bestFit="1" customWidth="1"/>
    <col min="4" max="4" width="8.42578125" customWidth="1"/>
    <col min="5" max="5" width="4.85546875" customWidth="1"/>
    <col min="14" max="14" width="13.140625" bestFit="1" customWidth="1"/>
    <col min="15" max="16" width="11" bestFit="1" customWidth="1"/>
  </cols>
  <sheetData>
    <row r="1" spans="1:16" x14ac:dyDescent="0.25">
      <c r="A1" s="2" t="s">
        <v>39</v>
      </c>
      <c r="B1" t="s">
        <v>77</v>
      </c>
      <c r="C1" t="s">
        <v>78</v>
      </c>
      <c r="N1" s="2" t="s">
        <v>39</v>
      </c>
      <c r="O1" t="s">
        <v>77</v>
      </c>
      <c r="P1" t="s">
        <v>78</v>
      </c>
    </row>
    <row r="2" spans="1:16" x14ac:dyDescent="0.25">
      <c r="A2" s="7" t="s">
        <v>103</v>
      </c>
      <c r="B2" s="5">
        <v>1167603.92</v>
      </c>
      <c r="C2" s="5">
        <v>1125322.69</v>
      </c>
      <c r="N2" s="7" t="s">
        <v>103</v>
      </c>
      <c r="O2" s="5">
        <v>1115625.02</v>
      </c>
      <c r="P2" s="5">
        <v>1068217.94</v>
      </c>
    </row>
    <row r="3" spans="1:16" x14ac:dyDescent="0.25">
      <c r="A3" s="7" t="s">
        <v>104</v>
      </c>
      <c r="B3" s="5">
        <v>2380787.23</v>
      </c>
      <c r="C3" s="5">
        <v>2277707.59</v>
      </c>
      <c r="N3" s="7" t="s">
        <v>104</v>
      </c>
      <c r="O3" s="5">
        <v>2406984.88</v>
      </c>
      <c r="P3" s="5">
        <v>2197563.37</v>
      </c>
    </row>
    <row r="4" spans="1:16" x14ac:dyDescent="0.25">
      <c r="A4" s="7" t="s">
        <v>105</v>
      </c>
      <c r="B4" s="5">
        <v>4237391.9400000004</v>
      </c>
      <c r="C4" s="5">
        <v>3646264.42</v>
      </c>
      <c r="N4" s="7" t="s">
        <v>105</v>
      </c>
      <c r="O4" s="5">
        <v>3769274.65</v>
      </c>
      <c r="P4" s="5">
        <v>3469382.07</v>
      </c>
    </row>
    <row r="5" spans="1:16" x14ac:dyDescent="0.25">
      <c r="A5" s="7" t="s">
        <v>107</v>
      </c>
      <c r="B5" s="5">
        <v>6341718.04</v>
      </c>
      <c r="C5" s="5">
        <v>5621674.6600000001</v>
      </c>
      <c r="N5" s="7" t="s">
        <v>107</v>
      </c>
      <c r="O5" s="5">
        <v>5159599.5199999996</v>
      </c>
      <c r="P5" s="5">
        <v>4027103.76</v>
      </c>
    </row>
    <row r="6" spans="1:16" x14ac:dyDescent="0.25">
      <c r="A6" s="7" t="s">
        <v>108</v>
      </c>
      <c r="B6" s="5">
        <v>8041989.9500000002</v>
      </c>
      <c r="C6" s="5">
        <v>6272675.8399999999</v>
      </c>
      <c r="N6" s="7" t="s">
        <v>108</v>
      </c>
      <c r="O6" s="5" t="e">
        <v>#N/A</v>
      </c>
      <c r="P6" s="5" t="e">
        <v>#N/A</v>
      </c>
    </row>
    <row r="7" spans="1:16" x14ac:dyDescent="0.25">
      <c r="A7" s="7" t="s">
        <v>40</v>
      </c>
      <c r="B7" s="5">
        <v>22169491.079999998</v>
      </c>
      <c r="C7" s="5">
        <v>18943645.199999999</v>
      </c>
      <c r="N7" s="7" t="s">
        <v>40</v>
      </c>
      <c r="O7" s="5" t="e">
        <v>#N/A</v>
      </c>
      <c r="P7" s="5" t="e">
        <v>#N/A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3"/>
  <sheetViews>
    <sheetView workbookViewId="0">
      <selection activeCell="A9" sqref="A9"/>
    </sheetView>
  </sheetViews>
  <sheetFormatPr defaultRowHeight="15" x14ac:dyDescent="0.25"/>
  <cols>
    <col min="1" max="1" width="27.85546875" bestFit="1" customWidth="1"/>
    <col min="2" max="2" width="79.5703125" bestFit="1" customWidth="1"/>
  </cols>
  <sheetData>
    <row r="1" spans="1:3" ht="18.75" x14ac:dyDescent="0.3">
      <c r="A1" s="10" t="s">
        <v>46</v>
      </c>
      <c r="B1" s="10"/>
    </row>
    <row r="3" spans="1:3" ht="18.75" x14ac:dyDescent="0.3">
      <c r="A3" s="9" t="s">
        <v>54</v>
      </c>
      <c r="C3" s="10"/>
    </row>
    <row r="5" spans="1:3" x14ac:dyDescent="0.25">
      <c r="A5" s="11" t="s">
        <v>47</v>
      </c>
      <c r="B5" s="11" t="s">
        <v>48</v>
      </c>
    </row>
    <row r="6" spans="1:3" x14ac:dyDescent="0.25">
      <c r="A6" s="8" t="s">
        <v>49</v>
      </c>
      <c r="B6" s="8" t="s">
        <v>53</v>
      </c>
    </row>
    <row r="7" spans="1:3" x14ac:dyDescent="0.25">
      <c r="A7" s="8"/>
      <c r="B7" s="8"/>
    </row>
    <row r="8" spans="1:3" x14ac:dyDescent="0.25">
      <c r="A8" s="8" t="s">
        <v>50</v>
      </c>
      <c r="B8" s="8" t="s">
        <v>51</v>
      </c>
    </row>
    <row r="9" spans="1:3" x14ac:dyDescent="0.25">
      <c r="A9" s="8"/>
      <c r="B9" s="8"/>
    </row>
    <row r="10" spans="1:3" x14ac:dyDescent="0.25">
      <c r="A10" s="8" t="s">
        <v>45</v>
      </c>
      <c r="B10" s="8" t="s">
        <v>52</v>
      </c>
    </row>
    <row r="12" spans="1:3" x14ac:dyDescent="0.25">
      <c r="A12" s="9" t="s">
        <v>55</v>
      </c>
    </row>
    <row r="13" spans="1:3" x14ac:dyDescent="0.25">
      <c r="B13" t="s">
        <v>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S24"/>
  <sheetViews>
    <sheetView showGridLines="0" workbookViewId="0"/>
  </sheetViews>
  <sheetFormatPr defaultRowHeight="15" x14ac:dyDescent="0.25"/>
  <cols>
    <col min="1" max="2" width="9.140625" customWidth="1"/>
    <col min="13" max="13" width="18.42578125" style="13" customWidth="1"/>
  </cols>
  <sheetData>
    <row r="1" spans="1:14" x14ac:dyDescent="0.25">
      <c r="B1" s="9" t="s">
        <v>57</v>
      </c>
      <c r="M1" s="12" t="s">
        <v>58</v>
      </c>
      <c r="N1" s="12" t="s">
        <v>59</v>
      </c>
    </row>
    <row r="2" spans="1:14" x14ac:dyDescent="0.25">
      <c r="L2" s="15"/>
      <c r="M2" s="16"/>
    </row>
    <row r="3" spans="1:14" ht="15" customHeight="1" x14ac:dyDescent="0.25">
      <c r="A3">
        <v>1</v>
      </c>
      <c r="B3" t="s">
        <v>60</v>
      </c>
      <c r="L3" s="15"/>
      <c r="M3" s="16"/>
    </row>
    <row r="4" spans="1:14" x14ac:dyDescent="0.25">
      <c r="A4">
        <v>2</v>
      </c>
      <c r="B4" t="s">
        <v>61</v>
      </c>
      <c r="L4" s="15"/>
      <c r="M4" s="16"/>
    </row>
    <row r="5" spans="1:14" x14ac:dyDescent="0.25">
      <c r="A5">
        <v>3</v>
      </c>
      <c r="B5" t="s">
        <v>62</v>
      </c>
      <c r="L5" s="15"/>
      <c r="M5" s="16"/>
    </row>
    <row r="6" spans="1:14" x14ac:dyDescent="0.25">
      <c r="L6" s="15"/>
      <c r="M6" s="16"/>
    </row>
    <row r="7" spans="1:14" x14ac:dyDescent="0.25">
      <c r="B7" s="9" t="s">
        <v>63</v>
      </c>
      <c r="L7" s="15"/>
      <c r="M7" s="16"/>
    </row>
    <row r="8" spans="1:14" x14ac:dyDescent="0.25">
      <c r="B8" s="9"/>
      <c r="L8" s="15"/>
      <c r="M8" s="16"/>
    </row>
    <row r="9" spans="1:14" x14ac:dyDescent="0.25">
      <c r="A9">
        <v>4</v>
      </c>
      <c r="B9" t="s">
        <v>76</v>
      </c>
      <c r="L9" s="15"/>
      <c r="M9" s="16"/>
    </row>
    <row r="10" spans="1:14" x14ac:dyDescent="0.25">
      <c r="A10">
        <v>5</v>
      </c>
      <c r="B10" t="s">
        <v>75</v>
      </c>
      <c r="L10" s="15"/>
      <c r="M10" s="16"/>
    </row>
    <row r="11" spans="1:14" x14ac:dyDescent="0.25">
      <c r="A11">
        <v>6</v>
      </c>
      <c r="B11" t="s">
        <v>64</v>
      </c>
      <c r="L11" s="15"/>
      <c r="M11" s="16"/>
    </row>
    <row r="12" spans="1:14" x14ac:dyDescent="0.25">
      <c r="A12">
        <v>7</v>
      </c>
      <c r="B12" t="s">
        <v>65</v>
      </c>
      <c r="L12" s="15"/>
      <c r="M12" s="16"/>
    </row>
    <row r="13" spans="1:14" x14ac:dyDescent="0.25">
      <c r="A13">
        <v>8</v>
      </c>
      <c r="B13" t="s">
        <v>66</v>
      </c>
      <c r="L13" s="15"/>
      <c r="M13" s="16"/>
    </row>
    <row r="14" spans="1:14" x14ac:dyDescent="0.25">
      <c r="A14">
        <v>9</v>
      </c>
      <c r="B14" t="s">
        <v>67</v>
      </c>
      <c r="L14" s="15"/>
      <c r="M14" s="16"/>
    </row>
    <row r="15" spans="1:14" x14ac:dyDescent="0.25">
      <c r="A15">
        <v>10</v>
      </c>
      <c r="B15" t="s">
        <v>68</v>
      </c>
      <c r="L15" s="15"/>
      <c r="M15" s="16"/>
    </row>
    <row r="16" spans="1:14" x14ac:dyDescent="0.25">
      <c r="A16">
        <v>11</v>
      </c>
      <c r="B16" t="s">
        <v>69</v>
      </c>
      <c r="L16" s="15"/>
      <c r="M16" s="16"/>
    </row>
    <row r="17" spans="1:19" x14ac:dyDescent="0.25">
      <c r="L17" s="15"/>
      <c r="M17" s="16"/>
    </row>
    <row r="18" spans="1:19" x14ac:dyDescent="0.25">
      <c r="L18" s="15"/>
      <c r="M18" s="16"/>
    </row>
    <row r="19" spans="1:19" x14ac:dyDescent="0.25">
      <c r="B19" s="9" t="s">
        <v>70</v>
      </c>
      <c r="L19" s="15"/>
      <c r="M19" s="16"/>
    </row>
    <row r="20" spans="1:19" x14ac:dyDescent="0.25">
      <c r="L20" s="15"/>
      <c r="M20" s="16"/>
    </row>
    <row r="21" spans="1:19" x14ac:dyDescent="0.25">
      <c r="A21">
        <v>12</v>
      </c>
      <c r="B21" t="s">
        <v>71</v>
      </c>
      <c r="L21" s="15"/>
      <c r="M21" s="16"/>
    </row>
    <row r="22" spans="1:19" x14ac:dyDescent="0.25">
      <c r="B22" s="14" t="s">
        <v>72</v>
      </c>
      <c r="C22" s="15"/>
      <c r="D22" s="15"/>
      <c r="E22" s="15"/>
      <c r="F22" s="15"/>
      <c r="G22" s="15"/>
      <c r="H22" s="15"/>
      <c r="I22" s="15"/>
      <c r="J22" s="15"/>
      <c r="K22" s="15"/>
      <c r="L22" s="15"/>
      <c r="M22" s="15"/>
      <c r="N22" s="15"/>
      <c r="O22" s="15"/>
      <c r="P22" s="15"/>
      <c r="Q22" s="15"/>
      <c r="R22" s="15"/>
      <c r="S22" s="15"/>
    </row>
    <row r="23" spans="1:19" x14ac:dyDescent="0.25">
      <c r="A23">
        <v>13</v>
      </c>
      <c r="B23" t="s">
        <v>73</v>
      </c>
    </row>
    <row r="24" spans="1:19" x14ac:dyDescent="0.25">
      <c r="A24">
        <v>14</v>
      </c>
      <c r="B24" t="s">
        <v>74</v>
      </c>
    </row>
  </sheetData>
  <hyperlinks>
    <hyperlink ref="B22"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Check Box 1">
              <controlPr defaultSize="0" autoFill="0" autoLine="0" autoPict="0">
                <anchor moveWithCells="1">
                  <from>
                    <xdr:col>12</xdr:col>
                    <xdr:colOff>19050</xdr:colOff>
                    <xdr:row>1</xdr:row>
                    <xdr:rowOff>171450</xdr:rowOff>
                  </from>
                  <to>
                    <xdr:col>12</xdr:col>
                    <xdr:colOff>800100</xdr:colOff>
                    <xdr:row>3</xdr:row>
                    <xdr:rowOff>0</xdr:rowOff>
                  </to>
                </anchor>
              </controlPr>
            </control>
          </mc:Choice>
        </mc:AlternateContent>
        <mc:AlternateContent xmlns:mc="http://schemas.openxmlformats.org/markup-compatibility/2006">
          <mc:Choice Requires="x14">
            <control shapeId="13314" r:id="rId6" name="Check Box 2">
              <controlPr defaultSize="0" autoFill="0" autoLine="0" autoPict="0">
                <anchor moveWithCells="1">
                  <from>
                    <xdr:col>12</xdr:col>
                    <xdr:colOff>19050</xdr:colOff>
                    <xdr:row>3</xdr:row>
                    <xdr:rowOff>0</xdr:rowOff>
                  </from>
                  <to>
                    <xdr:col>12</xdr:col>
                    <xdr:colOff>800100</xdr:colOff>
                    <xdr:row>4</xdr:row>
                    <xdr:rowOff>19050</xdr:rowOff>
                  </to>
                </anchor>
              </controlPr>
            </control>
          </mc:Choice>
        </mc:AlternateContent>
        <mc:AlternateContent xmlns:mc="http://schemas.openxmlformats.org/markup-compatibility/2006">
          <mc:Choice Requires="x14">
            <control shapeId="13315" r:id="rId7" name="Check Box 3">
              <controlPr defaultSize="0" autoFill="0" autoLine="0" autoPict="0">
                <anchor moveWithCells="1">
                  <from>
                    <xdr:col>12</xdr:col>
                    <xdr:colOff>19050</xdr:colOff>
                    <xdr:row>4</xdr:row>
                    <xdr:rowOff>0</xdr:rowOff>
                  </from>
                  <to>
                    <xdr:col>12</xdr:col>
                    <xdr:colOff>800100</xdr:colOff>
                    <xdr:row>5</xdr:row>
                    <xdr:rowOff>19050</xdr:rowOff>
                  </to>
                </anchor>
              </controlPr>
            </control>
          </mc:Choice>
        </mc:AlternateContent>
        <mc:AlternateContent xmlns:mc="http://schemas.openxmlformats.org/markup-compatibility/2006">
          <mc:Choice Requires="x14">
            <control shapeId="13316" r:id="rId8" name="Check Box 4">
              <controlPr defaultSize="0" autoFill="0" autoLine="0" autoPict="0">
                <anchor moveWithCells="1">
                  <from>
                    <xdr:col>12</xdr:col>
                    <xdr:colOff>19050</xdr:colOff>
                    <xdr:row>10</xdr:row>
                    <xdr:rowOff>0</xdr:rowOff>
                  </from>
                  <to>
                    <xdr:col>12</xdr:col>
                    <xdr:colOff>800100</xdr:colOff>
                    <xdr:row>11</xdr:row>
                    <xdr:rowOff>19050</xdr:rowOff>
                  </to>
                </anchor>
              </controlPr>
            </control>
          </mc:Choice>
        </mc:AlternateContent>
        <mc:AlternateContent xmlns:mc="http://schemas.openxmlformats.org/markup-compatibility/2006">
          <mc:Choice Requires="x14">
            <control shapeId="13317" r:id="rId9" name="Check Box 5">
              <controlPr defaultSize="0" autoFill="0" autoLine="0" autoPict="0">
                <anchor moveWithCells="1">
                  <from>
                    <xdr:col>12</xdr:col>
                    <xdr:colOff>19050</xdr:colOff>
                    <xdr:row>11</xdr:row>
                    <xdr:rowOff>0</xdr:rowOff>
                  </from>
                  <to>
                    <xdr:col>12</xdr:col>
                    <xdr:colOff>762000</xdr:colOff>
                    <xdr:row>12</xdr:row>
                    <xdr:rowOff>19050</xdr:rowOff>
                  </to>
                </anchor>
              </controlPr>
            </control>
          </mc:Choice>
        </mc:AlternateContent>
        <mc:AlternateContent xmlns:mc="http://schemas.openxmlformats.org/markup-compatibility/2006">
          <mc:Choice Requires="x14">
            <control shapeId="13318" r:id="rId10" name="Check Box 6">
              <controlPr defaultSize="0" autoFill="0" autoLine="0" autoPict="0">
                <anchor moveWithCells="1">
                  <from>
                    <xdr:col>12</xdr:col>
                    <xdr:colOff>19050</xdr:colOff>
                    <xdr:row>12</xdr:row>
                    <xdr:rowOff>0</xdr:rowOff>
                  </from>
                  <to>
                    <xdr:col>12</xdr:col>
                    <xdr:colOff>800100</xdr:colOff>
                    <xdr:row>13</xdr:row>
                    <xdr:rowOff>19050</xdr:rowOff>
                  </to>
                </anchor>
              </controlPr>
            </control>
          </mc:Choice>
        </mc:AlternateContent>
        <mc:AlternateContent xmlns:mc="http://schemas.openxmlformats.org/markup-compatibility/2006">
          <mc:Choice Requires="x14">
            <control shapeId="13319" r:id="rId11" name="Check Box 7">
              <controlPr defaultSize="0" autoFill="0" autoLine="0" autoPict="0">
                <anchor moveWithCells="1">
                  <from>
                    <xdr:col>12</xdr:col>
                    <xdr:colOff>19050</xdr:colOff>
                    <xdr:row>13</xdr:row>
                    <xdr:rowOff>0</xdr:rowOff>
                  </from>
                  <to>
                    <xdr:col>12</xdr:col>
                    <xdr:colOff>800100</xdr:colOff>
                    <xdr:row>14</xdr:row>
                    <xdr:rowOff>19050</xdr:rowOff>
                  </to>
                </anchor>
              </controlPr>
            </control>
          </mc:Choice>
        </mc:AlternateContent>
        <mc:AlternateContent xmlns:mc="http://schemas.openxmlformats.org/markup-compatibility/2006">
          <mc:Choice Requires="x14">
            <control shapeId="13320" r:id="rId12" name="Check Box 8">
              <controlPr defaultSize="0" autoFill="0" autoLine="0" autoPict="0">
                <anchor moveWithCells="1">
                  <from>
                    <xdr:col>12</xdr:col>
                    <xdr:colOff>19050</xdr:colOff>
                    <xdr:row>14</xdr:row>
                    <xdr:rowOff>0</xdr:rowOff>
                  </from>
                  <to>
                    <xdr:col>12</xdr:col>
                    <xdr:colOff>800100</xdr:colOff>
                    <xdr:row>15</xdr:row>
                    <xdr:rowOff>19050</xdr:rowOff>
                  </to>
                </anchor>
              </controlPr>
            </control>
          </mc:Choice>
        </mc:AlternateContent>
        <mc:AlternateContent xmlns:mc="http://schemas.openxmlformats.org/markup-compatibility/2006">
          <mc:Choice Requires="x14">
            <control shapeId="13321" r:id="rId13" name="Check Box 9">
              <controlPr defaultSize="0" autoFill="0" autoLine="0" autoPict="0">
                <anchor moveWithCells="1">
                  <from>
                    <xdr:col>12</xdr:col>
                    <xdr:colOff>19050</xdr:colOff>
                    <xdr:row>15</xdr:row>
                    <xdr:rowOff>0</xdr:rowOff>
                  </from>
                  <to>
                    <xdr:col>12</xdr:col>
                    <xdr:colOff>857250</xdr:colOff>
                    <xdr:row>16</xdr:row>
                    <xdr:rowOff>19050</xdr:rowOff>
                  </to>
                </anchor>
              </controlPr>
            </control>
          </mc:Choice>
        </mc:AlternateContent>
        <mc:AlternateContent xmlns:mc="http://schemas.openxmlformats.org/markup-compatibility/2006">
          <mc:Choice Requires="x14">
            <control shapeId="13322" r:id="rId14" name="Check Box 10">
              <controlPr defaultSize="0" autoFill="0" autoLine="0" autoPict="0">
                <anchor moveWithCells="1">
                  <from>
                    <xdr:col>12</xdr:col>
                    <xdr:colOff>9525</xdr:colOff>
                    <xdr:row>19</xdr:row>
                    <xdr:rowOff>171450</xdr:rowOff>
                  </from>
                  <to>
                    <xdr:col>12</xdr:col>
                    <xdr:colOff>847725</xdr:colOff>
                    <xdr:row>21</xdr:row>
                    <xdr:rowOff>0</xdr:rowOff>
                  </to>
                </anchor>
              </controlPr>
            </control>
          </mc:Choice>
        </mc:AlternateContent>
        <mc:AlternateContent xmlns:mc="http://schemas.openxmlformats.org/markup-compatibility/2006">
          <mc:Choice Requires="x14">
            <control shapeId="13323" r:id="rId15" name="Check Box 11">
              <controlPr defaultSize="0" autoFill="0" autoLine="0" autoPict="0">
                <anchor moveWithCells="1">
                  <from>
                    <xdr:col>12</xdr:col>
                    <xdr:colOff>9525</xdr:colOff>
                    <xdr:row>22</xdr:row>
                    <xdr:rowOff>0</xdr:rowOff>
                  </from>
                  <to>
                    <xdr:col>12</xdr:col>
                    <xdr:colOff>847725</xdr:colOff>
                    <xdr:row>23</xdr:row>
                    <xdr:rowOff>19050</xdr:rowOff>
                  </to>
                </anchor>
              </controlPr>
            </control>
          </mc:Choice>
        </mc:AlternateContent>
        <mc:AlternateContent xmlns:mc="http://schemas.openxmlformats.org/markup-compatibility/2006">
          <mc:Choice Requires="x14">
            <control shapeId="13324" r:id="rId16" name="Check Box 12">
              <controlPr defaultSize="0" autoFill="0" autoLine="0" autoPict="0">
                <anchor moveWithCells="1">
                  <from>
                    <xdr:col>12</xdr:col>
                    <xdr:colOff>9525</xdr:colOff>
                    <xdr:row>23</xdr:row>
                    <xdr:rowOff>0</xdr:rowOff>
                  </from>
                  <to>
                    <xdr:col>12</xdr:col>
                    <xdr:colOff>847725</xdr:colOff>
                    <xdr:row>24</xdr:row>
                    <xdr:rowOff>19050</xdr:rowOff>
                  </to>
                </anchor>
              </controlPr>
            </control>
          </mc:Choice>
        </mc:AlternateContent>
        <mc:AlternateContent xmlns:mc="http://schemas.openxmlformats.org/markup-compatibility/2006">
          <mc:Choice Requires="x14">
            <control shapeId="13326" r:id="rId17" name="Check Box 14">
              <controlPr defaultSize="0" autoFill="0" autoLine="0" autoPict="0">
                <anchor moveWithCells="1">
                  <from>
                    <xdr:col>12</xdr:col>
                    <xdr:colOff>19050</xdr:colOff>
                    <xdr:row>7</xdr:row>
                    <xdr:rowOff>95250</xdr:rowOff>
                  </from>
                  <to>
                    <xdr:col>12</xdr:col>
                    <xdr:colOff>323850</xdr:colOff>
                    <xdr:row>8</xdr:row>
                    <xdr:rowOff>123825</xdr:rowOff>
                  </to>
                </anchor>
              </controlPr>
            </control>
          </mc:Choice>
        </mc:AlternateContent>
        <mc:AlternateContent xmlns:mc="http://schemas.openxmlformats.org/markup-compatibility/2006">
          <mc:Choice Requires="x14">
            <control shapeId="13327" r:id="rId18" name="Check Box 15">
              <controlPr defaultSize="0" autoFill="0" autoLine="0" autoPict="0">
                <anchor moveWithCells="1">
                  <from>
                    <xdr:col>12</xdr:col>
                    <xdr:colOff>19050</xdr:colOff>
                    <xdr:row>8</xdr:row>
                    <xdr:rowOff>57150</xdr:rowOff>
                  </from>
                  <to>
                    <xdr:col>12</xdr:col>
                    <xdr:colOff>323850</xdr:colOff>
                    <xdr:row>9</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E1:F1"/>
  <sheetViews>
    <sheetView workbookViewId="0">
      <selection activeCell="J27" sqref="J27"/>
    </sheetView>
  </sheetViews>
  <sheetFormatPr defaultRowHeight="15" x14ac:dyDescent="0.25"/>
  <sheetData>
    <row r="1" spans="5:6" ht="18.75" x14ac:dyDescent="0.3">
      <c r="E1" s="17" t="s">
        <v>41</v>
      </c>
      <c r="F1" s="17"/>
    </row>
  </sheetData>
  <mergeCells count="1">
    <mergeCell ref="E1:F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end_Sheet">
                <anchor moveWithCells="1" sizeWithCells="1">
                  <from>
                    <xdr:col>11</xdr:col>
                    <xdr:colOff>19050</xdr:colOff>
                    <xdr:row>1</xdr:row>
                    <xdr:rowOff>9525</xdr:rowOff>
                  </from>
                  <to>
                    <xdr:col>14</xdr:col>
                    <xdr:colOff>0</xdr:colOff>
                    <xdr:row>4</xdr:row>
                    <xdr:rowOff>9525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H22"/>
  <sheetViews>
    <sheetView tabSelected="1" workbookViewId="0">
      <selection activeCell="R13" sqref="R13"/>
    </sheetView>
  </sheetViews>
  <sheetFormatPr defaultRowHeight="15" x14ac:dyDescent="0.25"/>
  <sheetData>
    <row r="1" spans="5:8" ht="18.75" x14ac:dyDescent="0.3">
      <c r="E1" s="6" t="s">
        <v>42</v>
      </c>
      <c r="F1" s="6"/>
      <c r="G1" s="6"/>
      <c r="H1" s="3"/>
    </row>
    <row r="3" spans="5:8" ht="18.75" x14ac:dyDescent="0.3">
      <c r="E3" s="6" t="s">
        <v>43</v>
      </c>
    </row>
    <row r="22" spans="5:7" ht="18.75" x14ac:dyDescent="0.3">
      <c r="E22" s="6" t="s">
        <v>44</v>
      </c>
      <c r="F22" s="6"/>
      <c r="G22" s="6"/>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0"/>
  <sheetViews>
    <sheetView topLeftCell="B1" workbookViewId="0">
      <selection activeCell="G4" sqref="G4"/>
    </sheetView>
  </sheetViews>
  <sheetFormatPr defaultRowHeight="15" x14ac:dyDescent="0.25"/>
  <cols>
    <col min="1" max="2" width="13.140625" bestFit="1" customWidth="1"/>
    <col min="3" max="3" width="26.5703125" bestFit="1" customWidth="1"/>
    <col min="4" max="4" width="8.28515625" bestFit="1" customWidth="1"/>
    <col min="5" max="5" width="38.85546875" bestFit="1" customWidth="1"/>
    <col min="6" max="6" width="53" bestFit="1" customWidth="1"/>
    <col min="7" max="7" width="70.28515625" bestFit="1" customWidth="1"/>
    <col min="8" max="8" width="53" bestFit="1" customWidth="1"/>
  </cols>
  <sheetData>
    <row r="1" spans="1:7" ht="18.75" x14ac:dyDescent="0.3">
      <c r="A1" s="17" t="s">
        <v>79</v>
      </c>
      <c r="B1" s="17"/>
      <c r="C1" s="17"/>
    </row>
    <row r="3" spans="1:7" x14ac:dyDescent="0.25">
      <c r="B3" t="s">
        <v>0</v>
      </c>
      <c r="C3" t="s">
        <v>80</v>
      </c>
      <c r="D3" t="s">
        <v>81</v>
      </c>
      <c r="E3" t="s">
        <v>82</v>
      </c>
      <c r="F3" t="s">
        <v>43</v>
      </c>
      <c r="G3" t="s">
        <v>84</v>
      </c>
    </row>
    <row r="4" spans="1:7" x14ac:dyDescent="0.25">
      <c r="B4" s="3" t="s">
        <v>90</v>
      </c>
      <c r="C4" s="3" t="s">
        <v>90</v>
      </c>
      <c r="D4" s="3" t="s">
        <v>109</v>
      </c>
      <c r="E4" s="3" t="s">
        <v>110</v>
      </c>
      <c r="F4" s="3" t="s">
        <v>111</v>
      </c>
      <c r="G4" s="3" t="str">
        <f>VLOOKUP(OtherChecksTable[[#This Row],[Population]]&amp;OtherChecksTable[[#This Row],[Tabs]]&amp;OtherChecksTable[[#This Row],[Checks]],OtherChecksPrdTable[],6,FALSE)</f>
        <v>February-17(87%), March-17(93%), April-17(42%</v>
      </c>
    </row>
    <row r="5" spans="1:7" x14ac:dyDescent="0.25">
      <c r="B5" s="3" t="s">
        <v>90</v>
      </c>
      <c r="C5" s="3" t="s">
        <v>90</v>
      </c>
      <c r="D5" s="3" t="s">
        <v>112</v>
      </c>
      <c r="E5" s="3" t="s">
        <v>113</v>
      </c>
      <c r="F5" s="3" t="s">
        <v>114</v>
      </c>
      <c r="G5" s="18" t="str">
        <f>VLOOKUP(OtherChecksTable[[#This Row],[Population]]&amp;OtherChecksTable[[#This Row],[Tabs]]&amp;OtherChecksTable[[#This Row],[Checks]],OtherChecksPrdTable[],6,FALSE)</f>
        <v>5370</v>
      </c>
    </row>
    <row r="6" spans="1:7" x14ac:dyDescent="0.25">
      <c r="B6" s="3" t="s">
        <v>90</v>
      </c>
      <c r="C6" s="3" t="s">
        <v>90</v>
      </c>
      <c r="D6" s="3" t="s">
        <v>115</v>
      </c>
      <c r="E6" s="3" t="s">
        <v>116</v>
      </c>
      <c r="F6" s="3" t="s">
        <v>117</v>
      </c>
      <c r="G6" s="18" t="str">
        <f>VLOOKUP(OtherChecksTable[[#This Row],[Population]]&amp;OtherChecksTable[[#This Row],[Tabs]]&amp;OtherChecksTable[[#This Row],[Checks]],OtherChecksPrdTable[],6,FALSE)</f>
        <v>772</v>
      </c>
    </row>
    <row r="7" spans="1:7" x14ac:dyDescent="0.25">
      <c r="B7" s="3" t="s">
        <v>90</v>
      </c>
      <c r="C7" s="3" t="s">
        <v>90</v>
      </c>
      <c r="D7" s="3" t="s">
        <v>115</v>
      </c>
      <c r="E7" s="3" t="s">
        <v>118</v>
      </c>
      <c r="F7" s="3" t="s">
        <v>119</v>
      </c>
      <c r="G7" s="18" t="str">
        <f>VLOOKUP(OtherChecksTable[[#This Row],[Population]]&amp;OtherChecksTable[[#This Row],[Tabs]]&amp;OtherChecksTable[[#This Row],[Checks]],OtherChecksPrdTable[],6,FALSE)</f>
        <v>52</v>
      </c>
    </row>
    <row r="8" spans="1:7" x14ac:dyDescent="0.25">
      <c r="B8" s="3" t="s">
        <v>90</v>
      </c>
      <c r="C8" s="3" t="s">
        <v>90</v>
      </c>
      <c r="D8" s="3" t="s">
        <v>115</v>
      </c>
      <c r="E8" s="3" t="s">
        <v>120</v>
      </c>
      <c r="F8" s="3" t="s">
        <v>121</v>
      </c>
      <c r="G8" s="18" t="str">
        <f>VLOOKUP(OtherChecksTable[[#This Row],[Population]]&amp;OtherChecksTable[[#This Row],[Tabs]]&amp;OtherChecksTable[[#This Row],[Checks]],OtherChecksPrdTable[],6,FALSE)</f>
        <v>361</v>
      </c>
    </row>
    <row r="9" spans="1:7" x14ac:dyDescent="0.25">
      <c r="B9" s="3" t="s">
        <v>90</v>
      </c>
      <c r="C9" s="3" t="s">
        <v>90</v>
      </c>
      <c r="D9" s="3" t="s">
        <v>115</v>
      </c>
      <c r="E9" s="3" t="s">
        <v>122</v>
      </c>
      <c r="F9" s="3" t="s">
        <v>123</v>
      </c>
      <c r="G9" s="18" t="str">
        <f>VLOOKUP(OtherChecksTable[[#This Row],[Population]]&amp;OtherChecksTable[[#This Row],[Tabs]]&amp;OtherChecksTable[[#This Row],[Checks]],OtherChecksPrdTable[],6,FALSE)</f>
        <v>320</v>
      </c>
    </row>
    <row r="10" spans="1:7" x14ac:dyDescent="0.25">
      <c r="B10" s="3" t="s">
        <v>90</v>
      </c>
      <c r="C10" s="3" t="s">
        <v>90</v>
      </c>
      <c r="D10" s="3" t="s">
        <v>124</v>
      </c>
      <c r="E10" s="3" t="s">
        <v>125</v>
      </c>
      <c r="F10" s="3" t="s">
        <v>126</v>
      </c>
      <c r="G10" s="18" t="str">
        <f>VLOOKUP(OtherChecksTable[[#This Row],[Population]]&amp;OtherChecksTable[[#This Row],[Tabs]]&amp;OtherChecksTable[[#This Row],[Checks]],OtherChecksPrdTable[],6,FALSE)</f>
        <v>460</v>
      </c>
    </row>
  </sheetData>
  <mergeCells count="1">
    <mergeCell ref="A1:C1"/>
  </mergeCell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31"/>
  <sheetViews>
    <sheetView topLeftCell="D1" workbookViewId="0">
      <selection activeCell="G23" sqref="G23"/>
    </sheetView>
  </sheetViews>
  <sheetFormatPr defaultRowHeight="15" x14ac:dyDescent="0.25"/>
  <cols>
    <col min="1" max="1" width="13" customWidth="1"/>
    <col min="2" max="2" width="26.5703125" bestFit="1" customWidth="1"/>
    <col min="3" max="3" width="78.5703125" bestFit="1" customWidth="1"/>
    <col min="4" max="4" width="26.5703125" bestFit="1" customWidth="1"/>
    <col min="5" max="5" width="8.28515625" bestFit="1" customWidth="1"/>
    <col min="6" max="6" width="38.85546875" bestFit="1" customWidth="1"/>
    <col min="7" max="7" width="53" bestFit="1" customWidth="1"/>
  </cols>
  <sheetData>
    <row r="1" spans="1:8" ht="18.75" x14ac:dyDescent="0.3">
      <c r="A1" s="17" t="s">
        <v>79</v>
      </c>
      <c r="B1" s="17"/>
      <c r="C1" s="17"/>
    </row>
    <row r="3" spans="1:8" x14ac:dyDescent="0.25">
      <c r="C3" t="s">
        <v>38</v>
      </c>
      <c r="D3" t="s">
        <v>0</v>
      </c>
      <c r="E3" t="s">
        <v>80</v>
      </c>
      <c r="F3" t="s">
        <v>81</v>
      </c>
      <c r="G3" t="s">
        <v>82</v>
      </c>
      <c r="H3" t="s">
        <v>83</v>
      </c>
    </row>
    <row r="4" spans="1:8" x14ac:dyDescent="0.25">
      <c r="C4" t="str">
        <f>OtherChecksPrdTable[[#This Row],[Population]]&amp;OtherChecksPrdTable[[#This Row],[Tabs]]&amp;OtherChecksPrdTable[[#This Row],[Checks]]</f>
        <v>BAYVIEW EMPLOYEEFocusNo of Incomplete Months</v>
      </c>
      <c r="D4" t="s">
        <v>127</v>
      </c>
      <c r="E4" t="s">
        <v>127</v>
      </c>
      <c r="F4" t="s">
        <v>109</v>
      </c>
      <c r="G4" t="s">
        <v>110</v>
      </c>
      <c r="H4" t="s">
        <v>135</v>
      </c>
    </row>
    <row r="5" spans="1:8" x14ac:dyDescent="0.25">
      <c r="C5" s="5" t="str">
        <f>OtherChecksPrdTable[[#This Row],[Population]]&amp;OtherChecksPrdTable[[#This Row],[Tabs]]&amp;OtherChecksPrdTable[[#This Row],[Checks]]</f>
        <v>BAYVIEW EMPLOYEEPatientsNo of Patients</v>
      </c>
      <c r="D5" t="s">
        <v>127</v>
      </c>
      <c r="E5" t="s">
        <v>127</v>
      </c>
      <c r="F5" t="s">
        <v>112</v>
      </c>
      <c r="G5" t="s">
        <v>113</v>
      </c>
      <c r="H5" t="s">
        <v>136</v>
      </c>
    </row>
    <row r="6" spans="1:8" x14ac:dyDescent="0.25">
      <c r="C6" s="5" t="str">
        <f>OtherChecksPrdTable[[#This Row],[Population]]&amp;OtherChecksPrdTable[[#This Row],[Tabs]]&amp;OtherChecksPrdTable[[#This Row],[Checks]]</f>
        <v>BAYVIEW EMPLOYEEPCPsNo of PCPs</v>
      </c>
      <c r="D6" t="s">
        <v>127</v>
      </c>
      <c r="E6" t="s">
        <v>127</v>
      </c>
      <c r="F6" t="s">
        <v>115</v>
      </c>
      <c r="G6" t="s">
        <v>116</v>
      </c>
      <c r="H6" t="s">
        <v>137</v>
      </c>
    </row>
    <row r="7" spans="1:8" x14ac:dyDescent="0.25">
      <c r="C7" s="5" t="str">
        <f>OtherChecksPrdTable[[#This Row],[Population]]&amp;OtherChecksPrdTable[[#This Row],[Tabs]]&amp;OtherChecksPrdTable[[#This Row],[Checks]]</f>
        <v>BAYVIEW EMPLOYEEPCPsPCPs - Not Affiliated with practice</v>
      </c>
      <c r="D7" t="s">
        <v>127</v>
      </c>
      <c r="E7" t="s">
        <v>127</v>
      </c>
      <c r="F7" t="s">
        <v>115</v>
      </c>
      <c r="G7" t="s">
        <v>118</v>
      </c>
      <c r="H7" t="s">
        <v>138</v>
      </c>
    </row>
    <row r="8" spans="1:8" x14ac:dyDescent="0.25">
      <c r="C8" s="5" t="str">
        <f>OtherChecksPrdTable[[#This Row],[Population]]&amp;OtherChecksPrdTable[[#This Row],[Tabs]]&amp;OtherChecksPrdTable[[#This Row],[Checks]]</f>
        <v>BAYVIEW EMPLOYEEPCPsPCPs with "Non-Domestic" Network Affiliation</v>
      </c>
      <c r="D8" t="s">
        <v>127</v>
      </c>
      <c r="E8" t="s">
        <v>127</v>
      </c>
      <c r="F8" t="s">
        <v>115</v>
      </c>
      <c r="G8" t="s">
        <v>120</v>
      </c>
      <c r="H8" t="s">
        <v>139</v>
      </c>
    </row>
    <row r="9" spans="1:8" x14ac:dyDescent="0.25">
      <c r="C9" s="5" t="str">
        <f>OtherChecksPrdTable[[#This Row],[Population]]&amp;OtherChecksPrdTable[[#This Row],[Tabs]]&amp;OtherChecksPrdTable[[#This Row],[Checks]]</f>
        <v>BAYVIEW EMPLOYEEPCPsPCPs with "Unknown" Network Affiliation</v>
      </c>
      <c r="D9" t="s">
        <v>127</v>
      </c>
      <c r="E9" t="s">
        <v>127</v>
      </c>
      <c r="F9" t="s">
        <v>115</v>
      </c>
      <c r="G9" t="s">
        <v>122</v>
      </c>
      <c r="H9" t="s">
        <v>140</v>
      </c>
    </row>
    <row r="10" spans="1:8" x14ac:dyDescent="0.25">
      <c r="C10" s="5" t="str">
        <f>OtherChecksPrdTable[[#This Row],[Population]]&amp;OtherChecksPrdTable[[#This Row],[Tabs]]&amp;OtherChecksPrdTable[[#This Row],[Checks]]</f>
        <v>BAYVIEW EMPLOYEEPracticeNo of Practice</v>
      </c>
      <c r="D10" t="s">
        <v>127</v>
      </c>
      <c r="E10" t="s">
        <v>127</v>
      </c>
      <c r="F10" t="s">
        <v>124</v>
      </c>
      <c r="G10" t="s">
        <v>125</v>
      </c>
      <c r="H10" t="s">
        <v>141</v>
      </c>
    </row>
    <row r="11" spans="1:8" x14ac:dyDescent="0.25">
      <c r="C11" s="5" t="str">
        <f>OtherChecksPrdTable[[#This Row],[Population]]&amp;OtherChecksPrdTable[[#This Row],[Tabs]]&amp;OtherChecksPrdTable[[#This Row],[Checks]]</f>
        <v>CHESAPEAKE EMPLOYEEFocusNo of Incomplete Months</v>
      </c>
      <c r="D11" t="s">
        <v>90</v>
      </c>
      <c r="E11" t="s">
        <v>90</v>
      </c>
      <c r="F11" t="s">
        <v>109</v>
      </c>
      <c r="G11" t="s">
        <v>110</v>
      </c>
      <c r="H11" t="s">
        <v>142</v>
      </c>
    </row>
    <row r="12" spans="1:8" x14ac:dyDescent="0.25">
      <c r="C12" s="5" t="str">
        <f>OtherChecksPrdTable[[#This Row],[Population]]&amp;OtherChecksPrdTable[[#This Row],[Tabs]]&amp;OtherChecksPrdTable[[#This Row],[Checks]]</f>
        <v>CHESAPEAKE EMPLOYEEPatientsNo of Patients</v>
      </c>
      <c r="D12" t="s">
        <v>90</v>
      </c>
      <c r="E12" t="s">
        <v>90</v>
      </c>
      <c r="F12" t="s">
        <v>112</v>
      </c>
      <c r="G12" t="s">
        <v>113</v>
      </c>
      <c r="H12" t="s">
        <v>143</v>
      </c>
    </row>
    <row r="13" spans="1:8" x14ac:dyDescent="0.25">
      <c r="C13" s="5" t="str">
        <f>OtherChecksPrdTable[[#This Row],[Population]]&amp;OtherChecksPrdTable[[#This Row],[Tabs]]&amp;OtherChecksPrdTable[[#This Row],[Checks]]</f>
        <v>CHESAPEAKE EMPLOYEEPCPsNo of PCPs</v>
      </c>
      <c r="D13" t="s">
        <v>90</v>
      </c>
      <c r="E13" t="s">
        <v>90</v>
      </c>
      <c r="F13" t="s">
        <v>115</v>
      </c>
      <c r="G13" t="s">
        <v>116</v>
      </c>
      <c r="H13" t="s">
        <v>144</v>
      </c>
    </row>
    <row r="14" spans="1:8" x14ac:dyDescent="0.25">
      <c r="C14" s="5" t="str">
        <f>OtherChecksPrdTable[[#This Row],[Population]]&amp;OtherChecksPrdTable[[#This Row],[Tabs]]&amp;OtherChecksPrdTable[[#This Row],[Checks]]</f>
        <v>CHESAPEAKE EMPLOYEEPCPsPCPs - Not Affiliated with practice</v>
      </c>
      <c r="D14" t="s">
        <v>90</v>
      </c>
      <c r="E14" t="s">
        <v>90</v>
      </c>
      <c r="F14" t="s">
        <v>115</v>
      </c>
      <c r="G14" t="s">
        <v>118</v>
      </c>
      <c r="H14" t="s">
        <v>145</v>
      </c>
    </row>
    <row r="15" spans="1:8" x14ac:dyDescent="0.25">
      <c r="C15" s="5" t="str">
        <f>OtherChecksPrdTable[[#This Row],[Population]]&amp;OtherChecksPrdTable[[#This Row],[Tabs]]&amp;OtherChecksPrdTable[[#This Row],[Checks]]</f>
        <v>CHESAPEAKE EMPLOYEEPCPsPCPs with "Non-Domestic" Network Affiliation</v>
      </c>
      <c r="D15" t="s">
        <v>90</v>
      </c>
      <c r="E15" t="s">
        <v>90</v>
      </c>
      <c r="F15" t="s">
        <v>115</v>
      </c>
      <c r="G15" t="s">
        <v>120</v>
      </c>
      <c r="H15" t="s">
        <v>146</v>
      </c>
    </row>
    <row r="16" spans="1:8" x14ac:dyDescent="0.25">
      <c r="C16" s="5" t="str">
        <f>OtherChecksPrdTable[[#This Row],[Population]]&amp;OtherChecksPrdTable[[#This Row],[Tabs]]&amp;OtherChecksPrdTable[[#This Row],[Checks]]</f>
        <v>CHESAPEAKE EMPLOYEEPCPsPCPs with "Unknown" Network Affiliation</v>
      </c>
      <c r="D16" t="s">
        <v>90</v>
      </c>
      <c r="E16" t="s">
        <v>90</v>
      </c>
      <c r="F16" t="s">
        <v>115</v>
      </c>
      <c r="G16" t="s">
        <v>122</v>
      </c>
      <c r="H16" t="s">
        <v>147</v>
      </c>
    </row>
    <row r="17" spans="3:8" x14ac:dyDescent="0.25">
      <c r="C17" s="5" t="str">
        <f>OtherChecksPrdTable[[#This Row],[Population]]&amp;OtherChecksPrdTable[[#This Row],[Tabs]]&amp;OtherChecksPrdTable[[#This Row],[Checks]]</f>
        <v>CHESAPEAKE EMPLOYEEPracticeNo of Practice</v>
      </c>
      <c r="D17" t="s">
        <v>90</v>
      </c>
      <c r="E17" t="s">
        <v>90</v>
      </c>
      <c r="F17" t="s">
        <v>124</v>
      </c>
      <c r="G17" t="s">
        <v>125</v>
      </c>
      <c r="H17" t="s">
        <v>126</v>
      </c>
    </row>
    <row r="18" spans="3:8" x14ac:dyDescent="0.25">
      <c r="C18" s="5" t="str">
        <f>OtherChecksPrdTable[[#This Row],[Population]]&amp;OtherChecksPrdTable[[#This Row],[Tabs]]&amp;OtherChecksPrdTable[[#This Row],[Checks]]</f>
        <v>MSSP_ATTRIBUTEDFocusNo of Incomplete Months</v>
      </c>
      <c r="D18" t="s">
        <v>128</v>
      </c>
      <c r="E18" t="s">
        <v>128</v>
      </c>
      <c r="F18" t="s">
        <v>109</v>
      </c>
      <c r="G18" t="s">
        <v>110</v>
      </c>
      <c r="H18" t="s">
        <v>148</v>
      </c>
    </row>
    <row r="19" spans="3:8" x14ac:dyDescent="0.25">
      <c r="C19" s="5" t="str">
        <f>OtherChecksPrdTable[[#This Row],[Population]]&amp;OtherChecksPrdTable[[#This Row],[Tabs]]&amp;OtherChecksPrdTable[[#This Row],[Checks]]</f>
        <v>MSSP_ATTRIBUTEDPatientsNo of Patients</v>
      </c>
      <c r="D19" t="s">
        <v>128</v>
      </c>
      <c r="E19" t="s">
        <v>128</v>
      </c>
      <c r="F19" t="s">
        <v>112</v>
      </c>
      <c r="G19" t="s">
        <v>113</v>
      </c>
      <c r="H19" t="s">
        <v>149</v>
      </c>
    </row>
    <row r="20" spans="3:8" x14ac:dyDescent="0.25">
      <c r="C20" s="5" t="str">
        <f>OtherChecksPrdTable[[#This Row],[Population]]&amp;OtherChecksPrdTable[[#This Row],[Tabs]]&amp;OtherChecksPrdTable[[#This Row],[Checks]]</f>
        <v>MSSP_ATTRIBUTEDPCPsNo of PCPs</v>
      </c>
      <c r="D20" t="s">
        <v>128</v>
      </c>
      <c r="E20" t="s">
        <v>128</v>
      </c>
      <c r="F20" t="s">
        <v>115</v>
      </c>
      <c r="G20" t="s">
        <v>116</v>
      </c>
      <c r="H20" t="s">
        <v>150</v>
      </c>
    </row>
    <row r="21" spans="3:8" x14ac:dyDescent="0.25">
      <c r="C21" s="5" t="str">
        <f>OtherChecksPrdTable[[#This Row],[Population]]&amp;OtherChecksPrdTable[[#This Row],[Tabs]]&amp;OtherChecksPrdTable[[#This Row],[Checks]]</f>
        <v>MSSP_ATTRIBUTEDPCPsPCPs - Not Affiliated with practice</v>
      </c>
      <c r="D21" t="s">
        <v>128</v>
      </c>
      <c r="E21" t="s">
        <v>128</v>
      </c>
      <c r="F21" t="s">
        <v>115</v>
      </c>
      <c r="G21" t="s">
        <v>118</v>
      </c>
      <c r="H21" t="s">
        <v>151</v>
      </c>
    </row>
    <row r="22" spans="3:8" x14ac:dyDescent="0.25">
      <c r="C22" s="5" t="str">
        <f>OtherChecksPrdTable[[#This Row],[Population]]&amp;OtherChecksPrdTable[[#This Row],[Tabs]]&amp;OtherChecksPrdTable[[#This Row],[Checks]]</f>
        <v>MSSP_ATTRIBUTEDPCPsPCPs with "Non-Domestic" Network Affiliation</v>
      </c>
      <c r="D22" t="s">
        <v>128</v>
      </c>
      <c r="E22" t="s">
        <v>128</v>
      </c>
      <c r="F22" t="s">
        <v>115</v>
      </c>
      <c r="G22" t="s">
        <v>120</v>
      </c>
      <c r="H22" t="s">
        <v>152</v>
      </c>
    </row>
    <row r="23" spans="3:8" x14ac:dyDescent="0.25">
      <c r="C23" s="5" t="str">
        <f>OtherChecksPrdTable[[#This Row],[Population]]&amp;OtherChecksPrdTable[[#This Row],[Tabs]]&amp;OtherChecksPrdTable[[#This Row],[Checks]]</f>
        <v>MSSP_ATTRIBUTEDPCPsPCPs with "Unknown" Network Affiliation</v>
      </c>
      <c r="D23" t="s">
        <v>128</v>
      </c>
      <c r="E23" t="s">
        <v>128</v>
      </c>
      <c r="F23" t="s">
        <v>115</v>
      </c>
      <c r="G23" t="s">
        <v>122</v>
      </c>
      <c r="H23" t="s">
        <v>139</v>
      </c>
    </row>
    <row r="24" spans="3:8" x14ac:dyDescent="0.25">
      <c r="C24" s="5" t="str">
        <f>OtherChecksPrdTable[[#This Row],[Population]]&amp;OtherChecksPrdTable[[#This Row],[Tabs]]&amp;OtherChecksPrdTable[[#This Row],[Checks]]</f>
        <v>MSSP_ATTRIBUTEDPracticeNo of Practice</v>
      </c>
      <c r="D24" t="s">
        <v>128</v>
      </c>
      <c r="E24" t="s">
        <v>128</v>
      </c>
      <c r="F24" t="s">
        <v>124</v>
      </c>
      <c r="G24" t="s">
        <v>125</v>
      </c>
      <c r="H24" t="s">
        <v>153</v>
      </c>
    </row>
    <row r="25" spans="3:8" x14ac:dyDescent="0.25">
      <c r="C25" s="5" t="str">
        <f>OtherChecksPrdTable[[#This Row],[Population]]&amp;OtherChecksPrdTable[[#This Row],[Tabs]]&amp;OtherChecksPrdTable[[#This Row],[Checks]]</f>
        <v>MSSP_NONATTRIBUTEDFocusNo of Incomplete Months</v>
      </c>
      <c r="D25" t="s">
        <v>129</v>
      </c>
      <c r="E25" t="s">
        <v>129</v>
      </c>
      <c r="F25" t="s">
        <v>109</v>
      </c>
      <c r="G25" t="s">
        <v>110</v>
      </c>
      <c r="H25" t="s">
        <v>154</v>
      </c>
    </row>
    <row r="26" spans="3:8" x14ac:dyDescent="0.25">
      <c r="C26" s="5" t="str">
        <f>OtherChecksPrdTable[[#This Row],[Population]]&amp;OtherChecksPrdTable[[#This Row],[Tabs]]&amp;OtherChecksPrdTable[[#This Row],[Checks]]</f>
        <v>MSSP_NONATTRIBUTEDPatientsNo of Patients</v>
      </c>
      <c r="D26" t="s">
        <v>129</v>
      </c>
      <c r="E26" t="s">
        <v>129</v>
      </c>
      <c r="F26" t="s">
        <v>112</v>
      </c>
      <c r="G26" t="s">
        <v>113</v>
      </c>
      <c r="H26" t="s">
        <v>155</v>
      </c>
    </row>
    <row r="27" spans="3:8" x14ac:dyDescent="0.25">
      <c r="C27" s="5" t="str">
        <f>OtherChecksPrdTable[[#This Row],[Population]]&amp;OtherChecksPrdTable[[#This Row],[Tabs]]&amp;OtherChecksPrdTable[[#This Row],[Checks]]</f>
        <v>MSSP_NONATTRIBUTEDPCPsNo of PCPs</v>
      </c>
      <c r="D27" t="s">
        <v>129</v>
      </c>
      <c r="E27" t="s">
        <v>129</v>
      </c>
      <c r="F27" t="s">
        <v>115</v>
      </c>
      <c r="G27" t="s">
        <v>116</v>
      </c>
      <c r="H27" t="s">
        <v>156</v>
      </c>
    </row>
    <row r="28" spans="3:8" x14ac:dyDescent="0.25">
      <c r="C28" s="5" t="str">
        <f>OtherChecksPrdTable[[#This Row],[Population]]&amp;OtherChecksPrdTable[[#This Row],[Tabs]]&amp;OtherChecksPrdTable[[#This Row],[Checks]]</f>
        <v>MSSP_NONATTRIBUTEDPCPsPCPs - Not Affiliated with practice</v>
      </c>
      <c r="D28" t="s">
        <v>129</v>
      </c>
      <c r="E28" t="s">
        <v>129</v>
      </c>
      <c r="F28" t="s">
        <v>115</v>
      </c>
      <c r="G28" t="s">
        <v>118</v>
      </c>
      <c r="H28" t="s">
        <v>157</v>
      </c>
    </row>
    <row r="29" spans="3:8" x14ac:dyDescent="0.25">
      <c r="C29" s="5" t="str">
        <f>OtherChecksPrdTable[[#This Row],[Population]]&amp;OtherChecksPrdTable[[#This Row],[Tabs]]&amp;OtherChecksPrdTable[[#This Row],[Checks]]</f>
        <v>MSSP_NONATTRIBUTEDPCPsPCPs with "Non-Domestic" Network Affiliation</v>
      </c>
      <c r="D29" t="s">
        <v>129</v>
      </c>
      <c r="E29" t="s">
        <v>129</v>
      </c>
      <c r="F29" t="s">
        <v>115</v>
      </c>
      <c r="G29" t="s">
        <v>120</v>
      </c>
      <c r="H29" t="s">
        <v>158</v>
      </c>
    </row>
    <row r="30" spans="3:8" x14ac:dyDescent="0.25">
      <c r="C30" s="5" t="str">
        <f>OtherChecksPrdTable[[#This Row],[Population]]&amp;OtherChecksPrdTable[[#This Row],[Tabs]]&amp;OtherChecksPrdTable[[#This Row],[Checks]]</f>
        <v>MSSP_NONATTRIBUTEDPCPsPCPs with "Unknown" Network Affiliation</v>
      </c>
      <c r="D30" t="s">
        <v>129</v>
      </c>
      <c r="E30" t="s">
        <v>129</v>
      </c>
      <c r="F30" t="s">
        <v>115</v>
      </c>
      <c r="G30" t="s">
        <v>122</v>
      </c>
      <c r="H30" t="s">
        <v>159</v>
      </c>
    </row>
    <row r="31" spans="3:8" x14ac:dyDescent="0.25">
      <c r="C31" s="5" t="str">
        <f>OtherChecksPrdTable[[#This Row],[Population]]&amp;OtherChecksPrdTable[[#This Row],[Tabs]]&amp;OtherChecksPrdTable[[#This Row],[Checks]]</f>
        <v>MSSP_NONATTRIBUTEDPracticeNo of Practice</v>
      </c>
      <c r="D31" t="s">
        <v>129</v>
      </c>
      <c r="E31" t="s">
        <v>129</v>
      </c>
      <c r="F31" t="s">
        <v>124</v>
      </c>
      <c r="G31" t="s">
        <v>125</v>
      </c>
      <c r="H31" t="s">
        <v>160</v>
      </c>
    </row>
  </sheetData>
  <mergeCells count="1">
    <mergeCell ref="A1:C1"/>
  </mergeCell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4"/>
  <sheetViews>
    <sheetView workbookViewId="0">
      <selection activeCell="F21" sqref="F21"/>
    </sheetView>
  </sheetViews>
  <sheetFormatPr defaultRowHeight="15" x14ac:dyDescent="0.25"/>
  <cols>
    <col min="1" max="1" width="38.140625" bestFit="1" customWidth="1"/>
  </cols>
  <sheetData>
    <row r="1" spans="1:1" x14ac:dyDescent="0.25">
      <c r="A1" s="4" t="s">
        <v>12</v>
      </c>
    </row>
    <row r="2" spans="1:1" x14ac:dyDescent="0.25">
      <c r="A2" s="4" t="s">
        <v>13</v>
      </c>
    </row>
    <row r="3" spans="1:1" x14ac:dyDescent="0.25">
      <c r="A3" s="4" t="s">
        <v>14</v>
      </c>
    </row>
    <row r="4" spans="1:1" x14ac:dyDescent="0.25">
      <c r="A4" s="4" t="s">
        <v>30</v>
      </c>
    </row>
    <row r="5" spans="1:1" x14ac:dyDescent="0.25">
      <c r="A5" s="4" t="s">
        <v>31</v>
      </c>
    </row>
    <row r="6" spans="1:1" x14ac:dyDescent="0.25">
      <c r="A6" s="4" t="s">
        <v>32</v>
      </c>
    </row>
    <row r="7" spans="1:1" x14ac:dyDescent="0.25">
      <c r="A7" s="4" t="s">
        <v>33</v>
      </c>
    </row>
    <row r="8" spans="1:1" x14ac:dyDescent="0.25">
      <c r="A8" s="4" t="s">
        <v>34</v>
      </c>
    </row>
    <row r="9" spans="1:1" x14ac:dyDescent="0.25">
      <c r="A9" s="4" t="s">
        <v>15</v>
      </c>
    </row>
    <row r="10" spans="1:1" x14ac:dyDescent="0.25">
      <c r="A10" s="4" t="s">
        <v>16</v>
      </c>
    </row>
    <row r="11" spans="1:1" x14ac:dyDescent="0.25">
      <c r="A11" s="4" t="s">
        <v>17</v>
      </c>
    </row>
    <row r="12" spans="1:1" x14ac:dyDescent="0.25">
      <c r="A12" s="4" t="s">
        <v>18</v>
      </c>
    </row>
    <row r="13" spans="1:1" x14ac:dyDescent="0.25">
      <c r="A13" s="4" t="s">
        <v>19</v>
      </c>
    </row>
    <row r="14" spans="1:1" x14ac:dyDescent="0.25">
      <c r="A14" s="4" t="s">
        <v>20</v>
      </c>
    </row>
    <row r="15" spans="1:1" x14ac:dyDescent="0.25">
      <c r="A15" s="4" t="s">
        <v>21</v>
      </c>
    </row>
    <row r="16" spans="1:1" x14ac:dyDescent="0.25">
      <c r="A16" s="4" t="s">
        <v>22</v>
      </c>
    </row>
    <row r="17" spans="1:1" x14ac:dyDescent="0.25">
      <c r="A17" s="4" t="s">
        <v>23</v>
      </c>
    </row>
    <row r="18" spans="1:1" x14ac:dyDescent="0.25">
      <c r="A18" s="4" t="s">
        <v>24</v>
      </c>
    </row>
    <row r="19" spans="1:1" x14ac:dyDescent="0.25">
      <c r="A19" s="4" t="s">
        <v>25</v>
      </c>
    </row>
    <row r="20" spans="1:1" x14ac:dyDescent="0.25">
      <c r="A20" s="4" t="s">
        <v>26</v>
      </c>
    </row>
    <row r="21" spans="1:1" x14ac:dyDescent="0.25">
      <c r="A21" s="4" t="s">
        <v>27</v>
      </c>
    </row>
    <row r="22" spans="1:1" x14ac:dyDescent="0.25">
      <c r="A22" s="4" t="s">
        <v>28</v>
      </c>
    </row>
    <row r="23" spans="1:1" x14ac:dyDescent="0.25">
      <c r="A23" s="4" t="s">
        <v>29</v>
      </c>
    </row>
    <row r="24" spans="1:1" x14ac:dyDescent="0.25">
      <c r="A24"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Threshold</vt:lpstr>
      <vt:lpstr>StgTrendSheetData</vt:lpstr>
      <vt:lpstr>PrdTrendSheetData</vt:lpstr>
      <vt:lpstr>StgIBNRData</vt:lpstr>
      <vt:lpstr>PrdIBNRData</vt:lpstr>
      <vt:lpstr>Trend Sheet Data</vt:lpstr>
      <vt:lpstr>IBNR Trend Sheet Data</vt:lpstr>
      <vt:lpstr>Reference</vt:lpstr>
      <vt:lpstr>QA Check list</vt:lpstr>
      <vt:lpstr>All Trend Sheet</vt:lpstr>
      <vt:lpstr>IBNR Trend Sheet</vt:lpstr>
      <vt:lpstr>Other Checks</vt:lpstr>
      <vt:lpstr>Other Checks Prd</vt:lpstr>
      <vt:lpstr>CustomTrendList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2017-06-27T08:52:41Z</dcterms:modified>
</cp:coreProperties>
</file>