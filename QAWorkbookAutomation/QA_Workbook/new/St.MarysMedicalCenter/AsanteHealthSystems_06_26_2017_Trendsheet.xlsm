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slicers/slicer1.xml" ContentType="application/vnd.ms-excel.slicer+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hidePivotFieldList="1" defaultThemeVersion="124226"/>
  <bookViews>
    <workbookView xWindow="240" yWindow="285" windowWidth="14805" windowHeight="7830" tabRatio="766" firstSheet="1" activeTab="1"/>
  </bookViews>
  <sheets>
    <sheet name="Threshold" sheetId="18" state="hidden" r:id="rId1"/>
    <sheet name="StgTrendSheetData" sheetId="1" r:id="rId2"/>
    <sheet name="PrdTrendSheetData" sheetId="2" state="hidden" r:id="rId3"/>
    <sheet name="StgIBNRData" sheetId="6" state="hidden" r:id="rId4"/>
    <sheet name="PrdIBNRData" sheetId="7" state="hidden" r:id="rId5"/>
    <sheet name="Trend Sheet Data" sheetId="3" state="hidden" r:id="rId6"/>
    <sheet name="IBNR Trend Sheet Data" sheetId="9" state="hidden" r:id="rId7"/>
    <sheet name="Reference" sheetId="12" state="hidden" r:id="rId8"/>
    <sheet name="QA Check list" sheetId="14" r:id="rId9"/>
    <sheet name="All Trend Sheet" sheetId="4" r:id="rId10"/>
    <sheet name="IBNR Trend Sheet" sheetId="8" r:id="rId11"/>
    <sheet name="Other Checks" sheetId="10" r:id="rId12"/>
    <sheet name="Other Checks Prd" sheetId="16" state="hidden" r:id="rId13"/>
    <sheet name="CustomTrendList" sheetId="5" r:id="rId14"/>
  </sheets>
  <functionGroups builtInGroupCount="18"/>
  <definedNames>
    <definedName name="Slicer_Cost_Basis">#N/A</definedName>
    <definedName name="Slicer_Cost_Basis1">#N/A</definedName>
    <definedName name="Slicer_Display_Name">#N/A</definedName>
    <definedName name="Slicer_Display_Name1">#N/A</definedName>
    <definedName name="Slicer_Trend">#N/A</definedName>
  </definedNames>
  <calcPr calcId="152511"/>
  <pivotCaches>
    <pivotCache cacheId="7" r:id="rId15"/>
    <pivotCache cacheId="12" r:id="rId16"/>
  </pivotCaches>
  <extLs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C5" i="16" l="1"/>
  <c r="C6" i="16"/>
  <c r="C7" i="16"/>
  <c r="C8" i="16"/>
  <c r="C9" i="16"/>
  <c r="A3" i="7"/>
  <c r="A4" i="7"/>
  <c r="A5" i="7"/>
  <c r="A6" i="7"/>
  <c r="A7" i="7"/>
  <c r="A8" i="7"/>
  <c r="A9" i="7"/>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3" i="18"/>
  <c r="A4" i="18"/>
  <c r="A5" i="18"/>
  <c r="A6" i="18"/>
  <c r="A7" i="18"/>
  <c r="A8" i="18"/>
  <c r="A9" i="18"/>
  <c r="A10" i="18"/>
  <c r="A11" i="18"/>
  <c r="A12" i="18"/>
  <c r="A13" i="18"/>
  <c r="A14" i="18"/>
  <c r="A15" i="18"/>
  <c r="A16" i="18"/>
  <c r="A17" i="18"/>
  <c r="A18" i="18"/>
  <c r="A19" i="18"/>
  <c r="A20" i="18"/>
  <c r="A21" i="18"/>
  <c r="A22" i="18"/>
  <c r="A23" i="18"/>
  <c r="A24" i="18"/>
  <c r="A2" i="18" l="1"/>
  <c r="A2" i="2"/>
  <c r="I534" i="1" l="1"/>
  <c r="J534" i="1" s="1"/>
  <c r="I566" i="1"/>
  <c r="J566" i="1" s="1"/>
  <c r="I598" i="1"/>
  <c r="J598" i="1" s="1"/>
  <c r="I630" i="1"/>
  <c r="J630" i="1" s="1"/>
  <c r="I275" i="1"/>
  <c r="J275" i="1" s="1"/>
  <c r="I307" i="1"/>
  <c r="J307" i="1" s="1"/>
  <c r="I339" i="1"/>
  <c r="J339" i="1" s="1"/>
  <c r="I371" i="1"/>
  <c r="J371" i="1" s="1"/>
  <c r="I403" i="1"/>
  <c r="J403" i="1" s="1"/>
  <c r="M403" i="1" s="1"/>
  <c r="I435" i="1"/>
  <c r="J435" i="1" s="1"/>
  <c r="I467" i="1"/>
  <c r="J467" i="1" s="1"/>
  <c r="M467" i="1" s="1"/>
  <c r="I499" i="1"/>
  <c r="J499" i="1" s="1"/>
  <c r="I17" i="1"/>
  <c r="J17" i="1" s="1"/>
  <c r="I49" i="1"/>
  <c r="J49" i="1" s="1"/>
  <c r="I81" i="1"/>
  <c r="J81" i="1" s="1"/>
  <c r="M81" i="1" s="1"/>
  <c r="I113" i="1"/>
  <c r="J113" i="1" s="1"/>
  <c r="I145" i="1"/>
  <c r="J145" i="1" s="1"/>
  <c r="M145" i="1" s="1"/>
  <c r="I177" i="1"/>
  <c r="J177" i="1" s="1"/>
  <c r="I209" i="1"/>
  <c r="J209" i="1" s="1"/>
  <c r="I241" i="1"/>
  <c r="J241" i="1" s="1"/>
  <c r="I570" i="1"/>
  <c r="J570" i="1" s="1"/>
  <c r="I602" i="1"/>
  <c r="J602" i="1" s="1"/>
  <c r="I279" i="1"/>
  <c r="J279" i="1" s="1"/>
  <c r="I439" i="1"/>
  <c r="J439" i="1" s="1"/>
  <c r="I53" i="1"/>
  <c r="J53" i="1" s="1"/>
  <c r="I149" i="1"/>
  <c r="J149" i="1" s="1"/>
  <c r="I245" i="1"/>
  <c r="J245" i="1" s="1"/>
  <c r="I636" i="1"/>
  <c r="J636" i="1" s="1"/>
  <c r="I313" i="1"/>
  <c r="J313" i="1" s="1"/>
  <c r="I441" i="1"/>
  <c r="J441" i="1" s="1"/>
  <c r="I505" i="1"/>
  <c r="J505" i="1" s="1"/>
  <c r="I55" i="1"/>
  <c r="J55" i="1" s="1"/>
  <c r="I119" i="1"/>
  <c r="J119" i="1" s="1"/>
  <c r="I183" i="1"/>
  <c r="J183" i="1" s="1"/>
  <c r="I575" i="1"/>
  <c r="J575" i="1" s="1"/>
  <c r="I639" i="1"/>
  <c r="J639" i="1" s="1"/>
  <c r="I316" i="1"/>
  <c r="J316" i="1" s="1"/>
  <c r="I380" i="1"/>
  <c r="J380" i="1" s="1"/>
  <c r="I444" i="1"/>
  <c r="J444" i="1" s="1"/>
  <c r="I508" i="1"/>
  <c r="J508" i="1" s="1"/>
  <c r="I58" i="1"/>
  <c r="J58" i="1" s="1"/>
  <c r="I122" i="1"/>
  <c r="J122" i="1" s="1"/>
  <c r="I218" i="1"/>
  <c r="J218" i="1" s="1"/>
  <c r="I544" i="1"/>
  <c r="J544" i="1" s="1"/>
  <c r="I640" i="1"/>
  <c r="J640" i="1" s="1"/>
  <c r="I285" i="1"/>
  <c r="J285" i="1" s="1"/>
  <c r="I381" i="1"/>
  <c r="J381" i="1" s="1"/>
  <c r="I509" i="1"/>
  <c r="J509" i="1" s="1"/>
  <c r="I27" i="1"/>
  <c r="J27" i="1" s="1"/>
  <c r="I123" i="1"/>
  <c r="J123" i="1" s="1"/>
  <c r="I251" i="1"/>
  <c r="J251" i="1" s="1"/>
  <c r="I609" i="1"/>
  <c r="J609" i="1" s="1"/>
  <c r="I318" i="1"/>
  <c r="J318" i="1" s="1"/>
  <c r="I446" i="1"/>
  <c r="J446" i="1" s="1"/>
  <c r="I60" i="1"/>
  <c r="J60" i="1" s="1"/>
  <c r="I252" i="1"/>
  <c r="J252" i="1" s="1"/>
  <c r="I29" i="1"/>
  <c r="J29" i="1" s="1"/>
  <c r="I221" i="1"/>
  <c r="J221" i="1" s="1"/>
  <c r="I418" i="1"/>
  <c r="J418" i="1" s="1"/>
  <c r="I64" i="1"/>
  <c r="J64" i="1" s="1"/>
  <c r="I550" i="1"/>
  <c r="J550" i="1" s="1"/>
  <c r="I33" i="1"/>
  <c r="J33" i="1" s="1"/>
  <c r="I356" i="1"/>
  <c r="J356" i="1" s="1"/>
  <c r="I130" i="1"/>
  <c r="J130" i="1" s="1"/>
  <c r="I163" i="1"/>
  <c r="J163" i="1" s="1"/>
  <c r="I535" i="1"/>
  <c r="J535" i="1" s="1"/>
  <c r="I567" i="1"/>
  <c r="J567" i="1" s="1"/>
  <c r="I599" i="1"/>
  <c r="J599" i="1" s="1"/>
  <c r="I631" i="1"/>
  <c r="J631" i="1" s="1"/>
  <c r="I276" i="1"/>
  <c r="J276" i="1" s="1"/>
  <c r="I308" i="1"/>
  <c r="J308" i="1" s="1"/>
  <c r="I340" i="1"/>
  <c r="J340" i="1" s="1"/>
  <c r="I372" i="1"/>
  <c r="J372" i="1" s="1"/>
  <c r="I404" i="1"/>
  <c r="J404" i="1" s="1"/>
  <c r="I436" i="1"/>
  <c r="J436" i="1" s="1"/>
  <c r="I468" i="1"/>
  <c r="J468" i="1" s="1"/>
  <c r="I500" i="1"/>
  <c r="J500" i="1" s="1"/>
  <c r="I18" i="1"/>
  <c r="J18" i="1" s="1"/>
  <c r="I50" i="1"/>
  <c r="J50" i="1" s="1"/>
  <c r="I82" i="1"/>
  <c r="J82" i="1" s="1"/>
  <c r="I114" i="1"/>
  <c r="J114" i="1" s="1"/>
  <c r="I146" i="1"/>
  <c r="J146" i="1" s="1"/>
  <c r="I178" i="1"/>
  <c r="J178" i="1" s="1"/>
  <c r="I210" i="1"/>
  <c r="J210" i="1" s="1"/>
  <c r="I242" i="1"/>
  <c r="J242" i="1" s="1"/>
  <c r="I536" i="1"/>
  <c r="J536" i="1" s="1"/>
  <c r="I568" i="1"/>
  <c r="J568" i="1" s="1"/>
  <c r="I600" i="1"/>
  <c r="J600" i="1" s="1"/>
  <c r="I632" i="1"/>
  <c r="J632" i="1" s="1"/>
  <c r="I277" i="1"/>
  <c r="J277" i="1" s="1"/>
  <c r="I309" i="1"/>
  <c r="J309" i="1" s="1"/>
  <c r="I341" i="1"/>
  <c r="J341" i="1" s="1"/>
  <c r="I373" i="1"/>
  <c r="J373" i="1" s="1"/>
  <c r="I405" i="1"/>
  <c r="J405" i="1" s="1"/>
  <c r="M405" i="1" s="1"/>
  <c r="I437" i="1"/>
  <c r="J437" i="1" s="1"/>
  <c r="I469" i="1"/>
  <c r="J469" i="1" s="1"/>
  <c r="I501" i="1"/>
  <c r="J501" i="1" s="1"/>
  <c r="I19" i="1"/>
  <c r="J19" i="1" s="1"/>
  <c r="I51" i="1"/>
  <c r="J51" i="1" s="1"/>
  <c r="I83" i="1"/>
  <c r="J83" i="1" s="1"/>
  <c r="M83" i="1" s="1"/>
  <c r="I115" i="1"/>
  <c r="J115" i="1" s="1"/>
  <c r="I147" i="1"/>
  <c r="J147" i="1" s="1"/>
  <c r="I179" i="1"/>
  <c r="J179" i="1" s="1"/>
  <c r="I211" i="1"/>
  <c r="J211" i="1" s="1"/>
  <c r="I243" i="1"/>
  <c r="J243" i="1" s="1"/>
  <c r="I538" i="1"/>
  <c r="J538" i="1" s="1"/>
  <c r="I311" i="1"/>
  <c r="J311" i="1" s="1"/>
  <c r="I375" i="1"/>
  <c r="J375" i="1" s="1"/>
  <c r="I503" i="1"/>
  <c r="J503" i="1" s="1"/>
  <c r="I85" i="1"/>
  <c r="J85" i="1" s="1"/>
  <c r="M85" i="1" s="1"/>
  <c r="I181" i="1"/>
  <c r="J181" i="1" s="1"/>
  <c r="I537" i="1"/>
  <c r="J537" i="1" s="1"/>
  <c r="I569" i="1"/>
  <c r="J569" i="1" s="1"/>
  <c r="I601" i="1"/>
  <c r="J601" i="1" s="1"/>
  <c r="I633" i="1"/>
  <c r="J633" i="1" s="1"/>
  <c r="I278" i="1"/>
  <c r="J278" i="1" s="1"/>
  <c r="I310" i="1"/>
  <c r="J310" i="1" s="1"/>
  <c r="I342" i="1"/>
  <c r="J342" i="1" s="1"/>
  <c r="I374" i="1"/>
  <c r="J374" i="1" s="1"/>
  <c r="I406" i="1"/>
  <c r="J406" i="1" s="1"/>
  <c r="M406" i="1" s="1"/>
  <c r="I438" i="1"/>
  <c r="J438" i="1" s="1"/>
  <c r="I470" i="1"/>
  <c r="J470" i="1" s="1"/>
  <c r="I502" i="1"/>
  <c r="J502" i="1" s="1"/>
  <c r="I20" i="1"/>
  <c r="J20" i="1" s="1"/>
  <c r="I52" i="1"/>
  <c r="J52" i="1" s="1"/>
  <c r="I84" i="1"/>
  <c r="J84" i="1" s="1"/>
  <c r="M84" i="1" s="1"/>
  <c r="I116" i="1"/>
  <c r="J116" i="1" s="1"/>
  <c r="I148" i="1"/>
  <c r="J148" i="1" s="1"/>
  <c r="I180" i="1"/>
  <c r="J180" i="1" s="1"/>
  <c r="I212" i="1"/>
  <c r="J212" i="1" s="1"/>
  <c r="I244" i="1"/>
  <c r="J244" i="1" s="1"/>
  <c r="I634" i="1"/>
  <c r="J634" i="1" s="1"/>
  <c r="I343" i="1"/>
  <c r="J343" i="1" s="1"/>
  <c r="I407" i="1"/>
  <c r="J407" i="1" s="1"/>
  <c r="M407" i="1" s="1"/>
  <c r="I471" i="1"/>
  <c r="J471" i="1" s="1"/>
  <c r="I21" i="1"/>
  <c r="J21" i="1" s="1"/>
  <c r="I117" i="1"/>
  <c r="J117" i="1" s="1"/>
  <c r="I213" i="1"/>
  <c r="J213" i="1" s="1"/>
  <c r="I540" i="1"/>
  <c r="J540" i="1" s="1"/>
  <c r="I572" i="1"/>
  <c r="J572" i="1" s="1"/>
  <c r="I604" i="1"/>
  <c r="J604" i="1" s="1"/>
  <c r="I281" i="1"/>
  <c r="J281" i="1" s="1"/>
  <c r="I345" i="1"/>
  <c r="J345" i="1" s="1"/>
  <c r="I409" i="1"/>
  <c r="J409" i="1" s="1"/>
  <c r="M409" i="1" s="1"/>
  <c r="I473" i="1"/>
  <c r="J473" i="1" s="1"/>
  <c r="I23" i="1"/>
  <c r="J23" i="1" s="1"/>
  <c r="I87" i="1"/>
  <c r="J87" i="1" s="1"/>
  <c r="M87" i="1" s="1"/>
  <c r="I151" i="1"/>
  <c r="J151" i="1" s="1"/>
  <c r="I247" i="1"/>
  <c r="J247" i="1" s="1"/>
  <c r="I543" i="1"/>
  <c r="J543" i="1" s="1"/>
  <c r="I607" i="1"/>
  <c r="J607" i="1" s="1"/>
  <c r="I284" i="1"/>
  <c r="J284" i="1" s="1"/>
  <c r="I348" i="1"/>
  <c r="J348" i="1" s="1"/>
  <c r="I412" i="1"/>
  <c r="J412" i="1" s="1"/>
  <c r="M412" i="1" s="1"/>
  <c r="I476" i="1"/>
  <c r="J476" i="1" s="1"/>
  <c r="I26" i="1"/>
  <c r="J26" i="1" s="1"/>
  <c r="I154" i="1"/>
  <c r="J154" i="1" s="1"/>
  <c r="I576" i="1"/>
  <c r="J576" i="1" s="1"/>
  <c r="I349" i="1"/>
  <c r="J349" i="1" s="1"/>
  <c r="I445" i="1"/>
  <c r="J445" i="1" s="1"/>
  <c r="I59" i="1"/>
  <c r="J59" i="1" s="1"/>
  <c r="I187" i="1"/>
  <c r="J187" i="1" s="1"/>
  <c r="I545" i="1"/>
  <c r="J545" i="1" s="1"/>
  <c r="I350" i="1"/>
  <c r="J350" i="1" s="1"/>
  <c r="I478" i="1"/>
  <c r="J478" i="1" s="1"/>
  <c r="I92" i="1"/>
  <c r="J92" i="1" s="1"/>
  <c r="I479" i="1"/>
  <c r="J479" i="1" s="1"/>
  <c r="I61" i="1"/>
  <c r="J61" i="1" s="1"/>
  <c r="I322" i="1"/>
  <c r="J322" i="1" s="1"/>
  <c r="I419" i="1"/>
  <c r="J419" i="1" s="1"/>
  <c r="M419" i="1" s="1"/>
  <c r="I193" i="1"/>
  <c r="J193" i="1" s="1"/>
  <c r="I551" i="1"/>
  <c r="J551" i="1" s="1"/>
  <c r="I324" i="1"/>
  <c r="J324" i="1" s="1"/>
  <c r="I66" i="1"/>
  <c r="J66" i="1" s="1"/>
  <c r="I35" i="1"/>
  <c r="J35" i="1" s="1"/>
  <c r="I539" i="1"/>
  <c r="J539" i="1" s="1"/>
  <c r="I571" i="1"/>
  <c r="J571" i="1" s="1"/>
  <c r="I603" i="1"/>
  <c r="J603" i="1" s="1"/>
  <c r="I635" i="1"/>
  <c r="J635" i="1" s="1"/>
  <c r="I280" i="1"/>
  <c r="J280" i="1" s="1"/>
  <c r="I312" i="1"/>
  <c r="J312" i="1" s="1"/>
  <c r="I344" i="1"/>
  <c r="J344" i="1" s="1"/>
  <c r="I376" i="1"/>
  <c r="J376" i="1" s="1"/>
  <c r="I408" i="1"/>
  <c r="J408" i="1" s="1"/>
  <c r="I440" i="1"/>
  <c r="J440" i="1" s="1"/>
  <c r="I472" i="1"/>
  <c r="J472" i="1" s="1"/>
  <c r="I504" i="1"/>
  <c r="J504" i="1" s="1"/>
  <c r="I22" i="1"/>
  <c r="J22" i="1" s="1"/>
  <c r="I54" i="1"/>
  <c r="J54" i="1" s="1"/>
  <c r="I86" i="1"/>
  <c r="J86" i="1" s="1"/>
  <c r="I118" i="1"/>
  <c r="J118" i="1" s="1"/>
  <c r="I150" i="1"/>
  <c r="J150" i="1" s="1"/>
  <c r="I182" i="1"/>
  <c r="J182" i="1" s="1"/>
  <c r="I214" i="1"/>
  <c r="J214" i="1" s="1"/>
  <c r="I246" i="1"/>
  <c r="J246" i="1" s="1"/>
  <c r="I377" i="1"/>
  <c r="J377" i="1" s="1"/>
  <c r="I215" i="1"/>
  <c r="J215" i="1" s="1"/>
  <c r="I90" i="1"/>
  <c r="J90" i="1" s="1"/>
  <c r="M90" i="1" s="1"/>
  <c r="I186" i="1"/>
  <c r="J186" i="1" s="1"/>
  <c r="I250" i="1"/>
  <c r="J250" i="1" s="1"/>
  <c r="I608" i="1"/>
  <c r="J608" i="1" s="1"/>
  <c r="I317" i="1"/>
  <c r="J317" i="1" s="1"/>
  <c r="I413" i="1"/>
  <c r="J413" i="1" s="1"/>
  <c r="I477" i="1"/>
  <c r="J477" i="1" s="1"/>
  <c r="I91" i="1"/>
  <c r="J91" i="1" s="1"/>
  <c r="I155" i="1"/>
  <c r="J155" i="1" s="1"/>
  <c r="I641" i="1"/>
  <c r="J641" i="1" s="1"/>
  <c r="I414" i="1"/>
  <c r="J414" i="1" s="1"/>
  <c r="I28" i="1"/>
  <c r="J28" i="1" s="1"/>
  <c r="I188" i="1"/>
  <c r="J188" i="1" s="1"/>
  <c r="I125" i="1"/>
  <c r="J125" i="1" s="1"/>
  <c r="I354" i="1"/>
  <c r="J354" i="1" s="1"/>
  <c r="I128" i="1"/>
  <c r="J128" i="1" s="1"/>
  <c r="I451" i="1"/>
  <c r="J451" i="1" s="1"/>
  <c r="I97" i="1"/>
  <c r="J97" i="1" s="1"/>
  <c r="M97" i="1" s="1"/>
  <c r="I260" i="1"/>
  <c r="J260" i="1" s="1"/>
  <c r="I420" i="1"/>
  <c r="J420" i="1" s="1"/>
  <c r="M420" i="1" s="1"/>
  <c r="I34" i="1"/>
  <c r="J34" i="1" s="1"/>
  <c r="I99" i="1"/>
  <c r="J99" i="1" s="1"/>
  <c r="M99" i="1" s="1"/>
  <c r="I541" i="1"/>
  <c r="J541" i="1" s="1"/>
  <c r="I573" i="1"/>
  <c r="J573" i="1" s="1"/>
  <c r="I605" i="1"/>
  <c r="J605" i="1" s="1"/>
  <c r="I637" i="1"/>
  <c r="J637" i="1" s="1"/>
  <c r="I282" i="1"/>
  <c r="J282" i="1" s="1"/>
  <c r="I314" i="1"/>
  <c r="J314" i="1" s="1"/>
  <c r="I346" i="1"/>
  <c r="J346" i="1" s="1"/>
  <c r="I378" i="1"/>
  <c r="J378" i="1" s="1"/>
  <c r="M378" i="1" s="1"/>
  <c r="I410" i="1"/>
  <c r="J410" i="1" s="1"/>
  <c r="I442" i="1"/>
  <c r="J442" i="1" s="1"/>
  <c r="I474" i="1"/>
  <c r="J474" i="1" s="1"/>
  <c r="I506" i="1"/>
  <c r="J506" i="1" s="1"/>
  <c r="I24" i="1"/>
  <c r="J24" i="1" s="1"/>
  <c r="I56" i="1"/>
  <c r="J56" i="1" s="1"/>
  <c r="M56" i="1" s="1"/>
  <c r="I88" i="1"/>
  <c r="J88" i="1" s="1"/>
  <c r="I120" i="1"/>
  <c r="J120" i="1" s="1"/>
  <c r="I152" i="1"/>
  <c r="J152" i="1" s="1"/>
  <c r="I184" i="1"/>
  <c r="J184" i="1" s="1"/>
  <c r="I216" i="1"/>
  <c r="J216" i="1" s="1"/>
  <c r="I248" i="1"/>
  <c r="J248" i="1" s="1"/>
  <c r="I542" i="1"/>
  <c r="J542" i="1" s="1"/>
  <c r="I574" i="1"/>
  <c r="J574" i="1" s="1"/>
  <c r="I606" i="1"/>
  <c r="J606" i="1" s="1"/>
  <c r="I638" i="1"/>
  <c r="J638" i="1" s="1"/>
  <c r="I283" i="1"/>
  <c r="J283" i="1" s="1"/>
  <c r="I315" i="1"/>
  <c r="J315" i="1" s="1"/>
  <c r="I347" i="1"/>
  <c r="J347" i="1" s="1"/>
  <c r="I379" i="1"/>
  <c r="J379" i="1" s="1"/>
  <c r="M379" i="1" s="1"/>
  <c r="I411" i="1"/>
  <c r="J411" i="1" s="1"/>
  <c r="M411" i="1" s="1"/>
  <c r="I443" i="1"/>
  <c r="J443" i="1" s="1"/>
  <c r="I475" i="1"/>
  <c r="J475" i="1" s="1"/>
  <c r="I507" i="1"/>
  <c r="J507" i="1" s="1"/>
  <c r="I25" i="1"/>
  <c r="J25" i="1" s="1"/>
  <c r="I57" i="1"/>
  <c r="J57" i="1" s="1"/>
  <c r="M57" i="1" s="1"/>
  <c r="I89" i="1"/>
  <c r="J89" i="1" s="1"/>
  <c r="M89" i="1" s="1"/>
  <c r="I121" i="1"/>
  <c r="J121" i="1" s="1"/>
  <c r="I153" i="1"/>
  <c r="J153" i="1" s="1"/>
  <c r="I185" i="1"/>
  <c r="J185" i="1" s="1"/>
  <c r="I217" i="1"/>
  <c r="J217" i="1" s="1"/>
  <c r="I249" i="1"/>
  <c r="J249" i="1" s="1"/>
  <c r="I219" i="1"/>
  <c r="J219" i="1" s="1"/>
  <c r="I382" i="1"/>
  <c r="J382" i="1" s="1"/>
  <c r="I156" i="1"/>
  <c r="J156" i="1" s="1"/>
  <c r="I511" i="1"/>
  <c r="J511" i="1" s="1"/>
  <c r="I450" i="1"/>
  <c r="J450" i="1" s="1"/>
  <c r="I224" i="1"/>
  <c r="J224" i="1" s="1"/>
  <c r="I291" i="1"/>
  <c r="J291" i="1" s="1"/>
  <c r="I388" i="1"/>
  <c r="J388" i="1" s="1"/>
  <c r="I195" i="1"/>
  <c r="J195" i="1" s="1"/>
  <c r="I577" i="1"/>
  <c r="J577" i="1" s="1"/>
  <c r="I286" i="1"/>
  <c r="J286" i="1" s="1"/>
  <c r="I510" i="1"/>
  <c r="J510" i="1" s="1"/>
  <c r="I124" i="1"/>
  <c r="J124" i="1" s="1"/>
  <c r="I157" i="1"/>
  <c r="J157" i="1" s="1"/>
  <c r="I386" i="1"/>
  <c r="J386" i="1" s="1"/>
  <c r="I96" i="1"/>
  <c r="J96" i="1" s="1"/>
  <c r="I582" i="1"/>
  <c r="J582" i="1" s="1"/>
  <c r="I129" i="1"/>
  <c r="J129" i="1" s="1"/>
  <c r="I514" i="1"/>
  <c r="J514" i="1" s="1"/>
  <c r="I546" i="1"/>
  <c r="J546" i="1" s="1"/>
  <c r="I578" i="1"/>
  <c r="J578" i="1" s="1"/>
  <c r="I610" i="1"/>
  <c r="J610" i="1" s="1"/>
  <c r="I642" i="1"/>
  <c r="J642" i="1" s="1"/>
  <c r="I287" i="1"/>
  <c r="J287" i="1" s="1"/>
  <c r="I319" i="1"/>
  <c r="J319" i="1" s="1"/>
  <c r="I351" i="1"/>
  <c r="J351" i="1" s="1"/>
  <c r="I383" i="1"/>
  <c r="J383" i="1" s="1"/>
  <c r="I447" i="1"/>
  <c r="J447" i="1" s="1"/>
  <c r="I189" i="1"/>
  <c r="J189" i="1" s="1"/>
  <c r="I482" i="1"/>
  <c r="J482" i="1" s="1"/>
  <c r="I515" i="1"/>
  <c r="J515" i="1" s="1"/>
  <c r="I547" i="1"/>
  <c r="J547" i="1" s="1"/>
  <c r="I579" i="1"/>
  <c r="J579" i="1" s="1"/>
  <c r="I611" i="1"/>
  <c r="J611" i="1" s="1"/>
  <c r="I643" i="1"/>
  <c r="J643" i="1" s="1"/>
  <c r="I288" i="1"/>
  <c r="J288" i="1" s="1"/>
  <c r="I320" i="1"/>
  <c r="J320" i="1" s="1"/>
  <c r="I352" i="1"/>
  <c r="J352" i="1" s="1"/>
  <c r="I384" i="1"/>
  <c r="J384" i="1" s="1"/>
  <c r="M384" i="1" s="1"/>
  <c r="I416" i="1"/>
  <c r="J416" i="1" s="1"/>
  <c r="I448" i="1"/>
  <c r="J448" i="1" s="1"/>
  <c r="I480" i="1"/>
  <c r="J480" i="1" s="1"/>
  <c r="I512" i="1"/>
  <c r="J512" i="1" s="1"/>
  <c r="I30" i="1"/>
  <c r="J30" i="1" s="1"/>
  <c r="I62" i="1"/>
  <c r="J62" i="1" s="1"/>
  <c r="M62" i="1" s="1"/>
  <c r="I94" i="1"/>
  <c r="J94" i="1" s="1"/>
  <c r="I126" i="1"/>
  <c r="J126" i="1" s="1"/>
  <c r="I158" i="1"/>
  <c r="J158" i="1" s="1"/>
  <c r="I190" i="1"/>
  <c r="J190" i="1" s="1"/>
  <c r="I222" i="1"/>
  <c r="J222" i="1" s="1"/>
  <c r="I254" i="1"/>
  <c r="J254" i="1" s="1"/>
  <c r="I645" i="1"/>
  <c r="J645" i="1" s="1"/>
  <c r="I32" i="1"/>
  <c r="J32" i="1" s="1"/>
  <c r="I518" i="1"/>
  <c r="J518" i="1" s="1"/>
  <c r="I161" i="1"/>
  <c r="J161" i="1" s="1"/>
  <c r="I583" i="1"/>
  <c r="J583" i="1" s="1"/>
  <c r="I452" i="1"/>
  <c r="J452" i="1" s="1"/>
  <c r="I162" i="1"/>
  <c r="J162" i="1" s="1"/>
  <c r="I516" i="1"/>
  <c r="J516" i="1" s="1"/>
  <c r="I548" i="1"/>
  <c r="J548" i="1" s="1"/>
  <c r="I580" i="1"/>
  <c r="J580" i="1" s="1"/>
  <c r="I612" i="1"/>
  <c r="J612" i="1" s="1"/>
  <c r="I644" i="1"/>
  <c r="J644" i="1" s="1"/>
  <c r="I289" i="1"/>
  <c r="J289" i="1" s="1"/>
  <c r="I321" i="1"/>
  <c r="J321" i="1" s="1"/>
  <c r="I353" i="1"/>
  <c r="J353" i="1" s="1"/>
  <c r="I385" i="1"/>
  <c r="J385" i="1" s="1"/>
  <c r="I417" i="1"/>
  <c r="J417" i="1" s="1"/>
  <c r="M417" i="1" s="1"/>
  <c r="I449" i="1"/>
  <c r="J449" i="1" s="1"/>
  <c r="I481" i="1"/>
  <c r="J481" i="1" s="1"/>
  <c r="I513" i="1"/>
  <c r="J513" i="1" s="1"/>
  <c r="I31" i="1"/>
  <c r="J31" i="1" s="1"/>
  <c r="I63" i="1"/>
  <c r="J63" i="1" s="1"/>
  <c r="I95" i="1"/>
  <c r="J95" i="1" s="1"/>
  <c r="M95" i="1" s="1"/>
  <c r="I127" i="1"/>
  <c r="J127" i="1" s="1"/>
  <c r="I159" i="1"/>
  <c r="J159" i="1" s="1"/>
  <c r="I191" i="1"/>
  <c r="J191" i="1" s="1"/>
  <c r="I223" i="1"/>
  <c r="J223" i="1" s="1"/>
  <c r="I255" i="1"/>
  <c r="J255" i="1" s="1"/>
  <c r="I323" i="1"/>
  <c r="J323" i="1" s="1"/>
  <c r="I225" i="1"/>
  <c r="J225" i="1" s="1"/>
  <c r="I519" i="1"/>
  <c r="J519" i="1" s="1"/>
  <c r="I484" i="1"/>
  <c r="J484" i="1" s="1"/>
  <c r="I226" i="1"/>
  <c r="J226" i="1" s="1"/>
  <c r="I517" i="1"/>
  <c r="J517" i="1" s="1"/>
  <c r="I549" i="1"/>
  <c r="J549" i="1" s="1"/>
  <c r="I581" i="1"/>
  <c r="J581" i="1" s="1"/>
  <c r="I613" i="1"/>
  <c r="J613" i="1" s="1"/>
  <c r="I290" i="1"/>
  <c r="J290" i="1" s="1"/>
  <c r="I192" i="1"/>
  <c r="J192" i="1" s="1"/>
  <c r="I614" i="1"/>
  <c r="J614" i="1" s="1"/>
  <c r="I483" i="1"/>
  <c r="J483" i="1" s="1"/>
  <c r="I355" i="1"/>
  <c r="J355" i="1" s="1"/>
  <c r="I292" i="1"/>
  <c r="J292" i="1" s="1"/>
  <c r="I98" i="1"/>
  <c r="J98" i="1" s="1"/>
  <c r="M98" i="1" s="1"/>
  <c r="I131" i="1"/>
  <c r="J131" i="1" s="1"/>
  <c r="I520" i="1"/>
  <c r="J520" i="1" s="1"/>
  <c r="I552" i="1"/>
  <c r="J552" i="1" s="1"/>
  <c r="I584" i="1"/>
  <c r="J584" i="1" s="1"/>
  <c r="I616" i="1"/>
  <c r="J616" i="1" s="1"/>
  <c r="I261" i="1"/>
  <c r="J261" i="1" s="1"/>
  <c r="I293" i="1"/>
  <c r="J293" i="1" s="1"/>
  <c r="I325" i="1"/>
  <c r="J325" i="1" s="1"/>
  <c r="I357" i="1"/>
  <c r="J357" i="1" s="1"/>
  <c r="I389" i="1"/>
  <c r="J389" i="1" s="1"/>
  <c r="I421" i="1"/>
  <c r="J421" i="1" s="1"/>
  <c r="M421" i="1" s="1"/>
  <c r="I453" i="1"/>
  <c r="J453" i="1" s="1"/>
  <c r="I485" i="1"/>
  <c r="J485" i="1" s="1"/>
  <c r="I3" i="1"/>
  <c r="J3" i="1" s="1"/>
  <c r="I67" i="1"/>
  <c r="J67" i="1" s="1"/>
  <c r="I522" i="1"/>
  <c r="J522" i="1" s="1"/>
  <c r="I554" i="1"/>
  <c r="J554" i="1" s="1"/>
  <c r="I586" i="1"/>
  <c r="J586" i="1" s="1"/>
  <c r="I618" i="1"/>
  <c r="J618" i="1" s="1"/>
  <c r="I263" i="1"/>
  <c r="J263" i="1" s="1"/>
  <c r="I295" i="1"/>
  <c r="J295" i="1" s="1"/>
  <c r="I327" i="1"/>
  <c r="J327" i="1" s="1"/>
  <c r="I359" i="1"/>
  <c r="J359" i="1" s="1"/>
  <c r="I391" i="1"/>
  <c r="J391" i="1" s="1"/>
  <c r="I423" i="1"/>
  <c r="J423" i="1" s="1"/>
  <c r="I455" i="1"/>
  <c r="J455" i="1" s="1"/>
  <c r="I487" i="1"/>
  <c r="J487" i="1" s="1"/>
  <c r="I5" i="1"/>
  <c r="J5" i="1" s="1"/>
  <c r="I37" i="1"/>
  <c r="J37" i="1" s="1"/>
  <c r="I69" i="1"/>
  <c r="J69" i="1" s="1"/>
  <c r="I101" i="1"/>
  <c r="J101" i="1" s="1"/>
  <c r="I133" i="1"/>
  <c r="J133" i="1" s="1"/>
  <c r="I165" i="1"/>
  <c r="J165" i="1" s="1"/>
  <c r="I197" i="1"/>
  <c r="J197" i="1" s="1"/>
  <c r="I229" i="1"/>
  <c r="J229" i="1" s="1"/>
  <c r="I296" i="1"/>
  <c r="J296" i="1" s="1"/>
  <c r="I360" i="1"/>
  <c r="J360" i="1" s="1"/>
  <c r="I523" i="1"/>
  <c r="J523" i="1" s="1"/>
  <c r="I555" i="1"/>
  <c r="J555" i="1" s="1"/>
  <c r="I587" i="1"/>
  <c r="J587" i="1" s="1"/>
  <c r="I619" i="1"/>
  <c r="J619" i="1" s="1"/>
  <c r="I264" i="1"/>
  <c r="J264" i="1" s="1"/>
  <c r="I328" i="1"/>
  <c r="J328" i="1" s="1"/>
  <c r="I392" i="1"/>
  <c r="J392" i="1" s="1"/>
  <c r="M392" i="1" s="1"/>
  <c r="I525" i="1"/>
  <c r="J525" i="1" s="1"/>
  <c r="I557" i="1"/>
  <c r="J557" i="1" s="1"/>
  <c r="I589" i="1"/>
  <c r="J589" i="1" s="1"/>
  <c r="I621" i="1"/>
  <c r="J621" i="1" s="1"/>
  <c r="I266" i="1"/>
  <c r="J266" i="1" s="1"/>
  <c r="I298" i="1"/>
  <c r="J298" i="1" s="1"/>
  <c r="I330" i="1"/>
  <c r="J330" i="1" s="1"/>
  <c r="I362" i="1"/>
  <c r="J362" i="1" s="1"/>
  <c r="I394" i="1"/>
  <c r="J394" i="1" s="1"/>
  <c r="I426" i="1"/>
  <c r="J426" i="1" s="1"/>
  <c r="I458" i="1"/>
  <c r="J458" i="1" s="1"/>
  <c r="I490" i="1"/>
  <c r="J490" i="1" s="1"/>
  <c r="I8" i="1"/>
  <c r="J8" i="1" s="1"/>
  <c r="I40" i="1"/>
  <c r="J40" i="1" s="1"/>
  <c r="I72" i="1"/>
  <c r="J72" i="1" s="1"/>
  <c r="I104" i="1"/>
  <c r="J104" i="1" s="1"/>
  <c r="I136" i="1"/>
  <c r="J136" i="1" s="1"/>
  <c r="I168" i="1"/>
  <c r="J168" i="1" s="1"/>
  <c r="I200" i="1"/>
  <c r="J200" i="1" s="1"/>
  <c r="I232" i="1"/>
  <c r="J232" i="1" s="1"/>
  <c r="I201" i="1"/>
  <c r="J201" i="1" s="1"/>
  <c r="I527" i="1"/>
  <c r="J527" i="1" s="1"/>
  <c r="I591" i="1"/>
  <c r="J591" i="1" s="1"/>
  <c r="I300" i="1"/>
  <c r="J300" i="1" s="1"/>
  <c r="I364" i="1"/>
  <c r="J364" i="1" s="1"/>
  <c r="I428" i="1"/>
  <c r="J428" i="1" s="1"/>
  <c r="I492" i="1"/>
  <c r="J492" i="1" s="1"/>
  <c r="I10" i="1"/>
  <c r="J10" i="1" s="1"/>
  <c r="I74" i="1"/>
  <c r="J74" i="1" s="1"/>
  <c r="I138" i="1"/>
  <c r="J138" i="1" s="1"/>
  <c r="I202" i="1"/>
  <c r="J202" i="1" s="1"/>
  <c r="I529" i="1"/>
  <c r="J529" i="1" s="1"/>
  <c r="I593" i="1"/>
  <c r="J593" i="1" s="1"/>
  <c r="I625" i="1"/>
  <c r="J625" i="1" s="1"/>
  <c r="I302" i="1"/>
  <c r="J302" i="1" s="1"/>
  <c r="I334" i="1"/>
  <c r="J334" i="1" s="1"/>
  <c r="I526" i="1"/>
  <c r="J526" i="1" s="1"/>
  <c r="I558" i="1"/>
  <c r="J558" i="1" s="1"/>
  <c r="I590" i="1"/>
  <c r="J590" i="1" s="1"/>
  <c r="I622" i="1"/>
  <c r="J622" i="1" s="1"/>
  <c r="I267" i="1"/>
  <c r="J267" i="1" s="1"/>
  <c r="I299" i="1"/>
  <c r="J299" i="1" s="1"/>
  <c r="I331" i="1"/>
  <c r="J331" i="1" s="1"/>
  <c r="I363" i="1"/>
  <c r="J363" i="1" s="1"/>
  <c r="I395" i="1"/>
  <c r="J395" i="1" s="1"/>
  <c r="M395" i="1" s="1"/>
  <c r="I427" i="1"/>
  <c r="J427" i="1" s="1"/>
  <c r="I459" i="1"/>
  <c r="J459" i="1" s="1"/>
  <c r="I491" i="1"/>
  <c r="J491" i="1" s="1"/>
  <c r="I9" i="1"/>
  <c r="J9" i="1" s="1"/>
  <c r="I41" i="1"/>
  <c r="J41" i="1" s="1"/>
  <c r="I73" i="1"/>
  <c r="J73" i="1" s="1"/>
  <c r="M73" i="1" s="1"/>
  <c r="I105" i="1"/>
  <c r="J105" i="1" s="1"/>
  <c r="I137" i="1"/>
  <c r="J137" i="1" s="1"/>
  <c r="I169" i="1"/>
  <c r="J169" i="1" s="1"/>
  <c r="I233" i="1"/>
  <c r="J233" i="1" s="1"/>
  <c r="I559" i="1"/>
  <c r="J559" i="1" s="1"/>
  <c r="I623" i="1"/>
  <c r="J623" i="1" s="1"/>
  <c r="I268" i="1"/>
  <c r="J268" i="1" s="1"/>
  <c r="I332" i="1"/>
  <c r="J332" i="1" s="1"/>
  <c r="I396" i="1"/>
  <c r="J396" i="1" s="1"/>
  <c r="I460" i="1"/>
  <c r="J460" i="1" s="1"/>
  <c r="I42" i="1"/>
  <c r="J42" i="1" s="1"/>
  <c r="I106" i="1"/>
  <c r="J106" i="1" s="1"/>
  <c r="I170" i="1"/>
  <c r="J170" i="1" s="1"/>
  <c r="I234" i="1"/>
  <c r="J234" i="1" s="1"/>
  <c r="I528" i="1"/>
  <c r="J528" i="1" s="1"/>
  <c r="I560" i="1"/>
  <c r="J560" i="1" s="1"/>
  <c r="I592" i="1"/>
  <c r="J592" i="1" s="1"/>
  <c r="I624" i="1"/>
  <c r="J624" i="1" s="1"/>
  <c r="I269" i="1"/>
  <c r="J269" i="1" s="1"/>
  <c r="I301" i="1"/>
  <c r="J301" i="1" s="1"/>
  <c r="I333" i="1"/>
  <c r="J333" i="1" s="1"/>
  <c r="I365" i="1"/>
  <c r="J365" i="1" s="1"/>
  <c r="I397" i="1"/>
  <c r="J397" i="1" s="1"/>
  <c r="M397" i="1" s="1"/>
  <c r="I429" i="1"/>
  <c r="J429" i="1" s="1"/>
  <c r="I461" i="1"/>
  <c r="J461" i="1" s="1"/>
  <c r="I493" i="1"/>
  <c r="J493" i="1" s="1"/>
  <c r="I11" i="1"/>
  <c r="J11" i="1" s="1"/>
  <c r="I43" i="1"/>
  <c r="J43" i="1" s="1"/>
  <c r="I75" i="1"/>
  <c r="J75" i="1" s="1"/>
  <c r="M75" i="1" s="1"/>
  <c r="I107" i="1"/>
  <c r="J107" i="1" s="1"/>
  <c r="I139" i="1"/>
  <c r="J139" i="1" s="1"/>
  <c r="I171" i="1"/>
  <c r="J171" i="1" s="1"/>
  <c r="I203" i="1"/>
  <c r="J203" i="1" s="1"/>
  <c r="I235" i="1"/>
  <c r="J235" i="1" s="1"/>
  <c r="I561" i="1"/>
  <c r="J561" i="1" s="1"/>
  <c r="I270" i="1"/>
  <c r="J270" i="1" s="1"/>
  <c r="I532" i="1"/>
  <c r="J532" i="1" s="1"/>
  <c r="I564" i="1"/>
  <c r="J564" i="1" s="1"/>
  <c r="I596" i="1"/>
  <c r="J596" i="1" s="1"/>
  <c r="I628" i="1"/>
  <c r="J628" i="1" s="1"/>
  <c r="I273" i="1"/>
  <c r="J273" i="1" s="1"/>
  <c r="I305" i="1"/>
  <c r="J305" i="1" s="1"/>
  <c r="I337" i="1"/>
  <c r="J337" i="1" s="1"/>
  <c r="I369" i="1"/>
  <c r="J369" i="1" s="1"/>
  <c r="I401" i="1"/>
  <c r="J401" i="1" s="1"/>
  <c r="I433" i="1"/>
  <c r="J433" i="1" s="1"/>
  <c r="I465" i="1"/>
  <c r="J465" i="1" s="1"/>
  <c r="I497" i="1"/>
  <c r="J497" i="1" s="1"/>
  <c r="I15" i="1"/>
  <c r="J15" i="1" s="1"/>
  <c r="I47" i="1"/>
  <c r="J47" i="1" s="1"/>
  <c r="I79" i="1"/>
  <c r="J79" i="1" s="1"/>
  <c r="I111" i="1"/>
  <c r="J111" i="1" s="1"/>
  <c r="I143" i="1"/>
  <c r="J143" i="1" s="1"/>
  <c r="I175" i="1"/>
  <c r="J175" i="1" s="1"/>
  <c r="I207" i="1"/>
  <c r="J207" i="1" s="1"/>
  <c r="I239" i="1"/>
  <c r="J239" i="1" s="1"/>
  <c r="I48" i="1"/>
  <c r="J48" i="1" s="1"/>
  <c r="M48" i="1" s="1"/>
  <c r="I112" i="1"/>
  <c r="J112" i="1" s="1"/>
  <c r="I176" i="1"/>
  <c r="J176" i="1" s="1"/>
  <c r="I415" i="1"/>
  <c r="J415" i="1" s="1"/>
  <c r="I253" i="1"/>
  <c r="J253" i="1" s="1"/>
  <c r="I160" i="1"/>
  <c r="J160" i="1" s="1"/>
  <c r="I259" i="1"/>
  <c r="J259" i="1" s="1"/>
  <c r="I65" i="1"/>
  <c r="J65" i="1" s="1"/>
  <c r="I615" i="1"/>
  <c r="J615" i="1" s="1"/>
  <c r="I194" i="1"/>
  <c r="J194" i="1" s="1"/>
  <c r="I227" i="1"/>
  <c r="J227" i="1" s="1"/>
  <c r="I533" i="1"/>
  <c r="J533" i="1" s="1"/>
  <c r="I565" i="1"/>
  <c r="J565" i="1" s="1"/>
  <c r="I597" i="1"/>
  <c r="J597" i="1" s="1"/>
  <c r="I629" i="1"/>
  <c r="J629" i="1" s="1"/>
  <c r="I274" i="1"/>
  <c r="J274" i="1" s="1"/>
  <c r="I306" i="1"/>
  <c r="J306" i="1" s="1"/>
  <c r="I338" i="1"/>
  <c r="J338" i="1" s="1"/>
  <c r="I370" i="1"/>
  <c r="J370" i="1" s="1"/>
  <c r="M370" i="1" s="1"/>
  <c r="I402" i="1"/>
  <c r="J402" i="1" s="1"/>
  <c r="I434" i="1"/>
  <c r="J434" i="1" s="1"/>
  <c r="I466" i="1"/>
  <c r="J466" i="1" s="1"/>
  <c r="M466" i="1" s="1"/>
  <c r="I498" i="1"/>
  <c r="J498" i="1" s="1"/>
  <c r="I16" i="1"/>
  <c r="J16" i="1" s="1"/>
  <c r="I80" i="1"/>
  <c r="J80" i="1" s="1"/>
  <c r="I144" i="1"/>
  <c r="J144" i="1" s="1"/>
  <c r="M144" i="1" s="1"/>
  <c r="I208" i="1"/>
  <c r="J208" i="1" s="1"/>
  <c r="I240" i="1"/>
  <c r="J240" i="1" s="1"/>
  <c r="I220" i="1"/>
  <c r="J220" i="1" s="1"/>
  <c r="I93" i="1"/>
  <c r="J93" i="1" s="1"/>
  <c r="I258" i="1"/>
  <c r="J258" i="1" s="1"/>
  <c r="I256" i="1"/>
  <c r="J256" i="1" s="1"/>
  <c r="I387" i="1"/>
  <c r="J387" i="1" s="1"/>
  <c r="I257" i="1"/>
  <c r="J257" i="1" s="1"/>
  <c r="I454" i="1"/>
  <c r="J454" i="1" s="1"/>
  <c r="I141" i="1"/>
  <c r="J141" i="1" s="1"/>
  <c r="I462" i="1"/>
  <c r="J462" i="1" s="1"/>
  <c r="I205" i="1"/>
  <c r="J205" i="1" s="1"/>
  <c r="I358" i="1"/>
  <c r="J358" i="1" s="1"/>
  <c r="I588" i="1"/>
  <c r="J588" i="1" s="1"/>
  <c r="I456" i="1"/>
  <c r="J456" i="1" s="1"/>
  <c r="I142" i="1"/>
  <c r="J142" i="1" s="1"/>
  <c r="I166" i="1"/>
  <c r="J166" i="1" s="1"/>
  <c r="I329" i="1"/>
  <c r="J329" i="1" s="1"/>
  <c r="I366" i="1"/>
  <c r="J366" i="1" s="1"/>
  <c r="I78" i="1"/>
  <c r="J78" i="1" s="1"/>
  <c r="I398" i="1"/>
  <c r="J398" i="1" s="1"/>
  <c r="M398" i="1" s="1"/>
  <c r="I425" i="1"/>
  <c r="J425" i="1" s="1"/>
  <c r="I134" i="1"/>
  <c r="J134" i="1" s="1"/>
  <c r="I457" i="1"/>
  <c r="J457" i="1" s="1"/>
  <c r="I164" i="1"/>
  <c r="J164" i="1" s="1"/>
  <c r="I12" i="1"/>
  <c r="J12" i="1" s="1"/>
  <c r="I44" i="1"/>
  <c r="J44" i="1" s="1"/>
  <c r="I237" i="1"/>
  <c r="J237" i="1" s="1"/>
  <c r="I238" i="1"/>
  <c r="J238" i="1" s="1"/>
  <c r="I77" i="1"/>
  <c r="J77" i="1" s="1"/>
  <c r="I393" i="1"/>
  <c r="J393" i="1" s="1"/>
  <c r="M393" i="1" s="1"/>
  <c r="I262" i="1"/>
  <c r="J262" i="1" s="1"/>
  <c r="I463" i="1"/>
  <c r="J463" i="1" s="1"/>
  <c r="I4" i="1"/>
  <c r="J4" i="1" s="1"/>
  <c r="I167" i="1"/>
  <c r="J167" i="1" s="1"/>
  <c r="I488" i="1"/>
  <c r="J488" i="1" s="1"/>
  <c r="I206" i="1"/>
  <c r="J206" i="1" s="1"/>
  <c r="I231" i="1"/>
  <c r="J231" i="1" s="1"/>
  <c r="I265" i="1"/>
  <c r="J265" i="1" s="1"/>
  <c r="I464" i="1"/>
  <c r="J464" i="1" s="1"/>
  <c r="I6" i="1"/>
  <c r="J6" i="1" s="1"/>
  <c r="I172" i="1"/>
  <c r="J172" i="1" s="1"/>
  <c r="I174" i="1"/>
  <c r="J174" i="1" s="1"/>
  <c r="I335" i="1"/>
  <c r="J335" i="1" s="1"/>
  <c r="I236" i="1"/>
  <c r="J236" i="1" s="1"/>
  <c r="I103" i="1"/>
  <c r="J103" i="1" s="1"/>
  <c r="I422" i="1"/>
  <c r="J422" i="1" s="1"/>
  <c r="I140" i="1"/>
  <c r="J140" i="1" s="1"/>
  <c r="I271" i="1"/>
  <c r="J271" i="1" s="1"/>
  <c r="I486" i="1"/>
  <c r="J486" i="1" s="1"/>
  <c r="I7" i="1"/>
  <c r="J7" i="1" s="1"/>
  <c r="I173" i="1"/>
  <c r="J173" i="1" s="1"/>
  <c r="I272" i="1"/>
  <c r="J272" i="1" s="1"/>
  <c r="I68" i="1"/>
  <c r="J68" i="1" s="1"/>
  <c r="I76" i="1"/>
  <c r="J76" i="1" s="1"/>
  <c r="M76" i="1" s="1"/>
  <c r="I400" i="1"/>
  <c r="J400" i="1" s="1"/>
  <c r="I594" i="1"/>
  <c r="J594" i="1" s="1"/>
  <c r="I294" i="1"/>
  <c r="J294" i="1" s="1"/>
  <c r="I489" i="1"/>
  <c r="J489" i="1" s="1"/>
  <c r="I13" i="1"/>
  <c r="J13" i="1" s="1"/>
  <c r="I196" i="1"/>
  <c r="J196" i="1" s="1"/>
  <c r="I14" i="1"/>
  <c r="J14" i="1" s="1"/>
  <c r="I204" i="1"/>
  <c r="J204" i="1" s="1"/>
  <c r="I45" i="1"/>
  <c r="J45" i="1" s="1"/>
  <c r="I70" i="1"/>
  <c r="J70" i="1" s="1"/>
  <c r="M70" i="1" s="1"/>
  <c r="I563" i="1"/>
  <c r="J563" i="1" s="1"/>
  <c r="I297" i="1"/>
  <c r="J297" i="1" s="1"/>
  <c r="I494" i="1"/>
  <c r="J494" i="1" s="1"/>
  <c r="I198" i="1"/>
  <c r="J198" i="1" s="1"/>
  <c r="I39" i="1"/>
  <c r="J39" i="1" s="1"/>
  <c r="I230" i="1"/>
  <c r="J230" i="1" s="1"/>
  <c r="I71" i="1"/>
  <c r="J71" i="1" s="1"/>
  <c r="M71" i="1" s="1"/>
  <c r="I367" i="1"/>
  <c r="J367" i="1" s="1"/>
  <c r="I100" i="1"/>
  <c r="J100" i="1" s="1"/>
  <c r="I102" i="1"/>
  <c r="J102" i="1" s="1"/>
  <c r="I108" i="1"/>
  <c r="J108" i="1" s="1"/>
  <c r="I303" i="1"/>
  <c r="J303" i="1" s="1"/>
  <c r="I495" i="1"/>
  <c r="J495" i="1" s="1"/>
  <c r="I36" i="1"/>
  <c r="J36" i="1" s="1"/>
  <c r="I199" i="1"/>
  <c r="J199" i="1" s="1"/>
  <c r="I326" i="1"/>
  <c r="J326" i="1" s="1"/>
  <c r="I46" i="1"/>
  <c r="J46" i="1" s="1"/>
  <c r="I432" i="1"/>
  <c r="J432" i="1" s="1"/>
  <c r="I304" i="1"/>
  <c r="J304" i="1" s="1"/>
  <c r="I496" i="1"/>
  <c r="J496" i="1" s="1"/>
  <c r="I38" i="1"/>
  <c r="J38" i="1" s="1"/>
  <c r="I361" i="1"/>
  <c r="J361" i="1" s="1"/>
  <c r="I390" i="1"/>
  <c r="J390" i="1" s="1"/>
  <c r="I399" i="1"/>
  <c r="J399" i="1" s="1"/>
  <c r="I109" i="1"/>
  <c r="J109" i="1" s="1"/>
  <c r="I521" i="1"/>
  <c r="J521" i="1" s="1"/>
  <c r="I430" i="1"/>
  <c r="J430" i="1" s="1"/>
  <c r="I524" i="1"/>
  <c r="J524" i="1" s="1"/>
  <c r="I530" i="1"/>
  <c r="J530" i="1" s="1"/>
  <c r="I228" i="1"/>
  <c r="J228" i="1" s="1"/>
  <c r="I531" i="1"/>
  <c r="J531" i="1" s="1"/>
  <c r="I336" i="1"/>
  <c r="J336" i="1" s="1"/>
  <c r="I132" i="1"/>
  <c r="J132" i="1" s="1"/>
  <c r="I135" i="1"/>
  <c r="J135" i="1" s="1"/>
  <c r="I553" i="1"/>
  <c r="J553" i="1" s="1"/>
  <c r="I556" i="1"/>
  <c r="J556" i="1" s="1"/>
  <c r="I620" i="1"/>
  <c r="J620" i="1" s="1"/>
  <c r="I562" i="1"/>
  <c r="J562" i="1" s="1"/>
  <c r="I617" i="1"/>
  <c r="J617" i="1" s="1"/>
  <c r="I585" i="1"/>
  <c r="J585" i="1" s="1"/>
  <c r="I368" i="1"/>
  <c r="J368" i="1" s="1"/>
  <c r="I595" i="1"/>
  <c r="J595" i="1" s="1"/>
  <c r="I626" i="1"/>
  <c r="J626" i="1" s="1"/>
  <c r="I627" i="1"/>
  <c r="J627" i="1" s="1"/>
  <c r="I424" i="1"/>
  <c r="J424" i="1" s="1"/>
  <c r="I110" i="1"/>
  <c r="J110" i="1" s="1"/>
  <c r="I431" i="1"/>
  <c r="J431" i="1" s="1"/>
  <c r="I2" i="1"/>
  <c r="J2" i="1" s="1"/>
  <c r="K530" i="1"/>
  <c r="K562" i="1"/>
  <c r="K594" i="1"/>
  <c r="K626" i="1"/>
  <c r="L526" i="1"/>
  <c r="L558" i="1"/>
  <c r="L590" i="1"/>
  <c r="L622" i="1"/>
  <c r="K286" i="1"/>
  <c r="K318" i="1"/>
  <c r="K350" i="1"/>
  <c r="K382" i="1"/>
  <c r="K414" i="1"/>
  <c r="K446" i="1"/>
  <c r="K478" i="1"/>
  <c r="K510" i="1"/>
  <c r="L286" i="1"/>
  <c r="M286" i="1" s="1"/>
  <c r="L318" i="1"/>
  <c r="L350" i="1"/>
  <c r="M350" i="1" s="1"/>
  <c r="L382" i="1"/>
  <c r="M382" i="1" s="1"/>
  <c r="L414" i="1"/>
  <c r="L446" i="1"/>
  <c r="M446" i="1" s="1"/>
  <c r="L478" i="1"/>
  <c r="M478" i="1" s="1"/>
  <c r="L510" i="1"/>
  <c r="K4" i="1"/>
  <c r="K36" i="1"/>
  <c r="K68" i="1"/>
  <c r="K100" i="1"/>
  <c r="K132" i="1"/>
  <c r="K164" i="1"/>
  <c r="K196" i="1"/>
  <c r="K228" i="1"/>
  <c r="L5" i="1"/>
  <c r="L37" i="1"/>
  <c r="L69" i="1"/>
  <c r="L101" i="1"/>
  <c r="L133" i="1"/>
  <c r="L165" i="1"/>
  <c r="L197" i="1"/>
  <c r="M197" i="1" s="1"/>
  <c r="L229" i="1"/>
  <c r="L393" i="1"/>
  <c r="K207" i="1"/>
  <c r="K531" i="1"/>
  <c r="K563" i="1"/>
  <c r="K595" i="1"/>
  <c r="K627" i="1"/>
  <c r="L527" i="1"/>
  <c r="L559" i="1"/>
  <c r="L591" i="1"/>
  <c r="L623" i="1"/>
  <c r="K287" i="1"/>
  <c r="K319" i="1"/>
  <c r="K351" i="1"/>
  <c r="K383" i="1"/>
  <c r="K415" i="1"/>
  <c r="K447" i="1"/>
  <c r="K479" i="1"/>
  <c r="K511" i="1"/>
  <c r="L287" i="1"/>
  <c r="M287" i="1" s="1"/>
  <c r="L319" i="1"/>
  <c r="L351" i="1"/>
  <c r="L383" i="1"/>
  <c r="L415" i="1"/>
  <c r="L447" i="1"/>
  <c r="L479" i="1"/>
  <c r="L511" i="1"/>
  <c r="K5" i="1"/>
  <c r="K37" i="1"/>
  <c r="K69" i="1"/>
  <c r="K101" i="1"/>
  <c r="K133" i="1"/>
  <c r="K165" i="1"/>
  <c r="K197" i="1"/>
  <c r="K229" i="1"/>
  <c r="L6" i="1"/>
  <c r="L38" i="1"/>
  <c r="L70" i="1"/>
  <c r="L102" i="1"/>
  <c r="L134" i="1"/>
  <c r="L166" i="1"/>
  <c r="M166" i="1" s="1"/>
  <c r="L198" i="1"/>
  <c r="L230" i="1"/>
  <c r="K102" i="1"/>
  <c r="K198" i="1"/>
  <c r="L7" i="1"/>
  <c r="M7" i="1" s="1"/>
  <c r="L39" i="1"/>
  <c r="L103" i="1"/>
  <c r="L167" i="1"/>
  <c r="L231" i="1"/>
  <c r="K71" i="1"/>
  <c r="K135" i="1"/>
  <c r="K199" i="1"/>
  <c r="K231" i="1"/>
  <c r="L40" i="1"/>
  <c r="M40" i="1" s="1"/>
  <c r="L104" i="1"/>
  <c r="L168" i="1"/>
  <c r="L232" i="1"/>
  <c r="L169" i="1"/>
  <c r="L233" i="1"/>
  <c r="L170" i="1"/>
  <c r="L454" i="1"/>
  <c r="K236" i="1"/>
  <c r="L567" i="1"/>
  <c r="K295" i="1"/>
  <c r="K487" i="1"/>
  <c r="L455" i="1"/>
  <c r="K13" i="1"/>
  <c r="L46" i="1"/>
  <c r="L632" i="1"/>
  <c r="K360" i="1"/>
  <c r="L328" i="1"/>
  <c r="L488" i="1"/>
  <c r="K46" i="1"/>
  <c r="L15" i="1"/>
  <c r="L175" i="1"/>
  <c r="K239" i="1"/>
  <c r="K532" i="1"/>
  <c r="K564" i="1"/>
  <c r="K596" i="1"/>
  <c r="K628" i="1"/>
  <c r="L528" i="1"/>
  <c r="L560" i="1"/>
  <c r="L592" i="1"/>
  <c r="M592" i="1" s="1"/>
  <c r="L624" i="1"/>
  <c r="K288" i="1"/>
  <c r="K320" i="1"/>
  <c r="K352" i="1"/>
  <c r="K384" i="1"/>
  <c r="K416" i="1"/>
  <c r="K448" i="1"/>
  <c r="K480" i="1"/>
  <c r="K512" i="1"/>
  <c r="L288" i="1"/>
  <c r="L320" i="1"/>
  <c r="L352" i="1"/>
  <c r="L384" i="1"/>
  <c r="L416" i="1"/>
  <c r="M416" i="1" s="1"/>
  <c r="L448" i="1"/>
  <c r="M448" i="1" s="1"/>
  <c r="L480" i="1"/>
  <c r="M480" i="1" s="1"/>
  <c r="L512" i="1"/>
  <c r="M512" i="1" s="1"/>
  <c r="K6" i="1"/>
  <c r="K38" i="1"/>
  <c r="K70" i="1"/>
  <c r="K134" i="1"/>
  <c r="K166" i="1"/>
  <c r="K230" i="1"/>
  <c r="L71" i="1"/>
  <c r="L135" i="1"/>
  <c r="L199" i="1"/>
  <c r="M199" i="1" s="1"/>
  <c r="K39" i="1"/>
  <c r="K103" i="1"/>
  <c r="K167" i="1"/>
  <c r="L8" i="1"/>
  <c r="L72" i="1"/>
  <c r="M72" i="1" s="1"/>
  <c r="L136" i="1"/>
  <c r="L200" i="1"/>
  <c r="M200" i="1" s="1"/>
  <c r="L137" i="1"/>
  <c r="M137" i="1" s="1"/>
  <c r="L201" i="1"/>
  <c r="L234" i="1"/>
  <c r="L486" i="1"/>
  <c r="K172" i="1"/>
  <c r="L173" i="1"/>
  <c r="K571" i="1"/>
  <c r="L631" i="1"/>
  <c r="K391" i="1"/>
  <c r="L327" i="1"/>
  <c r="K45" i="1"/>
  <c r="L14" i="1"/>
  <c r="L238" i="1"/>
  <c r="K392" i="1"/>
  <c r="L360" i="1"/>
  <c r="M360" i="1" s="1"/>
  <c r="K14" i="1"/>
  <c r="L47" i="1"/>
  <c r="L176" i="1"/>
  <c r="K533" i="1"/>
  <c r="K565" i="1"/>
  <c r="K597" i="1"/>
  <c r="K629" i="1"/>
  <c r="L529" i="1"/>
  <c r="L561" i="1"/>
  <c r="L593" i="1"/>
  <c r="L625" i="1"/>
  <c r="M625" i="1" s="1"/>
  <c r="K289" i="1"/>
  <c r="K321" i="1"/>
  <c r="K353" i="1"/>
  <c r="K385" i="1"/>
  <c r="K417" i="1"/>
  <c r="K449" i="1"/>
  <c r="K481" i="1"/>
  <c r="K513" i="1"/>
  <c r="L289" i="1"/>
  <c r="M289" i="1" s="1"/>
  <c r="L321" i="1"/>
  <c r="M321" i="1" s="1"/>
  <c r="L353" i="1"/>
  <c r="L385" i="1"/>
  <c r="L417" i="1"/>
  <c r="L449" i="1"/>
  <c r="L481" i="1"/>
  <c r="L513" i="1"/>
  <c r="K7" i="1"/>
  <c r="K47" i="1"/>
  <c r="L48" i="1"/>
  <c r="K534" i="1"/>
  <c r="K566" i="1"/>
  <c r="K598" i="1"/>
  <c r="K630" i="1"/>
  <c r="L530" i="1"/>
  <c r="M530" i="1" s="1"/>
  <c r="L562" i="1"/>
  <c r="L594" i="1"/>
  <c r="M594" i="1" s="1"/>
  <c r="L626" i="1"/>
  <c r="K258" i="1"/>
  <c r="K290" i="1"/>
  <c r="K322" i="1"/>
  <c r="K354" i="1"/>
  <c r="K386" i="1"/>
  <c r="K418" i="1"/>
  <c r="K450" i="1"/>
  <c r="K482" i="1"/>
  <c r="L258" i="1"/>
  <c r="L290" i="1"/>
  <c r="M290" i="1" s="1"/>
  <c r="L322" i="1"/>
  <c r="L354" i="1"/>
  <c r="L386" i="1"/>
  <c r="L418" i="1"/>
  <c r="L450" i="1"/>
  <c r="M450" i="1" s="1"/>
  <c r="L482" i="1"/>
  <c r="K8" i="1"/>
  <c r="K40" i="1"/>
  <c r="K72" i="1"/>
  <c r="K104" i="1"/>
  <c r="K136" i="1"/>
  <c r="K168" i="1"/>
  <c r="K200" i="1"/>
  <c r="K232" i="1"/>
  <c r="L9" i="1"/>
  <c r="L41" i="1"/>
  <c r="L73" i="1"/>
  <c r="L105" i="1"/>
  <c r="L109" i="1"/>
  <c r="L174" i="1"/>
  <c r="L264" i="1"/>
  <c r="K174" i="1"/>
  <c r="L207" i="1"/>
  <c r="K79" i="1"/>
  <c r="K535" i="1"/>
  <c r="K567" i="1"/>
  <c r="K599" i="1"/>
  <c r="K631" i="1"/>
  <c r="L531" i="1"/>
  <c r="L563" i="1"/>
  <c r="L595" i="1"/>
  <c r="L627" i="1"/>
  <c r="K259" i="1"/>
  <c r="K291" i="1"/>
  <c r="K323" i="1"/>
  <c r="K355" i="1"/>
  <c r="K387" i="1"/>
  <c r="K419" i="1"/>
  <c r="K451" i="1"/>
  <c r="K483" i="1"/>
  <c r="L259" i="1"/>
  <c r="L291" i="1"/>
  <c r="L323" i="1"/>
  <c r="L355" i="1"/>
  <c r="L387" i="1"/>
  <c r="L419" i="1"/>
  <c r="L451" i="1"/>
  <c r="M451" i="1" s="1"/>
  <c r="L483" i="1"/>
  <c r="K9" i="1"/>
  <c r="K41" i="1"/>
  <c r="K73" i="1"/>
  <c r="K105" i="1"/>
  <c r="K137" i="1"/>
  <c r="K169" i="1"/>
  <c r="K201" i="1"/>
  <c r="K233" i="1"/>
  <c r="L10" i="1"/>
  <c r="L42" i="1"/>
  <c r="M42" i="1" s="1"/>
  <c r="L74" i="1"/>
  <c r="M74" i="1" s="1"/>
  <c r="L106" i="1"/>
  <c r="M106" i="1" s="1"/>
  <c r="L138" i="1"/>
  <c r="L202" i="1"/>
  <c r="M202" i="1" s="1"/>
  <c r="L422" i="1"/>
  <c r="M422" i="1" s="1"/>
  <c r="K108" i="1"/>
  <c r="L141" i="1"/>
  <c r="M141" i="1" s="1"/>
  <c r="K603" i="1"/>
  <c r="K263" i="1"/>
  <c r="K455" i="1"/>
  <c r="L423" i="1"/>
  <c r="K141" i="1"/>
  <c r="L78" i="1"/>
  <c r="K536" i="1"/>
  <c r="K568" i="1"/>
  <c r="K600" i="1"/>
  <c r="K632" i="1"/>
  <c r="L532" i="1"/>
  <c r="L564" i="1"/>
  <c r="L596" i="1"/>
  <c r="L628" i="1"/>
  <c r="K260" i="1"/>
  <c r="K292" i="1"/>
  <c r="K324" i="1"/>
  <c r="K356" i="1"/>
  <c r="K388" i="1"/>
  <c r="K420" i="1"/>
  <c r="K452" i="1"/>
  <c r="K484" i="1"/>
  <c r="L260" i="1"/>
  <c r="L292" i="1"/>
  <c r="M292" i="1" s="1"/>
  <c r="L324" i="1"/>
  <c r="M324" i="1" s="1"/>
  <c r="L356" i="1"/>
  <c r="L388" i="1"/>
  <c r="M388" i="1" s="1"/>
  <c r="L420" i="1"/>
  <c r="L452" i="1"/>
  <c r="M452" i="1" s="1"/>
  <c r="L484" i="1"/>
  <c r="M484" i="1" s="1"/>
  <c r="K10" i="1"/>
  <c r="K42" i="1"/>
  <c r="K74" i="1"/>
  <c r="K106" i="1"/>
  <c r="K138" i="1"/>
  <c r="K170" i="1"/>
  <c r="K202" i="1"/>
  <c r="K234" i="1"/>
  <c r="L11" i="1"/>
  <c r="L43" i="1"/>
  <c r="L75" i="1"/>
  <c r="L107" i="1"/>
  <c r="L139" i="1"/>
  <c r="L171" i="1"/>
  <c r="L203" i="1"/>
  <c r="L235" i="1"/>
  <c r="L76" i="1"/>
  <c r="L140" i="1"/>
  <c r="L204" i="1"/>
  <c r="L262" i="1"/>
  <c r="K76" i="1"/>
  <c r="L13" i="1"/>
  <c r="M13" i="1" s="1"/>
  <c r="L205" i="1"/>
  <c r="L535" i="1"/>
  <c r="K423" i="1"/>
  <c r="L391" i="1"/>
  <c r="K173" i="1"/>
  <c r="L206" i="1"/>
  <c r="K328" i="1"/>
  <c r="L392" i="1"/>
  <c r="K110" i="1"/>
  <c r="L111" i="1"/>
  <c r="L457" i="1"/>
  <c r="M457" i="1" s="1"/>
  <c r="K175" i="1"/>
  <c r="K537" i="1"/>
  <c r="K569" i="1"/>
  <c r="K601" i="1"/>
  <c r="K633" i="1"/>
  <c r="L533" i="1"/>
  <c r="L565" i="1"/>
  <c r="L597" i="1"/>
  <c r="L629" i="1"/>
  <c r="M629" i="1" s="1"/>
  <c r="K261" i="1"/>
  <c r="K293" i="1"/>
  <c r="K325" i="1"/>
  <c r="K357" i="1"/>
  <c r="K389" i="1"/>
  <c r="K421" i="1"/>
  <c r="K453" i="1"/>
  <c r="K485" i="1"/>
  <c r="L261" i="1"/>
  <c r="M261" i="1" s="1"/>
  <c r="L293" i="1"/>
  <c r="M293" i="1" s="1"/>
  <c r="L325" i="1"/>
  <c r="L357" i="1"/>
  <c r="M357" i="1" s="1"/>
  <c r="L389" i="1"/>
  <c r="M389" i="1" s="1"/>
  <c r="L421" i="1"/>
  <c r="L453" i="1"/>
  <c r="M453" i="1" s="1"/>
  <c r="L485" i="1"/>
  <c r="M485" i="1" s="1"/>
  <c r="K11" i="1"/>
  <c r="K43" i="1"/>
  <c r="K75" i="1"/>
  <c r="K107" i="1"/>
  <c r="K139" i="1"/>
  <c r="K171" i="1"/>
  <c r="K203" i="1"/>
  <c r="K235" i="1"/>
  <c r="L12" i="1"/>
  <c r="L44" i="1"/>
  <c r="L108" i="1"/>
  <c r="L172" i="1"/>
  <c r="L236" i="1"/>
  <c r="L294" i="1"/>
  <c r="K44" i="1"/>
  <c r="K204" i="1"/>
  <c r="L77" i="1"/>
  <c r="K635" i="1"/>
  <c r="K327" i="1"/>
  <c r="L295" i="1"/>
  <c r="L487" i="1"/>
  <c r="M487" i="1" s="1"/>
  <c r="K77" i="1"/>
  <c r="K237" i="1"/>
  <c r="L142" i="1"/>
  <c r="L600" i="1"/>
  <c r="K296" i="1"/>
  <c r="K456" i="1"/>
  <c r="L424" i="1"/>
  <c r="K142" i="1"/>
  <c r="L79" i="1"/>
  <c r="L239" i="1"/>
  <c r="K111" i="1"/>
  <c r="K538" i="1"/>
  <c r="K570" i="1"/>
  <c r="K602" i="1"/>
  <c r="K634" i="1"/>
  <c r="L534" i="1"/>
  <c r="M534" i="1" s="1"/>
  <c r="L566" i="1"/>
  <c r="M566" i="1" s="1"/>
  <c r="L598" i="1"/>
  <c r="M598" i="1" s="1"/>
  <c r="L630" i="1"/>
  <c r="M630" i="1" s="1"/>
  <c r="K262" i="1"/>
  <c r="K294" i="1"/>
  <c r="K326" i="1"/>
  <c r="K358" i="1"/>
  <c r="K390" i="1"/>
  <c r="K422" i="1"/>
  <c r="K454" i="1"/>
  <c r="K486" i="1"/>
  <c r="L326" i="1"/>
  <c r="L358" i="1"/>
  <c r="L390" i="1"/>
  <c r="K12" i="1"/>
  <c r="K140" i="1"/>
  <c r="L45" i="1"/>
  <c r="M45" i="1" s="1"/>
  <c r="L237" i="1"/>
  <c r="K539" i="1"/>
  <c r="L599" i="1"/>
  <c r="K359" i="1"/>
  <c r="L263" i="1"/>
  <c r="M263" i="1" s="1"/>
  <c r="L359" i="1"/>
  <c r="K109" i="1"/>
  <c r="K205" i="1"/>
  <c r="L110" i="1"/>
  <c r="L568" i="1"/>
  <c r="M568" i="1" s="1"/>
  <c r="K264" i="1"/>
  <c r="K424" i="1"/>
  <c r="L296" i="1"/>
  <c r="M296" i="1" s="1"/>
  <c r="L456" i="1"/>
  <c r="K78" i="1"/>
  <c r="K238" i="1"/>
  <c r="L143" i="1"/>
  <c r="M143" i="1" s="1"/>
  <c r="L489" i="1"/>
  <c r="K143" i="1"/>
  <c r="K540" i="1"/>
  <c r="K572" i="1"/>
  <c r="K604" i="1"/>
  <c r="K636" i="1"/>
  <c r="L536" i="1"/>
  <c r="M536" i="1" s="1"/>
  <c r="K488" i="1"/>
  <c r="K206" i="1"/>
  <c r="K15" i="1"/>
  <c r="K541" i="1"/>
  <c r="K573" i="1"/>
  <c r="K605" i="1"/>
  <c r="K637" i="1"/>
  <c r="L537" i="1"/>
  <c r="L569" i="1"/>
  <c r="L601" i="1"/>
  <c r="L633" i="1"/>
  <c r="K265" i="1"/>
  <c r="K297" i="1"/>
  <c r="K329" i="1"/>
  <c r="K361" i="1"/>
  <c r="K393" i="1"/>
  <c r="K425" i="1"/>
  <c r="K457" i="1"/>
  <c r="K489" i="1"/>
  <c r="L265" i="1"/>
  <c r="L297" i="1"/>
  <c r="M297" i="1" s="1"/>
  <c r="L329" i="1"/>
  <c r="L361" i="1"/>
  <c r="L425" i="1"/>
  <c r="M425" i="1" s="1"/>
  <c r="K542" i="1"/>
  <c r="K574" i="1"/>
  <c r="K606" i="1"/>
  <c r="K638" i="1"/>
  <c r="L538" i="1"/>
  <c r="M538" i="1" s="1"/>
  <c r="L570" i="1"/>
  <c r="L602" i="1"/>
  <c r="L634" i="1"/>
  <c r="K266" i="1"/>
  <c r="K298" i="1"/>
  <c r="K330" i="1"/>
  <c r="K362" i="1"/>
  <c r="K394" i="1"/>
  <c r="K426" i="1"/>
  <c r="K458" i="1"/>
  <c r="K490" i="1"/>
  <c r="L266" i="1"/>
  <c r="M266" i="1" s="1"/>
  <c r="L298" i="1"/>
  <c r="L330" i="1"/>
  <c r="L362" i="1"/>
  <c r="L394" i="1"/>
  <c r="L426" i="1"/>
  <c r="L458" i="1"/>
  <c r="L490" i="1"/>
  <c r="K16" i="1"/>
  <c r="K48" i="1"/>
  <c r="K80" i="1"/>
  <c r="K112" i="1"/>
  <c r="K144" i="1"/>
  <c r="K543" i="1"/>
  <c r="K575" i="1"/>
  <c r="K607" i="1"/>
  <c r="K639" i="1"/>
  <c r="L539" i="1"/>
  <c r="M539" i="1" s="1"/>
  <c r="L571" i="1"/>
  <c r="L603" i="1"/>
  <c r="L635" i="1"/>
  <c r="M635" i="1" s="1"/>
  <c r="K267" i="1"/>
  <c r="K299" i="1"/>
  <c r="K331" i="1"/>
  <c r="K363" i="1"/>
  <c r="K395" i="1"/>
  <c r="K427" i="1"/>
  <c r="K459" i="1"/>
  <c r="K491" i="1"/>
  <c r="L267" i="1"/>
  <c r="L299" i="1"/>
  <c r="L331" i="1"/>
  <c r="L363" i="1"/>
  <c r="L395" i="1"/>
  <c r="L427" i="1"/>
  <c r="M427" i="1" s="1"/>
  <c r="L459" i="1"/>
  <c r="M459" i="1" s="1"/>
  <c r="L491" i="1"/>
  <c r="K17" i="1"/>
  <c r="K49" i="1"/>
  <c r="K81" i="1"/>
  <c r="K113" i="1"/>
  <c r="K145" i="1"/>
  <c r="K177" i="1"/>
  <c r="K209" i="1"/>
  <c r="K241" i="1"/>
  <c r="L18" i="1"/>
  <c r="M18" i="1" s="1"/>
  <c r="L50" i="1"/>
  <c r="L82" i="1"/>
  <c r="L114" i="1"/>
  <c r="M114" i="1" s="1"/>
  <c r="L146" i="1"/>
  <c r="L178" i="1"/>
  <c r="M178" i="1" s="1"/>
  <c r="L210" i="1"/>
  <c r="L242" i="1"/>
  <c r="K544" i="1"/>
  <c r="K576" i="1"/>
  <c r="K608" i="1"/>
  <c r="K640" i="1"/>
  <c r="L540" i="1"/>
  <c r="M540" i="1" s="1"/>
  <c r="L572" i="1"/>
  <c r="L604" i="1"/>
  <c r="K545" i="1"/>
  <c r="K577" i="1"/>
  <c r="K609" i="1"/>
  <c r="K641" i="1"/>
  <c r="L541" i="1"/>
  <c r="M541" i="1" s="1"/>
  <c r="L573" i="1"/>
  <c r="L605" i="1"/>
  <c r="L637" i="1"/>
  <c r="K269" i="1"/>
  <c r="K301" i="1"/>
  <c r="K333" i="1"/>
  <c r="K365" i="1"/>
  <c r="K397" i="1"/>
  <c r="K429" i="1"/>
  <c r="K461" i="1"/>
  <c r="K493" i="1"/>
  <c r="L269" i="1"/>
  <c r="M269" i="1" s="1"/>
  <c r="L301" i="1"/>
  <c r="L333" i="1"/>
  <c r="L365" i="1"/>
  <c r="L397" i="1"/>
  <c r="L429" i="1"/>
  <c r="L461" i="1"/>
  <c r="L493" i="1"/>
  <c r="K19" i="1"/>
  <c r="K51" i="1"/>
  <c r="K83" i="1"/>
  <c r="K115" i="1"/>
  <c r="K147" i="1"/>
  <c r="K179" i="1"/>
  <c r="K211" i="1"/>
  <c r="K243" i="1"/>
  <c r="L20" i="1"/>
  <c r="M20" i="1" s="1"/>
  <c r="L52" i="1"/>
  <c r="L84" i="1"/>
  <c r="L116" i="1"/>
  <c r="L148" i="1"/>
  <c r="L180" i="1"/>
  <c r="L212" i="1"/>
  <c r="L244" i="1"/>
  <c r="M244" i="1" s="1"/>
  <c r="K514" i="1"/>
  <c r="K516" i="1"/>
  <c r="K548" i="1"/>
  <c r="K580" i="1"/>
  <c r="K612" i="1"/>
  <c r="K644" i="1"/>
  <c r="L544" i="1"/>
  <c r="L576" i="1"/>
  <c r="M576" i="1" s="1"/>
  <c r="L608" i="1"/>
  <c r="M608" i="1" s="1"/>
  <c r="L640" i="1"/>
  <c r="M640" i="1" s="1"/>
  <c r="K272" i="1"/>
  <c r="K304" i="1"/>
  <c r="K336" i="1"/>
  <c r="K368" i="1"/>
  <c r="K400" i="1"/>
  <c r="K432" i="1"/>
  <c r="K464" i="1"/>
  <c r="K496" i="1"/>
  <c r="L272" i="1"/>
  <c r="L304" i="1"/>
  <c r="L336" i="1"/>
  <c r="L368" i="1"/>
  <c r="L400" i="1"/>
  <c r="L432" i="1"/>
  <c r="L464" i="1"/>
  <c r="L496" i="1"/>
  <c r="K22" i="1"/>
  <c r="K54" i="1"/>
  <c r="K86" i="1"/>
  <c r="K118" i="1"/>
  <c r="K150" i="1"/>
  <c r="K182" i="1"/>
  <c r="K214" i="1"/>
  <c r="K246" i="1"/>
  <c r="L23" i="1"/>
  <c r="L55" i="1"/>
  <c r="L87" i="1"/>
  <c r="L119" i="1"/>
  <c r="L151" i="1"/>
  <c r="L183" i="1"/>
  <c r="L215" i="1"/>
  <c r="K517" i="1"/>
  <c r="K549" i="1"/>
  <c r="K581" i="1"/>
  <c r="K613" i="1"/>
  <c r="K645" i="1"/>
  <c r="L545" i="1"/>
  <c r="M545" i="1" s="1"/>
  <c r="L577" i="1"/>
  <c r="M577" i="1" s="1"/>
  <c r="L609" i="1"/>
  <c r="L641" i="1"/>
  <c r="K273" i="1"/>
  <c r="K305" i="1"/>
  <c r="K337" i="1"/>
  <c r="K369" i="1"/>
  <c r="K401" i="1"/>
  <c r="K433" i="1"/>
  <c r="K465" i="1"/>
  <c r="K497" i="1"/>
  <c r="L273" i="1"/>
  <c r="L305" i="1"/>
  <c r="M305" i="1" s="1"/>
  <c r="L337" i="1"/>
  <c r="M337" i="1" s="1"/>
  <c r="L369" i="1"/>
  <c r="L401" i="1"/>
  <c r="M401" i="1" s="1"/>
  <c r="L433" i="1"/>
  <c r="M433" i="1" s="1"/>
  <c r="L465" i="1"/>
  <c r="L497" i="1"/>
  <c r="K524" i="1"/>
  <c r="K556" i="1"/>
  <c r="K588" i="1"/>
  <c r="K620" i="1"/>
  <c r="L520" i="1"/>
  <c r="M520" i="1" s="1"/>
  <c r="L552" i="1"/>
  <c r="M552" i="1" s="1"/>
  <c r="L584" i="1"/>
  <c r="M584" i="1" s="1"/>
  <c r="L616" i="1"/>
  <c r="M616" i="1" s="1"/>
  <c r="K280" i="1"/>
  <c r="K312" i="1"/>
  <c r="K344" i="1"/>
  <c r="K376" i="1"/>
  <c r="K408" i="1"/>
  <c r="K440" i="1"/>
  <c r="K472" i="1"/>
  <c r="K504" i="1"/>
  <c r="L280" i="1"/>
  <c r="L312" i="1"/>
  <c r="K552" i="1"/>
  <c r="K623" i="1"/>
  <c r="L579" i="1"/>
  <c r="K334" i="1"/>
  <c r="K404" i="1"/>
  <c r="K473" i="1"/>
  <c r="L285" i="1"/>
  <c r="L367" i="1"/>
  <c r="L435" i="1"/>
  <c r="L501" i="1"/>
  <c r="K50" i="1"/>
  <c r="K114" i="1"/>
  <c r="K176" i="1"/>
  <c r="K226" i="1"/>
  <c r="L32" i="1"/>
  <c r="L93" i="1"/>
  <c r="L153" i="1"/>
  <c r="L213" i="1"/>
  <c r="M213" i="1" s="1"/>
  <c r="K123" i="1"/>
  <c r="L113" i="1"/>
  <c r="M113" i="1" s="1"/>
  <c r="L226" i="1"/>
  <c r="M226" i="1" s="1"/>
  <c r="K3" i="1"/>
  <c r="K257" i="1"/>
  <c r="K589" i="1"/>
  <c r="K590" i="1"/>
  <c r="L245" i="1"/>
  <c r="L405" i="1"/>
  <c r="L19" i="1"/>
  <c r="L81" i="1"/>
  <c r="K379" i="1"/>
  <c r="L24" i="1"/>
  <c r="L193" i="1"/>
  <c r="K553" i="1"/>
  <c r="K624" i="1"/>
  <c r="L580" i="1"/>
  <c r="K335" i="1"/>
  <c r="K405" i="1"/>
  <c r="K474" i="1"/>
  <c r="L300" i="1"/>
  <c r="L370" i="1"/>
  <c r="L436" i="1"/>
  <c r="L502" i="1"/>
  <c r="K52" i="1"/>
  <c r="K116" i="1"/>
  <c r="K178" i="1"/>
  <c r="K227" i="1"/>
  <c r="L33" i="1"/>
  <c r="L94" i="1"/>
  <c r="L154" i="1"/>
  <c r="M154" i="1" s="1"/>
  <c r="L214" i="1"/>
  <c r="M214" i="1" s="1"/>
  <c r="L159" i="1"/>
  <c r="L53" i="1"/>
  <c r="L162" i="1"/>
  <c r="L225" i="1"/>
  <c r="L121" i="1"/>
  <c r="K370" i="1"/>
  <c r="L241" i="1"/>
  <c r="M241" i="1" s="1"/>
  <c r="K508" i="1"/>
  <c r="K148" i="1"/>
  <c r="K372" i="1"/>
  <c r="K21" i="1"/>
  <c r="K303" i="1"/>
  <c r="K375" i="1"/>
  <c r="L248" i="1"/>
  <c r="K27" i="1"/>
  <c r="K311" i="1"/>
  <c r="K554" i="1"/>
  <c r="K625" i="1"/>
  <c r="L581" i="1"/>
  <c r="K338" i="1"/>
  <c r="K406" i="1"/>
  <c r="K475" i="1"/>
  <c r="L302" i="1"/>
  <c r="L371" i="1"/>
  <c r="L437" i="1"/>
  <c r="L503" i="1"/>
  <c r="K53" i="1"/>
  <c r="K117" i="1"/>
  <c r="K180" i="1"/>
  <c r="K240" i="1"/>
  <c r="L34" i="1"/>
  <c r="L95" i="1"/>
  <c r="L155" i="1"/>
  <c r="M155" i="1" s="1"/>
  <c r="L216" i="1"/>
  <c r="M216" i="1" s="1"/>
  <c r="L156" i="1"/>
  <c r="M156" i="1" s="1"/>
  <c r="L36" i="1"/>
  <c r="L157" i="1"/>
  <c r="K247" i="1"/>
  <c r="L100" i="1"/>
  <c r="M100" i="1" s="1"/>
  <c r="L161" i="1"/>
  <c r="L117" i="1"/>
  <c r="M117" i="1" s="1"/>
  <c r="L227" i="1"/>
  <c r="L240" i="1"/>
  <c r="K82" i="1"/>
  <c r="K20" i="1"/>
  <c r="L470" i="1"/>
  <c r="L186" i="1"/>
  <c r="L618" i="1"/>
  <c r="L271" i="1"/>
  <c r="L408" i="1"/>
  <c r="L129" i="1"/>
  <c r="L275" i="1"/>
  <c r="K614" i="1"/>
  <c r="K463" i="1"/>
  <c r="K555" i="1"/>
  <c r="K642" i="1"/>
  <c r="L582" i="1"/>
  <c r="K268" i="1"/>
  <c r="K339" i="1"/>
  <c r="K407" i="1"/>
  <c r="K476" i="1"/>
  <c r="L303" i="1"/>
  <c r="L372" i="1"/>
  <c r="M372" i="1" s="1"/>
  <c r="L438" i="1"/>
  <c r="L504" i="1"/>
  <c r="K55" i="1"/>
  <c r="K119" i="1"/>
  <c r="K181" i="1"/>
  <c r="K242" i="1"/>
  <c r="L35" i="1"/>
  <c r="M35" i="1" s="1"/>
  <c r="L96" i="1"/>
  <c r="M96" i="1" s="1"/>
  <c r="L217" i="1"/>
  <c r="L97" i="1"/>
  <c r="K58" i="1"/>
  <c r="L99" i="1"/>
  <c r="L160" i="1"/>
  <c r="L222" i="1"/>
  <c r="L115" i="1"/>
  <c r="M115" i="1" s="1"/>
  <c r="L120" i="1"/>
  <c r="L182" i="1"/>
  <c r="M182" i="1" s="1"/>
  <c r="L542" i="1"/>
  <c r="L403" i="1"/>
  <c r="K519" i="1"/>
  <c r="L187" i="1"/>
  <c r="L189" i="1"/>
  <c r="K523" i="1"/>
  <c r="K309" i="1"/>
  <c r="L250" i="1"/>
  <c r="L476" i="1"/>
  <c r="L131" i="1"/>
  <c r="L252" i="1"/>
  <c r="K557" i="1"/>
  <c r="K643" i="1"/>
  <c r="L583" i="1"/>
  <c r="K270" i="1"/>
  <c r="K340" i="1"/>
  <c r="K409" i="1"/>
  <c r="K477" i="1"/>
  <c r="L306" i="1"/>
  <c r="L373" i="1"/>
  <c r="M373" i="1" s="1"/>
  <c r="L439" i="1"/>
  <c r="L505" i="1"/>
  <c r="K56" i="1"/>
  <c r="K120" i="1"/>
  <c r="K183" i="1"/>
  <c r="K244" i="1"/>
  <c r="L218" i="1"/>
  <c r="M218" i="1" s="1"/>
  <c r="L51" i="1"/>
  <c r="M51" i="1" s="1"/>
  <c r="K248" i="1"/>
  <c r="L223" i="1"/>
  <c r="L60" i="1"/>
  <c r="K507" i="1"/>
  <c r="L63" i="1"/>
  <c r="L543" i="1"/>
  <c r="L124" i="1"/>
  <c r="L546" i="1"/>
  <c r="L268" i="1"/>
  <c r="L246" i="1"/>
  <c r="K377" i="1"/>
  <c r="L21" i="1"/>
  <c r="K462" i="1"/>
  <c r="L639" i="1"/>
  <c r="K29" i="1"/>
  <c r="K558" i="1"/>
  <c r="L514" i="1"/>
  <c r="M514" i="1" s="1"/>
  <c r="L585" i="1"/>
  <c r="K271" i="1"/>
  <c r="K341" i="1"/>
  <c r="K410" i="1"/>
  <c r="K492" i="1"/>
  <c r="L307" i="1"/>
  <c r="M307" i="1" s="1"/>
  <c r="L374" i="1"/>
  <c r="L440" i="1"/>
  <c r="L506" i="1"/>
  <c r="K57" i="1"/>
  <c r="K121" i="1"/>
  <c r="K184" i="1"/>
  <c r="K245" i="1"/>
  <c r="L49" i="1"/>
  <c r="L98" i="1"/>
  <c r="L158" i="1"/>
  <c r="L219" i="1"/>
  <c r="K185" i="1"/>
  <c r="L220" i="1"/>
  <c r="L221" i="1"/>
  <c r="L112" i="1"/>
  <c r="L59" i="1"/>
  <c r="L181" i="1"/>
  <c r="L334" i="1"/>
  <c r="L123" i="1"/>
  <c r="L335" i="1"/>
  <c r="L3" i="1"/>
  <c r="K441" i="1"/>
  <c r="L125" i="1"/>
  <c r="K520" i="1"/>
  <c r="L471" i="1"/>
  <c r="L473" i="1"/>
  <c r="K445" i="1"/>
  <c r="K90" i="1"/>
  <c r="K91" i="1"/>
  <c r="L276" i="1"/>
  <c r="M276" i="1" s="1"/>
  <c r="L554" i="1"/>
  <c r="M554" i="1" s="1"/>
  <c r="K559" i="1"/>
  <c r="L515" i="1"/>
  <c r="M515" i="1" s="1"/>
  <c r="L586" i="1"/>
  <c r="K274" i="1"/>
  <c r="K342" i="1"/>
  <c r="K411" i="1"/>
  <c r="K494" i="1"/>
  <c r="L308" i="1"/>
  <c r="L375" i="1"/>
  <c r="M375" i="1" s="1"/>
  <c r="L441" i="1"/>
  <c r="L507" i="1"/>
  <c r="K122" i="1"/>
  <c r="L54" i="1"/>
  <c r="M54" i="1" s="1"/>
  <c r="L163" i="1"/>
  <c r="L179" i="1"/>
  <c r="K67" i="1"/>
  <c r="K515" i="1"/>
  <c r="K23" i="1"/>
  <c r="K153" i="1"/>
  <c r="L621" i="1"/>
  <c r="L190" i="1"/>
  <c r="K155" i="1"/>
  <c r="K310" i="1"/>
  <c r="L411" i="1"/>
  <c r="K560" i="1"/>
  <c r="L516" i="1"/>
  <c r="L587" i="1"/>
  <c r="K275" i="1"/>
  <c r="K343" i="1"/>
  <c r="K412" i="1"/>
  <c r="K495" i="1"/>
  <c r="L309" i="1"/>
  <c r="L376" i="1"/>
  <c r="M376" i="1" s="1"/>
  <c r="L442" i="1"/>
  <c r="L508" i="1"/>
  <c r="M508" i="1" s="1"/>
  <c r="K59" i="1"/>
  <c r="K186" i="1"/>
  <c r="L56" i="1"/>
  <c r="L164" i="1"/>
  <c r="M164" i="1" s="1"/>
  <c r="L61" i="1"/>
  <c r="L122" i="1"/>
  <c r="M122" i="1" s="1"/>
  <c r="K195" i="1"/>
  <c r="L469" i="1"/>
  <c r="K509" i="1"/>
  <c r="K87" i="1"/>
  <c r="L128" i="1"/>
  <c r="L550" i="1"/>
  <c r="L409" i="1"/>
  <c r="L130" i="1"/>
  <c r="K92" i="1"/>
  <c r="L132" i="1"/>
  <c r="K561" i="1"/>
  <c r="L517" i="1"/>
  <c r="L588" i="1"/>
  <c r="K276" i="1"/>
  <c r="K345" i="1"/>
  <c r="K413" i="1"/>
  <c r="K498" i="1"/>
  <c r="L310" i="1"/>
  <c r="M310" i="1" s="1"/>
  <c r="L377" i="1"/>
  <c r="M377" i="1" s="1"/>
  <c r="L443" i="1"/>
  <c r="L509" i="1"/>
  <c r="M509" i="1" s="1"/>
  <c r="K60" i="1"/>
  <c r="K124" i="1"/>
  <c r="K187" i="1"/>
  <c r="K249" i="1"/>
  <c r="L224" i="1"/>
  <c r="M224" i="1" s="1"/>
  <c r="K193" i="1"/>
  <c r="L468" i="1"/>
  <c r="M468" i="1" s="1"/>
  <c r="K518" i="1"/>
  <c r="L243" i="1"/>
  <c r="M243" i="1" s="1"/>
  <c r="L4" i="1"/>
  <c r="K444" i="1"/>
  <c r="K308" i="1"/>
  <c r="K26" i="1"/>
  <c r="K378" i="1"/>
  <c r="L191" i="1"/>
  <c r="K156" i="1"/>
  <c r="K527" i="1"/>
  <c r="K93" i="1"/>
  <c r="K578" i="1"/>
  <c r="L518" i="1"/>
  <c r="L589" i="1"/>
  <c r="K277" i="1"/>
  <c r="K346" i="1"/>
  <c r="K428" i="1"/>
  <c r="K499" i="1"/>
  <c r="L311" i="1"/>
  <c r="M311" i="1" s="1"/>
  <c r="L378" i="1"/>
  <c r="L444" i="1"/>
  <c r="K61" i="1"/>
  <c r="K125" i="1"/>
  <c r="K188" i="1"/>
  <c r="K250" i="1"/>
  <c r="L57" i="1"/>
  <c r="L177" i="1"/>
  <c r="M177" i="1" s="1"/>
  <c r="L228" i="1"/>
  <c r="L402" i="1"/>
  <c r="K300" i="1"/>
  <c r="L64" i="1"/>
  <c r="M64" i="1" s="1"/>
  <c r="L339" i="1"/>
  <c r="M339" i="1" s="1"/>
  <c r="L16" i="1"/>
  <c r="L68" i="1"/>
  <c r="L80" i="1"/>
  <c r="L636" i="1"/>
  <c r="M636" i="1" s="1"/>
  <c r="L83" i="1"/>
  <c r="K380" i="1"/>
  <c r="K157" i="1"/>
  <c r="K579" i="1"/>
  <c r="L519" i="1"/>
  <c r="L606" i="1"/>
  <c r="K278" i="1"/>
  <c r="K347" i="1"/>
  <c r="K430" i="1"/>
  <c r="K500" i="1"/>
  <c r="L313" i="1"/>
  <c r="L379" i="1"/>
  <c r="L445" i="1"/>
  <c r="K62" i="1"/>
  <c r="K126" i="1"/>
  <c r="K189" i="1"/>
  <c r="K251" i="1"/>
  <c r="L118" i="1"/>
  <c r="K131" i="1"/>
  <c r="L614" i="1"/>
  <c r="K146" i="1"/>
  <c r="L185" i="1"/>
  <c r="M185" i="1" s="1"/>
  <c r="L617" i="1"/>
  <c r="K85" i="1"/>
  <c r="K151" i="1"/>
  <c r="K25" i="1"/>
  <c r="K610" i="1"/>
  <c r="L551" i="1"/>
  <c r="M551" i="1" s="1"/>
  <c r="L344" i="1"/>
  <c r="L251" i="1"/>
  <c r="M251" i="1" s="1"/>
  <c r="K582" i="1"/>
  <c r="L521" i="1"/>
  <c r="L607" i="1"/>
  <c r="K279" i="1"/>
  <c r="K348" i="1"/>
  <c r="K431" i="1"/>
  <c r="K501" i="1"/>
  <c r="L314" i="1"/>
  <c r="L380" i="1"/>
  <c r="M380" i="1" s="1"/>
  <c r="L460" i="1"/>
  <c r="K63" i="1"/>
  <c r="K127" i="1"/>
  <c r="K190" i="1"/>
  <c r="K252" i="1"/>
  <c r="L58" i="1"/>
  <c r="M58" i="1" s="1"/>
  <c r="K255" i="1"/>
  <c r="L615" i="1"/>
  <c r="L338" i="1"/>
  <c r="K149" i="1"/>
  <c r="L547" i="1"/>
  <c r="M547" i="1" s="1"/>
  <c r="K212" i="1"/>
  <c r="L343" i="1"/>
  <c r="M343" i="1" s="1"/>
  <c r="K217" i="1"/>
  <c r="K28" i="1"/>
  <c r="L477" i="1"/>
  <c r="M477" i="1" s="1"/>
  <c r="K583" i="1"/>
  <c r="L522" i="1"/>
  <c r="L610" i="1"/>
  <c r="K281" i="1"/>
  <c r="K349" i="1"/>
  <c r="K434" i="1"/>
  <c r="K502" i="1"/>
  <c r="L315" i="1"/>
  <c r="L381" i="1"/>
  <c r="L462" i="1"/>
  <c r="K64" i="1"/>
  <c r="K128" i="1"/>
  <c r="K191" i="1"/>
  <c r="K253" i="1"/>
  <c r="K256" i="1"/>
  <c r="L407" i="1"/>
  <c r="L249" i="1"/>
  <c r="K584" i="1"/>
  <c r="L523" i="1"/>
  <c r="M523" i="1" s="1"/>
  <c r="L611" i="1"/>
  <c r="K282" i="1"/>
  <c r="K364" i="1"/>
  <c r="K435" i="1"/>
  <c r="K503" i="1"/>
  <c r="L316" i="1"/>
  <c r="L396" i="1"/>
  <c r="L463" i="1"/>
  <c r="M463" i="1" s="1"/>
  <c r="K65" i="1"/>
  <c r="K129" i="1"/>
  <c r="K192" i="1"/>
  <c r="K254" i="1"/>
  <c r="L62" i="1"/>
  <c r="K587" i="1"/>
  <c r="L184" i="1"/>
  <c r="M184" i="1" s="1"/>
  <c r="K371" i="1"/>
  <c r="K84" i="1"/>
  <c r="K442" i="1"/>
  <c r="L126" i="1"/>
  <c r="K215" i="1"/>
  <c r="L342" i="1"/>
  <c r="K460" i="1"/>
  <c r="L22" i="1"/>
  <c r="M22" i="1" s="1"/>
  <c r="L553" i="1"/>
  <c r="K218" i="1"/>
  <c r="K615" i="1"/>
  <c r="K585" i="1"/>
  <c r="L524" i="1"/>
  <c r="L612" i="1"/>
  <c r="K283" i="1"/>
  <c r="K366" i="1"/>
  <c r="K436" i="1"/>
  <c r="K505" i="1"/>
  <c r="L317" i="1"/>
  <c r="L398" i="1"/>
  <c r="L466" i="1"/>
  <c r="K66" i="1"/>
  <c r="K130" i="1"/>
  <c r="K285" i="1"/>
  <c r="K302" i="1"/>
  <c r="L65" i="1"/>
  <c r="M65" i="1" s="1"/>
  <c r="K373" i="1"/>
  <c r="L66" i="1"/>
  <c r="K89" i="1"/>
  <c r="L474" i="1"/>
  <c r="M474" i="1" s="1"/>
  <c r="L475" i="1"/>
  <c r="L638" i="1"/>
  <c r="M638" i="1" s="1"/>
  <c r="L345" i="1"/>
  <c r="K586" i="1"/>
  <c r="L525" i="1"/>
  <c r="M525" i="1" s="1"/>
  <c r="L613" i="1"/>
  <c r="K284" i="1"/>
  <c r="K367" i="1"/>
  <c r="K437" i="1"/>
  <c r="K506" i="1"/>
  <c r="L332" i="1"/>
  <c r="L399" i="1"/>
  <c r="L467" i="1"/>
  <c r="K194" i="1"/>
  <c r="K438" i="1"/>
  <c r="K18" i="1"/>
  <c r="K439" i="1"/>
  <c r="K208" i="1"/>
  <c r="L404" i="1"/>
  <c r="M404" i="1" s="1"/>
  <c r="K210" i="1"/>
  <c r="K591" i="1"/>
  <c r="L341" i="1"/>
  <c r="M341" i="1" s="1"/>
  <c r="L274" i="1"/>
  <c r="K154" i="1"/>
  <c r="K525" i="1"/>
  <c r="K526" i="1"/>
  <c r="L192" i="1"/>
  <c r="M192" i="1" s="1"/>
  <c r="L277" i="1"/>
  <c r="L25" i="1"/>
  <c r="K521" i="1"/>
  <c r="K592" i="1"/>
  <c r="L548" i="1"/>
  <c r="L619" i="1"/>
  <c r="M619" i="1" s="1"/>
  <c r="K306" i="1"/>
  <c r="K374" i="1"/>
  <c r="K443" i="1"/>
  <c r="L270" i="1"/>
  <c r="M270" i="1" s="1"/>
  <c r="L340" i="1"/>
  <c r="M340" i="1" s="1"/>
  <c r="L406" i="1"/>
  <c r="L472" i="1"/>
  <c r="K24" i="1"/>
  <c r="K88" i="1"/>
  <c r="K152" i="1"/>
  <c r="K213" i="1"/>
  <c r="L17" i="1"/>
  <c r="L67" i="1"/>
  <c r="L127" i="1"/>
  <c r="L188" i="1"/>
  <c r="L247" i="1"/>
  <c r="K522" i="1"/>
  <c r="K593" i="1"/>
  <c r="L549" i="1"/>
  <c r="L620" i="1"/>
  <c r="K307" i="1"/>
  <c r="K216" i="1"/>
  <c r="K611" i="1"/>
  <c r="L410" i="1"/>
  <c r="K528" i="1"/>
  <c r="K616" i="1"/>
  <c r="L555" i="1"/>
  <c r="M555" i="1" s="1"/>
  <c r="L642" i="1"/>
  <c r="K313" i="1"/>
  <c r="K381" i="1"/>
  <c r="K466" i="1"/>
  <c r="L278" i="1"/>
  <c r="M278" i="1" s="1"/>
  <c r="L346" i="1"/>
  <c r="M346" i="1" s="1"/>
  <c r="L412" i="1"/>
  <c r="L492" i="1"/>
  <c r="M492" i="1" s="1"/>
  <c r="K30" i="1"/>
  <c r="K94" i="1"/>
  <c r="K158" i="1"/>
  <c r="K220" i="1"/>
  <c r="L26" i="1"/>
  <c r="M26" i="1" s="1"/>
  <c r="L86" i="1"/>
  <c r="L144" i="1"/>
  <c r="L194" i="1"/>
  <c r="L253" i="1"/>
  <c r="K618" i="1"/>
  <c r="L644" i="1"/>
  <c r="K398" i="1"/>
  <c r="L281" i="1"/>
  <c r="L428" i="1"/>
  <c r="K96" i="1"/>
  <c r="K222" i="1"/>
  <c r="L89" i="1"/>
  <c r="L196" i="1"/>
  <c r="L283" i="1"/>
  <c r="L499" i="1"/>
  <c r="M499" i="1" s="1"/>
  <c r="K98" i="1"/>
  <c r="L30" i="1"/>
  <c r="L209" i="1"/>
  <c r="K622" i="1"/>
  <c r="K332" i="1"/>
  <c r="L284" i="1"/>
  <c r="K163" i="1"/>
  <c r="L31" i="1"/>
  <c r="M31" i="1" s="1"/>
  <c r="L211" i="1"/>
  <c r="M211" i="1" s="1"/>
  <c r="L85" i="1"/>
  <c r="K529" i="1"/>
  <c r="K617" i="1"/>
  <c r="L556" i="1"/>
  <c r="M556" i="1" s="1"/>
  <c r="L643" i="1"/>
  <c r="M643" i="1" s="1"/>
  <c r="K314" i="1"/>
  <c r="K396" i="1"/>
  <c r="K467" i="1"/>
  <c r="L279" i="1"/>
  <c r="L347" i="1"/>
  <c r="L413" i="1"/>
  <c r="M413" i="1" s="1"/>
  <c r="L494" i="1"/>
  <c r="K31" i="1"/>
  <c r="K95" i="1"/>
  <c r="K159" i="1"/>
  <c r="K221" i="1"/>
  <c r="L27" i="1"/>
  <c r="L88" i="1"/>
  <c r="L145" i="1"/>
  <c r="L195" i="1"/>
  <c r="L254" i="1"/>
  <c r="K546" i="1"/>
  <c r="L557" i="1"/>
  <c r="M557" i="1" s="1"/>
  <c r="K315" i="1"/>
  <c r="K468" i="1"/>
  <c r="L348" i="1"/>
  <c r="L495" i="1"/>
  <c r="K32" i="1"/>
  <c r="K160" i="1"/>
  <c r="L28" i="1"/>
  <c r="L147" i="1"/>
  <c r="M147" i="1" s="1"/>
  <c r="L255" i="1"/>
  <c r="M255" i="1" s="1"/>
  <c r="K402" i="1"/>
  <c r="L364" i="1"/>
  <c r="M364" i="1" s="1"/>
  <c r="K162" i="1"/>
  <c r="L150" i="1"/>
  <c r="L257" i="1"/>
  <c r="K551" i="1"/>
  <c r="K471" i="1"/>
  <c r="L366" i="1"/>
  <c r="L500" i="1"/>
  <c r="M500" i="1" s="1"/>
  <c r="K99" i="1"/>
  <c r="L92" i="1"/>
  <c r="M92" i="1" s="1"/>
  <c r="K547" i="1"/>
  <c r="K619" i="1"/>
  <c r="L574" i="1"/>
  <c r="L645" i="1"/>
  <c r="K316" i="1"/>
  <c r="K399" i="1"/>
  <c r="K469" i="1"/>
  <c r="L282" i="1"/>
  <c r="L349" i="1"/>
  <c r="L430" i="1"/>
  <c r="M430" i="1" s="1"/>
  <c r="L498" i="1"/>
  <c r="K33" i="1"/>
  <c r="K97" i="1"/>
  <c r="K161" i="1"/>
  <c r="K223" i="1"/>
  <c r="L29" i="1"/>
  <c r="L90" i="1"/>
  <c r="L149" i="1"/>
  <c r="L208" i="1"/>
  <c r="L256" i="1"/>
  <c r="K550" i="1"/>
  <c r="K621" i="1"/>
  <c r="L575" i="1"/>
  <c r="M575" i="1" s="1"/>
  <c r="K317" i="1"/>
  <c r="K470" i="1"/>
  <c r="L431" i="1"/>
  <c r="M431" i="1" s="1"/>
  <c r="K34" i="1"/>
  <c r="K224" i="1"/>
  <c r="L91" i="1"/>
  <c r="M91" i="1" s="1"/>
  <c r="L578" i="1"/>
  <c r="K403" i="1"/>
  <c r="L434" i="1"/>
  <c r="K35" i="1"/>
  <c r="K225" i="1"/>
  <c r="L152" i="1"/>
  <c r="M152" i="1" s="1"/>
  <c r="K219" i="1"/>
  <c r="L2" i="1"/>
  <c r="K2" i="1"/>
  <c r="C4" i="16"/>
  <c r="G7" i="10" l="1"/>
  <c r="G6" i="10"/>
  <c r="G5" i="10"/>
  <c r="G9" i="10"/>
  <c r="G8" i="10"/>
  <c r="M345" i="1"/>
  <c r="M157" i="1"/>
  <c r="M50" i="1"/>
  <c r="M528" i="1"/>
  <c r="M560" i="1"/>
  <c r="M522" i="1"/>
  <c r="M510" i="1"/>
  <c r="M208" i="1"/>
  <c r="M28" i="1"/>
  <c r="M159" i="1"/>
  <c r="M593" i="1"/>
  <c r="M414" i="1"/>
  <c r="M614" i="1"/>
  <c r="M585" i="1"/>
  <c r="M94" i="1"/>
  <c r="M473" i="1"/>
  <c r="M23" i="1"/>
  <c r="M497" i="1"/>
  <c r="M237" i="1"/>
  <c r="M27" i="1"/>
  <c r="M574" i="1"/>
  <c r="M569" i="1"/>
  <c r="M248" i="1"/>
  <c r="M641" i="1"/>
  <c r="M334" i="1"/>
  <c r="M67" i="1"/>
  <c r="M441" i="1"/>
  <c r="M381" i="1"/>
  <c r="M49" i="1"/>
  <c r="M234" i="1"/>
  <c r="M80" i="1"/>
  <c r="M44" i="1"/>
  <c r="M571" i="1"/>
  <c r="M365" i="1"/>
  <c r="M111" i="1"/>
  <c r="M258" i="1"/>
  <c r="M333" i="1"/>
  <c r="M329" i="1"/>
  <c r="M150" i="1"/>
  <c r="M627" i="1"/>
  <c r="M475" i="1"/>
  <c r="M391" i="1"/>
  <c r="M642" i="1"/>
  <c r="M490" i="1"/>
  <c r="M338" i="1"/>
  <c r="M362" i="1"/>
  <c r="M41" i="1"/>
  <c r="M390" i="1"/>
  <c r="M368" i="1"/>
  <c r="M265" i="1"/>
  <c r="M172" i="1"/>
  <c r="M486" i="1"/>
  <c r="M168" i="1"/>
  <c r="M366" i="1"/>
  <c r="M415" i="1"/>
  <c r="M153" i="1"/>
  <c r="M277" i="1"/>
  <c r="M236" i="1"/>
  <c r="M595" i="1"/>
  <c r="M440" i="1"/>
  <c r="M439" i="1"/>
  <c r="M121" i="1"/>
  <c r="M361" i="1"/>
  <c r="M563" i="1"/>
  <c r="M8" i="1"/>
  <c r="M231" i="1"/>
  <c r="M505" i="1"/>
  <c r="M225" i="1"/>
  <c r="M301" i="1"/>
  <c r="M456" i="1"/>
  <c r="M531" i="1"/>
  <c r="M167" i="1"/>
  <c r="M256" i="1"/>
  <c r="M548" i="1"/>
  <c r="M309" i="1"/>
  <c r="M53" i="1"/>
  <c r="M206" i="1"/>
  <c r="M356" i="1"/>
  <c r="M39" i="1"/>
  <c r="M93" i="1"/>
  <c r="M207" i="1"/>
  <c r="M318" i="1"/>
  <c r="M562" i="1"/>
  <c r="M438" i="1"/>
  <c r="M637" i="1"/>
  <c r="M283" i="1"/>
  <c r="M605" i="1"/>
  <c r="M330" i="1"/>
  <c r="M600" i="1"/>
  <c r="M615" i="1"/>
  <c r="M620" i="1"/>
  <c r="M190" i="1"/>
  <c r="M335" i="1"/>
  <c r="M363" i="1"/>
  <c r="M483" i="1"/>
  <c r="M136" i="1"/>
  <c r="M198" i="1"/>
  <c r="M348" i="1"/>
  <c r="M359" i="1"/>
  <c r="M29" i="1"/>
  <c r="M273" i="1"/>
  <c r="M299" i="1"/>
  <c r="M518" i="1"/>
  <c r="M295" i="1"/>
  <c r="M239" i="1"/>
  <c r="M260" i="1"/>
  <c r="M175" i="1"/>
  <c r="M519" i="1"/>
  <c r="M128" i="1"/>
  <c r="M331" i="1"/>
  <c r="M2" i="1"/>
  <c r="M645" i="1"/>
  <c r="M553" i="1"/>
  <c r="M607" i="1"/>
  <c r="M570" i="1"/>
  <c r="M423" i="1"/>
  <c r="M447" i="1"/>
  <c r="M516" i="1"/>
  <c r="M426" i="1"/>
  <c r="M488" i="1"/>
  <c r="M160" i="1"/>
  <c r="M521" i="1"/>
  <c r="M240" i="1"/>
  <c r="M609" i="1"/>
  <c r="M242" i="1"/>
  <c r="M418" i="1"/>
  <c r="M104" i="1"/>
  <c r="M578" i="1"/>
  <c r="M86" i="1"/>
  <c r="M462" i="1"/>
  <c r="M461" i="1"/>
  <c r="M12" i="1"/>
  <c r="M118" i="1"/>
  <c r="M458" i="1"/>
  <c r="M205" i="1"/>
  <c r="M626" i="1"/>
  <c r="M279" i="1"/>
  <c r="M315" i="1"/>
  <c r="M472" i="1"/>
  <c r="M342" i="1"/>
  <c r="M4" i="1"/>
  <c r="M61" i="1"/>
  <c r="M308" i="1"/>
  <c r="M227" i="1"/>
  <c r="M19" i="1"/>
  <c r="M493" i="1"/>
  <c r="M210" i="1"/>
  <c r="M603" i="1"/>
  <c r="M386" i="1"/>
  <c r="M201" i="1"/>
  <c r="M383" i="1"/>
  <c r="M108" i="1"/>
  <c r="M68" i="1"/>
  <c r="M354" i="1"/>
  <c r="M351" i="1"/>
  <c r="M257" i="1"/>
  <c r="M613" i="1"/>
  <c r="M126" i="1"/>
  <c r="M344" i="1"/>
  <c r="M16" i="1"/>
  <c r="M217" i="1"/>
  <c r="M161" i="1"/>
  <c r="M245" i="1"/>
  <c r="M429" i="1"/>
  <c r="M146" i="1"/>
  <c r="M489" i="1"/>
  <c r="M322" i="1"/>
  <c r="M624" i="1"/>
  <c r="M319" i="1"/>
  <c r="M149" i="1"/>
  <c r="M284" i="1"/>
  <c r="M66" i="1"/>
  <c r="M119" i="1"/>
  <c r="M10" i="1"/>
  <c r="M561" i="1"/>
  <c r="M135" i="1"/>
  <c r="M79" i="1"/>
  <c r="M535" i="1"/>
  <c r="M15" i="1"/>
  <c r="M230" i="1"/>
  <c r="M623" i="1"/>
  <c r="M36" i="1"/>
  <c r="M103" i="1"/>
  <c r="M34" i="1"/>
  <c r="M303" i="1"/>
  <c r="M587" i="1"/>
  <c r="M33" i="1"/>
  <c r="M32" i="1"/>
  <c r="M591" i="1"/>
  <c r="M506" i="1"/>
  <c r="M610" i="1"/>
  <c r="M424" i="1"/>
  <c r="M264" i="1"/>
  <c r="M559" i="1"/>
  <c r="M162" i="1"/>
  <c r="M110" i="1"/>
  <c r="M495" i="1"/>
  <c r="M471" i="1"/>
  <c r="M410" i="1"/>
  <c r="M316" i="1"/>
  <c r="M252" i="1"/>
  <c r="M465" i="1"/>
  <c r="M491" i="1"/>
  <c r="M394" i="1"/>
  <c r="M325" i="1"/>
  <c r="M174" i="1"/>
  <c r="M328" i="1"/>
  <c r="M134" i="1"/>
  <c r="M527" i="1"/>
  <c r="M125" i="1"/>
  <c r="M131" i="1"/>
  <c r="M503" i="1"/>
  <c r="M262" i="1"/>
  <c r="M109" i="1"/>
  <c r="M176" i="1"/>
  <c r="M102" i="1"/>
  <c r="M639" i="1"/>
  <c r="M498" i="1"/>
  <c r="M274" i="1"/>
  <c r="M476" i="1"/>
  <c r="M582" i="1"/>
  <c r="M437" i="1"/>
  <c r="M212" i="1"/>
  <c r="M633" i="1"/>
  <c r="M599" i="1"/>
  <c r="M204" i="1"/>
  <c r="M105" i="1"/>
  <c r="M47" i="1"/>
  <c r="M632" i="1"/>
  <c r="M588" i="1"/>
  <c r="M3" i="1"/>
  <c r="M21" i="1"/>
  <c r="M250" i="1"/>
  <c r="M371" i="1"/>
  <c r="M502" i="1"/>
  <c r="M501" i="1"/>
  <c r="M369" i="1"/>
  <c r="M180" i="1"/>
  <c r="M573" i="1"/>
  <c r="M298" i="1"/>
  <c r="M601" i="1"/>
  <c r="M142" i="1"/>
  <c r="M140" i="1"/>
  <c r="M46" i="1"/>
  <c r="M38" i="1"/>
  <c r="M82" i="1"/>
  <c r="M228" i="1"/>
  <c r="M517" i="1"/>
  <c r="M302" i="1"/>
  <c r="M436" i="1"/>
  <c r="M435" i="1"/>
  <c r="M148" i="1"/>
  <c r="M6" i="1"/>
  <c r="M402" i="1"/>
  <c r="M317" i="1"/>
  <c r="M282" i="1"/>
  <c r="M549" i="1"/>
  <c r="M611" i="1"/>
  <c r="M313" i="1"/>
  <c r="M621" i="1"/>
  <c r="M123" i="1"/>
  <c r="M246" i="1"/>
  <c r="M367" i="1"/>
  <c r="M116" i="1"/>
  <c r="M537" i="1"/>
  <c r="M235" i="1"/>
  <c r="M628" i="1"/>
  <c r="M9" i="1"/>
  <c r="M455" i="1"/>
  <c r="M544" i="1"/>
  <c r="M88" i="1"/>
  <c r="M589" i="1"/>
  <c r="M132" i="1"/>
  <c r="M268" i="1"/>
  <c r="M189" i="1"/>
  <c r="M300" i="1"/>
  <c r="M285" i="1"/>
  <c r="M203" i="1"/>
  <c r="M596" i="1"/>
  <c r="M238" i="1"/>
  <c r="M586" i="1"/>
  <c r="M306" i="1"/>
  <c r="M617" i="1"/>
  <c r="M529" i="1"/>
  <c r="M254" i="1"/>
  <c r="M195" i="1"/>
  <c r="M428" i="1"/>
  <c r="M181" i="1"/>
  <c r="M546" i="1"/>
  <c r="M187" i="1"/>
  <c r="M275" i="1"/>
  <c r="M496" i="1"/>
  <c r="M52" i="1"/>
  <c r="M267" i="1"/>
  <c r="M171" i="1"/>
  <c r="M564" i="1"/>
  <c r="M387" i="1"/>
  <c r="M14" i="1"/>
  <c r="M229" i="1"/>
  <c r="M622" i="1"/>
  <c r="M374" i="1"/>
  <c r="M504" i="1"/>
  <c r="M443" i="1"/>
  <c r="M444" i="1"/>
  <c r="M59" i="1"/>
  <c r="M124" i="1"/>
  <c r="M129" i="1"/>
  <c r="M581" i="1"/>
  <c r="M464" i="1"/>
  <c r="M139" i="1"/>
  <c r="M532" i="1"/>
  <c r="M355" i="1"/>
  <c r="M352" i="1"/>
  <c r="M567" i="1"/>
  <c r="M590" i="1"/>
  <c r="M188" i="1"/>
  <c r="M612" i="1"/>
  <c r="M112" i="1"/>
  <c r="M543" i="1"/>
  <c r="M408" i="1"/>
  <c r="M432" i="1"/>
  <c r="M604" i="1"/>
  <c r="M358" i="1"/>
  <c r="M107" i="1"/>
  <c r="M323" i="1"/>
  <c r="M513" i="1"/>
  <c r="M327" i="1"/>
  <c r="M320" i="1"/>
  <c r="M165" i="1"/>
  <c r="M558" i="1"/>
  <c r="M183" i="1"/>
  <c r="M25" i="1"/>
  <c r="M30" i="1"/>
  <c r="M349" i="1"/>
  <c r="M281" i="1"/>
  <c r="M247" i="1"/>
  <c r="M249" i="1"/>
  <c r="M460" i="1"/>
  <c r="M130" i="1"/>
  <c r="M644" i="1"/>
  <c r="M127" i="1"/>
  <c r="M524" i="1"/>
  <c r="M314" i="1"/>
  <c r="M606" i="1"/>
  <c r="M550" i="1"/>
  <c r="M179" i="1"/>
  <c r="M221" i="1"/>
  <c r="M63" i="1"/>
  <c r="M542" i="1"/>
  <c r="M271" i="1"/>
  <c r="M580" i="1"/>
  <c r="M579" i="1"/>
  <c r="M400" i="1"/>
  <c r="M572" i="1"/>
  <c r="M326" i="1"/>
  <c r="M77" i="1"/>
  <c r="M291" i="1"/>
  <c r="M481" i="1"/>
  <c r="M288" i="1"/>
  <c r="M454" i="1"/>
  <c r="M133" i="1"/>
  <c r="M526" i="1"/>
  <c r="M151" i="1"/>
  <c r="M583" i="1"/>
  <c r="M396" i="1"/>
  <c r="M196" i="1"/>
  <c r="M43" i="1"/>
  <c r="M259" i="1"/>
  <c r="M449" i="1"/>
  <c r="M631" i="1"/>
  <c r="M170" i="1"/>
  <c r="M101" i="1"/>
  <c r="M442" i="1"/>
  <c r="M138" i="1"/>
  <c r="M209" i="1"/>
  <c r="M445" i="1"/>
  <c r="M494" i="1"/>
  <c r="M253" i="1"/>
  <c r="M17" i="1"/>
  <c r="M191" i="1"/>
  <c r="M60" i="1"/>
  <c r="M120" i="1"/>
  <c r="M186" i="1"/>
  <c r="M336" i="1"/>
  <c r="M597" i="1"/>
  <c r="M11" i="1"/>
  <c r="M233" i="1"/>
  <c r="M69" i="1"/>
  <c r="M163" i="1"/>
  <c r="M434" i="1"/>
  <c r="M219" i="1"/>
  <c r="M223" i="1"/>
  <c r="M470" i="1"/>
  <c r="M193" i="1"/>
  <c r="M312" i="1"/>
  <c r="M304" i="1"/>
  <c r="M634" i="1"/>
  <c r="M294" i="1"/>
  <c r="M565" i="1"/>
  <c r="M78" i="1"/>
  <c r="M385" i="1"/>
  <c r="M173" i="1"/>
  <c r="M169" i="1"/>
  <c r="M511" i="1"/>
  <c r="M37" i="1"/>
  <c r="M215" i="1"/>
  <c r="M55" i="1"/>
  <c r="M220" i="1"/>
  <c r="M618" i="1"/>
  <c r="M194" i="1"/>
  <c r="M399" i="1"/>
  <c r="M347" i="1"/>
  <c r="M332" i="1"/>
  <c r="M469" i="1"/>
  <c r="M507" i="1"/>
  <c r="M158" i="1"/>
  <c r="M222" i="1"/>
  <c r="M24" i="1"/>
  <c r="M280" i="1"/>
  <c r="M272" i="1"/>
  <c r="M602" i="1"/>
  <c r="M533" i="1"/>
  <c r="M482" i="1"/>
  <c r="M353" i="1"/>
  <c r="M232" i="1"/>
  <c r="M479" i="1"/>
  <c r="M5" i="1"/>
  <c r="G4" i="10"/>
  <c r="A2" i="7"/>
  <c r="H7" i="6" l="1"/>
  <c r="G5" i="6"/>
  <c r="H8" i="6"/>
  <c r="H9" i="6"/>
  <c r="G4" i="6"/>
  <c r="H3" i="6"/>
  <c r="H10" i="6"/>
  <c r="H11" i="6"/>
  <c r="H5" i="6"/>
  <c r="G3" i="6"/>
  <c r="G8" i="6"/>
  <c r="G9" i="6"/>
  <c r="G11" i="6"/>
  <c r="H6" i="6"/>
  <c r="G7" i="6"/>
  <c r="G6" i="6"/>
  <c r="G10" i="6"/>
  <c r="H4" i="6"/>
  <c r="H2" i="6"/>
  <c r="G2" i="6"/>
</calcChain>
</file>

<file path=xl/sharedStrings.xml><?xml version="1.0" encoding="utf-8"?>
<sst xmlns="http://schemas.openxmlformats.org/spreadsheetml/2006/main" count="8333" uniqueCount="132">
  <si>
    <t>Population</t>
  </si>
  <si>
    <t>Cost Basis</t>
  </si>
  <si>
    <t>Period</t>
  </si>
  <si>
    <t>IsCompleted</t>
  </si>
  <si>
    <t>Trend</t>
  </si>
  <si>
    <t>Trend Order</t>
  </si>
  <si>
    <t>Staging Data</t>
  </si>
  <si>
    <t>Production Data</t>
  </si>
  <si>
    <t>Staging Incurred Claims</t>
  </si>
  <si>
    <t>Staging Paid Claims</t>
  </si>
  <si>
    <t>Production Incurred Claims</t>
  </si>
  <si>
    <t>Production Paid Claims</t>
  </si>
  <si>
    <t>Medical PMPM</t>
  </si>
  <si>
    <t>Drug PMPM</t>
  </si>
  <si>
    <t>Overall PMPM</t>
  </si>
  <si>
    <t>Readmission Cost</t>
  </si>
  <si>
    <t>Readmission Quality</t>
  </si>
  <si>
    <t>Avoidable Admission Cost</t>
  </si>
  <si>
    <t>Avoidable Admission Quality</t>
  </si>
  <si>
    <t>Outpatient Imaging Cost</t>
  </si>
  <si>
    <t>Hospiatl Outpatient MRIs per 1k</t>
  </si>
  <si>
    <t>Hospiatl Outpatient CTs per 1k</t>
  </si>
  <si>
    <t>Office Based MRIs per 1k</t>
  </si>
  <si>
    <t>Office Based CTs per 1k</t>
  </si>
  <si>
    <t>ED Cost</t>
  </si>
  <si>
    <t>ED Utilization</t>
  </si>
  <si>
    <t>Drug - Generic Utilization Cost</t>
  </si>
  <si>
    <t>Drug - Generic Utilization</t>
  </si>
  <si>
    <t>Chronic Disease Management - Cost</t>
  </si>
  <si>
    <t>Chronic Disease Management - Members</t>
  </si>
  <si>
    <t>Inpatient Claim Count</t>
  </si>
  <si>
    <t>Outpatient Claim Count</t>
  </si>
  <si>
    <t>Professional Claim Count</t>
  </si>
  <si>
    <t>Ancillary Claim Count</t>
  </si>
  <si>
    <t>Drug Claim Count</t>
  </si>
  <si>
    <t>Data</t>
  </si>
  <si>
    <t>Incurred Claims</t>
  </si>
  <si>
    <t>Paid Claims</t>
  </si>
  <si>
    <t>Vlookup</t>
  </si>
  <si>
    <t>Row Labels</t>
  </si>
  <si>
    <t>Grand Total</t>
  </si>
  <si>
    <t>All Tabs Trend</t>
  </si>
  <si>
    <t>IBNR Staging vs Production</t>
  </si>
  <si>
    <t>Staging</t>
  </si>
  <si>
    <t>Production</t>
  </si>
  <si>
    <t>Incomplete Months</t>
  </si>
  <si>
    <t>Trend Sheet Reference</t>
  </si>
  <si>
    <t>Tab</t>
  </si>
  <si>
    <t>Description</t>
  </si>
  <si>
    <t>All Trend Sheet</t>
  </si>
  <si>
    <t>IBNR Trend Sheet</t>
  </si>
  <si>
    <t>Here we can test the IBNR trend as we see in the CPRM site</t>
  </si>
  <si>
    <t>This will show the no of incomplete months b/w staging and production</t>
  </si>
  <si>
    <t>This tab is used to test all the trends in the site. Except EBM</t>
  </si>
  <si>
    <t>Test Cases Covered</t>
  </si>
  <si>
    <t>Test Cases Yet to Cover</t>
  </si>
  <si>
    <t>Patients, Physicians, Population Dashboard (Qualtiy and Utilization summary) and EBM</t>
  </si>
  <si>
    <t>File movement</t>
  </si>
  <si>
    <t>Verified</t>
  </si>
  <si>
    <t>Comments</t>
  </si>
  <si>
    <t>Check whether the member files are moved to \\atxentntap-p01a\CDA_Archive\DM\Files</t>
  </si>
  <si>
    <t>Check whether mail is attached to SF ticket when files sent to MM</t>
  </si>
  <si>
    <t>Check whether  all the member files are deleted from the temp folder once files are sent to MM</t>
  </si>
  <si>
    <t>Smoke test</t>
  </si>
  <si>
    <t>Check whether .bak name is addded</t>
  </si>
  <si>
    <t>Check whether current dataload instance is mark completed in DM</t>
  </si>
  <si>
    <t>If 10.3.bak check whether Episodes Explorer is enabled</t>
  </si>
  <si>
    <t>Enable Domestic Steerage for New members (Mandatory)</t>
  </si>
  <si>
    <t>Enable Domestic steerage based on the Domestic Fag information in the Physicians tab for Existing members</t>
  </si>
  <si>
    <t>Check whether Validation mail is attached in the SF after completing Smoke test</t>
  </si>
  <si>
    <t>New Memberorg creation</t>
  </si>
  <si>
    <t>Check whether all steps are performed from the following wiki page</t>
  </si>
  <si>
    <t>https://wiki.advisory.com/login.action;jsessionid=05F1141AFC5C97FD163DFCBE0D2142E0?os_destination=%2Fpages%2Fviewpage.action%3Ftitle%3DCPRM%2BSite%2BBuild%26spaceKey%3DCPRM</t>
  </si>
  <si>
    <t>Check whether Siam is enabled in both Production and Staging</t>
  </si>
  <si>
    <t>Check whether staging and production site are deployed in Site Manager</t>
  </si>
  <si>
    <t>Verify dates are updated in Datamilestones in SAlesforce ticket</t>
  </si>
  <si>
    <t xml:space="preserve">Verify DM instance and SalesForce description are for the same month </t>
  </si>
  <si>
    <t>Incurred</t>
  </si>
  <si>
    <t>Paid</t>
  </si>
  <si>
    <t>Other Checks</t>
  </si>
  <si>
    <t>DisplayName</t>
  </si>
  <si>
    <t>Tabs</t>
  </si>
  <si>
    <t>Checks</t>
  </si>
  <si>
    <t>Results</t>
  </si>
  <si>
    <t>Prodution</t>
  </si>
  <si>
    <t>Display Name</t>
  </si>
  <si>
    <t>Critical</t>
  </si>
  <si>
    <t>Trivial</t>
  </si>
  <si>
    <t>Perc Deviation</t>
  </si>
  <si>
    <t>Result</t>
  </si>
  <si>
    <t>EMPLOYEE</t>
  </si>
  <si>
    <t>Allowed</t>
  </si>
  <si>
    <t>2016-04-01</t>
  </si>
  <si>
    <t>Y</t>
  </si>
  <si>
    <t>2016-05-01</t>
  </si>
  <si>
    <t>2016-06-01</t>
  </si>
  <si>
    <t>2016-07-01</t>
  </si>
  <si>
    <t>2016-08-01</t>
  </si>
  <si>
    <t>2016-09-01</t>
  </si>
  <si>
    <t>2016-10-01</t>
  </si>
  <si>
    <t>2016-11-01</t>
  </si>
  <si>
    <t>2016-12-01</t>
  </si>
  <si>
    <t>2017-01-01</t>
  </si>
  <si>
    <t>2017-02-01</t>
  </si>
  <si>
    <t>2017-03-01</t>
  </si>
  <si>
    <t>2017-04-01</t>
  </si>
  <si>
    <t>N</t>
  </si>
  <si>
    <t>2017-05-01</t>
  </si>
  <si>
    <t>Focus</t>
  </si>
  <si>
    <t>No of Incomplete Months</t>
  </si>
  <si>
    <t>April-17(84%), May-17(51%</t>
  </si>
  <si>
    <t>Patients</t>
  </si>
  <si>
    <t>No of Patients</t>
  </si>
  <si>
    <t>16244</t>
  </si>
  <si>
    <t>PCPs</t>
  </si>
  <si>
    <t>No of PCPs</t>
  </si>
  <si>
    <t>1104</t>
  </si>
  <si>
    <t>PCPs - Not Affiliated with practice</t>
  </si>
  <si>
    <t>113</t>
  </si>
  <si>
    <t>PCPs with "Non-Domestic" Network Affiliation</t>
  </si>
  <si>
    <t>1022</t>
  </si>
  <si>
    <t>Practice</t>
  </si>
  <si>
    <t>No of Practice</t>
  </si>
  <si>
    <t>487</t>
  </si>
  <si>
    <t>2016-02-01</t>
  </si>
  <si>
    <t>2016-03-01</t>
  </si>
  <si>
    <t>February-17(87%), March-17(93%), April-17(33%</t>
  </si>
  <si>
    <t>16159</t>
  </si>
  <si>
    <t>1099</t>
  </si>
  <si>
    <t>107</t>
  </si>
  <si>
    <t>1018</t>
  </si>
  <si>
    <t>482</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</si>
</sst>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4"/>
      <color theme="1"/>
      <name val="Calibri"/>
      <family val="2"/>
      <scheme val="minor"/>
    </font>
    <font>
      <b/>
      <sz val="11"/>
      <color theme="1"/>
      <name val="Calibri"/>
      <family val="2"/>
      <scheme val="minor"/>
    </font>
    <font>
      <u/>
      <sz val="11"/>
      <color theme="10"/>
      <name val="Calibri"/>
      <family val="2"/>
      <scheme val="minor"/>
    </font>
    <font>
      <b/>
      <i/>
      <sz val="14"/>
      <color rgb="FF0066CC"/>
      <name val="Calibri"/>
      <family val="2"/>
    </font>
  </fonts>
  <fills count="3">
    <fill>
      <patternFill patternType="none"/>
    </fill>
    <fill>
      <patternFill patternType="gray125"/>
    </fill>
    <fill>
      <patternFill patternType="solid">
        <fgColor theme="5"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19">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Font="1" applyAlignment="1">
      <alignment horizontal="left"/>
    </xf>
    <xf numFmtId="0" fontId="0" fillId="0" borderId="0" xfId="0" applyNumberFormat="1"/>
    <xf numFmtId="0" fontId="1" fillId="0" borderId="0" xfId="0" applyFont="1" applyAlignment="1">
      <alignment horizontal="left"/>
    </xf>
    <xf numFmtId="14" fontId="0" fillId="0" borderId="0" xfId="0" applyNumberFormat="1" applyAlignment="1">
      <alignment horizontal="left"/>
    </xf>
    <xf numFmtId="0" fontId="0" fillId="0" borderId="1" xfId="0" applyBorder="1"/>
    <xf numFmtId="0" fontId="2" fillId="0" borderId="0" xfId="0" applyFont="1"/>
    <xf numFmtId="0" fontId="1" fillId="0" borderId="0" xfId="0" applyFont="1"/>
    <xf numFmtId="0" fontId="2" fillId="2" borderId="1" xfId="0" applyFont="1" applyFill="1" applyBorder="1"/>
    <xf numFmtId="0" fontId="2" fillId="0" borderId="0" xfId="0" applyFont="1" applyBorder="1"/>
    <xf numFmtId="0" fontId="0" fillId="0" borderId="0" xfId="0" applyBorder="1"/>
    <xf numFmtId="0" fontId="3" fillId="0" borderId="0" xfId="1" applyAlignment="1"/>
    <xf numFmtId="0" fontId="0" fillId="0" borderId="0" xfId="0" applyAlignment="1"/>
    <xf numFmtId="0" fontId="0" fillId="0" borderId="0" xfId="0" applyBorder="1" applyAlignment="1"/>
    <xf numFmtId="0" fontId="1" fillId="0" borderId="0" xfId="0" applyFont="1" applyAlignment="1">
      <alignment horizontal="left"/>
    </xf>
    <xf numFmtId="0" fontId="0" fillId="0" borderId="0" xfId="0" applyNumberFormat="1" applyAlignment="1">
      <alignment horizontal="left"/>
    </xf>
  </cellXfs>
  <cellStyles count="2">
    <cellStyle name="Hyperlink" xfId="1" builtinId="8"/>
    <cellStyle name="Normal" xfId="0" builtinId="0"/>
  </cellStyles>
  <dxfs count="22">
    <dxf>
      <numFmt numFmtId="0" formatCode="General"/>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[AsanteHealthSystems_06_23_2017_Trendsheet.xlsm]Trend Sheet Data!PivotTable1</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s>
    <c:plotArea>
      <c:layout>
        <c:manualLayout>
          <c:layoutTarget val="inner"/>
          <c:xMode val="edge"/>
          <c:yMode val="edge"/>
          <c:x val="4.8554615692244618E-2"/>
          <c:y val="6.1580100652556043E-2"/>
          <c:w val="0.91900833778620183"/>
          <c:h val="0.83627248428808787"/>
        </c:manualLayout>
      </c:layout>
      <c:lineChart>
        <c:grouping val="standard"/>
        <c:varyColors val="0"/>
        <c:ser>
          <c:idx val="0"/>
          <c:order val="0"/>
          <c:tx>
            <c:strRef>
              <c:f>'Trend Sheet Data'!$B$1</c:f>
              <c:strCache>
                <c:ptCount val="1"/>
                <c:pt idx="0">
                  <c:v>Production</c:v>
                </c:pt>
              </c:strCache>
            </c:strRef>
          </c:tx>
          <c:cat>
            <c:strRef>
              <c:f>'Trend Sheet Data'!$A$2:$A$16</c:f>
              <c:strCache>
                <c:ptCount val="14"/>
                <c:pt idx="0">
                  <c:v>2016-04-01</c:v>
                </c:pt>
                <c:pt idx="1">
                  <c:v>2016-05-01</c:v>
                </c:pt>
                <c:pt idx="2">
                  <c:v>2016-06-01</c:v>
                </c:pt>
                <c:pt idx="3">
                  <c:v>2016-07-01</c:v>
                </c:pt>
                <c:pt idx="4">
                  <c:v>2016-08-01</c:v>
                </c:pt>
                <c:pt idx="5">
                  <c:v>2016-09-01</c:v>
                </c:pt>
                <c:pt idx="6">
                  <c:v>2016-10-01</c:v>
                </c:pt>
                <c:pt idx="7">
                  <c:v>2016-11-01</c:v>
                </c:pt>
                <c:pt idx="8">
                  <c:v>2016-12-01</c:v>
                </c:pt>
                <c:pt idx="9">
                  <c:v>2017-01-01</c:v>
                </c:pt>
                <c:pt idx="10">
                  <c:v>2017-02-01</c:v>
                </c:pt>
                <c:pt idx="11">
                  <c:v>2017-03-01</c:v>
                </c:pt>
                <c:pt idx="12">
                  <c:v>2017-04-01</c:v>
                </c:pt>
                <c:pt idx="13">
                  <c:v>2017-05-01</c:v>
                </c:pt>
              </c:strCache>
            </c:strRef>
          </c:cat>
          <c:val>
            <c:numRef>
              <c:f>'Trend Sheet Data'!$B$2:$B$16</c:f>
              <c:numCache>
                <c:formatCode>General</c:formatCode>
                <c:ptCount val="14"/>
                <c:pt idx="0">
                  <c:v>734</c:v>
                </c:pt>
                <c:pt idx="1">
                  <c:v>706</c:v>
                </c:pt>
                <c:pt idx="2">
                  <c:v>753</c:v>
                </c:pt>
                <c:pt idx="3">
                  <c:v>705</c:v>
                </c:pt>
                <c:pt idx="4">
                  <c:v>815</c:v>
                </c:pt>
                <c:pt idx="5">
                  <c:v>820</c:v>
                </c:pt>
                <c:pt idx="6">
                  <c:v>885</c:v>
                </c:pt>
                <c:pt idx="7">
                  <c:v>876</c:v>
                </c:pt>
                <c:pt idx="8">
                  <c:v>789</c:v>
                </c:pt>
                <c:pt idx="9">
                  <c:v>805</c:v>
                </c:pt>
                <c:pt idx="10">
                  <c:v>874</c:v>
                </c:pt>
                <c:pt idx="11">
                  <c:v>837</c:v>
                </c:pt>
                <c:pt idx="12">
                  <c:v>273</c:v>
                </c:pt>
                <c:pt idx="13">
                  <c:v>0</c:v>
                </c:pt>
              </c:numCache>
            </c:numRef>
          </c:val>
          <c:smooth val="0"/>
        </c:ser>
        <c:ser>
          <c:idx val="1"/>
          <c:order val="1"/>
          <c:tx>
            <c:strRef>
              <c:f>'Trend Sheet Data'!$C$1</c:f>
              <c:strCache>
                <c:ptCount val="1"/>
                <c:pt idx="0">
                  <c:v>Staging</c:v>
                </c:pt>
              </c:strCache>
            </c:strRef>
          </c:tx>
          <c:cat>
            <c:strRef>
              <c:f>'Trend Sheet Data'!$A$2:$A$16</c:f>
              <c:strCache>
                <c:ptCount val="14"/>
                <c:pt idx="0">
                  <c:v>2016-04-01</c:v>
                </c:pt>
                <c:pt idx="1">
                  <c:v>2016-05-01</c:v>
                </c:pt>
                <c:pt idx="2">
                  <c:v>2016-06-01</c:v>
                </c:pt>
                <c:pt idx="3">
                  <c:v>2016-07-01</c:v>
                </c:pt>
                <c:pt idx="4">
                  <c:v>2016-08-01</c:v>
                </c:pt>
                <c:pt idx="5">
                  <c:v>2016-09-01</c:v>
                </c:pt>
                <c:pt idx="6">
                  <c:v>2016-10-01</c:v>
                </c:pt>
                <c:pt idx="7">
                  <c:v>2016-11-01</c:v>
                </c:pt>
                <c:pt idx="8">
                  <c:v>2016-12-01</c:v>
                </c:pt>
                <c:pt idx="9">
                  <c:v>2017-01-01</c:v>
                </c:pt>
                <c:pt idx="10">
                  <c:v>2017-02-01</c:v>
                </c:pt>
                <c:pt idx="11">
                  <c:v>2017-03-01</c:v>
                </c:pt>
                <c:pt idx="12">
                  <c:v>2017-04-01</c:v>
                </c:pt>
                <c:pt idx="13">
                  <c:v>2017-05-01</c:v>
                </c:pt>
              </c:strCache>
            </c:strRef>
          </c:cat>
          <c:val>
            <c:numRef>
              <c:f>'Trend Sheet Data'!$C$2:$C$16</c:f>
              <c:numCache>
                <c:formatCode>General</c:formatCode>
                <c:ptCount val="14"/>
                <c:pt idx="0">
                  <c:v>696</c:v>
                </c:pt>
                <c:pt idx="1">
                  <c:v>673</c:v>
                </c:pt>
                <c:pt idx="2">
                  <c:v>721</c:v>
                </c:pt>
                <c:pt idx="3">
                  <c:v>676</c:v>
                </c:pt>
                <c:pt idx="4">
                  <c:v>777</c:v>
                </c:pt>
                <c:pt idx="5">
                  <c:v>792</c:v>
                </c:pt>
                <c:pt idx="6">
                  <c:v>868</c:v>
                </c:pt>
                <c:pt idx="7">
                  <c:v>848</c:v>
                </c:pt>
                <c:pt idx="8">
                  <c:v>764</c:v>
                </c:pt>
                <c:pt idx="9">
                  <c:v>812</c:v>
                </c:pt>
                <c:pt idx="10">
                  <c:v>864</c:v>
                </c:pt>
                <c:pt idx="11">
                  <c:v>905</c:v>
                </c:pt>
                <c:pt idx="12">
                  <c:v>877</c:v>
                </c:pt>
                <c:pt idx="13">
                  <c:v>385</c:v>
                </c:pt>
              </c:numCache>
            </c:numRef>
          </c:val>
          <c:smooth val="0"/>
        </c:ser>
        <c:dLbls>
          <c:showLegendKey val="0"/>
          <c:showVal val="0"/>
          <c:showCatName val="0"/>
          <c:showSerName val="0"/>
          <c:showPercent val="0"/>
          <c:showBubbleSize val="0"/>
        </c:dLbls>
        <c:marker val="1"/>
        <c:smooth val="0"/>
        <c:axId val="225576232"/>
        <c:axId val="225576624"/>
      </c:lineChart>
      <c:catAx>
        <c:axId val="225576232"/>
        <c:scaling>
          <c:orientation val="minMax"/>
        </c:scaling>
        <c:delete val="0"/>
        <c:axPos val="b"/>
        <c:numFmt formatCode="General" sourceLinked="0"/>
        <c:majorTickMark val="out"/>
        <c:minorTickMark val="none"/>
        <c:tickLblPos val="nextTo"/>
        <c:crossAx val="225576624"/>
        <c:crosses val="autoZero"/>
        <c:auto val="1"/>
        <c:lblAlgn val="ctr"/>
        <c:lblOffset val="100"/>
        <c:noMultiLvlLbl val="0"/>
      </c:catAx>
      <c:valAx>
        <c:axId val="225576624"/>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225576232"/>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65609848064766552"/>
          <c:y val="0"/>
          <c:w val="0.30634283390632511"/>
          <c:h val="5.7760761556181615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[AsanteHealthSystems_06_23_2017_Trendsheet.xlsm]IBNR Trend Sheet Data!PivotTable2</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s>
    <c:plotArea>
      <c:layout/>
      <c:lineChart>
        <c:grouping val="standard"/>
        <c:varyColors val="0"/>
        <c:ser>
          <c:idx val="0"/>
          <c:order val="0"/>
          <c:tx>
            <c:strRef>
              <c:f>'IBNR Trend Sheet Data'!$B$1</c:f>
              <c:strCache>
                <c:ptCount val="1"/>
                <c:pt idx="0">
                  <c:v>Incurred</c:v>
                </c:pt>
              </c:strCache>
            </c:strRef>
          </c:tx>
          <c:cat>
            <c:strRef>
              <c:f>'IBNR Trend Sheet Data'!$A$2:$A$7</c:f>
              <c:strCache>
                <c:ptCount val="5"/>
                <c:pt idx="0">
                  <c:v>2017-01-01</c:v>
                </c:pt>
                <c:pt idx="1">
                  <c:v>2017-02-01</c:v>
                </c:pt>
                <c:pt idx="2">
                  <c:v>2017-03-01</c:v>
                </c:pt>
                <c:pt idx="3">
                  <c:v>2017-04-01</c:v>
                </c:pt>
                <c:pt idx="4">
                  <c:v>2017-05-01</c:v>
                </c:pt>
              </c:strCache>
            </c:strRef>
          </c:cat>
          <c:val>
            <c:numRef>
              <c:f>'IBNR Trend Sheet Data'!$B$2:$B$7</c:f>
              <c:numCache>
                <c:formatCode>General</c:formatCode>
                <c:ptCount val="5"/>
                <c:pt idx="0">
                  <c:v>4240928.16</c:v>
                </c:pt>
                <c:pt idx="1">
                  <c:v>8516190.9000000004</c:v>
                </c:pt>
                <c:pt idx="2">
                  <c:v>13269044.17</c:v>
                </c:pt>
                <c:pt idx="3">
                  <c:v>17683334.98</c:v>
                </c:pt>
                <c:pt idx="4">
                  <c:v>22380528.27</c:v>
                </c:pt>
              </c:numCache>
            </c:numRef>
          </c:val>
          <c:smooth val="0"/>
        </c:ser>
        <c:ser>
          <c:idx val="1"/>
          <c:order val="1"/>
          <c:tx>
            <c:strRef>
              <c:f>'IBNR Trend Sheet Data'!$C$1</c:f>
              <c:strCache>
                <c:ptCount val="1"/>
                <c:pt idx="0">
                  <c:v>Paid</c:v>
                </c:pt>
              </c:strCache>
            </c:strRef>
          </c:tx>
          <c:cat>
            <c:strRef>
              <c:f>'IBNR Trend Sheet Data'!$A$2:$A$7</c:f>
              <c:strCache>
                <c:ptCount val="5"/>
                <c:pt idx="0">
                  <c:v>2017-01-01</c:v>
                </c:pt>
                <c:pt idx="1">
                  <c:v>2017-02-01</c:v>
                </c:pt>
                <c:pt idx="2">
                  <c:v>2017-03-01</c:v>
                </c:pt>
                <c:pt idx="3">
                  <c:v>2017-04-01</c:v>
                </c:pt>
                <c:pt idx="4">
                  <c:v>2017-05-01</c:v>
                </c:pt>
              </c:strCache>
            </c:strRef>
          </c:cat>
          <c:val>
            <c:numRef>
              <c:f>'IBNR Trend Sheet Data'!$C$2:$C$7</c:f>
              <c:numCache>
                <c:formatCode>General</c:formatCode>
                <c:ptCount val="5"/>
                <c:pt idx="0">
                  <c:v>4149312.58</c:v>
                </c:pt>
                <c:pt idx="1">
                  <c:v>8291453.2599999998</c:v>
                </c:pt>
                <c:pt idx="2">
                  <c:v>12995057.890000001</c:v>
                </c:pt>
                <c:pt idx="3">
                  <c:v>16729855.210000001</c:v>
                </c:pt>
                <c:pt idx="4">
                  <c:v>18992401.469999999</c:v>
                </c:pt>
              </c:numCache>
            </c:numRef>
          </c:val>
          <c:smooth val="0"/>
        </c:ser>
        <c:dLbls>
          <c:showLegendKey val="0"/>
          <c:showVal val="0"/>
          <c:showCatName val="0"/>
          <c:showSerName val="0"/>
          <c:showPercent val="0"/>
          <c:showBubbleSize val="0"/>
        </c:dLbls>
        <c:marker val="1"/>
        <c:smooth val="0"/>
        <c:axId val="364227024"/>
        <c:axId val="364228984"/>
      </c:lineChart>
      <c:catAx>
        <c:axId val="364227024"/>
        <c:scaling>
          <c:orientation val="minMax"/>
        </c:scaling>
        <c:delete val="0"/>
        <c:axPos val="b"/>
        <c:numFmt formatCode="General" sourceLinked="0"/>
        <c:majorTickMark val="out"/>
        <c:minorTickMark val="none"/>
        <c:tickLblPos val="nextTo"/>
        <c:crossAx val="364228984"/>
        <c:crosses val="autoZero"/>
        <c:auto val="1"/>
        <c:lblAlgn val="ctr"/>
        <c:lblOffset val="100"/>
        <c:noMultiLvlLbl val="0"/>
      </c:catAx>
      <c:valAx>
        <c:axId val="364228984"/>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364227024"/>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71017896842214834"/>
          <c:y val="0"/>
          <c:w val="0.26715814205943805"/>
          <c:h val="5.4601657322890594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[AsanteHealthSystems_06_23_2017_Trendsheet.xlsm]IBNR Trend Sheet Data!PivotTable3</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s>
    <c:plotArea>
      <c:layout>
        <c:manualLayout>
          <c:layoutTarget val="inner"/>
          <c:xMode val="edge"/>
          <c:yMode val="edge"/>
          <c:x val="5.2668270632837563E-2"/>
          <c:y val="5.9930633670791149E-2"/>
          <c:w val="0.92325765529308845"/>
          <c:h val="0.84065804274465694"/>
        </c:manualLayout>
      </c:layout>
      <c:lineChart>
        <c:grouping val="standard"/>
        <c:varyColors val="0"/>
        <c:ser>
          <c:idx val="0"/>
          <c:order val="0"/>
          <c:tx>
            <c:strRef>
              <c:f>'IBNR Trend Sheet Data'!$O$1</c:f>
              <c:strCache>
                <c:ptCount val="1"/>
                <c:pt idx="0">
                  <c:v>Incurred</c:v>
                </c:pt>
              </c:strCache>
            </c:strRef>
          </c:tx>
          <c:cat>
            <c:strRef>
              <c:f>'IBNR Trend Sheet Data'!$N$2:$N$7</c:f>
              <c:strCache>
                <c:ptCount val="5"/>
                <c:pt idx="0">
                  <c:v>2017-01-01</c:v>
                </c:pt>
                <c:pt idx="1">
                  <c:v>2017-02-01</c:v>
                </c:pt>
                <c:pt idx="2">
                  <c:v>2017-03-01</c:v>
                </c:pt>
                <c:pt idx="3">
                  <c:v>2017-04-01</c:v>
                </c:pt>
                <c:pt idx="4">
                  <c:v>2017-05-01</c:v>
                </c:pt>
              </c:strCache>
            </c:strRef>
          </c:cat>
          <c:val>
            <c:numRef>
              <c:f>'IBNR Trend Sheet Data'!$O$2:$O$7</c:f>
              <c:numCache>
                <c:formatCode>General</c:formatCode>
                <c:ptCount val="5"/>
                <c:pt idx="0">
                  <c:v>4170760.8</c:v>
                </c:pt>
                <c:pt idx="1">
                  <c:v>8816707.0700000003</c:v>
                </c:pt>
                <c:pt idx="2">
                  <c:v>13544724.49</c:v>
                </c:pt>
                <c:pt idx="3">
                  <c:v>18205177.75</c:v>
                </c:pt>
                <c:pt idx="4">
                  <c:v>#N/A</c:v>
                </c:pt>
              </c:numCache>
            </c:numRef>
          </c:val>
          <c:smooth val="0"/>
        </c:ser>
        <c:ser>
          <c:idx val="1"/>
          <c:order val="1"/>
          <c:tx>
            <c:strRef>
              <c:f>'IBNR Trend Sheet Data'!$P$1</c:f>
              <c:strCache>
                <c:ptCount val="1"/>
                <c:pt idx="0">
                  <c:v>Paid</c:v>
                </c:pt>
              </c:strCache>
            </c:strRef>
          </c:tx>
          <c:cat>
            <c:strRef>
              <c:f>'IBNR Trend Sheet Data'!$N$2:$N$7</c:f>
              <c:strCache>
                <c:ptCount val="5"/>
                <c:pt idx="0">
                  <c:v>2017-01-01</c:v>
                </c:pt>
                <c:pt idx="1">
                  <c:v>2017-02-01</c:v>
                </c:pt>
                <c:pt idx="2">
                  <c:v>2017-03-01</c:v>
                </c:pt>
                <c:pt idx="3">
                  <c:v>2017-04-01</c:v>
                </c:pt>
                <c:pt idx="4">
                  <c:v>2017-05-01</c:v>
                </c:pt>
              </c:strCache>
            </c:strRef>
          </c:cat>
          <c:val>
            <c:numRef>
              <c:f>'IBNR Trend Sheet Data'!$P$2:$P$7</c:f>
              <c:numCache>
                <c:formatCode>General</c:formatCode>
                <c:ptCount val="5"/>
                <c:pt idx="0">
                  <c:v>4037315.35</c:v>
                </c:pt>
                <c:pt idx="1">
                  <c:v>8111501.9100000001</c:v>
                </c:pt>
                <c:pt idx="2">
                  <c:v>12543976.23</c:v>
                </c:pt>
                <c:pt idx="3">
                  <c:v>14048691.939999999</c:v>
                </c:pt>
                <c:pt idx="4">
                  <c:v>#N/A</c:v>
                </c:pt>
              </c:numCache>
            </c:numRef>
          </c:val>
          <c:smooth val="0"/>
        </c:ser>
        <c:dLbls>
          <c:showLegendKey val="0"/>
          <c:showVal val="0"/>
          <c:showCatName val="0"/>
          <c:showSerName val="0"/>
          <c:showPercent val="0"/>
          <c:showBubbleSize val="0"/>
        </c:dLbls>
        <c:marker val="1"/>
        <c:smooth val="0"/>
        <c:axId val="364222320"/>
        <c:axId val="364223496"/>
      </c:lineChart>
      <c:catAx>
        <c:axId val="364222320"/>
        <c:scaling>
          <c:orientation val="minMax"/>
        </c:scaling>
        <c:delete val="0"/>
        <c:axPos val="b"/>
        <c:numFmt formatCode="General" sourceLinked="0"/>
        <c:majorTickMark val="out"/>
        <c:minorTickMark val="none"/>
        <c:tickLblPos val="nextTo"/>
        <c:crossAx val="364223496"/>
        <c:crosses val="autoZero"/>
        <c:auto val="1"/>
        <c:lblAlgn val="ctr"/>
        <c:lblOffset val="100"/>
        <c:noMultiLvlLbl val="0"/>
      </c:catAx>
      <c:valAx>
        <c:axId val="364223496"/>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364222320"/>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74729585885097694"/>
          <c:y val="0"/>
          <c:w val="0.2267782152230971"/>
          <c:h val="4.827709036370454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19050</xdr:colOff>
          <xdr:row>1</xdr:row>
          <xdr:rowOff>171450</xdr:rowOff>
        </xdr:from>
        <xdr:to>
          <xdr:col>12</xdr:col>
          <xdr:colOff>800100</xdr:colOff>
          <xdr:row>3</xdr:row>
          <xdr:rowOff>0</xdr:rowOff>
        </xdr:to>
        <xdr:sp macro="" textlink="">
          <xdr:nvSpPr>
            <xdr:cNvPr id="13313" name="Check Box 1" hidden="1">
              <a:extLst>
                <a:ext uri="{63B3BB69-23CF-44E3-9099-C40C66FF867C}">
                  <a14:compatExt spid="_x0000_s13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xdr:row>
          <xdr:rowOff>0</xdr:rowOff>
        </xdr:from>
        <xdr:to>
          <xdr:col>12</xdr:col>
          <xdr:colOff>800100</xdr:colOff>
          <xdr:row>4</xdr:row>
          <xdr:rowOff>19050</xdr:rowOff>
        </xdr:to>
        <xdr:sp macro="" textlink="">
          <xdr:nvSpPr>
            <xdr:cNvPr id="13314" name="Check Box 2" hidden="1">
              <a:extLst>
                <a:ext uri="{63B3BB69-23CF-44E3-9099-C40C66FF867C}">
                  <a14:compatExt spid="_x0000_s133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4</xdr:row>
          <xdr:rowOff>0</xdr:rowOff>
        </xdr:from>
        <xdr:to>
          <xdr:col>12</xdr:col>
          <xdr:colOff>800100</xdr:colOff>
          <xdr:row>5</xdr:row>
          <xdr:rowOff>19050</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10</xdr:row>
          <xdr:rowOff>0</xdr:rowOff>
        </xdr:from>
        <xdr:to>
          <xdr:col>12</xdr:col>
          <xdr:colOff>800100</xdr:colOff>
          <xdr:row>11</xdr:row>
          <xdr:rowOff>19050</xdr:rowOff>
        </xdr:to>
        <xdr:sp macro="" textlink="">
          <xdr:nvSpPr>
            <xdr:cNvPr id="13316" name="Check Box 4" hidden="1">
              <a:extLst>
                <a:ext uri="{63B3BB69-23CF-44E3-9099-C40C66FF867C}">
                  <a14:compatExt spid="_x0000_s133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11</xdr:row>
          <xdr:rowOff>0</xdr:rowOff>
        </xdr:from>
        <xdr:to>
          <xdr:col>12</xdr:col>
          <xdr:colOff>762000</xdr:colOff>
          <xdr:row>12</xdr:row>
          <xdr:rowOff>19050</xdr:rowOff>
        </xdr:to>
        <xdr:sp macro="" textlink="">
          <xdr:nvSpPr>
            <xdr:cNvPr id="13317" name="Check Box 5" hidden="1">
              <a:extLst>
                <a:ext uri="{63B3BB69-23CF-44E3-9099-C40C66FF867C}">
                  <a14:compatExt spid="_x0000_s133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12</xdr:row>
          <xdr:rowOff>0</xdr:rowOff>
        </xdr:from>
        <xdr:to>
          <xdr:col>12</xdr:col>
          <xdr:colOff>800100</xdr:colOff>
          <xdr:row>13</xdr:row>
          <xdr:rowOff>19050</xdr:rowOff>
        </xdr:to>
        <xdr:sp macro="" textlink="">
          <xdr:nvSpPr>
            <xdr:cNvPr id="13318" name="Check Box 6" hidden="1">
              <a:extLst>
                <a:ext uri="{63B3BB69-23CF-44E3-9099-C40C66FF867C}">
                  <a14:compatExt spid="_x0000_s133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13</xdr:row>
          <xdr:rowOff>0</xdr:rowOff>
        </xdr:from>
        <xdr:to>
          <xdr:col>12</xdr:col>
          <xdr:colOff>800100</xdr:colOff>
          <xdr:row>14</xdr:row>
          <xdr:rowOff>19050</xdr:rowOff>
        </xdr:to>
        <xdr:sp macro="" textlink="">
          <xdr:nvSpPr>
            <xdr:cNvPr id="13319" name="Check Box 7" hidden="1">
              <a:extLst>
                <a:ext uri="{63B3BB69-23CF-44E3-9099-C40C66FF867C}">
                  <a14:compatExt spid="_x0000_s133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14</xdr:row>
          <xdr:rowOff>0</xdr:rowOff>
        </xdr:from>
        <xdr:to>
          <xdr:col>12</xdr:col>
          <xdr:colOff>800100</xdr:colOff>
          <xdr:row>15</xdr:row>
          <xdr:rowOff>19050</xdr:rowOff>
        </xdr:to>
        <xdr:sp macro="" textlink="">
          <xdr:nvSpPr>
            <xdr:cNvPr id="13320" name="Check Box 8" hidden="1">
              <a:extLst>
                <a:ext uri="{63B3BB69-23CF-44E3-9099-C40C66FF867C}">
                  <a14:compatExt spid="_x0000_s133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15</xdr:row>
          <xdr:rowOff>0</xdr:rowOff>
        </xdr:from>
        <xdr:to>
          <xdr:col>12</xdr:col>
          <xdr:colOff>857250</xdr:colOff>
          <xdr:row>16</xdr:row>
          <xdr:rowOff>19050</xdr:rowOff>
        </xdr:to>
        <xdr:sp macro="" textlink="">
          <xdr:nvSpPr>
            <xdr:cNvPr id="13321" name="Check Box 9" hidden="1">
              <a:extLst>
                <a:ext uri="{63B3BB69-23CF-44E3-9099-C40C66FF867C}">
                  <a14:compatExt spid="_x0000_s133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19</xdr:row>
          <xdr:rowOff>171450</xdr:rowOff>
        </xdr:from>
        <xdr:to>
          <xdr:col>12</xdr:col>
          <xdr:colOff>847725</xdr:colOff>
          <xdr:row>21</xdr:row>
          <xdr:rowOff>0</xdr:rowOff>
        </xdr:to>
        <xdr:sp macro="" textlink="">
          <xdr:nvSpPr>
            <xdr:cNvPr id="13322" name="Check Box 10" hidden="1">
              <a:extLst>
                <a:ext uri="{63B3BB69-23CF-44E3-9099-C40C66FF867C}">
                  <a14:compatExt spid="_x0000_s133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22</xdr:row>
          <xdr:rowOff>0</xdr:rowOff>
        </xdr:from>
        <xdr:to>
          <xdr:col>12</xdr:col>
          <xdr:colOff>847725</xdr:colOff>
          <xdr:row>23</xdr:row>
          <xdr:rowOff>19050</xdr:rowOff>
        </xdr:to>
        <xdr:sp macro="" textlink="">
          <xdr:nvSpPr>
            <xdr:cNvPr id="13323" name="Check Box 11" hidden="1">
              <a:extLst>
                <a:ext uri="{63B3BB69-23CF-44E3-9099-C40C66FF867C}">
                  <a14:compatExt spid="_x0000_s133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23</xdr:row>
          <xdr:rowOff>0</xdr:rowOff>
        </xdr:from>
        <xdr:to>
          <xdr:col>12</xdr:col>
          <xdr:colOff>847725</xdr:colOff>
          <xdr:row>24</xdr:row>
          <xdr:rowOff>19050</xdr:rowOff>
        </xdr:to>
        <xdr:sp macro="" textlink="">
          <xdr:nvSpPr>
            <xdr:cNvPr id="13324" name="Check Box 12" hidden="1">
              <a:extLst>
                <a:ext uri="{63B3BB69-23CF-44E3-9099-C40C66FF867C}">
                  <a14:compatExt spid="_x0000_s133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7</xdr:row>
          <xdr:rowOff>95250</xdr:rowOff>
        </xdr:from>
        <xdr:to>
          <xdr:col>12</xdr:col>
          <xdr:colOff>323850</xdr:colOff>
          <xdr:row>8</xdr:row>
          <xdr:rowOff>123825</xdr:rowOff>
        </xdr:to>
        <xdr:sp macro="" textlink="">
          <xdr:nvSpPr>
            <xdr:cNvPr id="13326" name="Check Box 14" hidden="1">
              <a:extLst>
                <a:ext uri="{63B3BB69-23CF-44E3-9099-C40C66FF867C}">
                  <a14:compatExt spid="_x0000_s133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8</xdr:row>
          <xdr:rowOff>57150</xdr:rowOff>
        </xdr:from>
        <xdr:to>
          <xdr:col>12</xdr:col>
          <xdr:colOff>323850</xdr:colOff>
          <xdr:row>9</xdr:row>
          <xdr:rowOff>85725</xdr:rowOff>
        </xdr:to>
        <xdr:sp macro="" textlink="">
          <xdr:nvSpPr>
            <xdr:cNvPr id="13327" name="Check Box 15" hidden="1">
              <a:extLst>
                <a:ext uri="{63B3BB69-23CF-44E3-9099-C40C66FF867C}">
                  <a14:compatExt spid="_x0000_s133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590550</xdr:colOff>
      <xdr:row>5</xdr:row>
      <xdr:rowOff>123824</xdr:rowOff>
    </xdr:from>
    <xdr:to>
      <xdr:col>16</xdr:col>
      <xdr:colOff>104775</xdr:colOff>
      <xdr:row>21</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9524</xdr:colOff>
      <xdr:row>11</xdr:row>
      <xdr:rowOff>19051</xdr:rowOff>
    </xdr:from>
    <xdr:to>
      <xdr:col>3</xdr:col>
      <xdr:colOff>581025</xdr:colOff>
      <xdr:row>15</xdr:row>
      <xdr:rowOff>180975</xdr:rowOff>
    </xdr:to>
    <mc:AlternateContent xmlns:mc="http://schemas.openxmlformats.org/markup-compatibility/2006" xmlns:a14="http://schemas.microsoft.com/office/drawing/2010/main">
      <mc:Choice Requires="a14">
        <xdr:graphicFrame macro="">
          <xdr:nvGraphicFramePr>
            <xdr:cNvPr id="4" name="Cost Basis"/>
            <xdr:cNvGraphicFramePr/>
          </xdr:nvGraphicFramePr>
          <xdr:xfrm>
            <a:off x="0" y="0"/>
            <a:ext cx="0" cy="0"/>
          </xdr:xfrm>
          <a:graphic>
            <a:graphicData uri="http://schemas.microsoft.com/office/drawing/2010/slicer">
              <sle:slicer xmlns:sle="http://schemas.microsoft.com/office/drawing/2010/slicer" name="Cost Basis"/>
            </a:graphicData>
          </a:graphic>
        </xdr:graphicFrame>
      </mc:Choice>
      <mc:Fallback xmlns="">
        <xdr:sp macro="" textlink="">
          <xdr:nvSpPr>
            <xdr:cNvPr id="0" name=""/>
            <xdr:cNvSpPr>
              <a:spLocks noTextEdit="1"/>
            </xdr:cNvSpPr>
          </xdr:nvSpPr>
          <xdr:spPr>
            <a:xfrm>
              <a:off x="9524" y="2162176"/>
              <a:ext cx="2400301" cy="92392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123824</xdr:colOff>
      <xdr:row>0</xdr:row>
      <xdr:rowOff>28574</xdr:rowOff>
    </xdr:from>
    <xdr:to>
      <xdr:col>20</xdr:col>
      <xdr:colOff>38100</xdr:colOff>
      <xdr:row>23</xdr:row>
      <xdr:rowOff>9524</xdr:rowOff>
    </xdr:to>
    <mc:AlternateContent xmlns:mc="http://schemas.openxmlformats.org/markup-compatibility/2006" xmlns:a14="http://schemas.microsoft.com/office/drawing/2010/main">
      <mc:Choice Requires="a14">
        <xdr:graphicFrame macro="">
          <xdr:nvGraphicFramePr>
            <xdr:cNvPr id="5" name="Trend"/>
            <xdr:cNvGraphicFramePr/>
          </xdr:nvGraphicFramePr>
          <xdr:xfrm>
            <a:off x="0" y="0"/>
            <a:ext cx="0" cy="0"/>
          </xdr:xfrm>
          <a:graphic>
            <a:graphicData uri="http://schemas.microsoft.com/office/drawing/2010/slicer">
              <sle:slicer xmlns:sle="http://schemas.microsoft.com/office/drawing/2010/slicer" name="Trend"/>
            </a:graphicData>
          </a:graphic>
        </xdr:graphicFrame>
      </mc:Choice>
      <mc:Fallback xmlns="">
        <xdr:sp macro="" textlink="">
          <xdr:nvSpPr>
            <xdr:cNvPr id="0" name=""/>
            <xdr:cNvSpPr>
              <a:spLocks noTextEdit="1"/>
            </xdr:cNvSpPr>
          </xdr:nvSpPr>
          <xdr:spPr>
            <a:xfrm>
              <a:off x="9877424" y="28574"/>
              <a:ext cx="2352676" cy="44100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11</xdr:col>
          <xdr:colOff>19050</xdr:colOff>
          <xdr:row>1</xdr:row>
          <xdr:rowOff>9525</xdr:rowOff>
        </xdr:from>
        <xdr:to>
          <xdr:col>14</xdr:col>
          <xdr:colOff>0</xdr:colOff>
          <xdr:row>4</xdr:row>
          <xdr:rowOff>9525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66CC"/>
                  </a:solidFill>
                  <a:latin typeface="Calibri"/>
                </a:rPr>
                <a:t>Run Macro</a:t>
              </a:r>
            </a:p>
          </xdr:txBody>
        </xdr:sp>
        <xdr:clientData fPrintsWithSheet="0"/>
      </xdr:twoCellAnchor>
    </mc:Choice>
    <mc:Fallback/>
  </mc:AlternateContent>
  <xdr:twoCellAnchor editAs="oneCell">
    <xdr:from>
      <xdr:col>0</xdr:col>
      <xdr:colOff>1</xdr:colOff>
      <xdr:row>0</xdr:row>
      <xdr:rowOff>19049</xdr:rowOff>
    </xdr:from>
    <xdr:to>
      <xdr:col>3</xdr:col>
      <xdr:colOff>514351</xdr:colOff>
      <xdr:row>10</xdr:row>
      <xdr:rowOff>152399</xdr:rowOff>
    </xdr:to>
    <mc:AlternateContent xmlns:mc="http://schemas.openxmlformats.org/markup-compatibility/2006" xmlns:a14="http://schemas.microsoft.com/office/drawing/2010/main">
      <mc:Choice Requires="a14">
        <xdr:graphicFrame macro="">
          <xdr:nvGraphicFramePr>
            <xdr:cNvPr id="8" name="Population"/>
            <xdr:cNvGraphicFramePr/>
          </xdr:nvGraphicFramePr>
          <xdr:xfrm>
            <a:off x="0" y="0"/>
            <a:ext cx="0" cy="0"/>
          </xdr:xfrm>
          <a:graphic>
            <a:graphicData uri="http://schemas.microsoft.com/office/drawing/2010/slicer">
              <sle:slicer xmlns:sle="http://schemas.microsoft.com/office/drawing/2010/slicer" name="Population"/>
            </a:graphicData>
          </a:graphic>
        </xdr:graphicFrame>
      </mc:Choice>
      <mc:Fallback xmlns="">
        <xdr:sp macro="" textlink="">
          <xdr:nvSpPr>
            <xdr:cNvPr id="0" name=""/>
            <xdr:cNvSpPr>
              <a:spLocks noTextEdit="1"/>
            </xdr:cNvSpPr>
          </xdr:nvSpPr>
          <xdr:spPr>
            <a:xfrm>
              <a:off x="1" y="19049"/>
              <a:ext cx="2343150" cy="2085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3</xdr:row>
      <xdr:rowOff>52387</xdr:rowOff>
    </xdr:from>
    <xdr:to>
      <xdr:col>15</xdr:col>
      <xdr:colOff>47625</xdr:colOff>
      <xdr:row>19</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19049</xdr:colOff>
      <xdr:row>13</xdr:row>
      <xdr:rowOff>161924</xdr:rowOff>
    </xdr:from>
    <xdr:to>
      <xdr:col>3</xdr:col>
      <xdr:colOff>600075</xdr:colOff>
      <xdr:row>18</xdr:row>
      <xdr:rowOff>171449</xdr:rowOff>
    </xdr:to>
    <mc:AlternateContent xmlns:mc="http://schemas.openxmlformats.org/markup-compatibility/2006" xmlns:a14="http://schemas.microsoft.com/office/drawing/2010/main">
      <mc:Choice Requires="a14">
        <xdr:graphicFrame macro="">
          <xdr:nvGraphicFramePr>
            <xdr:cNvPr id="4" name="Cost Basis 1"/>
            <xdr:cNvGraphicFramePr/>
          </xdr:nvGraphicFramePr>
          <xdr:xfrm>
            <a:off x="0" y="0"/>
            <a:ext cx="0" cy="0"/>
          </xdr:xfrm>
          <a:graphic>
            <a:graphicData uri="http://schemas.microsoft.com/office/drawing/2010/slicer">
              <sle:slicer xmlns:sle="http://schemas.microsoft.com/office/drawing/2010/slicer" name="Cost Basis 1"/>
            </a:graphicData>
          </a:graphic>
        </xdr:graphicFrame>
      </mc:Choice>
      <mc:Fallback xmlns="">
        <xdr:sp macro="" textlink="">
          <xdr:nvSpPr>
            <xdr:cNvPr id="0" name=""/>
            <xdr:cNvSpPr>
              <a:spLocks noTextEdit="1"/>
            </xdr:cNvSpPr>
          </xdr:nvSpPr>
          <xdr:spPr>
            <a:xfrm>
              <a:off x="19049" y="2733674"/>
              <a:ext cx="2409826"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4</xdr:col>
      <xdr:colOff>9525</xdr:colOff>
      <xdr:row>23</xdr:row>
      <xdr:rowOff>4762</xdr:rowOff>
    </xdr:from>
    <xdr:to>
      <xdr:col>15</xdr:col>
      <xdr:colOff>161925</xdr:colOff>
      <xdr:row>39</xdr:row>
      <xdr:rowOff>157162</xdr:rowOff>
    </xdr:to>
    <xdr:graphicFrame macro="">
      <xdr:nvGraphicFramePr>
        <xdr:cNvPr id="5"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19049</xdr:colOff>
      <xdr:row>0</xdr:row>
      <xdr:rowOff>19050</xdr:rowOff>
    </xdr:from>
    <xdr:to>
      <xdr:col>3</xdr:col>
      <xdr:colOff>600074</xdr:colOff>
      <xdr:row>13</xdr:row>
      <xdr:rowOff>133350</xdr:rowOff>
    </xdr:to>
    <mc:AlternateContent xmlns:mc="http://schemas.openxmlformats.org/markup-compatibility/2006" xmlns:a14="http://schemas.microsoft.com/office/drawing/2010/main">
      <mc:Choice Requires="a14">
        <xdr:graphicFrame macro="">
          <xdr:nvGraphicFramePr>
            <xdr:cNvPr id="6" name="Population 1"/>
            <xdr:cNvGraphicFramePr/>
          </xdr:nvGraphicFramePr>
          <xdr:xfrm>
            <a:off x="0" y="0"/>
            <a:ext cx="0" cy="0"/>
          </xdr:xfrm>
          <a:graphic>
            <a:graphicData uri="http://schemas.microsoft.com/office/drawing/2010/slicer">
              <sle:slicer xmlns:sle="http://schemas.microsoft.com/office/drawing/2010/slicer" name="Population 1"/>
            </a:graphicData>
          </a:graphic>
        </xdr:graphicFrame>
      </mc:Choice>
      <mc:Fallback xmlns="">
        <xdr:sp macro="" textlink="">
          <xdr:nvSpPr>
            <xdr:cNvPr id="0" name=""/>
            <xdr:cNvSpPr>
              <a:spLocks noTextEdit="1"/>
            </xdr:cNvSpPr>
          </xdr:nvSpPr>
          <xdr:spPr>
            <a:xfrm>
              <a:off x="19049" y="19050"/>
              <a:ext cx="2409825" cy="26860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AsanteHealthSystems_2017-06-23_Trendsheet.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AsanteHealthSystems_2017-06-23_Trendsheet.xlsm"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hor" refreshedDate="42909.299036805554" createdVersion="4" refreshedVersion="5" minRefreshableVersion="3" recordCount="644">
  <cacheSource type="worksheet">
    <worksheetSource name="TrendSheetStgData" r:id="rId2"/>
  </cacheSource>
  <cacheFields count="13">
    <cacheField name="Population" numFmtId="0">
      <sharedItems/>
    </cacheField>
    <cacheField name="Display Name" numFmtId="0">
      <sharedItems containsBlank="1" count="2">
        <s v="EMPLOYEE"/>
        <m u="1"/>
      </sharedItems>
    </cacheField>
    <cacheField name="Cost Basis" numFmtId="0">
      <sharedItems containsBlank="1" count="3">
        <s v="Allowed"/>
        <s v="Paid"/>
        <m u="1"/>
      </sharedItems>
    </cacheField>
    <cacheField name="Period" numFmtId="14">
      <sharedItems containsBlank="1" count="33">
        <s v="2016-04-01"/>
        <s v="2016-05-01"/>
        <s v="2016-06-01"/>
        <s v="2016-07-01"/>
        <s v="2016-08-01"/>
        <s v="2016-09-01"/>
        <s v="2016-10-01"/>
        <s v="2016-11-01"/>
        <s v="2016-12-01"/>
        <s v="2017-01-01"/>
        <s v="2017-02-01"/>
        <s v="2017-03-01"/>
        <s v="2017-04-01"/>
        <s v="2017-05-01"/>
        <m u="1"/>
        <s v="2015-01-01" u="1"/>
        <s v="2015-02-01" u="1"/>
        <s v="2014-10-01" u="1"/>
        <s v="2015-03-01" u="1"/>
        <s v="2014-11-01" u="1"/>
        <s v="2015-04-01" u="1"/>
        <s v="2014-12-01" u="1"/>
        <s v="2014-03-01" u="1"/>
        <s v="2015-05-01" u="1"/>
        <s v="2014-04-01" u="1"/>
        <s v="2015-06-01" u="1"/>
        <s v="2014-05-01" u="1"/>
        <s v="2015-07-01" u="1"/>
        <s v="2014-06-01" u="1"/>
        <s v="2015-08-01" u="1"/>
        <s v="2014-07-01" u="1"/>
        <s v="2014-08-01" u="1"/>
        <s v="2014-09-01" u="1"/>
      </sharedItems>
    </cacheField>
    <cacheField name="IsCompleted" numFmtId="0">
      <sharedItems/>
    </cacheField>
    <cacheField name="Trend" numFmtId="0">
      <sharedItems containsBlank="1" count="25">
        <s v="Medical PMPM"/>
        <s v="Drug PMPM"/>
        <s v="Overall PMPM"/>
        <s v="Readmission Cost"/>
        <s v="Readmission Quality"/>
        <s v="Avoidable Admission Cost"/>
        <s v="Avoidable Admission Quality"/>
        <s v="Outpatient Imaging Cost"/>
        <s v="Hospiatl Outpatient MRIs per 1k"/>
        <s v="Hospiatl Outpatient CTs per 1k"/>
        <s v="Office Based MRIs per 1k"/>
        <s v="Office Based CTs per 1k"/>
        <s v="ED Cost"/>
        <s v="ED Utilization"/>
        <s v="Drug - Generic Utilization Cost"/>
        <s v="Drug - Generic Utilization"/>
        <s v="Chronic Disease Management - Cost"/>
        <s v="Chronic Disease Management - Members"/>
        <s v="Inpatient Claim Count"/>
        <s v="Outpatient Claim Count"/>
        <s v="Professional Claim Count"/>
        <s v="Ancillary Claim Count"/>
        <s v="Drug Claim Count"/>
        <m u="1"/>
        <s v="IBNR" u="1"/>
      </sharedItems>
    </cacheField>
    <cacheField name="Trend Order" numFmtId="0">
      <sharedItems containsSemiMixedTypes="0" containsString="0" containsNumber="1" containsInteger="1" minValue="1" maxValue="23"/>
    </cacheField>
    <cacheField name="Staging Data" numFmtId="0">
      <sharedItems containsSemiMixedTypes="0" containsString="0" containsNumber="1" minValue="0" maxValue="3255933"/>
    </cacheField>
    <cacheField name="Production Data" numFmtId="0">
      <sharedItems containsSemiMixedTypes="0" containsString="0" containsNumber="1" minValue="0" maxValue="3249473"/>
    </cacheField>
    <cacheField name="Perc Deviation" numFmtId="0">
      <sharedItems containsSemiMixedTypes="0" containsString="0" containsNumber="1" minValue="0" maxValue="1263.6363636363637"/>
    </cacheField>
    <cacheField name="Critical" numFmtId="0">
      <sharedItems containsSemiMixedTypes="0" containsString="0" containsNumber="1" containsInteger="1" minValue="10" maxValue="10"/>
    </cacheField>
    <cacheField name="Trivial" numFmtId="0">
      <sharedItems containsSemiMixedTypes="0" containsString="0" containsNumber="1" containsInteger="1" minValue="5" maxValue="5"/>
    </cacheField>
    <cacheField name="Result" numFmtId="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2909.299036805554" createdVersion="4" refreshedVersion="5" minRefreshableVersion="3" recordCount="10">
  <cacheSource type="worksheet">
    <worksheetSource name="StgIBNRTrendData" r:id="rId2"/>
  </cacheSource>
  <cacheFields count="8">
    <cacheField name="Population" numFmtId="0">
      <sharedItems/>
    </cacheField>
    <cacheField name="Display Name" numFmtId="0">
      <sharedItems containsBlank="1" count="2">
        <s v="EMPLOYEE"/>
        <m u="1"/>
      </sharedItems>
    </cacheField>
    <cacheField name="Cost Basis" numFmtId="0">
      <sharedItems containsBlank="1" count="3">
        <s v="Allowed"/>
        <s v="Paid"/>
        <m u="1"/>
      </sharedItems>
    </cacheField>
    <cacheField name="Period" numFmtId="14">
      <sharedItems containsDate="1" containsMixedTypes="1" minDate="2015-01-01T00:00:00" maxDate="2015-07-02T00:00:00" count="12">
        <s v="2017-01-01"/>
        <s v="2017-02-01"/>
        <s v="2017-03-01"/>
        <s v="2017-04-01"/>
        <s v="2017-05-01"/>
        <d v="2015-03-01T00:00:00" u="1"/>
        <d v="2015-07-01T00:00:00" u="1"/>
        <d v="2015-02-01T00:00:00" u="1"/>
        <d v="2015-06-01T00:00:00" u="1"/>
        <d v="2015-01-01T00:00:00" u="1"/>
        <d v="2015-05-01T00:00:00" u="1"/>
        <d v="2015-04-01T00:00:00" u="1"/>
      </sharedItems>
    </cacheField>
    <cacheField name="Staging Incurred Claims" numFmtId="0">
      <sharedItems containsSemiMixedTypes="0" containsString="0" containsNumber="1" minValue="3086185.42" maxValue="22380528.27"/>
    </cacheField>
    <cacheField name="Staging Paid Claims" numFmtId="0">
      <sharedItems containsSemiMixedTypes="0" containsString="0" containsNumber="1" minValue="3014904.3" maxValue="18992401.469999999"/>
    </cacheField>
    <cacheField name="Production Incurred Claims" numFmtId="0">
      <sharedItems containsMixedTypes="1" containsNumber="1" minValue="3022457.37" maxValue="18205177.75"/>
    </cacheField>
    <cacheField name="Production Paid Claims" numFmtId="0">
      <sharedItems containsMixedTypes="1" containsNumber="1" minValue="2923221.92" maxValue="14048691.939999999"/>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644">
  <r>
    <s v="EMPLOYEE"/>
    <x v="0"/>
    <x v="0"/>
    <x v="0"/>
    <s v="Y"/>
    <x v="0"/>
    <n v="1"/>
    <n v="348.24"/>
    <n v="348.22"/>
    <n v="5.7434954913508146E-3"/>
    <n v="10"/>
    <n v="5"/>
    <s v="TRIVIAL"/>
  </r>
  <r>
    <s v="EMPLOYEE"/>
    <x v="0"/>
    <x v="0"/>
    <x v="1"/>
    <s v="Y"/>
    <x v="0"/>
    <n v="1"/>
    <n v="335.53"/>
    <n v="335.38"/>
    <n v="4.4725386129160133E-2"/>
    <n v="10"/>
    <n v="5"/>
    <s v="TRIVIAL"/>
  </r>
  <r>
    <s v="EMPLOYEE"/>
    <x v="0"/>
    <x v="0"/>
    <x v="2"/>
    <s v="Y"/>
    <x v="0"/>
    <n v="1"/>
    <n v="401.15"/>
    <n v="400.94"/>
    <n v="5.2376914251503849E-2"/>
    <n v="10"/>
    <n v="5"/>
    <s v="TRIVIAL"/>
  </r>
  <r>
    <s v="EMPLOYEE"/>
    <x v="0"/>
    <x v="0"/>
    <x v="3"/>
    <s v="Y"/>
    <x v="0"/>
    <n v="1"/>
    <n v="344.87"/>
    <n v="341.43"/>
    <n v="1.0075271651583042"/>
    <n v="10"/>
    <n v="5"/>
    <s v="TRIVIAL"/>
  </r>
  <r>
    <s v="EMPLOYEE"/>
    <x v="0"/>
    <x v="0"/>
    <x v="4"/>
    <s v="Y"/>
    <x v="0"/>
    <n v="1"/>
    <n v="328.7"/>
    <n v="328.19"/>
    <n v="0.15539778786678171"/>
    <n v="10"/>
    <n v="5"/>
    <s v="TRIVIAL"/>
  </r>
  <r>
    <s v="EMPLOYEE"/>
    <x v="0"/>
    <x v="0"/>
    <x v="5"/>
    <s v="Y"/>
    <x v="0"/>
    <n v="1"/>
    <n v="376.01"/>
    <n v="375.95"/>
    <n v="1.5959569091635133E-2"/>
    <n v="10"/>
    <n v="5"/>
    <s v="TRIVIAL"/>
  </r>
  <r>
    <s v="EMPLOYEE"/>
    <x v="0"/>
    <x v="0"/>
    <x v="6"/>
    <s v="Y"/>
    <x v="0"/>
    <n v="1"/>
    <n v="356.92"/>
    <n v="353.37"/>
    <n v="1.0046127288677622"/>
    <n v="10"/>
    <n v="5"/>
    <s v="TRIVIAL"/>
  </r>
  <r>
    <s v="EMPLOYEE"/>
    <x v="0"/>
    <x v="0"/>
    <x v="7"/>
    <s v="Y"/>
    <x v="0"/>
    <n v="1"/>
    <n v="376.16"/>
    <n v="375.43"/>
    <n v="0.1944437045521184"/>
    <n v="10"/>
    <n v="5"/>
    <s v="TRIVIAL"/>
  </r>
  <r>
    <s v="EMPLOYEE"/>
    <x v="0"/>
    <x v="0"/>
    <x v="8"/>
    <s v="Y"/>
    <x v="0"/>
    <n v="1"/>
    <n v="391.34"/>
    <n v="390.28"/>
    <n v="0.27159987701137706"/>
    <n v="10"/>
    <n v="5"/>
    <s v="TRIVIAL"/>
  </r>
  <r>
    <s v="EMPLOYEE"/>
    <x v="0"/>
    <x v="0"/>
    <x v="9"/>
    <s v="Y"/>
    <x v="0"/>
    <n v="1"/>
    <n v="348.47"/>
    <n v="336.88"/>
    <n v="3.4403942056518733"/>
    <n v="10"/>
    <n v="5"/>
    <s v="TRIVIAL"/>
  </r>
  <r>
    <s v="EMPLOYEE"/>
    <x v="0"/>
    <x v="0"/>
    <x v="10"/>
    <s v="Y"/>
    <x v="0"/>
    <n v="1"/>
    <n v="352.45"/>
    <n v="345.5"/>
    <n v="2.0115774240231517"/>
    <n v="10"/>
    <n v="5"/>
    <s v="TRIVIAL"/>
  </r>
  <r>
    <s v="EMPLOYEE"/>
    <x v="0"/>
    <x v="0"/>
    <x v="11"/>
    <s v="Y"/>
    <x v="0"/>
    <n v="1"/>
    <n v="403.61"/>
    <n v="375.72"/>
    <n v="7.423081017779193"/>
    <n v="10"/>
    <n v="5"/>
    <s v="CAUTIONARY"/>
  </r>
  <r>
    <s v="EMPLOYEE"/>
    <x v="0"/>
    <x v="0"/>
    <x v="12"/>
    <s v="N"/>
    <x v="0"/>
    <n v="1"/>
    <n v="314.10000000000002"/>
    <n v="85.04"/>
    <n v="269.35559736594541"/>
    <n v="10"/>
    <n v="5"/>
    <s v="CRITICAL"/>
  </r>
  <r>
    <s v="EMPLOYEE"/>
    <x v="0"/>
    <x v="0"/>
    <x v="13"/>
    <s v="N"/>
    <x v="0"/>
    <n v="1"/>
    <n v="147.49"/>
    <n v="0"/>
    <n v="100"/>
    <n v="10"/>
    <n v="5"/>
    <s v="CRITICAL"/>
  </r>
  <r>
    <s v="EMPLOYEE"/>
    <x v="0"/>
    <x v="0"/>
    <x v="0"/>
    <s v="Y"/>
    <x v="1"/>
    <n v="2"/>
    <n v="71.430000000000007"/>
    <n v="71.430000000000007"/>
    <n v="0"/>
    <n v="10"/>
    <n v="5"/>
    <s v="PASSED"/>
  </r>
  <r>
    <s v="EMPLOYEE"/>
    <x v="0"/>
    <x v="0"/>
    <x v="1"/>
    <s v="Y"/>
    <x v="1"/>
    <n v="2"/>
    <n v="77.239999999999995"/>
    <n v="77.239999999999995"/>
    <n v="0"/>
    <n v="10"/>
    <n v="5"/>
    <s v="PASSED"/>
  </r>
  <r>
    <s v="EMPLOYEE"/>
    <x v="0"/>
    <x v="0"/>
    <x v="2"/>
    <s v="Y"/>
    <x v="1"/>
    <n v="2"/>
    <n v="78.45"/>
    <n v="78.45"/>
    <n v="0"/>
    <n v="10"/>
    <n v="5"/>
    <s v="PASSED"/>
  </r>
  <r>
    <s v="EMPLOYEE"/>
    <x v="0"/>
    <x v="0"/>
    <x v="3"/>
    <s v="Y"/>
    <x v="1"/>
    <n v="2"/>
    <n v="78.06"/>
    <n v="78.06"/>
    <n v="0"/>
    <n v="10"/>
    <n v="5"/>
    <s v="PASSED"/>
  </r>
  <r>
    <s v="EMPLOYEE"/>
    <x v="0"/>
    <x v="0"/>
    <x v="4"/>
    <s v="Y"/>
    <x v="1"/>
    <n v="2"/>
    <n v="94.57"/>
    <n v="94.57"/>
    <n v="0"/>
    <n v="10"/>
    <n v="5"/>
    <s v="PASSED"/>
  </r>
  <r>
    <s v="EMPLOYEE"/>
    <x v="0"/>
    <x v="0"/>
    <x v="5"/>
    <s v="Y"/>
    <x v="1"/>
    <n v="2"/>
    <n v="82.03"/>
    <n v="82.03"/>
    <n v="0"/>
    <n v="10"/>
    <n v="5"/>
    <s v="PASSED"/>
  </r>
  <r>
    <s v="EMPLOYEE"/>
    <x v="0"/>
    <x v="0"/>
    <x v="6"/>
    <s v="Y"/>
    <x v="1"/>
    <n v="2"/>
    <n v="78.540000000000006"/>
    <n v="78.540000000000006"/>
    <n v="0"/>
    <n v="10"/>
    <n v="5"/>
    <s v="PASSED"/>
  </r>
  <r>
    <s v="EMPLOYEE"/>
    <x v="0"/>
    <x v="0"/>
    <x v="7"/>
    <s v="Y"/>
    <x v="1"/>
    <n v="2"/>
    <n v="77.069999999999993"/>
    <n v="77.069999999999993"/>
    <n v="0"/>
    <n v="10"/>
    <n v="5"/>
    <s v="PASSED"/>
  </r>
  <r>
    <s v="EMPLOYEE"/>
    <x v="0"/>
    <x v="0"/>
    <x v="8"/>
    <s v="Y"/>
    <x v="1"/>
    <n v="2"/>
    <n v="89.48"/>
    <n v="89.48"/>
    <n v="0"/>
    <n v="10"/>
    <n v="5"/>
    <s v="PASSED"/>
  </r>
  <r>
    <s v="EMPLOYEE"/>
    <x v="0"/>
    <x v="0"/>
    <x v="9"/>
    <s v="Y"/>
    <x v="1"/>
    <n v="2"/>
    <n v="83.17"/>
    <n v="83.11"/>
    <n v="7.2193478522442886E-2"/>
    <n v="10"/>
    <n v="5"/>
    <s v="TRIVIAL"/>
  </r>
  <r>
    <s v="EMPLOYEE"/>
    <x v="0"/>
    <x v="0"/>
    <x v="10"/>
    <s v="Y"/>
    <x v="1"/>
    <n v="2"/>
    <n v="75.19"/>
    <n v="75.13"/>
    <n v="7.9861573272996506E-2"/>
    <n v="10"/>
    <n v="5"/>
    <s v="TRIVIAL"/>
  </r>
  <r>
    <s v="EMPLOYEE"/>
    <x v="0"/>
    <x v="0"/>
    <x v="11"/>
    <s v="Y"/>
    <x v="1"/>
    <n v="2"/>
    <n v="79.010000000000005"/>
    <n v="79.08"/>
    <n v="8.8517956499738468E-2"/>
    <n v="10"/>
    <n v="5"/>
    <s v="TRIVIAL"/>
  </r>
  <r>
    <s v="EMPLOYEE"/>
    <x v="0"/>
    <x v="0"/>
    <x v="12"/>
    <s v="N"/>
    <x v="1"/>
    <n v="2"/>
    <n v="69.58"/>
    <n v="69.540000000000006"/>
    <n v="5.7520851308587917E-2"/>
    <n v="10"/>
    <n v="5"/>
    <s v="TRIVIAL"/>
  </r>
  <r>
    <s v="EMPLOYEE"/>
    <x v="0"/>
    <x v="0"/>
    <x v="13"/>
    <s v="N"/>
    <x v="1"/>
    <n v="2"/>
    <n v="83.88"/>
    <n v="0"/>
    <n v="100"/>
    <n v="10"/>
    <n v="5"/>
    <s v="CRITICAL"/>
  </r>
  <r>
    <s v="EMPLOYEE"/>
    <x v="0"/>
    <x v="0"/>
    <x v="0"/>
    <s v="Y"/>
    <x v="2"/>
    <n v="3"/>
    <n v="419.67"/>
    <n v="419.65"/>
    <n v="4.765876325518564E-3"/>
    <n v="10"/>
    <n v="5"/>
    <s v="TRIVIAL"/>
  </r>
  <r>
    <s v="EMPLOYEE"/>
    <x v="0"/>
    <x v="0"/>
    <x v="1"/>
    <s v="Y"/>
    <x v="2"/>
    <n v="3"/>
    <n v="412.77"/>
    <n v="412.62"/>
    <n v="3.6353060927724605E-2"/>
    <n v="10"/>
    <n v="5"/>
    <s v="TRIVIAL"/>
  </r>
  <r>
    <s v="EMPLOYEE"/>
    <x v="0"/>
    <x v="0"/>
    <x v="2"/>
    <s v="Y"/>
    <x v="2"/>
    <n v="3"/>
    <n v="479.6"/>
    <n v="479.39"/>
    <n v="4.380566970525801E-2"/>
    <n v="10"/>
    <n v="5"/>
    <s v="TRIVIAL"/>
  </r>
  <r>
    <s v="EMPLOYEE"/>
    <x v="0"/>
    <x v="0"/>
    <x v="3"/>
    <s v="Y"/>
    <x v="2"/>
    <n v="3"/>
    <n v="422.93"/>
    <n v="419.49"/>
    <n v="0.82004338601635252"/>
    <n v="10"/>
    <n v="5"/>
    <s v="TRIVIAL"/>
  </r>
  <r>
    <s v="EMPLOYEE"/>
    <x v="0"/>
    <x v="0"/>
    <x v="4"/>
    <s v="Y"/>
    <x v="2"/>
    <n v="3"/>
    <n v="423.27"/>
    <n v="422.76"/>
    <n v="0.12063582174283068"/>
    <n v="10"/>
    <n v="5"/>
    <s v="TRIVIAL"/>
  </r>
  <r>
    <s v="EMPLOYEE"/>
    <x v="0"/>
    <x v="0"/>
    <x v="5"/>
    <s v="Y"/>
    <x v="2"/>
    <n v="3"/>
    <n v="458.04"/>
    <n v="457.98"/>
    <n v="1.3101008777676375E-2"/>
    <n v="10"/>
    <n v="5"/>
    <s v="TRIVIAL"/>
  </r>
  <r>
    <s v="EMPLOYEE"/>
    <x v="0"/>
    <x v="0"/>
    <x v="6"/>
    <s v="Y"/>
    <x v="2"/>
    <n v="3"/>
    <n v="435.46"/>
    <n v="431.91"/>
    <n v="0.82193049477899438"/>
    <n v="10"/>
    <n v="5"/>
    <s v="TRIVIAL"/>
  </r>
  <r>
    <s v="EMPLOYEE"/>
    <x v="0"/>
    <x v="0"/>
    <x v="7"/>
    <s v="Y"/>
    <x v="2"/>
    <n v="3"/>
    <n v="453.23"/>
    <n v="452.5"/>
    <n v="0.16132596685083272"/>
    <n v="10"/>
    <n v="5"/>
    <s v="TRIVIAL"/>
  </r>
  <r>
    <s v="EMPLOYEE"/>
    <x v="0"/>
    <x v="0"/>
    <x v="8"/>
    <s v="Y"/>
    <x v="2"/>
    <n v="3"/>
    <n v="480.82"/>
    <n v="479.76"/>
    <n v="0.22094380523595181"/>
    <n v="10"/>
    <n v="5"/>
    <s v="TRIVIAL"/>
  </r>
  <r>
    <s v="EMPLOYEE"/>
    <x v="0"/>
    <x v="0"/>
    <x v="9"/>
    <s v="Y"/>
    <x v="2"/>
    <n v="3"/>
    <n v="431.64"/>
    <n v="419.99"/>
    <n v="2.7738755684659102"/>
    <n v="10"/>
    <n v="5"/>
    <s v="TRIVIAL"/>
  </r>
  <r>
    <s v="EMPLOYEE"/>
    <x v="0"/>
    <x v="0"/>
    <x v="10"/>
    <s v="Y"/>
    <x v="2"/>
    <n v="3"/>
    <n v="427.64"/>
    <n v="420.63"/>
    <n v="1.6665477973515894"/>
    <n v="10"/>
    <n v="5"/>
    <s v="TRIVIAL"/>
  </r>
  <r>
    <s v="EMPLOYEE"/>
    <x v="0"/>
    <x v="0"/>
    <x v="11"/>
    <s v="Y"/>
    <x v="2"/>
    <n v="3"/>
    <n v="482.62"/>
    <n v="454.8"/>
    <n v="6.1169744942832001"/>
    <n v="10"/>
    <n v="5"/>
    <s v="CAUTIONARY"/>
  </r>
  <r>
    <s v="EMPLOYEE"/>
    <x v="0"/>
    <x v="0"/>
    <x v="12"/>
    <s v="N"/>
    <x v="2"/>
    <n v="3"/>
    <n v="383.68"/>
    <n v="154.58000000000001"/>
    <n v="148.2080476128865"/>
    <n v="10"/>
    <n v="5"/>
    <s v="CRITICAL"/>
  </r>
  <r>
    <s v="EMPLOYEE"/>
    <x v="0"/>
    <x v="0"/>
    <x v="13"/>
    <s v="N"/>
    <x v="2"/>
    <n v="3"/>
    <n v="231.37"/>
    <n v="0"/>
    <n v="100"/>
    <n v="10"/>
    <n v="5"/>
    <s v="CRITICAL"/>
  </r>
  <r>
    <s v="EMPLOYEE"/>
    <x v="0"/>
    <x v="0"/>
    <x v="0"/>
    <s v="Y"/>
    <x v="3"/>
    <n v="4"/>
    <n v="34577.120000000003"/>
    <n v="34577.120000000003"/>
    <n v="0"/>
    <n v="10"/>
    <n v="5"/>
    <s v="PASSED"/>
  </r>
  <r>
    <s v="EMPLOYEE"/>
    <x v="0"/>
    <x v="0"/>
    <x v="1"/>
    <s v="Y"/>
    <x v="3"/>
    <n v="4"/>
    <n v="264404.24"/>
    <n v="264404.24"/>
    <n v="0"/>
    <n v="10"/>
    <n v="5"/>
    <s v="PASSED"/>
  </r>
  <r>
    <s v="EMPLOYEE"/>
    <x v="0"/>
    <x v="0"/>
    <x v="2"/>
    <s v="Y"/>
    <x v="3"/>
    <n v="4"/>
    <n v="22162.14"/>
    <n v="22162.14"/>
    <n v="0"/>
    <n v="10"/>
    <n v="5"/>
    <s v="PASSED"/>
  </r>
  <r>
    <s v="EMPLOYEE"/>
    <x v="0"/>
    <x v="0"/>
    <x v="3"/>
    <s v="Y"/>
    <x v="3"/>
    <n v="4"/>
    <n v="2019.15"/>
    <n v="2019.15"/>
    <n v="0"/>
    <n v="10"/>
    <n v="5"/>
    <s v="PASSED"/>
  </r>
  <r>
    <s v="EMPLOYEE"/>
    <x v="0"/>
    <x v="0"/>
    <x v="4"/>
    <s v="Y"/>
    <x v="3"/>
    <n v="4"/>
    <n v="0"/>
    <n v="0"/>
    <n v="0"/>
    <n v="10"/>
    <n v="5"/>
    <s v="PASSED"/>
  </r>
  <r>
    <s v="EMPLOYEE"/>
    <x v="0"/>
    <x v="0"/>
    <x v="5"/>
    <s v="Y"/>
    <x v="3"/>
    <n v="4"/>
    <n v="142492.35"/>
    <n v="120026.17"/>
    <n v="18.717734640703778"/>
    <n v="10"/>
    <n v="5"/>
    <s v="CRITICAL"/>
  </r>
  <r>
    <s v="EMPLOYEE"/>
    <x v="0"/>
    <x v="0"/>
    <x v="6"/>
    <s v="Y"/>
    <x v="3"/>
    <n v="4"/>
    <n v="48595.47"/>
    <n v="48595.47"/>
    <n v="0"/>
    <n v="10"/>
    <n v="5"/>
    <s v="PASSED"/>
  </r>
  <r>
    <s v="EMPLOYEE"/>
    <x v="0"/>
    <x v="0"/>
    <x v="7"/>
    <s v="Y"/>
    <x v="3"/>
    <n v="4"/>
    <n v="106868.22"/>
    <n v="106868.22"/>
    <n v="0"/>
    <n v="10"/>
    <n v="5"/>
    <s v="PASSED"/>
  </r>
  <r>
    <s v="EMPLOYEE"/>
    <x v="0"/>
    <x v="0"/>
    <x v="8"/>
    <s v="Y"/>
    <x v="3"/>
    <n v="4"/>
    <n v="33576.300000000003"/>
    <n v="33576.300000000003"/>
    <n v="0"/>
    <n v="10"/>
    <n v="5"/>
    <s v="PASSED"/>
  </r>
  <r>
    <s v="EMPLOYEE"/>
    <x v="0"/>
    <x v="0"/>
    <x v="9"/>
    <s v="Y"/>
    <x v="3"/>
    <n v="4"/>
    <n v="13446.13"/>
    <n v="13446.13"/>
    <n v="0"/>
    <n v="10"/>
    <n v="5"/>
    <s v="PASSED"/>
  </r>
  <r>
    <s v="EMPLOYEE"/>
    <x v="0"/>
    <x v="0"/>
    <x v="10"/>
    <s v="Y"/>
    <x v="3"/>
    <n v="4"/>
    <n v="10104.049999999999"/>
    <n v="10104.049999999999"/>
    <n v="0"/>
    <n v="10"/>
    <n v="5"/>
    <s v="PASSED"/>
  </r>
  <r>
    <s v="EMPLOYEE"/>
    <x v="0"/>
    <x v="0"/>
    <x v="11"/>
    <s v="Y"/>
    <x v="3"/>
    <n v="4"/>
    <n v="11418.26"/>
    <n v="11418.26"/>
    <n v="0"/>
    <n v="10"/>
    <n v="5"/>
    <s v="PASSED"/>
  </r>
  <r>
    <s v="EMPLOYEE"/>
    <x v="0"/>
    <x v="0"/>
    <x v="12"/>
    <s v="N"/>
    <x v="3"/>
    <n v="4"/>
    <n v="0"/>
    <n v="0"/>
    <n v="0"/>
    <n v="10"/>
    <n v="5"/>
    <s v="PASSED"/>
  </r>
  <r>
    <s v="EMPLOYEE"/>
    <x v="0"/>
    <x v="0"/>
    <x v="13"/>
    <s v="N"/>
    <x v="3"/>
    <n v="4"/>
    <n v="0"/>
    <n v="0"/>
    <n v="0"/>
    <n v="10"/>
    <n v="5"/>
    <s v="PASSED"/>
  </r>
  <r>
    <s v="EMPLOYEE"/>
    <x v="0"/>
    <x v="0"/>
    <x v="0"/>
    <s v="Y"/>
    <x v="4"/>
    <n v="5"/>
    <n v="1"/>
    <n v="1"/>
    <n v="0"/>
    <n v="10"/>
    <n v="5"/>
    <s v="PASSED"/>
  </r>
  <r>
    <s v="EMPLOYEE"/>
    <x v="0"/>
    <x v="0"/>
    <x v="1"/>
    <s v="Y"/>
    <x v="4"/>
    <n v="5"/>
    <n v="2"/>
    <n v="2"/>
    <n v="0"/>
    <n v="10"/>
    <n v="5"/>
    <s v="PASSED"/>
  </r>
  <r>
    <s v="EMPLOYEE"/>
    <x v="0"/>
    <x v="0"/>
    <x v="2"/>
    <s v="Y"/>
    <x v="4"/>
    <n v="5"/>
    <n v="1"/>
    <n v="1"/>
    <n v="0"/>
    <n v="10"/>
    <n v="5"/>
    <s v="PASSED"/>
  </r>
  <r>
    <s v="EMPLOYEE"/>
    <x v="0"/>
    <x v="0"/>
    <x v="3"/>
    <s v="Y"/>
    <x v="4"/>
    <n v="5"/>
    <n v="1"/>
    <n v="1"/>
    <n v="0"/>
    <n v="10"/>
    <n v="5"/>
    <s v="PASSED"/>
  </r>
  <r>
    <s v="EMPLOYEE"/>
    <x v="0"/>
    <x v="0"/>
    <x v="4"/>
    <s v="Y"/>
    <x v="4"/>
    <n v="5"/>
    <n v="0"/>
    <n v="0"/>
    <n v="0"/>
    <n v="10"/>
    <n v="5"/>
    <s v="PASSED"/>
  </r>
  <r>
    <s v="EMPLOYEE"/>
    <x v="0"/>
    <x v="0"/>
    <x v="5"/>
    <s v="Y"/>
    <x v="4"/>
    <n v="5"/>
    <n v="5"/>
    <n v="4"/>
    <n v="25"/>
    <n v="10"/>
    <n v="5"/>
    <s v="CRITICAL"/>
  </r>
  <r>
    <s v="EMPLOYEE"/>
    <x v="0"/>
    <x v="0"/>
    <x v="6"/>
    <s v="Y"/>
    <x v="4"/>
    <n v="5"/>
    <n v="5"/>
    <n v="5"/>
    <n v="0"/>
    <n v="10"/>
    <n v="5"/>
    <s v="PASSED"/>
  </r>
  <r>
    <s v="EMPLOYEE"/>
    <x v="0"/>
    <x v="0"/>
    <x v="7"/>
    <s v="Y"/>
    <x v="4"/>
    <n v="5"/>
    <n v="1"/>
    <n v="1"/>
    <n v="0"/>
    <n v="10"/>
    <n v="5"/>
    <s v="PASSED"/>
  </r>
  <r>
    <s v="EMPLOYEE"/>
    <x v="0"/>
    <x v="0"/>
    <x v="8"/>
    <s v="Y"/>
    <x v="4"/>
    <n v="5"/>
    <n v="4"/>
    <n v="4"/>
    <n v="0"/>
    <n v="10"/>
    <n v="5"/>
    <s v="PASSED"/>
  </r>
  <r>
    <s v="EMPLOYEE"/>
    <x v="0"/>
    <x v="0"/>
    <x v="9"/>
    <s v="Y"/>
    <x v="4"/>
    <n v="5"/>
    <n v="1"/>
    <n v="1"/>
    <n v="0"/>
    <n v="10"/>
    <n v="5"/>
    <s v="PASSED"/>
  </r>
  <r>
    <s v="EMPLOYEE"/>
    <x v="0"/>
    <x v="0"/>
    <x v="10"/>
    <s v="Y"/>
    <x v="4"/>
    <n v="5"/>
    <n v="2"/>
    <n v="2"/>
    <n v="0"/>
    <n v="10"/>
    <n v="5"/>
    <s v="PASSED"/>
  </r>
  <r>
    <s v="EMPLOYEE"/>
    <x v="0"/>
    <x v="0"/>
    <x v="11"/>
    <s v="Y"/>
    <x v="4"/>
    <n v="5"/>
    <n v="1"/>
    <n v="1"/>
    <n v="0"/>
    <n v="10"/>
    <n v="5"/>
    <s v="PASSED"/>
  </r>
  <r>
    <s v="EMPLOYEE"/>
    <x v="0"/>
    <x v="0"/>
    <x v="12"/>
    <s v="N"/>
    <x v="4"/>
    <n v="5"/>
    <n v="0"/>
    <n v="0"/>
    <n v="0"/>
    <n v="10"/>
    <n v="5"/>
    <s v="PASSED"/>
  </r>
  <r>
    <s v="EMPLOYEE"/>
    <x v="0"/>
    <x v="0"/>
    <x v="13"/>
    <s v="N"/>
    <x v="4"/>
    <n v="5"/>
    <n v="0"/>
    <n v="0"/>
    <n v="0"/>
    <n v="10"/>
    <n v="5"/>
    <s v="PASSED"/>
  </r>
  <r>
    <s v="EMPLOYEE"/>
    <x v="0"/>
    <x v="0"/>
    <x v="0"/>
    <s v="Y"/>
    <x v="5"/>
    <n v="6"/>
    <n v="30090.83"/>
    <n v="30090.83"/>
    <n v="0"/>
    <n v="10"/>
    <n v="5"/>
    <s v="PASSED"/>
  </r>
  <r>
    <s v="EMPLOYEE"/>
    <x v="0"/>
    <x v="0"/>
    <x v="1"/>
    <s v="Y"/>
    <x v="5"/>
    <n v="6"/>
    <n v="0"/>
    <n v="0"/>
    <n v="0"/>
    <n v="10"/>
    <n v="5"/>
    <s v="PASSED"/>
  </r>
  <r>
    <s v="EMPLOYEE"/>
    <x v="0"/>
    <x v="0"/>
    <x v="2"/>
    <s v="Y"/>
    <x v="5"/>
    <n v="6"/>
    <n v="13914.86"/>
    <n v="13914.86"/>
    <n v="0"/>
    <n v="10"/>
    <n v="5"/>
    <s v="PASSED"/>
  </r>
  <r>
    <s v="EMPLOYEE"/>
    <x v="0"/>
    <x v="0"/>
    <x v="3"/>
    <s v="Y"/>
    <x v="5"/>
    <n v="6"/>
    <n v="0"/>
    <n v="0"/>
    <n v="0"/>
    <n v="10"/>
    <n v="5"/>
    <s v="PASSED"/>
  </r>
  <r>
    <s v="EMPLOYEE"/>
    <x v="0"/>
    <x v="0"/>
    <x v="4"/>
    <s v="Y"/>
    <x v="5"/>
    <n v="6"/>
    <n v="0"/>
    <n v="0"/>
    <n v="0"/>
    <n v="10"/>
    <n v="5"/>
    <s v="PASSED"/>
  </r>
  <r>
    <s v="EMPLOYEE"/>
    <x v="0"/>
    <x v="0"/>
    <x v="5"/>
    <s v="Y"/>
    <x v="5"/>
    <n v="6"/>
    <n v="10911.34"/>
    <n v="10911.34"/>
    <n v="0"/>
    <n v="10"/>
    <n v="5"/>
    <s v="PASSED"/>
  </r>
  <r>
    <s v="EMPLOYEE"/>
    <x v="0"/>
    <x v="0"/>
    <x v="6"/>
    <s v="Y"/>
    <x v="5"/>
    <n v="6"/>
    <n v="27958.94"/>
    <n v="27958.94"/>
    <n v="0"/>
    <n v="10"/>
    <n v="5"/>
    <s v="PASSED"/>
  </r>
  <r>
    <s v="EMPLOYEE"/>
    <x v="0"/>
    <x v="0"/>
    <x v="7"/>
    <s v="Y"/>
    <x v="5"/>
    <n v="6"/>
    <n v="9324.5300000000007"/>
    <n v="9324.5300000000007"/>
    <n v="0"/>
    <n v="10"/>
    <n v="5"/>
    <s v="PASSED"/>
  </r>
  <r>
    <s v="EMPLOYEE"/>
    <x v="0"/>
    <x v="0"/>
    <x v="8"/>
    <s v="Y"/>
    <x v="5"/>
    <n v="6"/>
    <n v="33175.449999999997"/>
    <n v="33175.449999999997"/>
    <n v="0"/>
    <n v="10"/>
    <n v="5"/>
    <s v="PASSED"/>
  </r>
  <r>
    <s v="EMPLOYEE"/>
    <x v="0"/>
    <x v="0"/>
    <x v="9"/>
    <s v="Y"/>
    <x v="5"/>
    <n v="6"/>
    <n v="0"/>
    <n v="0"/>
    <n v="0"/>
    <n v="10"/>
    <n v="5"/>
    <s v="PASSED"/>
  </r>
  <r>
    <s v="EMPLOYEE"/>
    <x v="0"/>
    <x v="0"/>
    <x v="10"/>
    <s v="Y"/>
    <x v="5"/>
    <n v="6"/>
    <n v="159678.79999999999"/>
    <n v="159678.79999999999"/>
    <n v="0"/>
    <n v="10"/>
    <n v="5"/>
    <s v="PASSED"/>
  </r>
  <r>
    <s v="EMPLOYEE"/>
    <x v="0"/>
    <x v="0"/>
    <x v="11"/>
    <s v="Y"/>
    <x v="5"/>
    <n v="6"/>
    <n v="0"/>
    <n v="0"/>
    <n v="0"/>
    <n v="10"/>
    <n v="5"/>
    <s v="PASSED"/>
  </r>
  <r>
    <s v="EMPLOYEE"/>
    <x v="0"/>
    <x v="0"/>
    <x v="12"/>
    <s v="N"/>
    <x v="5"/>
    <n v="6"/>
    <n v="0"/>
    <n v="0"/>
    <n v="0"/>
    <n v="10"/>
    <n v="5"/>
    <s v="PASSED"/>
  </r>
  <r>
    <s v="EMPLOYEE"/>
    <x v="0"/>
    <x v="0"/>
    <x v="13"/>
    <s v="N"/>
    <x v="5"/>
    <n v="6"/>
    <n v="0"/>
    <n v="0"/>
    <n v="0"/>
    <n v="10"/>
    <n v="5"/>
    <s v="PASSED"/>
  </r>
  <r>
    <s v="EMPLOYEE"/>
    <x v="0"/>
    <x v="0"/>
    <x v="0"/>
    <s v="Y"/>
    <x v="6"/>
    <n v="7"/>
    <n v="1"/>
    <n v="1"/>
    <n v="0"/>
    <n v="10"/>
    <n v="5"/>
    <s v="PASSED"/>
  </r>
  <r>
    <s v="EMPLOYEE"/>
    <x v="0"/>
    <x v="0"/>
    <x v="1"/>
    <s v="Y"/>
    <x v="6"/>
    <n v="7"/>
    <n v="0"/>
    <n v="0"/>
    <n v="0"/>
    <n v="10"/>
    <n v="5"/>
    <s v="PASSED"/>
  </r>
  <r>
    <s v="EMPLOYEE"/>
    <x v="0"/>
    <x v="0"/>
    <x v="2"/>
    <s v="Y"/>
    <x v="6"/>
    <n v="7"/>
    <n v="1"/>
    <n v="1"/>
    <n v="0"/>
    <n v="10"/>
    <n v="5"/>
    <s v="PASSED"/>
  </r>
  <r>
    <s v="EMPLOYEE"/>
    <x v="0"/>
    <x v="0"/>
    <x v="3"/>
    <s v="Y"/>
    <x v="6"/>
    <n v="7"/>
    <n v="0"/>
    <n v="0"/>
    <n v="0"/>
    <n v="10"/>
    <n v="5"/>
    <s v="PASSED"/>
  </r>
  <r>
    <s v="EMPLOYEE"/>
    <x v="0"/>
    <x v="0"/>
    <x v="4"/>
    <s v="Y"/>
    <x v="6"/>
    <n v="7"/>
    <n v="0"/>
    <n v="0"/>
    <n v="0"/>
    <n v="10"/>
    <n v="5"/>
    <s v="PASSED"/>
  </r>
  <r>
    <s v="EMPLOYEE"/>
    <x v="0"/>
    <x v="0"/>
    <x v="5"/>
    <s v="Y"/>
    <x v="6"/>
    <n v="7"/>
    <n v="1"/>
    <n v="1"/>
    <n v="0"/>
    <n v="10"/>
    <n v="5"/>
    <s v="PASSED"/>
  </r>
  <r>
    <s v="EMPLOYEE"/>
    <x v="0"/>
    <x v="0"/>
    <x v="6"/>
    <s v="Y"/>
    <x v="6"/>
    <n v="7"/>
    <n v="1"/>
    <n v="1"/>
    <n v="0"/>
    <n v="10"/>
    <n v="5"/>
    <s v="PASSED"/>
  </r>
  <r>
    <s v="EMPLOYEE"/>
    <x v="0"/>
    <x v="0"/>
    <x v="7"/>
    <s v="Y"/>
    <x v="6"/>
    <n v="7"/>
    <n v="1"/>
    <n v="1"/>
    <n v="0"/>
    <n v="10"/>
    <n v="5"/>
    <s v="PASSED"/>
  </r>
  <r>
    <s v="EMPLOYEE"/>
    <x v="0"/>
    <x v="0"/>
    <x v="8"/>
    <s v="Y"/>
    <x v="6"/>
    <n v="7"/>
    <n v="2"/>
    <n v="2"/>
    <n v="0"/>
    <n v="10"/>
    <n v="5"/>
    <s v="PASSED"/>
  </r>
  <r>
    <s v="EMPLOYEE"/>
    <x v="0"/>
    <x v="0"/>
    <x v="9"/>
    <s v="Y"/>
    <x v="6"/>
    <n v="7"/>
    <n v="0"/>
    <n v="0"/>
    <n v="0"/>
    <n v="10"/>
    <n v="5"/>
    <s v="PASSED"/>
  </r>
  <r>
    <s v="EMPLOYEE"/>
    <x v="0"/>
    <x v="0"/>
    <x v="10"/>
    <s v="Y"/>
    <x v="6"/>
    <n v="7"/>
    <n v="2"/>
    <n v="2"/>
    <n v="0"/>
    <n v="10"/>
    <n v="5"/>
    <s v="PASSED"/>
  </r>
  <r>
    <s v="EMPLOYEE"/>
    <x v="0"/>
    <x v="0"/>
    <x v="11"/>
    <s v="Y"/>
    <x v="6"/>
    <n v="7"/>
    <n v="0"/>
    <n v="0"/>
    <n v="0"/>
    <n v="10"/>
    <n v="5"/>
    <s v="PASSED"/>
  </r>
  <r>
    <s v="EMPLOYEE"/>
    <x v="0"/>
    <x v="0"/>
    <x v="12"/>
    <s v="N"/>
    <x v="6"/>
    <n v="7"/>
    <n v="0"/>
    <n v="0"/>
    <n v="0"/>
    <n v="10"/>
    <n v="5"/>
    <s v="PASSED"/>
  </r>
  <r>
    <s v="EMPLOYEE"/>
    <x v="0"/>
    <x v="0"/>
    <x v="13"/>
    <s v="N"/>
    <x v="6"/>
    <n v="7"/>
    <n v="0"/>
    <n v="0"/>
    <n v="0"/>
    <n v="10"/>
    <n v="5"/>
    <s v="PASSED"/>
  </r>
  <r>
    <s v="EMPLOYEE"/>
    <x v="0"/>
    <x v="0"/>
    <x v="0"/>
    <s v="Y"/>
    <x v="7"/>
    <n v="8"/>
    <n v="78205.539999999994"/>
    <n v="78205.539999999994"/>
    <n v="0"/>
    <n v="10"/>
    <n v="5"/>
    <s v="PASSED"/>
  </r>
  <r>
    <s v="EMPLOYEE"/>
    <x v="0"/>
    <x v="0"/>
    <x v="1"/>
    <s v="Y"/>
    <x v="7"/>
    <n v="8"/>
    <n v="72166.11"/>
    <n v="72166.11"/>
    <n v="0"/>
    <n v="10"/>
    <n v="5"/>
    <s v="PASSED"/>
  </r>
  <r>
    <s v="EMPLOYEE"/>
    <x v="0"/>
    <x v="0"/>
    <x v="2"/>
    <s v="Y"/>
    <x v="7"/>
    <n v="8"/>
    <n v="59424.61"/>
    <n v="59424.61"/>
    <n v="0"/>
    <n v="10"/>
    <n v="5"/>
    <s v="PASSED"/>
  </r>
  <r>
    <s v="EMPLOYEE"/>
    <x v="0"/>
    <x v="0"/>
    <x v="3"/>
    <s v="Y"/>
    <x v="7"/>
    <n v="8"/>
    <n v="53666.82"/>
    <n v="53666.82"/>
    <n v="0"/>
    <n v="10"/>
    <n v="5"/>
    <s v="PASSED"/>
  </r>
  <r>
    <s v="EMPLOYEE"/>
    <x v="0"/>
    <x v="0"/>
    <x v="4"/>
    <s v="Y"/>
    <x v="7"/>
    <n v="8"/>
    <n v="88898.28"/>
    <n v="88898.28"/>
    <n v="0"/>
    <n v="10"/>
    <n v="5"/>
    <s v="PASSED"/>
  </r>
  <r>
    <s v="EMPLOYEE"/>
    <x v="0"/>
    <x v="0"/>
    <x v="5"/>
    <s v="Y"/>
    <x v="7"/>
    <n v="8"/>
    <n v="59987.11"/>
    <n v="59028.76"/>
    <n v="1.6235306315091129"/>
    <n v="10"/>
    <n v="5"/>
    <s v="TRIVIAL"/>
  </r>
  <r>
    <s v="EMPLOYEE"/>
    <x v="0"/>
    <x v="0"/>
    <x v="6"/>
    <s v="Y"/>
    <x v="7"/>
    <n v="8"/>
    <n v="81822.39"/>
    <n v="81822.39"/>
    <n v="0"/>
    <n v="10"/>
    <n v="5"/>
    <s v="PASSED"/>
  </r>
  <r>
    <s v="EMPLOYEE"/>
    <x v="0"/>
    <x v="0"/>
    <x v="7"/>
    <s v="Y"/>
    <x v="7"/>
    <n v="8"/>
    <n v="89453.49"/>
    <n v="88480.77"/>
    <n v="1.0993575214139764"/>
    <n v="10"/>
    <n v="5"/>
    <s v="TRIVIAL"/>
  </r>
  <r>
    <s v="EMPLOYEE"/>
    <x v="0"/>
    <x v="0"/>
    <x v="8"/>
    <s v="Y"/>
    <x v="7"/>
    <n v="8"/>
    <n v="113271.13"/>
    <n v="112298.41"/>
    <n v="0.86619213931880357"/>
    <n v="10"/>
    <n v="5"/>
    <s v="TRIVIAL"/>
  </r>
  <r>
    <s v="EMPLOYEE"/>
    <x v="0"/>
    <x v="0"/>
    <x v="9"/>
    <s v="Y"/>
    <x v="7"/>
    <n v="8"/>
    <n v="83375.5"/>
    <n v="80418.7"/>
    <n v="3.6767567742328624"/>
    <n v="10"/>
    <n v="5"/>
    <s v="TRIVIAL"/>
  </r>
  <r>
    <s v="EMPLOYEE"/>
    <x v="0"/>
    <x v="0"/>
    <x v="10"/>
    <s v="Y"/>
    <x v="7"/>
    <n v="8"/>
    <n v="83041.820000000007"/>
    <n v="82069.100000000006"/>
    <n v="1.1852451166151463"/>
    <n v="10"/>
    <n v="5"/>
    <s v="TRIVIAL"/>
  </r>
  <r>
    <s v="EMPLOYEE"/>
    <x v="0"/>
    <x v="0"/>
    <x v="11"/>
    <s v="Y"/>
    <x v="7"/>
    <n v="8"/>
    <n v="80000.95"/>
    <n v="72679.199999999997"/>
    <n v="10.074065207101894"/>
    <n v="10"/>
    <n v="5"/>
    <s v="CRITICAL"/>
  </r>
  <r>
    <s v="EMPLOYEE"/>
    <x v="0"/>
    <x v="0"/>
    <x v="12"/>
    <s v="N"/>
    <x v="7"/>
    <n v="8"/>
    <n v="54451.95"/>
    <n v="22782.14"/>
    <n v="139.01156783339931"/>
    <n v="10"/>
    <n v="5"/>
    <s v="CRITICAL"/>
  </r>
  <r>
    <s v="EMPLOYEE"/>
    <x v="0"/>
    <x v="0"/>
    <x v="13"/>
    <s v="N"/>
    <x v="7"/>
    <n v="8"/>
    <n v="28922.34"/>
    <n v="0"/>
    <n v="100"/>
    <n v="10"/>
    <n v="5"/>
    <s v="CRITICAL"/>
  </r>
  <r>
    <s v="EMPLOYEE"/>
    <x v="0"/>
    <x v="0"/>
    <x v="0"/>
    <s v="Y"/>
    <x v="8"/>
    <n v="9"/>
    <n v="36"/>
    <n v="36"/>
    <n v="0"/>
    <n v="10"/>
    <n v="5"/>
    <s v="PASSED"/>
  </r>
  <r>
    <s v="EMPLOYEE"/>
    <x v="0"/>
    <x v="0"/>
    <x v="1"/>
    <s v="Y"/>
    <x v="8"/>
    <n v="9"/>
    <n v="38"/>
    <n v="38"/>
    <n v="0"/>
    <n v="10"/>
    <n v="5"/>
    <s v="PASSED"/>
  </r>
  <r>
    <s v="EMPLOYEE"/>
    <x v="0"/>
    <x v="0"/>
    <x v="2"/>
    <s v="Y"/>
    <x v="8"/>
    <n v="9"/>
    <n v="32"/>
    <n v="32"/>
    <n v="0"/>
    <n v="10"/>
    <n v="5"/>
    <s v="PASSED"/>
  </r>
  <r>
    <s v="EMPLOYEE"/>
    <x v="0"/>
    <x v="0"/>
    <x v="3"/>
    <s v="Y"/>
    <x v="8"/>
    <n v="9"/>
    <n v="32"/>
    <n v="32"/>
    <n v="0"/>
    <n v="10"/>
    <n v="5"/>
    <s v="PASSED"/>
  </r>
  <r>
    <s v="EMPLOYEE"/>
    <x v="0"/>
    <x v="0"/>
    <x v="4"/>
    <s v="Y"/>
    <x v="8"/>
    <n v="9"/>
    <n v="60"/>
    <n v="60"/>
    <n v="0"/>
    <n v="10"/>
    <n v="5"/>
    <s v="PASSED"/>
  </r>
  <r>
    <s v="EMPLOYEE"/>
    <x v="0"/>
    <x v="0"/>
    <x v="5"/>
    <s v="Y"/>
    <x v="8"/>
    <n v="9"/>
    <n v="35"/>
    <n v="33"/>
    <n v="6.0606060606060606"/>
    <n v="10"/>
    <n v="5"/>
    <s v="CAUTIONARY"/>
  </r>
  <r>
    <s v="EMPLOYEE"/>
    <x v="0"/>
    <x v="0"/>
    <x v="6"/>
    <s v="Y"/>
    <x v="8"/>
    <n v="9"/>
    <n v="49"/>
    <n v="49"/>
    <n v="0"/>
    <n v="10"/>
    <n v="5"/>
    <s v="PASSED"/>
  </r>
  <r>
    <s v="EMPLOYEE"/>
    <x v="0"/>
    <x v="0"/>
    <x v="7"/>
    <s v="Y"/>
    <x v="8"/>
    <n v="9"/>
    <n v="41"/>
    <n v="39"/>
    <n v="5.1282051282051277"/>
    <n v="10"/>
    <n v="5"/>
    <s v="CAUTIONARY"/>
  </r>
  <r>
    <s v="EMPLOYEE"/>
    <x v="0"/>
    <x v="0"/>
    <x v="8"/>
    <s v="Y"/>
    <x v="8"/>
    <n v="9"/>
    <n v="75"/>
    <n v="74"/>
    <n v="1.3513513513513513"/>
    <n v="10"/>
    <n v="5"/>
    <s v="TRIVIAL"/>
  </r>
  <r>
    <s v="EMPLOYEE"/>
    <x v="0"/>
    <x v="0"/>
    <x v="9"/>
    <s v="Y"/>
    <x v="8"/>
    <n v="9"/>
    <n v="39"/>
    <n v="35"/>
    <n v="11.428571428571429"/>
    <n v="10"/>
    <n v="5"/>
    <s v="CRITICAL"/>
  </r>
  <r>
    <s v="EMPLOYEE"/>
    <x v="0"/>
    <x v="0"/>
    <x v="10"/>
    <s v="Y"/>
    <x v="8"/>
    <n v="9"/>
    <n v="45"/>
    <n v="43"/>
    <n v="4.6511627906976747"/>
    <n v="10"/>
    <n v="5"/>
    <s v="TRIVIAL"/>
  </r>
  <r>
    <s v="EMPLOYEE"/>
    <x v="0"/>
    <x v="0"/>
    <x v="11"/>
    <s v="Y"/>
    <x v="8"/>
    <n v="9"/>
    <n v="52"/>
    <n v="47"/>
    <n v="10.638297872340425"/>
    <n v="10"/>
    <n v="5"/>
    <s v="CRITICAL"/>
  </r>
  <r>
    <s v="EMPLOYEE"/>
    <x v="0"/>
    <x v="0"/>
    <x v="12"/>
    <s v="N"/>
    <x v="8"/>
    <n v="9"/>
    <n v="22"/>
    <n v="10"/>
    <n v="120"/>
    <n v="10"/>
    <n v="5"/>
    <s v="CRITICAL"/>
  </r>
  <r>
    <s v="EMPLOYEE"/>
    <x v="0"/>
    <x v="0"/>
    <x v="13"/>
    <s v="N"/>
    <x v="8"/>
    <n v="9"/>
    <n v="15"/>
    <n v="0"/>
    <n v="100"/>
    <n v="10"/>
    <n v="5"/>
    <s v="CRITICAL"/>
  </r>
  <r>
    <s v="EMPLOYEE"/>
    <x v="0"/>
    <x v="0"/>
    <x v="0"/>
    <s v="Y"/>
    <x v="9"/>
    <n v="10"/>
    <n v="71"/>
    <n v="71"/>
    <n v="0"/>
    <n v="10"/>
    <n v="5"/>
    <s v="PASSED"/>
  </r>
  <r>
    <s v="EMPLOYEE"/>
    <x v="0"/>
    <x v="0"/>
    <x v="1"/>
    <s v="Y"/>
    <x v="9"/>
    <n v="10"/>
    <n v="52"/>
    <n v="52"/>
    <n v="0"/>
    <n v="10"/>
    <n v="5"/>
    <s v="PASSED"/>
  </r>
  <r>
    <s v="EMPLOYEE"/>
    <x v="0"/>
    <x v="0"/>
    <x v="2"/>
    <s v="Y"/>
    <x v="9"/>
    <n v="10"/>
    <n v="39"/>
    <n v="39"/>
    <n v="0"/>
    <n v="10"/>
    <n v="5"/>
    <s v="PASSED"/>
  </r>
  <r>
    <s v="EMPLOYEE"/>
    <x v="0"/>
    <x v="0"/>
    <x v="3"/>
    <s v="Y"/>
    <x v="9"/>
    <n v="10"/>
    <n v="34"/>
    <n v="34"/>
    <n v="0"/>
    <n v="10"/>
    <n v="5"/>
    <s v="PASSED"/>
  </r>
  <r>
    <s v="EMPLOYEE"/>
    <x v="0"/>
    <x v="0"/>
    <x v="4"/>
    <s v="Y"/>
    <x v="9"/>
    <n v="10"/>
    <n v="34"/>
    <n v="34"/>
    <n v="0"/>
    <n v="10"/>
    <n v="5"/>
    <s v="PASSED"/>
  </r>
  <r>
    <s v="EMPLOYEE"/>
    <x v="0"/>
    <x v="0"/>
    <x v="5"/>
    <s v="Y"/>
    <x v="9"/>
    <n v="10"/>
    <n v="35"/>
    <n v="35"/>
    <n v="0"/>
    <n v="10"/>
    <n v="5"/>
    <s v="PASSED"/>
  </r>
  <r>
    <s v="EMPLOYEE"/>
    <x v="0"/>
    <x v="0"/>
    <x v="6"/>
    <s v="Y"/>
    <x v="9"/>
    <n v="10"/>
    <n v="33"/>
    <n v="33"/>
    <n v="0"/>
    <n v="10"/>
    <n v="5"/>
    <s v="PASSED"/>
  </r>
  <r>
    <s v="EMPLOYEE"/>
    <x v="0"/>
    <x v="0"/>
    <x v="7"/>
    <s v="Y"/>
    <x v="9"/>
    <n v="10"/>
    <n v="45"/>
    <n v="45"/>
    <n v="0"/>
    <n v="10"/>
    <n v="5"/>
    <s v="PASSED"/>
  </r>
  <r>
    <s v="EMPLOYEE"/>
    <x v="0"/>
    <x v="0"/>
    <x v="8"/>
    <s v="Y"/>
    <x v="9"/>
    <n v="10"/>
    <n v="38"/>
    <n v="38"/>
    <n v="0"/>
    <n v="10"/>
    <n v="5"/>
    <s v="PASSED"/>
  </r>
  <r>
    <s v="EMPLOYEE"/>
    <x v="0"/>
    <x v="0"/>
    <x v="9"/>
    <s v="Y"/>
    <x v="9"/>
    <n v="10"/>
    <n v="40"/>
    <n v="40"/>
    <n v="0"/>
    <n v="10"/>
    <n v="5"/>
    <s v="PASSED"/>
  </r>
  <r>
    <s v="EMPLOYEE"/>
    <x v="0"/>
    <x v="0"/>
    <x v="10"/>
    <s v="Y"/>
    <x v="9"/>
    <n v="10"/>
    <n v="38"/>
    <n v="38"/>
    <n v="0"/>
    <n v="10"/>
    <n v="5"/>
    <s v="PASSED"/>
  </r>
  <r>
    <s v="EMPLOYEE"/>
    <x v="0"/>
    <x v="0"/>
    <x v="11"/>
    <s v="Y"/>
    <x v="9"/>
    <n v="10"/>
    <n v="41"/>
    <n v="37"/>
    <n v="10.810810810810811"/>
    <n v="10"/>
    <n v="5"/>
    <s v="CRITICAL"/>
  </r>
  <r>
    <s v="EMPLOYEE"/>
    <x v="0"/>
    <x v="0"/>
    <x v="12"/>
    <s v="N"/>
    <x v="9"/>
    <n v="10"/>
    <n v="37"/>
    <n v="14"/>
    <n v="164.28571428571428"/>
    <n v="10"/>
    <n v="5"/>
    <s v="CRITICAL"/>
  </r>
  <r>
    <s v="EMPLOYEE"/>
    <x v="0"/>
    <x v="0"/>
    <x v="13"/>
    <s v="N"/>
    <x v="9"/>
    <n v="10"/>
    <n v="10"/>
    <n v="0"/>
    <n v="100"/>
    <n v="10"/>
    <n v="5"/>
    <s v="CRITICAL"/>
  </r>
  <r>
    <s v="EMPLOYEE"/>
    <x v="0"/>
    <x v="0"/>
    <x v="0"/>
    <s v="Y"/>
    <x v="10"/>
    <n v="11"/>
    <n v="4"/>
    <n v="4"/>
    <n v="0"/>
    <n v="10"/>
    <n v="5"/>
    <s v="PASSED"/>
  </r>
  <r>
    <s v="EMPLOYEE"/>
    <x v="0"/>
    <x v="0"/>
    <x v="1"/>
    <s v="Y"/>
    <x v="10"/>
    <n v="11"/>
    <n v="1"/>
    <n v="1"/>
    <n v="0"/>
    <n v="10"/>
    <n v="5"/>
    <s v="PASSED"/>
  </r>
  <r>
    <s v="EMPLOYEE"/>
    <x v="0"/>
    <x v="0"/>
    <x v="2"/>
    <s v="Y"/>
    <x v="10"/>
    <n v="11"/>
    <n v="0"/>
    <n v="0"/>
    <n v="0"/>
    <n v="10"/>
    <n v="5"/>
    <s v="PASSED"/>
  </r>
  <r>
    <s v="EMPLOYEE"/>
    <x v="0"/>
    <x v="0"/>
    <x v="3"/>
    <s v="Y"/>
    <x v="10"/>
    <n v="11"/>
    <n v="0"/>
    <n v="0"/>
    <n v="0"/>
    <n v="10"/>
    <n v="5"/>
    <s v="PASSED"/>
  </r>
  <r>
    <s v="EMPLOYEE"/>
    <x v="0"/>
    <x v="0"/>
    <x v="4"/>
    <s v="Y"/>
    <x v="10"/>
    <n v="11"/>
    <n v="4"/>
    <n v="4"/>
    <n v="0"/>
    <n v="10"/>
    <n v="5"/>
    <s v="PASSED"/>
  </r>
  <r>
    <s v="EMPLOYEE"/>
    <x v="0"/>
    <x v="0"/>
    <x v="5"/>
    <s v="Y"/>
    <x v="10"/>
    <n v="11"/>
    <n v="3"/>
    <n v="3"/>
    <n v="0"/>
    <n v="10"/>
    <n v="5"/>
    <s v="PASSED"/>
  </r>
  <r>
    <s v="EMPLOYEE"/>
    <x v="0"/>
    <x v="0"/>
    <x v="6"/>
    <s v="Y"/>
    <x v="10"/>
    <n v="11"/>
    <n v="1"/>
    <n v="1"/>
    <n v="0"/>
    <n v="10"/>
    <n v="5"/>
    <s v="PASSED"/>
  </r>
  <r>
    <s v="EMPLOYEE"/>
    <x v="0"/>
    <x v="0"/>
    <x v="7"/>
    <s v="Y"/>
    <x v="10"/>
    <n v="11"/>
    <n v="3"/>
    <n v="3"/>
    <n v="0"/>
    <n v="10"/>
    <n v="5"/>
    <s v="PASSED"/>
  </r>
  <r>
    <s v="EMPLOYEE"/>
    <x v="0"/>
    <x v="0"/>
    <x v="8"/>
    <s v="Y"/>
    <x v="10"/>
    <n v="11"/>
    <n v="1"/>
    <n v="1"/>
    <n v="0"/>
    <n v="10"/>
    <n v="5"/>
    <s v="PASSED"/>
  </r>
  <r>
    <s v="EMPLOYEE"/>
    <x v="0"/>
    <x v="0"/>
    <x v="9"/>
    <s v="Y"/>
    <x v="10"/>
    <n v="11"/>
    <n v="3"/>
    <n v="3"/>
    <n v="0"/>
    <n v="10"/>
    <n v="5"/>
    <s v="PASSED"/>
  </r>
  <r>
    <s v="EMPLOYEE"/>
    <x v="0"/>
    <x v="0"/>
    <x v="10"/>
    <s v="Y"/>
    <x v="10"/>
    <n v="11"/>
    <n v="4"/>
    <n v="4"/>
    <n v="0"/>
    <n v="10"/>
    <n v="5"/>
    <s v="PASSED"/>
  </r>
  <r>
    <s v="EMPLOYEE"/>
    <x v="0"/>
    <x v="0"/>
    <x v="11"/>
    <s v="Y"/>
    <x v="10"/>
    <n v="11"/>
    <n v="1"/>
    <n v="1"/>
    <n v="0"/>
    <n v="10"/>
    <n v="5"/>
    <s v="PASSED"/>
  </r>
  <r>
    <s v="EMPLOYEE"/>
    <x v="0"/>
    <x v="0"/>
    <x v="12"/>
    <s v="N"/>
    <x v="10"/>
    <n v="11"/>
    <n v="2"/>
    <n v="2"/>
    <n v="0"/>
    <n v="10"/>
    <n v="5"/>
    <s v="PASSED"/>
  </r>
  <r>
    <s v="EMPLOYEE"/>
    <x v="0"/>
    <x v="0"/>
    <x v="13"/>
    <s v="N"/>
    <x v="10"/>
    <n v="11"/>
    <n v="2"/>
    <n v="0"/>
    <n v="100"/>
    <n v="10"/>
    <n v="5"/>
    <s v="CRITICAL"/>
  </r>
  <r>
    <s v="EMPLOYEE"/>
    <x v="0"/>
    <x v="0"/>
    <x v="0"/>
    <s v="Y"/>
    <x v="11"/>
    <n v="12"/>
    <n v="8"/>
    <n v="8"/>
    <n v="0"/>
    <n v="10"/>
    <n v="5"/>
    <s v="PASSED"/>
  </r>
  <r>
    <s v="EMPLOYEE"/>
    <x v="0"/>
    <x v="0"/>
    <x v="1"/>
    <s v="Y"/>
    <x v="11"/>
    <n v="12"/>
    <n v="5"/>
    <n v="5"/>
    <n v="0"/>
    <n v="10"/>
    <n v="5"/>
    <s v="PASSED"/>
  </r>
  <r>
    <s v="EMPLOYEE"/>
    <x v="0"/>
    <x v="0"/>
    <x v="2"/>
    <s v="Y"/>
    <x v="11"/>
    <n v="12"/>
    <n v="8"/>
    <n v="8"/>
    <n v="0"/>
    <n v="10"/>
    <n v="5"/>
    <s v="PASSED"/>
  </r>
  <r>
    <s v="EMPLOYEE"/>
    <x v="0"/>
    <x v="0"/>
    <x v="3"/>
    <s v="Y"/>
    <x v="11"/>
    <n v="12"/>
    <n v="7"/>
    <n v="7"/>
    <n v="0"/>
    <n v="10"/>
    <n v="5"/>
    <s v="PASSED"/>
  </r>
  <r>
    <s v="EMPLOYEE"/>
    <x v="0"/>
    <x v="0"/>
    <x v="4"/>
    <s v="Y"/>
    <x v="11"/>
    <n v="12"/>
    <n v="7"/>
    <n v="7"/>
    <n v="0"/>
    <n v="10"/>
    <n v="5"/>
    <s v="PASSED"/>
  </r>
  <r>
    <s v="EMPLOYEE"/>
    <x v="0"/>
    <x v="0"/>
    <x v="5"/>
    <s v="Y"/>
    <x v="11"/>
    <n v="12"/>
    <n v="10"/>
    <n v="10"/>
    <n v="0"/>
    <n v="10"/>
    <n v="5"/>
    <s v="PASSED"/>
  </r>
  <r>
    <s v="EMPLOYEE"/>
    <x v="0"/>
    <x v="0"/>
    <x v="6"/>
    <s v="Y"/>
    <x v="11"/>
    <n v="12"/>
    <n v="14"/>
    <n v="14"/>
    <n v="0"/>
    <n v="10"/>
    <n v="5"/>
    <s v="PASSED"/>
  </r>
  <r>
    <s v="EMPLOYEE"/>
    <x v="0"/>
    <x v="0"/>
    <x v="7"/>
    <s v="Y"/>
    <x v="11"/>
    <n v="12"/>
    <n v="8"/>
    <n v="8"/>
    <n v="0"/>
    <n v="10"/>
    <n v="5"/>
    <s v="PASSED"/>
  </r>
  <r>
    <s v="EMPLOYEE"/>
    <x v="0"/>
    <x v="0"/>
    <x v="8"/>
    <s v="Y"/>
    <x v="11"/>
    <n v="12"/>
    <n v="8"/>
    <n v="8"/>
    <n v="0"/>
    <n v="10"/>
    <n v="5"/>
    <s v="PASSED"/>
  </r>
  <r>
    <s v="EMPLOYEE"/>
    <x v="0"/>
    <x v="0"/>
    <x v="9"/>
    <s v="Y"/>
    <x v="11"/>
    <n v="12"/>
    <n v="6"/>
    <n v="6"/>
    <n v="0"/>
    <n v="10"/>
    <n v="5"/>
    <s v="PASSED"/>
  </r>
  <r>
    <s v="EMPLOYEE"/>
    <x v="0"/>
    <x v="0"/>
    <x v="10"/>
    <s v="Y"/>
    <x v="11"/>
    <n v="12"/>
    <n v="6"/>
    <n v="6"/>
    <n v="0"/>
    <n v="10"/>
    <n v="5"/>
    <s v="PASSED"/>
  </r>
  <r>
    <s v="EMPLOYEE"/>
    <x v="0"/>
    <x v="0"/>
    <x v="11"/>
    <s v="Y"/>
    <x v="11"/>
    <n v="12"/>
    <n v="5"/>
    <n v="5"/>
    <n v="0"/>
    <n v="10"/>
    <n v="5"/>
    <s v="PASSED"/>
  </r>
  <r>
    <s v="EMPLOYEE"/>
    <x v="0"/>
    <x v="0"/>
    <x v="12"/>
    <s v="N"/>
    <x v="11"/>
    <n v="12"/>
    <n v="6"/>
    <n v="4"/>
    <n v="50"/>
    <n v="10"/>
    <n v="5"/>
    <s v="CRITICAL"/>
  </r>
  <r>
    <s v="EMPLOYEE"/>
    <x v="0"/>
    <x v="0"/>
    <x v="13"/>
    <s v="N"/>
    <x v="11"/>
    <n v="12"/>
    <n v="6"/>
    <n v="0"/>
    <n v="100"/>
    <n v="10"/>
    <n v="5"/>
    <s v="CRITICAL"/>
  </r>
  <r>
    <s v="EMPLOYEE"/>
    <x v="0"/>
    <x v="0"/>
    <x v="0"/>
    <s v="Y"/>
    <x v="12"/>
    <n v="13"/>
    <n v="126450"/>
    <n v="126450"/>
    <n v="0"/>
    <n v="10"/>
    <n v="5"/>
    <s v="PASSED"/>
  </r>
  <r>
    <s v="EMPLOYEE"/>
    <x v="0"/>
    <x v="0"/>
    <x v="1"/>
    <s v="Y"/>
    <x v="12"/>
    <n v="13"/>
    <n v="70874"/>
    <n v="70585"/>
    <n v="0.409435432457321"/>
    <n v="10"/>
    <n v="5"/>
    <s v="TRIVIAL"/>
  </r>
  <r>
    <s v="EMPLOYEE"/>
    <x v="0"/>
    <x v="0"/>
    <x v="2"/>
    <s v="Y"/>
    <x v="12"/>
    <n v="13"/>
    <n v="142055"/>
    <n v="141774"/>
    <n v="0.19820277342813211"/>
    <n v="10"/>
    <n v="5"/>
    <s v="TRIVIAL"/>
  </r>
  <r>
    <s v="EMPLOYEE"/>
    <x v="0"/>
    <x v="0"/>
    <x v="3"/>
    <s v="Y"/>
    <x v="12"/>
    <n v="13"/>
    <n v="184764"/>
    <n v="184421"/>
    <n v="0.18598749600099773"/>
    <n v="10"/>
    <n v="5"/>
    <s v="TRIVIAL"/>
  </r>
  <r>
    <s v="EMPLOYEE"/>
    <x v="0"/>
    <x v="0"/>
    <x v="4"/>
    <s v="Y"/>
    <x v="12"/>
    <n v="13"/>
    <n v="149222"/>
    <n v="149222"/>
    <n v="0"/>
    <n v="10"/>
    <n v="5"/>
    <s v="PASSED"/>
  </r>
  <r>
    <s v="EMPLOYEE"/>
    <x v="0"/>
    <x v="0"/>
    <x v="5"/>
    <s v="Y"/>
    <x v="12"/>
    <n v="13"/>
    <n v="109421"/>
    <n v="108138"/>
    <n v="1.1864469474190387"/>
    <n v="10"/>
    <n v="5"/>
    <s v="TRIVIAL"/>
  </r>
  <r>
    <s v="EMPLOYEE"/>
    <x v="0"/>
    <x v="0"/>
    <x v="6"/>
    <s v="Y"/>
    <x v="12"/>
    <n v="13"/>
    <n v="130330"/>
    <n v="130330"/>
    <n v="0"/>
    <n v="10"/>
    <n v="5"/>
    <s v="PASSED"/>
  </r>
  <r>
    <s v="EMPLOYEE"/>
    <x v="0"/>
    <x v="0"/>
    <x v="7"/>
    <s v="Y"/>
    <x v="12"/>
    <n v="13"/>
    <n v="155975"/>
    <n v="155374"/>
    <n v="0.38680860375609816"/>
    <n v="10"/>
    <n v="5"/>
    <s v="TRIVIAL"/>
  </r>
  <r>
    <s v="EMPLOYEE"/>
    <x v="0"/>
    <x v="0"/>
    <x v="8"/>
    <s v="Y"/>
    <x v="12"/>
    <n v="13"/>
    <n v="115867"/>
    <n v="115867"/>
    <n v="0"/>
    <n v="10"/>
    <n v="5"/>
    <s v="PASSED"/>
  </r>
  <r>
    <s v="EMPLOYEE"/>
    <x v="0"/>
    <x v="0"/>
    <x v="9"/>
    <s v="Y"/>
    <x v="12"/>
    <n v="13"/>
    <n v="126061"/>
    <n v="123788"/>
    <n v="1.8362038323585486"/>
    <n v="10"/>
    <n v="5"/>
    <s v="TRIVIAL"/>
  </r>
  <r>
    <s v="EMPLOYEE"/>
    <x v="0"/>
    <x v="0"/>
    <x v="10"/>
    <s v="Y"/>
    <x v="12"/>
    <n v="13"/>
    <n v="130353"/>
    <n v="120841"/>
    <n v="7.8715005668605853"/>
    <n v="10"/>
    <n v="5"/>
    <s v="CAUTIONARY"/>
  </r>
  <r>
    <s v="EMPLOYEE"/>
    <x v="0"/>
    <x v="0"/>
    <x v="11"/>
    <s v="Y"/>
    <x v="12"/>
    <n v="13"/>
    <n v="151006"/>
    <n v="135230"/>
    <n v="11.666050432596316"/>
    <n v="10"/>
    <n v="5"/>
    <s v="CRITICAL"/>
  </r>
  <r>
    <s v="EMPLOYEE"/>
    <x v="0"/>
    <x v="0"/>
    <x v="12"/>
    <s v="N"/>
    <x v="12"/>
    <n v="13"/>
    <n v="118241"/>
    <n v="10064"/>
    <n v="1074.8906995230525"/>
    <n v="10"/>
    <n v="5"/>
    <s v="CRITICAL"/>
  </r>
  <r>
    <s v="EMPLOYEE"/>
    <x v="0"/>
    <x v="0"/>
    <x v="13"/>
    <s v="N"/>
    <x v="12"/>
    <n v="13"/>
    <n v="32638"/>
    <n v="0"/>
    <n v="100"/>
    <n v="10"/>
    <n v="5"/>
    <s v="CRITICAL"/>
  </r>
  <r>
    <s v="EMPLOYEE"/>
    <x v="0"/>
    <x v="0"/>
    <x v="0"/>
    <s v="Y"/>
    <x v="13"/>
    <n v="14"/>
    <n v="144"/>
    <n v="144"/>
    <n v="0"/>
    <n v="10"/>
    <n v="5"/>
    <s v="PASSED"/>
  </r>
  <r>
    <s v="EMPLOYEE"/>
    <x v="0"/>
    <x v="0"/>
    <x v="1"/>
    <s v="Y"/>
    <x v="13"/>
    <n v="14"/>
    <n v="126"/>
    <n v="125"/>
    <n v="0.8"/>
    <n v="10"/>
    <n v="5"/>
    <s v="TRIVIAL"/>
  </r>
  <r>
    <s v="EMPLOYEE"/>
    <x v="0"/>
    <x v="0"/>
    <x v="2"/>
    <s v="Y"/>
    <x v="13"/>
    <n v="14"/>
    <n v="157"/>
    <n v="156"/>
    <n v="0.64102564102564097"/>
    <n v="10"/>
    <n v="5"/>
    <s v="TRIVIAL"/>
  </r>
  <r>
    <s v="EMPLOYEE"/>
    <x v="0"/>
    <x v="0"/>
    <x v="3"/>
    <s v="Y"/>
    <x v="13"/>
    <n v="14"/>
    <n v="209"/>
    <n v="209"/>
    <n v="0"/>
    <n v="10"/>
    <n v="5"/>
    <s v="PASSED"/>
  </r>
  <r>
    <s v="EMPLOYEE"/>
    <x v="0"/>
    <x v="0"/>
    <x v="4"/>
    <s v="Y"/>
    <x v="13"/>
    <n v="14"/>
    <n v="169"/>
    <n v="169"/>
    <n v="0"/>
    <n v="10"/>
    <n v="5"/>
    <s v="PASSED"/>
  </r>
  <r>
    <s v="EMPLOYEE"/>
    <x v="0"/>
    <x v="0"/>
    <x v="5"/>
    <s v="Y"/>
    <x v="13"/>
    <n v="14"/>
    <n v="147"/>
    <n v="145"/>
    <n v="1.3793103448275863"/>
    <n v="10"/>
    <n v="5"/>
    <s v="TRIVIAL"/>
  </r>
  <r>
    <s v="EMPLOYEE"/>
    <x v="0"/>
    <x v="0"/>
    <x v="6"/>
    <s v="Y"/>
    <x v="13"/>
    <n v="14"/>
    <n v="191"/>
    <n v="191"/>
    <n v="0"/>
    <n v="10"/>
    <n v="5"/>
    <s v="PASSED"/>
  </r>
  <r>
    <s v="EMPLOYEE"/>
    <x v="0"/>
    <x v="0"/>
    <x v="7"/>
    <s v="Y"/>
    <x v="13"/>
    <n v="14"/>
    <n v="187"/>
    <n v="186"/>
    <n v="0.53763440860215062"/>
    <n v="10"/>
    <n v="5"/>
    <s v="TRIVIAL"/>
  </r>
  <r>
    <s v="EMPLOYEE"/>
    <x v="0"/>
    <x v="0"/>
    <x v="8"/>
    <s v="Y"/>
    <x v="13"/>
    <n v="14"/>
    <n v="146"/>
    <n v="146"/>
    <n v="0"/>
    <n v="10"/>
    <n v="5"/>
    <s v="PASSED"/>
  </r>
  <r>
    <s v="EMPLOYEE"/>
    <x v="0"/>
    <x v="0"/>
    <x v="9"/>
    <s v="Y"/>
    <x v="13"/>
    <n v="14"/>
    <n v="152"/>
    <n v="150"/>
    <n v="1.3333333333333335"/>
    <n v="10"/>
    <n v="5"/>
    <s v="TRIVIAL"/>
  </r>
  <r>
    <s v="EMPLOYEE"/>
    <x v="0"/>
    <x v="0"/>
    <x v="10"/>
    <s v="Y"/>
    <x v="13"/>
    <n v="14"/>
    <n v="146"/>
    <n v="142"/>
    <n v="2.8169014084507045"/>
    <n v="10"/>
    <n v="5"/>
    <s v="TRIVIAL"/>
  </r>
  <r>
    <s v="EMPLOYEE"/>
    <x v="0"/>
    <x v="0"/>
    <x v="11"/>
    <s v="Y"/>
    <x v="13"/>
    <n v="14"/>
    <n v="185"/>
    <n v="167"/>
    <n v="10.778443113772456"/>
    <n v="10"/>
    <n v="5"/>
    <s v="CRITICAL"/>
  </r>
  <r>
    <s v="EMPLOYEE"/>
    <x v="0"/>
    <x v="0"/>
    <x v="12"/>
    <s v="N"/>
    <x v="13"/>
    <n v="14"/>
    <n v="150"/>
    <n v="11"/>
    <n v="1263.6363636363637"/>
    <n v="10"/>
    <n v="5"/>
    <s v="CRITICAL"/>
  </r>
  <r>
    <s v="EMPLOYEE"/>
    <x v="0"/>
    <x v="0"/>
    <x v="13"/>
    <s v="N"/>
    <x v="13"/>
    <n v="14"/>
    <n v="37"/>
    <n v="0"/>
    <n v="100"/>
    <n v="10"/>
    <n v="5"/>
    <s v="CRITICAL"/>
  </r>
  <r>
    <s v="EMPLOYEE"/>
    <x v="0"/>
    <x v="0"/>
    <x v="0"/>
    <s v="Y"/>
    <x v="14"/>
    <n v="15"/>
    <n v="642191"/>
    <n v="642191"/>
    <n v="0"/>
    <n v="10"/>
    <n v="5"/>
    <s v="PASSED"/>
  </r>
  <r>
    <s v="EMPLOYEE"/>
    <x v="0"/>
    <x v="0"/>
    <x v="1"/>
    <s v="Y"/>
    <x v="14"/>
    <n v="15"/>
    <n v="692167"/>
    <n v="692167"/>
    <n v="0"/>
    <n v="10"/>
    <n v="5"/>
    <s v="PASSED"/>
  </r>
  <r>
    <s v="EMPLOYEE"/>
    <x v="0"/>
    <x v="0"/>
    <x v="2"/>
    <s v="Y"/>
    <x v="14"/>
    <n v="15"/>
    <n v="706411"/>
    <n v="706411"/>
    <n v="0"/>
    <n v="10"/>
    <n v="5"/>
    <s v="PASSED"/>
  </r>
  <r>
    <s v="EMPLOYEE"/>
    <x v="0"/>
    <x v="0"/>
    <x v="3"/>
    <s v="Y"/>
    <x v="14"/>
    <n v="15"/>
    <n v="709798"/>
    <n v="709798"/>
    <n v="0"/>
    <n v="10"/>
    <n v="5"/>
    <s v="PASSED"/>
  </r>
  <r>
    <s v="EMPLOYEE"/>
    <x v="0"/>
    <x v="0"/>
    <x v="4"/>
    <s v="Y"/>
    <x v="14"/>
    <n v="15"/>
    <n v="866234"/>
    <n v="866234"/>
    <n v="0"/>
    <n v="10"/>
    <n v="5"/>
    <s v="PASSED"/>
  </r>
  <r>
    <s v="EMPLOYEE"/>
    <x v="0"/>
    <x v="0"/>
    <x v="5"/>
    <s v="Y"/>
    <x v="14"/>
    <n v="15"/>
    <n v="765733"/>
    <n v="765733"/>
    <n v="0"/>
    <n v="10"/>
    <n v="5"/>
    <s v="PASSED"/>
  </r>
  <r>
    <s v="EMPLOYEE"/>
    <x v="0"/>
    <x v="0"/>
    <x v="6"/>
    <s v="Y"/>
    <x v="14"/>
    <n v="15"/>
    <n v="735579"/>
    <n v="735579"/>
    <n v="0"/>
    <n v="10"/>
    <n v="5"/>
    <s v="PASSED"/>
  </r>
  <r>
    <s v="EMPLOYEE"/>
    <x v="0"/>
    <x v="0"/>
    <x v="7"/>
    <s v="Y"/>
    <x v="14"/>
    <n v="15"/>
    <n v="726488"/>
    <n v="726488"/>
    <n v="0"/>
    <n v="10"/>
    <n v="5"/>
    <s v="PASSED"/>
  </r>
  <r>
    <s v="EMPLOYEE"/>
    <x v="0"/>
    <x v="0"/>
    <x v="8"/>
    <s v="Y"/>
    <x v="14"/>
    <n v="15"/>
    <n v="846841"/>
    <n v="846841"/>
    <n v="0"/>
    <n v="10"/>
    <n v="5"/>
    <s v="PASSED"/>
  </r>
  <r>
    <s v="EMPLOYEE"/>
    <x v="0"/>
    <x v="0"/>
    <x v="9"/>
    <s v="Y"/>
    <x v="14"/>
    <n v="15"/>
    <n v="799493"/>
    <n v="798925"/>
    <n v="7.1095534624651874E-2"/>
    <n v="10"/>
    <n v="5"/>
    <s v="TRIVIAL"/>
  </r>
  <r>
    <s v="EMPLOYEE"/>
    <x v="0"/>
    <x v="0"/>
    <x v="10"/>
    <s v="Y"/>
    <x v="14"/>
    <n v="15"/>
    <n v="728273"/>
    <n v="727705"/>
    <n v="7.8053606887406299E-2"/>
    <n v="10"/>
    <n v="5"/>
    <s v="TRIVIAL"/>
  </r>
  <r>
    <s v="EMPLOYEE"/>
    <x v="0"/>
    <x v="0"/>
    <x v="11"/>
    <s v="Y"/>
    <x v="14"/>
    <n v="15"/>
    <n v="769998"/>
    <n v="770673"/>
    <n v="8.7585785410933037E-2"/>
    <n v="10"/>
    <n v="5"/>
    <s v="TRIVIAL"/>
  </r>
  <r>
    <s v="EMPLOYEE"/>
    <x v="0"/>
    <x v="0"/>
    <x v="12"/>
    <s v="N"/>
    <x v="14"/>
    <n v="15"/>
    <n v="677302"/>
    <n v="676938"/>
    <n v="5.3771541854645478E-2"/>
    <n v="10"/>
    <n v="5"/>
    <s v="TRIVIAL"/>
  </r>
  <r>
    <s v="EMPLOYEE"/>
    <x v="0"/>
    <x v="0"/>
    <x v="13"/>
    <s v="N"/>
    <x v="14"/>
    <n v="15"/>
    <n v="820274"/>
    <n v="0"/>
    <n v="100"/>
    <n v="10"/>
    <n v="5"/>
    <s v="CRITICAL"/>
  </r>
  <r>
    <s v="EMPLOYEE"/>
    <x v="0"/>
    <x v="0"/>
    <x v="0"/>
    <s v="Y"/>
    <x v="15"/>
    <n v="16"/>
    <n v="0.87"/>
    <n v="0.87"/>
    <n v="0"/>
    <n v="10"/>
    <n v="5"/>
    <s v="PASSED"/>
  </r>
  <r>
    <s v="EMPLOYEE"/>
    <x v="0"/>
    <x v="0"/>
    <x v="1"/>
    <s v="Y"/>
    <x v="15"/>
    <n v="16"/>
    <n v="0.88"/>
    <n v="0.88"/>
    <n v="0"/>
    <n v="10"/>
    <n v="5"/>
    <s v="PASSED"/>
  </r>
  <r>
    <s v="EMPLOYEE"/>
    <x v="0"/>
    <x v="0"/>
    <x v="2"/>
    <s v="Y"/>
    <x v="15"/>
    <n v="16"/>
    <n v="0.88"/>
    <n v="0.88"/>
    <n v="0"/>
    <n v="10"/>
    <n v="5"/>
    <s v="PASSED"/>
  </r>
  <r>
    <s v="EMPLOYEE"/>
    <x v="0"/>
    <x v="0"/>
    <x v="3"/>
    <s v="Y"/>
    <x v="15"/>
    <n v="16"/>
    <n v="0.87"/>
    <n v="0.87"/>
    <n v="0"/>
    <n v="10"/>
    <n v="5"/>
    <s v="PASSED"/>
  </r>
  <r>
    <s v="EMPLOYEE"/>
    <x v="0"/>
    <x v="0"/>
    <x v="4"/>
    <s v="Y"/>
    <x v="15"/>
    <n v="16"/>
    <n v="0.87"/>
    <n v="0.87"/>
    <n v="0"/>
    <n v="10"/>
    <n v="5"/>
    <s v="PASSED"/>
  </r>
  <r>
    <s v="EMPLOYEE"/>
    <x v="0"/>
    <x v="0"/>
    <x v="5"/>
    <s v="Y"/>
    <x v="15"/>
    <n v="16"/>
    <n v="0.88"/>
    <n v="0.88"/>
    <n v="0"/>
    <n v="10"/>
    <n v="5"/>
    <s v="PASSED"/>
  </r>
  <r>
    <s v="EMPLOYEE"/>
    <x v="0"/>
    <x v="0"/>
    <x v="6"/>
    <s v="Y"/>
    <x v="15"/>
    <n v="16"/>
    <n v="0.88"/>
    <n v="0.88"/>
    <n v="0"/>
    <n v="10"/>
    <n v="5"/>
    <s v="PASSED"/>
  </r>
  <r>
    <s v="EMPLOYEE"/>
    <x v="0"/>
    <x v="0"/>
    <x v="7"/>
    <s v="Y"/>
    <x v="15"/>
    <n v="16"/>
    <n v="0.87"/>
    <n v="0.87"/>
    <n v="0"/>
    <n v="10"/>
    <n v="5"/>
    <s v="PASSED"/>
  </r>
  <r>
    <s v="EMPLOYEE"/>
    <x v="0"/>
    <x v="0"/>
    <x v="8"/>
    <s v="Y"/>
    <x v="15"/>
    <n v="16"/>
    <n v="0.88"/>
    <n v="0.88"/>
    <n v="0"/>
    <n v="10"/>
    <n v="5"/>
    <s v="PASSED"/>
  </r>
  <r>
    <s v="EMPLOYEE"/>
    <x v="0"/>
    <x v="0"/>
    <x v="9"/>
    <s v="Y"/>
    <x v="15"/>
    <n v="16"/>
    <n v="0.88"/>
    <n v="0.88"/>
    <n v="0"/>
    <n v="10"/>
    <n v="5"/>
    <s v="PASSED"/>
  </r>
  <r>
    <s v="EMPLOYEE"/>
    <x v="0"/>
    <x v="0"/>
    <x v="10"/>
    <s v="Y"/>
    <x v="15"/>
    <n v="16"/>
    <n v="0.87"/>
    <n v="0.87"/>
    <n v="0"/>
    <n v="10"/>
    <n v="5"/>
    <s v="PASSED"/>
  </r>
  <r>
    <s v="EMPLOYEE"/>
    <x v="0"/>
    <x v="0"/>
    <x v="11"/>
    <s v="Y"/>
    <x v="15"/>
    <n v="16"/>
    <n v="0.88"/>
    <n v="0.89"/>
    <n v="1.1235955056179785"/>
    <n v="10"/>
    <n v="5"/>
    <s v="TRIVIAL"/>
  </r>
  <r>
    <s v="EMPLOYEE"/>
    <x v="0"/>
    <x v="0"/>
    <x v="12"/>
    <s v="N"/>
    <x v="15"/>
    <n v="16"/>
    <n v="0.89"/>
    <n v="0.89"/>
    <n v="0"/>
    <n v="10"/>
    <n v="5"/>
    <s v="PASSED"/>
  </r>
  <r>
    <s v="EMPLOYEE"/>
    <x v="0"/>
    <x v="0"/>
    <x v="13"/>
    <s v="N"/>
    <x v="15"/>
    <n v="16"/>
    <n v="0.88"/>
    <n v="0"/>
    <n v="100"/>
    <n v="10"/>
    <n v="5"/>
    <s v="CRITICAL"/>
  </r>
  <r>
    <s v="EMPLOYEE"/>
    <x v="0"/>
    <x v="0"/>
    <x v="0"/>
    <s v="Y"/>
    <x v="16"/>
    <n v="17"/>
    <n v="2720271"/>
    <n v="2720015"/>
    <n v="9.4117128030543947E-3"/>
    <n v="10"/>
    <n v="5"/>
    <s v="TRIVIAL"/>
  </r>
  <r>
    <s v="EMPLOYEE"/>
    <x v="0"/>
    <x v="0"/>
    <x v="1"/>
    <s v="Y"/>
    <x v="16"/>
    <n v="17"/>
    <n v="2611473"/>
    <n v="2610543"/>
    <n v="3.5624772317483372E-2"/>
    <n v="10"/>
    <n v="5"/>
    <s v="TRIVIAL"/>
  </r>
  <r>
    <s v="EMPLOYEE"/>
    <x v="0"/>
    <x v="0"/>
    <x v="2"/>
    <s v="Y"/>
    <x v="16"/>
    <n v="17"/>
    <n v="3073193"/>
    <n v="3071280"/>
    <n v="6.2286733869917434E-2"/>
    <n v="10"/>
    <n v="5"/>
    <s v="TRIVIAL"/>
  </r>
  <r>
    <s v="EMPLOYEE"/>
    <x v="0"/>
    <x v="0"/>
    <x v="3"/>
    <s v="Y"/>
    <x v="16"/>
    <n v="17"/>
    <n v="2631969"/>
    <n v="2613902"/>
    <n v="0.69118888160305936"/>
    <n v="10"/>
    <n v="5"/>
    <s v="TRIVIAL"/>
  </r>
  <r>
    <s v="EMPLOYEE"/>
    <x v="0"/>
    <x v="0"/>
    <x v="4"/>
    <s v="Y"/>
    <x v="16"/>
    <n v="17"/>
    <n v="2718516"/>
    <n v="2717143"/>
    <n v="5.0531017322238837E-2"/>
    <n v="10"/>
    <n v="5"/>
    <s v="TRIVIAL"/>
  </r>
  <r>
    <s v="EMPLOYEE"/>
    <x v="0"/>
    <x v="0"/>
    <x v="5"/>
    <s v="Y"/>
    <x v="16"/>
    <n v="17"/>
    <n v="3089092"/>
    <n v="3092771"/>
    <n v="0.11895481430729918"/>
    <n v="10"/>
    <n v="5"/>
    <s v="TRIVIAL"/>
  </r>
  <r>
    <s v="EMPLOYEE"/>
    <x v="0"/>
    <x v="0"/>
    <x v="6"/>
    <s v="Y"/>
    <x v="16"/>
    <n v="17"/>
    <n v="2777819"/>
    <n v="2747052"/>
    <n v="1.1200006406868162"/>
    <n v="10"/>
    <n v="5"/>
    <s v="TRIVIAL"/>
  </r>
  <r>
    <s v="EMPLOYEE"/>
    <x v="0"/>
    <x v="0"/>
    <x v="7"/>
    <s v="Y"/>
    <x v="16"/>
    <n v="17"/>
    <n v="3008911"/>
    <n v="3004870"/>
    <n v="0.13448169138764737"/>
    <n v="10"/>
    <n v="5"/>
    <s v="TRIVIAL"/>
  </r>
  <r>
    <s v="EMPLOYEE"/>
    <x v="0"/>
    <x v="0"/>
    <x v="8"/>
    <s v="Y"/>
    <x v="16"/>
    <n v="17"/>
    <n v="3255933"/>
    <n v="3249473"/>
    <n v="0.19880146719175695"/>
    <n v="10"/>
    <n v="5"/>
    <s v="TRIVIAL"/>
  </r>
  <r>
    <s v="EMPLOYEE"/>
    <x v="0"/>
    <x v="0"/>
    <x v="9"/>
    <s v="Y"/>
    <x v="16"/>
    <n v="17"/>
    <n v="2902681"/>
    <n v="2814876"/>
    <n v="3.1193203537207324"/>
    <n v="10"/>
    <n v="5"/>
    <s v="TRIVIAL"/>
  </r>
  <r>
    <s v="EMPLOYEE"/>
    <x v="0"/>
    <x v="0"/>
    <x v="10"/>
    <s v="Y"/>
    <x v="16"/>
    <n v="17"/>
    <n v="3013687"/>
    <n v="2961439"/>
    <n v="1.7642774340447329"/>
    <n v="10"/>
    <n v="5"/>
    <s v="TRIVIAL"/>
  </r>
  <r>
    <s v="EMPLOYEE"/>
    <x v="0"/>
    <x v="0"/>
    <x v="11"/>
    <s v="Y"/>
    <x v="16"/>
    <n v="17"/>
    <n v="3238531"/>
    <n v="3053306"/>
    <n v="6.0663752666781514"/>
    <n v="10"/>
    <n v="5"/>
    <s v="CAUTIONARY"/>
  </r>
  <r>
    <s v="EMPLOYEE"/>
    <x v="0"/>
    <x v="0"/>
    <x v="12"/>
    <s v="N"/>
    <x v="16"/>
    <n v="17"/>
    <n v="2600014"/>
    <n v="1065971"/>
    <n v="143.91038780604725"/>
    <n v="10"/>
    <n v="5"/>
    <s v="CRITICAL"/>
  </r>
  <r>
    <s v="EMPLOYEE"/>
    <x v="0"/>
    <x v="0"/>
    <x v="13"/>
    <s v="N"/>
    <x v="16"/>
    <n v="17"/>
    <n v="1585675"/>
    <n v="0"/>
    <n v="100"/>
    <n v="10"/>
    <n v="5"/>
    <s v="CRITICAL"/>
  </r>
  <r>
    <s v="EMPLOYEE"/>
    <x v="0"/>
    <x v="0"/>
    <x v="0"/>
    <s v="Y"/>
    <x v="17"/>
    <n v="18"/>
    <n v="300.63"/>
    <n v="300.63"/>
    <n v="0"/>
    <n v="10"/>
    <n v="5"/>
    <s v="PASSED"/>
  </r>
  <r>
    <s v="EMPLOYEE"/>
    <x v="0"/>
    <x v="0"/>
    <x v="1"/>
    <s v="Y"/>
    <x v="17"/>
    <n v="18"/>
    <n v="304.10000000000002"/>
    <n v="304.10000000000002"/>
    <n v="0"/>
    <n v="10"/>
    <n v="5"/>
    <s v="PASSED"/>
  </r>
  <r>
    <s v="EMPLOYEE"/>
    <x v="0"/>
    <x v="0"/>
    <x v="2"/>
    <s v="Y"/>
    <x v="17"/>
    <n v="18"/>
    <n v="306.5"/>
    <n v="306.5"/>
    <n v="0"/>
    <n v="10"/>
    <n v="5"/>
    <s v="PASSED"/>
  </r>
  <r>
    <s v="EMPLOYEE"/>
    <x v="0"/>
    <x v="0"/>
    <x v="3"/>
    <s v="Y"/>
    <x v="17"/>
    <n v="18"/>
    <n v="304.41000000000003"/>
    <n v="304.41000000000003"/>
    <n v="0"/>
    <n v="10"/>
    <n v="5"/>
    <s v="PASSED"/>
  </r>
  <r>
    <s v="EMPLOYEE"/>
    <x v="0"/>
    <x v="0"/>
    <x v="4"/>
    <s v="Y"/>
    <x v="17"/>
    <n v="18"/>
    <n v="304.8"/>
    <n v="304.8"/>
    <n v="0"/>
    <n v="10"/>
    <n v="5"/>
    <s v="PASSED"/>
  </r>
  <r>
    <s v="EMPLOYEE"/>
    <x v="0"/>
    <x v="0"/>
    <x v="5"/>
    <s v="Y"/>
    <x v="17"/>
    <n v="18"/>
    <n v="303.58999999999997"/>
    <n v="303.58999999999997"/>
    <n v="0"/>
    <n v="10"/>
    <n v="5"/>
    <s v="PASSED"/>
  </r>
  <r>
    <s v="EMPLOYEE"/>
    <x v="0"/>
    <x v="0"/>
    <x v="6"/>
    <s v="Y"/>
    <x v="17"/>
    <n v="18"/>
    <n v="306.43"/>
    <n v="306.32"/>
    <n v="3.5910159310529398E-2"/>
    <n v="10"/>
    <n v="5"/>
    <s v="TRIVIAL"/>
  </r>
  <r>
    <s v="EMPLOYEE"/>
    <x v="0"/>
    <x v="0"/>
    <x v="7"/>
    <s v="Y"/>
    <x v="17"/>
    <n v="18"/>
    <n v="306.07"/>
    <n v="305.95999999999998"/>
    <n v="3.5952412080014921E-2"/>
    <n v="10"/>
    <n v="5"/>
    <s v="TRIVIAL"/>
  </r>
  <r>
    <s v="EMPLOYEE"/>
    <x v="0"/>
    <x v="0"/>
    <x v="8"/>
    <s v="Y"/>
    <x v="17"/>
    <n v="18"/>
    <n v="306.20999999999998"/>
    <n v="306"/>
    <n v="6.8627450980385474E-2"/>
    <n v="10"/>
    <n v="5"/>
    <s v="TRIVIAL"/>
  </r>
  <r>
    <s v="EMPLOYEE"/>
    <x v="0"/>
    <x v="0"/>
    <x v="9"/>
    <s v="Y"/>
    <x v="17"/>
    <n v="18"/>
    <n v="300.52999999999997"/>
    <n v="299.8"/>
    <n v="0.24349566377583767"/>
    <n v="10"/>
    <n v="5"/>
    <s v="TRIVIAL"/>
  </r>
  <r>
    <s v="EMPLOYEE"/>
    <x v="0"/>
    <x v="0"/>
    <x v="10"/>
    <s v="Y"/>
    <x v="17"/>
    <n v="18"/>
    <n v="300.23"/>
    <n v="299.3"/>
    <n v="0.31072502505847205"/>
    <n v="10"/>
    <n v="5"/>
    <s v="TRIVIAL"/>
  </r>
  <r>
    <s v="EMPLOYEE"/>
    <x v="0"/>
    <x v="0"/>
    <x v="11"/>
    <s v="Y"/>
    <x v="17"/>
    <n v="18"/>
    <n v="301.25"/>
    <n v="299.82"/>
    <n v="0.47695283836969077"/>
    <n v="10"/>
    <n v="5"/>
    <s v="TRIVIAL"/>
  </r>
  <r>
    <s v="EMPLOYEE"/>
    <x v="0"/>
    <x v="0"/>
    <x v="12"/>
    <s v="N"/>
    <x v="17"/>
    <n v="18"/>
    <n v="303.58"/>
    <n v="291.56"/>
    <n v="4.1226505693510704"/>
    <n v="10"/>
    <n v="5"/>
    <s v="TRIVIAL"/>
  </r>
  <r>
    <s v="EMPLOYEE"/>
    <x v="0"/>
    <x v="0"/>
    <x v="13"/>
    <s v="N"/>
    <x v="17"/>
    <n v="18"/>
    <n v="298.19"/>
    <n v="0"/>
    <n v="100"/>
    <n v="10"/>
    <n v="5"/>
    <s v="CRITICAL"/>
  </r>
  <r>
    <s v="EMPLOYEE"/>
    <x v="0"/>
    <x v="0"/>
    <x v="0"/>
    <s v="Y"/>
    <x v="18"/>
    <n v="19"/>
    <n v="510"/>
    <n v="510"/>
    <n v="0"/>
    <n v="10"/>
    <n v="5"/>
    <s v="PASSED"/>
  </r>
  <r>
    <s v="EMPLOYEE"/>
    <x v="0"/>
    <x v="0"/>
    <x v="1"/>
    <s v="Y"/>
    <x v="18"/>
    <n v="19"/>
    <n v="505"/>
    <n v="505"/>
    <n v="0"/>
    <n v="10"/>
    <n v="5"/>
    <s v="PASSED"/>
  </r>
  <r>
    <s v="EMPLOYEE"/>
    <x v="0"/>
    <x v="0"/>
    <x v="2"/>
    <s v="Y"/>
    <x v="18"/>
    <n v="19"/>
    <n v="598"/>
    <n v="598"/>
    <n v="0"/>
    <n v="10"/>
    <n v="5"/>
    <s v="PASSED"/>
  </r>
  <r>
    <s v="EMPLOYEE"/>
    <x v="0"/>
    <x v="0"/>
    <x v="3"/>
    <s v="Y"/>
    <x v="18"/>
    <n v="19"/>
    <n v="607"/>
    <n v="607"/>
    <n v="0"/>
    <n v="10"/>
    <n v="5"/>
    <s v="PASSED"/>
  </r>
  <r>
    <s v="EMPLOYEE"/>
    <x v="0"/>
    <x v="0"/>
    <x v="4"/>
    <s v="Y"/>
    <x v="18"/>
    <n v="19"/>
    <n v="407"/>
    <n v="407"/>
    <n v="0"/>
    <n v="10"/>
    <n v="5"/>
    <s v="PASSED"/>
  </r>
  <r>
    <s v="EMPLOYEE"/>
    <x v="0"/>
    <x v="0"/>
    <x v="5"/>
    <s v="Y"/>
    <x v="18"/>
    <n v="19"/>
    <n v="459"/>
    <n v="459"/>
    <n v="0"/>
    <n v="10"/>
    <n v="5"/>
    <s v="PASSED"/>
  </r>
  <r>
    <s v="EMPLOYEE"/>
    <x v="0"/>
    <x v="0"/>
    <x v="6"/>
    <s v="Y"/>
    <x v="18"/>
    <n v="19"/>
    <n v="499"/>
    <n v="482"/>
    <n v="3.5269709543568464"/>
    <n v="10"/>
    <n v="5"/>
    <s v="TRIVIAL"/>
  </r>
  <r>
    <s v="EMPLOYEE"/>
    <x v="0"/>
    <x v="0"/>
    <x v="7"/>
    <s v="Y"/>
    <x v="18"/>
    <n v="19"/>
    <n v="396"/>
    <n v="396"/>
    <n v="0"/>
    <n v="10"/>
    <n v="5"/>
    <s v="PASSED"/>
  </r>
  <r>
    <s v="EMPLOYEE"/>
    <x v="0"/>
    <x v="0"/>
    <x v="8"/>
    <s v="Y"/>
    <x v="18"/>
    <n v="19"/>
    <n v="433"/>
    <n v="428"/>
    <n v="1.1682242990654206"/>
    <n v="10"/>
    <n v="5"/>
    <s v="TRIVIAL"/>
  </r>
  <r>
    <s v="EMPLOYEE"/>
    <x v="0"/>
    <x v="0"/>
    <x v="9"/>
    <s v="Y"/>
    <x v="18"/>
    <n v="19"/>
    <n v="530"/>
    <n v="505"/>
    <n v="4.9504950495049505"/>
    <n v="10"/>
    <n v="5"/>
    <s v="TRIVIAL"/>
  </r>
  <r>
    <s v="EMPLOYEE"/>
    <x v="0"/>
    <x v="0"/>
    <x v="10"/>
    <s v="Y"/>
    <x v="18"/>
    <n v="19"/>
    <n v="535"/>
    <n v="519"/>
    <n v="3.0828516377649327"/>
    <n v="10"/>
    <n v="5"/>
    <s v="TRIVIAL"/>
  </r>
  <r>
    <s v="EMPLOYEE"/>
    <x v="0"/>
    <x v="0"/>
    <x v="11"/>
    <s v="Y"/>
    <x v="18"/>
    <n v="19"/>
    <n v="520"/>
    <n v="477"/>
    <n v="9.0146750524109009"/>
    <n v="10"/>
    <n v="5"/>
    <s v="CAUTIONARY"/>
  </r>
  <r>
    <s v="EMPLOYEE"/>
    <x v="0"/>
    <x v="0"/>
    <x v="12"/>
    <s v="N"/>
    <x v="18"/>
    <n v="19"/>
    <n v="370"/>
    <n v="69"/>
    <n v="436.231884057971"/>
    <n v="10"/>
    <n v="5"/>
    <s v="CRITICAL"/>
  </r>
  <r>
    <s v="EMPLOYEE"/>
    <x v="0"/>
    <x v="0"/>
    <x v="13"/>
    <s v="N"/>
    <x v="18"/>
    <n v="19"/>
    <n v="129"/>
    <n v="0"/>
    <n v="100"/>
    <n v="10"/>
    <n v="5"/>
    <s v="CRITICAL"/>
  </r>
  <r>
    <s v="EMPLOYEE"/>
    <x v="0"/>
    <x v="0"/>
    <x v="0"/>
    <s v="Y"/>
    <x v="19"/>
    <n v="20"/>
    <n v="8186"/>
    <n v="8186"/>
    <n v="0"/>
    <n v="10"/>
    <n v="5"/>
    <s v="PASSED"/>
  </r>
  <r>
    <s v="EMPLOYEE"/>
    <x v="0"/>
    <x v="0"/>
    <x v="1"/>
    <s v="Y"/>
    <x v="19"/>
    <n v="20"/>
    <n v="6919"/>
    <n v="6916"/>
    <n v="4.3377674956622328E-2"/>
    <n v="10"/>
    <n v="5"/>
    <s v="TRIVIAL"/>
  </r>
  <r>
    <s v="EMPLOYEE"/>
    <x v="0"/>
    <x v="0"/>
    <x v="2"/>
    <s v="Y"/>
    <x v="19"/>
    <n v="20"/>
    <n v="8342"/>
    <n v="8339"/>
    <n v="3.5975536635088137E-2"/>
    <n v="10"/>
    <n v="5"/>
    <s v="TRIVIAL"/>
  </r>
  <r>
    <s v="EMPLOYEE"/>
    <x v="0"/>
    <x v="0"/>
    <x v="3"/>
    <s v="Y"/>
    <x v="19"/>
    <n v="20"/>
    <n v="7478"/>
    <n v="7456"/>
    <n v="0.29506437768240346"/>
    <n v="10"/>
    <n v="5"/>
    <s v="TRIVIAL"/>
  </r>
  <r>
    <s v="EMPLOYEE"/>
    <x v="0"/>
    <x v="0"/>
    <x v="4"/>
    <s v="Y"/>
    <x v="19"/>
    <n v="20"/>
    <n v="8382"/>
    <n v="8363"/>
    <n v="0.22719119933038381"/>
    <n v="10"/>
    <n v="5"/>
    <s v="TRIVIAL"/>
  </r>
  <r>
    <s v="EMPLOYEE"/>
    <x v="0"/>
    <x v="0"/>
    <x v="5"/>
    <s v="Y"/>
    <x v="19"/>
    <n v="20"/>
    <n v="7723"/>
    <n v="7670"/>
    <n v="0.69100391134289441"/>
    <n v="10"/>
    <n v="5"/>
    <s v="TRIVIAL"/>
  </r>
  <r>
    <s v="EMPLOYEE"/>
    <x v="0"/>
    <x v="0"/>
    <x v="6"/>
    <s v="Y"/>
    <x v="19"/>
    <n v="20"/>
    <n v="8353"/>
    <n v="8318"/>
    <n v="0.42077422457321467"/>
    <n v="10"/>
    <n v="5"/>
    <s v="TRIVIAL"/>
  </r>
  <r>
    <s v="EMPLOYEE"/>
    <x v="0"/>
    <x v="0"/>
    <x v="7"/>
    <s v="Y"/>
    <x v="19"/>
    <n v="20"/>
    <n v="8519"/>
    <n v="8490"/>
    <n v="0.34157832744405187"/>
    <n v="10"/>
    <n v="5"/>
    <s v="TRIVIAL"/>
  </r>
  <r>
    <s v="EMPLOYEE"/>
    <x v="0"/>
    <x v="0"/>
    <x v="8"/>
    <s v="Y"/>
    <x v="19"/>
    <n v="20"/>
    <n v="8545"/>
    <n v="8473"/>
    <n v="0.84975805499822965"/>
    <n v="10"/>
    <n v="5"/>
    <s v="TRIVIAL"/>
  </r>
  <r>
    <s v="EMPLOYEE"/>
    <x v="0"/>
    <x v="0"/>
    <x v="9"/>
    <s v="Y"/>
    <x v="19"/>
    <n v="20"/>
    <n v="7297"/>
    <n v="7231"/>
    <n v="0.91273682754805696"/>
    <n v="10"/>
    <n v="5"/>
    <s v="TRIVIAL"/>
  </r>
  <r>
    <s v="EMPLOYEE"/>
    <x v="0"/>
    <x v="0"/>
    <x v="10"/>
    <s v="Y"/>
    <x v="19"/>
    <n v="20"/>
    <n v="7228"/>
    <n v="7059"/>
    <n v="2.3941068139963169"/>
    <n v="10"/>
    <n v="5"/>
    <s v="TRIVIAL"/>
  </r>
  <r>
    <s v="EMPLOYEE"/>
    <x v="0"/>
    <x v="0"/>
    <x v="11"/>
    <s v="Y"/>
    <x v="19"/>
    <n v="20"/>
    <n v="9283"/>
    <n v="8762"/>
    <n v="5.9461310203149962"/>
    <n v="10"/>
    <n v="5"/>
    <s v="CAUTIONARY"/>
  </r>
  <r>
    <s v="EMPLOYEE"/>
    <x v="0"/>
    <x v="0"/>
    <x v="12"/>
    <s v="N"/>
    <x v="19"/>
    <n v="20"/>
    <n v="7529"/>
    <n v="2290"/>
    <n v="228.77729257641923"/>
    <n v="10"/>
    <n v="5"/>
    <s v="CRITICAL"/>
  </r>
  <r>
    <s v="EMPLOYEE"/>
    <x v="0"/>
    <x v="0"/>
    <x v="13"/>
    <s v="N"/>
    <x v="19"/>
    <n v="20"/>
    <n v="3789"/>
    <n v="0"/>
    <n v="100"/>
    <n v="10"/>
    <n v="5"/>
    <s v="CRITICAL"/>
  </r>
  <r>
    <s v="EMPLOYEE"/>
    <x v="0"/>
    <x v="0"/>
    <x v="0"/>
    <s v="Y"/>
    <x v="20"/>
    <n v="21"/>
    <n v="9625"/>
    <n v="9568"/>
    <n v="0.59573578595317733"/>
    <n v="10"/>
    <n v="5"/>
    <s v="TRIVIAL"/>
  </r>
  <r>
    <s v="EMPLOYEE"/>
    <x v="0"/>
    <x v="0"/>
    <x v="1"/>
    <s v="Y"/>
    <x v="20"/>
    <n v="21"/>
    <n v="8944"/>
    <n v="8904"/>
    <n v="0.44923629829290207"/>
    <n v="10"/>
    <n v="5"/>
    <s v="TRIVIAL"/>
  </r>
  <r>
    <s v="EMPLOYEE"/>
    <x v="0"/>
    <x v="0"/>
    <x v="2"/>
    <s v="Y"/>
    <x v="20"/>
    <n v="21"/>
    <n v="9995"/>
    <n v="9942"/>
    <n v="0.53309193321263326"/>
    <n v="10"/>
    <n v="5"/>
    <s v="TRIVIAL"/>
  </r>
  <r>
    <s v="EMPLOYEE"/>
    <x v="0"/>
    <x v="0"/>
    <x v="3"/>
    <s v="Y"/>
    <x v="20"/>
    <n v="21"/>
    <n v="8600"/>
    <n v="8531"/>
    <n v="0.80881491032704267"/>
    <n v="10"/>
    <n v="5"/>
    <s v="TRIVIAL"/>
  </r>
  <r>
    <s v="EMPLOYEE"/>
    <x v="0"/>
    <x v="0"/>
    <x v="4"/>
    <s v="Y"/>
    <x v="20"/>
    <n v="21"/>
    <n v="10477"/>
    <n v="10389"/>
    <n v="0.8470497641736453"/>
    <n v="10"/>
    <n v="5"/>
    <s v="TRIVIAL"/>
  </r>
  <r>
    <s v="EMPLOYEE"/>
    <x v="0"/>
    <x v="0"/>
    <x v="5"/>
    <s v="Y"/>
    <x v="20"/>
    <n v="21"/>
    <n v="10150"/>
    <n v="10058"/>
    <n v="0.91469477033207391"/>
    <n v="10"/>
    <n v="5"/>
    <s v="TRIVIAL"/>
  </r>
  <r>
    <s v="EMPLOYEE"/>
    <x v="0"/>
    <x v="0"/>
    <x v="6"/>
    <s v="Y"/>
    <x v="20"/>
    <n v="21"/>
    <n v="11079"/>
    <n v="10995"/>
    <n v="0.76398362892223737"/>
    <n v="10"/>
    <n v="5"/>
    <s v="TRIVIAL"/>
  </r>
  <r>
    <s v="EMPLOYEE"/>
    <x v="0"/>
    <x v="0"/>
    <x v="7"/>
    <s v="Y"/>
    <x v="20"/>
    <n v="21"/>
    <n v="11632"/>
    <n v="11525"/>
    <n v="0.92841648590021686"/>
    <n v="10"/>
    <n v="5"/>
    <s v="TRIVIAL"/>
  </r>
  <r>
    <s v="EMPLOYEE"/>
    <x v="0"/>
    <x v="0"/>
    <x v="8"/>
    <s v="Y"/>
    <x v="20"/>
    <n v="21"/>
    <n v="11163"/>
    <n v="11035"/>
    <n v="1.1599456275487088"/>
    <n v="10"/>
    <n v="5"/>
    <s v="TRIVIAL"/>
  </r>
  <r>
    <s v="EMPLOYEE"/>
    <x v="0"/>
    <x v="0"/>
    <x v="9"/>
    <s v="Y"/>
    <x v="20"/>
    <n v="21"/>
    <n v="10439"/>
    <n v="10233"/>
    <n v="2.0130948890843348"/>
    <n v="10"/>
    <n v="5"/>
    <s v="TRIVIAL"/>
  </r>
  <r>
    <s v="EMPLOYEE"/>
    <x v="0"/>
    <x v="0"/>
    <x v="10"/>
    <s v="Y"/>
    <x v="20"/>
    <n v="21"/>
    <n v="9537"/>
    <n v="9289"/>
    <n v="2.6698245236301004"/>
    <n v="10"/>
    <n v="5"/>
    <s v="TRIVIAL"/>
  </r>
  <r>
    <s v="EMPLOYEE"/>
    <x v="0"/>
    <x v="0"/>
    <x v="11"/>
    <s v="Y"/>
    <x v="20"/>
    <n v="21"/>
    <n v="10684"/>
    <n v="9766"/>
    <n v="9.3999590415728029"/>
    <n v="10"/>
    <n v="5"/>
    <s v="CAUTIONARY"/>
  </r>
  <r>
    <s v="EMPLOYEE"/>
    <x v="0"/>
    <x v="0"/>
    <x v="12"/>
    <s v="N"/>
    <x v="20"/>
    <n v="21"/>
    <n v="9305"/>
    <n v="3323"/>
    <n v="180.0180559735179"/>
    <n v="10"/>
    <n v="5"/>
    <s v="CRITICAL"/>
  </r>
  <r>
    <s v="EMPLOYEE"/>
    <x v="0"/>
    <x v="0"/>
    <x v="13"/>
    <s v="N"/>
    <x v="20"/>
    <n v="21"/>
    <n v="5027"/>
    <n v="0"/>
    <n v="100"/>
    <n v="10"/>
    <n v="5"/>
    <s v="CRITICAL"/>
  </r>
  <r>
    <s v="EMPLOYEE"/>
    <x v="0"/>
    <x v="0"/>
    <x v="0"/>
    <s v="Y"/>
    <x v="21"/>
    <n v="22"/>
    <n v="696"/>
    <n v="734"/>
    <n v="5.1771117166212539"/>
    <n v="10"/>
    <n v="5"/>
    <s v="CAUTIONARY"/>
  </r>
  <r>
    <s v="EMPLOYEE"/>
    <x v="0"/>
    <x v="0"/>
    <x v="1"/>
    <s v="Y"/>
    <x v="21"/>
    <n v="22"/>
    <n v="673"/>
    <n v="706"/>
    <n v="4.6742209631728047"/>
    <n v="10"/>
    <n v="5"/>
    <s v="TRIVIAL"/>
  </r>
  <r>
    <s v="EMPLOYEE"/>
    <x v="0"/>
    <x v="0"/>
    <x v="2"/>
    <s v="Y"/>
    <x v="21"/>
    <n v="22"/>
    <n v="721"/>
    <n v="753"/>
    <n v="4.2496679946879148"/>
    <n v="10"/>
    <n v="5"/>
    <s v="TRIVIAL"/>
  </r>
  <r>
    <s v="EMPLOYEE"/>
    <x v="0"/>
    <x v="0"/>
    <x v="3"/>
    <s v="Y"/>
    <x v="21"/>
    <n v="22"/>
    <n v="676"/>
    <n v="705"/>
    <n v="4.1134751773049638"/>
    <n v="10"/>
    <n v="5"/>
    <s v="TRIVIAL"/>
  </r>
  <r>
    <s v="EMPLOYEE"/>
    <x v="0"/>
    <x v="0"/>
    <x v="4"/>
    <s v="Y"/>
    <x v="21"/>
    <n v="22"/>
    <n v="777"/>
    <n v="815"/>
    <n v="4.6625766871165641"/>
    <n v="10"/>
    <n v="5"/>
    <s v="TRIVIAL"/>
  </r>
  <r>
    <s v="EMPLOYEE"/>
    <x v="0"/>
    <x v="0"/>
    <x v="5"/>
    <s v="Y"/>
    <x v="21"/>
    <n v="22"/>
    <n v="792"/>
    <n v="820"/>
    <n v="3.4146341463414638"/>
    <n v="10"/>
    <n v="5"/>
    <s v="TRIVIAL"/>
  </r>
  <r>
    <s v="EMPLOYEE"/>
    <x v="0"/>
    <x v="0"/>
    <x v="6"/>
    <s v="Y"/>
    <x v="21"/>
    <n v="22"/>
    <n v="868"/>
    <n v="885"/>
    <n v="1.9209039548022599"/>
    <n v="10"/>
    <n v="5"/>
    <s v="TRIVIAL"/>
  </r>
  <r>
    <s v="EMPLOYEE"/>
    <x v="0"/>
    <x v="0"/>
    <x v="7"/>
    <s v="Y"/>
    <x v="21"/>
    <n v="22"/>
    <n v="848"/>
    <n v="876"/>
    <n v="3.1963470319634704"/>
    <n v="10"/>
    <n v="5"/>
    <s v="TRIVIAL"/>
  </r>
  <r>
    <s v="EMPLOYEE"/>
    <x v="0"/>
    <x v="0"/>
    <x v="8"/>
    <s v="Y"/>
    <x v="21"/>
    <n v="22"/>
    <n v="764"/>
    <n v="789"/>
    <n v="3.1685678073510775"/>
    <n v="10"/>
    <n v="5"/>
    <s v="TRIVIAL"/>
  </r>
  <r>
    <s v="EMPLOYEE"/>
    <x v="0"/>
    <x v="0"/>
    <x v="9"/>
    <s v="Y"/>
    <x v="21"/>
    <n v="22"/>
    <n v="812"/>
    <n v="805"/>
    <n v="0.86956521739130432"/>
    <n v="10"/>
    <n v="5"/>
    <s v="TRIVIAL"/>
  </r>
  <r>
    <s v="EMPLOYEE"/>
    <x v="0"/>
    <x v="0"/>
    <x v="10"/>
    <s v="Y"/>
    <x v="21"/>
    <n v="22"/>
    <n v="864"/>
    <n v="874"/>
    <n v="1.1441647597254003"/>
    <n v="10"/>
    <n v="5"/>
    <s v="TRIVIAL"/>
  </r>
  <r>
    <s v="EMPLOYEE"/>
    <x v="0"/>
    <x v="0"/>
    <x v="11"/>
    <s v="Y"/>
    <x v="21"/>
    <n v="22"/>
    <n v="905"/>
    <n v="837"/>
    <n v="8.1242532855436078"/>
    <n v="10"/>
    <n v="5"/>
    <s v="CAUTIONARY"/>
  </r>
  <r>
    <s v="EMPLOYEE"/>
    <x v="0"/>
    <x v="0"/>
    <x v="12"/>
    <s v="N"/>
    <x v="21"/>
    <n v="22"/>
    <n v="877"/>
    <n v="273"/>
    <n v="221.24542124542126"/>
    <n v="10"/>
    <n v="5"/>
    <s v="CRITICAL"/>
  </r>
  <r>
    <s v="EMPLOYEE"/>
    <x v="0"/>
    <x v="0"/>
    <x v="13"/>
    <s v="N"/>
    <x v="21"/>
    <n v="22"/>
    <n v="385"/>
    <n v="0"/>
    <n v="100"/>
    <n v="10"/>
    <n v="5"/>
    <s v="CRITICAL"/>
  </r>
  <r>
    <s v="EMPLOYEE"/>
    <x v="0"/>
    <x v="0"/>
    <x v="0"/>
    <s v="Y"/>
    <x v="22"/>
    <n v="23"/>
    <n v="9166"/>
    <n v="9166"/>
    <n v="0"/>
    <n v="10"/>
    <n v="5"/>
    <s v="PASSED"/>
  </r>
  <r>
    <s v="EMPLOYEE"/>
    <x v="0"/>
    <x v="0"/>
    <x v="1"/>
    <s v="Y"/>
    <x v="22"/>
    <n v="23"/>
    <n v="8615"/>
    <n v="8615"/>
    <n v="0"/>
    <n v="10"/>
    <n v="5"/>
    <s v="PASSED"/>
  </r>
  <r>
    <s v="EMPLOYEE"/>
    <x v="0"/>
    <x v="0"/>
    <x v="2"/>
    <s v="Y"/>
    <x v="22"/>
    <n v="23"/>
    <n v="9044"/>
    <n v="9044"/>
    <n v="0"/>
    <n v="10"/>
    <n v="5"/>
    <s v="PASSED"/>
  </r>
  <r>
    <s v="EMPLOYEE"/>
    <x v="0"/>
    <x v="0"/>
    <x v="3"/>
    <s v="Y"/>
    <x v="22"/>
    <n v="23"/>
    <n v="8445"/>
    <n v="8445"/>
    <n v="0"/>
    <n v="10"/>
    <n v="5"/>
    <s v="PASSED"/>
  </r>
  <r>
    <s v="EMPLOYEE"/>
    <x v="0"/>
    <x v="0"/>
    <x v="4"/>
    <s v="Y"/>
    <x v="22"/>
    <n v="23"/>
    <n v="8991"/>
    <n v="8991"/>
    <n v="0"/>
    <n v="10"/>
    <n v="5"/>
    <s v="PASSED"/>
  </r>
  <r>
    <s v="EMPLOYEE"/>
    <x v="0"/>
    <x v="0"/>
    <x v="5"/>
    <s v="Y"/>
    <x v="22"/>
    <n v="23"/>
    <n v="8878"/>
    <n v="8878"/>
    <n v="0"/>
    <n v="10"/>
    <n v="5"/>
    <s v="PASSED"/>
  </r>
  <r>
    <s v="EMPLOYEE"/>
    <x v="0"/>
    <x v="0"/>
    <x v="6"/>
    <s v="Y"/>
    <x v="22"/>
    <n v="23"/>
    <n v="9022"/>
    <n v="9022"/>
    <n v="0"/>
    <n v="10"/>
    <n v="5"/>
    <s v="PASSED"/>
  </r>
  <r>
    <s v="EMPLOYEE"/>
    <x v="0"/>
    <x v="0"/>
    <x v="7"/>
    <s v="Y"/>
    <x v="22"/>
    <n v="23"/>
    <n v="9397"/>
    <n v="9397"/>
    <n v="0"/>
    <n v="10"/>
    <n v="5"/>
    <s v="PASSED"/>
  </r>
  <r>
    <s v="EMPLOYEE"/>
    <x v="0"/>
    <x v="0"/>
    <x v="8"/>
    <s v="Y"/>
    <x v="22"/>
    <n v="23"/>
    <n v="10331"/>
    <n v="10331"/>
    <n v="0"/>
    <n v="10"/>
    <n v="5"/>
    <s v="PASSED"/>
  </r>
  <r>
    <s v="EMPLOYEE"/>
    <x v="0"/>
    <x v="0"/>
    <x v="9"/>
    <s v="Y"/>
    <x v="22"/>
    <n v="23"/>
    <n v="9966"/>
    <n v="9964"/>
    <n v="2.0072260136491368E-2"/>
    <n v="10"/>
    <n v="5"/>
    <s v="TRIVIAL"/>
  </r>
  <r>
    <s v="EMPLOYEE"/>
    <x v="0"/>
    <x v="0"/>
    <x v="10"/>
    <s v="Y"/>
    <x v="22"/>
    <n v="23"/>
    <n v="9036"/>
    <n v="9034"/>
    <n v="2.2138587558113793E-2"/>
    <n v="10"/>
    <n v="5"/>
    <s v="TRIVIAL"/>
  </r>
  <r>
    <s v="EMPLOYEE"/>
    <x v="0"/>
    <x v="0"/>
    <x v="11"/>
    <s v="Y"/>
    <x v="22"/>
    <n v="23"/>
    <n v="10396"/>
    <n v="10394"/>
    <n v="1.9241870309794112E-2"/>
    <n v="10"/>
    <n v="5"/>
    <s v="TRIVIAL"/>
  </r>
  <r>
    <s v="EMPLOYEE"/>
    <x v="0"/>
    <x v="0"/>
    <x v="12"/>
    <s v="N"/>
    <x v="22"/>
    <n v="23"/>
    <n v="9358"/>
    <n v="9252"/>
    <n v="1.1456982274102896"/>
    <n v="10"/>
    <n v="5"/>
    <s v="TRIVIAL"/>
  </r>
  <r>
    <s v="EMPLOYEE"/>
    <x v="0"/>
    <x v="0"/>
    <x v="13"/>
    <s v="N"/>
    <x v="22"/>
    <n v="23"/>
    <n v="9440"/>
    <n v="0"/>
    <n v="100"/>
    <n v="10"/>
    <n v="5"/>
    <s v="CRITICAL"/>
  </r>
  <r>
    <s v="EMPLOYEE"/>
    <x v="0"/>
    <x v="1"/>
    <x v="0"/>
    <s v="Y"/>
    <x v="0"/>
    <n v="1"/>
    <n v="274.29000000000002"/>
    <n v="274.25"/>
    <n v="1.4585232452149667E-2"/>
    <n v="10"/>
    <n v="5"/>
    <s v="TRIVIAL"/>
  </r>
  <r>
    <s v="EMPLOYEE"/>
    <x v="0"/>
    <x v="1"/>
    <x v="1"/>
    <s v="Y"/>
    <x v="0"/>
    <n v="1"/>
    <n v="266.61"/>
    <n v="266.48"/>
    <n v="4.8784148904231252E-2"/>
    <n v="10"/>
    <n v="5"/>
    <s v="TRIVIAL"/>
  </r>
  <r>
    <s v="EMPLOYEE"/>
    <x v="0"/>
    <x v="1"/>
    <x v="2"/>
    <s v="Y"/>
    <x v="0"/>
    <n v="1"/>
    <n v="327.92"/>
    <n v="327.72"/>
    <n v="6.10277065787833E-2"/>
    <n v="10"/>
    <n v="5"/>
    <s v="TRIVIAL"/>
  </r>
  <r>
    <s v="EMPLOYEE"/>
    <x v="0"/>
    <x v="1"/>
    <x v="3"/>
    <s v="Y"/>
    <x v="0"/>
    <n v="1"/>
    <n v="283.08"/>
    <n v="279.62"/>
    <n v="1.2373936056076029"/>
    <n v="10"/>
    <n v="5"/>
    <s v="TRIVIAL"/>
  </r>
  <r>
    <s v="EMPLOYEE"/>
    <x v="0"/>
    <x v="1"/>
    <x v="4"/>
    <s v="Y"/>
    <x v="0"/>
    <n v="1"/>
    <n v="262.64"/>
    <n v="263.08999999999997"/>
    <n v="0.17104412938537711"/>
    <n v="10"/>
    <n v="5"/>
    <s v="TRIVIAL"/>
  </r>
  <r>
    <s v="EMPLOYEE"/>
    <x v="0"/>
    <x v="1"/>
    <x v="5"/>
    <s v="Y"/>
    <x v="0"/>
    <n v="1"/>
    <n v="316.64"/>
    <n v="316.47000000000003"/>
    <n v="5.3717571965734214E-2"/>
    <n v="10"/>
    <n v="5"/>
    <s v="TRIVIAL"/>
  </r>
  <r>
    <s v="EMPLOYEE"/>
    <x v="0"/>
    <x v="1"/>
    <x v="6"/>
    <s v="Y"/>
    <x v="0"/>
    <n v="1"/>
    <n v="301.56"/>
    <n v="298.24"/>
    <n v="1.1131974248927015"/>
    <n v="10"/>
    <n v="5"/>
    <s v="TRIVIAL"/>
  </r>
  <r>
    <s v="EMPLOYEE"/>
    <x v="0"/>
    <x v="1"/>
    <x v="7"/>
    <s v="Y"/>
    <x v="0"/>
    <n v="1"/>
    <n v="322.86"/>
    <n v="322.48"/>
    <n v="0.11783676507070064"/>
    <n v="10"/>
    <n v="5"/>
    <s v="TRIVIAL"/>
  </r>
  <r>
    <s v="EMPLOYEE"/>
    <x v="0"/>
    <x v="1"/>
    <x v="8"/>
    <s v="Y"/>
    <x v="0"/>
    <n v="1"/>
    <n v="334.08"/>
    <n v="334.54"/>
    <n v="0.13750224188438942"/>
    <n v="10"/>
    <n v="5"/>
    <s v="TRIVIAL"/>
  </r>
  <r>
    <s v="EMPLOYEE"/>
    <x v="0"/>
    <x v="1"/>
    <x v="9"/>
    <s v="Y"/>
    <x v="0"/>
    <n v="1"/>
    <n v="245.52"/>
    <n v="236.04"/>
    <n v="4.0162684290798252"/>
    <n v="10"/>
    <n v="5"/>
    <s v="TRIVIAL"/>
  </r>
  <r>
    <s v="EMPLOYEE"/>
    <x v="0"/>
    <x v="1"/>
    <x v="10"/>
    <s v="Y"/>
    <x v="0"/>
    <n v="1"/>
    <n v="266.26"/>
    <n v="260.02999999999997"/>
    <n v="2.3958773987616886"/>
    <n v="10"/>
    <n v="5"/>
    <s v="TRIVIAL"/>
  </r>
  <r>
    <s v="EMPLOYEE"/>
    <x v="0"/>
    <x v="1"/>
    <x v="11"/>
    <s v="Y"/>
    <x v="0"/>
    <n v="1"/>
    <n v="314.10000000000002"/>
    <n v="292.33999999999997"/>
    <n v="7.4433878360812917"/>
    <n v="10"/>
    <n v="5"/>
    <s v="CAUTIONARY"/>
  </r>
  <r>
    <s v="EMPLOYEE"/>
    <x v="0"/>
    <x v="1"/>
    <x v="12"/>
    <s v="N"/>
    <x v="0"/>
    <n v="1"/>
    <n v="246.49"/>
    <n v="63.97"/>
    <n v="285.32124433328124"/>
    <n v="10"/>
    <n v="5"/>
    <s v="CRITICAL"/>
  </r>
  <r>
    <s v="EMPLOYEE"/>
    <x v="0"/>
    <x v="1"/>
    <x v="13"/>
    <s v="N"/>
    <x v="0"/>
    <n v="1"/>
    <n v="117.3"/>
    <n v="0"/>
    <n v="100"/>
    <n v="10"/>
    <n v="5"/>
    <s v="CRITICAL"/>
  </r>
  <r>
    <s v="EMPLOYEE"/>
    <x v="0"/>
    <x v="1"/>
    <x v="0"/>
    <s v="Y"/>
    <x v="1"/>
    <n v="2"/>
    <n v="61.99"/>
    <n v="61.99"/>
    <n v="0"/>
    <n v="10"/>
    <n v="5"/>
    <s v="PASSED"/>
  </r>
  <r>
    <s v="EMPLOYEE"/>
    <x v="0"/>
    <x v="1"/>
    <x v="1"/>
    <s v="Y"/>
    <x v="1"/>
    <n v="2"/>
    <n v="68.790000000000006"/>
    <n v="68.790000000000006"/>
    <n v="0"/>
    <n v="10"/>
    <n v="5"/>
    <s v="PASSED"/>
  </r>
  <r>
    <s v="EMPLOYEE"/>
    <x v="0"/>
    <x v="1"/>
    <x v="2"/>
    <s v="Y"/>
    <x v="1"/>
    <n v="2"/>
    <n v="69.8"/>
    <n v="69.8"/>
    <n v="0"/>
    <n v="10"/>
    <n v="5"/>
    <s v="PASSED"/>
  </r>
  <r>
    <s v="EMPLOYEE"/>
    <x v="0"/>
    <x v="1"/>
    <x v="3"/>
    <s v="Y"/>
    <x v="1"/>
    <n v="2"/>
    <n v="70.28"/>
    <n v="70.28"/>
    <n v="0"/>
    <n v="10"/>
    <n v="5"/>
    <s v="PASSED"/>
  </r>
  <r>
    <s v="EMPLOYEE"/>
    <x v="0"/>
    <x v="1"/>
    <x v="4"/>
    <s v="Y"/>
    <x v="1"/>
    <n v="2"/>
    <n v="86.79"/>
    <n v="86.79"/>
    <n v="0"/>
    <n v="10"/>
    <n v="5"/>
    <s v="PASSED"/>
  </r>
  <r>
    <s v="EMPLOYEE"/>
    <x v="0"/>
    <x v="1"/>
    <x v="5"/>
    <s v="Y"/>
    <x v="1"/>
    <n v="2"/>
    <n v="74.39"/>
    <n v="74.39"/>
    <n v="0"/>
    <n v="10"/>
    <n v="5"/>
    <s v="PASSED"/>
  </r>
  <r>
    <s v="EMPLOYEE"/>
    <x v="0"/>
    <x v="1"/>
    <x v="6"/>
    <s v="Y"/>
    <x v="1"/>
    <n v="2"/>
    <n v="71.27"/>
    <n v="71.27"/>
    <n v="0"/>
    <n v="10"/>
    <n v="5"/>
    <s v="PASSED"/>
  </r>
  <r>
    <s v="EMPLOYEE"/>
    <x v="0"/>
    <x v="1"/>
    <x v="7"/>
    <s v="Y"/>
    <x v="1"/>
    <n v="2"/>
    <n v="69.41"/>
    <n v="69.41"/>
    <n v="0"/>
    <n v="10"/>
    <n v="5"/>
    <s v="PASSED"/>
  </r>
  <r>
    <s v="EMPLOYEE"/>
    <x v="0"/>
    <x v="1"/>
    <x v="8"/>
    <s v="Y"/>
    <x v="1"/>
    <n v="2"/>
    <n v="81.3"/>
    <n v="81.3"/>
    <n v="0"/>
    <n v="10"/>
    <n v="5"/>
    <s v="PASSED"/>
  </r>
  <r>
    <s v="EMPLOYEE"/>
    <x v="0"/>
    <x v="1"/>
    <x v="9"/>
    <s v="Y"/>
    <x v="1"/>
    <n v="2"/>
    <n v="68.11"/>
    <n v="68.05"/>
    <n v="8.8170462894933535E-2"/>
    <n v="10"/>
    <n v="5"/>
    <s v="TRIVIAL"/>
  </r>
  <r>
    <s v="EMPLOYEE"/>
    <x v="0"/>
    <x v="1"/>
    <x v="10"/>
    <s v="Y"/>
    <x v="1"/>
    <n v="2"/>
    <n v="62.78"/>
    <n v="62.72"/>
    <n v="9.566326530612608E-2"/>
    <n v="10"/>
    <n v="5"/>
    <s v="TRIVIAL"/>
  </r>
  <r>
    <s v="EMPLOYEE"/>
    <x v="0"/>
    <x v="1"/>
    <x v="11"/>
    <s v="Y"/>
    <x v="1"/>
    <n v="2"/>
    <n v="67.17"/>
    <n v="67.239999999999995"/>
    <n v="0.10410469958357106"/>
    <n v="10"/>
    <n v="5"/>
    <s v="TRIVIAL"/>
  </r>
  <r>
    <s v="EMPLOYEE"/>
    <x v="0"/>
    <x v="1"/>
    <x v="12"/>
    <s v="N"/>
    <x v="1"/>
    <n v="2"/>
    <n v="60.12"/>
    <n v="60.06"/>
    <n v="9.9900099900091854E-2"/>
    <n v="10"/>
    <n v="5"/>
    <s v="TRIVIAL"/>
  </r>
  <r>
    <s v="EMPLOYEE"/>
    <x v="0"/>
    <x v="1"/>
    <x v="13"/>
    <s v="N"/>
    <x v="1"/>
    <n v="2"/>
    <n v="73.98"/>
    <n v="0"/>
    <n v="100"/>
    <n v="10"/>
    <n v="5"/>
    <s v="CRITICAL"/>
  </r>
  <r>
    <s v="EMPLOYEE"/>
    <x v="0"/>
    <x v="1"/>
    <x v="0"/>
    <s v="Y"/>
    <x v="2"/>
    <n v="3"/>
    <n v="336.28"/>
    <n v="336.24"/>
    <n v="1.1896264572913281E-2"/>
    <n v="10"/>
    <n v="5"/>
    <s v="TRIVIAL"/>
  </r>
  <r>
    <s v="EMPLOYEE"/>
    <x v="0"/>
    <x v="1"/>
    <x v="1"/>
    <s v="Y"/>
    <x v="2"/>
    <n v="3"/>
    <n v="335.4"/>
    <n v="335.27"/>
    <n v="3.8774718883286742E-2"/>
    <n v="10"/>
    <n v="5"/>
    <s v="TRIVIAL"/>
  </r>
  <r>
    <s v="EMPLOYEE"/>
    <x v="0"/>
    <x v="1"/>
    <x v="2"/>
    <s v="Y"/>
    <x v="2"/>
    <n v="3"/>
    <n v="397.72"/>
    <n v="397.52"/>
    <n v="5.0311933990754051E-2"/>
    <n v="10"/>
    <n v="5"/>
    <s v="TRIVIAL"/>
  </r>
  <r>
    <s v="EMPLOYEE"/>
    <x v="0"/>
    <x v="1"/>
    <x v="3"/>
    <s v="Y"/>
    <x v="2"/>
    <n v="3"/>
    <n v="353.36"/>
    <n v="349.9"/>
    <n v="0.98885395827380296"/>
    <n v="10"/>
    <n v="5"/>
    <s v="TRIVIAL"/>
  </r>
  <r>
    <s v="EMPLOYEE"/>
    <x v="0"/>
    <x v="1"/>
    <x v="4"/>
    <s v="Y"/>
    <x v="2"/>
    <n v="3"/>
    <n v="349.43"/>
    <n v="349.88"/>
    <n v="0.12861552532296461"/>
    <n v="10"/>
    <n v="5"/>
    <s v="TRIVIAL"/>
  </r>
  <r>
    <s v="EMPLOYEE"/>
    <x v="0"/>
    <x v="1"/>
    <x v="5"/>
    <s v="Y"/>
    <x v="2"/>
    <n v="3"/>
    <n v="391.03"/>
    <n v="390.86"/>
    <n v="4.3493834109389312E-2"/>
    <n v="10"/>
    <n v="5"/>
    <s v="TRIVIAL"/>
  </r>
  <r>
    <s v="EMPLOYEE"/>
    <x v="0"/>
    <x v="1"/>
    <x v="6"/>
    <s v="Y"/>
    <x v="2"/>
    <n v="3"/>
    <n v="372.83"/>
    <n v="369.51"/>
    <n v="0.89848718573245467"/>
    <n v="10"/>
    <n v="5"/>
    <s v="TRIVIAL"/>
  </r>
  <r>
    <s v="EMPLOYEE"/>
    <x v="0"/>
    <x v="1"/>
    <x v="7"/>
    <s v="Y"/>
    <x v="2"/>
    <n v="3"/>
    <n v="392.27"/>
    <n v="391.89"/>
    <n v="9.6965985353031581E-2"/>
    <n v="10"/>
    <n v="5"/>
    <s v="TRIVIAL"/>
  </r>
  <r>
    <s v="EMPLOYEE"/>
    <x v="0"/>
    <x v="1"/>
    <x v="8"/>
    <s v="Y"/>
    <x v="2"/>
    <n v="3"/>
    <n v="415.38"/>
    <n v="415.84"/>
    <n v="0.11061946902654375"/>
    <n v="10"/>
    <n v="5"/>
    <s v="TRIVIAL"/>
  </r>
  <r>
    <s v="EMPLOYEE"/>
    <x v="0"/>
    <x v="1"/>
    <x v="9"/>
    <s v="Y"/>
    <x v="2"/>
    <n v="3"/>
    <n v="313.63"/>
    <n v="304.08999999999997"/>
    <n v="3.1372291098030263"/>
    <n v="10"/>
    <n v="5"/>
    <s v="TRIVIAL"/>
  </r>
  <r>
    <s v="EMPLOYEE"/>
    <x v="0"/>
    <x v="1"/>
    <x v="10"/>
    <s v="Y"/>
    <x v="2"/>
    <n v="3"/>
    <n v="329.04"/>
    <n v="322.75"/>
    <n v="1.9488768396591853"/>
    <n v="10"/>
    <n v="5"/>
    <s v="TRIVIAL"/>
  </r>
  <r>
    <s v="EMPLOYEE"/>
    <x v="0"/>
    <x v="1"/>
    <x v="11"/>
    <s v="Y"/>
    <x v="2"/>
    <n v="3"/>
    <n v="381.27"/>
    <n v="359.58"/>
    <n v="6.0320373769397628"/>
    <n v="10"/>
    <n v="5"/>
    <s v="CAUTIONARY"/>
  </r>
  <r>
    <s v="EMPLOYEE"/>
    <x v="0"/>
    <x v="1"/>
    <x v="12"/>
    <s v="N"/>
    <x v="2"/>
    <n v="3"/>
    <n v="306.61"/>
    <n v="124.03"/>
    <n v="147.20632105135854"/>
    <n v="10"/>
    <n v="5"/>
    <s v="CRITICAL"/>
  </r>
  <r>
    <s v="EMPLOYEE"/>
    <x v="0"/>
    <x v="1"/>
    <x v="13"/>
    <s v="N"/>
    <x v="2"/>
    <n v="3"/>
    <n v="191.28"/>
    <n v="0"/>
    <n v="100"/>
    <n v="10"/>
    <n v="5"/>
    <s v="CRITICAL"/>
  </r>
  <r>
    <s v="EMPLOYEE"/>
    <x v="0"/>
    <x v="1"/>
    <x v="0"/>
    <s v="Y"/>
    <x v="3"/>
    <n v="4"/>
    <n v="34577.120000000003"/>
    <n v="34577.120000000003"/>
    <n v="0"/>
    <n v="10"/>
    <n v="5"/>
    <s v="PASSED"/>
  </r>
  <r>
    <s v="EMPLOYEE"/>
    <x v="0"/>
    <x v="1"/>
    <x v="1"/>
    <s v="Y"/>
    <x v="3"/>
    <n v="4"/>
    <n v="264404.24"/>
    <n v="264404.24"/>
    <n v="0"/>
    <n v="10"/>
    <n v="5"/>
    <s v="PASSED"/>
  </r>
  <r>
    <s v="EMPLOYEE"/>
    <x v="0"/>
    <x v="1"/>
    <x v="2"/>
    <s v="Y"/>
    <x v="3"/>
    <n v="4"/>
    <n v="22162.14"/>
    <n v="22162.14"/>
    <n v="0"/>
    <n v="10"/>
    <n v="5"/>
    <s v="PASSED"/>
  </r>
  <r>
    <s v="EMPLOYEE"/>
    <x v="0"/>
    <x v="1"/>
    <x v="3"/>
    <s v="Y"/>
    <x v="3"/>
    <n v="4"/>
    <n v="1211.49"/>
    <n v="1211.49"/>
    <n v="0"/>
    <n v="10"/>
    <n v="5"/>
    <s v="PASSED"/>
  </r>
  <r>
    <s v="EMPLOYEE"/>
    <x v="0"/>
    <x v="1"/>
    <x v="4"/>
    <s v="Y"/>
    <x v="3"/>
    <n v="4"/>
    <n v="0"/>
    <n v="0"/>
    <n v="0"/>
    <n v="10"/>
    <n v="5"/>
    <s v="PASSED"/>
  </r>
  <r>
    <s v="EMPLOYEE"/>
    <x v="0"/>
    <x v="1"/>
    <x v="5"/>
    <s v="Y"/>
    <x v="3"/>
    <n v="4"/>
    <n v="138116.6"/>
    <n v="115650.42"/>
    <n v="19.425938963299924"/>
    <n v="10"/>
    <n v="5"/>
    <s v="CRITICAL"/>
  </r>
  <r>
    <s v="EMPLOYEE"/>
    <x v="0"/>
    <x v="1"/>
    <x v="6"/>
    <s v="Y"/>
    <x v="3"/>
    <n v="4"/>
    <n v="46312.09"/>
    <n v="46312.09"/>
    <n v="0"/>
    <n v="10"/>
    <n v="5"/>
    <s v="PASSED"/>
  </r>
  <r>
    <s v="EMPLOYEE"/>
    <x v="0"/>
    <x v="1"/>
    <x v="7"/>
    <s v="Y"/>
    <x v="3"/>
    <n v="4"/>
    <n v="106868.22"/>
    <n v="106868.22"/>
    <n v="0"/>
    <n v="10"/>
    <n v="5"/>
    <s v="PASSED"/>
  </r>
  <r>
    <s v="EMPLOYEE"/>
    <x v="0"/>
    <x v="1"/>
    <x v="8"/>
    <s v="Y"/>
    <x v="3"/>
    <n v="4"/>
    <n v="30839.81"/>
    <n v="30839.81"/>
    <n v="0"/>
    <n v="10"/>
    <n v="5"/>
    <s v="PASSED"/>
  </r>
  <r>
    <s v="EMPLOYEE"/>
    <x v="0"/>
    <x v="1"/>
    <x v="9"/>
    <s v="Y"/>
    <x v="3"/>
    <n v="4"/>
    <n v="11909.89"/>
    <n v="11909.89"/>
    <n v="0"/>
    <n v="10"/>
    <n v="5"/>
    <s v="PASSED"/>
  </r>
  <r>
    <s v="EMPLOYEE"/>
    <x v="0"/>
    <x v="1"/>
    <x v="10"/>
    <s v="Y"/>
    <x v="3"/>
    <n v="4"/>
    <n v="7905.91"/>
    <n v="7905.91"/>
    <n v="0"/>
    <n v="10"/>
    <n v="5"/>
    <s v="PASSED"/>
  </r>
  <r>
    <s v="EMPLOYEE"/>
    <x v="0"/>
    <x v="1"/>
    <x v="11"/>
    <s v="Y"/>
    <x v="3"/>
    <n v="4"/>
    <n v="8746.42"/>
    <n v="8746.42"/>
    <n v="0"/>
    <n v="10"/>
    <n v="5"/>
    <s v="PASSED"/>
  </r>
  <r>
    <s v="EMPLOYEE"/>
    <x v="0"/>
    <x v="1"/>
    <x v="12"/>
    <s v="N"/>
    <x v="3"/>
    <n v="4"/>
    <n v="0"/>
    <n v="0"/>
    <n v="0"/>
    <n v="10"/>
    <n v="5"/>
    <s v="PASSED"/>
  </r>
  <r>
    <s v="EMPLOYEE"/>
    <x v="0"/>
    <x v="1"/>
    <x v="13"/>
    <s v="N"/>
    <x v="3"/>
    <n v="4"/>
    <n v="0"/>
    <n v="0"/>
    <n v="0"/>
    <n v="10"/>
    <n v="5"/>
    <s v="PASSED"/>
  </r>
  <r>
    <s v="EMPLOYEE"/>
    <x v="0"/>
    <x v="1"/>
    <x v="0"/>
    <s v="Y"/>
    <x v="4"/>
    <n v="5"/>
    <n v="1"/>
    <n v="1"/>
    <n v="0"/>
    <n v="10"/>
    <n v="5"/>
    <s v="PASSED"/>
  </r>
  <r>
    <s v="EMPLOYEE"/>
    <x v="0"/>
    <x v="1"/>
    <x v="1"/>
    <s v="Y"/>
    <x v="4"/>
    <n v="5"/>
    <n v="2"/>
    <n v="2"/>
    <n v="0"/>
    <n v="10"/>
    <n v="5"/>
    <s v="PASSED"/>
  </r>
  <r>
    <s v="EMPLOYEE"/>
    <x v="0"/>
    <x v="1"/>
    <x v="2"/>
    <s v="Y"/>
    <x v="4"/>
    <n v="5"/>
    <n v="1"/>
    <n v="1"/>
    <n v="0"/>
    <n v="10"/>
    <n v="5"/>
    <s v="PASSED"/>
  </r>
  <r>
    <s v="EMPLOYEE"/>
    <x v="0"/>
    <x v="1"/>
    <x v="3"/>
    <s v="Y"/>
    <x v="4"/>
    <n v="5"/>
    <n v="1"/>
    <n v="1"/>
    <n v="0"/>
    <n v="10"/>
    <n v="5"/>
    <s v="PASSED"/>
  </r>
  <r>
    <s v="EMPLOYEE"/>
    <x v="0"/>
    <x v="1"/>
    <x v="4"/>
    <s v="Y"/>
    <x v="4"/>
    <n v="5"/>
    <n v="0"/>
    <n v="0"/>
    <n v="0"/>
    <n v="10"/>
    <n v="5"/>
    <s v="PASSED"/>
  </r>
  <r>
    <s v="EMPLOYEE"/>
    <x v="0"/>
    <x v="1"/>
    <x v="5"/>
    <s v="Y"/>
    <x v="4"/>
    <n v="5"/>
    <n v="5"/>
    <n v="4"/>
    <n v="25"/>
    <n v="10"/>
    <n v="5"/>
    <s v="CRITICAL"/>
  </r>
  <r>
    <s v="EMPLOYEE"/>
    <x v="0"/>
    <x v="1"/>
    <x v="6"/>
    <s v="Y"/>
    <x v="4"/>
    <n v="5"/>
    <n v="5"/>
    <n v="5"/>
    <n v="0"/>
    <n v="10"/>
    <n v="5"/>
    <s v="PASSED"/>
  </r>
  <r>
    <s v="EMPLOYEE"/>
    <x v="0"/>
    <x v="1"/>
    <x v="7"/>
    <s v="Y"/>
    <x v="4"/>
    <n v="5"/>
    <n v="1"/>
    <n v="1"/>
    <n v="0"/>
    <n v="10"/>
    <n v="5"/>
    <s v="PASSED"/>
  </r>
  <r>
    <s v="EMPLOYEE"/>
    <x v="0"/>
    <x v="1"/>
    <x v="8"/>
    <s v="Y"/>
    <x v="4"/>
    <n v="5"/>
    <n v="4"/>
    <n v="4"/>
    <n v="0"/>
    <n v="10"/>
    <n v="5"/>
    <s v="PASSED"/>
  </r>
  <r>
    <s v="EMPLOYEE"/>
    <x v="0"/>
    <x v="1"/>
    <x v="9"/>
    <s v="Y"/>
    <x v="4"/>
    <n v="5"/>
    <n v="1"/>
    <n v="1"/>
    <n v="0"/>
    <n v="10"/>
    <n v="5"/>
    <s v="PASSED"/>
  </r>
  <r>
    <s v="EMPLOYEE"/>
    <x v="0"/>
    <x v="1"/>
    <x v="10"/>
    <s v="Y"/>
    <x v="4"/>
    <n v="5"/>
    <n v="2"/>
    <n v="2"/>
    <n v="0"/>
    <n v="10"/>
    <n v="5"/>
    <s v="PASSED"/>
  </r>
  <r>
    <s v="EMPLOYEE"/>
    <x v="0"/>
    <x v="1"/>
    <x v="11"/>
    <s v="Y"/>
    <x v="4"/>
    <n v="5"/>
    <n v="1"/>
    <n v="1"/>
    <n v="0"/>
    <n v="10"/>
    <n v="5"/>
    <s v="PASSED"/>
  </r>
  <r>
    <s v="EMPLOYEE"/>
    <x v="0"/>
    <x v="1"/>
    <x v="12"/>
    <s v="N"/>
    <x v="4"/>
    <n v="5"/>
    <n v="0"/>
    <n v="0"/>
    <n v="0"/>
    <n v="10"/>
    <n v="5"/>
    <s v="PASSED"/>
  </r>
  <r>
    <s v="EMPLOYEE"/>
    <x v="0"/>
    <x v="1"/>
    <x v="13"/>
    <s v="N"/>
    <x v="4"/>
    <n v="5"/>
    <n v="0"/>
    <n v="0"/>
    <n v="0"/>
    <n v="10"/>
    <n v="5"/>
    <s v="PASSED"/>
  </r>
  <r>
    <s v="EMPLOYEE"/>
    <x v="0"/>
    <x v="1"/>
    <x v="0"/>
    <s v="Y"/>
    <x v="5"/>
    <n v="6"/>
    <n v="30090.83"/>
    <n v="30090.83"/>
    <n v="0"/>
    <n v="10"/>
    <n v="5"/>
    <s v="PASSED"/>
  </r>
  <r>
    <s v="EMPLOYEE"/>
    <x v="0"/>
    <x v="1"/>
    <x v="1"/>
    <s v="Y"/>
    <x v="5"/>
    <n v="6"/>
    <n v="0"/>
    <n v="0"/>
    <n v="0"/>
    <n v="10"/>
    <n v="5"/>
    <s v="PASSED"/>
  </r>
  <r>
    <s v="EMPLOYEE"/>
    <x v="0"/>
    <x v="1"/>
    <x v="2"/>
    <s v="Y"/>
    <x v="5"/>
    <n v="6"/>
    <n v="12501.16"/>
    <n v="12501.16"/>
    <n v="0"/>
    <n v="10"/>
    <n v="5"/>
    <s v="PASSED"/>
  </r>
  <r>
    <s v="EMPLOYEE"/>
    <x v="0"/>
    <x v="1"/>
    <x v="3"/>
    <s v="Y"/>
    <x v="5"/>
    <n v="6"/>
    <n v="0"/>
    <n v="0"/>
    <n v="0"/>
    <n v="10"/>
    <n v="5"/>
    <s v="PASSED"/>
  </r>
  <r>
    <s v="EMPLOYEE"/>
    <x v="0"/>
    <x v="1"/>
    <x v="4"/>
    <s v="Y"/>
    <x v="5"/>
    <n v="6"/>
    <n v="0"/>
    <n v="0"/>
    <n v="0"/>
    <n v="10"/>
    <n v="5"/>
    <s v="PASSED"/>
  </r>
  <r>
    <s v="EMPLOYEE"/>
    <x v="0"/>
    <x v="1"/>
    <x v="5"/>
    <s v="Y"/>
    <x v="5"/>
    <n v="6"/>
    <n v="9709.0400000000009"/>
    <n v="9709.0400000000009"/>
    <n v="0"/>
    <n v="10"/>
    <n v="5"/>
    <s v="PASSED"/>
  </r>
  <r>
    <s v="EMPLOYEE"/>
    <x v="0"/>
    <x v="1"/>
    <x v="6"/>
    <s v="Y"/>
    <x v="5"/>
    <n v="6"/>
    <n v="27958.94"/>
    <n v="27958.94"/>
    <n v="0"/>
    <n v="10"/>
    <n v="5"/>
    <s v="PASSED"/>
  </r>
  <r>
    <s v="EMPLOYEE"/>
    <x v="0"/>
    <x v="1"/>
    <x v="7"/>
    <s v="Y"/>
    <x v="5"/>
    <n v="6"/>
    <n v="9324.5300000000007"/>
    <n v="9324.5300000000007"/>
    <n v="0"/>
    <n v="10"/>
    <n v="5"/>
    <s v="PASSED"/>
  </r>
  <r>
    <s v="EMPLOYEE"/>
    <x v="0"/>
    <x v="1"/>
    <x v="8"/>
    <s v="Y"/>
    <x v="5"/>
    <n v="6"/>
    <n v="32293.4"/>
    <n v="32293.4"/>
    <n v="0"/>
    <n v="10"/>
    <n v="5"/>
    <s v="PASSED"/>
  </r>
  <r>
    <s v="EMPLOYEE"/>
    <x v="0"/>
    <x v="1"/>
    <x v="9"/>
    <s v="Y"/>
    <x v="5"/>
    <n v="6"/>
    <n v="0"/>
    <n v="0"/>
    <n v="0"/>
    <n v="10"/>
    <n v="5"/>
    <s v="PASSED"/>
  </r>
  <r>
    <s v="EMPLOYEE"/>
    <x v="0"/>
    <x v="1"/>
    <x v="10"/>
    <s v="Y"/>
    <x v="5"/>
    <n v="6"/>
    <n v="158065.82"/>
    <n v="158065.82"/>
    <n v="0"/>
    <n v="10"/>
    <n v="5"/>
    <s v="PASSED"/>
  </r>
  <r>
    <s v="EMPLOYEE"/>
    <x v="0"/>
    <x v="1"/>
    <x v="11"/>
    <s v="Y"/>
    <x v="5"/>
    <n v="6"/>
    <n v="0"/>
    <n v="0"/>
    <n v="0"/>
    <n v="10"/>
    <n v="5"/>
    <s v="PASSED"/>
  </r>
  <r>
    <s v="EMPLOYEE"/>
    <x v="0"/>
    <x v="1"/>
    <x v="12"/>
    <s v="N"/>
    <x v="5"/>
    <n v="6"/>
    <n v="0"/>
    <n v="0"/>
    <n v="0"/>
    <n v="10"/>
    <n v="5"/>
    <s v="PASSED"/>
  </r>
  <r>
    <s v="EMPLOYEE"/>
    <x v="0"/>
    <x v="1"/>
    <x v="13"/>
    <s v="N"/>
    <x v="5"/>
    <n v="6"/>
    <n v="0"/>
    <n v="0"/>
    <n v="0"/>
    <n v="10"/>
    <n v="5"/>
    <s v="PASSED"/>
  </r>
  <r>
    <s v="EMPLOYEE"/>
    <x v="0"/>
    <x v="1"/>
    <x v="0"/>
    <s v="Y"/>
    <x v="6"/>
    <n v="7"/>
    <n v="1"/>
    <n v="1"/>
    <n v="0"/>
    <n v="10"/>
    <n v="5"/>
    <s v="PASSED"/>
  </r>
  <r>
    <s v="EMPLOYEE"/>
    <x v="0"/>
    <x v="1"/>
    <x v="1"/>
    <s v="Y"/>
    <x v="6"/>
    <n v="7"/>
    <n v="0"/>
    <n v="0"/>
    <n v="0"/>
    <n v="10"/>
    <n v="5"/>
    <s v="PASSED"/>
  </r>
  <r>
    <s v="EMPLOYEE"/>
    <x v="0"/>
    <x v="1"/>
    <x v="2"/>
    <s v="Y"/>
    <x v="6"/>
    <n v="7"/>
    <n v="1"/>
    <n v="1"/>
    <n v="0"/>
    <n v="10"/>
    <n v="5"/>
    <s v="PASSED"/>
  </r>
  <r>
    <s v="EMPLOYEE"/>
    <x v="0"/>
    <x v="1"/>
    <x v="3"/>
    <s v="Y"/>
    <x v="6"/>
    <n v="7"/>
    <n v="0"/>
    <n v="0"/>
    <n v="0"/>
    <n v="10"/>
    <n v="5"/>
    <s v="PASSED"/>
  </r>
  <r>
    <s v="EMPLOYEE"/>
    <x v="0"/>
    <x v="1"/>
    <x v="4"/>
    <s v="Y"/>
    <x v="6"/>
    <n v="7"/>
    <n v="0"/>
    <n v="0"/>
    <n v="0"/>
    <n v="10"/>
    <n v="5"/>
    <s v="PASSED"/>
  </r>
  <r>
    <s v="EMPLOYEE"/>
    <x v="0"/>
    <x v="1"/>
    <x v="5"/>
    <s v="Y"/>
    <x v="6"/>
    <n v="7"/>
    <n v="1"/>
    <n v="1"/>
    <n v="0"/>
    <n v="10"/>
    <n v="5"/>
    <s v="PASSED"/>
  </r>
  <r>
    <s v="EMPLOYEE"/>
    <x v="0"/>
    <x v="1"/>
    <x v="6"/>
    <s v="Y"/>
    <x v="6"/>
    <n v="7"/>
    <n v="1"/>
    <n v="1"/>
    <n v="0"/>
    <n v="10"/>
    <n v="5"/>
    <s v="PASSED"/>
  </r>
  <r>
    <s v="EMPLOYEE"/>
    <x v="0"/>
    <x v="1"/>
    <x v="7"/>
    <s v="Y"/>
    <x v="6"/>
    <n v="7"/>
    <n v="1"/>
    <n v="1"/>
    <n v="0"/>
    <n v="10"/>
    <n v="5"/>
    <s v="PASSED"/>
  </r>
  <r>
    <s v="EMPLOYEE"/>
    <x v="0"/>
    <x v="1"/>
    <x v="8"/>
    <s v="Y"/>
    <x v="6"/>
    <n v="7"/>
    <n v="2"/>
    <n v="2"/>
    <n v="0"/>
    <n v="10"/>
    <n v="5"/>
    <s v="PASSED"/>
  </r>
  <r>
    <s v="EMPLOYEE"/>
    <x v="0"/>
    <x v="1"/>
    <x v="9"/>
    <s v="Y"/>
    <x v="6"/>
    <n v="7"/>
    <n v="0"/>
    <n v="0"/>
    <n v="0"/>
    <n v="10"/>
    <n v="5"/>
    <s v="PASSED"/>
  </r>
  <r>
    <s v="EMPLOYEE"/>
    <x v="0"/>
    <x v="1"/>
    <x v="10"/>
    <s v="Y"/>
    <x v="6"/>
    <n v="7"/>
    <n v="2"/>
    <n v="2"/>
    <n v="0"/>
    <n v="10"/>
    <n v="5"/>
    <s v="PASSED"/>
  </r>
  <r>
    <s v="EMPLOYEE"/>
    <x v="0"/>
    <x v="1"/>
    <x v="11"/>
    <s v="Y"/>
    <x v="6"/>
    <n v="7"/>
    <n v="0"/>
    <n v="0"/>
    <n v="0"/>
    <n v="10"/>
    <n v="5"/>
    <s v="PASSED"/>
  </r>
  <r>
    <s v="EMPLOYEE"/>
    <x v="0"/>
    <x v="1"/>
    <x v="12"/>
    <s v="N"/>
    <x v="6"/>
    <n v="7"/>
    <n v="0"/>
    <n v="0"/>
    <n v="0"/>
    <n v="10"/>
    <n v="5"/>
    <s v="PASSED"/>
  </r>
  <r>
    <s v="EMPLOYEE"/>
    <x v="0"/>
    <x v="1"/>
    <x v="13"/>
    <s v="N"/>
    <x v="6"/>
    <n v="7"/>
    <n v="0"/>
    <n v="0"/>
    <n v="0"/>
    <n v="10"/>
    <n v="5"/>
    <s v="PASSED"/>
  </r>
  <r>
    <s v="EMPLOYEE"/>
    <x v="0"/>
    <x v="1"/>
    <x v="0"/>
    <s v="Y"/>
    <x v="7"/>
    <n v="8"/>
    <n v="58718.21"/>
    <n v="58718.21"/>
    <n v="0"/>
    <n v="10"/>
    <n v="5"/>
    <s v="PASSED"/>
  </r>
  <r>
    <s v="EMPLOYEE"/>
    <x v="0"/>
    <x v="1"/>
    <x v="1"/>
    <s v="Y"/>
    <x v="7"/>
    <n v="8"/>
    <n v="53830.95"/>
    <n v="53830.95"/>
    <n v="0"/>
    <n v="10"/>
    <n v="5"/>
    <s v="PASSED"/>
  </r>
  <r>
    <s v="EMPLOYEE"/>
    <x v="0"/>
    <x v="1"/>
    <x v="2"/>
    <s v="Y"/>
    <x v="7"/>
    <n v="8"/>
    <n v="45684.71"/>
    <n v="45684.71"/>
    <n v="0"/>
    <n v="10"/>
    <n v="5"/>
    <s v="PASSED"/>
  </r>
  <r>
    <s v="EMPLOYEE"/>
    <x v="0"/>
    <x v="1"/>
    <x v="3"/>
    <s v="Y"/>
    <x v="7"/>
    <n v="8"/>
    <n v="38034.33"/>
    <n v="38034.33"/>
    <n v="0"/>
    <n v="10"/>
    <n v="5"/>
    <s v="PASSED"/>
  </r>
  <r>
    <s v="EMPLOYEE"/>
    <x v="0"/>
    <x v="1"/>
    <x v="4"/>
    <s v="Y"/>
    <x v="7"/>
    <n v="8"/>
    <n v="67280.34"/>
    <n v="67280.34"/>
    <n v="0"/>
    <n v="10"/>
    <n v="5"/>
    <s v="PASSED"/>
  </r>
  <r>
    <s v="EMPLOYEE"/>
    <x v="0"/>
    <x v="1"/>
    <x v="5"/>
    <s v="Y"/>
    <x v="7"/>
    <n v="8"/>
    <n v="47856.5"/>
    <n v="47521.87"/>
    <n v="0.70416000043768767"/>
    <n v="10"/>
    <n v="5"/>
    <s v="TRIVIAL"/>
  </r>
  <r>
    <s v="EMPLOYEE"/>
    <x v="0"/>
    <x v="1"/>
    <x v="6"/>
    <s v="Y"/>
    <x v="7"/>
    <n v="8"/>
    <n v="64634.76"/>
    <n v="64634.76"/>
    <n v="0"/>
    <n v="10"/>
    <n v="5"/>
    <s v="PASSED"/>
  </r>
  <r>
    <s v="EMPLOYEE"/>
    <x v="0"/>
    <x v="1"/>
    <x v="7"/>
    <s v="Y"/>
    <x v="7"/>
    <n v="8"/>
    <n v="72478.720000000001"/>
    <n v="71883.070000000007"/>
    <n v="0.82863739681679449"/>
    <n v="10"/>
    <n v="5"/>
    <s v="TRIVIAL"/>
  </r>
  <r>
    <s v="EMPLOYEE"/>
    <x v="0"/>
    <x v="1"/>
    <x v="8"/>
    <s v="Y"/>
    <x v="7"/>
    <n v="8"/>
    <n v="89186.03"/>
    <n v="88359.22"/>
    <n v="0.93573709681909567"/>
    <n v="10"/>
    <n v="5"/>
    <s v="TRIVIAL"/>
  </r>
  <r>
    <s v="EMPLOYEE"/>
    <x v="0"/>
    <x v="1"/>
    <x v="9"/>
    <s v="Y"/>
    <x v="7"/>
    <n v="8"/>
    <n v="38218.06"/>
    <n v="35704.78"/>
    <n v="7.0390575155483361"/>
    <n v="10"/>
    <n v="5"/>
    <s v="CAUTIONARY"/>
  </r>
  <r>
    <s v="EMPLOYEE"/>
    <x v="0"/>
    <x v="1"/>
    <x v="10"/>
    <s v="Y"/>
    <x v="7"/>
    <n v="8"/>
    <n v="49482.81"/>
    <n v="48656"/>
    <n v="1.6992971062150561"/>
    <n v="10"/>
    <n v="5"/>
    <s v="TRIVIAL"/>
  </r>
  <r>
    <s v="EMPLOYEE"/>
    <x v="0"/>
    <x v="1"/>
    <x v="11"/>
    <s v="Y"/>
    <x v="7"/>
    <n v="8"/>
    <n v="49618.62"/>
    <n v="45569.83"/>
    <n v="8.8848038274446068"/>
    <n v="10"/>
    <n v="5"/>
    <s v="CAUTIONARY"/>
  </r>
  <r>
    <s v="EMPLOYEE"/>
    <x v="0"/>
    <x v="1"/>
    <x v="12"/>
    <s v="N"/>
    <x v="7"/>
    <n v="8"/>
    <n v="35214.660000000003"/>
    <n v="13645.62"/>
    <n v="158.06566502657995"/>
    <n v="10"/>
    <n v="5"/>
    <s v="CRITICAL"/>
  </r>
  <r>
    <s v="EMPLOYEE"/>
    <x v="0"/>
    <x v="1"/>
    <x v="13"/>
    <s v="N"/>
    <x v="7"/>
    <n v="8"/>
    <n v="20087.099999999999"/>
    <n v="0"/>
    <n v="100"/>
    <n v="10"/>
    <n v="5"/>
    <s v="CRITICAL"/>
  </r>
  <r>
    <s v="EMPLOYEE"/>
    <x v="0"/>
    <x v="1"/>
    <x v="0"/>
    <s v="Y"/>
    <x v="8"/>
    <n v="9"/>
    <n v="36"/>
    <n v="36"/>
    <n v="0"/>
    <n v="10"/>
    <n v="5"/>
    <s v="PASSED"/>
  </r>
  <r>
    <s v="EMPLOYEE"/>
    <x v="0"/>
    <x v="1"/>
    <x v="1"/>
    <s v="Y"/>
    <x v="8"/>
    <n v="9"/>
    <n v="38"/>
    <n v="38"/>
    <n v="0"/>
    <n v="10"/>
    <n v="5"/>
    <s v="PASSED"/>
  </r>
  <r>
    <s v="EMPLOYEE"/>
    <x v="0"/>
    <x v="1"/>
    <x v="2"/>
    <s v="Y"/>
    <x v="8"/>
    <n v="9"/>
    <n v="32"/>
    <n v="32"/>
    <n v="0"/>
    <n v="10"/>
    <n v="5"/>
    <s v="PASSED"/>
  </r>
  <r>
    <s v="EMPLOYEE"/>
    <x v="0"/>
    <x v="1"/>
    <x v="3"/>
    <s v="Y"/>
    <x v="8"/>
    <n v="9"/>
    <n v="32"/>
    <n v="32"/>
    <n v="0"/>
    <n v="10"/>
    <n v="5"/>
    <s v="PASSED"/>
  </r>
  <r>
    <s v="EMPLOYEE"/>
    <x v="0"/>
    <x v="1"/>
    <x v="4"/>
    <s v="Y"/>
    <x v="8"/>
    <n v="9"/>
    <n v="60"/>
    <n v="60"/>
    <n v="0"/>
    <n v="10"/>
    <n v="5"/>
    <s v="PASSED"/>
  </r>
  <r>
    <s v="EMPLOYEE"/>
    <x v="0"/>
    <x v="1"/>
    <x v="5"/>
    <s v="Y"/>
    <x v="8"/>
    <n v="9"/>
    <n v="35"/>
    <n v="33"/>
    <n v="6.0606060606060606"/>
    <n v="10"/>
    <n v="5"/>
    <s v="CAUTIONARY"/>
  </r>
  <r>
    <s v="EMPLOYEE"/>
    <x v="0"/>
    <x v="1"/>
    <x v="6"/>
    <s v="Y"/>
    <x v="8"/>
    <n v="9"/>
    <n v="49"/>
    <n v="49"/>
    <n v="0"/>
    <n v="10"/>
    <n v="5"/>
    <s v="PASSED"/>
  </r>
  <r>
    <s v="EMPLOYEE"/>
    <x v="0"/>
    <x v="1"/>
    <x v="7"/>
    <s v="Y"/>
    <x v="8"/>
    <n v="9"/>
    <n v="41"/>
    <n v="39"/>
    <n v="5.1282051282051277"/>
    <n v="10"/>
    <n v="5"/>
    <s v="CAUTIONARY"/>
  </r>
  <r>
    <s v="EMPLOYEE"/>
    <x v="0"/>
    <x v="1"/>
    <x v="8"/>
    <s v="Y"/>
    <x v="8"/>
    <n v="9"/>
    <n v="75"/>
    <n v="74"/>
    <n v="1.3513513513513513"/>
    <n v="10"/>
    <n v="5"/>
    <s v="TRIVIAL"/>
  </r>
  <r>
    <s v="EMPLOYEE"/>
    <x v="0"/>
    <x v="1"/>
    <x v="9"/>
    <s v="Y"/>
    <x v="8"/>
    <n v="9"/>
    <n v="39"/>
    <n v="35"/>
    <n v="11.428571428571429"/>
    <n v="10"/>
    <n v="5"/>
    <s v="CRITICAL"/>
  </r>
  <r>
    <s v="EMPLOYEE"/>
    <x v="0"/>
    <x v="1"/>
    <x v="10"/>
    <s v="Y"/>
    <x v="8"/>
    <n v="9"/>
    <n v="45"/>
    <n v="43"/>
    <n v="4.6511627906976747"/>
    <n v="10"/>
    <n v="5"/>
    <s v="TRIVIAL"/>
  </r>
  <r>
    <s v="EMPLOYEE"/>
    <x v="0"/>
    <x v="1"/>
    <x v="11"/>
    <s v="Y"/>
    <x v="8"/>
    <n v="9"/>
    <n v="52"/>
    <n v="47"/>
    <n v="10.638297872340425"/>
    <n v="10"/>
    <n v="5"/>
    <s v="CRITICAL"/>
  </r>
  <r>
    <s v="EMPLOYEE"/>
    <x v="0"/>
    <x v="1"/>
    <x v="12"/>
    <s v="N"/>
    <x v="8"/>
    <n v="9"/>
    <n v="22"/>
    <n v="10"/>
    <n v="120"/>
    <n v="10"/>
    <n v="5"/>
    <s v="CRITICAL"/>
  </r>
  <r>
    <s v="EMPLOYEE"/>
    <x v="0"/>
    <x v="1"/>
    <x v="13"/>
    <s v="N"/>
    <x v="8"/>
    <n v="9"/>
    <n v="15"/>
    <n v="0"/>
    <n v="100"/>
    <n v="10"/>
    <n v="5"/>
    <s v="CRITICAL"/>
  </r>
  <r>
    <s v="EMPLOYEE"/>
    <x v="0"/>
    <x v="1"/>
    <x v="0"/>
    <s v="Y"/>
    <x v="9"/>
    <n v="10"/>
    <n v="71"/>
    <n v="71"/>
    <n v="0"/>
    <n v="10"/>
    <n v="5"/>
    <s v="PASSED"/>
  </r>
  <r>
    <s v="EMPLOYEE"/>
    <x v="0"/>
    <x v="1"/>
    <x v="1"/>
    <s v="Y"/>
    <x v="9"/>
    <n v="10"/>
    <n v="52"/>
    <n v="52"/>
    <n v="0"/>
    <n v="10"/>
    <n v="5"/>
    <s v="PASSED"/>
  </r>
  <r>
    <s v="EMPLOYEE"/>
    <x v="0"/>
    <x v="1"/>
    <x v="2"/>
    <s v="Y"/>
    <x v="9"/>
    <n v="10"/>
    <n v="39"/>
    <n v="39"/>
    <n v="0"/>
    <n v="10"/>
    <n v="5"/>
    <s v="PASSED"/>
  </r>
  <r>
    <s v="EMPLOYEE"/>
    <x v="0"/>
    <x v="1"/>
    <x v="3"/>
    <s v="Y"/>
    <x v="9"/>
    <n v="10"/>
    <n v="34"/>
    <n v="34"/>
    <n v="0"/>
    <n v="10"/>
    <n v="5"/>
    <s v="PASSED"/>
  </r>
  <r>
    <s v="EMPLOYEE"/>
    <x v="0"/>
    <x v="1"/>
    <x v="4"/>
    <s v="Y"/>
    <x v="9"/>
    <n v="10"/>
    <n v="34"/>
    <n v="34"/>
    <n v="0"/>
    <n v="10"/>
    <n v="5"/>
    <s v="PASSED"/>
  </r>
  <r>
    <s v="EMPLOYEE"/>
    <x v="0"/>
    <x v="1"/>
    <x v="5"/>
    <s v="Y"/>
    <x v="9"/>
    <n v="10"/>
    <n v="35"/>
    <n v="35"/>
    <n v="0"/>
    <n v="10"/>
    <n v="5"/>
    <s v="PASSED"/>
  </r>
  <r>
    <s v="EMPLOYEE"/>
    <x v="0"/>
    <x v="1"/>
    <x v="6"/>
    <s v="Y"/>
    <x v="9"/>
    <n v="10"/>
    <n v="33"/>
    <n v="33"/>
    <n v="0"/>
    <n v="10"/>
    <n v="5"/>
    <s v="PASSED"/>
  </r>
  <r>
    <s v="EMPLOYEE"/>
    <x v="0"/>
    <x v="1"/>
    <x v="7"/>
    <s v="Y"/>
    <x v="9"/>
    <n v="10"/>
    <n v="45"/>
    <n v="45"/>
    <n v="0"/>
    <n v="10"/>
    <n v="5"/>
    <s v="PASSED"/>
  </r>
  <r>
    <s v="EMPLOYEE"/>
    <x v="0"/>
    <x v="1"/>
    <x v="8"/>
    <s v="Y"/>
    <x v="9"/>
    <n v="10"/>
    <n v="38"/>
    <n v="38"/>
    <n v="0"/>
    <n v="10"/>
    <n v="5"/>
    <s v="PASSED"/>
  </r>
  <r>
    <s v="EMPLOYEE"/>
    <x v="0"/>
    <x v="1"/>
    <x v="9"/>
    <s v="Y"/>
    <x v="9"/>
    <n v="10"/>
    <n v="40"/>
    <n v="40"/>
    <n v="0"/>
    <n v="10"/>
    <n v="5"/>
    <s v="PASSED"/>
  </r>
  <r>
    <s v="EMPLOYEE"/>
    <x v="0"/>
    <x v="1"/>
    <x v="10"/>
    <s v="Y"/>
    <x v="9"/>
    <n v="10"/>
    <n v="38"/>
    <n v="38"/>
    <n v="0"/>
    <n v="10"/>
    <n v="5"/>
    <s v="PASSED"/>
  </r>
  <r>
    <s v="EMPLOYEE"/>
    <x v="0"/>
    <x v="1"/>
    <x v="11"/>
    <s v="Y"/>
    <x v="9"/>
    <n v="10"/>
    <n v="41"/>
    <n v="37"/>
    <n v="10.810810810810811"/>
    <n v="10"/>
    <n v="5"/>
    <s v="CRITICAL"/>
  </r>
  <r>
    <s v="EMPLOYEE"/>
    <x v="0"/>
    <x v="1"/>
    <x v="12"/>
    <s v="N"/>
    <x v="9"/>
    <n v="10"/>
    <n v="37"/>
    <n v="14"/>
    <n v="164.28571428571428"/>
    <n v="10"/>
    <n v="5"/>
    <s v="CRITICAL"/>
  </r>
  <r>
    <s v="EMPLOYEE"/>
    <x v="0"/>
    <x v="1"/>
    <x v="13"/>
    <s v="N"/>
    <x v="9"/>
    <n v="10"/>
    <n v="10"/>
    <n v="0"/>
    <n v="100"/>
    <n v="10"/>
    <n v="5"/>
    <s v="CRITICAL"/>
  </r>
  <r>
    <s v="EMPLOYEE"/>
    <x v="0"/>
    <x v="1"/>
    <x v="0"/>
    <s v="Y"/>
    <x v="10"/>
    <n v="11"/>
    <n v="4"/>
    <n v="4"/>
    <n v="0"/>
    <n v="10"/>
    <n v="5"/>
    <s v="PASSED"/>
  </r>
  <r>
    <s v="EMPLOYEE"/>
    <x v="0"/>
    <x v="1"/>
    <x v="1"/>
    <s v="Y"/>
    <x v="10"/>
    <n v="11"/>
    <n v="1"/>
    <n v="1"/>
    <n v="0"/>
    <n v="10"/>
    <n v="5"/>
    <s v="PASSED"/>
  </r>
  <r>
    <s v="EMPLOYEE"/>
    <x v="0"/>
    <x v="1"/>
    <x v="2"/>
    <s v="Y"/>
    <x v="10"/>
    <n v="11"/>
    <n v="0"/>
    <n v="0"/>
    <n v="0"/>
    <n v="10"/>
    <n v="5"/>
    <s v="PASSED"/>
  </r>
  <r>
    <s v="EMPLOYEE"/>
    <x v="0"/>
    <x v="1"/>
    <x v="3"/>
    <s v="Y"/>
    <x v="10"/>
    <n v="11"/>
    <n v="0"/>
    <n v="0"/>
    <n v="0"/>
    <n v="10"/>
    <n v="5"/>
    <s v="PASSED"/>
  </r>
  <r>
    <s v="EMPLOYEE"/>
    <x v="0"/>
    <x v="1"/>
    <x v="4"/>
    <s v="Y"/>
    <x v="10"/>
    <n v="11"/>
    <n v="4"/>
    <n v="4"/>
    <n v="0"/>
    <n v="10"/>
    <n v="5"/>
    <s v="PASSED"/>
  </r>
  <r>
    <s v="EMPLOYEE"/>
    <x v="0"/>
    <x v="1"/>
    <x v="5"/>
    <s v="Y"/>
    <x v="10"/>
    <n v="11"/>
    <n v="3"/>
    <n v="3"/>
    <n v="0"/>
    <n v="10"/>
    <n v="5"/>
    <s v="PASSED"/>
  </r>
  <r>
    <s v="EMPLOYEE"/>
    <x v="0"/>
    <x v="1"/>
    <x v="6"/>
    <s v="Y"/>
    <x v="10"/>
    <n v="11"/>
    <n v="1"/>
    <n v="1"/>
    <n v="0"/>
    <n v="10"/>
    <n v="5"/>
    <s v="PASSED"/>
  </r>
  <r>
    <s v="EMPLOYEE"/>
    <x v="0"/>
    <x v="1"/>
    <x v="7"/>
    <s v="Y"/>
    <x v="10"/>
    <n v="11"/>
    <n v="3"/>
    <n v="3"/>
    <n v="0"/>
    <n v="10"/>
    <n v="5"/>
    <s v="PASSED"/>
  </r>
  <r>
    <s v="EMPLOYEE"/>
    <x v="0"/>
    <x v="1"/>
    <x v="8"/>
    <s v="Y"/>
    <x v="10"/>
    <n v="11"/>
    <n v="1"/>
    <n v="1"/>
    <n v="0"/>
    <n v="10"/>
    <n v="5"/>
    <s v="PASSED"/>
  </r>
  <r>
    <s v="EMPLOYEE"/>
    <x v="0"/>
    <x v="1"/>
    <x v="9"/>
    <s v="Y"/>
    <x v="10"/>
    <n v="11"/>
    <n v="3"/>
    <n v="3"/>
    <n v="0"/>
    <n v="10"/>
    <n v="5"/>
    <s v="PASSED"/>
  </r>
  <r>
    <s v="EMPLOYEE"/>
    <x v="0"/>
    <x v="1"/>
    <x v="10"/>
    <s v="Y"/>
    <x v="10"/>
    <n v="11"/>
    <n v="4"/>
    <n v="4"/>
    <n v="0"/>
    <n v="10"/>
    <n v="5"/>
    <s v="PASSED"/>
  </r>
  <r>
    <s v="EMPLOYEE"/>
    <x v="0"/>
    <x v="1"/>
    <x v="11"/>
    <s v="Y"/>
    <x v="10"/>
    <n v="11"/>
    <n v="1"/>
    <n v="1"/>
    <n v="0"/>
    <n v="10"/>
    <n v="5"/>
    <s v="PASSED"/>
  </r>
  <r>
    <s v="EMPLOYEE"/>
    <x v="0"/>
    <x v="1"/>
    <x v="12"/>
    <s v="N"/>
    <x v="10"/>
    <n v="11"/>
    <n v="2"/>
    <n v="2"/>
    <n v="0"/>
    <n v="10"/>
    <n v="5"/>
    <s v="PASSED"/>
  </r>
  <r>
    <s v="EMPLOYEE"/>
    <x v="0"/>
    <x v="1"/>
    <x v="13"/>
    <s v="N"/>
    <x v="10"/>
    <n v="11"/>
    <n v="2"/>
    <n v="0"/>
    <n v="100"/>
    <n v="10"/>
    <n v="5"/>
    <s v="CRITICAL"/>
  </r>
  <r>
    <s v="EMPLOYEE"/>
    <x v="0"/>
    <x v="1"/>
    <x v="0"/>
    <s v="Y"/>
    <x v="11"/>
    <n v="12"/>
    <n v="8"/>
    <n v="8"/>
    <n v="0"/>
    <n v="10"/>
    <n v="5"/>
    <s v="PASSED"/>
  </r>
  <r>
    <s v="EMPLOYEE"/>
    <x v="0"/>
    <x v="1"/>
    <x v="1"/>
    <s v="Y"/>
    <x v="11"/>
    <n v="12"/>
    <n v="5"/>
    <n v="5"/>
    <n v="0"/>
    <n v="10"/>
    <n v="5"/>
    <s v="PASSED"/>
  </r>
  <r>
    <s v="EMPLOYEE"/>
    <x v="0"/>
    <x v="1"/>
    <x v="2"/>
    <s v="Y"/>
    <x v="11"/>
    <n v="12"/>
    <n v="8"/>
    <n v="8"/>
    <n v="0"/>
    <n v="10"/>
    <n v="5"/>
    <s v="PASSED"/>
  </r>
  <r>
    <s v="EMPLOYEE"/>
    <x v="0"/>
    <x v="1"/>
    <x v="3"/>
    <s v="Y"/>
    <x v="11"/>
    <n v="12"/>
    <n v="7"/>
    <n v="7"/>
    <n v="0"/>
    <n v="10"/>
    <n v="5"/>
    <s v="PASSED"/>
  </r>
  <r>
    <s v="EMPLOYEE"/>
    <x v="0"/>
    <x v="1"/>
    <x v="4"/>
    <s v="Y"/>
    <x v="11"/>
    <n v="12"/>
    <n v="7"/>
    <n v="7"/>
    <n v="0"/>
    <n v="10"/>
    <n v="5"/>
    <s v="PASSED"/>
  </r>
  <r>
    <s v="EMPLOYEE"/>
    <x v="0"/>
    <x v="1"/>
    <x v="5"/>
    <s v="Y"/>
    <x v="11"/>
    <n v="12"/>
    <n v="10"/>
    <n v="10"/>
    <n v="0"/>
    <n v="10"/>
    <n v="5"/>
    <s v="PASSED"/>
  </r>
  <r>
    <s v="EMPLOYEE"/>
    <x v="0"/>
    <x v="1"/>
    <x v="6"/>
    <s v="Y"/>
    <x v="11"/>
    <n v="12"/>
    <n v="14"/>
    <n v="14"/>
    <n v="0"/>
    <n v="10"/>
    <n v="5"/>
    <s v="PASSED"/>
  </r>
  <r>
    <s v="EMPLOYEE"/>
    <x v="0"/>
    <x v="1"/>
    <x v="7"/>
    <s v="Y"/>
    <x v="11"/>
    <n v="12"/>
    <n v="8"/>
    <n v="8"/>
    <n v="0"/>
    <n v="10"/>
    <n v="5"/>
    <s v="PASSED"/>
  </r>
  <r>
    <s v="EMPLOYEE"/>
    <x v="0"/>
    <x v="1"/>
    <x v="8"/>
    <s v="Y"/>
    <x v="11"/>
    <n v="12"/>
    <n v="8"/>
    <n v="8"/>
    <n v="0"/>
    <n v="10"/>
    <n v="5"/>
    <s v="PASSED"/>
  </r>
  <r>
    <s v="EMPLOYEE"/>
    <x v="0"/>
    <x v="1"/>
    <x v="9"/>
    <s v="Y"/>
    <x v="11"/>
    <n v="12"/>
    <n v="6"/>
    <n v="6"/>
    <n v="0"/>
    <n v="10"/>
    <n v="5"/>
    <s v="PASSED"/>
  </r>
  <r>
    <s v="EMPLOYEE"/>
    <x v="0"/>
    <x v="1"/>
    <x v="10"/>
    <s v="Y"/>
    <x v="11"/>
    <n v="12"/>
    <n v="6"/>
    <n v="6"/>
    <n v="0"/>
    <n v="10"/>
    <n v="5"/>
    <s v="PASSED"/>
  </r>
  <r>
    <s v="EMPLOYEE"/>
    <x v="0"/>
    <x v="1"/>
    <x v="11"/>
    <s v="Y"/>
    <x v="11"/>
    <n v="12"/>
    <n v="5"/>
    <n v="5"/>
    <n v="0"/>
    <n v="10"/>
    <n v="5"/>
    <s v="PASSED"/>
  </r>
  <r>
    <s v="EMPLOYEE"/>
    <x v="0"/>
    <x v="1"/>
    <x v="12"/>
    <s v="N"/>
    <x v="11"/>
    <n v="12"/>
    <n v="6"/>
    <n v="4"/>
    <n v="50"/>
    <n v="10"/>
    <n v="5"/>
    <s v="CRITICAL"/>
  </r>
  <r>
    <s v="EMPLOYEE"/>
    <x v="0"/>
    <x v="1"/>
    <x v="13"/>
    <s v="N"/>
    <x v="11"/>
    <n v="12"/>
    <n v="6"/>
    <n v="0"/>
    <n v="100"/>
    <n v="10"/>
    <n v="5"/>
    <s v="CRITICAL"/>
  </r>
  <r>
    <s v="EMPLOYEE"/>
    <x v="0"/>
    <x v="1"/>
    <x v="0"/>
    <s v="Y"/>
    <x v="12"/>
    <n v="13"/>
    <n v="104399"/>
    <n v="104399"/>
    <n v="0"/>
    <n v="10"/>
    <n v="5"/>
    <s v="PASSED"/>
  </r>
  <r>
    <s v="EMPLOYEE"/>
    <x v="0"/>
    <x v="1"/>
    <x v="1"/>
    <s v="Y"/>
    <x v="12"/>
    <n v="13"/>
    <n v="53844"/>
    <n v="53554"/>
    <n v="0.54150950442543966"/>
    <n v="10"/>
    <n v="5"/>
    <s v="TRIVIAL"/>
  </r>
  <r>
    <s v="EMPLOYEE"/>
    <x v="0"/>
    <x v="1"/>
    <x v="2"/>
    <s v="Y"/>
    <x v="12"/>
    <n v="13"/>
    <n v="117097"/>
    <n v="116817"/>
    <n v="0.23969114084422644"/>
    <n v="10"/>
    <n v="5"/>
    <s v="TRIVIAL"/>
  </r>
  <r>
    <s v="EMPLOYEE"/>
    <x v="0"/>
    <x v="1"/>
    <x v="3"/>
    <s v="Y"/>
    <x v="12"/>
    <n v="13"/>
    <n v="151903"/>
    <n v="151320"/>
    <n v="0.38527623579169973"/>
    <n v="10"/>
    <n v="5"/>
    <s v="TRIVIAL"/>
  </r>
  <r>
    <s v="EMPLOYEE"/>
    <x v="0"/>
    <x v="1"/>
    <x v="4"/>
    <s v="Y"/>
    <x v="12"/>
    <n v="13"/>
    <n v="116990"/>
    <n v="116990"/>
    <n v="0"/>
    <n v="10"/>
    <n v="5"/>
    <s v="PASSED"/>
  </r>
  <r>
    <s v="EMPLOYEE"/>
    <x v="0"/>
    <x v="1"/>
    <x v="5"/>
    <s v="Y"/>
    <x v="12"/>
    <n v="13"/>
    <n v="93326"/>
    <n v="93232"/>
    <n v="0.10082375150163034"/>
    <n v="10"/>
    <n v="5"/>
    <s v="TRIVIAL"/>
  </r>
  <r>
    <s v="EMPLOYEE"/>
    <x v="0"/>
    <x v="1"/>
    <x v="6"/>
    <s v="Y"/>
    <x v="12"/>
    <n v="13"/>
    <n v="105556"/>
    <n v="105556"/>
    <n v="0"/>
    <n v="10"/>
    <n v="5"/>
    <s v="PASSED"/>
  </r>
  <r>
    <s v="EMPLOYEE"/>
    <x v="0"/>
    <x v="1"/>
    <x v="7"/>
    <s v="Y"/>
    <x v="12"/>
    <n v="13"/>
    <n v="135037"/>
    <n v="135337"/>
    <n v="0.22166887104043978"/>
    <n v="10"/>
    <n v="5"/>
    <s v="TRIVIAL"/>
  </r>
  <r>
    <s v="EMPLOYEE"/>
    <x v="0"/>
    <x v="1"/>
    <x v="8"/>
    <s v="Y"/>
    <x v="12"/>
    <n v="13"/>
    <n v="100524"/>
    <n v="100524"/>
    <n v="0"/>
    <n v="10"/>
    <n v="5"/>
    <s v="PASSED"/>
  </r>
  <r>
    <s v="EMPLOYEE"/>
    <x v="0"/>
    <x v="1"/>
    <x v="9"/>
    <s v="Y"/>
    <x v="12"/>
    <n v="13"/>
    <n v="95389"/>
    <n v="93266"/>
    <n v="2.2762850342032466"/>
    <n v="10"/>
    <n v="5"/>
    <s v="TRIVIAL"/>
  </r>
  <r>
    <s v="EMPLOYEE"/>
    <x v="0"/>
    <x v="1"/>
    <x v="10"/>
    <s v="Y"/>
    <x v="12"/>
    <n v="13"/>
    <n v="90721"/>
    <n v="81781"/>
    <n v="10.931634487228086"/>
    <n v="10"/>
    <n v="5"/>
    <s v="CRITICAL"/>
  </r>
  <r>
    <s v="EMPLOYEE"/>
    <x v="0"/>
    <x v="1"/>
    <x v="11"/>
    <s v="Y"/>
    <x v="12"/>
    <n v="13"/>
    <n v="118199"/>
    <n v="106030"/>
    <n v="11.476940488540979"/>
    <n v="10"/>
    <n v="5"/>
    <s v="CRITICAL"/>
  </r>
  <r>
    <s v="EMPLOYEE"/>
    <x v="0"/>
    <x v="1"/>
    <x v="12"/>
    <s v="N"/>
    <x v="12"/>
    <n v="13"/>
    <n v="90259"/>
    <n v="7076"/>
    <n v="1175.5652911249294"/>
    <n v="10"/>
    <n v="5"/>
    <s v="CRITICAL"/>
  </r>
  <r>
    <s v="EMPLOYEE"/>
    <x v="0"/>
    <x v="1"/>
    <x v="13"/>
    <s v="N"/>
    <x v="12"/>
    <n v="13"/>
    <n v="27086"/>
    <n v="0"/>
    <n v="100"/>
    <n v="10"/>
    <n v="5"/>
    <s v="CRITICAL"/>
  </r>
  <r>
    <s v="EMPLOYEE"/>
    <x v="0"/>
    <x v="1"/>
    <x v="0"/>
    <s v="Y"/>
    <x v="13"/>
    <n v="14"/>
    <n v="144"/>
    <n v="144"/>
    <n v="0"/>
    <n v="10"/>
    <n v="5"/>
    <s v="PASSED"/>
  </r>
  <r>
    <s v="EMPLOYEE"/>
    <x v="0"/>
    <x v="1"/>
    <x v="1"/>
    <s v="Y"/>
    <x v="13"/>
    <n v="14"/>
    <n v="126"/>
    <n v="125"/>
    <n v="0.8"/>
    <n v="10"/>
    <n v="5"/>
    <s v="TRIVIAL"/>
  </r>
  <r>
    <s v="EMPLOYEE"/>
    <x v="0"/>
    <x v="1"/>
    <x v="2"/>
    <s v="Y"/>
    <x v="13"/>
    <n v="14"/>
    <n v="157"/>
    <n v="156"/>
    <n v="0.64102564102564097"/>
    <n v="10"/>
    <n v="5"/>
    <s v="TRIVIAL"/>
  </r>
  <r>
    <s v="EMPLOYEE"/>
    <x v="0"/>
    <x v="1"/>
    <x v="3"/>
    <s v="Y"/>
    <x v="13"/>
    <n v="14"/>
    <n v="209"/>
    <n v="209"/>
    <n v="0"/>
    <n v="10"/>
    <n v="5"/>
    <s v="PASSED"/>
  </r>
  <r>
    <s v="EMPLOYEE"/>
    <x v="0"/>
    <x v="1"/>
    <x v="4"/>
    <s v="Y"/>
    <x v="13"/>
    <n v="14"/>
    <n v="169"/>
    <n v="169"/>
    <n v="0"/>
    <n v="10"/>
    <n v="5"/>
    <s v="PASSED"/>
  </r>
  <r>
    <s v="EMPLOYEE"/>
    <x v="0"/>
    <x v="1"/>
    <x v="5"/>
    <s v="Y"/>
    <x v="13"/>
    <n v="14"/>
    <n v="147"/>
    <n v="145"/>
    <n v="1.3793103448275863"/>
    <n v="10"/>
    <n v="5"/>
    <s v="TRIVIAL"/>
  </r>
  <r>
    <s v="EMPLOYEE"/>
    <x v="0"/>
    <x v="1"/>
    <x v="6"/>
    <s v="Y"/>
    <x v="13"/>
    <n v="14"/>
    <n v="191"/>
    <n v="191"/>
    <n v="0"/>
    <n v="10"/>
    <n v="5"/>
    <s v="PASSED"/>
  </r>
  <r>
    <s v="EMPLOYEE"/>
    <x v="0"/>
    <x v="1"/>
    <x v="7"/>
    <s v="Y"/>
    <x v="13"/>
    <n v="14"/>
    <n v="187"/>
    <n v="186"/>
    <n v="0.53763440860215062"/>
    <n v="10"/>
    <n v="5"/>
    <s v="TRIVIAL"/>
  </r>
  <r>
    <s v="EMPLOYEE"/>
    <x v="0"/>
    <x v="1"/>
    <x v="8"/>
    <s v="Y"/>
    <x v="13"/>
    <n v="14"/>
    <n v="146"/>
    <n v="146"/>
    <n v="0"/>
    <n v="10"/>
    <n v="5"/>
    <s v="PASSED"/>
  </r>
  <r>
    <s v="EMPLOYEE"/>
    <x v="0"/>
    <x v="1"/>
    <x v="9"/>
    <s v="Y"/>
    <x v="13"/>
    <n v="14"/>
    <n v="152"/>
    <n v="150"/>
    <n v="1.3333333333333335"/>
    <n v="10"/>
    <n v="5"/>
    <s v="TRIVIAL"/>
  </r>
  <r>
    <s v="EMPLOYEE"/>
    <x v="0"/>
    <x v="1"/>
    <x v="10"/>
    <s v="Y"/>
    <x v="13"/>
    <n v="14"/>
    <n v="146"/>
    <n v="142"/>
    <n v="2.8169014084507045"/>
    <n v="10"/>
    <n v="5"/>
    <s v="TRIVIAL"/>
  </r>
  <r>
    <s v="EMPLOYEE"/>
    <x v="0"/>
    <x v="1"/>
    <x v="11"/>
    <s v="Y"/>
    <x v="13"/>
    <n v="14"/>
    <n v="185"/>
    <n v="167"/>
    <n v="10.778443113772456"/>
    <n v="10"/>
    <n v="5"/>
    <s v="CRITICAL"/>
  </r>
  <r>
    <s v="EMPLOYEE"/>
    <x v="0"/>
    <x v="1"/>
    <x v="12"/>
    <s v="N"/>
    <x v="13"/>
    <n v="14"/>
    <n v="150"/>
    <n v="11"/>
    <n v="1263.6363636363637"/>
    <n v="10"/>
    <n v="5"/>
    <s v="CRITICAL"/>
  </r>
  <r>
    <s v="EMPLOYEE"/>
    <x v="0"/>
    <x v="1"/>
    <x v="13"/>
    <s v="N"/>
    <x v="13"/>
    <n v="14"/>
    <n v="37"/>
    <n v="0"/>
    <n v="100"/>
    <n v="10"/>
    <n v="5"/>
    <s v="CRITICAL"/>
  </r>
  <r>
    <s v="EMPLOYEE"/>
    <x v="0"/>
    <x v="1"/>
    <x v="0"/>
    <s v="Y"/>
    <x v="14"/>
    <n v="15"/>
    <n v="557389"/>
    <n v="557389"/>
    <n v="0"/>
    <n v="10"/>
    <n v="5"/>
    <s v="PASSED"/>
  </r>
  <r>
    <s v="EMPLOYEE"/>
    <x v="0"/>
    <x v="1"/>
    <x v="1"/>
    <s v="Y"/>
    <x v="14"/>
    <n v="15"/>
    <n v="616438"/>
    <n v="616438"/>
    <n v="0"/>
    <n v="10"/>
    <n v="5"/>
    <s v="PASSED"/>
  </r>
  <r>
    <s v="EMPLOYEE"/>
    <x v="0"/>
    <x v="1"/>
    <x v="2"/>
    <s v="Y"/>
    <x v="14"/>
    <n v="15"/>
    <n v="628542"/>
    <n v="628542"/>
    <n v="0"/>
    <n v="10"/>
    <n v="5"/>
    <s v="PASSED"/>
  </r>
  <r>
    <s v="EMPLOYEE"/>
    <x v="0"/>
    <x v="1"/>
    <x v="3"/>
    <s v="Y"/>
    <x v="14"/>
    <n v="15"/>
    <n v="639054"/>
    <n v="639054"/>
    <n v="0"/>
    <n v="10"/>
    <n v="5"/>
    <s v="PASSED"/>
  </r>
  <r>
    <s v="EMPLOYEE"/>
    <x v="0"/>
    <x v="1"/>
    <x v="4"/>
    <s v="Y"/>
    <x v="14"/>
    <n v="15"/>
    <n v="794992"/>
    <n v="794992"/>
    <n v="0"/>
    <n v="10"/>
    <n v="5"/>
    <s v="PASSED"/>
  </r>
  <r>
    <s v="EMPLOYEE"/>
    <x v="0"/>
    <x v="1"/>
    <x v="5"/>
    <s v="Y"/>
    <x v="14"/>
    <n v="15"/>
    <n v="694391"/>
    <n v="694391"/>
    <n v="0"/>
    <n v="10"/>
    <n v="5"/>
    <s v="PASSED"/>
  </r>
  <r>
    <s v="EMPLOYEE"/>
    <x v="0"/>
    <x v="1"/>
    <x v="6"/>
    <s v="Y"/>
    <x v="14"/>
    <n v="15"/>
    <n v="667522"/>
    <n v="667522"/>
    <n v="0"/>
    <n v="10"/>
    <n v="5"/>
    <s v="PASSED"/>
  </r>
  <r>
    <s v="EMPLOYEE"/>
    <x v="0"/>
    <x v="1"/>
    <x v="7"/>
    <s v="Y"/>
    <x v="14"/>
    <n v="15"/>
    <n v="654294"/>
    <n v="654294"/>
    <n v="0"/>
    <n v="10"/>
    <n v="5"/>
    <s v="PASSED"/>
  </r>
  <r>
    <s v="EMPLOYEE"/>
    <x v="0"/>
    <x v="1"/>
    <x v="8"/>
    <s v="Y"/>
    <x v="14"/>
    <n v="15"/>
    <n v="769423"/>
    <n v="769423"/>
    <n v="0"/>
    <n v="10"/>
    <n v="5"/>
    <s v="PASSED"/>
  </r>
  <r>
    <s v="EMPLOYEE"/>
    <x v="0"/>
    <x v="1"/>
    <x v="9"/>
    <s v="Y"/>
    <x v="14"/>
    <n v="15"/>
    <n v="654758"/>
    <n v="654190"/>
    <n v="8.6824928537580823E-2"/>
    <n v="10"/>
    <n v="5"/>
    <s v="TRIVIAL"/>
  </r>
  <r>
    <s v="EMPLOYEE"/>
    <x v="0"/>
    <x v="1"/>
    <x v="10"/>
    <s v="Y"/>
    <x v="14"/>
    <n v="15"/>
    <n v="608117"/>
    <n v="607549"/>
    <n v="9.3490401597237427E-2"/>
    <n v="10"/>
    <n v="5"/>
    <s v="TRIVIAL"/>
  </r>
  <r>
    <s v="EMPLOYEE"/>
    <x v="0"/>
    <x v="1"/>
    <x v="11"/>
    <s v="Y"/>
    <x v="14"/>
    <n v="15"/>
    <n v="654685"/>
    <n v="655334"/>
    <n v="9.9033469955778289E-2"/>
    <n v="10"/>
    <n v="5"/>
    <s v="TRIVIAL"/>
  </r>
  <r>
    <s v="EMPLOYEE"/>
    <x v="0"/>
    <x v="1"/>
    <x v="12"/>
    <s v="N"/>
    <x v="14"/>
    <n v="15"/>
    <n v="585253"/>
    <n v="584602"/>
    <n v="0.11135781266571104"/>
    <n v="10"/>
    <n v="5"/>
    <s v="TRIVIAL"/>
  </r>
  <r>
    <s v="EMPLOYEE"/>
    <x v="0"/>
    <x v="1"/>
    <x v="13"/>
    <s v="N"/>
    <x v="14"/>
    <n v="15"/>
    <n v="723486"/>
    <n v="0"/>
    <n v="100"/>
    <n v="10"/>
    <n v="5"/>
    <s v="CRITICAL"/>
  </r>
  <r>
    <s v="EMPLOYEE"/>
    <x v="0"/>
    <x v="1"/>
    <x v="0"/>
    <s v="Y"/>
    <x v="15"/>
    <n v="16"/>
    <n v="0.87"/>
    <n v="0.87"/>
    <n v="0"/>
    <n v="10"/>
    <n v="5"/>
    <s v="PASSED"/>
  </r>
  <r>
    <s v="EMPLOYEE"/>
    <x v="0"/>
    <x v="1"/>
    <x v="1"/>
    <s v="Y"/>
    <x v="15"/>
    <n v="16"/>
    <n v="0.88"/>
    <n v="0.88"/>
    <n v="0"/>
    <n v="10"/>
    <n v="5"/>
    <s v="PASSED"/>
  </r>
  <r>
    <s v="EMPLOYEE"/>
    <x v="0"/>
    <x v="1"/>
    <x v="2"/>
    <s v="Y"/>
    <x v="15"/>
    <n v="16"/>
    <n v="0.88"/>
    <n v="0.88"/>
    <n v="0"/>
    <n v="10"/>
    <n v="5"/>
    <s v="PASSED"/>
  </r>
  <r>
    <s v="EMPLOYEE"/>
    <x v="0"/>
    <x v="1"/>
    <x v="3"/>
    <s v="Y"/>
    <x v="15"/>
    <n v="16"/>
    <n v="0.87"/>
    <n v="0.87"/>
    <n v="0"/>
    <n v="10"/>
    <n v="5"/>
    <s v="PASSED"/>
  </r>
  <r>
    <s v="EMPLOYEE"/>
    <x v="0"/>
    <x v="1"/>
    <x v="4"/>
    <s v="Y"/>
    <x v="15"/>
    <n v="16"/>
    <n v="0.87"/>
    <n v="0.87"/>
    <n v="0"/>
    <n v="10"/>
    <n v="5"/>
    <s v="PASSED"/>
  </r>
  <r>
    <s v="EMPLOYEE"/>
    <x v="0"/>
    <x v="1"/>
    <x v="5"/>
    <s v="Y"/>
    <x v="15"/>
    <n v="16"/>
    <n v="0.88"/>
    <n v="0.88"/>
    <n v="0"/>
    <n v="10"/>
    <n v="5"/>
    <s v="PASSED"/>
  </r>
  <r>
    <s v="EMPLOYEE"/>
    <x v="0"/>
    <x v="1"/>
    <x v="6"/>
    <s v="Y"/>
    <x v="15"/>
    <n v="16"/>
    <n v="0.88"/>
    <n v="0.88"/>
    <n v="0"/>
    <n v="10"/>
    <n v="5"/>
    <s v="PASSED"/>
  </r>
  <r>
    <s v="EMPLOYEE"/>
    <x v="0"/>
    <x v="1"/>
    <x v="7"/>
    <s v="Y"/>
    <x v="15"/>
    <n v="16"/>
    <n v="0.87"/>
    <n v="0.87"/>
    <n v="0"/>
    <n v="10"/>
    <n v="5"/>
    <s v="PASSED"/>
  </r>
  <r>
    <s v="EMPLOYEE"/>
    <x v="0"/>
    <x v="1"/>
    <x v="8"/>
    <s v="Y"/>
    <x v="15"/>
    <n v="16"/>
    <n v="0.88"/>
    <n v="0.88"/>
    <n v="0"/>
    <n v="10"/>
    <n v="5"/>
    <s v="PASSED"/>
  </r>
  <r>
    <s v="EMPLOYEE"/>
    <x v="0"/>
    <x v="1"/>
    <x v="9"/>
    <s v="Y"/>
    <x v="15"/>
    <n v="16"/>
    <n v="0.88"/>
    <n v="0.88"/>
    <n v="0"/>
    <n v="10"/>
    <n v="5"/>
    <s v="PASSED"/>
  </r>
  <r>
    <s v="EMPLOYEE"/>
    <x v="0"/>
    <x v="1"/>
    <x v="10"/>
    <s v="Y"/>
    <x v="15"/>
    <n v="16"/>
    <n v="0.87"/>
    <n v="0.87"/>
    <n v="0"/>
    <n v="10"/>
    <n v="5"/>
    <s v="PASSED"/>
  </r>
  <r>
    <s v="EMPLOYEE"/>
    <x v="0"/>
    <x v="1"/>
    <x v="11"/>
    <s v="Y"/>
    <x v="15"/>
    <n v="16"/>
    <n v="0.88"/>
    <n v="0.89"/>
    <n v="1.1235955056179785"/>
    <n v="10"/>
    <n v="5"/>
    <s v="TRIVIAL"/>
  </r>
  <r>
    <s v="EMPLOYEE"/>
    <x v="0"/>
    <x v="1"/>
    <x v="12"/>
    <s v="N"/>
    <x v="15"/>
    <n v="16"/>
    <n v="0.89"/>
    <n v="0.89"/>
    <n v="0"/>
    <n v="10"/>
    <n v="5"/>
    <s v="PASSED"/>
  </r>
  <r>
    <s v="EMPLOYEE"/>
    <x v="0"/>
    <x v="1"/>
    <x v="13"/>
    <s v="N"/>
    <x v="15"/>
    <n v="16"/>
    <n v="0.88"/>
    <n v="0"/>
    <n v="100"/>
    <n v="10"/>
    <n v="5"/>
    <s v="CRITICAL"/>
  </r>
  <r>
    <s v="EMPLOYEE"/>
    <x v="0"/>
    <x v="1"/>
    <x v="0"/>
    <s v="Y"/>
    <x v="16"/>
    <n v="17"/>
    <n v="2284711"/>
    <n v="2284418"/>
    <n v="1.2826023958837656E-2"/>
    <n v="10"/>
    <n v="5"/>
    <s v="TRIVIAL"/>
  </r>
  <r>
    <s v="EMPLOYEE"/>
    <x v="0"/>
    <x v="1"/>
    <x v="1"/>
    <s v="Y"/>
    <x v="16"/>
    <n v="17"/>
    <n v="2229594"/>
    <n v="2228850"/>
    <n v="3.3380442829261732E-2"/>
    <n v="10"/>
    <n v="5"/>
    <s v="TRIVIAL"/>
  </r>
  <r>
    <s v="EMPLOYEE"/>
    <x v="0"/>
    <x v="1"/>
    <x v="2"/>
    <s v="Y"/>
    <x v="16"/>
    <n v="17"/>
    <n v="2649788"/>
    <n v="2648091"/>
    <n v="6.4083900439977318E-2"/>
    <n v="10"/>
    <n v="5"/>
    <s v="TRIVIAL"/>
  </r>
  <r>
    <s v="EMPLOYEE"/>
    <x v="0"/>
    <x v="1"/>
    <x v="3"/>
    <s v="Y"/>
    <x v="16"/>
    <n v="17"/>
    <n v="2294613"/>
    <n v="2276191"/>
    <n v="0.80933454178493802"/>
    <n v="10"/>
    <n v="5"/>
    <s v="TRIVIAL"/>
  </r>
  <r>
    <s v="EMPLOYEE"/>
    <x v="0"/>
    <x v="1"/>
    <x v="4"/>
    <s v="Y"/>
    <x v="16"/>
    <n v="17"/>
    <n v="2335285"/>
    <n v="2342803"/>
    <n v="0.32089765976908857"/>
    <n v="10"/>
    <n v="5"/>
    <s v="TRIVIAL"/>
  </r>
  <r>
    <s v="EMPLOYEE"/>
    <x v="0"/>
    <x v="1"/>
    <x v="5"/>
    <s v="Y"/>
    <x v="16"/>
    <n v="17"/>
    <n v="2799411"/>
    <n v="2799230"/>
    <n v="6.4660638818532234E-3"/>
    <n v="10"/>
    <n v="5"/>
    <s v="TRIVIAL"/>
  </r>
  <r>
    <s v="EMPLOYEE"/>
    <x v="0"/>
    <x v="1"/>
    <x v="6"/>
    <s v="Y"/>
    <x v="16"/>
    <n v="17"/>
    <n v="2491403"/>
    <n v="2462057"/>
    <n v="1.191930162461714"/>
    <n v="10"/>
    <n v="5"/>
    <s v="TRIVIAL"/>
  </r>
  <r>
    <s v="EMPLOYEE"/>
    <x v="0"/>
    <x v="1"/>
    <x v="7"/>
    <s v="Y"/>
    <x v="16"/>
    <n v="17"/>
    <n v="2697609"/>
    <n v="2695577"/>
    <n v="7.5382747367261263E-2"/>
    <n v="10"/>
    <n v="5"/>
    <s v="TRIVIAL"/>
  </r>
  <r>
    <s v="EMPLOYEE"/>
    <x v="0"/>
    <x v="1"/>
    <x v="8"/>
    <s v="Y"/>
    <x v="16"/>
    <n v="17"/>
    <n v="2895383"/>
    <n v="2899383"/>
    <n v="0.13796038674435215"/>
    <n v="10"/>
    <n v="5"/>
    <s v="TRIVIAL"/>
  </r>
  <r>
    <s v="EMPLOYEE"/>
    <x v="0"/>
    <x v="1"/>
    <x v="9"/>
    <s v="Y"/>
    <x v="16"/>
    <n v="17"/>
    <n v="2190268"/>
    <n v="2120033"/>
    <n v="3.3129201290734627"/>
    <n v="10"/>
    <n v="5"/>
    <s v="TRIVIAL"/>
  </r>
  <r>
    <s v="EMPLOYEE"/>
    <x v="0"/>
    <x v="1"/>
    <x v="10"/>
    <s v="Y"/>
    <x v="16"/>
    <n v="17"/>
    <n v="2444436"/>
    <n v="2396912"/>
    <n v="1.9827177635223989"/>
    <n v="10"/>
    <n v="5"/>
    <s v="TRIVIAL"/>
  </r>
  <r>
    <s v="EMPLOYEE"/>
    <x v="0"/>
    <x v="1"/>
    <x v="11"/>
    <s v="Y"/>
    <x v="16"/>
    <n v="17"/>
    <n v="2667283"/>
    <n v="2516770"/>
    <n v="5.9804034536330297"/>
    <n v="10"/>
    <n v="5"/>
    <s v="CAUTIONARY"/>
  </r>
  <r>
    <s v="EMPLOYEE"/>
    <x v="0"/>
    <x v="1"/>
    <x v="12"/>
    <s v="N"/>
    <x v="16"/>
    <n v="17"/>
    <n v="2184987"/>
    <n v="895890"/>
    <n v="143.89009811472391"/>
    <n v="10"/>
    <n v="5"/>
    <s v="CRITICAL"/>
  </r>
  <r>
    <s v="EMPLOYEE"/>
    <x v="0"/>
    <x v="1"/>
    <x v="13"/>
    <s v="N"/>
    <x v="16"/>
    <n v="17"/>
    <n v="1356242"/>
    <n v="0"/>
    <n v="100"/>
    <n v="10"/>
    <n v="5"/>
    <s v="CRITICAL"/>
  </r>
  <r>
    <s v="EMPLOYEE"/>
    <x v="0"/>
    <x v="1"/>
    <x v="0"/>
    <s v="Y"/>
    <x v="17"/>
    <n v="18"/>
    <n v="300.63"/>
    <n v="300.63"/>
    <n v="0"/>
    <n v="10"/>
    <n v="5"/>
    <s v="PASSED"/>
  </r>
  <r>
    <s v="EMPLOYEE"/>
    <x v="0"/>
    <x v="1"/>
    <x v="1"/>
    <s v="Y"/>
    <x v="17"/>
    <n v="18"/>
    <n v="304.10000000000002"/>
    <n v="304.10000000000002"/>
    <n v="0"/>
    <n v="10"/>
    <n v="5"/>
    <s v="PASSED"/>
  </r>
  <r>
    <s v="EMPLOYEE"/>
    <x v="0"/>
    <x v="1"/>
    <x v="2"/>
    <s v="Y"/>
    <x v="17"/>
    <n v="18"/>
    <n v="306.5"/>
    <n v="306.5"/>
    <n v="0"/>
    <n v="10"/>
    <n v="5"/>
    <s v="PASSED"/>
  </r>
  <r>
    <s v="EMPLOYEE"/>
    <x v="0"/>
    <x v="1"/>
    <x v="3"/>
    <s v="Y"/>
    <x v="17"/>
    <n v="18"/>
    <n v="304.41000000000003"/>
    <n v="304.41000000000003"/>
    <n v="0"/>
    <n v="10"/>
    <n v="5"/>
    <s v="PASSED"/>
  </r>
  <r>
    <s v="EMPLOYEE"/>
    <x v="0"/>
    <x v="1"/>
    <x v="4"/>
    <s v="Y"/>
    <x v="17"/>
    <n v="18"/>
    <n v="304.8"/>
    <n v="304.8"/>
    <n v="0"/>
    <n v="10"/>
    <n v="5"/>
    <s v="PASSED"/>
  </r>
  <r>
    <s v="EMPLOYEE"/>
    <x v="0"/>
    <x v="1"/>
    <x v="5"/>
    <s v="Y"/>
    <x v="17"/>
    <n v="18"/>
    <n v="303.58999999999997"/>
    <n v="303.58999999999997"/>
    <n v="0"/>
    <n v="10"/>
    <n v="5"/>
    <s v="PASSED"/>
  </r>
  <r>
    <s v="EMPLOYEE"/>
    <x v="0"/>
    <x v="1"/>
    <x v="6"/>
    <s v="Y"/>
    <x v="17"/>
    <n v="18"/>
    <n v="306.43"/>
    <n v="306.32"/>
    <n v="3.5910159310529398E-2"/>
    <n v="10"/>
    <n v="5"/>
    <s v="TRIVIAL"/>
  </r>
  <r>
    <s v="EMPLOYEE"/>
    <x v="0"/>
    <x v="1"/>
    <x v="7"/>
    <s v="Y"/>
    <x v="17"/>
    <n v="18"/>
    <n v="306.07"/>
    <n v="305.95999999999998"/>
    <n v="3.5952412080014921E-2"/>
    <n v="10"/>
    <n v="5"/>
    <s v="TRIVIAL"/>
  </r>
  <r>
    <s v="EMPLOYEE"/>
    <x v="0"/>
    <x v="1"/>
    <x v="8"/>
    <s v="Y"/>
    <x v="17"/>
    <n v="18"/>
    <n v="306.20999999999998"/>
    <n v="306"/>
    <n v="6.8627450980385474E-2"/>
    <n v="10"/>
    <n v="5"/>
    <s v="TRIVIAL"/>
  </r>
  <r>
    <s v="EMPLOYEE"/>
    <x v="0"/>
    <x v="1"/>
    <x v="9"/>
    <s v="Y"/>
    <x v="17"/>
    <n v="18"/>
    <n v="300.52999999999997"/>
    <n v="299.8"/>
    <n v="0.24349566377583767"/>
    <n v="10"/>
    <n v="5"/>
    <s v="TRIVIAL"/>
  </r>
  <r>
    <s v="EMPLOYEE"/>
    <x v="0"/>
    <x v="1"/>
    <x v="10"/>
    <s v="Y"/>
    <x v="17"/>
    <n v="18"/>
    <n v="300.23"/>
    <n v="299.3"/>
    <n v="0.31072502505847205"/>
    <n v="10"/>
    <n v="5"/>
    <s v="TRIVIAL"/>
  </r>
  <r>
    <s v="EMPLOYEE"/>
    <x v="0"/>
    <x v="1"/>
    <x v="11"/>
    <s v="Y"/>
    <x v="17"/>
    <n v="18"/>
    <n v="301.25"/>
    <n v="299.82"/>
    <n v="0.47695283836969077"/>
    <n v="10"/>
    <n v="5"/>
    <s v="TRIVIAL"/>
  </r>
  <r>
    <s v="EMPLOYEE"/>
    <x v="0"/>
    <x v="1"/>
    <x v="12"/>
    <s v="N"/>
    <x v="17"/>
    <n v="18"/>
    <n v="303.58"/>
    <n v="291.56"/>
    <n v="4.1226505693510704"/>
    <n v="10"/>
    <n v="5"/>
    <s v="TRIVIAL"/>
  </r>
  <r>
    <s v="EMPLOYEE"/>
    <x v="0"/>
    <x v="1"/>
    <x v="13"/>
    <s v="N"/>
    <x v="17"/>
    <n v="18"/>
    <n v="298.19"/>
    <n v="0"/>
    <n v="100"/>
    <n v="10"/>
    <n v="5"/>
    <s v="CRITICAL"/>
  </r>
  <r>
    <s v="EMPLOYEE"/>
    <x v="0"/>
    <x v="1"/>
    <x v="0"/>
    <s v="Y"/>
    <x v="18"/>
    <n v="19"/>
    <n v="510"/>
    <n v="510"/>
    <n v="0"/>
    <n v="10"/>
    <n v="5"/>
    <s v="PASSED"/>
  </r>
  <r>
    <s v="EMPLOYEE"/>
    <x v="0"/>
    <x v="1"/>
    <x v="1"/>
    <s v="Y"/>
    <x v="18"/>
    <n v="19"/>
    <n v="505"/>
    <n v="505"/>
    <n v="0"/>
    <n v="10"/>
    <n v="5"/>
    <s v="PASSED"/>
  </r>
  <r>
    <s v="EMPLOYEE"/>
    <x v="0"/>
    <x v="1"/>
    <x v="2"/>
    <s v="Y"/>
    <x v="18"/>
    <n v="19"/>
    <n v="598"/>
    <n v="598"/>
    <n v="0"/>
    <n v="10"/>
    <n v="5"/>
    <s v="PASSED"/>
  </r>
  <r>
    <s v="EMPLOYEE"/>
    <x v="0"/>
    <x v="1"/>
    <x v="3"/>
    <s v="Y"/>
    <x v="18"/>
    <n v="19"/>
    <n v="607"/>
    <n v="607"/>
    <n v="0"/>
    <n v="10"/>
    <n v="5"/>
    <s v="PASSED"/>
  </r>
  <r>
    <s v="EMPLOYEE"/>
    <x v="0"/>
    <x v="1"/>
    <x v="4"/>
    <s v="Y"/>
    <x v="18"/>
    <n v="19"/>
    <n v="407"/>
    <n v="407"/>
    <n v="0"/>
    <n v="10"/>
    <n v="5"/>
    <s v="PASSED"/>
  </r>
  <r>
    <s v="EMPLOYEE"/>
    <x v="0"/>
    <x v="1"/>
    <x v="5"/>
    <s v="Y"/>
    <x v="18"/>
    <n v="19"/>
    <n v="459"/>
    <n v="459"/>
    <n v="0"/>
    <n v="10"/>
    <n v="5"/>
    <s v="PASSED"/>
  </r>
  <r>
    <s v="EMPLOYEE"/>
    <x v="0"/>
    <x v="1"/>
    <x v="6"/>
    <s v="Y"/>
    <x v="18"/>
    <n v="19"/>
    <n v="499"/>
    <n v="482"/>
    <n v="3.5269709543568464"/>
    <n v="10"/>
    <n v="5"/>
    <s v="TRIVIAL"/>
  </r>
  <r>
    <s v="EMPLOYEE"/>
    <x v="0"/>
    <x v="1"/>
    <x v="7"/>
    <s v="Y"/>
    <x v="18"/>
    <n v="19"/>
    <n v="396"/>
    <n v="396"/>
    <n v="0"/>
    <n v="10"/>
    <n v="5"/>
    <s v="PASSED"/>
  </r>
  <r>
    <s v="EMPLOYEE"/>
    <x v="0"/>
    <x v="1"/>
    <x v="8"/>
    <s v="Y"/>
    <x v="18"/>
    <n v="19"/>
    <n v="433"/>
    <n v="428"/>
    <n v="1.1682242990654206"/>
    <n v="10"/>
    <n v="5"/>
    <s v="TRIVIAL"/>
  </r>
  <r>
    <s v="EMPLOYEE"/>
    <x v="0"/>
    <x v="1"/>
    <x v="9"/>
    <s v="Y"/>
    <x v="18"/>
    <n v="19"/>
    <n v="530"/>
    <n v="505"/>
    <n v="4.9504950495049505"/>
    <n v="10"/>
    <n v="5"/>
    <s v="TRIVIAL"/>
  </r>
  <r>
    <s v="EMPLOYEE"/>
    <x v="0"/>
    <x v="1"/>
    <x v="10"/>
    <s v="Y"/>
    <x v="18"/>
    <n v="19"/>
    <n v="535"/>
    <n v="519"/>
    <n v="3.0828516377649327"/>
    <n v="10"/>
    <n v="5"/>
    <s v="TRIVIAL"/>
  </r>
  <r>
    <s v="EMPLOYEE"/>
    <x v="0"/>
    <x v="1"/>
    <x v="11"/>
    <s v="Y"/>
    <x v="18"/>
    <n v="19"/>
    <n v="520"/>
    <n v="477"/>
    <n v="9.0146750524109009"/>
    <n v="10"/>
    <n v="5"/>
    <s v="CAUTIONARY"/>
  </r>
  <r>
    <s v="EMPLOYEE"/>
    <x v="0"/>
    <x v="1"/>
    <x v="12"/>
    <s v="N"/>
    <x v="18"/>
    <n v="19"/>
    <n v="370"/>
    <n v="69"/>
    <n v="436.231884057971"/>
    <n v="10"/>
    <n v="5"/>
    <s v="CRITICAL"/>
  </r>
  <r>
    <s v="EMPLOYEE"/>
    <x v="0"/>
    <x v="1"/>
    <x v="13"/>
    <s v="N"/>
    <x v="18"/>
    <n v="19"/>
    <n v="129"/>
    <n v="0"/>
    <n v="100"/>
    <n v="10"/>
    <n v="5"/>
    <s v="CRITICAL"/>
  </r>
  <r>
    <s v="EMPLOYEE"/>
    <x v="0"/>
    <x v="1"/>
    <x v="0"/>
    <s v="Y"/>
    <x v="19"/>
    <n v="20"/>
    <n v="8186"/>
    <n v="8186"/>
    <n v="0"/>
    <n v="10"/>
    <n v="5"/>
    <s v="PASSED"/>
  </r>
  <r>
    <s v="EMPLOYEE"/>
    <x v="0"/>
    <x v="1"/>
    <x v="1"/>
    <s v="Y"/>
    <x v="19"/>
    <n v="20"/>
    <n v="6919"/>
    <n v="6916"/>
    <n v="4.3377674956622328E-2"/>
    <n v="10"/>
    <n v="5"/>
    <s v="TRIVIAL"/>
  </r>
  <r>
    <s v="EMPLOYEE"/>
    <x v="0"/>
    <x v="1"/>
    <x v="2"/>
    <s v="Y"/>
    <x v="19"/>
    <n v="20"/>
    <n v="8342"/>
    <n v="8339"/>
    <n v="3.5975536635088137E-2"/>
    <n v="10"/>
    <n v="5"/>
    <s v="TRIVIAL"/>
  </r>
  <r>
    <s v="EMPLOYEE"/>
    <x v="0"/>
    <x v="1"/>
    <x v="3"/>
    <s v="Y"/>
    <x v="19"/>
    <n v="20"/>
    <n v="7478"/>
    <n v="7456"/>
    <n v="0.29506437768240346"/>
    <n v="10"/>
    <n v="5"/>
    <s v="TRIVIAL"/>
  </r>
  <r>
    <s v="EMPLOYEE"/>
    <x v="0"/>
    <x v="1"/>
    <x v="4"/>
    <s v="Y"/>
    <x v="19"/>
    <n v="20"/>
    <n v="8382"/>
    <n v="8363"/>
    <n v="0.22719119933038381"/>
    <n v="10"/>
    <n v="5"/>
    <s v="TRIVIAL"/>
  </r>
  <r>
    <s v="EMPLOYEE"/>
    <x v="0"/>
    <x v="1"/>
    <x v="5"/>
    <s v="Y"/>
    <x v="19"/>
    <n v="20"/>
    <n v="7723"/>
    <n v="7670"/>
    <n v="0.69100391134289441"/>
    <n v="10"/>
    <n v="5"/>
    <s v="TRIVIAL"/>
  </r>
  <r>
    <s v="EMPLOYEE"/>
    <x v="0"/>
    <x v="1"/>
    <x v="6"/>
    <s v="Y"/>
    <x v="19"/>
    <n v="20"/>
    <n v="8353"/>
    <n v="8318"/>
    <n v="0.42077422457321467"/>
    <n v="10"/>
    <n v="5"/>
    <s v="TRIVIAL"/>
  </r>
  <r>
    <s v="EMPLOYEE"/>
    <x v="0"/>
    <x v="1"/>
    <x v="7"/>
    <s v="Y"/>
    <x v="19"/>
    <n v="20"/>
    <n v="8519"/>
    <n v="8490"/>
    <n v="0.34157832744405187"/>
    <n v="10"/>
    <n v="5"/>
    <s v="TRIVIAL"/>
  </r>
  <r>
    <s v="EMPLOYEE"/>
    <x v="0"/>
    <x v="1"/>
    <x v="8"/>
    <s v="Y"/>
    <x v="19"/>
    <n v="20"/>
    <n v="8545"/>
    <n v="8473"/>
    <n v="0.84975805499822965"/>
    <n v="10"/>
    <n v="5"/>
    <s v="TRIVIAL"/>
  </r>
  <r>
    <s v="EMPLOYEE"/>
    <x v="0"/>
    <x v="1"/>
    <x v="9"/>
    <s v="Y"/>
    <x v="19"/>
    <n v="20"/>
    <n v="7297"/>
    <n v="7231"/>
    <n v="0.91273682754805696"/>
    <n v="10"/>
    <n v="5"/>
    <s v="TRIVIAL"/>
  </r>
  <r>
    <s v="EMPLOYEE"/>
    <x v="0"/>
    <x v="1"/>
    <x v="10"/>
    <s v="Y"/>
    <x v="19"/>
    <n v="20"/>
    <n v="7228"/>
    <n v="7059"/>
    <n v="2.3941068139963169"/>
    <n v="10"/>
    <n v="5"/>
    <s v="TRIVIAL"/>
  </r>
  <r>
    <s v="EMPLOYEE"/>
    <x v="0"/>
    <x v="1"/>
    <x v="11"/>
    <s v="Y"/>
    <x v="19"/>
    <n v="20"/>
    <n v="9283"/>
    <n v="8762"/>
    <n v="5.9461310203149962"/>
    <n v="10"/>
    <n v="5"/>
    <s v="CAUTIONARY"/>
  </r>
  <r>
    <s v="EMPLOYEE"/>
    <x v="0"/>
    <x v="1"/>
    <x v="12"/>
    <s v="N"/>
    <x v="19"/>
    <n v="20"/>
    <n v="7529"/>
    <n v="2290"/>
    <n v="228.77729257641923"/>
    <n v="10"/>
    <n v="5"/>
    <s v="CRITICAL"/>
  </r>
  <r>
    <s v="EMPLOYEE"/>
    <x v="0"/>
    <x v="1"/>
    <x v="13"/>
    <s v="N"/>
    <x v="19"/>
    <n v="20"/>
    <n v="3789"/>
    <n v="0"/>
    <n v="100"/>
    <n v="10"/>
    <n v="5"/>
    <s v="CRITICAL"/>
  </r>
  <r>
    <s v="EMPLOYEE"/>
    <x v="0"/>
    <x v="1"/>
    <x v="0"/>
    <s v="Y"/>
    <x v="20"/>
    <n v="21"/>
    <n v="9625"/>
    <n v="9568"/>
    <n v="0.59573578595317733"/>
    <n v="10"/>
    <n v="5"/>
    <s v="TRIVIAL"/>
  </r>
  <r>
    <s v="EMPLOYEE"/>
    <x v="0"/>
    <x v="1"/>
    <x v="1"/>
    <s v="Y"/>
    <x v="20"/>
    <n v="21"/>
    <n v="8944"/>
    <n v="8904"/>
    <n v="0.44923629829290207"/>
    <n v="10"/>
    <n v="5"/>
    <s v="TRIVIAL"/>
  </r>
  <r>
    <s v="EMPLOYEE"/>
    <x v="0"/>
    <x v="1"/>
    <x v="2"/>
    <s v="Y"/>
    <x v="20"/>
    <n v="21"/>
    <n v="9995"/>
    <n v="9942"/>
    <n v="0.53309193321263326"/>
    <n v="10"/>
    <n v="5"/>
    <s v="TRIVIAL"/>
  </r>
  <r>
    <s v="EMPLOYEE"/>
    <x v="0"/>
    <x v="1"/>
    <x v="3"/>
    <s v="Y"/>
    <x v="20"/>
    <n v="21"/>
    <n v="8600"/>
    <n v="8531"/>
    <n v="0.80881491032704267"/>
    <n v="10"/>
    <n v="5"/>
    <s v="TRIVIAL"/>
  </r>
  <r>
    <s v="EMPLOYEE"/>
    <x v="0"/>
    <x v="1"/>
    <x v="4"/>
    <s v="Y"/>
    <x v="20"/>
    <n v="21"/>
    <n v="10477"/>
    <n v="10389"/>
    <n v="0.8470497641736453"/>
    <n v="10"/>
    <n v="5"/>
    <s v="TRIVIAL"/>
  </r>
  <r>
    <s v="EMPLOYEE"/>
    <x v="0"/>
    <x v="1"/>
    <x v="5"/>
    <s v="Y"/>
    <x v="20"/>
    <n v="21"/>
    <n v="10150"/>
    <n v="10058"/>
    <n v="0.91469477033207391"/>
    <n v="10"/>
    <n v="5"/>
    <s v="TRIVIAL"/>
  </r>
  <r>
    <s v="EMPLOYEE"/>
    <x v="0"/>
    <x v="1"/>
    <x v="6"/>
    <s v="Y"/>
    <x v="20"/>
    <n v="21"/>
    <n v="11079"/>
    <n v="10995"/>
    <n v="0.76398362892223737"/>
    <n v="10"/>
    <n v="5"/>
    <s v="TRIVIAL"/>
  </r>
  <r>
    <s v="EMPLOYEE"/>
    <x v="0"/>
    <x v="1"/>
    <x v="7"/>
    <s v="Y"/>
    <x v="20"/>
    <n v="21"/>
    <n v="11632"/>
    <n v="11525"/>
    <n v="0.92841648590021686"/>
    <n v="10"/>
    <n v="5"/>
    <s v="TRIVIAL"/>
  </r>
  <r>
    <s v="EMPLOYEE"/>
    <x v="0"/>
    <x v="1"/>
    <x v="8"/>
    <s v="Y"/>
    <x v="20"/>
    <n v="21"/>
    <n v="11163"/>
    <n v="11035"/>
    <n v="1.1599456275487088"/>
    <n v="10"/>
    <n v="5"/>
    <s v="TRIVIAL"/>
  </r>
  <r>
    <s v="EMPLOYEE"/>
    <x v="0"/>
    <x v="1"/>
    <x v="9"/>
    <s v="Y"/>
    <x v="20"/>
    <n v="21"/>
    <n v="10439"/>
    <n v="10233"/>
    <n v="2.0130948890843348"/>
    <n v="10"/>
    <n v="5"/>
    <s v="TRIVIAL"/>
  </r>
  <r>
    <s v="EMPLOYEE"/>
    <x v="0"/>
    <x v="1"/>
    <x v="10"/>
    <s v="Y"/>
    <x v="20"/>
    <n v="21"/>
    <n v="9537"/>
    <n v="9289"/>
    <n v="2.6698245236301004"/>
    <n v="10"/>
    <n v="5"/>
    <s v="TRIVIAL"/>
  </r>
  <r>
    <s v="EMPLOYEE"/>
    <x v="0"/>
    <x v="1"/>
    <x v="11"/>
    <s v="Y"/>
    <x v="20"/>
    <n v="21"/>
    <n v="10684"/>
    <n v="9766"/>
    <n v="9.3999590415728029"/>
    <n v="10"/>
    <n v="5"/>
    <s v="CAUTIONARY"/>
  </r>
  <r>
    <s v="EMPLOYEE"/>
    <x v="0"/>
    <x v="1"/>
    <x v="12"/>
    <s v="N"/>
    <x v="20"/>
    <n v="21"/>
    <n v="9305"/>
    <n v="3323"/>
    <n v="180.0180559735179"/>
    <n v="10"/>
    <n v="5"/>
    <s v="CRITICAL"/>
  </r>
  <r>
    <s v="EMPLOYEE"/>
    <x v="0"/>
    <x v="1"/>
    <x v="13"/>
    <s v="N"/>
    <x v="20"/>
    <n v="21"/>
    <n v="5027"/>
    <n v="0"/>
    <n v="100"/>
    <n v="10"/>
    <n v="5"/>
    <s v="CRITICAL"/>
  </r>
  <r>
    <s v="EMPLOYEE"/>
    <x v="0"/>
    <x v="1"/>
    <x v="0"/>
    <s v="Y"/>
    <x v="21"/>
    <n v="22"/>
    <n v="696"/>
    <n v="734"/>
    <n v="5.1771117166212539"/>
    <n v="10"/>
    <n v="5"/>
    <s v="CAUTIONARY"/>
  </r>
  <r>
    <s v="EMPLOYEE"/>
    <x v="0"/>
    <x v="1"/>
    <x v="1"/>
    <s v="Y"/>
    <x v="21"/>
    <n v="22"/>
    <n v="673"/>
    <n v="706"/>
    <n v="4.6742209631728047"/>
    <n v="10"/>
    <n v="5"/>
    <s v="TRIVIAL"/>
  </r>
  <r>
    <s v="EMPLOYEE"/>
    <x v="0"/>
    <x v="1"/>
    <x v="2"/>
    <s v="Y"/>
    <x v="21"/>
    <n v="22"/>
    <n v="721"/>
    <n v="753"/>
    <n v="4.2496679946879148"/>
    <n v="10"/>
    <n v="5"/>
    <s v="TRIVIAL"/>
  </r>
  <r>
    <s v="EMPLOYEE"/>
    <x v="0"/>
    <x v="1"/>
    <x v="3"/>
    <s v="Y"/>
    <x v="21"/>
    <n v="22"/>
    <n v="676"/>
    <n v="705"/>
    <n v="4.1134751773049638"/>
    <n v="10"/>
    <n v="5"/>
    <s v="TRIVIAL"/>
  </r>
  <r>
    <s v="EMPLOYEE"/>
    <x v="0"/>
    <x v="1"/>
    <x v="4"/>
    <s v="Y"/>
    <x v="21"/>
    <n v="22"/>
    <n v="777"/>
    <n v="815"/>
    <n v="4.6625766871165641"/>
    <n v="10"/>
    <n v="5"/>
    <s v="TRIVIAL"/>
  </r>
  <r>
    <s v="EMPLOYEE"/>
    <x v="0"/>
    <x v="1"/>
    <x v="5"/>
    <s v="Y"/>
    <x v="21"/>
    <n v="22"/>
    <n v="792"/>
    <n v="820"/>
    <n v="3.4146341463414638"/>
    <n v="10"/>
    <n v="5"/>
    <s v="TRIVIAL"/>
  </r>
  <r>
    <s v="EMPLOYEE"/>
    <x v="0"/>
    <x v="1"/>
    <x v="6"/>
    <s v="Y"/>
    <x v="21"/>
    <n v="22"/>
    <n v="868"/>
    <n v="885"/>
    <n v="1.9209039548022599"/>
    <n v="10"/>
    <n v="5"/>
    <s v="TRIVIAL"/>
  </r>
  <r>
    <s v="EMPLOYEE"/>
    <x v="0"/>
    <x v="1"/>
    <x v="7"/>
    <s v="Y"/>
    <x v="21"/>
    <n v="22"/>
    <n v="848"/>
    <n v="876"/>
    <n v="3.1963470319634704"/>
    <n v="10"/>
    <n v="5"/>
    <s v="TRIVIAL"/>
  </r>
  <r>
    <s v="EMPLOYEE"/>
    <x v="0"/>
    <x v="1"/>
    <x v="8"/>
    <s v="Y"/>
    <x v="21"/>
    <n v="22"/>
    <n v="764"/>
    <n v="789"/>
    <n v="3.1685678073510775"/>
    <n v="10"/>
    <n v="5"/>
    <s v="TRIVIAL"/>
  </r>
  <r>
    <s v="EMPLOYEE"/>
    <x v="0"/>
    <x v="1"/>
    <x v="9"/>
    <s v="Y"/>
    <x v="21"/>
    <n v="22"/>
    <n v="812"/>
    <n v="805"/>
    <n v="0.86956521739130432"/>
    <n v="10"/>
    <n v="5"/>
    <s v="TRIVIAL"/>
  </r>
  <r>
    <s v="EMPLOYEE"/>
    <x v="0"/>
    <x v="1"/>
    <x v="10"/>
    <s v="Y"/>
    <x v="21"/>
    <n v="22"/>
    <n v="864"/>
    <n v="874"/>
    <n v="1.1441647597254003"/>
    <n v="10"/>
    <n v="5"/>
    <s v="TRIVIAL"/>
  </r>
  <r>
    <s v="EMPLOYEE"/>
    <x v="0"/>
    <x v="1"/>
    <x v="11"/>
    <s v="Y"/>
    <x v="21"/>
    <n v="22"/>
    <n v="905"/>
    <n v="837"/>
    <n v="8.1242532855436078"/>
    <n v="10"/>
    <n v="5"/>
    <s v="CAUTIONARY"/>
  </r>
  <r>
    <s v="EMPLOYEE"/>
    <x v="0"/>
    <x v="1"/>
    <x v="12"/>
    <s v="N"/>
    <x v="21"/>
    <n v="22"/>
    <n v="877"/>
    <n v="273"/>
    <n v="221.24542124542126"/>
    <n v="10"/>
    <n v="5"/>
    <s v="CRITICAL"/>
  </r>
  <r>
    <s v="EMPLOYEE"/>
    <x v="0"/>
    <x v="1"/>
    <x v="13"/>
    <s v="N"/>
    <x v="21"/>
    <n v="22"/>
    <n v="385"/>
    <n v="0"/>
    <n v="100"/>
    <n v="10"/>
    <n v="5"/>
    <s v="CRITICAL"/>
  </r>
  <r>
    <s v="EMPLOYEE"/>
    <x v="0"/>
    <x v="1"/>
    <x v="0"/>
    <s v="Y"/>
    <x v="22"/>
    <n v="23"/>
    <n v="9166"/>
    <n v="9166"/>
    <n v="0"/>
    <n v="10"/>
    <n v="5"/>
    <s v="PASSED"/>
  </r>
  <r>
    <s v="EMPLOYEE"/>
    <x v="0"/>
    <x v="1"/>
    <x v="1"/>
    <s v="Y"/>
    <x v="22"/>
    <n v="23"/>
    <n v="8615"/>
    <n v="8615"/>
    <n v="0"/>
    <n v="10"/>
    <n v="5"/>
    <s v="PASSED"/>
  </r>
  <r>
    <s v="EMPLOYEE"/>
    <x v="0"/>
    <x v="1"/>
    <x v="2"/>
    <s v="Y"/>
    <x v="22"/>
    <n v="23"/>
    <n v="9044"/>
    <n v="9044"/>
    <n v="0"/>
    <n v="10"/>
    <n v="5"/>
    <s v="PASSED"/>
  </r>
  <r>
    <s v="EMPLOYEE"/>
    <x v="0"/>
    <x v="1"/>
    <x v="3"/>
    <s v="Y"/>
    <x v="22"/>
    <n v="23"/>
    <n v="8445"/>
    <n v="8445"/>
    <n v="0"/>
    <n v="10"/>
    <n v="5"/>
    <s v="PASSED"/>
  </r>
  <r>
    <s v="EMPLOYEE"/>
    <x v="0"/>
    <x v="1"/>
    <x v="4"/>
    <s v="Y"/>
    <x v="22"/>
    <n v="23"/>
    <n v="8991"/>
    <n v="8991"/>
    <n v="0"/>
    <n v="10"/>
    <n v="5"/>
    <s v="PASSED"/>
  </r>
  <r>
    <s v="EMPLOYEE"/>
    <x v="0"/>
    <x v="1"/>
    <x v="5"/>
    <s v="Y"/>
    <x v="22"/>
    <n v="23"/>
    <n v="8878"/>
    <n v="8878"/>
    <n v="0"/>
    <n v="10"/>
    <n v="5"/>
    <s v="PASSED"/>
  </r>
  <r>
    <s v="EMPLOYEE"/>
    <x v="0"/>
    <x v="1"/>
    <x v="6"/>
    <s v="Y"/>
    <x v="22"/>
    <n v="23"/>
    <n v="9022"/>
    <n v="9022"/>
    <n v="0"/>
    <n v="10"/>
    <n v="5"/>
    <s v="PASSED"/>
  </r>
  <r>
    <s v="EMPLOYEE"/>
    <x v="0"/>
    <x v="1"/>
    <x v="7"/>
    <s v="Y"/>
    <x v="22"/>
    <n v="23"/>
    <n v="9397"/>
    <n v="9397"/>
    <n v="0"/>
    <n v="10"/>
    <n v="5"/>
    <s v="PASSED"/>
  </r>
  <r>
    <s v="EMPLOYEE"/>
    <x v="0"/>
    <x v="1"/>
    <x v="8"/>
    <s v="Y"/>
    <x v="22"/>
    <n v="23"/>
    <n v="10331"/>
    <n v="10331"/>
    <n v="0"/>
    <n v="10"/>
    <n v="5"/>
    <s v="PASSED"/>
  </r>
  <r>
    <s v="EMPLOYEE"/>
    <x v="0"/>
    <x v="1"/>
    <x v="9"/>
    <s v="Y"/>
    <x v="22"/>
    <n v="23"/>
    <n v="9966"/>
    <n v="9964"/>
    <n v="2.0072260136491368E-2"/>
    <n v="10"/>
    <n v="5"/>
    <s v="TRIVIAL"/>
  </r>
  <r>
    <s v="EMPLOYEE"/>
    <x v="0"/>
    <x v="1"/>
    <x v="10"/>
    <s v="Y"/>
    <x v="22"/>
    <n v="23"/>
    <n v="9036"/>
    <n v="9034"/>
    <n v="2.2138587558113793E-2"/>
    <n v="10"/>
    <n v="5"/>
    <s v="TRIVIAL"/>
  </r>
  <r>
    <s v="EMPLOYEE"/>
    <x v="0"/>
    <x v="1"/>
    <x v="11"/>
    <s v="Y"/>
    <x v="22"/>
    <n v="23"/>
    <n v="10396"/>
    <n v="10394"/>
    <n v="1.9241870309794112E-2"/>
    <n v="10"/>
    <n v="5"/>
    <s v="TRIVIAL"/>
  </r>
  <r>
    <s v="EMPLOYEE"/>
    <x v="0"/>
    <x v="1"/>
    <x v="12"/>
    <s v="N"/>
    <x v="22"/>
    <n v="23"/>
    <n v="9358"/>
    <n v="9252"/>
    <n v="1.1456982274102896"/>
    <n v="10"/>
    <n v="5"/>
    <s v="TRIVIAL"/>
  </r>
  <r>
    <s v="EMPLOYEE"/>
    <x v="0"/>
    <x v="1"/>
    <x v="13"/>
    <s v="N"/>
    <x v="22"/>
    <n v="23"/>
    <n v="9440"/>
    <n v="0"/>
    <n v="100"/>
    <n v="10"/>
    <n v="5"/>
    <s v="CRITICAL"/>
  </r>
</pivotCacheRecords>
</file>

<file path=xl/pivotCache/pivotCacheRecords2.xml><?xml version="1.0" encoding="utf-8"?>
<pivotCacheRecords xmlns="http://schemas.openxmlformats.org/spreadsheetml/2006/main" xmlns:r="http://schemas.openxmlformats.org/officeDocument/2006/relationships" count="10">
  <r>
    <s v="EMPLOYEE"/>
    <x v="0"/>
    <x v="0"/>
    <x v="0"/>
    <n v="4240928.16"/>
    <n v="4149312.58"/>
    <n v="4170760.8"/>
    <n v="4037315.35"/>
  </r>
  <r>
    <s v="EMPLOYEE"/>
    <x v="0"/>
    <x v="0"/>
    <x v="1"/>
    <n v="8516190.9000000004"/>
    <n v="8291453.2599999998"/>
    <n v="8816707.0700000003"/>
    <n v="8111501.9100000001"/>
  </r>
  <r>
    <s v="EMPLOYEE"/>
    <x v="0"/>
    <x v="0"/>
    <x v="2"/>
    <n v="13269044.17"/>
    <n v="12995057.890000001"/>
    <n v="13544724.49"/>
    <n v="12543976.23"/>
  </r>
  <r>
    <s v="EMPLOYEE"/>
    <x v="0"/>
    <x v="0"/>
    <x v="3"/>
    <n v="17683334.98"/>
    <n v="16729855.210000001"/>
    <n v="18205177.75"/>
    <n v="14048691.939999999"/>
  </r>
  <r>
    <s v="EMPLOYEE"/>
    <x v="0"/>
    <x v="0"/>
    <x v="4"/>
    <n v="22380528.27"/>
    <n v="18992401.469999999"/>
    <e v="#N/A"/>
    <e v="#N/A"/>
  </r>
  <r>
    <s v="EMPLOYEE"/>
    <x v="0"/>
    <x v="1"/>
    <x v="0"/>
    <n v="3086185.42"/>
    <n v="3014904.3"/>
    <n v="3022457.37"/>
    <n v="2923221.92"/>
  </r>
  <r>
    <s v="EMPLOYEE"/>
    <x v="0"/>
    <x v="1"/>
    <x v="1"/>
    <n v="6377777.2400000002"/>
    <n v="6202024.3899999997"/>
    <n v="6609941.5300000003"/>
    <n v="6049461.6200000001"/>
  </r>
  <r>
    <s v="EMPLOYEE"/>
    <x v="0"/>
    <x v="1"/>
    <x v="2"/>
    <n v="10138114.66"/>
    <n v="9917964.9399999995"/>
    <n v="10381795.539999999"/>
    <n v="9553912.3900000006"/>
  </r>
  <r>
    <s v="EMPLOYEE"/>
    <x v="0"/>
    <x v="1"/>
    <x v="3"/>
    <n v="13705448.710000001"/>
    <n v="12902508.470000001"/>
    <n v="14049924.75"/>
    <n v="10761237.4"/>
  </r>
  <r>
    <s v="EMPLOYEE"/>
    <x v="0"/>
    <x v="1"/>
    <x v="4"/>
    <n v="17407335.629999999"/>
    <n v="14773117.51"/>
    <e v="#N/A"/>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1">
  <location ref="A1:C16" firstHeaderRow="0" firstDataRow="1" firstDataCol="1"/>
  <pivotFields count="13">
    <pivotField showAll="0"/>
    <pivotField showAll="0" defaultSubtotal="0">
      <items count="2">
        <item x="0"/>
        <item h="1" m="1" x="1"/>
      </items>
    </pivotField>
    <pivotField showAll="0">
      <items count="4">
        <item x="0"/>
        <item h="1" x="1"/>
        <item h="1" m="1" x="2"/>
        <item t="default"/>
      </items>
    </pivotField>
    <pivotField axis="axisRow" showAll="0" sortType="ascending">
      <items count="34">
        <item m="1" x="22"/>
        <item m="1" x="24"/>
        <item m="1" x="26"/>
        <item m="1" x="28"/>
        <item m="1" x="30"/>
        <item m="1" x="31"/>
        <item m="1" x="32"/>
        <item m="1" x="17"/>
        <item m="1" x="19"/>
        <item m="1" x="21"/>
        <item m="1" x="15"/>
        <item m="1" x="16"/>
        <item m="1" x="18"/>
        <item m="1" x="20"/>
        <item m="1" x="23"/>
        <item m="1" x="25"/>
        <item m="1" x="27"/>
        <item m="1" x="29"/>
        <item x="0"/>
        <item x="1"/>
        <item x="2"/>
        <item x="3"/>
        <item x="4"/>
        <item x="5"/>
        <item x="6"/>
        <item x="7"/>
        <item x="8"/>
        <item x="9"/>
        <item x="10"/>
        <item x="11"/>
        <item x="12"/>
        <item x="13"/>
        <item m="1" x="14"/>
        <item t="default"/>
      </items>
    </pivotField>
    <pivotField showAll="0"/>
    <pivotField showAll="0">
      <items count="26">
        <item x="21"/>
        <item h="1" x="5"/>
        <item h="1" x="6"/>
        <item h="1" x="16"/>
        <item h="1" x="17"/>
        <item h="1" x="15"/>
        <item h="1" x="14"/>
        <item h="1" x="22"/>
        <item h="1" x="1"/>
        <item h="1" x="12"/>
        <item h="1" x="13"/>
        <item h="1" x="9"/>
        <item h="1" x="8"/>
        <item h="1" m="1" x="24"/>
        <item h="1" x="18"/>
        <item h="1" x="0"/>
        <item h="1" x="11"/>
        <item h="1" x="10"/>
        <item h="1" x="19"/>
        <item h="1" x="7"/>
        <item h="1" x="2"/>
        <item h="1" x="20"/>
        <item h="1" x="3"/>
        <item h="1" x="4"/>
        <item h="1" m="1" x="23"/>
        <item t="default"/>
      </items>
    </pivotField>
    <pivotField showAll="0"/>
    <pivotField dataField="1" showAll="0"/>
    <pivotField dataField="1" showAll="0"/>
    <pivotField showAll="0" defaultSubtotal="0"/>
    <pivotField showAll="0" defaultSubtotal="0"/>
    <pivotField showAll="0" defaultSubtotal="0"/>
    <pivotField showAll="0" defaultSubtotal="0"/>
  </pivotFields>
  <rowFields count="1">
    <field x="3"/>
  </rowFields>
  <rowItems count="15">
    <i>
      <x v="18"/>
    </i>
    <i>
      <x v="19"/>
    </i>
    <i>
      <x v="20"/>
    </i>
    <i>
      <x v="21"/>
    </i>
    <i>
      <x v="22"/>
    </i>
    <i>
      <x v="23"/>
    </i>
    <i>
      <x v="24"/>
    </i>
    <i>
      <x v="25"/>
    </i>
    <i>
      <x v="26"/>
    </i>
    <i>
      <x v="27"/>
    </i>
    <i>
      <x v="28"/>
    </i>
    <i>
      <x v="29"/>
    </i>
    <i>
      <x v="30"/>
    </i>
    <i>
      <x v="31"/>
    </i>
    <i t="grand">
      <x/>
    </i>
  </rowItems>
  <colFields count="1">
    <field x="-2"/>
  </colFields>
  <colItems count="2">
    <i>
      <x/>
    </i>
    <i i="1">
      <x v="1"/>
    </i>
  </colItems>
  <dataFields count="2">
    <dataField name="Production" fld="8" baseField="2" baseItem="17"/>
    <dataField name="Staging" fld="7" baseField="2" baseItem="17"/>
  </dataFields>
  <chartFormats count="2">
    <chartFormat chart="0" format="7"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1">
  <location ref="N1:P7" firstHeaderRow="0" firstDataRow="1" firstDataCol="1"/>
  <pivotFields count="8">
    <pivotField showAll="0"/>
    <pivotField showAll="0" defaultSubtotal="0">
      <items count="2">
        <item x="0"/>
        <item h="1" m="1" x="1"/>
      </items>
    </pivotField>
    <pivotField showAll="0">
      <items count="4">
        <item x="0"/>
        <item h="1" x="1"/>
        <item h="1" m="1" x="2"/>
        <item t="default"/>
      </items>
    </pivotField>
    <pivotField axis="axisRow" numFmtId="14" showAll="0">
      <items count="13">
        <item m="1" x="9"/>
        <item m="1" x="7"/>
        <item m="1" x="5"/>
        <item m="1" x="11"/>
        <item m="1" x="10"/>
        <item m="1" x="8"/>
        <item m="1" x="6"/>
        <item x="0"/>
        <item x="1"/>
        <item x="2"/>
        <item x="3"/>
        <item x="4"/>
        <item t="default"/>
      </items>
    </pivotField>
    <pivotField showAll="0"/>
    <pivotField showAll="0"/>
    <pivotField dataField="1" showAll="0"/>
    <pivotField dataField="1" showAll="0"/>
  </pivotFields>
  <rowFields count="1">
    <field x="3"/>
  </rowFields>
  <rowItems count="6">
    <i>
      <x v="7"/>
    </i>
    <i>
      <x v="8"/>
    </i>
    <i>
      <x v="9"/>
    </i>
    <i>
      <x v="10"/>
    </i>
    <i>
      <x v="11"/>
    </i>
    <i t="grand">
      <x/>
    </i>
  </rowItems>
  <colFields count="1">
    <field x="-2"/>
  </colFields>
  <colItems count="2">
    <i>
      <x/>
    </i>
    <i i="1">
      <x v="1"/>
    </i>
  </colItems>
  <dataFields count="2">
    <dataField name="Incurred" fld="6" baseField="0" baseItem="0"/>
    <dataField name="Paid" fld="7" baseField="0" baseItem="0"/>
  </dataFields>
  <chartFormats count="2">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1">
  <location ref="A1:C7" firstHeaderRow="0" firstDataRow="1" firstDataCol="1"/>
  <pivotFields count="8">
    <pivotField showAll="0"/>
    <pivotField showAll="0" defaultSubtotal="0">
      <items count="2">
        <item x="0"/>
        <item h="1" m="1" x="1"/>
      </items>
    </pivotField>
    <pivotField showAll="0">
      <items count="4">
        <item x="0"/>
        <item h="1" x="1"/>
        <item h="1" m="1" x="2"/>
        <item t="default"/>
      </items>
    </pivotField>
    <pivotField axis="axisRow" numFmtId="14" showAll="0">
      <items count="13">
        <item m="1" x="9"/>
        <item m="1" x="7"/>
        <item m="1" x="5"/>
        <item m="1" x="11"/>
        <item m="1" x="10"/>
        <item m="1" x="8"/>
        <item m="1" x="6"/>
        <item x="0"/>
        <item x="1"/>
        <item x="2"/>
        <item x="3"/>
        <item x="4"/>
        <item t="default"/>
      </items>
    </pivotField>
    <pivotField dataField="1" showAll="0"/>
    <pivotField dataField="1" showAll="0"/>
    <pivotField showAll="0"/>
    <pivotField showAll="0"/>
  </pivotFields>
  <rowFields count="1">
    <field x="3"/>
  </rowFields>
  <rowItems count="6">
    <i>
      <x v="7"/>
    </i>
    <i>
      <x v="8"/>
    </i>
    <i>
      <x v="9"/>
    </i>
    <i>
      <x v="10"/>
    </i>
    <i>
      <x v="11"/>
    </i>
    <i t="grand">
      <x/>
    </i>
  </rowItems>
  <colFields count="1">
    <field x="-2"/>
  </colFields>
  <colItems count="2">
    <i>
      <x/>
    </i>
    <i i="1">
      <x v="1"/>
    </i>
  </colItems>
  <dataFields count="2">
    <dataField name="Incurred" fld="4" baseField="2" baseItem="7"/>
    <dataField name="Paid" fld="5" baseField="0" baseItem="0"/>
  </dataFields>
  <chartFormats count="2">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st_Basis" sourceName="Cost Basis">
  <pivotTables>
    <pivotTable tabId="3" name="PivotTable1"/>
  </pivotTables>
  <data>
    <tabular pivotCacheId="1" showMissing="0">
      <items count="3">
        <i x="0" s="1"/>
        <i x="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rend" sourceName="Trend">
  <pivotTables>
    <pivotTable tabId="3" name="PivotTable1"/>
  </pivotTables>
  <data>
    <tabular pivotCacheId="1" showMissing="0">
      <items count="25">
        <i x="21" s="1"/>
        <i x="5"/>
        <i x="6"/>
        <i x="16"/>
        <i x="17"/>
        <i x="15"/>
        <i x="14"/>
        <i x="22"/>
        <i x="1"/>
        <i x="12"/>
        <i x="13"/>
        <i x="9"/>
        <i x="8"/>
        <i x="18"/>
        <i x="0"/>
        <i x="11"/>
        <i x="10"/>
        <i x="19"/>
        <i x="7"/>
        <i x="2"/>
        <i x="20"/>
        <i x="3"/>
        <i x="4"/>
        <i x="24" nd="1"/>
        <i x="2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ost_Basis1" sourceName="Cost Basis">
  <pivotTables>
    <pivotTable tabId="9" name="PivotTable2"/>
    <pivotTable tabId="9" name="PivotTable3"/>
  </pivotTables>
  <data>
    <tabular pivotCacheId="2" showMissing="0">
      <items count="3">
        <i x="0" s="1"/>
        <i x="1"/>
        <i x="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Display_Name" sourceName="Display Name">
  <pivotTables>
    <pivotTable tabId="3" name="PivotTable1"/>
  </pivotTables>
  <data>
    <tabular pivotCacheId="1" showMissing="0">
      <items count="2">
        <i x="0" s="1"/>
        <i x="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Display_Name1" sourceName="Display Name">
  <pivotTables>
    <pivotTable tabId="9" name="PivotTable2"/>
    <pivotTable tabId="9" name="PivotTable3"/>
  </pivotTables>
  <data>
    <tabular pivotCacheId="2" showMissing="0">
      <items count="2">
        <i x="0" s="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st Basis" cache="Slicer_Cost_Basis" caption="Cost Basis" rowHeight="241300"/>
  <slicer name="Trend" cache="Slicer_Trend" caption="Trend" rowHeight="241300"/>
  <slicer name="Population" cache="Slicer_Display_Name" caption="Popul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ost Basis 1" cache="Slicer_Cost_Basis1" caption="Cost Basis" rowHeight="241300"/>
  <slicer name="Population 1" cache="Slicer_Display_Name1" caption="Population" rowHeight="241300"/>
</slicers>
</file>

<file path=xl/tables/table1.xml><?xml version="1.0" encoding="utf-8"?>
<table xmlns="http://schemas.openxmlformats.org/spreadsheetml/2006/main" id="8" name="Threshold" displayName="Threshold" ref="A1:E24" totalsRowShown="0">
  <autoFilter ref="A1:E24"/>
  <tableColumns count="5">
    <tableColumn id="1" name="Vlookup" dataDxfId="21">
      <calculatedColumnFormula>Threshold[[#This Row],[Population]]&amp;Threshold[[#This Row],[Trend]]</calculatedColumnFormula>
    </tableColumn>
    <tableColumn id="2" name="Population"/>
    <tableColumn id="3" name="Trend"/>
    <tableColumn id="4" name="Critical"/>
    <tableColumn id="5" name="Trivial"/>
  </tableColumns>
  <tableStyleInfo name="TableStyleMedium2" showFirstColumn="0" showLastColumn="0" showRowStripes="1" showColumnStripes="0"/>
</table>
</file>

<file path=xl/tables/table2.xml><?xml version="1.0" encoding="utf-8"?>
<table xmlns="http://schemas.openxmlformats.org/spreadsheetml/2006/main" id="1" name="TrendSheetStgData" displayName="TrendSheetStgData" ref="A1:M645" totalsRowShown="0">
  <autoFilter ref="A1:M645"/>
  <tableColumns count="13">
    <tableColumn id="1" name="Population"/>
    <tableColumn id="10" name="Display Name"/>
    <tableColumn id="2" name="Cost Basis"/>
    <tableColumn id="3" name="Period" dataDxfId="20"/>
    <tableColumn id="4" name="IsCompleted"/>
    <tableColumn id="5" name="Trend"/>
    <tableColumn id="6" name="Trend Order"/>
    <tableColumn id="7" name="Staging Data"/>
    <tableColumn id="8" name="Production Data" dataDxfId="19">
      <calculatedColumnFormula>IFERROR(VLOOKUP(TrendSheetStgData[Population]&amp;TrendSheetStgData[Cost Basis]&amp;TrendSheetStgData[Period]&amp;TrendSheetStgData[Trend],TrendSheetPrdData[#All],9,FALSE),0)</calculatedColumnFormula>
    </tableColumn>
    <tableColumn id="9" name="Perc Deviation" dataDxfId="18">
      <calculatedColumnFormula>IF(AND(TrendSheetStgData[Staging Data] = 0, TrendSheetStgData[Production Data]=0),0,IF(OR(TrendSheetStgData[Staging Data] = 0, TrendSheetStgData[Production Data]=0), 100, ABS((TrendSheetStgData[[#This Row],[Staging Data]]-TrendSheetStgData[[#This Row],[Production Data]])/TrendSheetStgData[[#This Row],[Production Data]]*100)))</calculatedColumnFormula>
    </tableColumn>
    <tableColumn id="11" name="Critical" dataDxfId="17">
      <calculatedColumnFormula>VLOOKUP(TrendSheetStgData[Population]&amp;TrendSheetStgData[Trend],Threshold[#All],4,FALSE)</calculatedColumnFormula>
    </tableColumn>
    <tableColumn id="12" name="Trivial" dataDxfId="16">
      <calculatedColumnFormula>VLOOKUP(TrendSheetStgData[Population]&amp;TrendSheetStgData[Trend],Threshold[#All],5,FALSE)</calculatedColumnFormula>
    </tableColumn>
    <tableColumn id="13" name="Result" dataDxfId="15">
      <calculatedColumnFormula>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rendSheetPrdData" displayName="TrendSheetPrdData" ref="A1:I691" totalsRowShown="0">
  <autoFilter ref="A1:I691"/>
  <tableColumns count="9">
    <tableColumn id="10" name="Vlookup" dataDxfId="14">
      <calculatedColumnFormula>TrendSheetPrdData[[#This Row],[Population]]&amp;TrendSheetPrdData[[#This Row],[Cost Basis]]&amp;TrendSheetPrdData[[#This Row],[Period]]&amp;TrendSheetPrdData[[#This Row],[Trend]]</calculatedColumnFormula>
    </tableColumn>
    <tableColumn id="1" name="Population"/>
    <tableColumn id="8" name="Display Name"/>
    <tableColumn id="2" name="Cost Basis"/>
    <tableColumn id="3" name="Period" dataDxfId="13"/>
    <tableColumn id="4" name="IsCompleted"/>
    <tableColumn id="5" name="Trend"/>
    <tableColumn id="6" name="Trend Order"/>
    <tableColumn id="7" name="Data"/>
  </tableColumns>
  <tableStyleInfo name="TableStyleMedium2" showFirstColumn="0" showLastColumn="0" showRowStripes="1" showColumnStripes="0"/>
</table>
</file>

<file path=xl/tables/table4.xml><?xml version="1.0" encoding="utf-8"?>
<table xmlns="http://schemas.openxmlformats.org/spreadsheetml/2006/main" id="3" name="StgIBNRTrendData" displayName="StgIBNRTrendData" ref="A1:H11" totalsRowShown="0">
  <autoFilter ref="A1:H11"/>
  <tableColumns count="8">
    <tableColumn id="1" name="Population"/>
    <tableColumn id="8" name="Display Name"/>
    <tableColumn id="2" name="Cost Basis"/>
    <tableColumn id="3" name="Period" dataDxfId="12"/>
    <tableColumn id="4" name="Staging Incurred Claims"/>
    <tableColumn id="5" name="Staging Paid Claims"/>
    <tableColumn id="6" name="Production Incurred Claims" dataDxfId="11">
      <calculatedColumnFormula>VLOOKUP(StgIBNRTrendData[[#This Row],[Population]]&amp;StgIBNRTrendData[[#This Row],[Cost Basis]]&amp;StgIBNRTrendData[[#This Row],[Period]],PrdIBNRTrendData[],6,FALSE)</calculatedColumnFormula>
    </tableColumn>
    <tableColumn id="7" name="Production Paid Claims" dataDxfId="10">
      <calculatedColumnFormula>VLOOKUP(StgIBNRTrendData[[#This Row],[Population]]&amp;StgIBNRTrendData[[#This Row],[Cost Basis]]&amp;StgIBNRTrendData[[#This Row],[Period]],PrdIBNRTrendData[],7,FALSE)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PrdIBNRTrendData" displayName="PrdIBNRTrendData" ref="A1:G9" totalsRowShown="0">
  <autoFilter ref="A1:G9"/>
  <tableColumns count="7">
    <tableColumn id="1" name="Vlookup" dataDxfId="9">
      <calculatedColumnFormula>PrdIBNRTrendData[[#This Row],[Population]]&amp;PrdIBNRTrendData[[#This Row],[Cost Basis]]&amp;PrdIBNRTrendData[[#This Row],[Period]]</calculatedColumnFormula>
    </tableColumn>
    <tableColumn id="2" name="Population"/>
    <tableColumn id="7" name="Display Name"/>
    <tableColumn id="3" name="Cost Basis"/>
    <tableColumn id="4" name="Period" dataDxfId="8"/>
    <tableColumn id="5" name="Incurred Claims"/>
    <tableColumn id="6" name="Paid Claims"/>
  </tableColumns>
  <tableStyleInfo name="TableStyleMedium2" showFirstColumn="0" showLastColumn="0" showRowStripes="1" showColumnStripes="0"/>
</table>
</file>

<file path=xl/tables/table6.xml><?xml version="1.0" encoding="utf-8"?>
<table xmlns="http://schemas.openxmlformats.org/spreadsheetml/2006/main" id="4" name="OtherChecksTable" displayName="OtherChecksTable" ref="B3:G9" totalsRowShown="0" dataDxfId="7">
  <autoFilter ref="B3:G9"/>
  <tableColumns count="6">
    <tableColumn id="1" name="Population" dataDxfId="6"/>
    <tableColumn id="2" name="DisplayName" dataDxfId="5"/>
    <tableColumn id="3" name="Tabs" dataDxfId="4"/>
    <tableColumn id="4" name="Checks" dataDxfId="3"/>
    <tableColumn id="5" name="Staging" dataDxfId="2"/>
    <tableColumn id="6" name="Prodution" dataDxfId="1">
      <calculatedColumnFormula>VLOOKUP(OtherChecksTable[[#This Row],[Population]]&amp;OtherChecksTable[[#This Row],[Tabs]]&amp;OtherChecksTable[[#This Row],[Checks]],OtherChecksPrdTable[],6,FALSE)</calculatedColumnFormula>
    </tableColumn>
  </tableColumns>
  <tableStyleInfo name="TableStyleLight9" showFirstColumn="0" showLastColumn="0" showRowStripes="1" showColumnStripes="0"/>
</table>
</file>

<file path=xl/tables/table7.xml><?xml version="1.0" encoding="utf-8"?>
<table xmlns="http://schemas.openxmlformats.org/spreadsheetml/2006/main" id="7" name="OtherChecksPrdTable" displayName="OtherChecksPrdTable" ref="C3:H9" totalsRowShown="0">
  <autoFilter ref="C3:H9"/>
  <tableColumns count="6">
    <tableColumn id="6" name="Vlookup" dataDxfId="0">
      <calculatedColumnFormula>OtherChecksPrdTable[[#This Row],[Population]]&amp;OtherChecksPrdTable[[#This Row],[Tabs]]&amp;OtherChecksPrdTable[[#This Row],[Checks]]</calculatedColumnFormula>
    </tableColumn>
    <tableColumn id="1" name="Population"/>
    <tableColumn id="2" name="DisplayName"/>
    <tableColumn id="3" name="Tabs"/>
    <tableColumn id="4" name="Checks"/>
    <tableColumn id="5" name="Result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2.bin"/><Relationship Id="rId16" Type="http://schemas.openxmlformats.org/officeDocument/2006/relationships/ctrlProp" Target="../ctrlProps/ctrlProp12.xml"/><Relationship Id="rId1" Type="http://schemas.openxmlformats.org/officeDocument/2006/relationships/hyperlink" Target="https://wiki.advisory.com/login.action;jsessionid=05F1141AFC5C97FD163DFCBE0D2142E0?os_destination=%2Fpages%2Fviewpage.action%3Ftitle%3DCPRM%2BSite%2BBuild%26spaceKey%3DCPR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24"/>
  <sheetViews>
    <sheetView workbookViewId="0">
      <selection activeCell="D13" sqref="D13"/>
    </sheetView>
  </sheetViews>
  <sheetFormatPr defaultRowHeight="15" x14ac:dyDescent="0.25"/>
  <cols>
    <col min="1" max="1" width="10.7109375" bestFit="1" customWidth="1"/>
    <col min="2" max="2" width="13" bestFit="1" customWidth="1"/>
    <col min="3" max="3" width="8.42578125" bestFit="1" customWidth="1"/>
    <col min="4" max="4" width="9.42578125" bestFit="1" customWidth="1"/>
    <col min="5" max="5" width="8.7109375" bestFit="1" customWidth="1"/>
  </cols>
  <sheetData>
    <row r="1" spans="1:5" x14ac:dyDescent="0.25">
      <c r="A1" t="s">
        <v>38</v>
      </c>
      <c r="B1" t="s">
        <v>0</v>
      </c>
      <c r="C1" t="s">
        <v>4</v>
      </c>
      <c r="D1" t="s">
        <v>86</v>
      </c>
      <c r="E1" t="s">
        <v>87</v>
      </c>
    </row>
    <row r="2" spans="1:5" x14ac:dyDescent="0.25">
      <c r="A2" t="str">
        <f>Threshold[[#This Row],[Population]]&amp;Threshold[[#This Row],[Trend]]</f>
        <v>EMPLOYEEAncillary Claim Count</v>
      </c>
      <c r="B2" t="s">
        <v>90</v>
      </c>
      <c r="C2" t="s">
        <v>33</v>
      </c>
      <c r="D2">
        <v>10</v>
      </c>
      <c r="E2">
        <v>5</v>
      </c>
    </row>
    <row r="3" spans="1:5" x14ac:dyDescent="0.25">
      <c r="A3" s="5" t="str">
        <f>Threshold[[#This Row],[Population]]&amp;Threshold[[#This Row],[Trend]]</f>
        <v>EMPLOYEEAvoidable Admission Cost</v>
      </c>
      <c r="B3" t="s">
        <v>90</v>
      </c>
      <c r="C3" t="s">
        <v>17</v>
      </c>
      <c r="D3">
        <v>10</v>
      </c>
      <c r="E3">
        <v>5</v>
      </c>
    </row>
    <row r="4" spans="1:5" x14ac:dyDescent="0.25">
      <c r="A4" s="5" t="str">
        <f>Threshold[[#This Row],[Population]]&amp;Threshold[[#This Row],[Trend]]</f>
        <v>EMPLOYEEAvoidable Admission Quality</v>
      </c>
      <c r="B4" t="s">
        <v>90</v>
      </c>
      <c r="C4" t="s">
        <v>18</v>
      </c>
      <c r="D4">
        <v>10</v>
      </c>
      <c r="E4">
        <v>5</v>
      </c>
    </row>
    <row r="5" spans="1:5" x14ac:dyDescent="0.25">
      <c r="A5" s="5" t="str">
        <f>Threshold[[#This Row],[Population]]&amp;Threshold[[#This Row],[Trend]]</f>
        <v>EMPLOYEEChronic Disease Management - Cost</v>
      </c>
      <c r="B5" t="s">
        <v>90</v>
      </c>
      <c r="C5" t="s">
        <v>28</v>
      </c>
      <c r="D5">
        <v>10</v>
      </c>
      <c r="E5">
        <v>5</v>
      </c>
    </row>
    <row r="6" spans="1:5" x14ac:dyDescent="0.25">
      <c r="A6" s="5" t="str">
        <f>Threshold[[#This Row],[Population]]&amp;Threshold[[#This Row],[Trend]]</f>
        <v>EMPLOYEEChronic Disease Management - Members</v>
      </c>
      <c r="B6" t="s">
        <v>90</v>
      </c>
      <c r="C6" t="s">
        <v>29</v>
      </c>
      <c r="D6">
        <v>10</v>
      </c>
      <c r="E6">
        <v>5</v>
      </c>
    </row>
    <row r="7" spans="1:5" x14ac:dyDescent="0.25">
      <c r="A7" s="5" t="str">
        <f>Threshold[[#This Row],[Population]]&amp;Threshold[[#This Row],[Trend]]</f>
        <v>EMPLOYEEDrug - Generic Utilization</v>
      </c>
      <c r="B7" t="s">
        <v>90</v>
      </c>
      <c r="C7" t="s">
        <v>27</v>
      </c>
      <c r="D7">
        <v>10</v>
      </c>
      <c r="E7">
        <v>5</v>
      </c>
    </row>
    <row r="8" spans="1:5" x14ac:dyDescent="0.25">
      <c r="A8" s="5" t="str">
        <f>Threshold[[#This Row],[Population]]&amp;Threshold[[#This Row],[Trend]]</f>
        <v>EMPLOYEEDrug - Generic Utilization Cost</v>
      </c>
      <c r="B8" t="s">
        <v>90</v>
      </c>
      <c r="C8" t="s">
        <v>26</v>
      </c>
      <c r="D8">
        <v>10</v>
      </c>
      <c r="E8">
        <v>5</v>
      </c>
    </row>
    <row r="9" spans="1:5" x14ac:dyDescent="0.25">
      <c r="A9" s="5" t="str">
        <f>Threshold[[#This Row],[Population]]&amp;Threshold[[#This Row],[Trend]]</f>
        <v>EMPLOYEEDrug Claim Count</v>
      </c>
      <c r="B9" t="s">
        <v>90</v>
      </c>
      <c r="C9" t="s">
        <v>34</v>
      </c>
      <c r="D9">
        <v>10</v>
      </c>
      <c r="E9">
        <v>5</v>
      </c>
    </row>
    <row r="10" spans="1:5" x14ac:dyDescent="0.25">
      <c r="A10" s="5" t="str">
        <f>Threshold[[#This Row],[Population]]&amp;Threshold[[#This Row],[Trend]]</f>
        <v>EMPLOYEEDrug PMPM</v>
      </c>
      <c r="B10" t="s">
        <v>90</v>
      </c>
      <c r="C10" t="s">
        <v>13</v>
      </c>
      <c r="D10">
        <v>10</v>
      </c>
      <c r="E10">
        <v>5</v>
      </c>
    </row>
    <row r="11" spans="1:5" x14ac:dyDescent="0.25">
      <c r="A11" s="5" t="str">
        <f>Threshold[[#This Row],[Population]]&amp;Threshold[[#This Row],[Trend]]</f>
        <v>EMPLOYEEED Cost</v>
      </c>
      <c r="B11" t="s">
        <v>90</v>
      </c>
      <c r="C11" t="s">
        <v>24</v>
      </c>
      <c r="D11">
        <v>10</v>
      </c>
      <c r="E11">
        <v>5</v>
      </c>
    </row>
    <row r="12" spans="1:5" x14ac:dyDescent="0.25">
      <c r="A12" s="5" t="str">
        <f>Threshold[[#This Row],[Population]]&amp;Threshold[[#This Row],[Trend]]</f>
        <v>EMPLOYEEED Utilization</v>
      </c>
      <c r="B12" t="s">
        <v>90</v>
      </c>
      <c r="C12" t="s">
        <v>25</v>
      </c>
      <c r="D12">
        <v>10</v>
      </c>
      <c r="E12">
        <v>5</v>
      </c>
    </row>
    <row r="13" spans="1:5" x14ac:dyDescent="0.25">
      <c r="A13" s="5" t="str">
        <f>Threshold[[#This Row],[Population]]&amp;Threshold[[#This Row],[Trend]]</f>
        <v>EMPLOYEEHospiatl Outpatient CTs per 1k</v>
      </c>
      <c r="B13" t="s">
        <v>90</v>
      </c>
      <c r="C13" t="s">
        <v>21</v>
      </c>
      <c r="D13">
        <v>10</v>
      </c>
      <c r="E13">
        <v>5</v>
      </c>
    </row>
    <row r="14" spans="1:5" x14ac:dyDescent="0.25">
      <c r="A14" s="5" t="str">
        <f>Threshold[[#This Row],[Population]]&amp;Threshold[[#This Row],[Trend]]</f>
        <v>EMPLOYEEHospiatl Outpatient MRIs per 1k</v>
      </c>
      <c r="B14" t="s">
        <v>90</v>
      </c>
      <c r="C14" t="s">
        <v>20</v>
      </c>
      <c r="D14">
        <v>10</v>
      </c>
      <c r="E14">
        <v>5</v>
      </c>
    </row>
    <row r="15" spans="1:5" x14ac:dyDescent="0.25">
      <c r="A15" s="5" t="str">
        <f>Threshold[[#This Row],[Population]]&amp;Threshold[[#This Row],[Trend]]</f>
        <v>EMPLOYEEInpatient Claim Count</v>
      </c>
      <c r="B15" t="s">
        <v>90</v>
      </c>
      <c r="C15" t="s">
        <v>30</v>
      </c>
      <c r="D15">
        <v>10</v>
      </c>
      <c r="E15">
        <v>5</v>
      </c>
    </row>
    <row r="16" spans="1:5" x14ac:dyDescent="0.25">
      <c r="A16" s="5" t="str">
        <f>Threshold[[#This Row],[Population]]&amp;Threshold[[#This Row],[Trend]]</f>
        <v>EMPLOYEEMedical PMPM</v>
      </c>
      <c r="B16" t="s">
        <v>90</v>
      </c>
      <c r="C16" t="s">
        <v>12</v>
      </c>
      <c r="D16">
        <v>10</v>
      </c>
      <c r="E16">
        <v>5</v>
      </c>
    </row>
    <row r="17" spans="1:5" x14ac:dyDescent="0.25">
      <c r="A17" s="5" t="str">
        <f>Threshold[[#This Row],[Population]]&amp;Threshold[[#This Row],[Trend]]</f>
        <v>EMPLOYEEOffice Based CTs per 1k</v>
      </c>
      <c r="B17" t="s">
        <v>90</v>
      </c>
      <c r="C17" t="s">
        <v>23</v>
      </c>
      <c r="D17">
        <v>10</v>
      </c>
      <c r="E17">
        <v>5</v>
      </c>
    </row>
    <row r="18" spans="1:5" x14ac:dyDescent="0.25">
      <c r="A18" s="5" t="str">
        <f>Threshold[[#This Row],[Population]]&amp;Threshold[[#This Row],[Trend]]</f>
        <v>EMPLOYEEOffice Based MRIs per 1k</v>
      </c>
      <c r="B18" t="s">
        <v>90</v>
      </c>
      <c r="C18" t="s">
        <v>22</v>
      </c>
      <c r="D18">
        <v>10</v>
      </c>
      <c r="E18">
        <v>5</v>
      </c>
    </row>
    <row r="19" spans="1:5" x14ac:dyDescent="0.25">
      <c r="A19" s="5" t="str">
        <f>Threshold[[#This Row],[Population]]&amp;Threshold[[#This Row],[Trend]]</f>
        <v>EMPLOYEEOutpatient Claim Count</v>
      </c>
      <c r="B19" t="s">
        <v>90</v>
      </c>
      <c r="C19" t="s">
        <v>31</v>
      </c>
      <c r="D19">
        <v>10</v>
      </c>
      <c r="E19">
        <v>5</v>
      </c>
    </row>
    <row r="20" spans="1:5" x14ac:dyDescent="0.25">
      <c r="A20" s="5" t="str">
        <f>Threshold[[#This Row],[Population]]&amp;Threshold[[#This Row],[Trend]]</f>
        <v>EMPLOYEEOutpatient Imaging Cost</v>
      </c>
      <c r="B20" t="s">
        <v>90</v>
      </c>
      <c r="C20" t="s">
        <v>19</v>
      </c>
      <c r="D20">
        <v>10</v>
      </c>
      <c r="E20">
        <v>5</v>
      </c>
    </row>
    <row r="21" spans="1:5" x14ac:dyDescent="0.25">
      <c r="A21" s="5" t="str">
        <f>Threshold[[#This Row],[Population]]&amp;Threshold[[#This Row],[Trend]]</f>
        <v>EMPLOYEEOverall PMPM</v>
      </c>
      <c r="B21" t="s">
        <v>90</v>
      </c>
      <c r="C21" t="s">
        <v>14</v>
      </c>
      <c r="D21">
        <v>10</v>
      </c>
      <c r="E21">
        <v>5</v>
      </c>
    </row>
    <row r="22" spans="1:5" x14ac:dyDescent="0.25">
      <c r="A22" s="5" t="str">
        <f>Threshold[[#This Row],[Population]]&amp;Threshold[[#This Row],[Trend]]</f>
        <v>EMPLOYEEProfessional Claim Count</v>
      </c>
      <c r="B22" t="s">
        <v>90</v>
      </c>
      <c r="C22" t="s">
        <v>32</v>
      </c>
      <c r="D22">
        <v>10</v>
      </c>
      <c r="E22">
        <v>5</v>
      </c>
    </row>
    <row r="23" spans="1:5" x14ac:dyDescent="0.25">
      <c r="A23" s="5" t="str">
        <f>Threshold[[#This Row],[Population]]&amp;Threshold[[#This Row],[Trend]]</f>
        <v>EMPLOYEEReadmission Cost</v>
      </c>
      <c r="B23" t="s">
        <v>90</v>
      </c>
      <c r="C23" t="s">
        <v>15</v>
      </c>
      <c r="D23">
        <v>10</v>
      </c>
      <c r="E23">
        <v>5</v>
      </c>
    </row>
    <row r="24" spans="1:5" x14ac:dyDescent="0.25">
      <c r="A24" s="5" t="str">
        <f>Threshold[[#This Row],[Population]]&amp;Threshold[[#This Row],[Trend]]</f>
        <v>EMPLOYEEReadmission Quality</v>
      </c>
      <c r="B24" t="s">
        <v>90</v>
      </c>
      <c r="C24" t="s">
        <v>16</v>
      </c>
      <c r="D24">
        <v>10</v>
      </c>
      <c r="E24">
        <v>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45"/>
  <sheetViews>
    <sheetView tabSelected="1" topLeftCell="C1" workbookViewId="0">
      <selection activeCell="I2" sqref="I2"/>
    </sheetView>
  </sheetViews>
  <sheetFormatPr defaultRowHeight="15" x14ac:dyDescent="0.25"/>
  <cols>
    <col min="1" max="1" width="46.7109375" bestFit="1" customWidth="1"/>
    <col min="2" max="2" width="46.7109375" customWidth="1"/>
    <col min="3" max="3" width="11.85546875" customWidth="1"/>
    <col min="4" max="4" width="9.7109375" bestFit="1" customWidth="1"/>
    <col min="5" max="5" width="14.42578125" customWidth="1"/>
    <col min="6" max="6" width="38.140625" bestFit="1" customWidth="1"/>
    <col min="7" max="7" width="13.85546875" customWidth="1"/>
    <col min="8" max="8" width="14" customWidth="1"/>
    <col min="9" max="9" width="17.28515625" customWidth="1"/>
    <col min="10" max="11" width="23.7109375" customWidth="1"/>
    <col min="12" max="12" width="27" customWidth="1"/>
    <col min="13" max="13" width="23.42578125" customWidth="1"/>
  </cols>
  <sheetData>
    <row r="1" spans="1:13" x14ac:dyDescent="0.25">
      <c r="A1" t="s">
        <v>0</v>
      </c>
      <c r="B1" t="s">
        <v>85</v>
      </c>
      <c r="C1" t="s">
        <v>1</v>
      </c>
      <c r="D1" t="s">
        <v>2</v>
      </c>
      <c r="E1" t="s">
        <v>3</v>
      </c>
      <c r="F1" t="s">
        <v>4</v>
      </c>
      <c r="G1" t="s">
        <v>5</v>
      </c>
      <c r="H1" t="s">
        <v>6</v>
      </c>
      <c r="I1" t="s">
        <v>7</v>
      </c>
      <c r="J1" t="s">
        <v>88</v>
      </c>
      <c r="K1" t="s">
        <v>86</v>
      </c>
      <c r="L1" t="s">
        <v>87</v>
      </c>
      <c r="M1" t="s">
        <v>89</v>
      </c>
    </row>
    <row r="2" spans="1:13" x14ac:dyDescent="0.25">
      <c r="A2" t="s">
        <v>90</v>
      </c>
      <c r="B2" t="s">
        <v>90</v>
      </c>
      <c r="C2" t="s">
        <v>91</v>
      </c>
      <c r="D2" s="1" t="s">
        <v>92</v>
      </c>
      <c r="E2" t="s">
        <v>93</v>
      </c>
      <c r="F2" t="s">
        <v>12</v>
      </c>
      <c r="G2">
        <v>1</v>
      </c>
      <c r="H2">
        <v>348.24</v>
      </c>
      <c r="I2" s="5">
        <f>IFERROR(VLOOKUP(TrendSheetStgData[Population]&amp;TrendSheetStgData[Cost Basis]&amp;TrendSheetStgData[Period]&amp;TrendSheetStgData[Trend],TrendSheetPrdData[#All],9,FALSE),0)</f>
        <v>348.22</v>
      </c>
      <c r="J2" s="5">
        <f>IF(AND(TrendSheetStgData[Staging Data] = 0, TrendSheetStgData[Production Data]=0),0,IF(OR(TrendSheetStgData[Staging Data] = 0, TrendSheetStgData[Production Data]=0), 100, ABS((TrendSheetStgData[[#This Row],[Staging Data]]-TrendSheetStgData[[#This Row],[Production Data]])/TrendSheetStgData[[#This Row],[Production Data]]*100)))</f>
        <v>5.7434954913508146E-3</v>
      </c>
      <c r="K2" s="5">
        <f>VLOOKUP(TrendSheetStgData[Population]&amp;TrendSheetStgData[Trend],Threshold[#All],4,FALSE)</f>
        <v>10</v>
      </c>
      <c r="L2" s="5">
        <f>VLOOKUP(TrendSheetStgData[Population]&amp;TrendSheetStgData[Trend],Threshold[#All],5,FALSE)</f>
        <v>5</v>
      </c>
      <c r="M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 spans="1:13" x14ac:dyDescent="0.25">
      <c r="A3" t="s">
        <v>90</v>
      </c>
      <c r="B3" t="s">
        <v>90</v>
      </c>
      <c r="C3" t="s">
        <v>91</v>
      </c>
      <c r="D3" s="1" t="s">
        <v>94</v>
      </c>
      <c r="E3" t="s">
        <v>93</v>
      </c>
      <c r="F3" t="s">
        <v>12</v>
      </c>
      <c r="G3">
        <v>1</v>
      </c>
      <c r="H3">
        <v>335.53</v>
      </c>
      <c r="I3" s="5">
        <f>IFERROR(VLOOKUP(TrendSheetStgData[Population]&amp;TrendSheetStgData[Cost Basis]&amp;TrendSheetStgData[Period]&amp;TrendSheetStgData[Trend],TrendSheetPrdData[#All],9,FALSE),0)</f>
        <v>335.38</v>
      </c>
      <c r="J3"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4.4725386129160133E-2</v>
      </c>
      <c r="K3" s="5">
        <f>VLOOKUP(TrendSheetStgData[Population]&amp;TrendSheetStgData[Trend],Threshold[#All],4,FALSE)</f>
        <v>10</v>
      </c>
      <c r="L3" s="5">
        <f>VLOOKUP(TrendSheetStgData[Population]&amp;TrendSheetStgData[Trend],Threshold[#All],5,FALSE)</f>
        <v>5</v>
      </c>
      <c r="M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 spans="1:13" x14ac:dyDescent="0.25">
      <c r="A4" t="s">
        <v>90</v>
      </c>
      <c r="B4" t="s">
        <v>90</v>
      </c>
      <c r="C4" t="s">
        <v>91</v>
      </c>
      <c r="D4" s="1" t="s">
        <v>95</v>
      </c>
      <c r="E4" t="s">
        <v>93</v>
      </c>
      <c r="F4" t="s">
        <v>12</v>
      </c>
      <c r="G4">
        <v>1</v>
      </c>
      <c r="H4">
        <v>401.15</v>
      </c>
      <c r="I4" s="5">
        <f>IFERROR(VLOOKUP(TrendSheetStgData[Population]&amp;TrendSheetStgData[Cost Basis]&amp;TrendSheetStgData[Period]&amp;TrendSheetStgData[Trend],TrendSheetPrdData[#All],9,FALSE),0)</f>
        <v>400.94</v>
      </c>
      <c r="J4" s="5">
        <f>IF(AND(TrendSheetStgData[Staging Data] = 0, TrendSheetStgData[Production Data]=0),0,IF(OR(TrendSheetStgData[Staging Data] = 0, TrendSheetStgData[Production Data]=0), 100, ABS((TrendSheetStgData[[#This Row],[Staging Data]]-TrendSheetStgData[[#This Row],[Production Data]])/TrendSheetStgData[[#This Row],[Production Data]]*100)))</f>
        <v>5.2376914251503849E-2</v>
      </c>
      <c r="K4" s="5">
        <f>VLOOKUP(TrendSheetStgData[Population]&amp;TrendSheetStgData[Trend],Threshold[#All],4,FALSE)</f>
        <v>10</v>
      </c>
      <c r="L4" s="5">
        <f>VLOOKUP(TrendSheetStgData[Population]&amp;TrendSheetStgData[Trend],Threshold[#All],5,FALSE)</f>
        <v>5</v>
      </c>
      <c r="M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 spans="1:13" x14ac:dyDescent="0.25">
      <c r="A5" t="s">
        <v>90</v>
      </c>
      <c r="B5" t="s">
        <v>90</v>
      </c>
      <c r="C5" t="s">
        <v>91</v>
      </c>
      <c r="D5" s="1" t="s">
        <v>96</v>
      </c>
      <c r="E5" t="s">
        <v>93</v>
      </c>
      <c r="F5" t="s">
        <v>12</v>
      </c>
      <c r="G5">
        <v>1</v>
      </c>
      <c r="H5">
        <v>344.87</v>
      </c>
      <c r="I5" s="5">
        <f>IFERROR(VLOOKUP(TrendSheetStgData[Population]&amp;TrendSheetStgData[Cost Basis]&amp;TrendSheetStgData[Period]&amp;TrendSheetStgData[Trend],TrendSheetPrdData[#All],9,FALSE),0)</f>
        <v>341.43</v>
      </c>
      <c r="J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1.0075271651583042</v>
      </c>
      <c r="K5" s="5">
        <f>VLOOKUP(TrendSheetStgData[Population]&amp;TrendSheetStgData[Trend],Threshold[#All],4,FALSE)</f>
        <v>10</v>
      </c>
      <c r="L5" s="5">
        <f>VLOOKUP(TrendSheetStgData[Population]&amp;TrendSheetStgData[Trend],Threshold[#All],5,FALSE)</f>
        <v>5</v>
      </c>
      <c r="M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 spans="1:13" x14ac:dyDescent="0.25">
      <c r="A6" t="s">
        <v>90</v>
      </c>
      <c r="B6" t="s">
        <v>90</v>
      </c>
      <c r="C6" t="s">
        <v>91</v>
      </c>
      <c r="D6" s="1" t="s">
        <v>97</v>
      </c>
      <c r="E6" t="s">
        <v>93</v>
      </c>
      <c r="F6" t="s">
        <v>12</v>
      </c>
      <c r="G6">
        <v>1</v>
      </c>
      <c r="H6">
        <v>328.7</v>
      </c>
      <c r="I6" s="5">
        <f>IFERROR(VLOOKUP(TrendSheetStgData[Population]&amp;TrendSheetStgData[Cost Basis]&amp;TrendSheetStgData[Period]&amp;TrendSheetStgData[Trend],TrendSheetPrdData[#All],9,FALSE),0)</f>
        <v>328.19</v>
      </c>
      <c r="J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0.15539778786678171</v>
      </c>
      <c r="K6" s="5">
        <f>VLOOKUP(TrendSheetStgData[Population]&amp;TrendSheetStgData[Trend],Threshold[#All],4,FALSE)</f>
        <v>10</v>
      </c>
      <c r="L6" s="5">
        <f>VLOOKUP(TrendSheetStgData[Population]&amp;TrendSheetStgData[Trend],Threshold[#All],5,FALSE)</f>
        <v>5</v>
      </c>
      <c r="M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 spans="1:13" x14ac:dyDescent="0.25">
      <c r="A7" t="s">
        <v>90</v>
      </c>
      <c r="B7" t="s">
        <v>90</v>
      </c>
      <c r="C7" t="s">
        <v>91</v>
      </c>
      <c r="D7" s="1" t="s">
        <v>98</v>
      </c>
      <c r="E7" t="s">
        <v>93</v>
      </c>
      <c r="F7" t="s">
        <v>12</v>
      </c>
      <c r="G7">
        <v>1</v>
      </c>
      <c r="H7">
        <v>376.01</v>
      </c>
      <c r="I7" s="5">
        <f>IFERROR(VLOOKUP(TrendSheetStgData[Population]&amp;TrendSheetStgData[Cost Basis]&amp;TrendSheetStgData[Period]&amp;TrendSheetStgData[Trend],TrendSheetPrdData[#All],9,FALSE),0)</f>
        <v>375.95</v>
      </c>
      <c r="J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1.5959569091635133E-2</v>
      </c>
      <c r="K7" s="5">
        <f>VLOOKUP(TrendSheetStgData[Population]&amp;TrendSheetStgData[Trend],Threshold[#All],4,FALSE)</f>
        <v>10</v>
      </c>
      <c r="L7" s="5">
        <f>VLOOKUP(TrendSheetStgData[Population]&amp;TrendSheetStgData[Trend],Threshold[#All],5,FALSE)</f>
        <v>5</v>
      </c>
      <c r="M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 spans="1:13" x14ac:dyDescent="0.25">
      <c r="A8" t="s">
        <v>90</v>
      </c>
      <c r="B8" t="s">
        <v>90</v>
      </c>
      <c r="C8" t="s">
        <v>91</v>
      </c>
      <c r="D8" s="1" t="s">
        <v>99</v>
      </c>
      <c r="E8" t="s">
        <v>93</v>
      </c>
      <c r="F8" t="s">
        <v>12</v>
      </c>
      <c r="G8">
        <v>1</v>
      </c>
      <c r="H8">
        <v>356.92</v>
      </c>
      <c r="I8" s="5">
        <f>IFERROR(VLOOKUP(TrendSheetStgData[Population]&amp;TrendSheetStgData[Cost Basis]&amp;TrendSheetStgData[Period]&amp;TrendSheetStgData[Trend],TrendSheetPrdData[#All],9,FALSE),0)</f>
        <v>353.37</v>
      </c>
      <c r="J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1.0046127288677622</v>
      </c>
      <c r="K8" s="5">
        <f>VLOOKUP(TrendSheetStgData[Population]&amp;TrendSheetStgData[Trend],Threshold[#All],4,FALSE)</f>
        <v>10</v>
      </c>
      <c r="L8" s="5">
        <f>VLOOKUP(TrendSheetStgData[Population]&amp;TrendSheetStgData[Trend],Threshold[#All],5,FALSE)</f>
        <v>5</v>
      </c>
      <c r="M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 spans="1:13" x14ac:dyDescent="0.25">
      <c r="A9" t="s">
        <v>90</v>
      </c>
      <c r="B9" t="s">
        <v>90</v>
      </c>
      <c r="C9" t="s">
        <v>91</v>
      </c>
      <c r="D9" s="1" t="s">
        <v>100</v>
      </c>
      <c r="E9" t="s">
        <v>93</v>
      </c>
      <c r="F9" t="s">
        <v>12</v>
      </c>
      <c r="G9">
        <v>1</v>
      </c>
      <c r="H9">
        <v>376.16</v>
      </c>
      <c r="I9" s="5">
        <f>IFERROR(VLOOKUP(TrendSheetStgData[Population]&amp;TrendSheetStgData[Cost Basis]&amp;TrendSheetStgData[Period]&amp;TrendSheetStgData[Trend],TrendSheetPrdData[#All],9,FALSE),0)</f>
        <v>375.43</v>
      </c>
      <c r="J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0.1944437045521184</v>
      </c>
      <c r="K9" s="5">
        <f>VLOOKUP(TrendSheetStgData[Population]&amp;TrendSheetStgData[Trend],Threshold[#All],4,FALSE)</f>
        <v>10</v>
      </c>
      <c r="L9" s="5">
        <f>VLOOKUP(TrendSheetStgData[Population]&amp;TrendSheetStgData[Trend],Threshold[#All],5,FALSE)</f>
        <v>5</v>
      </c>
      <c r="M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 spans="1:13" x14ac:dyDescent="0.25">
      <c r="A10" t="s">
        <v>90</v>
      </c>
      <c r="B10" t="s">
        <v>90</v>
      </c>
      <c r="C10" t="s">
        <v>91</v>
      </c>
      <c r="D10" s="1" t="s">
        <v>101</v>
      </c>
      <c r="E10" t="s">
        <v>93</v>
      </c>
      <c r="F10" t="s">
        <v>12</v>
      </c>
      <c r="G10">
        <v>1</v>
      </c>
      <c r="H10">
        <v>391.34</v>
      </c>
      <c r="I10" s="5">
        <f>IFERROR(VLOOKUP(TrendSheetStgData[Population]&amp;TrendSheetStgData[Cost Basis]&amp;TrendSheetStgData[Period]&amp;TrendSheetStgData[Trend],TrendSheetPrdData[#All],9,FALSE),0)</f>
        <v>390.28</v>
      </c>
      <c r="J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0.27159987701137706</v>
      </c>
      <c r="K10" s="5">
        <f>VLOOKUP(TrendSheetStgData[Population]&amp;TrendSheetStgData[Trend],Threshold[#All],4,FALSE)</f>
        <v>10</v>
      </c>
      <c r="L10" s="5">
        <f>VLOOKUP(TrendSheetStgData[Population]&amp;TrendSheetStgData[Trend],Threshold[#All],5,FALSE)</f>
        <v>5</v>
      </c>
      <c r="M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1" spans="1:13" x14ac:dyDescent="0.25">
      <c r="A11" t="s">
        <v>90</v>
      </c>
      <c r="B11" t="s">
        <v>90</v>
      </c>
      <c r="C11" t="s">
        <v>91</v>
      </c>
      <c r="D11" s="1" t="s">
        <v>102</v>
      </c>
      <c r="E11" t="s">
        <v>93</v>
      </c>
      <c r="F11" t="s">
        <v>12</v>
      </c>
      <c r="G11">
        <v>1</v>
      </c>
      <c r="H11">
        <v>348.47</v>
      </c>
      <c r="I11" s="5">
        <f>IFERROR(VLOOKUP(TrendSheetStgData[Population]&amp;TrendSheetStgData[Cost Basis]&amp;TrendSheetStgData[Period]&amp;TrendSheetStgData[Trend],TrendSheetPrdData[#All],9,FALSE),0)</f>
        <v>336.88</v>
      </c>
      <c r="J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3.4403942056518733</v>
      </c>
      <c r="K11" s="5">
        <f>VLOOKUP(TrendSheetStgData[Population]&amp;TrendSheetStgData[Trend],Threshold[#All],4,FALSE)</f>
        <v>10</v>
      </c>
      <c r="L11" s="5">
        <f>VLOOKUP(TrendSheetStgData[Population]&amp;TrendSheetStgData[Trend],Threshold[#All],5,FALSE)</f>
        <v>5</v>
      </c>
      <c r="M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2" spans="1:13" x14ac:dyDescent="0.25">
      <c r="A12" t="s">
        <v>90</v>
      </c>
      <c r="B12" t="s">
        <v>90</v>
      </c>
      <c r="C12" t="s">
        <v>91</v>
      </c>
      <c r="D12" s="1" t="s">
        <v>103</v>
      </c>
      <c r="E12" t="s">
        <v>93</v>
      </c>
      <c r="F12" t="s">
        <v>12</v>
      </c>
      <c r="G12">
        <v>1</v>
      </c>
      <c r="H12">
        <v>352.45</v>
      </c>
      <c r="I12" s="5">
        <f>IFERROR(VLOOKUP(TrendSheetStgData[Population]&amp;TrendSheetStgData[Cost Basis]&amp;TrendSheetStgData[Period]&amp;TrendSheetStgData[Trend],TrendSheetPrdData[#All],9,FALSE),0)</f>
        <v>345.5</v>
      </c>
      <c r="J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2.0115774240231517</v>
      </c>
      <c r="K12" s="5">
        <f>VLOOKUP(TrendSheetStgData[Population]&amp;TrendSheetStgData[Trend],Threshold[#All],4,FALSE)</f>
        <v>10</v>
      </c>
      <c r="L12" s="5">
        <f>VLOOKUP(TrendSheetStgData[Population]&amp;TrendSheetStgData[Trend],Threshold[#All],5,FALSE)</f>
        <v>5</v>
      </c>
      <c r="M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 spans="1:13" x14ac:dyDescent="0.25">
      <c r="A13" t="s">
        <v>90</v>
      </c>
      <c r="B13" t="s">
        <v>90</v>
      </c>
      <c r="C13" t="s">
        <v>91</v>
      </c>
      <c r="D13" s="1" t="s">
        <v>104</v>
      </c>
      <c r="E13" t="s">
        <v>93</v>
      </c>
      <c r="F13" t="s">
        <v>12</v>
      </c>
      <c r="G13">
        <v>1</v>
      </c>
      <c r="H13">
        <v>403.61</v>
      </c>
      <c r="I13" s="5">
        <f>IFERROR(VLOOKUP(TrendSheetStgData[Population]&amp;TrendSheetStgData[Cost Basis]&amp;TrendSheetStgData[Period]&amp;TrendSheetStgData[Trend],TrendSheetPrdData[#All],9,FALSE),0)</f>
        <v>375.72</v>
      </c>
      <c r="J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7.423081017779193</v>
      </c>
      <c r="K13" s="5">
        <f>VLOOKUP(TrendSheetStgData[Population]&amp;TrendSheetStgData[Trend],Threshold[#All],4,FALSE)</f>
        <v>10</v>
      </c>
      <c r="L13" s="5">
        <f>VLOOKUP(TrendSheetStgData[Population]&amp;TrendSheetStgData[Trend],Threshold[#All],5,FALSE)</f>
        <v>5</v>
      </c>
      <c r="M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4" spans="1:13" x14ac:dyDescent="0.25">
      <c r="A14" t="s">
        <v>90</v>
      </c>
      <c r="B14" t="s">
        <v>90</v>
      </c>
      <c r="C14" t="s">
        <v>91</v>
      </c>
      <c r="D14" s="1" t="s">
        <v>105</v>
      </c>
      <c r="E14" t="s">
        <v>106</v>
      </c>
      <c r="F14" t="s">
        <v>12</v>
      </c>
      <c r="G14">
        <v>1</v>
      </c>
      <c r="H14">
        <v>314.10000000000002</v>
      </c>
      <c r="I14" s="5">
        <f>IFERROR(VLOOKUP(TrendSheetStgData[Population]&amp;TrendSheetStgData[Cost Basis]&amp;TrendSheetStgData[Period]&amp;TrendSheetStgData[Trend],TrendSheetPrdData[#All],9,FALSE),0)</f>
        <v>85.04</v>
      </c>
      <c r="J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269.35559736594541</v>
      </c>
      <c r="K14" s="5">
        <f>VLOOKUP(TrendSheetStgData[Population]&amp;TrendSheetStgData[Trend],Threshold[#All],4,FALSE)</f>
        <v>10</v>
      </c>
      <c r="L14" s="5">
        <f>VLOOKUP(TrendSheetStgData[Population]&amp;TrendSheetStgData[Trend],Threshold[#All],5,FALSE)</f>
        <v>5</v>
      </c>
      <c r="M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 spans="1:13" x14ac:dyDescent="0.25">
      <c r="A15" t="s">
        <v>90</v>
      </c>
      <c r="B15" t="s">
        <v>90</v>
      </c>
      <c r="C15" t="s">
        <v>91</v>
      </c>
      <c r="D15" s="1" t="s">
        <v>107</v>
      </c>
      <c r="E15" t="s">
        <v>106</v>
      </c>
      <c r="F15" t="s">
        <v>12</v>
      </c>
      <c r="G15">
        <v>1</v>
      </c>
      <c r="H15">
        <v>147.49</v>
      </c>
      <c r="I15" s="5">
        <f>IFERROR(VLOOKUP(TrendSheetStgData[Population]&amp;TrendSheetStgData[Cost Basis]&amp;TrendSheetStgData[Period]&amp;TrendSheetStgData[Trend],TrendSheetPrdData[#All],9,FALSE),0)</f>
        <v>0</v>
      </c>
      <c r="J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5" s="5">
        <f>VLOOKUP(TrendSheetStgData[Population]&amp;TrendSheetStgData[Trend],Threshold[#All],4,FALSE)</f>
        <v>10</v>
      </c>
      <c r="L15" s="5">
        <f>VLOOKUP(TrendSheetStgData[Population]&amp;TrendSheetStgData[Trend],Threshold[#All],5,FALSE)</f>
        <v>5</v>
      </c>
      <c r="M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 spans="1:13" x14ac:dyDescent="0.25">
      <c r="A16" t="s">
        <v>90</v>
      </c>
      <c r="B16" t="s">
        <v>90</v>
      </c>
      <c r="C16" t="s">
        <v>91</v>
      </c>
      <c r="D16" s="1" t="s">
        <v>92</v>
      </c>
      <c r="E16" t="s">
        <v>93</v>
      </c>
      <c r="F16" t="s">
        <v>13</v>
      </c>
      <c r="G16">
        <v>2</v>
      </c>
      <c r="H16">
        <v>71.430000000000007</v>
      </c>
      <c r="I16" s="5">
        <f>IFERROR(VLOOKUP(TrendSheetStgData[Population]&amp;TrendSheetStgData[Cost Basis]&amp;TrendSheetStgData[Period]&amp;TrendSheetStgData[Trend],TrendSheetPrdData[#All],9,FALSE),0)</f>
        <v>71.430000000000007</v>
      </c>
      <c r="J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 s="5">
        <f>VLOOKUP(TrendSheetStgData[Population]&amp;TrendSheetStgData[Trend],Threshold[#All],4,FALSE)</f>
        <v>10</v>
      </c>
      <c r="L16" s="5">
        <f>VLOOKUP(TrendSheetStgData[Population]&amp;TrendSheetStgData[Trend],Threshold[#All],5,FALSE)</f>
        <v>5</v>
      </c>
      <c r="M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 spans="1:13" x14ac:dyDescent="0.25">
      <c r="A17" t="s">
        <v>90</v>
      </c>
      <c r="B17" t="s">
        <v>90</v>
      </c>
      <c r="C17" t="s">
        <v>91</v>
      </c>
      <c r="D17" s="1" t="s">
        <v>94</v>
      </c>
      <c r="E17" t="s">
        <v>93</v>
      </c>
      <c r="F17" t="s">
        <v>13</v>
      </c>
      <c r="G17">
        <v>2</v>
      </c>
      <c r="H17">
        <v>77.239999999999995</v>
      </c>
      <c r="I17" s="5">
        <f>IFERROR(VLOOKUP(TrendSheetStgData[Population]&amp;TrendSheetStgData[Cost Basis]&amp;TrendSheetStgData[Period]&amp;TrendSheetStgData[Trend],TrendSheetPrdData[#All],9,FALSE),0)</f>
        <v>77.239999999999995</v>
      </c>
      <c r="J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 s="5">
        <f>VLOOKUP(TrendSheetStgData[Population]&amp;TrendSheetStgData[Trend],Threshold[#All],4,FALSE)</f>
        <v>10</v>
      </c>
      <c r="L17" s="5">
        <f>VLOOKUP(TrendSheetStgData[Population]&amp;TrendSheetStgData[Trend],Threshold[#All],5,FALSE)</f>
        <v>5</v>
      </c>
      <c r="M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 spans="1:13" x14ac:dyDescent="0.25">
      <c r="A18" t="s">
        <v>90</v>
      </c>
      <c r="B18" t="s">
        <v>90</v>
      </c>
      <c r="C18" t="s">
        <v>91</v>
      </c>
      <c r="D18" s="1" t="s">
        <v>95</v>
      </c>
      <c r="E18" t="s">
        <v>93</v>
      </c>
      <c r="F18" t="s">
        <v>13</v>
      </c>
      <c r="G18">
        <v>2</v>
      </c>
      <c r="H18">
        <v>78.45</v>
      </c>
      <c r="I18" s="5">
        <f>IFERROR(VLOOKUP(TrendSheetStgData[Population]&amp;TrendSheetStgData[Cost Basis]&amp;TrendSheetStgData[Period]&amp;TrendSheetStgData[Trend],TrendSheetPrdData[#All],9,FALSE),0)</f>
        <v>78.45</v>
      </c>
      <c r="J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 s="5">
        <f>VLOOKUP(TrendSheetStgData[Population]&amp;TrendSheetStgData[Trend],Threshold[#All],4,FALSE)</f>
        <v>10</v>
      </c>
      <c r="L18" s="5">
        <f>VLOOKUP(TrendSheetStgData[Population]&amp;TrendSheetStgData[Trend],Threshold[#All],5,FALSE)</f>
        <v>5</v>
      </c>
      <c r="M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 spans="1:13" x14ac:dyDescent="0.25">
      <c r="A19" t="s">
        <v>90</v>
      </c>
      <c r="B19" t="s">
        <v>90</v>
      </c>
      <c r="C19" t="s">
        <v>91</v>
      </c>
      <c r="D19" s="1" t="s">
        <v>96</v>
      </c>
      <c r="E19" t="s">
        <v>93</v>
      </c>
      <c r="F19" t="s">
        <v>13</v>
      </c>
      <c r="G19">
        <v>2</v>
      </c>
      <c r="H19">
        <v>78.06</v>
      </c>
      <c r="I19" s="5">
        <f>IFERROR(VLOOKUP(TrendSheetStgData[Population]&amp;TrendSheetStgData[Cost Basis]&amp;TrendSheetStgData[Period]&amp;TrendSheetStgData[Trend],TrendSheetPrdData[#All],9,FALSE),0)</f>
        <v>78.06</v>
      </c>
      <c r="J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 s="5">
        <f>VLOOKUP(TrendSheetStgData[Population]&amp;TrendSheetStgData[Trend],Threshold[#All],4,FALSE)</f>
        <v>10</v>
      </c>
      <c r="L19" s="5">
        <f>VLOOKUP(TrendSheetStgData[Population]&amp;TrendSheetStgData[Trend],Threshold[#All],5,FALSE)</f>
        <v>5</v>
      </c>
      <c r="M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 spans="1:13" x14ac:dyDescent="0.25">
      <c r="A20" t="s">
        <v>90</v>
      </c>
      <c r="B20" t="s">
        <v>90</v>
      </c>
      <c r="C20" t="s">
        <v>91</v>
      </c>
      <c r="D20" s="1" t="s">
        <v>97</v>
      </c>
      <c r="E20" t="s">
        <v>93</v>
      </c>
      <c r="F20" t="s">
        <v>13</v>
      </c>
      <c r="G20">
        <v>2</v>
      </c>
      <c r="H20">
        <v>94.57</v>
      </c>
      <c r="I20" s="5">
        <f>IFERROR(VLOOKUP(TrendSheetStgData[Population]&amp;TrendSheetStgData[Cost Basis]&amp;TrendSheetStgData[Period]&amp;TrendSheetStgData[Trend],TrendSheetPrdData[#All],9,FALSE),0)</f>
        <v>94.57</v>
      </c>
      <c r="J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 s="5">
        <f>VLOOKUP(TrendSheetStgData[Population]&amp;TrendSheetStgData[Trend],Threshold[#All],4,FALSE)</f>
        <v>10</v>
      </c>
      <c r="L20" s="5">
        <f>VLOOKUP(TrendSheetStgData[Population]&amp;TrendSheetStgData[Trend],Threshold[#All],5,FALSE)</f>
        <v>5</v>
      </c>
      <c r="M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 spans="1:13" x14ac:dyDescent="0.25">
      <c r="A21" t="s">
        <v>90</v>
      </c>
      <c r="B21" t="s">
        <v>90</v>
      </c>
      <c r="C21" t="s">
        <v>91</v>
      </c>
      <c r="D21" s="1" t="s">
        <v>98</v>
      </c>
      <c r="E21" t="s">
        <v>93</v>
      </c>
      <c r="F21" t="s">
        <v>13</v>
      </c>
      <c r="G21">
        <v>2</v>
      </c>
      <c r="H21">
        <v>82.03</v>
      </c>
      <c r="I21" s="5">
        <f>IFERROR(VLOOKUP(TrendSheetStgData[Population]&amp;TrendSheetStgData[Cost Basis]&amp;TrendSheetStgData[Period]&amp;TrendSheetStgData[Trend],TrendSheetPrdData[#All],9,FALSE),0)</f>
        <v>82.03</v>
      </c>
      <c r="J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 s="5">
        <f>VLOOKUP(TrendSheetStgData[Population]&amp;TrendSheetStgData[Trend],Threshold[#All],4,FALSE)</f>
        <v>10</v>
      </c>
      <c r="L21" s="5">
        <f>VLOOKUP(TrendSheetStgData[Population]&amp;TrendSheetStgData[Trend],Threshold[#All],5,FALSE)</f>
        <v>5</v>
      </c>
      <c r="M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 spans="1:13" x14ac:dyDescent="0.25">
      <c r="A22" t="s">
        <v>90</v>
      </c>
      <c r="B22" t="s">
        <v>90</v>
      </c>
      <c r="C22" t="s">
        <v>91</v>
      </c>
      <c r="D22" s="1" t="s">
        <v>99</v>
      </c>
      <c r="E22" t="s">
        <v>93</v>
      </c>
      <c r="F22" t="s">
        <v>13</v>
      </c>
      <c r="G22">
        <v>2</v>
      </c>
      <c r="H22">
        <v>78.540000000000006</v>
      </c>
      <c r="I22" s="5">
        <f>IFERROR(VLOOKUP(TrendSheetStgData[Population]&amp;TrendSheetStgData[Cost Basis]&amp;TrendSheetStgData[Period]&amp;TrendSheetStgData[Trend],TrendSheetPrdData[#All],9,FALSE),0)</f>
        <v>78.540000000000006</v>
      </c>
      <c r="J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 s="5">
        <f>VLOOKUP(TrendSheetStgData[Population]&amp;TrendSheetStgData[Trend],Threshold[#All],4,FALSE)</f>
        <v>10</v>
      </c>
      <c r="L22" s="5">
        <f>VLOOKUP(TrendSheetStgData[Population]&amp;TrendSheetStgData[Trend],Threshold[#All],5,FALSE)</f>
        <v>5</v>
      </c>
      <c r="M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 spans="1:13" x14ac:dyDescent="0.25">
      <c r="A23" t="s">
        <v>90</v>
      </c>
      <c r="B23" t="s">
        <v>90</v>
      </c>
      <c r="C23" t="s">
        <v>91</v>
      </c>
      <c r="D23" s="1" t="s">
        <v>100</v>
      </c>
      <c r="E23" t="s">
        <v>93</v>
      </c>
      <c r="F23" t="s">
        <v>13</v>
      </c>
      <c r="G23">
        <v>2</v>
      </c>
      <c r="H23">
        <v>77.069999999999993</v>
      </c>
      <c r="I23" s="5">
        <f>IFERROR(VLOOKUP(TrendSheetStgData[Population]&amp;TrendSheetStgData[Cost Basis]&amp;TrendSheetStgData[Period]&amp;TrendSheetStgData[Trend],TrendSheetPrdData[#All],9,FALSE),0)</f>
        <v>77.069999999999993</v>
      </c>
      <c r="J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 s="5">
        <f>VLOOKUP(TrendSheetStgData[Population]&amp;TrendSheetStgData[Trend],Threshold[#All],4,FALSE)</f>
        <v>10</v>
      </c>
      <c r="L23" s="5">
        <f>VLOOKUP(TrendSheetStgData[Population]&amp;TrendSheetStgData[Trend],Threshold[#All],5,FALSE)</f>
        <v>5</v>
      </c>
      <c r="M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 spans="1:13" x14ac:dyDescent="0.25">
      <c r="A24" t="s">
        <v>90</v>
      </c>
      <c r="B24" t="s">
        <v>90</v>
      </c>
      <c r="C24" t="s">
        <v>91</v>
      </c>
      <c r="D24" s="1" t="s">
        <v>101</v>
      </c>
      <c r="E24" t="s">
        <v>93</v>
      </c>
      <c r="F24" t="s">
        <v>13</v>
      </c>
      <c r="G24">
        <v>2</v>
      </c>
      <c r="H24">
        <v>89.48</v>
      </c>
      <c r="I24" s="5">
        <f>IFERROR(VLOOKUP(TrendSheetStgData[Population]&amp;TrendSheetStgData[Cost Basis]&amp;TrendSheetStgData[Period]&amp;TrendSheetStgData[Trend],TrendSheetPrdData[#All],9,FALSE),0)</f>
        <v>89.48</v>
      </c>
      <c r="J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 s="5">
        <f>VLOOKUP(TrendSheetStgData[Population]&amp;TrendSheetStgData[Trend],Threshold[#All],4,FALSE)</f>
        <v>10</v>
      </c>
      <c r="L24" s="5">
        <f>VLOOKUP(TrendSheetStgData[Population]&amp;TrendSheetStgData[Trend],Threshold[#All],5,FALSE)</f>
        <v>5</v>
      </c>
      <c r="M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 spans="1:13" x14ac:dyDescent="0.25">
      <c r="A25" t="s">
        <v>90</v>
      </c>
      <c r="B25" t="s">
        <v>90</v>
      </c>
      <c r="C25" t="s">
        <v>91</v>
      </c>
      <c r="D25" s="1" t="s">
        <v>102</v>
      </c>
      <c r="E25" t="s">
        <v>93</v>
      </c>
      <c r="F25" t="s">
        <v>13</v>
      </c>
      <c r="G25">
        <v>2</v>
      </c>
      <c r="H25">
        <v>83.17</v>
      </c>
      <c r="I25" s="5">
        <f>IFERROR(VLOOKUP(TrendSheetStgData[Population]&amp;TrendSheetStgData[Cost Basis]&amp;TrendSheetStgData[Period]&amp;TrendSheetStgData[Trend],TrendSheetPrdData[#All],9,FALSE),0)</f>
        <v>83.11</v>
      </c>
      <c r="J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7.2193478522442886E-2</v>
      </c>
      <c r="K25" s="5">
        <f>VLOOKUP(TrendSheetStgData[Population]&amp;TrendSheetStgData[Trend],Threshold[#All],4,FALSE)</f>
        <v>10</v>
      </c>
      <c r="L25" s="5">
        <f>VLOOKUP(TrendSheetStgData[Population]&amp;TrendSheetStgData[Trend],Threshold[#All],5,FALSE)</f>
        <v>5</v>
      </c>
      <c r="M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 spans="1:13" x14ac:dyDescent="0.25">
      <c r="A26" t="s">
        <v>90</v>
      </c>
      <c r="B26" t="s">
        <v>90</v>
      </c>
      <c r="C26" t="s">
        <v>91</v>
      </c>
      <c r="D26" s="1" t="s">
        <v>103</v>
      </c>
      <c r="E26" t="s">
        <v>93</v>
      </c>
      <c r="F26" t="s">
        <v>13</v>
      </c>
      <c r="G26">
        <v>2</v>
      </c>
      <c r="H26">
        <v>75.19</v>
      </c>
      <c r="I26" s="5">
        <f>IFERROR(VLOOKUP(TrendSheetStgData[Population]&amp;TrendSheetStgData[Cost Basis]&amp;TrendSheetStgData[Period]&amp;TrendSheetStgData[Trend],TrendSheetPrdData[#All],9,FALSE),0)</f>
        <v>75.13</v>
      </c>
      <c r="J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7.9861573272996506E-2</v>
      </c>
      <c r="K26" s="5">
        <f>VLOOKUP(TrendSheetStgData[Population]&amp;TrendSheetStgData[Trend],Threshold[#All],4,FALSE)</f>
        <v>10</v>
      </c>
      <c r="L26" s="5">
        <f>VLOOKUP(TrendSheetStgData[Population]&amp;TrendSheetStgData[Trend],Threshold[#All],5,FALSE)</f>
        <v>5</v>
      </c>
      <c r="M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 spans="1:13" x14ac:dyDescent="0.25">
      <c r="A27" t="s">
        <v>90</v>
      </c>
      <c r="B27" t="s">
        <v>90</v>
      </c>
      <c r="C27" t="s">
        <v>91</v>
      </c>
      <c r="D27" s="1" t="s">
        <v>104</v>
      </c>
      <c r="E27" t="s">
        <v>93</v>
      </c>
      <c r="F27" t="s">
        <v>13</v>
      </c>
      <c r="G27">
        <v>2</v>
      </c>
      <c r="H27">
        <v>79.010000000000005</v>
      </c>
      <c r="I27" s="5">
        <f>IFERROR(VLOOKUP(TrendSheetStgData[Population]&amp;TrendSheetStgData[Cost Basis]&amp;TrendSheetStgData[Period]&amp;TrendSheetStgData[Trend],TrendSheetPrdData[#All],9,FALSE),0)</f>
        <v>79.08</v>
      </c>
      <c r="J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8.8517956499738468E-2</v>
      </c>
      <c r="K27" s="5">
        <f>VLOOKUP(TrendSheetStgData[Population]&amp;TrendSheetStgData[Trend],Threshold[#All],4,FALSE)</f>
        <v>10</v>
      </c>
      <c r="L27" s="5">
        <f>VLOOKUP(TrendSheetStgData[Population]&amp;TrendSheetStgData[Trend],Threshold[#All],5,FALSE)</f>
        <v>5</v>
      </c>
      <c r="M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 spans="1:13" x14ac:dyDescent="0.25">
      <c r="A28" t="s">
        <v>90</v>
      </c>
      <c r="B28" t="s">
        <v>90</v>
      </c>
      <c r="C28" t="s">
        <v>91</v>
      </c>
      <c r="D28" s="1" t="s">
        <v>105</v>
      </c>
      <c r="E28" t="s">
        <v>106</v>
      </c>
      <c r="F28" t="s">
        <v>13</v>
      </c>
      <c r="G28">
        <v>2</v>
      </c>
      <c r="H28">
        <v>69.58</v>
      </c>
      <c r="I28" s="5">
        <f>IFERROR(VLOOKUP(TrendSheetStgData[Population]&amp;TrendSheetStgData[Cost Basis]&amp;TrendSheetStgData[Period]&amp;TrendSheetStgData[Trend],TrendSheetPrdData[#All],9,FALSE),0)</f>
        <v>69.540000000000006</v>
      </c>
      <c r="J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5.7520851308587917E-2</v>
      </c>
      <c r="K28" s="5">
        <f>VLOOKUP(TrendSheetStgData[Population]&amp;TrendSheetStgData[Trend],Threshold[#All],4,FALSE)</f>
        <v>10</v>
      </c>
      <c r="L28" s="5">
        <f>VLOOKUP(TrendSheetStgData[Population]&amp;TrendSheetStgData[Trend],Threshold[#All],5,FALSE)</f>
        <v>5</v>
      </c>
      <c r="M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 spans="1:13" x14ac:dyDescent="0.25">
      <c r="A29" t="s">
        <v>90</v>
      </c>
      <c r="B29" t="s">
        <v>90</v>
      </c>
      <c r="C29" t="s">
        <v>91</v>
      </c>
      <c r="D29" s="1" t="s">
        <v>107</v>
      </c>
      <c r="E29" t="s">
        <v>106</v>
      </c>
      <c r="F29" t="s">
        <v>13</v>
      </c>
      <c r="G29">
        <v>2</v>
      </c>
      <c r="H29">
        <v>83.88</v>
      </c>
      <c r="I29" s="5">
        <f>IFERROR(VLOOKUP(TrendSheetStgData[Population]&amp;TrendSheetStgData[Cost Basis]&amp;TrendSheetStgData[Period]&amp;TrendSheetStgData[Trend],TrendSheetPrdData[#All],9,FALSE),0)</f>
        <v>0</v>
      </c>
      <c r="J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9" s="5">
        <f>VLOOKUP(TrendSheetStgData[Population]&amp;TrendSheetStgData[Trend],Threshold[#All],4,FALSE)</f>
        <v>10</v>
      </c>
      <c r="L29" s="5">
        <f>VLOOKUP(TrendSheetStgData[Population]&amp;TrendSheetStgData[Trend],Threshold[#All],5,FALSE)</f>
        <v>5</v>
      </c>
      <c r="M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0" spans="1:13" x14ac:dyDescent="0.25">
      <c r="A30" t="s">
        <v>90</v>
      </c>
      <c r="B30" t="s">
        <v>90</v>
      </c>
      <c r="C30" t="s">
        <v>91</v>
      </c>
      <c r="D30" s="1" t="s">
        <v>92</v>
      </c>
      <c r="E30" t="s">
        <v>93</v>
      </c>
      <c r="F30" t="s">
        <v>14</v>
      </c>
      <c r="G30">
        <v>3</v>
      </c>
      <c r="H30">
        <v>419.67</v>
      </c>
      <c r="I30" s="5">
        <f>IFERROR(VLOOKUP(TrendSheetStgData[Population]&amp;TrendSheetStgData[Cost Basis]&amp;TrendSheetStgData[Period]&amp;TrendSheetStgData[Trend],TrendSheetPrdData[#All],9,FALSE),0)</f>
        <v>419.65</v>
      </c>
      <c r="J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4.765876325518564E-3</v>
      </c>
      <c r="K30" s="5">
        <f>VLOOKUP(TrendSheetStgData[Population]&amp;TrendSheetStgData[Trend],Threshold[#All],4,FALSE)</f>
        <v>10</v>
      </c>
      <c r="L30" s="5">
        <f>VLOOKUP(TrendSheetStgData[Population]&amp;TrendSheetStgData[Trend],Threshold[#All],5,FALSE)</f>
        <v>5</v>
      </c>
      <c r="M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 spans="1:13" x14ac:dyDescent="0.25">
      <c r="A31" t="s">
        <v>90</v>
      </c>
      <c r="B31" t="s">
        <v>90</v>
      </c>
      <c r="C31" t="s">
        <v>91</v>
      </c>
      <c r="D31" s="1" t="s">
        <v>94</v>
      </c>
      <c r="E31" t="s">
        <v>93</v>
      </c>
      <c r="F31" t="s">
        <v>14</v>
      </c>
      <c r="G31">
        <v>3</v>
      </c>
      <c r="H31">
        <v>412.77</v>
      </c>
      <c r="I31" s="5">
        <f>IFERROR(VLOOKUP(TrendSheetStgData[Population]&amp;TrendSheetStgData[Cost Basis]&amp;TrendSheetStgData[Period]&amp;TrendSheetStgData[Trend],TrendSheetPrdData[#All],9,FALSE),0)</f>
        <v>412.62</v>
      </c>
      <c r="J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3.6353060927724605E-2</v>
      </c>
      <c r="K31" s="5">
        <f>VLOOKUP(TrendSheetStgData[Population]&amp;TrendSheetStgData[Trend],Threshold[#All],4,FALSE)</f>
        <v>10</v>
      </c>
      <c r="L31" s="5">
        <f>VLOOKUP(TrendSheetStgData[Population]&amp;TrendSheetStgData[Trend],Threshold[#All],5,FALSE)</f>
        <v>5</v>
      </c>
      <c r="M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 spans="1:13" x14ac:dyDescent="0.25">
      <c r="A32" t="s">
        <v>90</v>
      </c>
      <c r="B32" t="s">
        <v>90</v>
      </c>
      <c r="C32" t="s">
        <v>91</v>
      </c>
      <c r="D32" s="1" t="s">
        <v>95</v>
      </c>
      <c r="E32" t="s">
        <v>93</v>
      </c>
      <c r="F32" t="s">
        <v>14</v>
      </c>
      <c r="G32">
        <v>3</v>
      </c>
      <c r="H32">
        <v>479.6</v>
      </c>
      <c r="I32" s="5">
        <f>IFERROR(VLOOKUP(TrendSheetStgData[Population]&amp;TrendSheetStgData[Cost Basis]&amp;TrendSheetStgData[Period]&amp;TrendSheetStgData[Trend],TrendSheetPrdData[#All],9,FALSE),0)</f>
        <v>479.39</v>
      </c>
      <c r="J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4.380566970525801E-2</v>
      </c>
      <c r="K32" s="5">
        <f>VLOOKUP(TrendSheetStgData[Population]&amp;TrendSheetStgData[Trend],Threshold[#All],4,FALSE)</f>
        <v>10</v>
      </c>
      <c r="L32" s="5">
        <f>VLOOKUP(TrendSheetStgData[Population]&amp;TrendSheetStgData[Trend],Threshold[#All],5,FALSE)</f>
        <v>5</v>
      </c>
      <c r="M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 spans="1:13" x14ac:dyDescent="0.25">
      <c r="A33" t="s">
        <v>90</v>
      </c>
      <c r="B33" t="s">
        <v>90</v>
      </c>
      <c r="C33" t="s">
        <v>91</v>
      </c>
      <c r="D33" s="1" t="s">
        <v>96</v>
      </c>
      <c r="E33" t="s">
        <v>93</v>
      </c>
      <c r="F33" t="s">
        <v>14</v>
      </c>
      <c r="G33">
        <v>3</v>
      </c>
      <c r="H33">
        <v>422.93</v>
      </c>
      <c r="I33" s="5">
        <f>IFERROR(VLOOKUP(TrendSheetStgData[Population]&amp;TrendSheetStgData[Cost Basis]&amp;TrendSheetStgData[Period]&amp;TrendSheetStgData[Trend],TrendSheetPrdData[#All],9,FALSE),0)</f>
        <v>419.49</v>
      </c>
      <c r="J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0.82004338601635252</v>
      </c>
      <c r="K33" s="5">
        <f>VLOOKUP(TrendSheetStgData[Population]&amp;TrendSheetStgData[Trend],Threshold[#All],4,FALSE)</f>
        <v>10</v>
      </c>
      <c r="L33" s="5">
        <f>VLOOKUP(TrendSheetStgData[Population]&amp;TrendSheetStgData[Trend],Threshold[#All],5,FALSE)</f>
        <v>5</v>
      </c>
      <c r="M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 spans="1:13" x14ac:dyDescent="0.25">
      <c r="A34" t="s">
        <v>90</v>
      </c>
      <c r="B34" t="s">
        <v>90</v>
      </c>
      <c r="C34" t="s">
        <v>91</v>
      </c>
      <c r="D34" s="1" t="s">
        <v>97</v>
      </c>
      <c r="E34" t="s">
        <v>93</v>
      </c>
      <c r="F34" t="s">
        <v>14</v>
      </c>
      <c r="G34">
        <v>3</v>
      </c>
      <c r="H34">
        <v>423.27</v>
      </c>
      <c r="I34" s="5">
        <f>IFERROR(VLOOKUP(TrendSheetStgData[Population]&amp;TrendSheetStgData[Cost Basis]&amp;TrendSheetStgData[Period]&amp;TrendSheetStgData[Trend],TrendSheetPrdData[#All],9,FALSE),0)</f>
        <v>422.76</v>
      </c>
      <c r="J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0.12063582174283068</v>
      </c>
      <c r="K34" s="5">
        <f>VLOOKUP(TrendSheetStgData[Population]&amp;TrendSheetStgData[Trend],Threshold[#All],4,FALSE)</f>
        <v>10</v>
      </c>
      <c r="L34" s="5">
        <f>VLOOKUP(TrendSheetStgData[Population]&amp;TrendSheetStgData[Trend],Threshold[#All],5,FALSE)</f>
        <v>5</v>
      </c>
      <c r="M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 spans="1:13" x14ac:dyDescent="0.25">
      <c r="A35" t="s">
        <v>90</v>
      </c>
      <c r="B35" t="s">
        <v>90</v>
      </c>
      <c r="C35" t="s">
        <v>91</v>
      </c>
      <c r="D35" s="1" t="s">
        <v>98</v>
      </c>
      <c r="E35" t="s">
        <v>93</v>
      </c>
      <c r="F35" t="s">
        <v>14</v>
      </c>
      <c r="G35">
        <v>3</v>
      </c>
      <c r="H35">
        <v>458.04</v>
      </c>
      <c r="I35" s="5">
        <f>IFERROR(VLOOKUP(TrendSheetStgData[Population]&amp;TrendSheetStgData[Cost Basis]&amp;TrendSheetStgData[Period]&amp;TrendSheetStgData[Trend],TrendSheetPrdData[#All],9,FALSE),0)</f>
        <v>457.98</v>
      </c>
      <c r="J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1.3101008777676375E-2</v>
      </c>
      <c r="K35" s="5">
        <f>VLOOKUP(TrendSheetStgData[Population]&amp;TrendSheetStgData[Trend],Threshold[#All],4,FALSE)</f>
        <v>10</v>
      </c>
      <c r="L35" s="5">
        <f>VLOOKUP(TrendSheetStgData[Population]&amp;TrendSheetStgData[Trend],Threshold[#All],5,FALSE)</f>
        <v>5</v>
      </c>
      <c r="M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 spans="1:13" x14ac:dyDescent="0.25">
      <c r="A36" t="s">
        <v>90</v>
      </c>
      <c r="B36" t="s">
        <v>90</v>
      </c>
      <c r="C36" t="s">
        <v>91</v>
      </c>
      <c r="D36" s="1" t="s">
        <v>99</v>
      </c>
      <c r="E36" t="s">
        <v>93</v>
      </c>
      <c r="F36" t="s">
        <v>14</v>
      </c>
      <c r="G36">
        <v>3</v>
      </c>
      <c r="H36">
        <v>435.46</v>
      </c>
      <c r="I36" s="5">
        <f>IFERROR(VLOOKUP(TrendSheetStgData[Population]&amp;TrendSheetStgData[Cost Basis]&amp;TrendSheetStgData[Period]&amp;TrendSheetStgData[Trend],TrendSheetPrdData[#All],9,FALSE),0)</f>
        <v>431.91</v>
      </c>
      <c r="J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0.82193049477899438</v>
      </c>
      <c r="K36" s="5">
        <f>VLOOKUP(TrendSheetStgData[Population]&amp;TrendSheetStgData[Trend],Threshold[#All],4,FALSE)</f>
        <v>10</v>
      </c>
      <c r="L36" s="5">
        <f>VLOOKUP(TrendSheetStgData[Population]&amp;TrendSheetStgData[Trend],Threshold[#All],5,FALSE)</f>
        <v>5</v>
      </c>
      <c r="M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 spans="1:13" x14ac:dyDescent="0.25">
      <c r="A37" t="s">
        <v>90</v>
      </c>
      <c r="B37" t="s">
        <v>90</v>
      </c>
      <c r="C37" t="s">
        <v>91</v>
      </c>
      <c r="D37" s="1" t="s">
        <v>100</v>
      </c>
      <c r="E37" t="s">
        <v>93</v>
      </c>
      <c r="F37" t="s">
        <v>14</v>
      </c>
      <c r="G37">
        <v>3</v>
      </c>
      <c r="H37">
        <v>453.23</v>
      </c>
      <c r="I37" s="5">
        <f>IFERROR(VLOOKUP(TrendSheetStgData[Population]&amp;TrendSheetStgData[Cost Basis]&amp;TrendSheetStgData[Period]&amp;TrendSheetStgData[Trend],TrendSheetPrdData[#All],9,FALSE),0)</f>
        <v>452.5</v>
      </c>
      <c r="J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0.16132596685083272</v>
      </c>
      <c r="K37" s="5">
        <f>VLOOKUP(TrendSheetStgData[Population]&amp;TrendSheetStgData[Trend],Threshold[#All],4,FALSE)</f>
        <v>10</v>
      </c>
      <c r="L37" s="5">
        <f>VLOOKUP(TrendSheetStgData[Population]&amp;TrendSheetStgData[Trend],Threshold[#All],5,FALSE)</f>
        <v>5</v>
      </c>
      <c r="M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 spans="1:13" x14ac:dyDescent="0.25">
      <c r="A38" t="s">
        <v>90</v>
      </c>
      <c r="B38" t="s">
        <v>90</v>
      </c>
      <c r="C38" t="s">
        <v>91</v>
      </c>
      <c r="D38" s="1" t="s">
        <v>101</v>
      </c>
      <c r="E38" t="s">
        <v>93</v>
      </c>
      <c r="F38" t="s">
        <v>14</v>
      </c>
      <c r="G38">
        <v>3</v>
      </c>
      <c r="H38">
        <v>480.82</v>
      </c>
      <c r="I38" s="5">
        <f>IFERROR(VLOOKUP(TrendSheetStgData[Population]&amp;TrendSheetStgData[Cost Basis]&amp;TrendSheetStgData[Period]&amp;TrendSheetStgData[Trend],TrendSheetPrdData[#All],9,FALSE),0)</f>
        <v>479.76</v>
      </c>
      <c r="J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0.22094380523595181</v>
      </c>
      <c r="K38" s="5">
        <f>VLOOKUP(TrendSheetStgData[Population]&amp;TrendSheetStgData[Trend],Threshold[#All],4,FALSE)</f>
        <v>10</v>
      </c>
      <c r="L38" s="5">
        <f>VLOOKUP(TrendSheetStgData[Population]&amp;TrendSheetStgData[Trend],Threshold[#All],5,FALSE)</f>
        <v>5</v>
      </c>
      <c r="M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 spans="1:13" x14ac:dyDescent="0.25">
      <c r="A39" t="s">
        <v>90</v>
      </c>
      <c r="B39" t="s">
        <v>90</v>
      </c>
      <c r="C39" t="s">
        <v>91</v>
      </c>
      <c r="D39" s="1" t="s">
        <v>102</v>
      </c>
      <c r="E39" t="s">
        <v>93</v>
      </c>
      <c r="F39" t="s">
        <v>14</v>
      </c>
      <c r="G39">
        <v>3</v>
      </c>
      <c r="H39">
        <v>431.64</v>
      </c>
      <c r="I39" s="5">
        <f>IFERROR(VLOOKUP(TrendSheetStgData[Population]&amp;TrendSheetStgData[Cost Basis]&amp;TrendSheetStgData[Period]&amp;TrendSheetStgData[Trend],TrendSheetPrdData[#All],9,FALSE),0)</f>
        <v>419.99</v>
      </c>
      <c r="J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2.7738755684659102</v>
      </c>
      <c r="K39" s="5">
        <f>VLOOKUP(TrendSheetStgData[Population]&amp;TrendSheetStgData[Trend],Threshold[#All],4,FALSE)</f>
        <v>10</v>
      </c>
      <c r="L39" s="5">
        <f>VLOOKUP(TrendSheetStgData[Population]&amp;TrendSheetStgData[Trend],Threshold[#All],5,FALSE)</f>
        <v>5</v>
      </c>
      <c r="M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0" spans="1:13" x14ac:dyDescent="0.25">
      <c r="A40" t="s">
        <v>90</v>
      </c>
      <c r="B40" t="s">
        <v>90</v>
      </c>
      <c r="C40" t="s">
        <v>91</v>
      </c>
      <c r="D40" s="1" t="s">
        <v>103</v>
      </c>
      <c r="E40" t="s">
        <v>93</v>
      </c>
      <c r="F40" t="s">
        <v>14</v>
      </c>
      <c r="G40">
        <v>3</v>
      </c>
      <c r="H40">
        <v>427.64</v>
      </c>
      <c r="I40" s="5">
        <f>IFERROR(VLOOKUP(TrendSheetStgData[Population]&amp;TrendSheetStgData[Cost Basis]&amp;TrendSheetStgData[Period]&amp;TrendSheetStgData[Trend],TrendSheetPrdData[#All],9,FALSE),0)</f>
        <v>420.63</v>
      </c>
      <c r="J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1.6665477973515894</v>
      </c>
      <c r="K40" s="5">
        <f>VLOOKUP(TrendSheetStgData[Population]&amp;TrendSheetStgData[Trend],Threshold[#All],4,FALSE)</f>
        <v>10</v>
      </c>
      <c r="L40" s="5">
        <f>VLOOKUP(TrendSheetStgData[Population]&amp;TrendSheetStgData[Trend],Threshold[#All],5,FALSE)</f>
        <v>5</v>
      </c>
      <c r="M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 spans="1:13" x14ac:dyDescent="0.25">
      <c r="A41" t="s">
        <v>90</v>
      </c>
      <c r="B41" t="s">
        <v>90</v>
      </c>
      <c r="C41" t="s">
        <v>91</v>
      </c>
      <c r="D41" s="1" t="s">
        <v>104</v>
      </c>
      <c r="E41" t="s">
        <v>93</v>
      </c>
      <c r="F41" t="s">
        <v>14</v>
      </c>
      <c r="G41">
        <v>3</v>
      </c>
      <c r="H41">
        <v>482.62</v>
      </c>
      <c r="I41" s="5">
        <f>IFERROR(VLOOKUP(TrendSheetStgData[Population]&amp;TrendSheetStgData[Cost Basis]&amp;TrendSheetStgData[Period]&amp;TrendSheetStgData[Trend],TrendSheetPrdData[#All],9,FALSE),0)</f>
        <v>454.8</v>
      </c>
      <c r="J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6.1169744942832001</v>
      </c>
      <c r="K41" s="5">
        <f>VLOOKUP(TrendSheetStgData[Population]&amp;TrendSheetStgData[Trend],Threshold[#All],4,FALSE)</f>
        <v>10</v>
      </c>
      <c r="L41" s="5">
        <f>VLOOKUP(TrendSheetStgData[Population]&amp;TrendSheetStgData[Trend],Threshold[#All],5,FALSE)</f>
        <v>5</v>
      </c>
      <c r="M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2" spans="1:13" x14ac:dyDescent="0.25">
      <c r="A42" t="s">
        <v>90</v>
      </c>
      <c r="B42" t="s">
        <v>90</v>
      </c>
      <c r="C42" t="s">
        <v>91</v>
      </c>
      <c r="D42" s="1" t="s">
        <v>105</v>
      </c>
      <c r="E42" t="s">
        <v>106</v>
      </c>
      <c r="F42" t="s">
        <v>14</v>
      </c>
      <c r="G42">
        <v>3</v>
      </c>
      <c r="H42">
        <v>383.68</v>
      </c>
      <c r="I42" s="5">
        <f>IFERROR(VLOOKUP(TrendSheetStgData[Population]&amp;TrendSheetStgData[Cost Basis]&amp;TrendSheetStgData[Period]&amp;TrendSheetStgData[Trend],TrendSheetPrdData[#All],9,FALSE),0)</f>
        <v>154.58000000000001</v>
      </c>
      <c r="J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148.2080476128865</v>
      </c>
      <c r="K42" s="5">
        <f>VLOOKUP(TrendSheetStgData[Population]&amp;TrendSheetStgData[Trend],Threshold[#All],4,FALSE)</f>
        <v>10</v>
      </c>
      <c r="L42" s="5">
        <f>VLOOKUP(TrendSheetStgData[Population]&amp;TrendSheetStgData[Trend],Threshold[#All],5,FALSE)</f>
        <v>5</v>
      </c>
      <c r="M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 spans="1:13" x14ac:dyDescent="0.25">
      <c r="A43" t="s">
        <v>90</v>
      </c>
      <c r="B43" t="s">
        <v>90</v>
      </c>
      <c r="C43" t="s">
        <v>91</v>
      </c>
      <c r="D43" s="1" t="s">
        <v>107</v>
      </c>
      <c r="E43" t="s">
        <v>106</v>
      </c>
      <c r="F43" t="s">
        <v>14</v>
      </c>
      <c r="G43">
        <v>3</v>
      </c>
      <c r="H43">
        <v>231.37</v>
      </c>
      <c r="I43" s="5">
        <f>IFERROR(VLOOKUP(TrendSheetStgData[Population]&amp;TrendSheetStgData[Cost Basis]&amp;TrendSheetStgData[Period]&amp;TrendSheetStgData[Trend],TrendSheetPrdData[#All],9,FALSE),0)</f>
        <v>0</v>
      </c>
      <c r="J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3" s="5">
        <f>VLOOKUP(TrendSheetStgData[Population]&amp;TrendSheetStgData[Trend],Threshold[#All],4,FALSE)</f>
        <v>10</v>
      </c>
      <c r="L43" s="5">
        <f>VLOOKUP(TrendSheetStgData[Population]&amp;TrendSheetStgData[Trend],Threshold[#All],5,FALSE)</f>
        <v>5</v>
      </c>
      <c r="M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 spans="1:13" x14ac:dyDescent="0.25">
      <c r="A44" t="s">
        <v>90</v>
      </c>
      <c r="B44" t="s">
        <v>90</v>
      </c>
      <c r="C44" t="s">
        <v>91</v>
      </c>
      <c r="D44" s="1" t="s">
        <v>92</v>
      </c>
      <c r="E44" t="s">
        <v>93</v>
      </c>
      <c r="F44" t="s">
        <v>15</v>
      </c>
      <c r="G44">
        <v>4</v>
      </c>
      <c r="H44">
        <v>34577.120000000003</v>
      </c>
      <c r="I44" s="5">
        <f>IFERROR(VLOOKUP(TrendSheetStgData[Population]&amp;TrendSheetStgData[Cost Basis]&amp;TrendSheetStgData[Period]&amp;TrendSheetStgData[Trend],TrendSheetPrdData[#All],9,FALSE),0)</f>
        <v>34577.120000000003</v>
      </c>
      <c r="J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 s="5">
        <f>VLOOKUP(TrendSheetStgData[Population]&amp;TrendSheetStgData[Trend],Threshold[#All],4,FALSE)</f>
        <v>10</v>
      </c>
      <c r="L44" s="5">
        <f>VLOOKUP(TrendSheetStgData[Population]&amp;TrendSheetStgData[Trend],Threshold[#All],5,FALSE)</f>
        <v>5</v>
      </c>
      <c r="M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 spans="1:13" x14ac:dyDescent="0.25">
      <c r="A45" t="s">
        <v>90</v>
      </c>
      <c r="B45" t="s">
        <v>90</v>
      </c>
      <c r="C45" t="s">
        <v>91</v>
      </c>
      <c r="D45" s="1" t="s">
        <v>94</v>
      </c>
      <c r="E45" t="s">
        <v>93</v>
      </c>
      <c r="F45" t="s">
        <v>15</v>
      </c>
      <c r="G45">
        <v>4</v>
      </c>
      <c r="H45">
        <v>264404.24</v>
      </c>
      <c r="I45" s="5">
        <f>IFERROR(VLOOKUP(TrendSheetStgData[Population]&amp;TrendSheetStgData[Cost Basis]&amp;TrendSheetStgData[Period]&amp;TrendSheetStgData[Trend],TrendSheetPrdData[#All],9,FALSE),0)</f>
        <v>264404.24</v>
      </c>
      <c r="J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 s="5">
        <f>VLOOKUP(TrendSheetStgData[Population]&amp;TrendSheetStgData[Trend],Threshold[#All],4,FALSE)</f>
        <v>10</v>
      </c>
      <c r="L45" s="5">
        <f>VLOOKUP(TrendSheetStgData[Population]&amp;TrendSheetStgData[Trend],Threshold[#All],5,FALSE)</f>
        <v>5</v>
      </c>
      <c r="M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 spans="1:13" x14ac:dyDescent="0.25">
      <c r="A46" t="s">
        <v>90</v>
      </c>
      <c r="B46" t="s">
        <v>90</v>
      </c>
      <c r="C46" t="s">
        <v>91</v>
      </c>
      <c r="D46" s="1" t="s">
        <v>95</v>
      </c>
      <c r="E46" t="s">
        <v>93</v>
      </c>
      <c r="F46" t="s">
        <v>15</v>
      </c>
      <c r="G46">
        <v>4</v>
      </c>
      <c r="H46">
        <v>22162.14</v>
      </c>
      <c r="I46" s="5">
        <f>IFERROR(VLOOKUP(TrendSheetStgData[Population]&amp;TrendSheetStgData[Cost Basis]&amp;TrendSheetStgData[Period]&amp;TrendSheetStgData[Trend],TrendSheetPrdData[#All],9,FALSE),0)</f>
        <v>22162.14</v>
      </c>
      <c r="J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 s="5">
        <f>VLOOKUP(TrendSheetStgData[Population]&amp;TrendSheetStgData[Trend],Threshold[#All],4,FALSE)</f>
        <v>10</v>
      </c>
      <c r="L46" s="5">
        <f>VLOOKUP(TrendSheetStgData[Population]&amp;TrendSheetStgData[Trend],Threshold[#All],5,FALSE)</f>
        <v>5</v>
      </c>
      <c r="M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 spans="1:13" x14ac:dyDescent="0.25">
      <c r="A47" t="s">
        <v>90</v>
      </c>
      <c r="B47" t="s">
        <v>90</v>
      </c>
      <c r="C47" t="s">
        <v>91</v>
      </c>
      <c r="D47" s="1" t="s">
        <v>96</v>
      </c>
      <c r="E47" t="s">
        <v>93</v>
      </c>
      <c r="F47" t="s">
        <v>15</v>
      </c>
      <c r="G47">
        <v>4</v>
      </c>
      <c r="H47">
        <v>2019.15</v>
      </c>
      <c r="I47" s="5">
        <f>IFERROR(VLOOKUP(TrendSheetStgData[Population]&amp;TrendSheetStgData[Cost Basis]&amp;TrendSheetStgData[Period]&amp;TrendSheetStgData[Trend],TrendSheetPrdData[#All],9,FALSE),0)</f>
        <v>2019.15</v>
      </c>
      <c r="J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 s="5">
        <f>VLOOKUP(TrendSheetStgData[Population]&amp;TrendSheetStgData[Trend],Threshold[#All],4,FALSE)</f>
        <v>10</v>
      </c>
      <c r="L47" s="5">
        <f>VLOOKUP(TrendSheetStgData[Population]&amp;TrendSheetStgData[Trend],Threshold[#All],5,FALSE)</f>
        <v>5</v>
      </c>
      <c r="M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 spans="1:13" x14ac:dyDescent="0.25">
      <c r="A48" t="s">
        <v>90</v>
      </c>
      <c r="B48" t="s">
        <v>90</v>
      </c>
      <c r="C48" t="s">
        <v>91</v>
      </c>
      <c r="D48" s="1" t="s">
        <v>97</v>
      </c>
      <c r="E48" t="s">
        <v>93</v>
      </c>
      <c r="F48" t="s">
        <v>15</v>
      </c>
      <c r="G48">
        <v>4</v>
      </c>
      <c r="H48">
        <v>0</v>
      </c>
      <c r="I48" s="5">
        <f>IFERROR(VLOOKUP(TrendSheetStgData[Population]&amp;TrendSheetStgData[Cost Basis]&amp;TrendSheetStgData[Period]&amp;TrendSheetStgData[Trend],TrendSheetPrdData[#All],9,FALSE),0)</f>
        <v>0</v>
      </c>
      <c r="J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 s="5">
        <f>VLOOKUP(TrendSheetStgData[Population]&amp;TrendSheetStgData[Trend],Threshold[#All],4,FALSE)</f>
        <v>10</v>
      </c>
      <c r="L48" s="5">
        <f>VLOOKUP(TrendSheetStgData[Population]&amp;TrendSheetStgData[Trend],Threshold[#All],5,FALSE)</f>
        <v>5</v>
      </c>
      <c r="M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 spans="1:13" x14ac:dyDescent="0.25">
      <c r="A49" t="s">
        <v>90</v>
      </c>
      <c r="B49" t="s">
        <v>90</v>
      </c>
      <c r="C49" t="s">
        <v>91</v>
      </c>
      <c r="D49" s="1" t="s">
        <v>98</v>
      </c>
      <c r="E49" t="s">
        <v>93</v>
      </c>
      <c r="F49" t="s">
        <v>15</v>
      </c>
      <c r="G49">
        <v>4</v>
      </c>
      <c r="H49">
        <v>142492.35</v>
      </c>
      <c r="I49" s="5">
        <f>IFERROR(VLOOKUP(TrendSheetStgData[Population]&amp;TrendSheetStgData[Cost Basis]&amp;TrendSheetStgData[Period]&amp;TrendSheetStgData[Trend],TrendSheetPrdData[#All],9,FALSE),0)</f>
        <v>120026.17</v>
      </c>
      <c r="J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18.717734640703778</v>
      </c>
      <c r="K49" s="5">
        <f>VLOOKUP(TrendSheetStgData[Population]&amp;TrendSheetStgData[Trend],Threshold[#All],4,FALSE)</f>
        <v>10</v>
      </c>
      <c r="L49" s="5">
        <f>VLOOKUP(TrendSheetStgData[Population]&amp;TrendSheetStgData[Trend],Threshold[#All],5,FALSE)</f>
        <v>5</v>
      </c>
      <c r="M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 spans="1:13" x14ac:dyDescent="0.25">
      <c r="A50" t="s">
        <v>90</v>
      </c>
      <c r="B50" t="s">
        <v>90</v>
      </c>
      <c r="C50" t="s">
        <v>91</v>
      </c>
      <c r="D50" s="1" t="s">
        <v>99</v>
      </c>
      <c r="E50" t="s">
        <v>93</v>
      </c>
      <c r="F50" t="s">
        <v>15</v>
      </c>
      <c r="G50">
        <v>4</v>
      </c>
      <c r="H50">
        <v>48595.47</v>
      </c>
      <c r="I50" s="5">
        <f>IFERROR(VLOOKUP(TrendSheetStgData[Population]&amp;TrendSheetStgData[Cost Basis]&amp;TrendSheetStgData[Period]&amp;TrendSheetStgData[Trend],TrendSheetPrdData[#All],9,FALSE),0)</f>
        <v>48595.47</v>
      </c>
      <c r="J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 s="5">
        <f>VLOOKUP(TrendSheetStgData[Population]&amp;TrendSheetStgData[Trend],Threshold[#All],4,FALSE)</f>
        <v>10</v>
      </c>
      <c r="L50" s="5">
        <f>VLOOKUP(TrendSheetStgData[Population]&amp;TrendSheetStgData[Trend],Threshold[#All],5,FALSE)</f>
        <v>5</v>
      </c>
      <c r="M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 spans="1:13" x14ac:dyDescent="0.25">
      <c r="A51" t="s">
        <v>90</v>
      </c>
      <c r="B51" t="s">
        <v>90</v>
      </c>
      <c r="C51" t="s">
        <v>91</v>
      </c>
      <c r="D51" s="1" t="s">
        <v>100</v>
      </c>
      <c r="E51" t="s">
        <v>93</v>
      </c>
      <c r="F51" t="s">
        <v>15</v>
      </c>
      <c r="G51">
        <v>4</v>
      </c>
      <c r="H51">
        <v>106868.22</v>
      </c>
      <c r="I51" s="5">
        <f>IFERROR(VLOOKUP(TrendSheetStgData[Population]&amp;TrendSheetStgData[Cost Basis]&amp;TrendSheetStgData[Period]&amp;TrendSheetStgData[Trend],TrendSheetPrdData[#All],9,FALSE),0)</f>
        <v>106868.22</v>
      </c>
      <c r="J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 s="5">
        <f>VLOOKUP(TrendSheetStgData[Population]&amp;TrendSheetStgData[Trend],Threshold[#All],4,FALSE)</f>
        <v>10</v>
      </c>
      <c r="L51" s="5">
        <f>VLOOKUP(TrendSheetStgData[Population]&amp;TrendSheetStgData[Trend],Threshold[#All],5,FALSE)</f>
        <v>5</v>
      </c>
      <c r="M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 spans="1:13" x14ac:dyDescent="0.25">
      <c r="A52" t="s">
        <v>90</v>
      </c>
      <c r="B52" t="s">
        <v>90</v>
      </c>
      <c r="C52" t="s">
        <v>91</v>
      </c>
      <c r="D52" s="1" t="s">
        <v>101</v>
      </c>
      <c r="E52" t="s">
        <v>93</v>
      </c>
      <c r="F52" t="s">
        <v>15</v>
      </c>
      <c r="G52">
        <v>4</v>
      </c>
      <c r="H52">
        <v>33576.300000000003</v>
      </c>
      <c r="I52" s="5">
        <f>IFERROR(VLOOKUP(TrendSheetStgData[Population]&amp;TrendSheetStgData[Cost Basis]&amp;TrendSheetStgData[Period]&amp;TrendSheetStgData[Trend],TrendSheetPrdData[#All],9,FALSE),0)</f>
        <v>33576.300000000003</v>
      </c>
      <c r="J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 s="5">
        <f>VLOOKUP(TrendSheetStgData[Population]&amp;TrendSheetStgData[Trend],Threshold[#All],4,FALSE)</f>
        <v>10</v>
      </c>
      <c r="L52" s="5">
        <f>VLOOKUP(TrendSheetStgData[Population]&amp;TrendSheetStgData[Trend],Threshold[#All],5,FALSE)</f>
        <v>5</v>
      </c>
      <c r="M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 spans="1:13" x14ac:dyDescent="0.25">
      <c r="A53" t="s">
        <v>90</v>
      </c>
      <c r="B53" t="s">
        <v>90</v>
      </c>
      <c r="C53" t="s">
        <v>91</v>
      </c>
      <c r="D53" s="1" t="s">
        <v>102</v>
      </c>
      <c r="E53" t="s">
        <v>93</v>
      </c>
      <c r="F53" t="s">
        <v>15</v>
      </c>
      <c r="G53">
        <v>4</v>
      </c>
      <c r="H53">
        <v>13446.13</v>
      </c>
      <c r="I53" s="5">
        <f>IFERROR(VLOOKUP(TrendSheetStgData[Population]&amp;TrendSheetStgData[Cost Basis]&amp;TrendSheetStgData[Period]&amp;TrendSheetStgData[Trend],TrendSheetPrdData[#All],9,FALSE),0)</f>
        <v>13446.13</v>
      </c>
      <c r="J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 s="5">
        <f>VLOOKUP(TrendSheetStgData[Population]&amp;TrendSheetStgData[Trend],Threshold[#All],4,FALSE)</f>
        <v>10</v>
      </c>
      <c r="L53" s="5">
        <f>VLOOKUP(TrendSheetStgData[Population]&amp;TrendSheetStgData[Trend],Threshold[#All],5,FALSE)</f>
        <v>5</v>
      </c>
      <c r="M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 spans="1:13" x14ac:dyDescent="0.25">
      <c r="A54" t="s">
        <v>90</v>
      </c>
      <c r="B54" t="s">
        <v>90</v>
      </c>
      <c r="C54" t="s">
        <v>91</v>
      </c>
      <c r="D54" s="1" t="s">
        <v>103</v>
      </c>
      <c r="E54" t="s">
        <v>93</v>
      </c>
      <c r="F54" t="s">
        <v>15</v>
      </c>
      <c r="G54">
        <v>4</v>
      </c>
      <c r="H54">
        <v>10104.049999999999</v>
      </c>
      <c r="I54" s="5">
        <f>IFERROR(VLOOKUP(TrendSheetStgData[Population]&amp;TrendSheetStgData[Cost Basis]&amp;TrendSheetStgData[Period]&amp;TrendSheetStgData[Trend],TrendSheetPrdData[#All],9,FALSE),0)</f>
        <v>10104.049999999999</v>
      </c>
      <c r="J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 s="5">
        <f>VLOOKUP(TrendSheetStgData[Population]&amp;TrendSheetStgData[Trend],Threshold[#All],4,FALSE)</f>
        <v>10</v>
      </c>
      <c r="L54" s="5">
        <f>VLOOKUP(TrendSheetStgData[Population]&amp;TrendSheetStgData[Trend],Threshold[#All],5,FALSE)</f>
        <v>5</v>
      </c>
      <c r="M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 spans="1:13" x14ac:dyDescent="0.25">
      <c r="A55" t="s">
        <v>90</v>
      </c>
      <c r="B55" t="s">
        <v>90</v>
      </c>
      <c r="C55" t="s">
        <v>91</v>
      </c>
      <c r="D55" s="1" t="s">
        <v>104</v>
      </c>
      <c r="E55" t="s">
        <v>93</v>
      </c>
      <c r="F55" t="s">
        <v>15</v>
      </c>
      <c r="G55">
        <v>4</v>
      </c>
      <c r="H55">
        <v>11418.26</v>
      </c>
      <c r="I55" s="5">
        <f>IFERROR(VLOOKUP(TrendSheetStgData[Population]&amp;TrendSheetStgData[Cost Basis]&amp;TrendSheetStgData[Period]&amp;TrendSheetStgData[Trend],TrendSheetPrdData[#All],9,FALSE),0)</f>
        <v>11418.26</v>
      </c>
      <c r="J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 s="5">
        <f>VLOOKUP(TrendSheetStgData[Population]&amp;TrendSheetStgData[Trend],Threshold[#All],4,FALSE)</f>
        <v>10</v>
      </c>
      <c r="L55" s="5">
        <f>VLOOKUP(TrendSheetStgData[Population]&amp;TrendSheetStgData[Trend],Threshold[#All],5,FALSE)</f>
        <v>5</v>
      </c>
      <c r="M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 spans="1:13" x14ac:dyDescent="0.25">
      <c r="A56" t="s">
        <v>90</v>
      </c>
      <c r="B56" t="s">
        <v>90</v>
      </c>
      <c r="C56" t="s">
        <v>91</v>
      </c>
      <c r="D56" s="1" t="s">
        <v>105</v>
      </c>
      <c r="E56" t="s">
        <v>106</v>
      </c>
      <c r="F56" t="s">
        <v>15</v>
      </c>
      <c r="G56">
        <v>4</v>
      </c>
      <c r="H56">
        <v>0</v>
      </c>
      <c r="I56" s="5">
        <f>IFERROR(VLOOKUP(TrendSheetStgData[Population]&amp;TrendSheetStgData[Cost Basis]&amp;TrendSheetStgData[Period]&amp;TrendSheetStgData[Trend],TrendSheetPrdData[#All],9,FALSE),0)</f>
        <v>0</v>
      </c>
      <c r="J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 s="5">
        <f>VLOOKUP(TrendSheetStgData[Population]&amp;TrendSheetStgData[Trend],Threshold[#All],4,FALSE)</f>
        <v>10</v>
      </c>
      <c r="L56" s="5">
        <f>VLOOKUP(TrendSheetStgData[Population]&amp;TrendSheetStgData[Trend],Threshold[#All],5,FALSE)</f>
        <v>5</v>
      </c>
      <c r="M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 spans="1:13" x14ac:dyDescent="0.25">
      <c r="A57" t="s">
        <v>90</v>
      </c>
      <c r="B57" t="s">
        <v>90</v>
      </c>
      <c r="C57" t="s">
        <v>91</v>
      </c>
      <c r="D57" s="1" t="s">
        <v>107</v>
      </c>
      <c r="E57" t="s">
        <v>106</v>
      </c>
      <c r="F57" t="s">
        <v>15</v>
      </c>
      <c r="G57">
        <v>4</v>
      </c>
      <c r="H57">
        <v>0</v>
      </c>
      <c r="I57" s="5">
        <f>IFERROR(VLOOKUP(TrendSheetStgData[Population]&amp;TrendSheetStgData[Cost Basis]&amp;TrendSheetStgData[Period]&amp;TrendSheetStgData[Trend],TrendSheetPrdData[#All],9,FALSE),0)</f>
        <v>0</v>
      </c>
      <c r="J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 s="5">
        <f>VLOOKUP(TrendSheetStgData[Population]&amp;TrendSheetStgData[Trend],Threshold[#All],4,FALSE)</f>
        <v>10</v>
      </c>
      <c r="L57" s="5">
        <f>VLOOKUP(TrendSheetStgData[Population]&amp;TrendSheetStgData[Trend],Threshold[#All],5,FALSE)</f>
        <v>5</v>
      </c>
      <c r="M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 spans="1:13" x14ac:dyDescent="0.25">
      <c r="A58" t="s">
        <v>90</v>
      </c>
      <c r="B58" t="s">
        <v>90</v>
      </c>
      <c r="C58" t="s">
        <v>91</v>
      </c>
      <c r="D58" s="1" t="s">
        <v>92</v>
      </c>
      <c r="E58" t="s">
        <v>93</v>
      </c>
      <c r="F58" t="s">
        <v>16</v>
      </c>
      <c r="G58">
        <v>5</v>
      </c>
      <c r="H58">
        <v>1</v>
      </c>
      <c r="I58" s="5">
        <f>IFERROR(VLOOKUP(TrendSheetStgData[Population]&amp;TrendSheetStgData[Cost Basis]&amp;TrendSheetStgData[Period]&amp;TrendSheetStgData[Trend],TrendSheetPrdData[#All],9,FALSE),0)</f>
        <v>1</v>
      </c>
      <c r="J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 s="5">
        <f>VLOOKUP(TrendSheetStgData[Population]&amp;TrendSheetStgData[Trend],Threshold[#All],4,FALSE)</f>
        <v>10</v>
      </c>
      <c r="L58" s="5">
        <f>VLOOKUP(TrendSheetStgData[Population]&amp;TrendSheetStgData[Trend],Threshold[#All],5,FALSE)</f>
        <v>5</v>
      </c>
      <c r="M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 spans="1:13" x14ac:dyDescent="0.25">
      <c r="A59" t="s">
        <v>90</v>
      </c>
      <c r="B59" t="s">
        <v>90</v>
      </c>
      <c r="C59" t="s">
        <v>91</v>
      </c>
      <c r="D59" s="1" t="s">
        <v>94</v>
      </c>
      <c r="E59" t="s">
        <v>93</v>
      </c>
      <c r="F59" t="s">
        <v>16</v>
      </c>
      <c r="G59">
        <v>5</v>
      </c>
      <c r="H59">
        <v>2</v>
      </c>
      <c r="I59" s="5">
        <f>IFERROR(VLOOKUP(TrendSheetStgData[Population]&amp;TrendSheetStgData[Cost Basis]&amp;TrendSheetStgData[Period]&amp;TrendSheetStgData[Trend],TrendSheetPrdData[#All],9,FALSE),0)</f>
        <v>2</v>
      </c>
      <c r="J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 s="5">
        <f>VLOOKUP(TrendSheetStgData[Population]&amp;TrendSheetStgData[Trend],Threshold[#All],4,FALSE)</f>
        <v>10</v>
      </c>
      <c r="L59" s="5">
        <f>VLOOKUP(TrendSheetStgData[Population]&amp;TrendSheetStgData[Trend],Threshold[#All],5,FALSE)</f>
        <v>5</v>
      </c>
      <c r="M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 spans="1:13" x14ac:dyDescent="0.25">
      <c r="A60" t="s">
        <v>90</v>
      </c>
      <c r="B60" t="s">
        <v>90</v>
      </c>
      <c r="C60" t="s">
        <v>91</v>
      </c>
      <c r="D60" s="1" t="s">
        <v>95</v>
      </c>
      <c r="E60" t="s">
        <v>93</v>
      </c>
      <c r="F60" t="s">
        <v>16</v>
      </c>
      <c r="G60">
        <v>5</v>
      </c>
      <c r="H60">
        <v>1</v>
      </c>
      <c r="I60" s="5">
        <f>IFERROR(VLOOKUP(TrendSheetStgData[Population]&amp;TrendSheetStgData[Cost Basis]&amp;TrendSheetStgData[Period]&amp;TrendSheetStgData[Trend],TrendSheetPrdData[#All],9,FALSE),0)</f>
        <v>1</v>
      </c>
      <c r="J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 s="5">
        <f>VLOOKUP(TrendSheetStgData[Population]&amp;TrendSheetStgData[Trend],Threshold[#All],4,FALSE)</f>
        <v>10</v>
      </c>
      <c r="L60" s="5">
        <f>VLOOKUP(TrendSheetStgData[Population]&amp;TrendSheetStgData[Trend],Threshold[#All],5,FALSE)</f>
        <v>5</v>
      </c>
      <c r="M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 spans="1:13" x14ac:dyDescent="0.25">
      <c r="A61" t="s">
        <v>90</v>
      </c>
      <c r="B61" t="s">
        <v>90</v>
      </c>
      <c r="C61" t="s">
        <v>91</v>
      </c>
      <c r="D61" s="1" t="s">
        <v>96</v>
      </c>
      <c r="E61" t="s">
        <v>93</v>
      </c>
      <c r="F61" t="s">
        <v>16</v>
      </c>
      <c r="G61">
        <v>5</v>
      </c>
      <c r="H61">
        <v>1</v>
      </c>
      <c r="I61" s="5">
        <f>IFERROR(VLOOKUP(TrendSheetStgData[Population]&amp;TrendSheetStgData[Cost Basis]&amp;TrendSheetStgData[Period]&amp;TrendSheetStgData[Trend],TrendSheetPrdData[#All],9,FALSE),0)</f>
        <v>1</v>
      </c>
      <c r="J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 s="5">
        <f>VLOOKUP(TrendSheetStgData[Population]&amp;TrendSheetStgData[Trend],Threshold[#All],4,FALSE)</f>
        <v>10</v>
      </c>
      <c r="L61" s="5">
        <f>VLOOKUP(TrendSheetStgData[Population]&amp;TrendSheetStgData[Trend],Threshold[#All],5,FALSE)</f>
        <v>5</v>
      </c>
      <c r="M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 spans="1:13" x14ac:dyDescent="0.25">
      <c r="A62" t="s">
        <v>90</v>
      </c>
      <c r="B62" t="s">
        <v>90</v>
      </c>
      <c r="C62" t="s">
        <v>91</v>
      </c>
      <c r="D62" s="1" t="s">
        <v>97</v>
      </c>
      <c r="E62" t="s">
        <v>93</v>
      </c>
      <c r="F62" t="s">
        <v>16</v>
      </c>
      <c r="G62">
        <v>5</v>
      </c>
      <c r="H62">
        <v>0</v>
      </c>
      <c r="I62" s="5">
        <f>IFERROR(VLOOKUP(TrendSheetStgData[Population]&amp;TrendSheetStgData[Cost Basis]&amp;TrendSheetStgData[Period]&amp;TrendSheetStgData[Trend],TrendSheetPrdData[#All],9,FALSE),0)</f>
        <v>0</v>
      </c>
      <c r="J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 s="5">
        <f>VLOOKUP(TrendSheetStgData[Population]&amp;TrendSheetStgData[Trend],Threshold[#All],4,FALSE)</f>
        <v>10</v>
      </c>
      <c r="L62" s="5">
        <f>VLOOKUP(TrendSheetStgData[Population]&amp;TrendSheetStgData[Trend],Threshold[#All],5,FALSE)</f>
        <v>5</v>
      </c>
      <c r="M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 spans="1:13" x14ac:dyDescent="0.25">
      <c r="A63" t="s">
        <v>90</v>
      </c>
      <c r="B63" t="s">
        <v>90</v>
      </c>
      <c r="C63" t="s">
        <v>91</v>
      </c>
      <c r="D63" s="1" t="s">
        <v>98</v>
      </c>
      <c r="E63" t="s">
        <v>93</v>
      </c>
      <c r="F63" t="s">
        <v>16</v>
      </c>
      <c r="G63">
        <v>5</v>
      </c>
      <c r="H63">
        <v>5</v>
      </c>
      <c r="I63" s="5">
        <f>IFERROR(VLOOKUP(TrendSheetStgData[Population]&amp;TrendSheetStgData[Cost Basis]&amp;TrendSheetStgData[Period]&amp;TrendSheetStgData[Trend],TrendSheetPrdData[#All],9,FALSE),0)</f>
        <v>4</v>
      </c>
      <c r="J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v>
      </c>
      <c r="K63" s="5">
        <f>VLOOKUP(TrendSheetStgData[Population]&amp;TrendSheetStgData[Trend],Threshold[#All],4,FALSE)</f>
        <v>10</v>
      </c>
      <c r="L63" s="5">
        <f>VLOOKUP(TrendSheetStgData[Population]&amp;TrendSheetStgData[Trend],Threshold[#All],5,FALSE)</f>
        <v>5</v>
      </c>
      <c r="M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4" spans="1:13" x14ac:dyDescent="0.25">
      <c r="A64" t="s">
        <v>90</v>
      </c>
      <c r="B64" t="s">
        <v>90</v>
      </c>
      <c r="C64" t="s">
        <v>91</v>
      </c>
      <c r="D64" s="1" t="s">
        <v>99</v>
      </c>
      <c r="E64" t="s">
        <v>93</v>
      </c>
      <c r="F64" t="s">
        <v>16</v>
      </c>
      <c r="G64">
        <v>5</v>
      </c>
      <c r="H64">
        <v>5</v>
      </c>
      <c r="I64" s="5">
        <f>IFERROR(VLOOKUP(TrendSheetStgData[Population]&amp;TrendSheetStgData[Cost Basis]&amp;TrendSheetStgData[Period]&amp;TrendSheetStgData[Trend],TrendSheetPrdData[#All],9,FALSE),0)</f>
        <v>5</v>
      </c>
      <c r="J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 s="5">
        <f>VLOOKUP(TrendSheetStgData[Population]&amp;TrendSheetStgData[Trend],Threshold[#All],4,FALSE)</f>
        <v>10</v>
      </c>
      <c r="L64" s="5">
        <f>VLOOKUP(TrendSheetStgData[Population]&amp;TrendSheetStgData[Trend],Threshold[#All],5,FALSE)</f>
        <v>5</v>
      </c>
      <c r="M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 spans="1:13" x14ac:dyDescent="0.25">
      <c r="A65" t="s">
        <v>90</v>
      </c>
      <c r="B65" t="s">
        <v>90</v>
      </c>
      <c r="C65" t="s">
        <v>91</v>
      </c>
      <c r="D65" s="1" t="s">
        <v>100</v>
      </c>
      <c r="E65" t="s">
        <v>93</v>
      </c>
      <c r="F65" t="s">
        <v>16</v>
      </c>
      <c r="G65">
        <v>5</v>
      </c>
      <c r="H65">
        <v>1</v>
      </c>
      <c r="I65" s="5">
        <f>IFERROR(VLOOKUP(TrendSheetStgData[Population]&amp;TrendSheetStgData[Cost Basis]&amp;TrendSheetStgData[Period]&amp;TrendSheetStgData[Trend],TrendSheetPrdData[#All],9,FALSE),0)</f>
        <v>1</v>
      </c>
      <c r="J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 s="5">
        <f>VLOOKUP(TrendSheetStgData[Population]&amp;TrendSheetStgData[Trend],Threshold[#All],4,FALSE)</f>
        <v>10</v>
      </c>
      <c r="L65" s="5">
        <f>VLOOKUP(TrendSheetStgData[Population]&amp;TrendSheetStgData[Trend],Threshold[#All],5,FALSE)</f>
        <v>5</v>
      </c>
      <c r="M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 spans="1:13" x14ac:dyDescent="0.25">
      <c r="A66" t="s">
        <v>90</v>
      </c>
      <c r="B66" t="s">
        <v>90</v>
      </c>
      <c r="C66" t="s">
        <v>91</v>
      </c>
      <c r="D66" s="1" t="s">
        <v>101</v>
      </c>
      <c r="E66" t="s">
        <v>93</v>
      </c>
      <c r="F66" t="s">
        <v>16</v>
      </c>
      <c r="G66">
        <v>5</v>
      </c>
      <c r="H66">
        <v>4</v>
      </c>
      <c r="I66" s="5">
        <f>IFERROR(VLOOKUP(TrendSheetStgData[Population]&amp;TrendSheetStgData[Cost Basis]&amp;TrendSheetStgData[Period]&amp;TrendSheetStgData[Trend],TrendSheetPrdData[#All],9,FALSE),0)</f>
        <v>4</v>
      </c>
      <c r="J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 s="5">
        <f>VLOOKUP(TrendSheetStgData[Population]&amp;TrendSheetStgData[Trend],Threshold[#All],4,FALSE)</f>
        <v>10</v>
      </c>
      <c r="L66" s="5">
        <f>VLOOKUP(TrendSheetStgData[Population]&amp;TrendSheetStgData[Trend],Threshold[#All],5,FALSE)</f>
        <v>5</v>
      </c>
      <c r="M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 spans="1:13" x14ac:dyDescent="0.25">
      <c r="A67" t="s">
        <v>90</v>
      </c>
      <c r="B67" t="s">
        <v>90</v>
      </c>
      <c r="C67" t="s">
        <v>91</v>
      </c>
      <c r="D67" s="1" t="s">
        <v>102</v>
      </c>
      <c r="E67" t="s">
        <v>93</v>
      </c>
      <c r="F67" t="s">
        <v>16</v>
      </c>
      <c r="G67">
        <v>5</v>
      </c>
      <c r="H67">
        <v>1</v>
      </c>
      <c r="I67" s="5">
        <f>IFERROR(VLOOKUP(TrendSheetStgData[Population]&amp;TrendSheetStgData[Cost Basis]&amp;TrendSheetStgData[Period]&amp;TrendSheetStgData[Trend],TrendSheetPrdData[#All],9,FALSE),0)</f>
        <v>1</v>
      </c>
      <c r="J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 s="5">
        <f>VLOOKUP(TrendSheetStgData[Population]&amp;TrendSheetStgData[Trend],Threshold[#All],4,FALSE)</f>
        <v>10</v>
      </c>
      <c r="L67" s="5">
        <f>VLOOKUP(TrendSheetStgData[Population]&amp;TrendSheetStgData[Trend],Threshold[#All],5,FALSE)</f>
        <v>5</v>
      </c>
      <c r="M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 spans="1:13" x14ac:dyDescent="0.25">
      <c r="A68" t="s">
        <v>90</v>
      </c>
      <c r="B68" t="s">
        <v>90</v>
      </c>
      <c r="C68" t="s">
        <v>91</v>
      </c>
      <c r="D68" s="1" t="s">
        <v>103</v>
      </c>
      <c r="E68" t="s">
        <v>93</v>
      </c>
      <c r="F68" t="s">
        <v>16</v>
      </c>
      <c r="G68">
        <v>5</v>
      </c>
      <c r="H68">
        <v>2</v>
      </c>
      <c r="I68" s="5">
        <f>IFERROR(VLOOKUP(TrendSheetStgData[Population]&amp;TrendSheetStgData[Cost Basis]&amp;TrendSheetStgData[Period]&amp;TrendSheetStgData[Trend],TrendSheetPrdData[#All],9,FALSE),0)</f>
        <v>2</v>
      </c>
      <c r="J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 s="5">
        <f>VLOOKUP(TrendSheetStgData[Population]&amp;TrendSheetStgData[Trend],Threshold[#All],4,FALSE)</f>
        <v>10</v>
      </c>
      <c r="L68" s="5">
        <f>VLOOKUP(TrendSheetStgData[Population]&amp;TrendSheetStgData[Trend],Threshold[#All],5,FALSE)</f>
        <v>5</v>
      </c>
      <c r="M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 spans="1:13" x14ac:dyDescent="0.25">
      <c r="A69" t="s">
        <v>90</v>
      </c>
      <c r="B69" t="s">
        <v>90</v>
      </c>
      <c r="C69" t="s">
        <v>91</v>
      </c>
      <c r="D69" s="1" t="s">
        <v>104</v>
      </c>
      <c r="E69" t="s">
        <v>93</v>
      </c>
      <c r="F69" t="s">
        <v>16</v>
      </c>
      <c r="G69">
        <v>5</v>
      </c>
      <c r="H69">
        <v>1</v>
      </c>
      <c r="I69" s="5">
        <f>IFERROR(VLOOKUP(TrendSheetStgData[Population]&amp;TrendSheetStgData[Cost Basis]&amp;TrendSheetStgData[Period]&amp;TrendSheetStgData[Trend],TrendSheetPrdData[#All],9,FALSE),0)</f>
        <v>1</v>
      </c>
      <c r="J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 s="5">
        <f>VLOOKUP(TrendSheetStgData[Population]&amp;TrendSheetStgData[Trend],Threshold[#All],4,FALSE)</f>
        <v>10</v>
      </c>
      <c r="L69" s="5">
        <f>VLOOKUP(TrendSheetStgData[Population]&amp;TrendSheetStgData[Trend],Threshold[#All],5,FALSE)</f>
        <v>5</v>
      </c>
      <c r="M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 spans="1:13" x14ac:dyDescent="0.25">
      <c r="A70" t="s">
        <v>90</v>
      </c>
      <c r="B70" t="s">
        <v>90</v>
      </c>
      <c r="C70" t="s">
        <v>91</v>
      </c>
      <c r="D70" s="1" t="s">
        <v>105</v>
      </c>
      <c r="E70" t="s">
        <v>106</v>
      </c>
      <c r="F70" t="s">
        <v>16</v>
      </c>
      <c r="G70">
        <v>5</v>
      </c>
      <c r="H70">
        <v>0</v>
      </c>
      <c r="I70" s="5">
        <f>IFERROR(VLOOKUP(TrendSheetStgData[Population]&amp;TrendSheetStgData[Cost Basis]&amp;TrendSheetStgData[Period]&amp;TrendSheetStgData[Trend],TrendSheetPrdData[#All],9,FALSE),0)</f>
        <v>0</v>
      </c>
      <c r="J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 s="5">
        <f>VLOOKUP(TrendSheetStgData[Population]&amp;TrendSheetStgData[Trend],Threshold[#All],4,FALSE)</f>
        <v>10</v>
      </c>
      <c r="L70" s="5">
        <f>VLOOKUP(TrendSheetStgData[Population]&amp;TrendSheetStgData[Trend],Threshold[#All],5,FALSE)</f>
        <v>5</v>
      </c>
      <c r="M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 spans="1:13" x14ac:dyDescent="0.25">
      <c r="A71" t="s">
        <v>90</v>
      </c>
      <c r="B71" t="s">
        <v>90</v>
      </c>
      <c r="C71" t="s">
        <v>91</v>
      </c>
      <c r="D71" s="1" t="s">
        <v>107</v>
      </c>
      <c r="E71" t="s">
        <v>106</v>
      </c>
      <c r="F71" t="s">
        <v>16</v>
      </c>
      <c r="G71">
        <v>5</v>
      </c>
      <c r="H71">
        <v>0</v>
      </c>
      <c r="I71" s="5">
        <f>IFERROR(VLOOKUP(TrendSheetStgData[Population]&amp;TrendSheetStgData[Cost Basis]&amp;TrendSheetStgData[Period]&amp;TrendSheetStgData[Trend],TrendSheetPrdData[#All],9,FALSE),0)</f>
        <v>0</v>
      </c>
      <c r="J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 s="5">
        <f>VLOOKUP(TrendSheetStgData[Population]&amp;TrendSheetStgData[Trend],Threshold[#All],4,FALSE)</f>
        <v>10</v>
      </c>
      <c r="L71" s="5">
        <f>VLOOKUP(TrendSheetStgData[Population]&amp;TrendSheetStgData[Trend],Threshold[#All],5,FALSE)</f>
        <v>5</v>
      </c>
      <c r="M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 spans="1:13" x14ac:dyDescent="0.25">
      <c r="A72" t="s">
        <v>90</v>
      </c>
      <c r="B72" t="s">
        <v>90</v>
      </c>
      <c r="C72" t="s">
        <v>91</v>
      </c>
      <c r="D72" s="1" t="s">
        <v>92</v>
      </c>
      <c r="E72" t="s">
        <v>93</v>
      </c>
      <c r="F72" t="s">
        <v>17</v>
      </c>
      <c r="G72">
        <v>6</v>
      </c>
      <c r="H72">
        <v>30090.83</v>
      </c>
      <c r="I72" s="5">
        <f>IFERROR(VLOOKUP(TrendSheetStgData[Population]&amp;TrendSheetStgData[Cost Basis]&amp;TrendSheetStgData[Period]&amp;TrendSheetStgData[Trend],TrendSheetPrdData[#All],9,FALSE),0)</f>
        <v>30090.83</v>
      </c>
      <c r="J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 s="5">
        <f>VLOOKUP(TrendSheetStgData[Population]&amp;TrendSheetStgData[Trend],Threshold[#All],4,FALSE)</f>
        <v>10</v>
      </c>
      <c r="L72" s="5">
        <f>VLOOKUP(TrendSheetStgData[Population]&amp;TrendSheetStgData[Trend],Threshold[#All],5,FALSE)</f>
        <v>5</v>
      </c>
      <c r="M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 spans="1:13" x14ac:dyDescent="0.25">
      <c r="A73" t="s">
        <v>90</v>
      </c>
      <c r="B73" t="s">
        <v>90</v>
      </c>
      <c r="C73" t="s">
        <v>91</v>
      </c>
      <c r="D73" s="1" t="s">
        <v>94</v>
      </c>
      <c r="E73" t="s">
        <v>93</v>
      </c>
      <c r="F73" t="s">
        <v>17</v>
      </c>
      <c r="G73">
        <v>6</v>
      </c>
      <c r="H73">
        <v>0</v>
      </c>
      <c r="I73" s="5">
        <f>IFERROR(VLOOKUP(TrendSheetStgData[Population]&amp;TrendSheetStgData[Cost Basis]&amp;TrendSheetStgData[Period]&amp;TrendSheetStgData[Trend],TrendSheetPrdData[#All],9,FALSE),0)</f>
        <v>0</v>
      </c>
      <c r="J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 s="5">
        <f>VLOOKUP(TrendSheetStgData[Population]&amp;TrendSheetStgData[Trend],Threshold[#All],4,FALSE)</f>
        <v>10</v>
      </c>
      <c r="L73" s="5">
        <f>VLOOKUP(TrendSheetStgData[Population]&amp;TrendSheetStgData[Trend],Threshold[#All],5,FALSE)</f>
        <v>5</v>
      </c>
      <c r="M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 spans="1:13" x14ac:dyDescent="0.25">
      <c r="A74" t="s">
        <v>90</v>
      </c>
      <c r="B74" t="s">
        <v>90</v>
      </c>
      <c r="C74" t="s">
        <v>91</v>
      </c>
      <c r="D74" s="1" t="s">
        <v>95</v>
      </c>
      <c r="E74" t="s">
        <v>93</v>
      </c>
      <c r="F74" t="s">
        <v>17</v>
      </c>
      <c r="G74">
        <v>6</v>
      </c>
      <c r="H74">
        <v>13914.86</v>
      </c>
      <c r="I74" s="5">
        <f>IFERROR(VLOOKUP(TrendSheetStgData[Population]&amp;TrendSheetStgData[Cost Basis]&amp;TrendSheetStgData[Period]&amp;TrendSheetStgData[Trend],TrendSheetPrdData[#All],9,FALSE),0)</f>
        <v>13914.86</v>
      </c>
      <c r="J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 s="5">
        <f>VLOOKUP(TrendSheetStgData[Population]&amp;TrendSheetStgData[Trend],Threshold[#All],4,FALSE)</f>
        <v>10</v>
      </c>
      <c r="L74" s="5">
        <f>VLOOKUP(TrendSheetStgData[Population]&amp;TrendSheetStgData[Trend],Threshold[#All],5,FALSE)</f>
        <v>5</v>
      </c>
      <c r="M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 spans="1:13" x14ac:dyDescent="0.25">
      <c r="A75" t="s">
        <v>90</v>
      </c>
      <c r="B75" t="s">
        <v>90</v>
      </c>
      <c r="C75" t="s">
        <v>91</v>
      </c>
      <c r="D75" s="1" t="s">
        <v>96</v>
      </c>
      <c r="E75" t="s">
        <v>93</v>
      </c>
      <c r="F75" t="s">
        <v>17</v>
      </c>
      <c r="G75">
        <v>6</v>
      </c>
      <c r="H75">
        <v>0</v>
      </c>
      <c r="I75" s="5">
        <f>IFERROR(VLOOKUP(TrendSheetStgData[Population]&amp;TrendSheetStgData[Cost Basis]&amp;TrendSheetStgData[Period]&amp;TrendSheetStgData[Trend],TrendSheetPrdData[#All],9,FALSE),0)</f>
        <v>0</v>
      </c>
      <c r="J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 s="5">
        <f>VLOOKUP(TrendSheetStgData[Population]&amp;TrendSheetStgData[Trend],Threshold[#All],4,FALSE)</f>
        <v>10</v>
      </c>
      <c r="L75" s="5">
        <f>VLOOKUP(TrendSheetStgData[Population]&amp;TrendSheetStgData[Trend],Threshold[#All],5,FALSE)</f>
        <v>5</v>
      </c>
      <c r="M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 spans="1:13" x14ac:dyDescent="0.25">
      <c r="A76" t="s">
        <v>90</v>
      </c>
      <c r="B76" t="s">
        <v>90</v>
      </c>
      <c r="C76" t="s">
        <v>91</v>
      </c>
      <c r="D76" s="1" t="s">
        <v>97</v>
      </c>
      <c r="E76" t="s">
        <v>93</v>
      </c>
      <c r="F76" t="s">
        <v>17</v>
      </c>
      <c r="G76">
        <v>6</v>
      </c>
      <c r="H76">
        <v>0</v>
      </c>
      <c r="I76" s="5">
        <f>IFERROR(VLOOKUP(TrendSheetStgData[Population]&amp;TrendSheetStgData[Cost Basis]&amp;TrendSheetStgData[Period]&amp;TrendSheetStgData[Trend],TrendSheetPrdData[#All],9,FALSE),0)</f>
        <v>0</v>
      </c>
      <c r="J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 s="5">
        <f>VLOOKUP(TrendSheetStgData[Population]&amp;TrendSheetStgData[Trend],Threshold[#All],4,FALSE)</f>
        <v>10</v>
      </c>
      <c r="L76" s="5">
        <f>VLOOKUP(TrendSheetStgData[Population]&amp;TrendSheetStgData[Trend],Threshold[#All],5,FALSE)</f>
        <v>5</v>
      </c>
      <c r="M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 spans="1:13" x14ac:dyDescent="0.25">
      <c r="A77" t="s">
        <v>90</v>
      </c>
      <c r="B77" t="s">
        <v>90</v>
      </c>
      <c r="C77" t="s">
        <v>91</v>
      </c>
      <c r="D77" s="1" t="s">
        <v>98</v>
      </c>
      <c r="E77" t="s">
        <v>93</v>
      </c>
      <c r="F77" t="s">
        <v>17</v>
      </c>
      <c r="G77">
        <v>6</v>
      </c>
      <c r="H77">
        <v>10911.34</v>
      </c>
      <c r="I77" s="5">
        <f>IFERROR(VLOOKUP(TrendSheetStgData[Population]&amp;TrendSheetStgData[Cost Basis]&amp;TrendSheetStgData[Period]&amp;TrendSheetStgData[Trend],TrendSheetPrdData[#All],9,FALSE),0)</f>
        <v>10911.34</v>
      </c>
      <c r="J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 s="5">
        <f>VLOOKUP(TrendSheetStgData[Population]&amp;TrendSheetStgData[Trend],Threshold[#All],4,FALSE)</f>
        <v>10</v>
      </c>
      <c r="L77" s="5">
        <f>VLOOKUP(TrendSheetStgData[Population]&amp;TrendSheetStgData[Trend],Threshold[#All],5,FALSE)</f>
        <v>5</v>
      </c>
      <c r="M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 spans="1:13" x14ac:dyDescent="0.25">
      <c r="A78" t="s">
        <v>90</v>
      </c>
      <c r="B78" t="s">
        <v>90</v>
      </c>
      <c r="C78" t="s">
        <v>91</v>
      </c>
      <c r="D78" s="1" t="s">
        <v>99</v>
      </c>
      <c r="E78" t="s">
        <v>93</v>
      </c>
      <c r="F78" t="s">
        <v>17</v>
      </c>
      <c r="G78">
        <v>6</v>
      </c>
      <c r="H78">
        <v>27958.94</v>
      </c>
      <c r="I78" s="5">
        <f>IFERROR(VLOOKUP(TrendSheetStgData[Population]&amp;TrendSheetStgData[Cost Basis]&amp;TrendSheetStgData[Period]&amp;TrendSheetStgData[Trend],TrendSheetPrdData[#All],9,FALSE),0)</f>
        <v>27958.94</v>
      </c>
      <c r="J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 s="5">
        <f>VLOOKUP(TrendSheetStgData[Population]&amp;TrendSheetStgData[Trend],Threshold[#All],4,FALSE)</f>
        <v>10</v>
      </c>
      <c r="L78" s="5">
        <f>VLOOKUP(TrendSheetStgData[Population]&amp;TrendSheetStgData[Trend],Threshold[#All],5,FALSE)</f>
        <v>5</v>
      </c>
      <c r="M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 spans="1:13" x14ac:dyDescent="0.25">
      <c r="A79" t="s">
        <v>90</v>
      </c>
      <c r="B79" t="s">
        <v>90</v>
      </c>
      <c r="C79" t="s">
        <v>91</v>
      </c>
      <c r="D79" s="1" t="s">
        <v>100</v>
      </c>
      <c r="E79" t="s">
        <v>93</v>
      </c>
      <c r="F79" t="s">
        <v>17</v>
      </c>
      <c r="G79">
        <v>6</v>
      </c>
      <c r="H79">
        <v>9324.5300000000007</v>
      </c>
      <c r="I79" s="5">
        <f>IFERROR(VLOOKUP(TrendSheetStgData[Population]&amp;TrendSheetStgData[Cost Basis]&amp;TrendSheetStgData[Period]&amp;TrendSheetStgData[Trend],TrendSheetPrdData[#All],9,FALSE),0)</f>
        <v>9324.5300000000007</v>
      </c>
      <c r="J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 s="5">
        <f>VLOOKUP(TrendSheetStgData[Population]&amp;TrendSheetStgData[Trend],Threshold[#All],4,FALSE)</f>
        <v>10</v>
      </c>
      <c r="L79" s="5">
        <f>VLOOKUP(TrendSheetStgData[Population]&amp;TrendSheetStgData[Trend],Threshold[#All],5,FALSE)</f>
        <v>5</v>
      </c>
      <c r="M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 spans="1:13" x14ac:dyDescent="0.25">
      <c r="A80" t="s">
        <v>90</v>
      </c>
      <c r="B80" t="s">
        <v>90</v>
      </c>
      <c r="C80" t="s">
        <v>91</v>
      </c>
      <c r="D80" s="1" t="s">
        <v>101</v>
      </c>
      <c r="E80" t="s">
        <v>93</v>
      </c>
      <c r="F80" t="s">
        <v>17</v>
      </c>
      <c r="G80">
        <v>6</v>
      </c>
      <c r="H80">
        <v>33175.449999999997</v>
      </c>
      <c r="I80" s="5">
        <f>IFERROR(VLOOKUP(TrendSheetStgData[Population]&amp;TrendSheetStgData[Cost Basis]&amp;TrendSheetStgData[Period]&amp;TrendSheetStgData[Trend],TrendSheetPrdData[#All],9,FALSE),0)</f>
        <v>33175.449999999997</v>
      </c>
      <c r="J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 s="5">
        <f>VLOOKUP(TrendSheetStgData[Population]&amp;TrendSheetStgData[Trend],Threshold[#All],4,FALSE)</f>
        <v>10</v>
      </c>
      <c r="L80" s="5">
        <f>VLOOKUP(TrendSheetStgData[Population]&amp;TrendSheetStgData[Trend],Threshold[#All],5,FALSE)</f>
        <v>5</v>
      </c>
      <c r="M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 spans="1:13" x14ac:dyDescent="0.25">
      <c r="A81" t="s">
        <v>90</v>
      </c>
      <c r="B81" t="s">
        <v>90</v>
      </c>
      <c r="C81" t="s">
        <v>91</v>
      </c>
      <c r="D81" s="1" t="s">
        <v>102</v>
      </c>
      <c r="E81" t="s">
        <v>93</v>
      </c>
      <c r="F81" t="s">
        <v>17</v>
      </c>
      <c r="G81">
        <v>6</v>
      </c>
      <c r="H81">
        <v>0</v>
      </c>
      <c r="I81" s="5">
        <f>IFERROR(VLOOKUP(TrendSheetStgData[Population]&amp;TrendSheetStgData[Cost Basis]&amp;TrendSheetStgData[Period]&amp;TrendSheetStgData[Trend],TrendSheetPrdData[#All],9,FALSE),0)</f>
        <v>0</v>
      </c>
      <c r="J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 s="5">
        <f>VLOOKUP(TrendSheetStgData[Population]&amp;TrendSheetStgData[Trend],Threshold[#All],4,FALSE)</f>
        <v>10</v>
      </c>
      <c r="L81" s="5">
        <f>VLOOKUP(TrendSheetStgData[Population]&amp;TrendSheetStgData[Trend],Threshold[#All],5,FALSE)</f>
        <v>5</v>
      </c>
      <c r="M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2" spans="1:13" x14ac:dyDescent="0.25">
      <c r="A82" t="s">
        <v>90</v>
      </c>
      <c r="B82" t="s">
        <v>90</v>
      </c>
      <c r="C82" t="s">
        <v>91</v>
      </c>
      <c r="D82" s="1" t="s">
        <v>103</v>
      </c>
      <c r="E82" t="s">
        <v>93</v>
      </c>
      <c r="F82" t="s">
        <v>17</v>
      </c>
      <c r="G82">
        <v>6</v>
      </c>
      <c r="H82">
        <v>159678.79999999999</v>
      </c>
      <c r="I82" s="5">
        <f>IFERROR(VLOOKUP(TrendSheetStgData[Population]&amp;TrendSheetStgData[Cost Basis]&amp;TrendSheetStgData[Period]&amp;TrendSheetStgData[Trend],TrendSheetPrdData[#All],9,FALSE),0)</f>
        <v>159678.79999999999</v>
      </c>
      <c r="J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2" s="5">
        <f>VLOOKUP(TrendSheetStgData[Population]&amp;TrendSheetStgData[Trend],Threshold[#All],4,FALSE)</f>
        <v>10</v>
      </c>
      <c r="L82" s="5">
        <f>VLOOKUP(TrendSheetStgData[Population]&amp;TrendSheetStgData[Trend],Threshold[#All],5,FALSE)</f>
        <v>5</v>
      </c>
      <c r="M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3" spans="1:13" x14ac:dyDescent="0.25">
      <c r="A83" t="s">
        <v>90</v>
      </c>
      <c r="B83" t="s">
        <v>90</v>
      </c>
      <c r="C83" t="s">
        <v>91</v>
      </c>
      <c r="D83" s="1" t="s">
        <v>104</v>
      </c>
      <c r="E83" t="s">
        <v>93</v>
      </c>
      <c r="F83" t="s">
        <v>17</v>
      </c>
      <c r="G83">
        <v>6</v>
      </c>
      <c r="H83">
        <v>0</v>
      </c>
      <c r="I83" s="5">
        <f>IFERROR(VLOOKUP(TrendSheetStgData[Population]&amp;TrendSheetStgData[Cost Basis]&amp;TrendSheetStgData[Period]&amp;TrendSheetStgData[Trend],TrendSheetPrdData[#All],9,FALSE),0)</f>
        <v>0</v>
      </c>
      <c r="J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3" s="5">
        <f>VLOOKUP(TrendSheetStgData[Population]&amp;TrendSheetStgData[Trend],Threshold[#All],4,FALSE)</f>
        <v>10</v>
      </c>
      <c r="L83" s="5">
        <f>VLOOKUP(TrendSheetStgData[Population]&amp;TrendSheetStgData[Trend],Threshold[#All],5,FALSE)</f>
        <v>5</v>
      </c>
      <c r="M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4" spans="1:13" x14ac:dyDescent="0.25">
      <c r="A84" t="s">
        <v>90</v>
      </c>
      <c r="B84" t="s">
        <v>90</v>
      </c>
      <c r="C84" t="s">
        <v>91</v>
      </c>
      <c r="D84" s="1" t="s">
        <v>105</v>
      </c>
      <c r="E84" t="s">
        <v>106</v>
      </c>
      <c r="F84" t="s">
        <v>17</v>
      </c>
      <c r="G84">
        <v>6</v>
      </c>
      <c r="H84">
        <v>0</v>
      </c>
      <c r="I84" s="5">
        <f>IFERROR(VLOOKUP(TrendSheetStgData[Population]&amp;TrendSheetStgData[Cost Basis]&amp;TrendSheetStgData[Period]&amp;TrendSheetStgData[Trend],TrendSheetPrdData[#All],9,FALSE),0)</f>
        <v>0</v>
      </c>
      <c r="J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4" s="5">
        <f>VLOOKUP(TrendSheetStgData[Population]&amp;TrendSheetStgData[Trend],Threshold[#All],4,FALSE)</f>
        <v>10</v>
      </c>
      <c r="L84" s="5">
        <f>VLOOKUP(TrendSheetStgData[Population]&amp;TrendSheetStgData[Trend],Threshold[#All],5,FALSE)</f>
        <v>5</v>
      </c>
      <c r="M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5" spans="1:13" x14ac:dyDescent="0.25">
      <c r="A85" t="s">
        <v>90</v>
      </c>
      <c r="B85" t="s">
        <v>90</v>
      </c>
      <c r="C85" t="s">
        <v>91</v>
      </c>
      <c r="D85" s="1" t="s">
        <v>107</v>
      </c>
      <c r="E85" t="s">
        <v>106</v>
      </c>
      <c r="F85" t="s">
        <v>17</v>
      </c>
      <c r="G85">
        <v>6</v>
      </c>
      <c r="H85">
        <v>0</v>
      </c>
      <c r="I85" s="5">
        <f>IFERROR(VLOOKUP(TrendSheetStgData[Population]&amp;TrendSheetStgData[Cost Basis]&amp;TrendSheetStgData[Period]&amp;TrendSheetStgData[Trend],TrendSheetPrdData[#All],9,FALSE),0)</f>
        <v>0</v>
      </c>
      <c r="J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5" s="5">
        <f>VLOOKUP(TrendSheetStgData[Population]&amp;TrendSheetStgData[Trend],Threshold[#All],4,FALSE)</f>
        <v>10</v>
      </c>
      <c r="L85" s="5">
        <f>VLOOKUP(TrendSheetStgData[Population]&amp;TrendSheetStgData[Trend],Threshold[#All],5,FALSE)</f>
        <v>5</v>
      </c>
      <c r="M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 spans="1:13" x14ac:dyDescent="0.25">
      <c r="A86" t="s">
        <v>90</v>
      </c>
      <c r="B86" t="s">
        <v>90</v>
      </c>
      <c r="C86" t="s">
        <v>91</v>
      </c>
      <c r="D86" s="1" t="s">
        <v>92</v>
      </c>
      <c r="E86" t="s">
        <v>93</v>
      </c>
      <c r="F86" t="s">
        <v>18</v>
      </c>
      <c r="G86">
        <v>7</v>
      </c>
      <c r="H86">
        <v>1</v>
      </c>
      <c r="I86" s="5">
        <f>IFERROR(VLOOKUP(TrendSheetStgData[Population]&amp;TrendSheetStgData[Cost Basis]&amp;TrendSheetStgData[Period]&amp;TrendSheetStgData[Trend],TrendSheetPrdData[#All],9,FALSE),0)</f>
        <v>1</v>
      </c>
      <c r="J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 s="5">
        <f>VLOOKUP(TrendSheetStgData[Population]&amp;TrendSheetStgData[Trend],Threshold[#All],4,FALSE)</f>
        <v>10</v>
      </c>
      <c r="L86" s="5">
        <f>VLOOKUP(TrendSheetStgData[Population]&amp;TrendSheetStgData[Trend],Threshold[#All],5,FALSE)</f>
        <v>5</v>
      </c>
      <c r="M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 spans="1:13" x14ac:dyDescent="0.25">
      <c r="A87" t="s">
        <v>90</v>
      </c>
      <c r="B87" t="s">
        <v>90</v>
      </c>
      <c r="C87" t="s">
        <v>91</v>
      </c>
      <c r="D87" s="1" t="s">
        <v>94</v>
      </c>
      <c r="E87" t="s">
        <v>93</v>
      </c>
      <c r="F87" t="s">
        <v>18</v>
      </c>
      <c r="G87">
        <v>7</v>
      </c>
      <c r="H87">
        <v>0</v>
      </c>
      <c r="I87" s="5">
        <f>IFERROR(VLOOKUP(TrendSheetStgData[Population]&amp;TrendSheetStgData[Cost Basis]&amp;TrendSheetStgData[Period]&amp;TrendSheetStgData[Trend],TrendSheetPrdData[#All],9,FALSE),0)</f>
        <v>0</v>
      </c>
      <c r="J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 s="5">
        <f>VLOOKUP(TrendSheetStgData[Population]&amp;TrendSheetStgData[Trend],Threshold[#All],4,FALSE)</f>
        <v>10</v>
      </c>
      <c r="L87" s="5">
        <f>VLOOKUP(TrendSheetStgData[Population]&amp;TrendSheetStgData[Trend],Threshold[#All],5,FALSE)</f>
        <v>5</v>
      </c>
      <c r="M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8" spans="1:13" x14ac:dyDescent="0.25">
      <c r="A88" t="s">
        <v>90</v>
      </c>
      <c r="B88" t="s">
        <v>90</v>
      </c>
      <c r="C88" t="s">
        <v>91</v>
      </c>
      <c r="D88" s="1" t="s">
        <v>95</v>
      </c>
      <c r="E88" t="s">
        <v>93</v>
      </c>
      <c r="F88" t="s">
        <v>18</v>
      </c>
      <c r="G88">
        <v>7</v>
      </c>
      <c r="H88">
        <v>1</v>
      </c>
      <c r="I88" s="5">
        <f>IFERROR(VLOOKUP(TrendSheetStgData[Population]&amp;TrendSheetStgData[Cost Basis]&amp;TrendSheetStgData[Period]&amp;TrendSheetStgData[Trend],TrendSheetPrdData[#All],9,FALSE),0)</f>
        <v>1</v>
      </c>
      <c r="J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 s="5">
        <f>VLOOKUP(TrendSheetStgData[Population]&amp;TrendSheetStgData[Trend],Threshold[#All],4,FALSE)</f>
        <v>10</v>
      </c>
      <c r="L88" s="5">
        <f>VLOOKUP(TrendSheetStgData[Population]&amp;TrendSheetStgData[Trend],Threshold[#All],5,FALSE)</f>
        <v>5</v>
      </c>
      <c r="M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9" spans="1:13" x14ac:dyDescent="0.25">
      <c r="A89" t="s">
        <v>90</v>
      </c>
      <c r="B89" t="s">
        <v>90</v>
      </c>
      <c r="C89" t="s">
        <v>91</v>
      </c>
      <c r="D89" s="1" t="s">
        <v>96</v>
      </c>
      <c r="E89" t="s">
        <v>93</v>
      </c>
      <c r="F89" t="s">
        <v>18</v>
      </c>
      <c r="G89">
        <v>7</v>
      </c>
      <c r="H89">
        <v>0</v>
      </c>
      <c r="I89" s="5">
        <f>IFERROR(VLOOKUP(TrendSheetStgData[Population]&amp;TrendSheetStgData[Cost Basis]&amp;TrendSheetStgData[Period]&amp;TrendSheetStgData[Trend],TrendSheetPrdData[#All],9,FALSE),0)</f>
        <v>0</v>
      </c>
      <c r="J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9" s="5">
        <f>VLOOKUP(TrendSheetStgData[Population]&amp;TrendSheetStgData[Trend],Threshold[#All],4,FALSE)</f>
        <v>10</v>
      </c>
      <c r="L89" s="5">
        <f>VLOOKUP(TrendSheetStgData[Population]&amp;TrendSheetStgData[Trend],Threshold[#All],5,FALSE)</f>
        <v>5</v>
      </c>
      <c r="M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0" spans="1:13" x14ac:dyDescent="0.25">
      <c r="A90" t="s">
        <v>90</v>
      </c>
      <c r="B90" t="s">
        <v>90</v>
      </c>
      <c r="C90" t="s">
        <v>91</v>
      </c>
      <c r="D90" s="1" t="s">
        <v>97</v>
      </c>
      <c r="E90" t="s">
        <v>93</v>
      </c>
      <c r="F90" t="s">
        <v>18</v>
      </c>
      <c r="G90">
        <v>7</v>
      </c>
      <c r="H90">
        <v>0</v>
      </c>
      <c r="I90" s="5">
        <f>IFERROR(VLOOKUP(TrendSheetStgData[Population]&amp;TrendSheetStgData[Cost Basis]&amp;TrendSheetStgData[Period]&amp;TrendSheetStgData[Trend],TrendSheetPrdData[#All],9,FALSE),0)</f>
        <v>0</v>
      </c>
      <c r="J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0" s="5">
        <f>VLOOKUP(TrendSheetStgData[Population]&amp;TrendSheetStgData[Trend],Threshold[#All],4,FALSE)</f>
        <v>10</v>
      </c>
      <c r="L90" s="5">
        <f>VLOOKUP(TrendSheetStgData[Population]&amp;TrendSheetStgData[Trend],Threshold[#All],5,FALSE)</f>
        <v>5</v>
      </c>
      <c r="M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1" spans="1:13" x14ac:dyDescent="0.25">
      <c r="A91" t="s">
        <v>90</v>
      </c>
      <c r="B91" t="s">
        <v>90</v>
      </c>
      <c r="C91" t="s">
        <v>91</v>
      </c>
      <c r="D91" s="1" t="s">
        <v>98</v>
      </c>
      <c r="E91" t="s">
        <v>93</v>
      </c>
      <c r="F91" t="s">
        <v>18</v>
      </c>
      <c r="G91">
        <v>7</v>
      </c>
      <c r="H91">
        <v>1</v>
      </c>
      <c r="I91" s="5">
        <f>IFERROR(VLOOKUP(TrendSheetStgData[Population]&amp;TrendSheetStgData[Cost Basis]&amp;TrendSheetStgData[Period]&amp;TrendSheetStgData[Trend],TrendSheetPrdData[#All],9,FALSE),0)</f>
        <v>1</v>
      </c>
      <c r="J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1" s="5">
        <f>VLOOKUP(TrendSheetStgData[Population]&amp;TrendSheetStgData[Trend],Threshold[#All],4,FALSE)</f>
        <v>10</v>
      </c>
      <c r="L91" s="5">
        <f>VLOOKUP(TrendSheetStgData[Population]&amp;TrendSheetStgData[Trend],Threshold[#All],5,FALSE)</f>
        <v>5</v>
      </c>
      <c r="M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 spans="1:13" x14ac:dyDescent="0.25">
      <c r="A92" t="s">
        <v>90</v>
      </c>
      <c r="B92" t="s">
        <v>90</v>
      </c>
      <c r="C92" t="s">
        <v>91</v>
      </c>
      <c r="D92" s="1" t="s">
        <v>99</v>
      </c>
      <c r="E92" t="s">
        <v>93</v>
      </c>
      <c r="F92" t="s">
        <v>18</v>
      </c>
      <c r="G92">
        <v>7</v>
      </c>
      <c r="H92">
        <v>1</v>
      </c>
      <c r="I92" s="5">
        <f>IFERROR(VLOOKUP(TrendSheetStgData[Population]&amp;TrendSheetStgData[Cost Basis]&amp;TrendSheetStgData[Period]&amp;TrendSheetStgData[Trend],TrendSheetPrdData[#All],9,FALSE),0)</f>
        <v>1</v>
      </c>
      <c r="J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 s="5">
        <f>VLOOKUP(TrendSheetStgData[Population]&amp;TrendSheetStgData[Trend],Threshold[#All],4,FALSE)</f>
        <v>10</v>
      </c>
      <c r="L92" s="5">
        <f>VLOOKUP(TrendSheetStgData[Population]&amp;TrendSheetStgData[Trend],Threshold[#All],5,FALSE)</f>
        <v>5</v>
      </c>
      <c r="M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3" spans="1:13" x14ac:dyDescent="0.25">
      <c r="A93" t="s">
        <v>90</v>
      </c>
      <c r="B93" t="s">
        <v>90</v>
      </c>
      <c r="C93" t="s">
        <v>91</v>
      </c>
      <c r="D93" s="1" t="s">
        <v>100</v>
      </c>
      <c r="E93" t="s">
        <v>93</v>
      </c>
      <c r="F93" t="s">
        <v>18</v>
      </c>
      <c r="G93">
        <v>7</v>
      </c>
      <c r="H93">
        <v>1</v>
      </c>
      <c r="I93" s="5">
        <f>IFERROR(VLOOKUP(TrendSheetStgData[Population]&amp;TrendSheetStgData[Cost Basis]&amp;TrendSheetStgData[Period]&amp;TrendSheetStgData[Trend],TrendSheetPrdData[#All],9,FALSE),0)</f>
        <v>1</v>
      </c>
      <c r="J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3" s="5">
        <f>VLOOKUP(TrendSheetStgData[Population]&amp;TrendSheetStgData[Trend],Threshold[#All],4,FALSE)</f>
        <v>10</v>
      </c>
      <c r="L93" s="5">
        <f>VLOOKUP(TrendSheetStgData[Population]&amp;TrendSheetStgData[Trend],Threshold[#All],5,FALSE)</f>
        <v>5</v>
      </c>
      <c r="M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4" spans="1:13" x14ac:dyDescent="0.25">
      <c r="A94" t="s">
        <v>90</v>
      </c>
      <c r="B94" t="s">
        <v>90</v>
      </c>
      <c r="C94" t="s">
        <v>91</v>
      </c>
      <c r="D94" s="1" t="s">
        <v>101</v>
      </c>
      <c r="E94" t="s">
        <v>93</v>
      </c>
      <c r="F94" t="s">
        <v>18</v>
      </c>
      <c r="G94">
        <v>7</v>
      </c>
      <c r="H94">
        <v>2</v>
      </c>
      <c r="I94" s="5">
        <f>IFERROR(VLOOKUP(TrendSheetStgData[Population]&amp;TrendSheetStgData[Cost Basis]&amp;TrendSheetStgData[Period]&amp;TrendSheetStgData[Trend],TrendSheetPrdData[#All],9,FALSE),0)</f>
        <v>2</v>
      </c>
      <c r="J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 s="5">
        <f>VLOOKUP(TrendSheetStgData[Population]&amp;TrendSheetStgData[Trend],Threshold[#All],4,FALSE)</f>
        <v>10</v>
      </c>
      <c r="L94" s="5">
        <f>VLOOKUP(TrendSheetStgData[Population]&amp;TrendSheetStgData[Trend],Threshold[#All],5,FALSE)</f>
        <v>5</v>
      </c>
      <c r="M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 spans="1:13" x14ac:dyDescent="0.25">
      <c r="A95" t="s">
        <v>90</v>
      </c>
      <c r="B95" t="s">
        <v>90</v>
      </c>
      <c r="C95" t="s">
        <v>91</v>
      </c>
      <c r="D95" s="1" t="s">
        <v>102</v>
      </c>
      <c r="E95" t="s">
        <v>93</v>
      </c>
      <c r="F95" t="s">
        <v>18</v>
      </c>
      <c r="G95">
        <v>7</v>
      </c>
      <c r="H95">
        <v>0</v>
      </c>
      <c r="I95" s="5">
        <f>IFERROR(VLOOKUP(TrendSheetStgData[Population]&amp;TrendSheetStgData[Cost Basis]&amp;TrendSheetStgData[Period]&amp;TrendSheetStgData[Trend],TrendSheetPrdData[#All],9,FALSE),0)</f>
        <v>0</v>
      </c>
      <c r="J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 s="5">
        <f>VLOOKUP(TrendSheetStgData[Population]&amp;TrendSheetStgData[Trend],Threshold[#All],4,FALSE)</f>
        <v>10</v>
      </c>
      <c r="L95" s="5">
        <f>VLOOKUP(TrendSheetStgData[Population]&amp;TrendSheetStgData[Trend],Threshold[#All],5,FALSE)</f>
        <v>5</v>
      </c>
      <c r="M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 spans="1:13" x14ac:dyDescent="0.25">
      <c r="A96" t="s">
        <v>90</v>
      </c>
      <c r="B96" t="s">
        <v>90</v>
      </c>
      <c r="C96" t="s">
        <v>91</v>
      </c>
      <c r="D96" s="1" t="s">
        <v>103</v>
      </c>
      <c r="E96" t="s">
        <v>93</v>
      </c>
      <c r="F96" t="s">
        <v>18</v>
      </c>
      <c r="G96">
        <v>7</v>
      </c>
      <c r="H96">
        <v>2</v>
      </c>
      <c r="I96" s="5">
        <f>IFERROR(VLOOKUP(TrendSheetStgData[Population]&amp;TrendSheetStgData[Cost Basis]&amp;TrendSheetStgData[Period]&amp;TrendSheetStgData[Trend],TrendSheetPrdData[#All],9,FALSE),0)</f>
        <v>2</v>
      </c>
      <c r="J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 s="5">
        <f>VLOOKUP(TrendSheetStgData[Population]&amp;TrendSheetStgData[Trend],Threshold[#All],4,FALSE)</f>
        <v>10</v>
      </c>
      <c r="L96" s="5">
        <f>VLOOKUP(TrendSheetStgData[Population]&amp;TrendSheetStgData[Trend],Threshold[#All],5,FALSE)</f>
        <v>5</v>
      </c>
      <c r="M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 spans="1:13" x14ac:dyDescent="0.25">
      <c r="A97" t="s">
        <v>90</v>
      </c>
      <c r="B97" t="s">
        <v>90</v>
      </c>
      <c r="C97" t="s">
        <v>91</v>
      </c>
      <c r="D97" s="1" t="s">
        <v>104</v>
      </c>
      <c r="E97" t="s">
        <v>93</v>
      </c>
      <c r="F97" t="s">
        <v>18</v>
      </c>
      <c r="G97">
        <v>7</v>
      </c>
      <c r="H97">
        <v>0</v>
      </c>
      <c r="I97" s="5">
        <f>IFERROR(VLOOKUP(TrendSheetStgData[Population]&amp;TrendSheetStgData[Cost Basis]&amp;TrendSheetStgData[Period]&amp;TrendSheetStgData[Trend],TrendSheetPrdData[#All],9,FALSE),0)</f>
        <v>0</v>
      </c>
      <c r="J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7" s="5">
        <f>VLOOKUP(TrendSheetStgData[Population]&amp;TrendSheetStgData[Trend],Threshold[#All],4,FALSE)</f>
        <v>10</v>
      </c>
      <c r="L97" s="5">
        <f>VLOOKUP(TrendSheetStgData[Population]&amp;TrendSheetStgData[Trend],Threshold[#All],5,FALSE)</f>
        <v>5</v>
      </c>
      <c r="M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8" spans="1:13" x14ac:dyDescent="0.25">
      <c r="A98" t="s">
        <v>90</v>
      </c>
      <c r="B98" t="s">
        <v>90</v>
      </c>
      <c r="C98" t="s">
        <v>91</v>
      </c>
      <c r="D98" s="1" t="s">
        <v>105</v>
      </c>
      <c r="E98" t="s">
        <v>106</v>
      </c>
      <c r="F98" t="s">
        <v>18</v>
      </c>
      <c r="G98">
        <v>7</v>
      </c>
      <c r="H98">
        <v>0</v>
      </c>
      <c r="I98" s="5">
        <f>IFERROR(VLOOKUP(TrendSheetStgData[Population]&amp;TrendSheetStgData[Cost Basis]&amp;TrendSheetStgData[Period]&amp;TrendSheetStgData[Trend],TrendSheetPrdData[#All],9,FALSE),0)</f>
        <v>0</v>
      </c>
      <c r="J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8" s="5">
        <f>VLOOKUP(TrendSheetStgData[Population]&amp;TrendSheetStgData[Trend],Threshold[#All],4,FALSE)</f>
        <v>10</v>
      </c>
      <c r="L98" s="5">
        <f>VLOOKUP(TrendSheetStgData[Population]&amp;TrendSheetStgData[Trend],Threshold[#All],5,FALSE)</f>
        <v>5</v>
      </c>
      <c r="M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 spans="1:13" x14ac:dyDescent="0.25">
      <c r="A99" t="s">
        <v>90</v>
      </c>
      <c r="B99" t="s">
        <v>90</v>
      </c>
      <c r="C99" t="s">
        <v>91</v>
      </c>
      <c r="D99" s="1" t="s">
        <v>107</v>
      </c>
      <c r="E99" t="s">
        <v>106</v>
      </c>
      <c r="F99" t="s">
        <v>18</v>
      </c>
      <c r="G99">
        <v>7</v>
      </c>
      <c r="H99">
        <v>0</v>
      </c>
      <c r="I99" s="5">
        <f>IFERROR(VLOOKUP(TrendSheetStgData[Population]&amp;TrendSheetStgData[Cost Basis]&amp;TrendSheetStgData[Period]&amp;TrendSheetStgData[Trend],TrendSheetPrdData[#All],9,FALSE),0)</f>
        <v>0</v>
      </c>
      <c r="J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 s="5">
        <f>VLOOKUP(TrendSheetStgData[Population]&amp;TrendSheetStgData[Trend],Threshold[#All],4,FALSE)</f>
        <v>10</v>
      </c>
      <c r="L99" s="5">
        <f>VLOOKUP(TrendSheetStgData[Population]&amp;TrendSheetStgData[Trend],Threshold[#All],5,FALSE)</f>
        <v>5</v>
      </c>
      <c r="M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 spans="1:13" x14ac:dyDescent="0.25">
      <c r="A100" t="s">
        <v>90</v>
      </c>
      <c r="B100" t="s">
        <v>90</v>
      </c>
      <c r="C100" t="s">
        <v>91</v>
      </c>
      <c r="D100" s="1" t="s">
        <v>92</v>
      </c>
      <c r="E100" t="s">
        <v>93</v>
      </c>
      <c r="F100" t="s">
        <v>19</v>
      </c>
      <c r="G100">
        <v>8</v>
      </c>
      <c r="H100">
        <v>78205.539999999994</v>
      </c>
      <c r="I100" s="5">
        <f>IFERROR(VLOOKUP(TrendSheetStgData[Population]&amp;TrendSheetStgData[Cost Basis]&amp;TrendSheetStgData[Period]&amp;TrendSheetStgData[Trend],TrendSheetPrdData[#All],9,FALSE),0)</f>
        <v>78205.539999999994</v>
      </c>
      <c r="J1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 s="5">
        <f>VLOOKUP(TrendSheetStgData[Population]&amp;TrendSheetStgData[Trend],Threshold[#All],4,FALSE)</f>
        <v>10</v>
      </c>
      <c r="L100" s="5">
        <f>VLOOKUP(TrendSheetStgData[Population]&amp;TrendSheetStgData[Trend],Threshold[#All],5,FALSE)</f>
        <v>5</v>
      </c>
      <c r="M1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 spans="1:13" x14ac:dyDescent="0.25">
      <c r="A101" t="s">
        <v>90</v>
      </c>
      <c r="B101" t="s">
        <v>90</v>
      </c>
      <c r="C101" t="s">
        <v>91</v>
      </c>
      <c r="D101" s="1" t="s">
        <v>94</v>
      </c>
      <c r="E101" t="s">
        <v>93</v>
      </c>
      <c r="F101" t="s">
        <v>19</v>
      </c>
      <c r="G101">
        <v>8</v>
      </c>
      <c r="H101">
        <v>72166.11</v>
      </c>
      <c r="I101" s="5">
        <f>IFERROR(VLOOKUP(TrendSheetStgData[Population]&amp;TrendSheetStgData[Cost Basis]&amp;TrendSheetStgData[Period]&amp;TrendSheetStgData[Trend],TrendSheetPrdData[#All],9,FALSE),0)</f>
        <v>72166.11</v>
      </c>
      <c r="J1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 s="5">
        <f>VLOOKUP(TrendSheetStgData[Population]&amp;TrendSheetStgData[Trend],Threshold[#All],4,FALSE)</f>
        <v>10</v>
      </c>
      <c r="L101" s="5">
        <f>VLOOKUP(TrendSheetStgData[Population]&amp;TrendSheetStgData[Trend],Threshold[#All],5,FALSE)</f>
        <v>5</v>
      </c>
      <c r="M1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2" spans="1:13" x14ac:dyDescent="0.25">
      <c r="A102" t="s">
        <v>90</v>
      </c>
      <c r="B102" t="s">
        <v>90</v>
      </c>
      <c r="C102" t="s">
        <v>91</v>
      </c>
      <c r="D102" s="1" t="s">
        <v>95</v>
      </c>
      <c r="E102" t="s">
        <v>93</v>
      </c>
      <c r="F102" t="s">
        <v>19</v>
      </c>
      <c r="G102">
        <v>8</v>
      </c>
      <c r="H102">
        <v>59424.61</v>
      </c>
      <c r="I102" s="5">
        <f>IFERROR(VLOOKUP(TrendSheetStgData[Population]&amp;TrendSheetStgData[Cost Basis]&amp;TrendSheetStgData[Period]&amp;TrendSheetStgData[Trend],TrendSheetPrdData[#All],9,FALSE),0)</f>
        <v>59424.61</v>
      </c>
      <c r="J1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2" s="5">
        <f>VLOOKUP(TrendSheetStgData[Population]&amp;TrendSheetStgData[Trend],Threshold[#All],4,FALSE)</f>
        <v>10</v>
      </c>
      <c r="L102" s="5">
        <f>VLOOKUP(TrendSheetStgData[Population]&amp;TrendSheetStgData[Trend],Threshold[#All],5,FALSE)</f>
        <v>5</v>
      </c>
      <c r="M1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 spans="1:13" x14ac:dyDescent="0.25">
      <c r="A103" t="s">
        <v>90</v>
      </c>
      <c r="B103" t="s">
        <v>90</v>
      </c>
      <c r="C103" t="s">
        <v>91</v>
      </c>
      <c r="D103" s="1" t="s">
        <v>96</v>
      </c>
      <c r="E103" t="s">
        <v>93</v>
      </c>
      <c r="F103" t="s">
        <v>19</v>
      </c>
      <c r="G103">
        <v>8</v>
      </c>
      <c r="H103">
        <v>53666.82</v>
      </c>
      <c r="I103" s="5">
        <f>IFERROR(VLOOKUP(TrendSheetStgData[Population]&amp;TrendSheetStgData[Cost Basis]&amp;TrendSheetStgData[Period]&amp;TrendSheetStgData[Trend],TrendSheetPrdData[#All],9,FALSE),0)</f>
        <v>53666.82</v>
      </c>
      <c r="J1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 s="5">
        <f>VLOOKUP(TrendSheetStgData[Population]&amp;TrendSheetStgData[Trend],Threshold[#All],4,FALSE)</f>
        <v>10</v>
      </c>
      <c r="L103" s="5">
        <f>VLOOKUP(TrendSheetStgData[Population]&amp;TrendSheetStgData[Trend],Threshold[#All],5,FALSE)</f>
        <v>5</v>
      </c>
      <c r="M1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 spans="1:13" x14ac:dyDescent="0.25">
      <c r="A104" t="s">
        <v>90</v>
      </c>
      <c r="B104" t="s">
        <v>90</v>
      </c>
      <c r="C104" t="s">
        <v>91</v>
      </c>
      <c r="D104" s="1" t="s">
        <v>97</v>
      </c>
      <c r="E104" t="s">
        <v>93</v>
      </c>
      <c r="F104" t="s">
        <v>19</v>
      </c>
      <c r="G104">
        <v>8</v>
      </c>
      <c r="H104">
        <v>88898.28</v>
      </c>
      <c r="I104" s="5">
        <f>IFERROR(VLOOKUP(TrendSheetStgData[Population]&amp;TrendSheetStgData[Cost Basis]&amp;TrendSheetStgData[Period]&amp;TrendSheetStgData[Trend],TrendSheetPrdData[#All],9,FALSE),0)</f>
        <v>88898.28</v>
      </c>
      <c r="J1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 s="5">
        <f>VLOOKUP(TrendSheetStgData[Population]&amp;TrendSheetStgData[Trend],Threshold[#All],4,FALSE)</f>
        <v>10</v>
      </c>
      <c r="L104" s="5">
        <f>VLOOKUP(TrendSheetStgData[Population]&amp;TrendSheetStgData[Trend],Threshold[#All],5,FALSE)</f>
        <v>5</v>
      </c>
      <c r="M1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 spans="1:13" x14ac:dyDescent="0.25">
      <c r="A105" t="s">
        <v>90</v>
      </c>
      <c r="B105" t="s">
        <v>90</v>
      </c>
      <c r="C105" t="s">
        <v>91</v>
      </c>
      <c r="D105" s="1" t="s">
        <v>98</v>
      </c>
      <c r="E105" t="s">
        <v>93</v>
      </c>
      <c r="F105" t="s">
        <v>19</v>
      </c>
      <c r="G105">
        <v>8</v>
      </c>
      <c r="H105">
        <v>59987.11</v>
      </c>
      <c r="I105" s="5">
        <f>IFERROR(VLOOKUP(TrendSheetStgData[Population]&amp;TrendSheetStgData[Cost Basis]&amp;TrendSheetStgData[Period]&amp;TrendSheetStgData[Trend],TrendSheetPrdData[#All],9,FALSE),0)</f>
        <v>59028.76</v>
      </c>
      <c r="J1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1.6235306315091129</v>
      </c>
      <c r="K105" s="5">
        <f>VLOOKUP(TrendSheetStgData[Population]&amp;TrendSheetStgData[Trend],Threshold[#All],4,FALSE)</f>
        <v>10</v>
      </c>
      <c r="L105" s="5">
        <f>VLOOKUP(TrendSheetStgData[Population]&amp;TrendSheetStgData[Trend],Threshold[#All],5,FALSE)</f>
        <v>5</v>
      </c>
      <c r="M1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6" spans="1:13" x14ac:dyDescent="0.25">
      <c r="A106" t="s">
        <v>90</v>
      </c>
      <c r="B106" t="s">
        <v>90</v>
      </c>
      <c r="C106" t="s">
        <v>91</v>
      </c>
      <c r="D106" s="1" t="s">
        <v>99</v>
      </c>
      <c r="E106" t="s">
        <v>93</v>
      </c>
      <c r="F106" t="s">
        <v>19</v>
      </c>
      <c r="G106">
        <v>8</v>
      </c>
      <c r="H106">
        <v>81822.39</v>
      </c>
      <c r="I106" s="5">
        <f>IFERROR(VLOOKUP(TrendSheetStgData[Population]&amp;TrendSheetStgData[Cost Basis]&amp;TrendSheetStgData[Period]&amp;TrendSheetStgData[Trend],TrendSheetPrdData[#All],9,FALSE),0)</f>
        <v>81822.39</v>
      </c>
      <c r="J1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 s="5">
        <f>VLOOKUP(TrendSheetStgData[Population]&amp;TrendSheetStgData[Trend],Threshold[#All],4,FALSE)</f>
        <v>10</v>
      </c>
      <c r="L106" s="5">
        <f>VLOOKUP(TrendSheetStgData[Population]&amp;TrendSheetStgData[Trend],Threshold[#All],5,FALSE)</f>
        <v>5</v>
      </c>
      <c r="M1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 spans="1:13" x14ac:dyDescent="0.25">
      <c r="A107" t="s">
        <v>90</v>
      </c>
      <c r="B107" t="s">
        <v>90</v>
      </c>
      <c r="C107" t="s">
        <v>91</v>
      </c>
      <c r="D107" s="1" t="s">
        <v>100</v>
      </c>
      <c r="E107" t="s">
        <v>93</v>
      </c>
      <c r="F107" t="s">
        <v>19</v>
      </c>
      <c r="G107">
        <v>8</v>
      </c>
      <c r="H107">
        <v>89453.49</v>
      </c>
      <c r="I107" s="5">
        <f>IFERROR(VLOOKUP(TrendSheetStgData[Population]&amp;TrendSheetStgData[Cost Basis]&amp;TrendSheetStgData[Period]&amp;TrendSheetStgData[Trend],TrendSheetPrdData[#All],9,FALSE),0)</f>
        <v>88480.77</v>
      </c>
      <c r="J1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1.0993575214139764</v>
      </c>
      <c r="K107" s="5">
        <f>VLOOKUP(TrendSheetStgData[Population]&amp;TrendSheetStgData[Trend],Threshold[#All],4,FALSE)</f>
        <v>10</v>
      </c>
      <c r="L107" s="5">
        <f>VLOOKUP(TrendSheetStgData[Population]&amp;TrendSheetStgData[Trend],Threshold[#All],5,FALSE)</f>
        <v>5</v>
      </c>
      <c r="M1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8" spans="1:13" x14ac:dyDescent="0.25">
      <c r="A108" t="s">
        <v>90</v>
      </c>
      <c r="B108" t="s">
        <v>90</v>
      </c>
      <c r="C108" t="s">
        <v>91</v>
      </c>
      <c r="D108" s="1" t="s">
        <v>101</v>
      </c>
      <c r="E108" t="s">
        <v>93</v>
      </c>
      <c r="F108" t="s">
        <v>19</v>
      </c>
      <c r="G108">
        <v>8</v>
      </c>
      <c r="H108">
        <v>113271.13</v>
      </c>
      <c r="I108" s="5">
        <f>IFERROR(VLOOKUP(TrendSheetStgData[Population]&amp;TrendSheetStgData[Cost Basis]&amp;TrendSheetStgData[Period]&amp;TrendSheetStgData[Trend],TrendSheetPrdData[#All],9,FALSE),0)</f>
        <v>112298.41</v>
      </c>
      <c r="J1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0.86619213931880357</v>
      </c>
      <c r="K108" s="5">
        <f>VLOOKUP(TrendSheetStgData[Population]&amp;TrendSheetStgData[Trend],Threshold[#All],4,FALSE)</f>
        <v>10</v>
      </c>
      <c r="L108" s="5">
        <f>VLOOKUP(TrendSheetStgData[Population]&amp;TrendSheetStgData[Trend],Threshold[#All],5,FALSE)</f>
        <v>5</v>
      </c>
      <c r="M1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9" spans="1:13" x14ac:dyDescent="0.25">
      <c r="A109" t="s">
        <v>90</v>
      </c>
      <c r="B109" t="s">
        <v>90</v>
      </c>
      <c r="C109" t="s">
        <v>91</v>
      </c>
      <c r="D109" s="1" t="s">
        <v>102</v>
      </c>
      <c r="E109" t="s">
        <v>93</v>
      </c>
      <c r="F109" t="s">
        <v>19</v>
      </c>
      <c r="G109">
        <v>8</v>
      </c>
      <c r="H109">
        <v>83375.5</v>
      </c>
      <c r="I109" s="5">
        <f>IFERROR(VLOOKUP(TrendSheetStgData[Population]&amp;TrendSheetStgData[Cost Basis]&amp;TrendSheetStgData[Period]&amp;TrendSheetStgData[Trend],TrendSheetPrdData[#All],9,FALSE),0)</f>
        <v>80418.7</v>
      </c>
      <c r="J1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3.6767567742328624</v>
      </c>
      <c r="K109" s="5">
        <f>VLOOKUP(TrendSheetStgData[Population]&amp;TrendSheetStgData[Trend],Threshold[#All],4,FALSE)</f>
        <v>10</v>
      </c>
      <c r="L109" s="5">
        <f>VLOOKUP(TrendSheetStgData[Population]&amp;TrendSheetStgData[Trend],Threshold[#All],5,FALSE)</f>
        <v>5</v>
      </c>
      <c r="M1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10" spans="1:13" x14ac:dyDescent="0.25">
      <c r="A110" t="s">
        <v>90</v>
      </c>
      <c r="B110" t="s">
        <v>90</v>
      </c>
      <c r="C110" t="s">
        <v>91</v>
      </c>
      <c r="D110" s="1" t="s">
        <v>103</v>
      </c>
      <c r="E110" t="s">
        <v>93</v>
      </c>
      <c r="F110" t="s">
        <v>19</v>
      </c>
      <c r="G110">
        <v>8</v>
      </c>
      <c r="H110">
        <v>83041.820000000007</v>
      </c>
      <c r="I110" s="5">
        <f>IFERROR(VLOOKUP(TrendSheetStgData[Population]&amp;TrendSheetStgData[Cost Basis]&amp;TrendSheetStgData[Period]&amp;TrendSheetStgData[Trend],TrendSheetPrdData[#All],9,FALSE),0)</f>
        <v>82069.100000000006</v>
      </c>
      <c r="J1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1.1852451166151463</v>
      </c>
      <c r="K110" s="5">
        <f>VLOOKUP(TrendSheetStgData[Population]&amp;TrendSheetStgData[Trend],Threshold[#All],4,FALSE)</f>
        <v>10</v>
      </c>
      <c r="L110" s="5">
        <f>VLOOKUP(TrendSheetStgData[Population]&amp;TrendSheetStgData[Trend],Threshold[#All],5,FALSE)</f>
        <v>5</v>
      </c>
      <c r="M1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11" spans="1:13" x14ac:dyDescent="0.25">
      <c r="A111" t="s">
        <v>90</v>
      </c>
      <c r="B111" t="s">
        <v>90</v>
      </c>
      <c r="C111" t="s">
        <v>91</v>
      </c>
      <c r="D111" s="1" t="s">
        <v>104</v>
      </c>
      <c r="E111" t="s">
        <v>93</v>
      </c>
      <c r="F111" t="s">
        <v>19</v>
      </c>
      <c r="G111">
        <v>8</v>
      </c>
      <c r="H111">
        <v>80000.95</v>
      </c>
      <c r="I111" s="5">
        <f>IFERROR(VLOOKUP(TrendSheetStgData[Population]&amp;TrendSheetStgData[Cost Basis]&amp;TrendSheetStgData[Period]&amp;TrendSheetStgData[Trend],TrendSheetPrdData[#All],9,FALSE),0)</f>
        <v>72679.199999999997</v>
      </c>
      <c r="J1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10.074065207101894</v>
      </c>
      <c r="K111" s="5">
        <f>VLOOKUP(TrendSheetStgData[Population]&amp;TrendSheetStgData[Trend],Threshold[#All],4,FALSE)</f>
        <v>10</v>
      </c>
      <c r="L111" s="5">
        <f>VLOOKUP(TrendSheetStgData[Population]&amp;TrendSheetStgData[Trend],Threshold[#All],5,FALSE)</f>
        <v>5</v>
      </c>
      <c r="M1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12" spans="1:13" x14ac:dyDescent="0.25">
      <c r="A112" t="s">
        <v>90</v>
      </c>
      <c r="B112" t="s">
        <v>90</v>
      </c>
      <c r="C112" t="s">
        <v>91</v>
      </c>
      <c r="D112" s="1" t="s">
        <v>105</v>
      </c>
      <c r="E112" t="s">
        <v>106</v>
      </c>
      <c r="F112" t="s">
        <v>19</v>
      </c>
      <c r="G112">
        <v>8</v>
      </c>
      <c r="H112">
        <v>54451.95</v>
      </c>
      <c r="I112" s="5">
        <f>IFERROR(VLOOKUP(TrendSheetStgData[Population]&amp;TrendSheetStgData[Cost Basis]&amp;TrendSheetStgData[Period]&amp;TrendSheetStgData[Trend],TrendSheetPrdData[#All],9,FALSE),0)</f>
        <v>22782.14</v>
      </c>
      <c r="J1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139.01156783339931</v>
      </c>
      <c r="K112" s="5">
        <f>VLOOKUP(TrendSheetStgData[Population]&amp;TrendSheetStgData[Trend],Threshold[#All],4,FALSE)</f>
        <v>10</v>
      </c>
      <c r="L112" s="5">
        <f>VLOOKUP(TrendSheetStgData[Population]&amp;TrendSheetStgData[Trend],Threshold[#All],5,FALSE)</f>
        <v>5</v>
      </c>
      <c r="M1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13" spans="1:13" x14ac:dyDescent="0.25">
      <c r="A113" t="s">
        <v>90</v>
      </c>
      <c r="B113" t="s">
        <v>90</v>
      </c>
      <c r="C113" t="s">
        <v>91</v>
      </c>
      <c r="D113" s="1" t="s">
        <v>107</v>
      </c>
      <c r="E113" t="s">
        <v>106</v>
      </c>
      <c r="F113" t="s">
        <v>19</v>
      </c>
      <c r="G113">
        <v>8</v>
      </c>
      <c r="H113">
        <v>28922.34</v>
      </c>
      <c r="I113" s="5">
        <f>IFERROR(VLOOKUP(TrendSheetStgData[Population]&amp;TrendSheetStgData[Cost Basis]&amp;TrendSheetStgData[Period]&amp;TrendSheetStgData[Trend],TrendSheetPrdData[#All],9,FALSE),0)</f>
        <v>0</v>
      </c>
      <c r="J1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13" s="5">
        <f>VLOOKUP(TrendSheetStgData[Population]&amp;TrendSheetStgData[Trend],Threshold[#All],4,FALSE)</f>
        <v>10</v>
      </c>
      <c r="L113" s="5">
        <f>VLOOKUP(TrendSheetStgData[Population]&amp;TrendSheetStgData[Trend],Threshold[#All],5,FALSE)</f>
        <v>5</v>
      </c>
      <c r="M1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14" spans="1:13" x14ac:dyDescent="0.25">
      <c r="A114" t="s">
        <v>90</v>
      </c>
      <c r="B114" t="s">
        <v>90</v>
      </c>
      <c r="C114" t="s">
        <v>91</v>
      </c>
      <c r="D114" s="1" t="s">
        <v>92</v>
      </c>
      <c r="E114" t="s">
        <v>93</v>
      </c>
      <c r="F114" t="s">
        <v>20</v>
      </c>
      <c r="G114">
        <v>9</v>
      </c>
      <c r="H114">
        <v>36</v>
      </c>
      <c r="I114" s="5">
        <f>IFERROR(VLOOKUP(TrendSheetStgData[Population]&amp;TrendSheetStgData[Cost Basis]&amp;TrendSheetStgData[Period]&amp;TrendSheetStgData[Trend],TrendSheetPrdData[#All],9,FALSE),0)</f>
        <v>36</v>
      </c>
      <c r="J1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 s="5">
        <f>VLOOKUP(TrendSheetStgData[Population]&amp;TrendSheetStgData[Trend],Threshold[#All],4,FALSE)</f>
        <v>10</v>
      </c>
      <c r="L114" s="5">
        <f>VLOOKUP(TrendSheetStgData[Population]&amp;TrendSheetStgData[Trend],Threshold[#All],5,FALSE)</f>
        <v>5</v>
      </c>
      <c r="M1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 spans="1:13" x14ac:dyDescent="0.25">
      <c r="A115" t="s">
        <v>90</v>
      </c>
      <c r="B115" t="s">
        <v>90</v>
      </c>
      <c r="C115" t="s">
        <v>91</v>
      </c>
      <c r="D115" s="1" t="s">
        <v>94</v>
      </c>
      <c r="E115" t="s">
        <v>93</v>
      </c>
      <c r="F115" t="s">
        <v>20</v>
      </c>
      <c r="G115">
        <v>9</v>
      </c>
      <c r="H115">
        <v>38</v>
      </c>
      <c r="I115" s="5">
        <f>IFERROR(VLOOKUP(TrendSheetStgData[Population]&amp;TrendSheetStgData[Cost Basis]&amp;TrendSheetStgData[Period]&amp;TrendSheetStgData[Trend],TrendSheetPrdData[#All],9,FALSE),0)</f>
        <v>38</v>
      </c>
      <c r="J1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 s="5">
        <f>VLOOKUP(TrendSheetStgData[Population]&amp;TrendSheetStgData[Trend],Threshold[#All],4,FALSE)</f>
        <v>10</v>
      </c>
      <c r="L115" s="5">
        <f>VLOOKUP(TrendSheetStgData[Population]&amp;TrendSheetStgData[Trend],Threshold[#All],5,FALSE)</f>
        <v>5</v>
      </c>
      <c r="M1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 spans="1:13" x14ac:dyDescent="0.25">
      <c r="A116" t="s">
        <v>90</v>
      </c>
      <c r="B116" t="s">
        <v>90</v>
      </c>
      <c r="C116" t="s">
        <v>91</v>
      </c>
      <c r="D116" s="1" t="s">
        <v>95</v>
      </c>
      <c r="E116" t="s">
        <v>93</v>
      </c>
      <c r="F116" t="s">
        <v>20</v>
      </c>
      <c r="G116">
        <v>9</v>
      </c>
      <c r="H116">
        <v>32</v>
      </c>
      <c r="I116" s="5">
        <f>IFERROR(VLOOKUP(TrendSheetStgData[Population]&amp;TrendSheetStgData[Cost Basis]&amp;TrendSheetStgData[Period]&amp;TrendSheetStgData[Trend],TrendSheetPrdData[#All],9,FALSE),0)</f>
        <v>32</v>
      </c>
      <c r="J1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 s="5">
        <f>VLOOKUP(TrendSheetStgData[Population]&amp;TrendSheetStgData[Trend],Threshold[#All],4,FALSE)</f>
        <v>10</v>
      </c>
      <c r="L116" s="5">
        <f>VLOOKUP(TrendSheetStgData[Population]&amp;TrendSheetStgData[Trend],Threshold[#All],5,FALSE)</f>
        <v>5</v>
      </c>
      <c r="M1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 spans="1:13" x14ac:dyDescent="0.25">
      <c r="A117" t="s">
        <v>90</v>
      </c>
      <c r="B117" t="s">
        <v>90</v>
      </c>
      <c r="C117" t="s">
        <v>91</v>
      </c>
      <c r="D117" s="1" t="s">
        <v>96</v>
      </c>
      <c r="E117" t="s">
        <v>93</v>
      </c>
      <c r="F117" t="s">
        <v>20</v>
      </c>
      <c r="G117">
        <v>9</v>
      </c>
      <c r="H117">
        <v>32</v>
      </c>
      <c r="I117" s="5">
        <f>IFERROR(VLOOKUP(TrendSheetStgData[Population]&amp;TrendSheetStgData[Cost Basis]&amp;TrendSheetStgData[Period]&amp;TrendSheetStgData[Trend],TrendSheetPrdData[#All],9,FALSE),0)</f>
        <v>32</v>
      </c>
      <c r="J1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 s="5">
        <f>VLOOKUP(TrendSheetStgData[Population]&amp;TrendSheetStgData[Trend],Threshold[#All],4,FALSE)</f>
        <v>10</v>
      </c>
      <c r="L117" s="5">
        <f>VLOOKUP(TrendSheetStgData[Population]&amp;TrendSheetStgData[Trend],Threshold[#All],5,FALSE)</f>
        <v>5</v>
      </c>
      <c r="M1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 spans="1:13" x14ac:dyDescent="0.25">
      <c r="A118" t="s">
        <v>90</v>
      </c>
      <c r="B118" t="s">
        <v>90</v>
      </c>
      <c r="C118" t="s">
        <v>91</v>
      </c>
      <c r="D118" s="1" t="s">
        <v>97</v>
      </c>
      <c r="E118" t="s">
        <v>93</v>
      </c>
      <c r="F118" t="s">
        <v>20</v>
      </c>
      <c r="G118">
        <v>9</v>
      </c>
      <c r="H118">
        <v>60</v>
      </c>
      <c r="I118" s="5">
        <f>IFERROR(VLOOKUP(TrendSheetStgData[Population]&amp;TrendSheetStgData[Cost Basis]&amp;TrendSheetStgData[Period]&amp;TrendSheetStgData[Trend],TrendSheetPrdData[#All],9,FALSE),0)</f>
        <v>60</v>
      </c>
      <c r="J1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 s="5">
        <f>VLOOKUP(TrendSheetStgData[Population]&amp;TrendSheetStgData[Trend],Threshold[#All],4,FALSE)</f>
        <v>10</v>
      </c>
      <c r="L118" s="5">
        <f>VLOOKUP(TrendSheetStgData[Population]&amp;TrendSheetStgData[Trend],Threshold[#All],5,FALSE)</f>
        <v>5</v>
      </c>
      <c r="M1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 spans="1:13" x14ac:dyDescent="0.25">
      <c r="A119" t="s">
        <v>90</v>
      </c>
      <c r="B119" t="s">
        <v>90</v>
      </c>
      <c r="C119" t="s">
        <v>91</v>
      </c>
      <c r="D119" s="1" t="s">
        <v>98</v>
      </c>
      <c r="E119" t="s">
        <v>93</v>
      </c>
      <c r="F119" t="s">
        <v>20</v>
      </c>
      <c r="G119">
        <v>9</v>
      </c>
      <c r="H119">
        <v>35</v>
      </c>
      <c r="I119" s="5">
        <f>IFERROR(VLOOKUP(TrendSheetStgData[Population]&amp;TrendSheetStgData[Cost Basis]&amp;TrendSheetStgData[Period]&amp;TrendSheetStgData[Trend],TrendSheetPrdData[#All],9,FALSE),0)</f>
        <v>33</v>
      </c>
      <c r="J1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6.0606060606060606</v>
      </c>
      <c r="K119" s="5">
        <f>VLOOKUP(TrendSheetStgData[Population]&amp;TrendSheetStgData[Trend],Threshold[#All],4,FALSE)</f>
        <v>10</v>
      </c>
      <c r="L119" s="5">
        <f>VLOOKUP(TrendSheetStgData[Population]&amp;TrendSheetStgData[Trend],Threshold[#All],5,FALSE)</f>
        <v>5</v>
      </c>
      <c r="M1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20" spans="1:13" x14ac:dyDescent="0.25">
      <c r="A120" t="s">
        <v>90</v>
      </c>
      <c r="B120" t="s">
        <v>90</v>
      </c>
      <c r="C120" t="s">
        <v>91</v>
      </c>
      <c r="D120" s="1" t="s">
        <v>99</v>
      </c>
      <c r="E120" t="s">
        <v>93</v>
      </c>
      <c r="F120" t="s">
        <v>20</v>
      </c>
      <c r="G120">
        <v>9</v>
      </c>
      <c r="H120">
        <v>49</v>
      </c>
      <c r="I120" s="5">
        <f>IFERROR(VLOOKUP(TrendSheetStgData[Population]&amp;TrendSheetStgData[Cost Basis]&amp;TrendSheetStgData[Period]&amp;TrendSheetStgData[Trend],TrendSheetPrdData[#All],9,FALSE),0)</f>
        <v>49</v>
      </c>
      <c r="J1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 s="5">
        <f>VLOOKUP(TrendSheetStgData[Population]&amp;TrendSheetStgData[Trend],Threshold[#All],4,FALSE)</f>
        <v>10</v>
      </c>
      <c r="L120" s="5">
        <f>VLOOKUP(TrendSheetStgData[Population]&amp;TrendSheetStgData[Trend],Threshold[#All],5,FALSE)</f>
        <v>5</v>
      </c>
      <c r="M1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 spans="1:13" x14ac:dyDescent="0.25">
      <c r="A121" t="s">
        <v>90</v>
      </c>
      <c r="B121" t="s">
        <v>90</v>
      </c>
      <c r="C121" t="s">
        <v>91</v>
      </c>
      <c r="D121" s="1" t="s">
        <v>100</v>
      </c>
      <c r="E121" t="s">
        <v>93</v>
      </c>
      <c r="F121" t="s">
        <v>20</v>
      </c>
      <c r="G121">
        <v>9</v>
      </c>
      <c r="H121">
        <v>41</v>
      </c>
      <c r="I121" s="5">
        <f>IFERROR(VLOOKUP(TrendSheetStgData[Population]&amp;TrendSheetStgData[Cost Basis]&amp;TrendSheetStgData[Period]&amp;TrendSheetStgData[Trend],TrendSheetPrdData[#All],9,FALSE),0)</f>
        <v>39</v>
      </c>
      <c r="J1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5.1282051282051277</v>
      </c>
      <c r="K121" s="5">
        <f>VLOOKUP(TrendSheetStgData[Population]&amp;TrendSheetStgData[Trend],Threshold[#All],4,FALSE)</f>
        <v>10</v>
      </c>
      <c r="L121" s="5">
        <f>VLOOKUP(TrendSheetStgData[Population]&amp;TrendSheetStgData[Trend],Threshold[#All],5,FALSE)</f>
        <v>5</v>
      </c>
      <c r="M1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22" spans="1:13" x14ac:dyDescent="0.25">
      <c r="A122" t="s">
        <v>90</v>
      </c>
      <c r="B122" t="s">
        <v>90</v>
      </c>
      <c r="C122" t="s">
        <v>91</v>
      </c>
      <c r="D122" s="1" t="s">
        <v>101</v>
      </c>
      <c r="E122" t="s">
        <v>93</v>
      </c>
      <c r="F122" t="s">
        <v>20</v>
      </c>
      <c r="G122">
        <v>9</v>
      </c>
      <c r="H122">
        <v>75</v>
      </c>
      <c r="I122" s="5">
        <f>IFERROR(VLOOKUP(TrendSheetStgData[Population]&amp;TrendSheetStgData[Cost Basis]&amp;TrendSheetStgData[Period]&amp;TrendSheetStgData[Trend],TrendSheetPrdData[#All],9,FALSE),0)</f>
        <v>74</v>
      </c>
      <c r="J1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1.3513513513513513</v>
      </c>
      <c r="K122" s="5">
        <f>VLOOKUP(TrendSheetStgData[Population]&amp;TrendSheetStgData[Trend],Threshold[#All],4,FALSE)</f>
        <v>10</v>
      </c>
      <c r="L122" s="5">
        <f>VLOOKUP(TrendSheetStgData[Population]&amp;TrendSheetStgData[Trend],Threshold[#All],5,FALSE)</f>
        <v>5</v>
      </c>
      <c r="M1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23" spans="1:13" x14ac:dyDescent="0.25">
      <c r="A123" t="s">
        <v>90</v>
      </c>
      <c r="B123" t="s">
        <v>90</v>
      </c>
      <c r="C123" t="s">
        <v>91</v>
      </c>
      <c r="D123" s="1" t="s">
        <v>102</v>
      </c>
      <c r="E123" t="s">
        <v>93</v>
      </c>
      <c r="F123" t="s">
        <v>20</v>
      </c>
      <c r="G123">
        <v>9</v>
      </c>
      <c r="H123">
        <v>39</v>
      </c>
      <c r="I123" s="5">
        <f>IFERROR(VLOOKUP(TrendSheetStgData[Population]&amp;TrendSheetStgData[Cost Basis]&amp;TrendSheetStgData[Period]&amp;TrendSheetStgData[Trend],TrendSheetPrdData[#All],9,FALSE),0)</f>
        <v>35</v>
      </c>
      <c r="J1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11.428571428571429</v>
      </c>
      <c r="K123" s="5">
        <f>VLOOKUP(TrendSheetStgData[Population]&amp;TrendSheetStgData[Trend],Threshold[#All],4,FALSE)</f>
        <v>10</v>
      </c>
      <c r="L123" s="5">
        <f>VLOOKUP(TrendSheetStgData[Population]&amp;TrendSheetStgData[Trend],Threshold[#All],5,FALSE)</f>
        <v>5</v>
      </c>
      <c r="M1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4" spans="1:13" x14ac:dyDescent="0.25">
      <c r="A124" t="s">
        <v>90</v>
      </c>
      <c r="B124" t="s">
        <v>90</v>
      </c>
      <c r="C124" t="s">
        <v>91</v>
      </c>
      <c r="D124" s="1" t="s">
        <v>103</v>
      </c>
      <c r="E124" t="s">
        <v>93</v>
      </c>
      <c r="F124" t="s">
        <v>20</v>
      </c>
      <c r="G124">
        <v>9</v>
      </c>
      <c r="H124">
        <v>45</v>
      </c>
      <c r="I124" s="5">
        <f>IFERROR(VLOOKUP(TrendSheetStgData[Population]&amp;TrendSheetStgData[Cost Basis]&amp;TrendSheetStgData[Period]&amp;TrendSheetStgData[Trend],TrendSheetPrdData[#All],9,FALSE),0)</f>
        <v>43</v>
      </c>
      <c r="J1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4.6511627906976747</v>
      </c>
      <c r="K124" s="5">
        <f>VLOOKUP(TrendSheetStgData[Population]&amp;TrendSheetStgData[Trend],Threshold[#All],4,FALSE)</f>
        <v>10</v>
      </c>
      <c r="L124" s="5">
        <f>VLOOKUP(TrendSheetStgData[Population]&amp;TrendSheetStgData[Trend],Threshold[#All],5,FALSE)</f>
        <v>5</v>
      </c>
      <c r="M1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25" spans="1:13" x14ac:dyDescent="0.25">
      <c r="A125" t="s">
        <v>90</v>
      </c>
      <c r="B125" t="s">
        <v>90</v>
      </c>
      <c r="C125" t="s">
        <v>91</v>
      </c>
      <c r="D125" s="1" t="s">
        <v>104</v>
      </c>
      <c r="E125" t="s">
        <v>93</v>
      </c>
      <c r="F125" t="s">
        <v>20</v>
      </c>
      <c r="G125">
        <v>9</v>
      </c>
      <c r="H125">
        <v>52</v>
      </c>
      <c r="I125" s="5">
        <f>IFERROR(VLOOKUP(TrendSheetStgData[Population]&amp;TrendSheetStgData[Cost Basis]&amp;TrendSheetStgData[Period]&amp;TrendSheetStgData[Trend],TrendSheetPrdData[#All],9,FALSE),0)</f>
        <v>47</v>
      </c>
      <c r="J1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10.638297872340425</v>
      </c>
      <c r="K125" s="5">
        <f>VLOOKUP(TrendSheetStgData[Population]&amp;TrendSheetStgData[Trend],Threshold[#All],4,FALSE)</f>
        <v>10</v>
      </c>
      <c r="L125" s="5">
        <f>VLOOKUP(TrendSheetStgData[Population]&amp;TrendSheetStgData[Trend],Threshold[#All],5,FALSE)</f>
        <v>5</v>
      </c>
      <c r="M1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6" spans="1:13" x14ac:dyDescent="0.25">
      <c r="A126" t="s">
        <v>90</v>
      </c>
      <c r="B126" t="s">
        <v>90</v>
      </c>
      <c r="C126" t="s">
        <v>91</v>
      </c>
      <c r="D126" s="1" t="s">
        <v>105</v>
      </c>
      <c r="E126" t="s">
        <v>106</v>
      </c>
      <c r="F126" t="s">
        <v>20</v>
      </c>
      <c r="G126">
        <v>9</v>
      </c>
      <c r="H126">
        <v>22</v>
      </c>
      <c r="I126" s="5">
        <f>IFERROR(VLOOKUP(TrendSheetStgData[Population]&amp;TrendSheetStgData[Cost Basis]&amp;TrendSheetStgData[Period]&amp;TrendSheetStgData[Trend],TrendSheetPrdData[#All],9,FALSE),0)</f>
        <v>10</v>
      </c>
      <c r="J1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120</v>
      </c>
      <c r="K126" s="5">
        <f>VLOOKUP(TrendSheetStgData[Population]&amp;TrendSheetStgData[Trend],Threshold[#All],4,FALSE)</f>
        <v>10</v>
      </c>
      <c r="L126" s="5">
        <f>VLOOKUP(TrendSheetStgData[Population]&amp;TrendSheetStgData[Trend],Threshold[#All],5,FALSE)</f>
        <v>5</v>
      </c>
      <c r="M1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7" spans="1:13" x14ac:dyDescent="0.25">
      <c r="A127" t="s">
        <v>90</v>
      </c>
      <c r="B127" t="s">
        <v>90</v>
      </c>
      <c r="C127" t="s">
        <v>91</v>
      </c>
      <c r="D127" s="1" t="s">
        <v>107</v>
      </c>
      <c r="E127" t="s">
        <v>106</v>
      </c>
      <c r="F127" t="s">
        <v>20</v>
      </c>
      <c r="G127">
        <v>9</v>
      </c>
      <c r="H127">
        <v>15</v>
      </c>
      <c r="I127" s="5">
        <f>IFERROR(VLOOKUP(TrendSheetStgData[Population]&amp;TrendSheetStgData[Cost Basis]&amp;TrendSheetStgData[Period]&amp;TrendSheetStgData[Trend],TrendSheetPrdData[#All],9,FALSE),0)</f>
        <v>0</v>
      </c>
      <c r="J1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27" s="5">
        <f>VLOOKUP(TrendSheetStgData[Population]&amp;TrendSheetStgData[Trend],Threshold[#All],4,FALSE)</f>
        <v>10</v>
      </c>
      <c r="L127" s="5">
        <f>VLOOKUP(TrendSheetStgData[Population]&amp;TrendSheetStgData[Trend],Threshold[#All],5,FALSE)</f>
        <v>5</v>
      </c>
      <c r="M1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8" spans="1:13" x14ac:dyDescent="0.25">
      <c r="A128" t="s">
        <v>90</v>
      </c>
      <c r="B128" t="s">
        <v>90</v>
      </c>
      <c r="C128" t="s">
        <v>91</v>
      </c>
      <c r="D128" s="1" t="s">
        <v>92</v>
      </c>
      <c r="E128" t="s">
        <v>93</v>
      </c>
      <c r="F128" t="s">
        <v>21</v>
      </c>
      <c r="G128">
        <v>10</v>
      </c>
      <c r="H128">
        <v>71</v>
      </c>
      <c r="I128" s="5">
        <f>IFERROR(VLOOKUP(TrendSheetStgData[Population]&amp;TrendSheetStgData[Cost Basis]&amp;TrendSheetStgData[Period]&amp;TrendSheetStgData[Trend],TrendSheetPrdData[#All],9,FALSE),0)</f>
        <v>71</v>
      </c>
      <c r="J1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 s="5">
        <f>VLOOKUP(TrendSheetStgData[Population]&amp;TrendSheetStgData[Trend],Threshold[#All],4,FALSE)</f>
        <v>10</v>
      </c>
      <c r="L128" s="5">
        <f>VLOOKUP(TrendSheetStgData[Population]&amp;TrendSheetStgData[Trend],Threshold[#All],5,FALSE)</f>
        <v>5</v>
      </c>
      <c r="M1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 spans="1:13" x14ac:dyDescent="0.25">
      <c r="A129" t="s">
        <v>90</v>
      </c>
      <c r="B129" t="s">
        <v>90</v>
      </c>
      <c r="C129" t="s">
        <v>91</v>
      </c>
      <c r="D129" s="1" t="s">
        <v>94</v>
      </c>
      <c r="E129" t="s">
        <v>93</v>
      </c>
      <c r="F129" t="s">
        <v>21</v>
      </c>
      <c r="G129">
        <v>10</v>
      </c>
      <c r="H129">
        <v>52</v>
      </c>
      <c r="I129" s="5">
        <f>IFERROR(VLOOKUP(TrendSheetStgData[Population]&amp;TrendSheetStgData[Cost Basis]&amp;TrendSheetStgData[Period]&amp;TrendSheetStgData[Trend],TrendSheetPrdData[#All],9,FALSE),0)</f>
        <v>52</v>
      </c>
      <c r="J1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 s="5">
        <f>VLOOKUP(TrendSheetStgData[Population]&amp;TrendSheetStgData[Trend],Threshold[#All],4,FALSE)</f>
        <v>10</v>
      </c>
      <c r="L129" s="5">
        <f>VLOOKUP(TrendSheetStgData[Population]&amp;TrendSheetStgData[Trend],Threshold[#All],5,FALSE)</f>
        <v>5</v>
      </c>
      <c r="M1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 spans="1:13" x14ac:dyDescent="0.25">
      <c r="A130" t="s">
        <v>90</v>
      </c>
      <c r="B130" t="s">
        <v>90</v>
      </c>
      <c r="C130" t="s">
        <v>91</v>
      </c>
      <c r="D130" s="1" t="s">
        <v>95</v>
      </c>
      <c r="E130" t="s">
        <v>93</v>
      </c>
      <c r="F130" t="s">
        <v>21</v>
      </c>
      <c r="G130">
        <v>10</v>
      </c>
      <c r="H130">
        <v>39</v>
      </c>
      <c r="I130" s="5">
        <f>IFERROR(VLOOKUP(TrendSheetStgData[Population]&amp;TrendSheetStgData[Cost Basis]&amp;TrendSheetStgData[Period]&amp;TrendSheetStgData[Trend],TrendSheetPrdData[#All],9,FALSE),0)</f>
        <v>39</v>
      </c>
      <c r="J1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 s="5">
        <f>VLOOKUP(TrendSheetStgData[Population]&amp;TrendSheetStgData[Trend],Threshold[#All],4,FALSE)</f>
        <v>10</v>
      </c>
      <c r="L130" s="5">
        <f>VLOOKUP(TrendSheetStgData[Population]&amp;TrendSheetStgData[Trend],Threshold[#All],5,FALSE)</f>
        <v>5</v>
      </c>
      <c r="M1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1" spans="1:13" x14ac:dyDescent="0.25">
      <c r="A131" t="s">
        <v>90</v>
      </c>
      <c r="B131" t="s">
        <v>90</v>
      </c>
      <c r="C131" t="s">
        <v>91</v>
      </c>
      <c r="D131" s="1" t="s">
        <v>96</v>
      </c>
      <c r="E131" t="s">
        <v>93</v>
      </c>
      <c r="F131" t="s">
        <v>21</v>
      </c>
      <c r="G131">
        <v>10</v>
      </c>
      <c r="H131">
        <v>34</v>
      </c>
      <c r="I131" s="5">
        <f>IFERROR(VLOOKUP(TrendSheetStgData[Population]&amp;TrendSheetStgData[Cost Basis]&amp;TrendSheetStgData[Period]&amp;TrendSheetStgData[Trend],TrendSheetPrdData[#All],9,FALSE),0)</f>
        <v>34</v>
      </c>
      <c r="J1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1" s="5">
        <f>VLOOKUP(TrendSheetStgData[Population]&amp;TrendSheetStgData[Trend],Threshold[#All],4,FALSE)</f>
        <v>10</v>
      </c>
      <c r="L131" s="5">
        <f>VLOOKUP(TrendSheetStgData[Population]&amp;TrendSheetStgData[Trend],Threshold[#All],5,FALSE)</f>
        <v>5</v>
      </c>
      <c r="M1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2" spans="1:13" x14ac:dyDescent="0.25">
      <c r="A132" t="s">
        <v>90</v>
      </c>
      <c r="B132" t="s">
        <v>90</v>
      </c>
      <c r="C132" t="s">
        <v>91</v>
      </c>
      <c r="D132" s="1" t="s">
        <v>97</v>
      </c>
      <c r="E132" t="s">
        <v>93</v>
      </c>
      <c r="F132" t="s">
        <v>21</v>
      </c>
      <c r="G132">
        <v>10</v>
      </c>
      <c r="H132">
        <v>34</v>
      </c>
      <c r="I132" s="5">
        <f>IFERROR(VLOOKUP(TrendSheetStgData[Population]&amp;TrendSheetStgData[Cost Basis]&amp;TrendSheetStgData[Period]&amp;TrendSheetStgData[Trend],TrendSheetPrdData[#All],9,FALSE),0)</f>
        <v>34</v>
      </c>
      <c r="J1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 s="5">
        <f>VLOOKUP(TrendSheetStgData[Population]&amp;TrendSheetStgData[Trend],Threshold[#All],4,FALSE)</f>
        <v>10</v>
      </c>
      <c r="L132" s="5">
        <f>VLOOKUP(TrendSheetStgData[Population]&amp;TrendSheetStgData[Trend],Threshold[#All],5,FALSE)</f>
        <v>5</v>
      </c>
      <c r="M1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 spans="1:13" x14ac:dyDescent="0.25">
      <c r="A133" t="s">
        <v>90</v>
      </c>
      <c r="B133" t="s">
        <v>90</v>
      </c>
      <c r="C133" t="s">
        <v>91</v>
      </c>
      <c r="D133" s="1" t="s">
        <v>98</v>
      </c>
      <c r="E133" t="s">
        <v>93</v>
      </c>
      <c r="F133" t="s">
        <v>21</v>
      </c>
      <c r="G133">
        <v>10</v>
      </c>
      <c r="H133">
        <v>35</v>
      </c>
      <c r="I133" s="5">
        <f>IFERROR(VLOOKUP(TrendSheetStgData[Population]&amp;TrendSheetStgData[Cost Basis]&amp;TrendSheetStgData[Period]&amp;TrendSheetStgData[Trend],TrendSheetPrdData[#All],9,FALSE),0)</f>
        <v>35</v>
      </c>
      <c r="J1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 s="5">
        <f>VLOOKUP(TrendSheetStgData[Population]&amp;TrendSheetStgData[Trend],Threshold[#All],4,FALSE)</f>
        <v>10</v>
      </c>
      <c r="L133" s="5">
        <f>VLOOKUP(TrendSheetStgData[Population]&amp;TrendSheetStgData[Trend],Threshold[#All],5,FALSE)</f>
        <v>5</v>
      </c>
      <c r="M1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 spans="1:13" x14ac:dyDescent="0.25">
      <c r="A134" t="s">
        <v>90</v>
      </c>
      <c r="B134" t="s">
        <v>90</v>
      </c>
      <c r="C134" t="s">
        <v>91</v>
      </c>
      <c r="D134" s="1" t="s">
        <v>99</v>
      </c>
      <c r="E134" t="s">
        <v>93</v>
      </c>
      <c r="F134" t="s">
        <v>21</v>
      </c>
      <c r="G134">
        <v>10</v>
      </c>
      <c r="H134">
        <v>33</v>
      </c>
      <c r="I134" s="5">
        <f>IFERROR(VLOOKUP(TrendSheetStgData[Population]&amp;TrendSheetStgData[Cost Basis]&amp;TrendSheetStgData[Period]&amp;TrendSheetStgData[Trend],TrendSheetPrdData[#All],9,FALSE),0)</f>
        <v>33</v>
      </c>
      <c r="J1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 s="5">
        <f>VLOOKUP(TrendSheetStgData[Population]&amp;TrendSheetStgData[Trend],Threshold[#All],4,FALSE)</f>
        <v>10</v>
      </c>
      <c r="L134" s="5">
        <f>VLOOKUP(TrendSheetStgData[Population]&amp;TrendSheetStgData[Trend],Threshold[#All],5,FALSE)</f>
        <v>5</v>
      </c>
      <c r="M1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 spans="1:13" x14ac:dyDescent="0.25">
      <c r="A135" t="s">
        <v>90</v>
      </c>
      <c r="B135" t="s">
        <v>90</v>
      </c>
      <c r="C135" t="s">
        <v>91</v>
      </c>
      <c r="D135" s="1" t="s">
        <v>100</v>
      </c>
      <c r="E135" t="s">
        <v>93</v>
      </c>
      <c r="F135" t="s">
        <v>21</v>
      </c>
      <c r="G135">
        <v>10</v>
      </c>
      <c r="H135">
        <v>45</v>
      </c>
      <c r="I135" s="5">
        <f>IFERROR(VLOOKUP(TrendSheetStgData[Population]&amp;TrendSheetStgData[Cost Basis]&amp;TrendSheetStgData[Period]&amp;TrendSheetStgData[Trend],TrendSheetPrdData[#All],9,FALSE),0)</f>
        <v>45</v>
      </c>
      <c r="J1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 s="5">
        <f>VLOOKUP(TrendSheetStgData[Population]&amp;TrendSheetStgData[Trend],Threshold[#All],4,FALSE)</f>
        <v>10</v>
      </c>
      <c r="L135" s="5">
        <f>VLOOKUP(TrendSheetStgData[Population]&amp;TrendSheetStgData[Trend],Threshold[#All],5,FALSE)</f>
        <v>5</v>
      </c>
      <c r="M1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 spans="1:13" x14ac:dyDescent="0.25">
      <c r="A136" t="s">
        <v>90</v>
      </c>
      <c r="B136" t="s">
        <v>90</v>
      </c>
      <c r="C136" t="s">
        <v>91</v>
      </c>
      <c r="D136" s="1" t="s">
        <v>101</v>
      </c>
      <c r="E136" t="s">
        <v>93</v>
      </c>
      <c r="F136" t="s">
        <v>21</v>
      </c>
      <c r="G136">
        <v>10</v>
      </c>
      <c r="H136">
        <v>38</v>
      </c>
      <c r="I136" s="5">
        <f>IFERROR(VLOOKUP(TrendSheetStgData[Population]&amp;TrendSheetStgData[Cost Basis]&amp;TrendSheetStgData[Period]&amp;TrendSheetStgData[Trend],TrendSheetPrdData[#All],9,FALSE),0)</f>
        <v>38</v>
      </c>
      <c r="J1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6" s="5">
        <f>VLOOKUP(TrendSheetStgData[Population]&amp;TrendSheetStgData[Trend],Threshold[#All],4,FALSE)</f>
        <v>10</v>
      </c>
      <c r="L136" s="5">
        <f>VLOOKUP(TrendSheetStgData[Population]&amp;TrendSheetStgData[Trend],Threshold[#All],5,FALSE)</f>
        <v>5</v>
      </c>
      <c r="M1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7" spans="1:13" x14ac:dyDescent="0.25">
      <c r="A137" t="s">
        <v>90</v>
      </c>
      <c r="B137" t="s">
        <v>90</v>
      </c>
      <c r="C137" t="s">
        <v>91</v>
      </c>
      <c r="D137" s="1" t="s">
        <v>102</v>
      </c>
      <c r="E137" t="s">
        <v>93</v>
      </c>
      <c r="F137" t="s">
        <v>21</v>
      </c>
      <c r="G137">
        <v>10</v>
      </c>
      <c r="H137">
        <v>40</v>
      </c>
      <c r="I137" s="5">
        <f>IFERROR(VLOOKUP(TrendSheetStgData[Population]&amp;TrendSheetStgData[Cost Basis]&amp;TrendSheetStgData[Period]&amp;TrendSheetStgData[Trend],TrendSheetPrdData[#All],9,FALSE),0)</f>
        <v>40</v>
      </c>
      <c r="J1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7" s="5">
        <f>VLOOKUP(TrendSheetStgData[Population]&amp;TrendSheetStgData[Trend],Threshold[#All],4,FALSE)</f>
        <v>10</v>
      </c>
      <c r="L137" s="5">
        <f>VLOOKUP(TrendSheetStgData[Population]&amp;TrendSheetStgData[Trend],Threshold[#All],5,FALSE)</f>
        <v>5</v>
      </c>
      <c r="M1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8" spans="1:13" x14ac:dyDescent="0.25">
      <c r="A138" t="s">
        <v>90</v>
      </c>
      <c r="B138" t="s">
        <v>90</v>
      </c>
      <c r="C138" t="s">
        <v>91</v>
      </c>
      <c r="D138" s="1" t="s">
        <v>103</v>
      </c>
      <c r="E138" t="s">
        <v>93</v>
      </c>
      <c r="F138" t="s">
        <v>21</v>
      </c>
      <c r="G138">
        <v>10</v>
      </c>
      <c r="H138">
        <v>38</v>
      </c>
      <c r="I138" s="5">
        <f>IFERROR(VLOOKUP(TrendSheetStgData[Population]&amp;TrendSheetStgData[Cost Basis]&amp;TrendSheetStgData[Period]&amp;TrendSheetStgData[Trend],TrendSheetPrdData[#All],9,FALSE),0)</f>
        <v>38</v>
      </c>
      <c r="J1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8" s="5">
        <f>VLOOKUP(TrendSheetStgData[Population]&amp;TrendSheetStgData[Trend],Threshold[#All],4,FALSE)</f>
        <v>10</v>
      </c>
      <c r="L138" s="5">
        <f>VLOOKUP(TrendSheetStgData[Population]&amp;TrendSheetStgData[Trend],Threshold[#All],5,FALSE)</f>
        <v>5</v>
      </c>
      <c r="M1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9" spans="1:13" x14ac:dyDescent="0.25">
      <c r="A139" t="s">
        <v>90</v>
      </c>
      <c r="B139" t="s">
        <v>90</v>
      </c>
      <c r="C139" t="s">
        <v>91</v>
      </c>
      <c r="D139" s="1" t="s">
        <v>104</v>
      </c>
      <c r="E139" t="s">
        <v>93</v>
      </c>
      <c r="F139" t="s">
        <v>21</v>
      </c>
      <c r="G139">
        <v>10</v>
      </c>
      <c r="H139">
        <v>41</v>
      </c>
      <c r="I139" s="5">
        <f>IFERROR(VLOOKUP(TrendSheetStgData[Population]&amp;TrendSheetStgData[Cost Basis]&amp;TrendSheetStgData[Period]&amp;TrendSheetStgData[Trend],TrendSheetPrdData[#All],9,FALSE),0)</f>
        <v>37</v>
      </c>
      <c r="J1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10.810810810810811</v>
      </c>
      <c r="K139" s="5">
        <f>VLOOKUP(TrendSheetStgData[Population]&amp;TrendSheetStgData[Trend],Threshold[#All],4,FALSE)</f>
        <v>10</v>
      </c>
      <c r="L139" s="5">
        <f>VLOOKUP(TrendSheetStgData[Population]&amp;TrendSheetStgData[Trend],Threshold[#All],5,FALSE)</f>
        <v>5</v>
      </c>
      <c r="M1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0" spans="1:13" x14ac:dyDescent="0.25">
      <c r="A140" t="s">
        <v>90</v>
      </c>
      <c r="B140" t="s">
        <v>90</v>
      </c>
      <c r="C140" t="s">
        <v>91</v>
      </c>
      <c r="D140" s="1" t="s">
        <v>105</v>
      </c>
      <c r="E140" t="s">
        <v>106</v>
      </c>
      <c r="F140" t="s">
        <v>21</v>
      </c>
      <c r="G140">
        <v>10</v>
      </c>
      <c r="H140">
        <v>37</v>
      </c>
      <c r="I140" s="5">
        <f>IFERROR(VLOOKUP(TrendSheetStgData[Population]&amp;TrendSheetStgData[Cost Basis]&amp;TrendSheetStgData[Period]&amp;TrendSheetStgData[Trend],TrendSheetPrdData[#All],9,FALSE),0)</f>
        <v>14</v>
      </c>
      <c r="J1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164.28571428571428</v>
      </c>
      <c r="K140" s="5">
        <f>VLOOKUP(TrendSheetStgData[Population]&amp;TrendSheetStgData[Trend],Threshold[#All],4,FALSE)</f>
        <v>10</v>
      </c>
      <c r="L140" s="5">
        <f>VLOOKUP(TrendSheetStgData[Population]&amp;TrendSheetStgData[Trend],Threshold[#All],5,FALSE)</f>
        <v>5</v>
      </c>
      <c r="M1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1" spans="1:13" x14ac:dyDescent="0.25">
      <c r="A141" t="s">
        <v>90</v>
      </c>
      <c r="B141" t="s">
        <v>90</v>
      </c>
      <c r="C141" t="s">
        <v>91</v>
      </c>
      <c r="D141" s="1" t="s">
        <v>107</v>
      </c>
      <c r="E141" t="s">
        <v>106</v>
      </c>
      <c r="F141" t="s">
        <v>21</v>
      </c>
      <c r="G141">
        <v>10</v>
      </c>
      <c r="H141">
        <v>10</v>
      </c>
      <c r="I141" s="5">
        <f>IFERROR(VLOOKUP(TrendSheetStgData[Population]&amp;TrendSheetStgData[Cost Basis]&amp;TrendSheetStgData[Period]&amp;TrendSheetStgData[Trend],TrendSheetPrdData[#All],9,FALSE),0)</f>
        <v>0</v>
      </c>
      <c r="J1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41" s="5">
        <f>VLOOKUP(TrendSheetStgData[Population]&amp;TrendSheetStgData[Trend],Threshold[#All],4,FALSE)</f>
        <v>10</v>
      </c>
      <c r="L141" s="5">
        <f>VLOOKUP(TrendSheetStgData[Population]&amp;TrendSheetStgData[Trend],Threshold[#All],5,FALSE)</f>
        <v>5</v>
      </c>
      <c r="M1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2" spans="1:13" x14ac:dyDescent="0.25">
      <c r="A142" t="s">
        <v>90</v>
      </c>
      <c r="B142" t="s">
        <v>90</v>
      </c>
      <c r="C142" t="s">
        <v>91</v>
      </c>
      <c r="D142" s="1" t="s">
        <v>92</v>
      </c>
      <c r="E142" t="s">
        <v>93</v>
      </c>
      <c r="F142" t="s">
        <v>22</v>
      </c>
      <c r="G142">
        <v>11</v>
      </c>
      <c r="H142">
        <v>4</v>
      </c>
      <c r="I142" s="5">
        <f>IFERROR(VLOOKUP(TrendSheetStgData[Population]&amp;TrendSheetStgData[Cost Basis]&amp;TrendSheetStgData[Period]&amp;TrendSheetStgData[Trend],TrendSheetPrdData[#All],9,FALSE),0)</f>
        <v>4</v>
      </c>
      <c r="J1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2" s="5">
        <f>VLOOKUP(TrendSheetStgData[Population]&amp;TrendSheetStgData[Trend],Threshold[#All],4,FALSE)</f>
        <v>10</v>
      </c>
      <c r="L142" s="5">
        <f>VLOOKUP(TrendSheetStgData[Population]&amp;TrendSheetStgData[Trend],Threshold[#All],5,FALSE)</f>
        <v>5</v>
      </c>
      <c r="M1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 spans="1:13" x14ac:dyDescent="0.25">
      <c r="A143" t="s">
        <v>90</v>
      </c>
      <c r="B143" t="s">
        <v>90</v>
      </c>
      <c r="C143" t="s">
        <v>91</v>
      </c>
      <c r="D143" s="1" t="s">
        <v>94</v>
      </c>
      <c r="E143" t="s">
        <v>93</v>
      </c>
      <c r="F143" t="s">
        <v>22</v>
      </c>
      <c r="G143">
        <v>11</v>
      </c>
      <c r="H143">
        <v>1</v>
      </c>
      <c r="I143" s="5">
        <f>IFERROR(VLOOKUP(TrendSheetStgData[Population]&amp;TrendSheetStgData[Cost Basis]&amp;TrendSheetStgData[Period]&amp;TrendSheetStgData[Trend],TrendSheetPrdData[#All],9,FALSE),0)</f>
        <v>1</v>
      </c>
      <c r="J1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 s="5">
        <f>VLOOKUP(TrendSheetStgData[Population]&amp;TrendSheetStgData[Trend],Threshold[#All],4,FALSE)</f>
        <v>10</v>
      </c>
      <c r="L143" s="5">
        <f>VLOOKUP(TrendSheetStgData[Population]&amp;TrendSheetStgData[Trend],Threshold[#All],5,FALSE)</f>
        <v>5</v>
      </c>
      <c r="M1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 spans="1:13" x14ac:dyDescent="0.25">
      <c r="A144" t="s">
        <v>90</v>
      </c>
      <c r="B144" t="s">
        <v>90</v>
      </c>
      <c r="C144" t="s">
        <v>91</v>
      </c>
      <c r="D144" s="1" t="s">
        <v>95</v>
      </c>
      <c r="E144" t="s">
        <v>93</v>
      </c>
      <c r="F144" t="s">
        <v>22</v>
      </c>
      <c r="G144">
        <v>11</v>
      </c>
      <c r="H144">
        <v>0</v>
      </c>
      <c r="I144" s="5">
        <f>IFERROR(VLOOKUP(TrendSheetStgData[Population]&amp;TrendSheetStgData[Cost Basis]&amp;TrendSheetStgData[Period]&amp;TrendSheetStgData[Trend],TrendSheetPrdData[#All],9,FALSE),0)</f>
        <v>0</v>
      </c>
      <c r="J1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 s="5">
        <f>VLOOKUP(TrendSheetStgData[Population]&amp;TrendSheetStgData[Trend],Threshold[#All],4,FALSE)</f>
        <v>10</v>
      </c>
      <c r="L144" s="5">
        <f>VLOOKUP(TrendSheetStgData[Population]&amp;TrendSheetStgData[Trend],Threshold[#All],5,FALSE)</f>
        <v>5</v>
      </c>
      <c r="M1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5" spans="1:13" x14ac:dyDescent="0.25">
      <c r="A145" t="s">
        <v>90</v>
      </c>
      <c r="B145" t="s">
        <v>90</v>
      </c>
      <c r="C145" t="s">
        <v>91</v>
      </c>
      <c r="D145" s="1" t="s">
        <v>96</v>
      </c>
      <c r="E145" t="s">
        <v>93</v>
      </c>
      <c r="F145" t="s">
        <v>22</v>
      </c>
      <c r="G145">
        <v>11</v>
      </c>
      <c r="H145">
        <v>0</v>
      </c>
      <c r="I145" s="5">
        <f>IFERROR(VLOOKUP(TrendSheetStgData[Population]&amp;TrendSheetStgData[Cost Basis]&amp;TrendSheetStgData[Period]&amp;TrendSheetStgData[Trend],TrendSheetPrdData[#All],9,FALSE),0)</f>
        <v>0</v>
      </c>
      <c r="J1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5" s="5">
        <f>VLOOKUP(TrendSheetStgData[Population]&amp;TrendSheetStgData[Trend],Threshold[#All],4,FALSE)</f>
        <v>10</v>
      </c>
      <c r="L145" s="5">
        <f>VLOOKUP(TrendSheetStgData[Population]&amp;TrendSheetStgData[Trend],Threshold[#All],5,FALSE)</f>
        <v>5</v>
      </c>
      <c r="M1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6" spans="1:13" x14ac:dyDescent="0.25">
      <c r="A146" t="s">
        <v>90</v>
      </c>
      <c r="B146" t="s">
        <v>90</v>
      </c>
      <c r="C146" t="s">
        <v>91</v>
      </c>
      <c r="D146" s="1" t="s">
        <v>97</v>
      </c>
      <c r="E146" t="s">
        <v>93</v>
      </c>
      <c r="F146" t="s">
        <v>22</v>
      </c>
      <c r="G146">
        <v>11</v>
      </c>
      <c r="H146">
        <v>4</v>
      </c>
      <c r="I146" s="5">
        <f>IFERROR(VLOOKUP(TrendSheetStgData[Population]&amp;TrendSheetStgData[Cost Basis]&amp;TrendSheetStgData[Period]&amp;TrendSheetStgData[Trend],TrendSheetPrdData[#All],9,FALSE),0)</f>
        <v>4</v>
      </c>
      <c r="J1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6" s="5">
        <f>VLOOKUP(TrendSheetStgData[Population]&amp;TrendSheetStgData[Trend],Threshold[#All],4,FALSE)</f>
        <v>10</v>
      </c>
      <c r="L146" s="5">
        <f>VLOOKUP(TrendSheetStgData[Population]&amp;TrendSheetStgData[Trend],Threshold[#All],5,FALSE)</f>
        <v>5</v>
      </c>
      <c r="M1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 spans="1:13" x14ac:dyDescent="0.25">
      <c r="A147" t="s">
        <v>90</v>
      </c>
      <c r="B147" t="s">
        <v>90</v>
      </c>
      <c r="C147" t="s">
        <v>91</v>
      </c>
      <c r="D147" s="1" t="s">
        <v>98</v>
      </c>
      <c r="E147" t="s">
        <v>93</v>
      </c>
      <c r="F147" t="s">
        <v>22</v>
      </c>
      <c r="G147">
        <v>11</v>
      </c>
      <c r="H147">
        <v>3</v>
      </c>
      <c r="I147" s="5">
        <f>IFERROR(VLOOKUP(TrendSheetStgData[Population]&amp;TrendSheetStgData[Cost Basis]&amp;TrendSheetStgData[Period]&amp;TrendSheetStgData[Trend],TrendSheetPrdData[#All],9,FALSE),0)</f>
        <v>3</v>
      </c>
      <c r="J1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 s="5">
        <f>VLOOKUP(TrendSheetStgData[Population]&amp;TrendSheetStgData[Trend],Threshold[#All],4,FALSE)</f>
        <v>10</v>
      </c>
      <c r="L147" s="5">
        <f>VLOOKUP(TrendSheetStgData[Population]&amp;TrendSheetStgData[Trend],Threshold[#All],5,FALSE)</f>
        <v>5</v>
      </c>
      <c r="M1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 spans="1:13" x14ac:dyDescent="0.25">
      <c r="A148" t="s">
        <v>90</v>
      </c>
      <c r="B148" t="s">
        <v>90</v>
      </c>
      <c r="C148" t="s">
        <v>91</v>
      </c>
      <c r="D148" s="1" t="s">
        <v>99</v>
      </c>
      <c r="E148" t="s">
        <v>93</v>
      </c>
      <c r="F148" t="s">
        <v>22</v>
      </c>
      <c r="G148">
        <v>11</v>
      </c>
      <c r="H148">
        <v>1</v>
      </c>
      <c r="I148" s="5">
        <f>IFERROR(VLOOKUP(TrendSheetStgData[Population]&amp;TrendSheetStgData[Cost Basis]&amp;TrendSheetStgData[Period]&amp;TrendSheetStgData[Trend],TrendSheetPrdData[#All],9,FALSE),0)</f>
        <v>1</v>
      </c>
      <c r="J1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 s="5">
        <f>VLOOKUP(TrendSheetStgData[Population]&amp;TrendSheetStgData[Trend],Threshold[#All],4,FALSE)</f>
        <v>10</v>
      </c>
      <c r="L148" s="5">
        <f>VLOOKUP(TrendSheetStgData[Population]&amp;TrendSheetStgData[Trend],Threshold[#All],5,FALSE)</f>
        <v>5</v>
      </c>
      <c r="M1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 spans="1:13" x14ac:dyDescent="0.25">
      <c r="A149" t="s">
        <v>90</v>
      </c>
      <c r="B149" t="s">
        <v>90</v>
      </c>
      <c r="C149" t="s">
        <v>91</v>
      </c>
      <c r="D149" s="1" t="s">
        <v>100</v>
      </c>
      <c r="E149" t="s">
        <v>93</v>
      </c>
      <c r="F149" t="s">
        <v>22</v>
      </c>
      <c r="G149">
        <v>11</v>
      </c>
      <c r="H149">
        <v>3</v>
      </c>
      <c r="I149" s="5">
        <f>IFERROR(VLOOKUP(TrendSheetStgData[Population]&amp;TrendSheetStgData[Cost Basis]&amp;TrendSheetStgData[Period]&amp;TrendSheetStgData[Trend],TrendSheetPrdData[#All],9,FALSE),0)</f>
        <v>3</v>
      </c>
      <c r="J1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9" s="5">
        <f>VLOOKUP(TrendSheetStgData[Population]&amp;TrendSheetStgData[Trend],Threshold[#All],4,FALSE)</f>
        <v>10</v>
      </c>
      <c r="L149" s="5">
        <f>VLOOKUP(TrendSheetStgData[Population]&amp;TrendSheetStgData[Trend],Threshold[#All],5,FALSE)</f>
        <v>5</v>
      </c>
      <c r="M1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0" spans="1:13" x14ac:dyDescent="0.25">
      <c r="A150" t="s">
        <v>90</v>
      </c>
      <c r="B150" t="s">
        <v>90</v>
      </c>
      <c r="C150" t="s">
        <v>91</v>
      </c>
      <c r="D150" s="1" t="s">
        <v>101</v>
      </c>
      <c r="E150" t="s">
        <v>93</v>
      </c>
      <c r="F150" t="s">
        <v>22</v>
      </c>
      <c r="G150">
        <v>11</v>
      </c>
      <c r="H150">
        <v>1</v>
      </c>
      <c r="I150" s="5">
        <f>IFERROR(VLOOKUP(TrendSheetStgData[Population]&amp;TrendSheetStgData[Cost Basis]&amp;TrendSheetStgData[Period]&amp;TrendSheetStgData[Trend],TrendSheetPrdData[#All],9,FALSE),0)</f>
        <v>1</v>
      </c>
      <c r="J1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0" s="5">
        <f>VLOOKUP(TrendSheetStgData[Population]&amp;TrendSheetStgData[Trend],Threshold[#All],4,FALSE)</f>
        <v>10</v>
      </c>
      <c r="L150" s="5">
        <f>VLOOKUP(TrendSheetStgData[Population]&amp;TrendSheetStgData[Trend],Threshold[#All],5,FALSE)</f>
        <v>5</v>
      </c>
      <c r="M1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 spans="1:13" x14ac:dyDescent="0.25">
      <c r="A151" t="s">
        <v>90</v>
      </c>
      <c r="B151" t="s">
        <v>90</v>
      </c>
      <c r="C151" t="s">
        <v>91</v>
      </c>
      <c r="D151" s="1" t="s">
        <v>102</v>
      </c>
      <c r="E151" t="s">
        <v>93</v>
      </c>
      <c r="F151" t="s">
        <v>22</v>
      </c>
      <c r="G151">
        <v>11</v>
      </c>
      <c r="H151">
        <v>3</v>
      </c>
      <c r="I151" s="5">
        <f>IFERROR(VLOOKUP(TrendSheetStgData[Population]&amp;TrendSheetStgData[Cost Basis]&amp;TrendSheetStgData[Period]&amp;TrendSheetStgData[Trend],TrendSheetPrdData[#All],9,FALSE),0)</f>
        <v>3</v>
      </c>
      <c r="J1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 s="5">
        <f>VLOOKUP(TrendSheetStgData[Population]&amp;TrendSheetStgData[Trend],Threshold[#All],4,FALSE)</f>
        <v>10</v>
      </c>
      <c r="L151" s="5">
        <f>VLOOKUP(TrendSheetStgData[Population]&amp;TrendSheetStgData[Trend],Threshold[#All],5,FALSE)</f>
        <v>5</v>
      </c>
      <c r="M1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 spans="1:13" x14ac:dyDescent="0.25">
      <c r="A152" t="s">
        <v>90</v>
      </c>
      <c r="B152" t="s">
        <v>90</v>
      </c>
      <c r="C152" t="s">
        <v>91</v>
      </c>
      <c r="D152" s="1" t="s">
        <v>103</v>
      </c>
      <c r="E152" t="s">
        <v>93</v>
      </c>
      <c r="F152" t="s">
        <v>22</v>
      </c>
      <c r="G152">
        <v>11</v>
      </c>
      <c r="H152">
        <v>4</v>
      </c>
      <c r="I152" s="5">
        <f>IFERROR(VLOOKUP(TrendSheetStgData[Population]&amp;TrendSheetStgData[Cost Basis]&amp;TrendSheetStgData[Period]&amp;TrendSheetStgData[Trend],TrendSheetPrdData[#All],9,FALSE),0)</f>
        <v>4</v>
      </c>
      <c r="J1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 s="5">
        <f>VLOOKUP(TrendSheetStgData[Population]&amp;TrendSheetStgData[Trend],Threshold[#All],4,FALSE)</f>
        <v>10</v>
      </c>
      <c r="L152" s="5">
        <f>VLOOKUP(TrendSheetStgData[Population]&amp;TrendSheetStgData[Trend],Threshold[#All],5,FALSE)</f>
        <v>5</v>
      </c>
      <c r="M1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 spans="1:13" x14ac:dyDescent="0.25">
      <c r="A153" t="s">
        <v>90</v>
      </c>
      <c r="B153" t="s">
        <v>90</v>
      </c>
      <c r="C153" t="s">
        <v>91</v>
      </c>
      <c r="D153" s="1" t="s">
        <v>104</v>
      </c>
      <c r="E153" t="s">
        <v>93</v>
      </c>
      <c r="F153" t="s">
        <v>22</v>
      </c>
      <c r="G153">
        <v>11</v>
      </c>
      <c r="H153">
        <v>1</v>
      </c>
      <c r="I153" s="5">
        <f>IFERROR(VLOOKUP(TrendSheetStgData[Population]&amp;TrendSheetStgData[Cost Basis]&amp;TrendSheetStgData[Period]&amp;TrendSheetStgData[Trend],TrendSheetPrdData[#All],9,FALSE),0)</f>
        <v>1</v>
      </c>
      <c r="J1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 s="5">
        <f>VLOOKUP(TrendSheetStgData[Population]&amp;TrendSheetStgData[Trend],Threshold[#All],4,FALSE)</f>
        <v>10</v>
      </c>
      <c r="L153" s="5">
        <f>VLOOKUP(TrendSheetStgData[Population]&amp;TrendSheetStgData[Trend],Threshold[#All],5,FALSE)</f>
        <v>5</v>
      </c>
      <c r="M1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 spans="1:13" x14ac:dyDescent="0.25">
      <c r="A154" t="s">
        <v>90</v>
      </c>
      <c r="B154" t="s">
        <v>90</v>
      </c>
      <c r="C154" t="s">
        <v>91</v>
      </c>
      <c r="D154" s="1" t="s">
        <v>105</v>
      </c>
      <c r="E154" t="s">
        <v>106</v>
      </c>
      <c r="F154" t="s">
        <v>22</v>
      </c>
      <c r="G154">
        <v>11</v>
      </c>
      <c r="H154">
        <v>2</v>
      </c>
      <c r="I154" s="5">
        <f>IFERROR(VLOOKUP(TrendSheetStgData[Population]&amp;TrendSheetStgData[Cost Basis]&amp;TrendSheetStgData[Period]&amp;TrendSheetStgData[Trend],TrendSheetPrdData[#All],9,FALSE),0)</f>
        <v>2</v>
      </c>
      <c r="J1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 s="5">
        <f>VLOOKUP(TrendSheetStgData[Population]&amp;TrendSheetStgData[Trend],Threshold[#All],4,FALSE)</f>
        <v>10</v>
      </c>
      <c r="L154" s="5">
        <f>VLOOKUP(TrendSheetStgData[Population]&amp;TrendSheetStgData[Trend],Threshold[#All],5,FALSE)</f>
        <v>5</v>
      </c>
      <c r="M1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 spans="1:13" x14ac:dyDescent="0.25">
      <c r="A155" t="s">
        <v>90</v>
      </c>
      <c r="B155" t="s">
        <v>90</v>
      </c>
      <c r="C155" t="s">
        <v>91</v>
      </c>
      <c r="D155" s="1" t="s">
        <v>107</v>
      </c>
      <c r="E155" t="s">
        <v>106</v>
      </c>
      <c r="F155" t="s">
        <v>22</v>
      </c>
      <c r="G155">
        <v>11</v>
      </c>
      <c r="H155">
        <v>2</v>
      </c>
      <c r="I155" s="5">
        <f>IFERROR(VLOOKUP(TrendSheetStgData[Population]&amp;TrendSheetStgData[Cost Basis]&amp;TrendSheetStgData[Period]&amp;TrendSheetStgData[Trend],TrendSheetPrdData[#All],9,FALSE),0)</f>
        <v>0</v>
      </c>
      <c r="J1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55" s="5">
        <f>VLOOKUP(TrendSheetStgData[Population]&amp;TrendSheetStgData[Trend],Threshold[#All],4,FALSE)</f>
        <v>10</v>
      </c>
      <c r="L155" s="5">
        <f>VLOOKUP(TrendSheetStgData[Population]&amp;TrendSheetStgData[Trend],Threshold[#All],5,FALSE)</f>
        <v>5</v>
      </c>
      <c r="M1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6" spans="1:13" x14ac:dyDescent="0.25">
      <c r="A156" t="s">
        <v>90</v>
      </c>
      <c r="B156" t="s">
        <v>90</v>
      </c>
      <c r="C156" t="s">
        <v>91</v>
      </c>
      <c r="D156" s="1" t="s">
        <v>92</v>
      </c>
      <c r="E156" t="s">
        <v>93</v>
      </c>
      <c r="F156" t="s">
        <v>23</v>
      </c>
      <c r="G156">
        <v>12</v>
      </c>
      <c r="H156">
        <v>8</v>
      </c>
      <c r="I156" s="5">
        <f>IFERROR(VLOOKUP(TrendSheetStgData[Population]&amp;TrendSheetStgData[Cost Basis]&amp;TrendSheetStgData[Period]&amp;TrendSheetStgData[Trend],TrendSheetPrdData[#All],9,FALSE),0)</f>
        <v>8</v>
      </c>
      <c r="J1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 s="5">
        <f>VLOOKUP(TrendSheetStgData[Population]&amp;TrendSheetStgData[Trend],Threshold[#All],4,FALSE)</f>
        <v>10</v>
      </c>
      <c r="L156" s="5">
        <f>VLOOKUP(TrendSheetStgData[Population]&amp;TrendSheetStgData[Trend],Threshold[#All],5,FALSE)</f>
        <v>5</v>
      </c>
      <c r="M1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7" spans="1:13" x14ac:dyDescent="0.25">
      <c r="A157" t="s">
        <v>90</v>
      </c>
      <c r="B157" t="s">
        <v>90</v>
      </c>
      <c r="C157" t="s">
        <v>91</v>
      </c>
      <c r="D157" s="1" t="s">
        <v>94</v>
      </c>
      <c r="E157" t="s">
        <v>93</v>
      </c>
      <c r="F157" t="s">
        <v>23</v>
      </c>
      <c r="G157">
        <v>12</v>
      </c>
      <c r="H157">
        <v>5</v>
      </c>
      <c r="I157" s="5">
        <f>IFERROR(VLOOKUP(TrendSheetStgData[Population]&amp;TrendSheetStgData[Cost Basis]&amp;TrendSheetStgData[Period]&amp;TrendSheetStgData[Trend],TrendSheetPrdData[#All],9,FALSE),0)</f>
        <v>5</v>
      </c>
      <c r="J1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7" s="5">
        <f>VLOOKUP(TrendSheetStgData[Population]&amp;TrendSheetStgData[Trend],Threshold[#All],4,FALSE)</f>
        <v>10</v>
      </c>
      <c r="L157" s="5">
        <f>VLOOKUP(TrendSheetStgData[Population]&amp;TrendSheetStgData[Trend],Threshold[#All],5,FALSE)</f>
        <v>5</v>
      </c>
      <c r="M1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8" spans="1:13" x14ac:dyDescent="0.25">
      <c r="A158" t="s">
        <v>90</v>
      </c>
      <c r="B158" t="s">
        <v>90</v>
      </c>
      <c r="C158" t="s">
        <v>91</v>
      </c>
      <c r="D158" s="1" t="s">
        <v>95</v>
      </c>
      <c r="E158" t="s">
        <v>93</v>
      </c>
      <c r="F158" t="s">
        <v>23</v>
      </c>
      <c r="G158">
        <v>12</v>
      </c>
      <c r="H158">
        <v>8</v>
      </c>
      <c r="I158" s="5">
        <f>IFERROR(VLOOKUP(TrendSheetStgData[Population]&amp;TrendSheetStgData[Cost Basis]&amp;TrendSheetStgData[Period]&amp;TrendSheetStgData[Trend],TrendSheetPrdData[#All],9,FALSE),0)</f>
        <v>8</v>
      </c>
      <c r="J1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8" s="5">
        <f>VLOOKUP(TrendSheetStgData[Population]&amp;TrendSheetStgData[Trend],Threshold[#All],4,FALSE)</f>
        <v>10</v>
      </c>
      <c r="L158" s="5">
        <f>VLOOKUP(TrendSheetStgData[Population]&amp;TrendSheetStgData[Trend],Threshold[#All],5,FALSE)</f>
        <v>5</v>
      </c>
      <c r="M1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9" spans="1:13" x14ac:dyDescent="0.25">
      <c r="A159" t="s">
        <v>90</v>
      </c>
      <c r="B159" t="s">
        <v>90</v>
      </c>
      <c r="C159" t="s">
        <v>91</v>
      </c>
      <c r="D159" s="1" t="s">
        <v>96</v>
      </c>
      <c r="E159" t="s">
        <v>93</v>
      </c>
      <c r="F159" t="s">
        <v>23</v>
      </c>
      <c r="G159">
        <v>12</v>
      </c>
      <c r="H159">
        <v>7</v>
      </c>
      <c r="I159" s="5">
        <f>IFERROR(VLOOKUP(TrendSheetStgData[Population]&amp;TrendSheetStgData[Cost Basis]&amp;TrendSheetStgData[Period]&amp;TrendSheetStgData[Trend],TrendSheetPrdData[#All],9,FALSE),0)</f>
        <v>7</v>
      </c>
      <c r="J1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9" s="5">
        <f>VLOOKUP(TrendSheetStgData[Population]&amp;TrendSheetStgData[Trend],Threshold[#All],4,FALSE)</f>
        <v>10</v>
      </c>
      <c r="L159" s="5">
        <f>VLOOKUP(TrendSheetStgData[Population]&amp;TrendSheetStgData[Trend],Threshold[#All],5,FALSE)</f>
        <v>5</v>
      </c>
      <c r="M1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0" spans="1:13" x14ac:dyDescent="0.25">
      <c r="A160" t="s">
        <v>90</v>
      </c>
      <c r="B160" t="s">
        <v>90</v>
      </c>
      <c r="C160" t="s">
        <v>91</v>
      </c>
      <c r="D160" s="1" t="s">
        <v>97</v>
      </c>
      <c r="E160" t="s">
        <v>93</v>
      </c>
      <c r="F160" t="s">
        <v>23</v>
      </c>
      <c r="G160">
        <v>12</v>
      </c>
      <c r="H160">
        <v>7</v>
      </c>
      <c r="I160" s="5">
        <f>IFERROR(VLOOKUP(TrendSheetStgData[Population]&amp;TrendSheetStgData[Cost Basis]&amp;TrendSheetStgData[Period]&amp;TrendSheetStgData[Trend],TrendSheetPrdData[#All],9,FALSE),0)</f>
        <v>7</v>
      </c>
      <c r="J1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0" s="5">
        <f>VLOOKUP(TrendSheetStgData[Population]&amp;TrendSheetStgData[Trend],Threshold[#All],4,FALSE)</f>
        <v>10</v>
      </c>
      <c r="L160" s="5">
        <f>VLOOKUP(TrendSheetStgData[Population]&amp;TrendSheetStgData[Trend],Threshold[#All],5,FALSE)</f>
        <v>5</v>
      </c>
      <c r="M1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1" spans="1:13" x14ac:dyDescent="0.25">
      <c r="A161" t="s">
        <v>90</v>
      </c>
      <c r="B161" t="s">
        <v>90</v>
      </c>
      <c r="C161" t="s">
        <v>91</v>
      </c>
      <c r="D161" s="1" t="s">
        <v>98</v>
      </c>
      <c r="E161" t="s">
        <v>93</v>
      </c>
      <c r="F161" t="s">
        <v>23</v>
      </c>
      <c r="G161">
        <v>12</v>
      </c>
      <c r="H161">
        <v>10</v>
      </c>
      <c r="I161" s="5">
        <f>IFERROR(VLOOKUP(TrendSheetStgData[Population]&amp;TrendSheetStgData[Cost Basis]&amp;TrendSheetStgData[Period]&amp;TrendSheetStgData[Trend],TrendSheetPrdData[#All],9,FALSE),0)</f>
        <v>10</v>
      </c>
      <c r="J1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1" s="5">
        <f>VLOOKUP(TrendSheetStgData[Population]&amp;TrendSheetStgData[Trend],Threshold[#All],4,FALSE)</f>
        <v>10</v>
      </c>
      <c r="L161" s="5">
        <f>VLOOKUP(TrendSheetStgData[Population]&amp;TrendSheetStgData[Trend],Threshold[#All],5,FALSE)</f>
        <v>5</v>
      </c>
      <c r="M1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2" spans="1:13" x14ac:dyDescent="0.25">
      <c r="A162" t="s">
        <v>90</v>
      </c>
      <c r="B162" t="s">
        <v>90</v>
      </c>
      <c r="C162" t="s">
        <v>91</v>
      </c>
      <c r="D162" s="1" t="s">
        <v>99</v>
      </c>
      <c r="E162" t="s">
        <v>93</v>
      </c>
      <c r="F162" t="s">
        <v>23</v>
      </c>
      <c r="G162">
        <v>12</v>
      </c>
      <c r="H162">
        <v>14</v>
      </c>
      <c r="I162" s="5">
        <f>IFERROR(VLOOKUP(TrendSheetStgData[Population]&amp;TrendSheetStgData[Cost Basis]&amp;TrendSheetStgData[Period]&amp;TrendSheetStgData[Trend],TrendSheetPrdData[#All],9,FALSE),0)</f>
        <v>14</v>
      </c>
      <c r="J1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2" s="5">
        <f>VLOOKUP(TrendSheetStgData[Population]&amp;TrendSheetStgData[Trend],Threshold[#All],4,FALSE)</f>
        <v>10</v>
      </c>
      <c r="L162" s="5">
        <f>VLOOKUP(TrendSheetStgData[Population]&amp;TrendSheetStgData[Trend],Threshold[#All],5,FALSE)</f>
        <v>5</v>
      </c>
      <c r="M1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3" spans="1:13" x14ac:dyDescent="0.25">
      <c r="A163" t="s">
        <v>90</v>
      </c>
      <c r="B163" t="s">
        <v>90</v>
      </c>
      <c r="C163" t="s">
        <v>91</v>
      </c>
      <c r="D163" s="1" t="s">
        <v>100</v>
      </c>
      <c r="E163" t="s">
        <v>93</v>
      </c>
      <c r="F163" t="s">
        <v>23</v>
      </c>
      <c r="G163">
        <v>12</v>
      </c>
      <c r="H163">
        <v>8</v>
      </c>
      <c r="I163" s="5">
        <f>IFERROR(VLOOKUP(TrendSheetStgData[Population]&amp;TrendSheetStgData[Cost Basis]&amp;TrendSheetStgData[Period]&amp;TrendSheetStgData[Trend],TrendSheetPrdData[#All],9,FALSE),0)</f>
        <v>8</v>
      </c>
      <c r="J1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3" s="5">
        <f>VLOOKUP(TrendSheetStgData[Population]&amp;TrendSheetStgData[Trend],Threshold[#All],4,FALSE)</f>
        <v>10</v>
      </c>
      <c r="L163" s="5">
        <f>VLOOKUP(TrendSheetStgData[Population]&amp;TrendSheetStgData[Trend],Threshold[#All],5,FALSE)</f>
        <v>5</v>
      </c>
      <c r="M1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4" spans="1:13" x14ac:dyDescent="0.25">
      <c r="A164" t="s">
        <v>90</v>
      </c>
      <c r="B164" t="s">
        <v>90</v>
      </c>
      <c r="C164" t="s">
        <v>91</v>
      </c>
      <c r="D164" s="1" t="s">
        <v>101</v>
      </c>
      <c r="E164" t="s">
        <v>93</v>
      </c>
      <c r="F164" t="s">
        <v>23</v>
      </c>
      <c r="G164">
        <v>12</v>
      </c>
      <c r="H164">
        <v>8</v>
      </c>
      <c r="I164" s="5">
        <f>IFERROR(VLOOKUP(TrendSheetStgData[Population]&amp;TrendSheetStgData[Cost Basis]&amp;TrendSheetStgData[Period]&amp;TrendSheetStgData[Trend],TrendSheetPrdData[#All],9,FALSE),0)</f>
        <v>8</v>
      </c>
      <c r="J1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4" s="5">
        <f>VLOOKUP(TrendSheetStgData[Population]&amp;TrendSheetStgData[Trend],Threshold[#All],4,FALSE)</f>
        <v>10</v>
      </c>
      <c r="L164" s="5">
        <f>VLOOKUP(TrendSheetStgData[Population]&amp;TrendSheetStgData[Trend],Threshold[#All],5,FALSE)</f>
        <v>5</v>
      </c>
      <c r="M1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5" spans="1:13" x14ac:dyDescent="0.25">
      <c r="A165" t="s">
        <v>90</v>
      </c>
      <c r="B165" t="s">
        <v>90</v>
      </c>
      <c r="C165" t="s">
        <v>91</v>
      </c>
      <c r="D165" s="1" t="s">
        <v>102</v>
      </c>
      <c r="E165" t="s">
        <v>93</v>
      </c>
      <c r="F165" t="s">
        <v>23</v>
      </c>
      <c r="G165">
        <v>12</v>
      </c>
      <c r="H165">
        <v>6</v>
      </c>
      <c r="I165" s="5">
        <f>IFERROR(VLOOKUP(TrendSheetStgData[Population]&amp;TrendSheetStgData[Cost Basis]&amp;TrendSheetStgData[Period]&amp;TrendSheetStgData[Trend],TrendSheetPrdData[#All],9,FALSE),0)</f>
        <v>6</v>
      </c>
      <c r="J1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5" s="5">
        <f>VLOOKUP(TrendSheetStgData[Population]&amp;TrendSheetStgData[Trend],Threshold[#All],4,FALSE)</f>
        <v>10</v>
      </c>
      <c r="L165" s="5">
        <f>VLOOKUP(TrendSheetStgData[Population]&amp;TrendSheetStgData[Trend],Threshold[#All],5,FALSE)</f>
        <v>5</v>
      </c>
      <c r="M1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6" spans="1:13" x14ac:dyDescent="0.25">
      <c r="A166" t="s">
        <v>90</v>
      </c>
      <c r="B166" t="s">
        <v>90</v>
      </c>
      <c r="C166" t="s">
        <v>91</v>
      </c>
      <c r="D166" s="1" t="s">
        <v>103</v>
      </c>
      <c r="E166" t="s">
        <v>93</v>
      </c>
      <c r="F166" t="s">
        <v>23</v>
      </c>
      <c r="G166">
        <v>12</v>
      </c>
      <c r="H166">
        <v>6</v>
      </c>
      <c r="I166" s="5">
        <f>IFERROR(VLOOKUP(TrendSheetStgData[Population]&amp;TrendSheetStgData[Cost Basis]&amp;TrendSheetStgData[Period]&amp;TrendSheetStgData[Trend],TrendSheetPrdData[#All],9,FALSE),0)</f>
        <v>6</v>
      </c>
      <c r="J1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6" s="5">
        <f>VLOOKUP(TrendSheetStgData[Population]&amp;TrendSheetStgData[Trend],Threshold[#All],4,FALSE)</f>
        <v>10</v>
      </c>
      <c r="L166" s="5">
        <f>VLOOKUP(TrendSheetStgData[Population]&amp;TrendSheetStgData[Trend],Threshold[#All],5,FALSE)</f>
        <v>5</v>
      </c>
      <c r="M1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7" spans="1:13" x14ac:dyDescent="0.25">
      <c r="A167" t="s">
        <v>90</v>
      </c>
      <c r="B167" t="s">
        <v>90</v>
      </c>
      <c r="C167" t="s">
        <v>91</v>
      </c>
      <c r="D167" s="1" t="s">
        <v>104</v>
      </c>
      <c r="E167" t="s">
        <v>93</v>
      </c>
      <c r="F167" t="s">
        <v>23</v>
      </c>
      <c r="G167">
        <v>12</v>
      </c>
      <c r="H167">
        <v>5</v>
      </c>
      <c r="I167" s="5">
        <f>IFERROR(VLOOKUP(TrendSheetStgData[Population]&amp;TrendSheetStgData[Cost Basis]&amp;TrendSheetStgData[Period]&amp;TrendSheetStgData[Trend],TrendSheetPrdData[#All],9,FALSE),0)</f>
        <v>5</v>
      </c>
      <c r="J1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7" s="5">
        <f>VLOOKUP(TrendSheetStgData[Population]&amp;TrendSheetStgData[Trend],Threshold[#All],4,FALSE)</f>
        <v>10</v>
      </c>
      <c r="L167" s="5">
        <f>VLOOKUP(TrendSheetStgData[Population]&amp;TrendSheetStgData[Trend],Threshold[#All],5,FALSE)</f>
        <v>5</v>
      </c>
      <c r="M1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8" spans="1:13" x14ac:dyDescent="0.25">
      <c r="A168" t="s">
        <v>90</v>
      </c>
      <c r="B168" t="s">
        <v>90</v>
      </c>
      <c r="C168" t="s">
        <v>91</v>
      </c>
      <c r="D168" s="1" t="s">
        <v>105</v>
      </c>
      <c r="E168" t="s">
        <v>106</v>
      </c>
      <c r="F168" t="s">
        <v>23</v>
      </c>
      <c r="G168">
        <v>12</v>
      </c>
      <c r="H168">
        <v>6</v>
      </c>
      <c r="I168" s="5">
        <f>IFERROR(VLOOKUP(TrendSheetStgData[Population]&amp;TrendSheetStgData[Cost Basis]&amp;TrendSheetStgData[Period]&amp;TrendSheetStgData[Trend],TrendSheetPrdData[#All],9,FALSE),0)</f>
        <v>4</v>
      </c>
      <c r="J1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v>
      </c>
      <c r="K168" s="5">
        <f>VLOOKUP(TrendSheetStgData[Population]&amp;TrendSheetStgData[Trend],Threshold[#All],4,FALSE)</f>
        <v>10</v>
      </c>
      <c r="L168" s="5">
        <f>VLOOKUP(TrendSheetStgData[Population]&amp;TrendSheetStgData[Trend],Threshold[#All],5,FALSE)</f>
        <v>5</v>
      </c>
      <c r="M1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9" spans="1:13" x14ac:dyDescent="0.25">
      <c r="A169" t="s">
        <v>90</v>
      </c>
      <c r="B169" t="s">
        <v>90</v>
      </c>
      <c r="C169" t="s">
        <v>91</v>
      </c>
      <c r="D169" s="1" t="s">
        <v>107</v>
      </c>
      <c r="E169" t="s">
        <v>106</v>
      </c>
      <c r="F169" t="s">
        <v>23</v>
      </c>
      <c r="G169">
        <v>12</v>
      </c>
      <c r="H169">
        <v>6</v>
      </c>
      <c r="I169" s="5">
        <f>IFERROR(VLOOKUP(TrendSheetStgData[Population]&amp;TrendSheetStgData[Cost Basis]&amp;TrendSheetStgData[Period]&amp;TrendSheetStgData[Trend],TrendSheetPrdData[#All],9,FALSE),0)</f>
        <v>0</v>
      </c>
      <c r="J1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69" s="5">
        <f>VLOOKUP(TrendSheetStgData[Population]&amp;TrendSheetStgData[Trend],Threshold[#All],4,FALSE)</f>
        <v>10</v>
      </c>
      <c r="L169" s="5">
        <f>VLOOKUP(TrendSheetStgData[Population]&amp;TrendSheetStgData[Trend],Threshold[#All],5,FALSE)</f>
        <v>5</v>
      </c>
      <c r="M1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70" spans="1:13" x14ac:dyDescent="0.25">
      <c r="A170" t="s">
        <v>90</v>
      </c>
      <c r="B170" t="s">
        <v>90</v>
      </c>
      <c r="C170" t="s">
        <v>91</v>
      </c>
      <c r="D170" s="1" t="s">
        <v>92</v>
      </c>
      <c r="E170" t="s">
        <v>93</v>
      </c>
      <c r="F170" t="s">
        <v>24</v>
      </c>
      <c r="G170">
        <v>13</v>
      </c>
      <c r="H170">
        <v>126450</v>
      </c>
      <c r="I170" s="5">
        <f>IFERROR(VLOOKUP(TrendSheetStgData[Population]&amp;TrendSheetStgData[Cost Basis]&amp;TrendSheetStgData[Period]&amp;TrendSheetStgData[Trend],TrendSheetPrdData[#All],9,FALSE),0)</f>
        <v>126450</v>
      </c>
      <c r="J1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0" s="5">
        <f>VLOOKUP(TrendSheetStgData[Population]&amp;TrendSheetStgData[Trend],Threshold[#All],4,FALSE)</f>
        <v>10</v>
      </c>
      <c r="L170" s="5">
        <f>VLOOKUP(TrendSheetStgData[Population]&amp;TrendSheetStgData[Trend],Threshold[#All],5,FALSE)</f>
        <v>5</v>
      </c>
      <c r="M1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1" spans="1:13" x14ac:dyDescent="0.25">
      <c r="A171" t="s">
        <v>90</v>
      </c>
      <c r="B171" t="s">
        <v>90</v>
      </c>
      <c r="C171" t="s">
        <v>91</v>
      </c>
      <c r="D171" s="1" t="s">
        <v>94</v>
      </c>
      <c r="E171" t="s">
        <v>93</v>
      </c>
      <c r="F171" t="s">
        <v>24</v>
      </c>
      <c r="G171">
        <v>13</v>
      </c>
      <c r="H171">
        <v>70874</v>
      </c>
      <c r="I171" s="5">
        <f>IFERROR(VLOOKUP(TrendSheetStgData[Population]&amp;TrendSheetStgData[Cost Basis]&amp;TrendSheetStgData[Period]&amp;TrendSheetStgData[Trend],TrendSheetPrdData[#All],9,FALSE),0)</f>
        <v>70585</v>
      </c>
      <c r="J1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0.409435432457321</v>
      </c>
      <c r="K171" s="5">
        <f>VLOOKUP(TrendSheetStgData[Population]&amp;TrendSheetStgData[Trend],Threshold[#All],4,FALSE)</f>
        <v>10</v>
      </c>
      <c r="L171" s="5">
        <f>VLOOKUP(TrendSheetStgData[Population]&amp;TrendSheetStgData[Trend],Threshold[#All],5,FALSE)</f>
        <v>5</v>
      </c>
      <c r="M1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2" spans="1:13" x14ac:dyDescent="0.25">
      <c r="A172" t="s">
        <v>90</v>
      </c>
      <c r="B172" t="s">
        <v>90</v>
      </c>
      <c r="C172" t="s">
        <v>91</v>
      </c>
      <c r="D172" s="1" t="s">
        <v>95</v>
      </c>
      <c r="E172" t="s">
        <v>93</v>
      </c>
      <c r="F172" t="s">
        <v>24</v>
      </c>
      <c r="G172">
        <v>13</v>
      </c>
      <c r="H172">
        <v>142055</v>
      </c>
      <c r="I172" s="5">
        <f>IFERROR(VLOOKUP(TrendSheetStgData[Population]&amp;TrendSheetStgData[Cost Basis]&amp;TrendSheetStgData[Period]&amp;TrendSheetStgData[Trend],TrendSheetPrdData[#All],9,FALSE),0)</f>
        <v>141774</v>
      </c>
      <c r="J1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0.19820277342813211</v>
      </c>
      <c r="K172" s="5">
        <f>VLOOKUP(TrendSheetStgData[Population]&amp;TrendSheetStgData[Trend],Threshold[#All],4,FALSE)</f>
        <v>10</v>
      </c>
      <c r="L172" s="5">
        <f>VLOOKUP(TrendSheetStgData[Population]&amp;TrendSheetStgData[Trend],Threshold[#All],5,FALSE)</f>
        <v>5</v>
      </c>
      <c r="M1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3" spans="1:13" x14ac:dyDescent="0.25">
      <c r="A173" t="s">
        <v>90</v>
      </c>
      <c r="B173" t="s">
        <v>90</v>
      </c>
      <c r="C173" t="s">
        <v>91</v>
      </c>
      <c r="D173" s="1" t="s">
        <v>96</v>
      </c>
      <c r="E173" t="s">
        <v>93</v>
      </c>
      <c r="F173" t="s">
        <v>24</v>
      </c>
      <c r="G173">
        <v>13</v>
      </c>
      <c r="H173">
        <v>184764</v>
      </c>
      <c r="I173" s="5">
        <f>IFERROR(VLOOKUP(TrendSheetStgData[Population]&amp;TrendSheetStgData[Cost Basis]&amp;TrendSheetStgData[Period]&amp;TrendSheetStgData[Trend],TrendSheetPrdData[#All],9,FALSE),0)</f>
        <v>184421</v>
      </c>
      <c r="J1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0.18598749600099773</v>
      </c>
      <c r="K173" s="5">
        <f>VLOOKUP(TrendSheetStgData[Population]&amp;TrendSheetStgData[Trend],Threshold[#All],4,FALSE)</f>
        <v>10</v>
      </c>
      <c r="L173" s="5">
        <f>VLOOKUP(TrendSheetStgData[Population]&amp;TrendSheetStgData[Trend],Threshold[#All],5,FALSE)</f>
        <v>5</v>
      </c>
      <c r="M1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4" spans="1:13" x14ac:dyDescent="0.25">
      <c r="A174" t="s">
        <v>90</v>
      </c>
      <c r="B174" t="s">
        <v>90</v>
      </c>
      <c r="C174" t="s">
        <v>91</v>
      </c>
      <c r="D174" s="1" t="s">
        <v>97</v>
      </c>
      <c r="E174" t="s">
        <v>93</v>
      </c>
      <c r="F174" t="s">
        <v>24</v>
      </c>
      <c r="G174">
        <v>13</v>
      </c>
      <c r="H174">
        <v>149222</v>
      </c>
      <c r="I174" s="5">
        <f>IFERROR(VLOOKUP(TrendSheetStgData[Population]&amp;TrendSheetStgData[Cost Basis]&amp;TrendSheetStgData[Period]&amp;TrendSheetStgData[Trend],TrendSheetPrdData[#All],9,FALSE),0)</f>
        <v>149222</v>
      </c>
      <c r="J1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4" s="5">
        <f>VLOOKUP(TrendSheetStgData[Population]&amp;TrendSheetStgData[Trend],Threshold[#All],4,FALSE)</f>
        <v>10</v>
      </c>
      <c r="L174" s="5">
        <f>VLOOKUP(TrendSheetStgData[Population]&amp;TrendSheetStgData[Trend],Threshold[#All],5,FALSE)</f>
        <v>5</v>
      </c>
      <c r="M1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5" spans="1:13" x14ac:dyDescent="0.25">
      <c r="A175" t="s">
        <v>90</v>
      </c>
      <c r="B175" t="s">
        <v>90</v>
      </c>
      <c r="C175" t="s">
        <v>91</v>
      </c>
      <c r="D175" s="1" t="s">
        <v>98</v>
      </c>
      <c r="E175" t="s">
        <v>93</v>
      </c>
      <c r="F175" t="s">
        <v>24</v>
      </c>
      <c r="G175">
        <v>13</v>
      </c>
      <c r="H175">
        <v>109421</v>
      </c>
      <c r="I175" s="5">
        <f>IFERROR(VLOOKUP(TrendSheetStgData[Population]&amp;TrendSheetStgData[Cost Basis]&amp;TrendSheetStgData[Period]&amp;TrendSheetStgData[Trend],TrendSheetPrdData[#All],9,FALSE),0)</f>
        <v>108138</v>
      </c>
      <c r="J1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1.1864469474190387</v>
      </c>
      <c r="K175" s="5">
        <f>VLOOKUP(TrendSheetStgData[Population]&amp;TrendSheetStgData[Trend],Threshold[#All],4,FALSE)</f>
        <v>10</v>
      </c>
      <c r="L175" s="5">
        <f>VLOOKUP(TrendSheetStgData[Population]&amp;TrendSheetStgData[Trend],Threshold[#All],5,FALSE)</f>
        <v>5</v>
      </c>
      <c r="M1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6" spans="1:13" x14ac:dyDescent="0.25">
      <c r="A176" t="s">
        <v>90</v>
      </c>
      <c r="B176" t="s">
        <v>90</v>
      </c>
      <c r="C176" t="s">
        <v>91</v>
      </c>
      <c r="D176" s="1" t="s">
        <v>99</v>
      </c>
      <c r="E176" t="s">
        <v>93</v>
      </c>
      <c r="F176" t="s">
        <v>24</v>
      </c>
      <c r="G176">
        <v>13</v>
      </c>
      <c r="H176">
        <v>130330</v>
      </c>
      <c r="I176" s="5">
        <f>IFERROR(VLOOKUP(TrendSheetStgData[Population]&amp;TrendSheetStgData[Cost Basis]&amp;TrendSheetStgData[Period]&amp;TrendSheetStgData[Trend],TrendSheetPrdData[#All],9,FALSE),0)</f>
        <v>130330</v>
      </c>
      <c r="J1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6" s="5">
        <f>VLOOKUP(TrendSheetStgData[Population]&amp;TrendSheetStgData[Trend],Threshold[#All],4,FALSE)</f>
        <v>10</v>
      </c>
      <c r="L176" s="5">
        <f>VLOOKUP(TrendSheetStgData[Population]&amp;TrendSheetStgData[Trend],Threshold[#All],5,FALSE)</f>
        <v>5</v>
      </c>
      <c r="M1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7" spans="1:13" x14ac:dyDescent="0.25">
      <c r="A177" t="s">
        <v>90</v>
      </c>
      <c r="B177" t="s">
        <v>90</v>
      </c>
      <c r="C177" t="s">
        <v>91</v>
      </c>
      <c r="D177" s="1" t="s">
        <v>100</v>
      </c>
      <c r="E177" t="s">
        <v>93</v>
      </c>
      <c r="F177" t="s">
        <v>24</v>
      </c>
      <c r="G177">
        <v>13</v>
      </c>
      <c r="H177">
        <v>155975</v>
      </c>
      <c r="I177" s="5">
        <f>IFERROR(VLOOKUP(TrendSheetStgData[Population]&amp;TrendSheetStgData[Cost Basis]&amp;TrendSheetStgData[Period]&amp;TrendSheetStgData[Trend],TrendSheetPrdData[#All],9,FALSE),0)</f>
        <v>155374</v>
      </c>
      <c r="J1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0.38680860375609816</v>
      </c>
      <c r="K177" s="5">
        <f>VLOOKUP(TrendSheetStgData[Population]&amp;TrendSheetStgData[Trend],Threshold[#All],4,FALSE)</f>
        <v>10</v>
      </c>
      <c r="L177" s="5">
        <f>VLOOKUP(TrendSheetStgData[Population]&amp;TrendSheetStgData[Trend],Threshold[#All],5,FALSE)</f>
        <v>5</v>
      </c>
      <c r="M1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8" spans="1:13" x14ac:dyDescent="0.25">
      <c r="A178" t="s">
        <v>90</v>
      </c>
      <c r="B178" t="s">
        <v>90</v>
      </c>
      <c r="C178" t="s">
        <v>91</v>
      </c>
      <c r="D178" s="1" t="s">
        <v>101</v>
      </c>
      <c r="E178" t="s">
        <v>93</v>
      </c>
      <c r="F178" t="s">
        <v>24</v>
      </c>
      <c r="G178">
        <v>13</v>
      </c>
      <c r="H178">
        <v>115867</v>
      </c>
      <c r="I178" s="5">
        <f>IFERROR(VLOOKUP(TrendSheetStgData[Population]&amp;TrendSheetStgData[Cost Basis]&amp;TrendSheetStgData[Period]&amp;TrendSheetStgData[Trend],TrendSheetPrdData[#All],9,FALSE),0)</f>
        <v>115867</v>
      </c>
      <c r="J1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8" s="5">
        <f>VLOOKUP(TrendSheetStgData[Population]&amp;TrendSheetStgData[Trend],Threshold[#All],4,FALSE)</f>
        <v>10</v>
      </c>
      <c r="L178" s="5">
        <f>VLOOKUP(TrendSheetStgData[Population]&amp;TrendSheetStgData[Trend],Threshold[#All],5,FALSE)</f>
        <v>5</v>
      </c>
      <c r="M1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9" spans="1:13" x14ac:dyDescent="0.25">
      <c r="A179" t="s">
        <v>90</v>
      </c>
      <c r="B179" t="s">
        <v>90</v>
      </c>
      <c r="C179" t="s">
        <v>91</v>
      </c>
      <c r="D179" s="1" t="s">
        <v>102</v>
      </c>
      <c r="E179" t="s">
        <v>93</v>
      </c>
      <c r="F179" t="s">
        <v>24</v>
      </c>
      <c r="G179">
        <v>13</v>
      </c>
      <c r="H179">
        <v>126061</v>
      </c>
      <c r="I179" s="5">
        <f>IFERROR(VLOOKUP(TrendSheetStgData[Population]&amp;TrendSheetStgData[Cost Basis]&amp;TrendSheetStgData[Period]&amp;TrendSheetStgData[Trend],TrendSheetPrdData[#All],9,FALSE),0)</f>
        <v>123788</v>
      </c>
      <c r="J1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1.8362038323585486</v>
      </c>
      <c r="K179" s="5">
        <f>VLOOKUP(TrendSheetStgData[Population]&amp;TrendSheetStgData[Trend],Threshold[#All],4,FALSE)</f>
        <v>10</v>
      </c>
      <c r="L179" s="5">
        <f>VLOOKUP(TrendSheetStgData[Population]&amp;TrendSheetStgData[Trend],Threshold[#All],5,FALSE)</f>
        <v>5</v>
      </c>
      <c r="M1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0" spans="1:13" x14ac:dyDescent="0.25">
      <c r="A180" t="s">
        <v>90</v>
      </c>
      <c r="B180" t="s">
        <v>90</v>
      </c>
      <c r="C180" t="s">
        <v>91</v>
      </c>
      <c r="D180" s="1" t="s">
        <v>103</v>
      </c>
      <c r="E180" t="s">
        <v>93</v>
      </c>
      <c r="F180" t="s">
        <v>24</v>
      </c>
      <c r="G180">
        <v>13</v>
      </c>
      <c r="H180">
        <v>130353</v>
      </c>
      <c r="I180" s="5">
        <f>IFERROR(VLOOKUP(TrendSheetStgData[Population]&amp;TrendSheetStgData[Cost Basis]&amp;TrendSheetStgData[Period]&amp;TrendSheetStgData[Trend],TrendSheetPrdData[#All],9,FALSE),0)</f>
        <v>120841</v>
      </c>
      <c r="J1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7.8715005668605853</v>
      </c>
      <c r="K180" s="5">
        <f>VLOOKUP(TrendSheetStgData[Population]&amp;TrendSheetStgData[Trend],Threshold[#All],4,FALSE)</f>
        <v>10</v>
      </c>
      <c r="L180" s="5">
        <f>VLOOKUP(TrendSheetStgData[Population]&amp;TrendSheetStgData[Trend],Threshold[#All],5,FALSE)</f>
        <v>5</v>
      </c>
      <c r="M1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81" spans="1:13" x14ac:dyDescent="0.25">
      <c r="A181" t="s">
        <v>90</v>
      </c>
      <c r="B181" t="s">
        <v>90</v>
      </c>
      <c r="C181" t="s">
        <v>91</v>
      </c>
      <c r="D181" s="1" t="s">
        <v>104</v>
      </c>
      <c r="E181" t="s">
        <v>93</v>
      </c>
      <c r="F181" t="s">
        <v>24</v>
      </c>
      <c r="G181">
        <v>13</v>
      </c>
      <c r="H181">
        <v>151006</v>
      </c>
      <c r="I181" s="5">
        <f>IFERROR(VLOOKUP(TrendSheetStgData[Population]&amp;TrendSheetStgData[Cost Basis]&amp;TrendSheetStgData[Period]&amp;TrendSheetStgData[Trend],TrendSheetPrdData[#All],9,FALSE),0)</f>
        <v>135230</v>
      </c>
      <c r="J1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11.666050432596316</v>
      </c>
      <c r="K181" s="5">
        <f>VLOOKUP(TrendSheetStgData[Population]&amp;TrendSheetStgData[Trend],Threshold[#All],4,FALSE)</f>
        <v>10</v>
      </c>
      <c r="L181" s="5">
        <f>VLOOKUP(TrendSheetStgData[Population]&amp;TrendSheetStgData[Trend],Threshold[#All],5,FALSE)</f>
        <v>5</v>
      </c>
      <c r="M1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2" spans="1:13" x14ac:dyDescent="0.25">
      <c r="A182" t="s">
        <v>90</v>
      </c>
      <c r="B182" t="s">
        <v>90</v>
      </c>
      <c r="C182" t="s">
        <v>91</v>
      </c>
      <c r="D182" s="1" t="s">
        <v>105</v>
      </c>
      <c r="E182" t="s">
        <v>106</v>
      </c>
      <c r="F182" t="s">
        <v>24</v>
      </c>
      <c r="G182">
        <v>13</v>
      </c>
      <c r="H182">
        <v>118241</v>
      </c>
      <c r="I182" s="5">
        <f>IFERROR(VLOOKUP(TrendSheetStgData[Population]&amp;TrendSheetStgData[Cost Basis]&amp;TrendSheetStgData[Period]&amp;TrendSheetStgData[Trend],TrendSheetPrdData[#All],9,FALSE),0)</f>
        <v>10064</v>
      </c>
      <c r="J1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1074.8906995230525</v>
      </c>
      <c r="K182" s="5">
        <f>VLOOKUP(TrendSheetStgData[Population]&amp;TrendSheetStgData[Trend],Threshold[#All],4,FALSE)</f>
        <v>10</v>
      </c>
      <c r="L182" s="5">
        <f>VLOOKUP(TrendSheetStgData[Population]&amp;TrendSheetStgData[Trend],Threshold[#All],5,FALSE)</f>
        <v>5</v>
      </c>
      <c r="M1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3" spans="1:13" x14ac:dyDescent="0.25">
      <c r="A183" t="s">
        <v>90</v>
      </c>
      <c r="B183" t="s">
        <v>90</v>
      </c>
      <c r="C183" t="s">
        <v>91</v>
      </c>
      <c r="D183" s="1" t="s">
        <v>107</v>
      </c>
      <c r="E183" t="s">
        <v>106</v>
      </c>
      <c r="F183" t="s">
        <v>24</v>
      </c>
      <c r="G183">
        <v>13</v>
      </c>
      <c r="H183">
        <v>32638</v>
      </c>
      <c r="I183" s="5">
        <f>IFERROR(VLOOKUP(TrendSheetStgData[Population]&amp;TrendSheetStgData[Cost Basis]&amp;TrendSheetStgData[Period]&amp;TrendSheetStgData[Trend],TrendSheetPrdData[#All],9,FALSE),0)</f>
        <v>0</v>
      </c>
      <c r="J1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83" s="5">
        <f>VLOOKUP(TrendSheetStgData[Population]&amp;TrendSheetStgData[Trend],Threshold[#All],4,FALSE)</f>
        <v>10</v>
      </c>
      <c r="L183" s="5">
        <f>VLOOKUP(TrendSheetStgData[Population]&amp;TrendSheetStgData[Trend],Threshold[#All],5,FALSE)</f>
        <v>5</v>
      </c>
      <c r="M1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4" spans="1:13" x14ac:dyDescent="0.25">
      <c r="A184" t="s">
        <v>90</v>
      </c>
      <c r="B184" t="s">
        <v>90</v>
      </c>
      <c r="C184" t="s">
        <v>91</v>
      </c>
      <c r="D184" s="1" t="s">
        <v>92</v>
      </c>
      <c r="E184" t="s">
        <v>93</v>
      </c>
      <c r="F184" t="s">
        <v>25</v>
      </c>
      <c r="G184">
        <v>14</v>
      </c>
      <c r="H184">
        <v>144</v>
      </c>
      <c r="I184" s="5">
        <f>IFERROR(VLOOKUP(TrendSheetStgData[Population]&amp;TrendSheetStgData[Cost Basis]&amp;TrendSheetStgData[Period]&amp;TrendSheetStgData[Trend],TrendSheetPrdData[#All],9,FALSE),0)</f>
        <v>144</v>
      </c>
      <c r="J1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4" s="5">
        <f>VLOOKUP(TrendSheetStgData[Population]&amp;TrendSheetStgData[Trend],Threshold[#All],4,FALSE)</f>
        <v>10</v>
      </c>
      <c r="L184" s="5">
        <f>VLOOKUP(TrendSheetStgData[Population]&amp;TrendSheetStgData[Trend],Threshold[#All],5,FALSE)</f>
        <v>5</v>
      </c>
      <c r="M1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5" spans="1:13" x14ac:dyDescent="0.25">
      <c r="A185" t="s">
        <v>90</v>
      </c>
      <c r="B185" t="s">
        <v>90</v>
      </c>
      <c r="C185" t="s">
        <v>91</v>
      </c>
      <c r="D185" s="1" t="s">
        <v>94</v>
      </c>
      <c r="E185" t="s">
        <v>93</v>
      </c>
      <c r="F185" t="s">
        <v>25</v>
      </c>
      <c r="G185">
        <v>14</v>
      </c>
      <c r="H185">
        <v>126</v>
      </c>
      <c r="I185" s="5">
        <f>IFERROR(VLOOKUP(TrendSheetStgData[Population]&amp;TrendSheetStgData[Cost Basis]&amp;TrendSheetStgData[Period]&amp;TrendSheetStgData[Trend],TrendSheetPrdData[#All],9,FALSE),0)</f>
        <v>125</v>
      </c>
      <c r="J1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v>
      </c>
      <c r="K185" s="5">
        <f>VLOOKUP(TrendSheetStgData[Population]&amp;TrendSheetStgData[Trend],Threshold[#All],4,FALSE)</f>
        <v>10</v>
      </c>
      <c r="L185" s="5">
        <f>VLOOKUP(TrendSheetStgData[Population]&amp;TrendSheetStgData[Trend],Threshold[#All],5,FALSE)</f>
        <v>5</v>
      </c>
      <c r="M1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6" spans="1:13" x14ac:dyDescent="0.25">
      <c r="A186" t="s">
        <v>90</v>
      </c>
      <c r="B186" t="s">
        <v>90</v>
      </c>
      <c r="C186" t="s">
        <v>91</v>
      </c>
      <c r="D186" s="1" t="s">
        <v>95</v>
      </c>
      <c r="E186" t="s">
        <v>93</v>
      </c>
      <c r="F186" t="s">
        <v>25</v>
      </c>
      <c r="G186">
        <v>14</v>
      </c>
      <c r="H186">
        <v>157</v>
      </c>
      <c r="I186" s="5">
        <f>IFERROR(VLOOKUP(TrendSheetStgData[Population]&amp;TrendSheetStgData[Cost Basis]&amp;TrendSheetStgData[Period]&amp;TrendSheetStgData[Trend],TrendSheetPrdData[#All],9,FALSE),0)</f>
        <v>156</v>
      </c>
      <c r="J1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0.64102564102564097</v>
      </c>
      <c r="K186" s="5">
        <f>VLOOKUP(TrendSheetStgData[Population]&amp;TrendSheetStgData[Trend],Threshold[#All],4,FALSE)</f>
        <v>10</v>
      </c>
      <c r="L186" s="5">
        <f>VLOOKUP(TrendSheetStgData[Population]&amp;TrendSheetStgData[Trend],Threshold[#All],5,FALSE)</f>
        <v>5</v>
      </c>
      <c r="M1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7" spans="1:13" x14ac:dyDescent="0.25">
      <c r="A187" t="s">
        <v>90</v>
      </c>
      <c r="B187" t="s">
        <v>90</v>
      </c>
      <c r="C187" t="s">
        <v>91</v>
      </c>
      <c r="D187" s="1" t="s">
        <v>96</v>
      </c>
      <c r="E187" t="s">
        <v>93</v>
      </c>
      <c r="F187" t="s">
        <v>25</v>
      </c>
      <c r="G187">
        <v>14</v>
      </c>
      <c r="H187">
        <v>209</v>
      </c>
      <c r="I187" s="5">
        <f>IFERROR(VLOOKUP(TrendSheetStgData[Population]&amp;TrendSheetStgData[Cost Basis]&amp;TrendSheetStgData[Period]&amp;TrendSheetStgData[Trend],TrendSheetPrdData[#All],9,FALSE),0)</f>
        <v>209</v>
      </c>
      <c r="J1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7" s="5">
        <f>VLOOKUP(TrendSheetStgData[Population]&amp;TrendSheetStgData[Trend],Threshold[#All],4,FALSE)</f>
        <v>10</v>
      </c>
      <c r="L187" s="5">
        <f>VLOOKUP(TrendSheetStgData[Population]&amp;TrendSheetStgData[Trend],Threshold[#All],5,FALSE)</f>
        <v>5</v>
      </c>
      <c r="M1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8" spans="1:13" x14ac:dyDescent="0.25">
      <c r="A188" t="s">
        <v>90</v>
      </c>
      <c r="B188" t="s">
        <v>90</v>
      </c>
      <c r="C188" t="s">
        <v>91</v>
      </c>
      <c r="D188" s="1" t="s">
        <v>97</v>
      </c>
      <c r="E188" t="s">
        <v>93</v>
      </c>
      <c r="F188" t="s">
        <v>25</v>
      </c>
      <c r="G188">
        <v>14</v>
      </c>
      <c r="H188">
        <v>169</v>
      </c>
      <c r="I188" s="5">
        <f>IFERROR(VLOOKUP(TrendSheetStgData[Population]&amp;TrendSheetStgData[Cost Basis]&amp;TrendSheetStgData[Period]&amp;TrendSheetStgData[Trend],TrendSheetPrdData[#All],9,FALSE),0)</f>
        <v>169</v>
      </c>
      <c r="J1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8" s="5">
        <f>VLOOKUP(TrendSheetStgData[Population]&amp;TrendSheetStgData[Trend],Threshold[#All],4,FALSE)</f>
        <v>10</v>
      </c>
      <c r="L188" s="5">
        <f>VLOOKUP(TrendSheetStgData[Population]&amp;TrendSheetStgData[Trend],Threshold[#All],5,FALSE)</f>
        <v>5</v>
      </c>
      <c r="M1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9" spans="1:13" x14ac:dyDescent="0.25">
      <c r="A189" t="s">
        <v>90</v>
      </c>
      <c r="B189" t="s">
        <v>90</v>
      </c>
      <c r="C189" t="s">
        <v>91</v>
      </c>
      <c r="D189" s="1" t="s">
        <v>98</v>
      </c>
      <c r="E189" t="s">
        <v>93</v>
      </c>
      <c r="F189" t="s">
        <v>25</v>
      </c>
      <c r="G189">
        <v>14</v>
      </c>
      <c r="H189">
        <v>147</v>
      </c>
      <c r="I189" s="5">
        <f>IFERROR(VLOOKUP(TrendSheetStgData[Population]&amp;TrendSheetStgData[Cost Basis]&amp;TrendSheetStgData[Period]&amp;TrendSheetStgData[Trend],TrendSheetPrdData[#All],9,FALSE),0)</f>
        <v>145</v>
      </c>
      <c r="J1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1.3793103448275863</v>
      </c>
      <c r="K189" s="5">
        <f>VLOOKUP(TrendSheetStgData[Population]&amp;TrendSheetStgData[Trend],Threshold[#All],4,FALSE)</f>
        <v>10</v>
      </c>
      <c r="L189" s="5">
        <f>VLOOKUP(TrendSheetStgData[Population]&amp;TrendSheetStgData[Trend],Threshold[#All],5,FALSE)</f>
        <v>5</v>
      </c>
      <c r="M1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0" spans="1:13" x14ac:dyDescent="0.25">
      <c r="A190" t="s">
        <v>90</v>
      </c>
      <c r="B190" t="s">
        <v>90</v>
      </c>
      <c r="C190" t="s">
        <v>91</v>
      </c>
      <c r="D190" s="1" t="s">
        <v>99</v>
      </c>
      <c r="E190" t="s">
        <v>93</v>
      </c>
      <c r="F190" t="s">
        <v>25</v>
      </c>
      <c r="G190">
        <v>14</v>
      </c>
      <c r="H190">
        <v>191</v>
      </c>
      <c r="I190" s="5">
        <f>IFERROR(VLOOKUP(TrendSheetStgData[Population]&amp;TrendSheetStgData[Cost Basis]&amp;TrendSheetStgData[Period]&amp;TrendSheetStgData[Trend],TrendSheetPrdData[#All],9,FALSE),0)</f>
        <v>191</v>
      </c>
      <c r="J1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0" s="5">
        <f>VLOOKUP(TrendSheetStgData[Population]&amp;TrendSheetStgData[Trend],Threshold[#All],4,FALSE)</f>
        <v>10</v>
      </c>
      <c r="L190" s="5">
        <f>VLOOKUP(TrendSheetStgData[Population]&amp;TrendSheetStgData[Trend],Threshold[#All],5,FALSE)</f>
        <v>5</v>
      </c>
      <c r="M1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1" spans="1:13" x14ac:dyDescent="0.25">
      <c r="A191" t="s">
        <v>90</v>
      </c>
      <c r="B191" t="s">
        <v>90</v>
      </c>
      <c r="C191" t="s">
        <v>91</v>
      </c>
      <c r="D191" s="1" t="s">
        <v>100</v>
      </c>
      <c r="E191" t="s">
        <v>93</v>
      </c>
      <c r="F191" t="s">
        <v>25</v>
      </c>
      <c r="G191">
        <v>14</v>
      </c>
      <c r="H191">
        <v>187</v>
      </c>
      <c r="I191" s="5">
        <f>IFERROR(VLOOKUP(TrendSheetStgData[Population]&amp;TrendSheetStgData[Cost Basis]&amp;TrendSheetStgData[Period]&amp;TrendSheetStgData[Trend],TrendSheetPrdData[#All],9,FALSE),0)</f>
        <v>186</v>
      </c>
      <c r="J1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0.53763440860215062</v>
      </c>
      <c r="K191" s="5">
        <f>VLOOKUP(TrendSheetStgData[Population]&amp;TrendSheetStgData[Trend],Threshold[#All],4,FALSE)</f>
        <v>10</v>
      </c>
      <c r="L191" s="5">
        <f>VLOOKUP(TrendSheetStgData[Population]&amp;TrendSheetStgData[Trend],Threshold[#All],5,FALSE)</f>
        <v>5</v>
      </c>
      <c r="M1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2" spans="1:13" x14ac:dyDescent="0.25">
      <c r="A192" t="s">
        <v>90</v>
      </c>
      <c r="B192" t="s">
        <v>90</v>
      </c>
      <c r="C192" t="s">
        <v>91</v>
      </c>
      <c r="D192" s="1" t="s">
        <v>101</v>
      </c>
      <c r="E192" t="s">
        <v>93</v>
      </c>
      <c r="F192" t="s">
        <v>25</v>
      </c>
      <c r="G192">
        <v>14</v>
      </c>
      <c r="H192">
        <v>146</v>
      </c>
      <c r="I192" s="5">
        <f>IFERROR(VLOOKUP(TrendSheetStgData[Population]&amp;TrendSheetStgData[Cost Basis]&amp;TrendSheetStgData[Period]&amp;TrendSheetStgData[Trend],TrendSheetPrdData[#All],9,FALSE),0)</f>
        <v>146</v>
      </c>
      <c r="J1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2" s="5">
        <f>VLOOKUP(TrendSheetStgData[Population]&amp;TrendSheetStgData[Trend],Threshold[#All],4,FALSE)</f>
        <v>10</v>
      </c>
      <c r="L192" s="5">
        <f>VLOOKUP(TrendSheetStgData[Population]&amp;TrendSheetStgData[Trend],Threshold[#All],5,FALSE)</f>
        <v>5</v>
      </c>
      <c r="M1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3" spans="1:13" x14ac:dyDescent="0.25">
      <c r="A193" t="s">
        <v>90</v>
      </c>
      <c r="B193" t="s">
        <v>90</v>
      </c>
      <c r="C193" t="s">
        <v>91</v>
      </c>
      <c r="D193" s="1" t="s">
        <v>102</v>
      </c>
      <c r="E193" t="s">
        <v>93</v>
      </c>
      <c r="F193" t="s">
        <v>25</v>
      </c>
      <c r="G193">
        <v>14</v>
      </c>
      <c r="H193">
        <v>152</v>
      </c>
      <c r="I193" s="5">
        <f>IFERROR(VLOOKUP(TrendSheetStgData[Population]&amp;TrendSheetStgData[Cost Basis]&amp;TrendSheetStgData[Period]&amp;TrendSheetStgData[Trend],TrendSheetPrdData[#All],9,FALSE),0)</f>
        <v>150</v>
      </c>
      <c r="J1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1.3333333333333335</v>
      </c>
      <c r="K193" s="5">
        <f>VLOOKUP(TrendSheetStgData[Population]&amp;TrendSheetStgData[Trend],Threshold[#All],4,FALSE)</f>
        <v>10</v>
      </c>
      <c r="L193" s="5">
        <f>VLOOKUP(TrendSheetStgData[Population]&amp;TrendSheetStgData[Trend],Threshold[#All],5,FALSE)</f>
        <v>5</v>
      </c>
      <c r="M1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4" spans="1:13" x14ac:dyDescent="0.25">
      <c r="A194" t="s">
        <v>90</v>
      </c>
      <c r="B194" t="s">
        <v>90</v>
      </c>
      <c r="C194" t="s">
        <v>91</v>
      </c>
      <c r="D194" s="1" t="s">
        <v>103</v>
      </c>
      <c r="E194" t="s">
        <v>93</v>
      </c>
      <c r="F194" t="s">
        <v>25</v>
      </c>
      <c r="G194">
        <v>14</v>
      </c>
      <c r="H194">
        <v>146</v>
      </c>
      <c r="I194" s="5">
        <f>IFERROR(VLOOKUP(TrendSheetStgData[Population]&amp;TrendSheetStgData[Cost Basis]&amp;TrendSheetStgData[Period]&amp;TrendSheetStgData[Trend],TrendSheetPrdData[#All],9,FALSE),0)</f>
        <v>142</v>
      </c>
      <c r="J1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2.8169014084507045</v>
      </c>
      <c r="K194" s="5">
        <f>VLOOKUP(TrendSheetStgData[Population]&amp;TrendSheetStgData[Trend],Threshold[#All],4,FALSE)</f>
        <v>10</v>
      </c>
      <c r="L194" s="5">
        <f>VLOOKUP(TrendSheetStgData[Population]&amp;TrendSheetStgData[Trend],Threshold[#All],5,FALSE)</f>
        <v>5</v>
      </c>
      <c r="M1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5" spans="1:13" x14ac:dyDescent="0.25">
      <c r="A195" t="s">
        <v>90</v>
      </c>
      <c r="B195" t="s">
        <v>90</v>
      </c>
      <c r="C195" t="s">
        <v>91</v>
      </c>
      <c r="D195" s="1" t="s">
        <v>104</v>
      </c>
      <c r="E195" t="s">
        <v>93</v>
      </c>
      <c r="F195" t="s">
        <v>25</v>
      </c>
      <c r="G195">
        <v>14</v>
      </c>
      <c r="H195">
        <v>185</v>
      </c>
      <c r="I195" s="5">
        <f>IFERROR(VLOOKUP(TrendSheetStgData[Population]&amp;TrendSheetStgData[Cost Basis]&amp;TrendSheetStgData[Period]&amp;TrendSheetStgData[Trend],TrendSheetPrdData[#All],9,FALSE),0)</f>
        <v>167</v>
      </c>
      <c r="J1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10.778443113772456</v>
      </c>
      <c r="K195" s="5">
        <f>VLOOKUP(TrendSheetStgData[Population]&amp;TrendSheetStgData[Trend],Threshold[#All],4,FALSE)</f>
        <v>10</v>
      </c>
      <c r="L195" s="5">
        <f>VLOOKUP(TrendSheetStgData[Population]&amp;TrendSheetStgData[Trend],Threshold[#All],5,FALSE)</f>
        <v>5</v>
      </c>
      <c r="M1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6" spans="1:13" x14ac:dyDescent="0.25">
      <c r="A196" t="s">
        <v>90</v>
      </c>
      <c r="B196" t="s">
        <v>90</v>
      </c>
      <c r="C196" t="s">
        <v>91</v>
      </c>
      <c r="D196" s="1" t="s">
        <v>105</v>
      </c>
      <c r="E196" t="s">
        <v>106</v>
      </c>
      <c r="F196" t="s">
        <v>25</v>
      </c>
      <c r="G196">
        <v>14</v>
      </c>
      <c r="H196">
        <v>150</v>
      </c>
      <c r="I196" s="5">
        <f>IFERROR(VLOOKUP(TrendSheetStgData[Population]&amp;TrendSheetStgData[Cost Basis]&amp;TrendSheetStgData[Period]&amp;TrendSheetStgData[Trend],TrendSheetPrdData[#All],9,FALSE),0)</f>
        <v>11</v>
      </c>
      <c r="J1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1263.6363636363637</v>
      </c>
      <c r="K196" s="5">
        <f>VLOOKUP(TrendSheetStgData[Population]&amp;TrendSheetStgData[Trend],Threshold[#All],4,FALSE)</f>
        <v>10</v>
      </c>
      <c r="L196" s="5">
        <f>VLOOKUP(TrendSheetStgData[Population]&amp;TrendSheetStgData[Trend],Threshold[#All],5,FALSE)</f>
        <v>5</v>
      </c>
      <c r="M1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7" spans="1:13" x14ac:dyDescent="0.25">
      <c r="A197" t="s">
        <v>90</v>
      </c>
      <c r="B197" t="s">
        <v>90</v>
      </c>
      <c r="C197" t="s">
        <v>91</v>
      </c>
      <c r="D197" s="1" t="s">
        <v>107</v>
      </c>
      <c r="E197" t="s">
        <v>106</v>
      </c>
      <c r="F197" t="s">
        <v>25</v>
      </c>
      <c r="G197">
        <v>14</v>
      </c>
      <c r="H197">
        <v>37</v>
      </c>
      <c r="I197" s="5">
        <f>IFERROR(VLOOKUP(TrendSheetStgData[Population]&amp;TrendSheetStgData[Cost Basis]&amp;TrendSheetStgData[Period]&amp;TrendSheetStgData[Trend],TrendSheetPrdData[#All],9,FALSE),0)</f>
        <v>0</v>
      </c>
      <c r="J1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97" s="5">
        <f>VLOOKUP(TrendSheetStgData[Population]&amp;TrendSheetStgData[Trend],Threshold[#All],4,FALSE)</f>
        <v>10</v>
      </c>
      <c r="L197" s="5">
        <f>VLOOKUP(TrendSheetStgData[Population]&amp;TrendSheetStgData[Trend],Threshold[#All],5,FALSE)</f>
        <v>5</v>
      </c>
      <c r="M1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8" spans="1:13" x14ac:dyDescent="0.25">
      <c r="A198" t="s">
        <v>90</v>
      </c>
      <c r="B198" t="s">
        <v>90</v>
      </c>
      <c r="C198" t="s">
        <v>91</v>
      </c>
      <c r="D198" s="1" t="s">
        <v>92</v>
      </c>
      <c r="E198" t="s">
        <v>93</v>
      </c>
      <c r="F198" t="s">
        <v>26</v>
      </c>
      <c r="G198">
        <v>15</v>
      </c>
      <c r="H198">
        <v>642191</v>
      </c>
      <c r="I198" s="5">
        <f>IFERROR(VLOOKUP(TrendSheetStgData[Population]&amp;TrendSheetStgData[Cost Basis]&amp;TrendSheetStgData[Period]&amp;TrendSheetStgData[Trend],TrendSheetPrdData[#All],9,FALSE),0)</f>
        <v>642191</v>
      </c>
      <c r="J1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8" s="5">
        <f>VLOOKUP(TrendSheetStgData[Population]&amp;TrendSheetStgData[Trend],Threshold[#All],4,FALSE)</f>
        <v>10</v>
      </c>
      <c r="L198" s="5">
        <f>VLOOKUP(TrendSheetStgData[Population]&amp;TrendSheetStgData[Trend],Threshold[#All],5,FALSE)</f>
        <v>5</v>
      </c>
      <c r="M1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9" spans="1:13" x14ac:dyDescent="0.25">
      <c r="A199" t="s">
        <v>90</v>
      </c>
      <c r="B199" t="s">
        <v>90</v>
      </c>
      <c r="C199" t="s">
        <v>91</v>
      </c>
      <c r="D199" s="1" t="s">
        <v>94</v>
      </c>
      <c r="E199" t="s">
        <v>93</v>
      </c>
      <c r="F199" t="s">
        <v>26</v>
      </c>
      <c r="G199">
        <v>15</v>
      </c>
      <c r="H199">
        <v>692167</v>
      </c>
      <c r="I199" s="5">
        <f>IFERROR(VLOOKUP(TrendSheetStgData[Population]&amp;TrendSheetStgData[Cost Basis]&amp;TrendSheetStgData[Period]&amp;TrendSheetStgData[Trend],TrendSheetPrdData[#All],9,FALSE),0)</f>
        <v>692167</v>
      </c>
      <c r="J1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9" s="5">
        <f>VLOOKUP(TrendSheetStgData[Population]&amp;TrendSheetStgData[Trend],Threshold[#All],4,FALSE)</f>
        <v>10</v>
      </c>
      <c r="L199" s="5">
        <f>VLOOKUP(TrendSheetStgData[Population]&amp;TrendSheetStgData[Trend],Threshold[#All],5,FALSE)</f>
        <v>5</v>
      </c>
      <c r="M1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0" spans="1:13" x14ac:dyDescent="0.25">
      <c r="A200" t="s">
        <v>90</v>
      </c>
      <c r="B200" t="s">
        <v>90</v>
      </c>
      <c r="C200" t="s">
        <v>91</v>
      </c>
      <c r="D200" s="1" t="s">
        <v>95</v>
      </c>
      <c r="E200" t="s">
        <v>93</v>
      </c>
      <c r="F200" t="s">
        <v>26</v>
      </c>
      <c r="G200">
        <v>15</v>
      </c>
      <c r="H200">
        <v>706411</v>
      </c>
      <c r="I200" s="5">
        <f>IFERROR(VLOOKUP(TrendSheetStgData[Population]&amp;TrendSheetStgData[Cost Basis]&amp;TrendSheetStgData[Period]&amp;TrendSheetStgData[Trend],TrendSheetPrdData[#All],9,FALSE),0)</f>
        <v>706411</v>
      </c>
      <c r="J2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0" s="5">
        <f>VLOOKUP(TrendSheetStgData[Population]&amp;TrendSheetStgData[Trend],Threshold[#All],4,FALSE)</f>
        <v>10</v>
      </c>
      <c r="L200" s="5">
        <f>VLOOKUP(TrendSheetStgData[Population]&amp;TrendSheetStgData[Trend],Threshold[#All],5,FALSE)</f>
        <v>5</v>
      </c>
      <c r="M2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1" spans="1:13" x14ac:dyDescent="0.25">
      <c r="A201" t="s">
        <v>90</v>
      </c>
      <c r="B201" t="s">
        <v>90</v>
      </c>
      <c r="C201" t="s">
        <v>91</v>
      </c>
      <c r="D201" s="1" t="s">
        <v>96</v>
      </c>
      <c r="E201" t="s">
        <v>93</v>
      </c>
      <c r="F201" t="s">
        <v>26</v>
      </c>
      <c r="G201">
        <v>15</v>
      </c>
      <c r="H201">
        <v>709798</v>
      </c>
      <c r="I201" s="5">
        <f>IFERROR(VLOOKUP(TrendSheetStgData[Population]&amp;TrendSheetStgData[Cost Basis]&amp;TrendSheetStgData[Period]&amp;TrendSheetStgData[Trend],TrendSheetPrdData[#All],9,FALSE),0)</f>
        <v>709798</v>
      </c>
      <c r="J2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1" s="5">
        <f>VLOOKUP(TrendSheetStgData[Population]&amp;TrendSheetStgData[Trend],Threshold[#All],4,FALSE)</f>
        <v>10</v>
      </c>
      <c r="L201" s="5">
        <f>VLOOKUP(TrendSheetStgData[Population]&amp;TrendSheetStgData[Trend],Threshold[#All],5,FALSE)</f>
        <v>5</v>
      </c>
      <c r="M2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2" spans="1:13" x14ac:dyDescent="0.25">
      <c r="A202" t="s">
        <v>90</v>
      </c>
      <c r="B202" t="s">
        <v>90</v>
      </c>
      <c r="C202" t="s">
        <v>91</v>
      </c>
      <c r="D202" s="1" t="s">
        <v>97</v>
      </c>
      <c r="E202" t="s">
        <v>93</v>
      </c>
      <c r="F202" t="s">
        <v>26</v>
      </c>
      <c r="G202">
        <v>15</v>
      </c>
      <c r="H202">
        <v>866234</v>
      </c>
      <c r="I202" s="5">
        <f>IFERROR(VLOOKUP(TrendSheetStgData[Population]&amp;TrendSheetStgData[Cost Basis]&amp;TrendSheetStgData[Period]&amp;TrendSheetStgData[Trend],TrendSheetPrdData[#All],9,FALSE),0)</f>
        <v>866234</v>
      </c>
      <c r="J2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2" s="5">
        <f>VLOOKUP(TrendSheetStgData[Population]&amp;TrendSheetStgData[Trend],Threshold[#All],4,FALSE)</f>
        <v>10</v>
      </c>
      <c r="L202" s="5">
        <f>VLOOKUP(TrendSheetStgData[Population]&amp;TrendSheetStgData[Trend],Threshold[#All],5,FALSE)</f>
        <v>5</v>
      </c>
      <c r="M2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3" spans="1:13" x14ac:dyDescent="0.25">
      <c r="A203" t="s">
        <v>90</v>
      </c>
      <c r="B203" t="s">
        <v>90</v>
      </c>
      <c r="C203" t="s">
        <v>91</v>
      </c>
      <c r="D203" s="1" t="s">
        <v>98</v>
      </c>
      <c r="E203" t="s">
        <v>93</v>
      </c>
      <c r="F203" t="s">
        <v>26</v>
      </c>
      <c r="G203">
        <v>15</v>
      </c>
      <c r="H203">
        <v>765733</v>
      </c>
      <c r="I203" s="5">
        <f>IFERROR(VLOOKUP(TrendSheetStgData[Population]&amp;TrendSheetStgData[Cost Basis]&amp;TrendSheetStgData[Period]&amp;TrendSheetStgData[Trend],TrendSheetPrdData[#All],9,FALSE),0)</f>
        <v>765733</v>
      </c>
      <c r="J2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3" s="5">
        <f>VLOOKUP(TrendSheetStgData[Population]&amp;TrendSheetStgData[Trend],Threshold[#All],4,FALSE)</f>
        <v>10</v>
      </c>
      <c r="L203" s="5">
        <f>VLOOKUP(TrendSheetStgData[Population]&amp;TrendSheetStgData[Trend],Threshold[#All],5,FALSE)</f>
        <v>5</v>
      </c>
      <c r="M2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4" spans="1:13" x14ac:dyDescent="0.25">
      <c r="A204" t="s">
        <v>90</v>
      </c>
      <c r="B204" t="s">
        <v>90</v>
      </c>
      <c r="C204" t="s">
        <v>91</v>
      </c>
      <c r="D204" s="1" t="s">
        <v>99</v>
      </c>
      <c r="E204" t="s">
        <v>93</v>
      </c>
      <c r="F204" t="s">
        <v>26</v>
      </c>
      <c r="G204">
        <v>15</v>
      </c>
      <c r="H204">
        <v>735579</v>
      </c>
      <c r="I204" s="5">
        <f>IFERROR(VLOOKUP(TrendSheetStgData[Population]&amp;TrendSheetStgData[Cost Basis]&amp;TrendSheetStgData[Period]&amp;TrendSheetStgData[Trend],TrendSheetPrdData[#All],9,FALSE),0)</f>
        <v>735579</v>
      </c>
      <c r="J2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4" s="5">
        <f>VLOOKUP(TrendSheetStgData[Population]&amp;TrendSheetStgData[Trend],Threshold[#All],4,FALSE)</f>
        <v>10</v>
      </c>
      <c r="L204" s="5">
        <f>VLOOKUP(TrendSheetStgData[Population]&amp;TrendSheetStgData[Trend],Threshold[#All],5,FALSE)</f>
        <v>5</v>
      </c>
      <c r="M2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5" spans="1:13" x14ac:dyDescent="0.25">
      <c r="A205" t="s">
        <v>90</v>
      </c>
      <c r="B205" t="s">
        <v>90</v>
      </c>
      <c r="C205" t="s">
        <v>91</v>
      </c>
      <c r="D205" s="1" t="s">
        <v>100</v>
      </c>
      <c r="E205" t="s">
        <v>93</v>
      </c>
      <c r="F205" t="s">
        <v>26</v>
      </c>
      <c r="G205">
        <v>15</v>
      </c>
      <c r="H205">
        <v>726488</v>
      </c>
      <c r="I205" s="5">
        <f>IFERROR(VLOOKUP(TrendSheetStgData[Population]&amp;TrendSheetStgData[Cost Basis]&amp;TrendSheetStgData[Period]&amp;TrendSheetStgData[Trend],TrendSheetPrdData[#All],9,FALSE),0)</f>
        <v>726488</v>
      </c>
      <c r="J2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5" s="5">
        <f>VLOOKUP(TrendSheetStgData[Population]&amp;TrendSheetStgData[Trend],Threshold[#All],4,FALSE)</f>
        <v>10</v>
      </c>
      <c r="L205" s="5">
        <f>VLOOKUP(TrendSheetStgData[Population]&amp;TrendSheetStgData[Trend],Threshold[#All],5,FALSE)</f>
        <v>5</v>
      </c>
      <c r="M2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6" spans="1:13" x14ac:dyDescent="0.25">
      <c r="A206" t="s">
        <v>90</v>
      </c>
      <c r="B206" t="s">
        <v>90</v>
      </c>
      <c r="C206" t="s">
        <v>91</v>
      </c>
      <c r="D206" s="1" t="s">
        <v>101</v>
      </c>
      <c r="E206" t="s">
        <v>93</v>
      </c>
      <c r="F206" t="s">
        <v>26</v>
      </c>
      <c r="G206">
        <v>15</v>
      </c>
      <c r="H206">
        <v>846841</v>
      </c>
      <c r="I206" s="5">
        <f>IFERROR(VLOOKUP(TrendSheetStgData[Population]&amp;TrendSheetStgData[Cost Basis]&amp;TrendSheetStgData[Period]&amp;TrendSheetStgData[Trend],TrendSheetPrdData[#All],9,FALSE),0)</f>
        <v>846841</v>
      </c>
      <c r="J2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6" s="5">
        <f>VLOOKUP(TrendSheetStgData[Population]&amp;TrendSheetStgData[Trend],Threshold[#All],4,FALSE)</f>
        <v>10</v>
      </c>
      <c r="L206" s="5">
        <f>VLOOKUP(TrendSheetStgData[Population]&amp;TrendSheetStgData[Trend],Threshold[#All],5,FALSE)</f>
        <v>5</v>
      </c>
      <c r="M2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7" spans="1:13" x14ac:dyDescent="0.25">
      <c r="A207" t="s">
        <v>90</v>
      </c>
      <c r="B207" t="s">
        <v>90</v>
      </c>
      <c r="C207" t="s">
        <v>91</v>
      </c>
      <c r="D207" s="1" t="s">
        <v>102</v>
      </c>
      <c r="E207" t="s">
        <v>93</v>
      </c>
      <c r="F207" t="s">
        <v>26</v>
      </c>
      <c r="G207">
        <v>15</v>
      </c>
      <c r="H207">
        <v>799493</v>
      </c>
      <c r="I207" s="5">
        <f>IFERROR(VLOOKUP(TrendSheetStgData[Population]&amp;TrendSheetStgData[Cost Basis]&amp;TrendSheetStgData[Period]&amp;TrendSheetStgData[Trend],TrendSheetPrdData[#All],9,FALSE),0)</f>
        <v>798925</v>
      </c>
      <c r="J2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7.1095534624651874E-2</v>
      </c>
      <c r="K207" s="5">
        <f>VLOOKUP(TrendSheetStgData[Population]&amp;TrendSheetStgData[Trend],Threshold[#All],4,FALSE)</f>
        <v>10</v>
      </c>
      <c r="L207" s="5">
        <f>VLOOKUP(TrendSheetStgData[Population]&amp;TrendSheetStgData[Trend],Threshold[#All],5,FALSE)</f>
        <v>5</v>
      </c>
      <c r="M2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08" spans="1:13" x14ac:dyDescent="0.25">
      <c r="A208" t="s">
        <v>90</v>
      </c>
      <c r="B208" t="s">
        <v>90</v>
      </c>
      <c r="C208" t="s">
        <v>91</v>
      </c>
      <c r="D208" s="1" t="s">
        <v>103</v>
      </c>
      <c r="E208" t="s">
        <v>93</v>
      </c>
      <c r="F208" t="s">
        <v>26</v>
      </c>
      <c r="G208">
        <v>15</v>
      </c>
      <c r="H208">
        <v>728273</v>
      </c>
      <c r="I208" s="5">
        <f>IFERROR(VLOOKUP(TrendSheetStgData[Population]&amp;TrendSheetStgData[Cost Basis]&amp;TrendSheetStgData[Period]&amp;TrendSheetStgData[Trend],TrendSheetPrdData[#All],9,FALSE),0)</f>
        <v>727705</v>
      </c>
      <c r="J2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7.8053606887406299E-2</v>
      </c>
      <c r="K208" s="5">
        <f>VLOOKUP(TrendSheetStgData[Population]&amp;TrendSheetStgData[Trend],Threshold[#All],4,FALSE)</f>
        <v>10</v>
      </c>
      <c r="L208" s="5">
        <f>VLOOKUP(TrendSheetStgData[Population]&amp;TrendSheetStgData[Trend],Threshold[#All],5,FALSE)</f>
        <v>5</v>
      </c>
      <c r="M2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09" spans="1:13" x14ac:dyDescent="0.25">
      <c r="A209" t="s">
        <v>90</v>
      </c>
      <c r="B209" t="s">
        <v>90</v>
      </c>
      <c r="C209" t="s">
        <v>91</v>
      </c>
      <c r="D209" s="1" t="s">
        <v>104</v>
      </c>
      <c r="E209" t="s">
        <v>93</v>
      </c>
      <c r="F209" t="s">
        <v>26</v>
      </c>
      <c r="G209">
        <v>15</v>
      </c>
      <c r="H209">
        <v>769998</v>
      </c>
      <c r="I209" s="5">
        <f>IFERROR(VLOOKUP(TrendSheetStgData[Population]&amp;TrendSheetStgData[Cost Basis]&amp;TrendSheetStgData[Period]&amp;TrendSheetStgData[Trend],TrendSheetPrdData[#All],9,FALSE),0)</f>
        <v>770673</v>
      </c>
      <c r="J2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8.7585785410933037E-2</v>
      </c>
      <c r="K209" s="5">
        <f>VLOOKUP(TrendSheetStgData[Population]&amp;TrendSheetStgData[Trend],Threshold[#All],4,FALSE)</f>
        <v>10</v>
      </c>
      <c r="L209" s="5">
        <f>VLOOKUP(TrendSheetStgData[Population]&amp;TrendSheetStgData[Trend],Threshold[#All],5,FALSE)</f>
        <v>5</v>
      </c>
      <c r="M2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10" spans="1:13" x14ac:dyDescent="0.25">
      <c r="A210" t="s">
        <v>90</v>
      </c>
      <c r="B210" t="s">
        <v>90</v>
      </c>
      <c r="C210" t="s">
        <v>91</v>
      </c>
      <c r="D210" s="1" t="s">
        <v>105</v>
      </c>
      <c r="E210" t="s">
        <v>106</v>
      </c>
      <c r="F210" t="s">
        <v>26</v>
      </c>
      <c r="G210">
        <v>15</v>
      </c>
      <c r="H210">
        <v>677302</v>
      </c>
      <c r="I210" s="5">
        <f>IFERROR(VLOOKUP(TrendSheetStgData[Population]&amp;TrendSheetStgData[Cost Basis]&amp;TrendSheetStgData[Period]&amp;TrendSheetStgData[Trend],TrendSheetPrdData[#All],9,FALSE),0)</f>
        <v>676938</v>
      </c>
      <c r="J2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5.3771541854645478E-2</v>
      </c>
      <c r="K210" s="5">
        <f>VLOOKUP(TrendSheetStgData[Population]&amp;TrendSheetStgData[Trend],Threshold[#All],4,FALSE)</f>
        <v>10</v>
      </c>
      <c r="L210" s="5">
        <f>VLOOKUP(TrendSheetStgData[Population]&amp;TrendSheetStgData[Trend],Threshold[#All],5,FALSE)</f>
        <v>5</v>
      </c>
      <c r="M2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11" spans="1:13" x14ac:dyDescent="0.25">
      <c r="A211" t="s">
        <v>90</v>
      </c>
      <c r="B211" t="s">
        <v>90</v>
      </c>
      <c r="C211" t="s">
        <v>91</v>
      </c>
      <c r="D211" s="1" t="s">
        <v>107</v>
      </c>
      <c r="E211" t="s">
        <v>106</v>
      </c>
      <c r="F211" t="s">
        <v>26</v>
      </c>
      <c r="G211">
        <v>15</v>
      </c>
      <c r="H211">
        <v>820274</v>
      </c>
      <c r="I211" s="5">
        <f>IFERROR(VLOOKUP(TrendSheetStgData[Population]&amp;TrendSheetStgData[Cost Basis]&amp;TrendSheetStgData[Period]&amp;TrendSheetStgData[Trend],TrendSheetPrdData[#All],9,FALSE),0)</f>
        <v>0</v>
      </c>
      <c r="J2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11" s="5">
        <f>VLOOKUP(TrendSheetStgData[Population]&amp;TrendSheetStgData[Trend],Threshold[#All],4,FALSE)</f>
        <v>10</v>
      </c>
      <c r="L211" s="5">
        <f>VLOOKUP(TrendSheetStgData[Population]&amp;TrendSheetStgData[Trend],Threshold[#All],5,FALSE)</f>
        <v>5</v>
      </c>
      <c r="M2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2" spans="1:13" x14ac:dyDescent="0.25">
      <c r="A212" t="s">
        <v>90</v>
      </c>
      <c r="B212" t="s">
        <v>90</v>
      </c>
      <c r="C212" t="s">
        <v>91</v>
      </c>
      <c r="D212" s="1" t="s">
        <v>92</v>
      </c>
      <c r="E212" t="s">
        <v>93</v>
      </c>
      <c r="F212" t="s">
        <v>27</v>
      </c>
      <c r="G212">
        <v>16</v>
      </c>
      <c r="H212">
        <v>0.87</v>
      </c>
      <c r="I212" s="5">
        <f>IFERROR(VLOOKUP(TrendSheetStgData[Population]&amp;TrendSheetStgData[Cost Basis]&amp;TrendSheetStgData[Period]&amp;TrendSheetStgData[Trend],TrendSheetPrdData[#All],9,FALSE),0)</f>
        <v>0.87</v>
      </c>
      <c r="J2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2" s="5">
        <f>VLOOKUP(TrendSheetStgData[Population]&amp;TrendSheetStgData[Trend],Threshold[#All],4,FALSE)</f>
        <v>10</v>
      </c>
      <c r="L212" s="5">
        <f>VLOOKUP(TrendSheetStgData[Population]&amp;TrendSheetStgData[Trend],Threshold[#All],5,FALSE)</f>
        <v>5</v>
      </c>
      <c r="M2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3" spans="1:13" x14ac:dyDescent="0.25">
      <c r="A213" t="s">
        <v>90</v>
      </c>
      <c r="B213" t="s">
        <v>90</v>
      </c>
      <c r="C213" t="s">
        <v>91</v>
      </c>
      <c r="D213" s="1" t="s">
        <v>94</v>
      </c>
      <c r="E213" t="s">
        <v>93</v>
      </c>
      <c r="F213" t="s">
        <v>27</v>
      </c>
      <c r="G213">
        <v>16</v>
      </c>
      <c r="H213">
        <v>0.88</v>
      </c>
      <c r="I213" s="5">
        <f>IFERROR(VLOOKUP(TrendSheetStgData[Population]&amp;TrendSheetStgData[Cost Basis]&amp;TrendSheetStgData[Period]&amp;TrendSheetStgData[Trend],TrendSheetPrdData[#All],9,FALSE),0)</f>
        <v>0.88</v>
      </c>
      <c r="J2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3" s="5">
        <f>VLOOKUP(TrendSheetStgData[Population]&amp;TrendSheetStgData[Trend],Threshold[#All],4,FALSE)</f>
        <v>10</v>
      </c>
      <c r="L213" s="5">
        <f>VLOOKUP(TrendSheetStgData[Population]&amp;TrendSheetStgData[Trend],Threshold[#All],5,FALSE)</f>
        <v>5</v>
      </c>
      <c r="M2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4" spans="1:13" x14ac:dyDescent="0.25">
      <c r="A214" t="s">
        <v>90</v>
      </c>
      <c r="B214" t="s">
        <v>90</v>
      </c>
      <c r="C214" t="s">
        <v>91</v>
      </c>
      <c r="D214" s="1" t="s">
        <v>95</v>
      </c>
      <c r="E214" t="s">
        <v>93</v>
      </c>
      <c r="F214" t="s">
        <v>27</v>
      </c>
      <c r="G214">
        <v>16</v>
      </c>
      <c r="H214">
        <v>0.88</v>
      </c>
      <c r="I214" s="5">
        <f>IFERROR(VLOOKUP(TrendSheetStgData[Population]&amp;TrendSheetStgData[Cost Basis]&amp;TrendSheetStgData[Period]&amp;TrendSheetStgData[Trend],TrendSheetPrdData[#All],9,FALSE),0)</f>
        <v>0.88</v>
      </c>
      <c r="J2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4" s="5">
        <f>VLOOKUP(TrendSheetStgData[Population]&amp;TrendSheetStgData[Trend],Threshold[#All],4,FALSE)</f>
        <v>10</v>
      </c>
      <c r="L214" s="5">
        <f>VLOOKUP(TrendSheetStgData[Population]&amp;TrendSheetStgData[Trend],Threshold[#All],5,FALSE)</f>
        <v>5</v>
      </c>
      <c r="M2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5" spans="1:13" x14ac:dyDescent="0.25">
      <c r="A215" t="s">
        <v>90</v>
      </c>
      <c r="B215" t="s">
        <v>90</v>
      </c>
      <c r="C215" t="s">
        <v>91</v>
      </c>
      <c r="D215" s="1" t="s">
        <v>96</v>
      </c>
      <c r="E215" t="s">
        <v>93</v>
      </c>
      <c r="F215" t="s">
        <v>27</v>
      </c>
      <c r="G215">
        <v>16</v>
      </c>
      <c r="H215">
        <v>0.87</v>
      </c>
      <c r="I215" s="5">
        <f>IFERROR(VLOOKUP(TrendSheetStgData[Population]&amp;TrendSheetStgData[Cost Basis]&amp;TrendSheetStgData[Period]&amp;TrendSheetStgData[Trend],TrendSheetPrdData[#All],9,FALSE),0)</f>
        <v>0.87</v>
      </c>
      <c r="J2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5" s="5">
        <f>VLOOKUP(TrendSheetStgData[Population]&amp;TrendSheetStgData[Trend],Threshold[#All],4,FALSE)</f>
        <v>10</v>
      </c>
      <c r="L215" s="5">
        <f>VLOOKUP(TrendSheetStgData[Population]&amp;TrendSheetStgData[Trend],Threshold[#All],5,FALSE)</f>
        <v>5</v>
      </c>
      <c r="M2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6" spans="1:13" x14ac:dyDescent="0.25">
      <c r="A216" t="s">
        <v>90</v>
      </c>
      <c r="B216" t="s">
        <v>90</v>
      </c>
      <c r="C216" t="s">
        <v>91</v>
      </c>
      <c r="D216" s="1" t="s">
        <v>97</v>
      </c>
      <c r="E216" t="s">
        <v>93</v>
      </c>
      <c r="F216" t="s">
        <v>27</v>
      </c>
      <c r="G216">
        <v>16</v>
      </c>
      <c r="H216">
        <v>0.87</v>
      </c>
      <c r="I216" s="5">
        <f>IFERROR(VLOOKUP(TrendSheetStgData[Population]&amp;TrendSheetStgData[Cost Basis]&amp;TrendSheetStgData[Period]&amp;TrendSheetStgData[Trend],TrendSheetPrdData[#All],9,FALSE),0)</f>
        <v>0.87</v>
      </c>
      <c r="J2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6" s="5">
        <f>VLOOKUP(TrendSheetStgData[Population]&amp;TrendSheetStgData[Trend],Threshold[#All],4,FALSE)</f>
        <v>10</v>
      </c>
      <c r="L216" s="5">
        <f>VLOOKUP(TrendSheetStgData[Population]&amp;TrendSheetStgData[Trend],Threshold[#All],5,FALSE)</f>
        <v>5</v>
      </c>
      <c r="M2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7" spans="1:13" x14ac:dyDescent="0.25">
      <c r="A217" t="s">
        <v>90</v>
      </c>
      <c r="B217" t="s">
        <v>90</v>
      </c>
      <c r="C217" t="s">
        <v>91</v>
      </c>
      <c r="D217" s="1" t="s">
        <v>98</v>
      </c>
      <c r="E217" t="s">
        <v>93</v>
      </c>
      <c r="F217" t="s">
        <v>27</v>
      </c>
      <c r="G217">
        <v>16</v>
      </c>
      <c r="H217">
        <v>0.88</v>
      </c>
      <c r="I217" s="5">
        <f>IFERROR(VLOOKUP(TrendSheetStgData[Population]&amp;TrendSheetStgData[Cost Basis]&amp;TrendSheetStgData[Period]&amp;TrendSheetStgData[Trend],TrendSheetPrdData[#All],9,FALSE),0)</f>
        <v>0.88</v>
      </c>
      <c r="J2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7" s="5">
        <f>VLOOKUP(TrendSheetStgData[Population]&amp;TrendSheetStgData[Trend],Threshold[#All],4,FALSE)</f>
        <v>10</v>
      </c>
      <c r="L217" s="5">
        <f>VLOOKUP(TrendSheetStgData[Population]&amp;TrendSheetStgData[Trend],Threshold[#All],5,FALSE)</f>
        <v>5</v>
      </c>
      <c r="M2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8" spans="1:13" x14ac:dyDescent="0.25">
      <c r="A218" t="s">
        <v>90</v>
      </c>
      <c r="B218" t="s">
        <v>90</v>
      </c>
      <c r="C218" t="s">
        <v>91</v>
      </c>
      <c r="D218" s="1" t="s">
        <v>99</v>
      </c>
      <c r="E218" t="s">
        <v>93</v>
      </c>
      <c r="F218" t="s">
        <v>27</v>
      </c>
      <c r="G218">
        <v>16</v>
      </c>
      <c r="H218">
        <v>0.88</v>
      </c>
      <c r="I218" s="5">
        <f>IFERROR(VLOOKUP(TrendSheetStgData[Population]&amp;TrendSheetStgData[Cost Basis]&amp;TrendSheetStgData[Period]&amp;TrendSheetStgData[Trend],TrendSheetPrdData[#All],9,FALSE),0)</f>
        <v>0.88</v>
      </c>
      <c r="J2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8" s="5">
        <f>VLOOKUP(TrendSheetStgData[Population]&amp;TrendSheetStgData[Trend],Threshold[#All],4,FALSE)</f>
        <v>10</v>
      </c>
      <c r="L218" s="5">
        <f>VLOOKUP(TrendSheetStgData[Population]&amp;TrendSheetStgData[Trend],Threshold[#All],5,FALSE)</f>
        <v>5</v>
      </c>
      <c r="M2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9" spans="1:13" x14ac:dyDescent="0.25">
      <c r="A219" t="s">
        <v>90</v>
      </c>
      <c r="B219" t="s">
        <v>90</v>
      </c>
      <c r="C219" t="s">
        <v>91</v>
      </c>
      <c r="D219" s="1" t="s">
        <v>100</v>
      </c>
      <c r="E219" t="s">
        <v>93</v>
      </c>
      <c r="F219" t="s">
        <v>27</v>
      </c>
      <c r="G219">
        <v>16</v>
      </c>
      <c r="H219">
        <v>0.87</v>
      </c>
      <c r="I219" s="5">
        <f>IFERROR(VLOOKUP(TrendSheetStgData[Population]&amp;TrendSheetStgData[Cost Basis]&amp;TrendSheetStgData[Period]&amp;TrendSheetStgData[Trend],TrendSheetPrdData[#All],9,FALSE),0)</f>
        <v>0.87</v>
      </c>
      <c r="J2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9" s="5">
        <f>VLOOKUP(TrendSheetStgData[Population]&amp;TrendSheetStgData[Trend],Threshold[#All],4,FALSE)</f>
        <v>10</v>
      </c>
      <c r="L219" s="5">
        <f>VLOOKUP(TrendSheetStgData[Population]&amp;TrendSheetStgData[Trend],Threshold[#All],5,FALSE)</f>
        <v>5</v>
      </c>
      <c r="M2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0" spans="1:13" x14ac:dyDescent="0.25">
      <c r="A220" t="s">
        <v>90</v>
      </c>
      <c r="B220" t="s">
        <v>90</v>
      </c>
      <c r="C220" t="s">
        <v>91</v>
      </c>
      <c r="D220" s="1" t="s">
        <v>101</v>
      </c>
      <c r="E220" t="s">
        <v>93</v>
      </c>
      <c r="F220" t="s">
        <v>27</v>
      </c>
      <c r="G220">
        <v>16</v>
      </c>
      <c r="H220">
        <v>0.88</v>
      </c>
      <c r="I220" s="5">
        <f>IFERROR(VLOOKUP(TrendSheetStgData[Population]&amp;TrendSheetStgData[Cost Basis]&amp;TrendSheetStgData[Period]&amp;TrendSheetStgData[Trend],TrendSheetPrdData[#All],9,FALSE),0)</f>
        <v>0.88</v>
      </c>
      <c r="J2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0" s="5">
        <f>VLOOKUP(TrendSheetStgData[Population]&amp;TrendSheetStgData[Trend],Threshold[#All],4,FALSE)</f>
        <v>10</v>
      </c>
      <c r="L220" s="5">
        <f>VLOOKUP(TrendSheetStgData[Population]&amp;TrendSheetStgData[Trend],Threshold[#All],5,FALSE)</f>
        <v>5</v>
      </c>
      <c r="M2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1" spans="1:13" x14ac:dyDescent="0.25">
      <c r="A221" t="s">
        <v>90</v>
      </c>
      <c r="B221" t="s">
        <v>90</v>
      </c>
      <c r="C221" t="s">
        <v>91</v>
      </c>
      <c r="D221" s="1" t="s">
        <v>102</v>
      </c>
      <c r="E221" t="s">
        <v>93</v>
      </c>
      <c r="F221" t="s">
        <v>27</v>
      </c>
      <c r="G221">
        <v>16</v>
      </c>
      <c r="H221">
        <v>0.88</v>
      </c>
      <c r="I221" s="5">
        <f>IFERROR(VLOOKUP(TrendSheetStgData[Population]&amp;TrendSheetStgData[Cost Basis]&amp;TrendSheetStgData[Period]&amp;TrendSheetStgData[Trend],TrendSheetPrdData[#All],9,FALSE),0)</f>
        <v>0.88</v>
      </c>
      <c r="J2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1" s="5">
        <f>VLOOKUP(TrendSheetStgData[Population]&amp;TrendSheetStgData[Trend],Threshold[#All],4,FALSE)</f>
        <v>10</v>
      </c>
      <c r="L221" s="5">
        <f>VLOOKUP(TrendSheetStgData[Population]&amp;TrendSheetStgData[Trend],Threshold[#All],5,FALSE)</f>
        <v>5</v>
      </c>
      <c r="M2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2" spans="1:13" x14ac:dyDescent="0.25">
      <c r="A222" t="s">
        <v>90</v>
      </c>
      <c r="B222" t="s">
        <v>90</v>
      </c>
      <c r="C222" t="s">
        <v>91</v>
      </c>
      <c r="D222" s="1" t="s">
        <v>103</v>
      </c>
      <c r="E222" t="s">
        <v>93</v>
      </c>
      <c r="F222" t="s">
        <v>27</v>
      </c>
      <c r="G222">
        <v>16</v>
      </c>
      <c r="H222">
        <v>0.87</v>
      </c>
      <c r="I222" s="5">
        <f>IFERROR(VLOOKUP(TrendSheetStgData[Population]&amp;TrendSheetStgData[Cost Basis]&amp;TrendSheetStgData[Period]&amp;TrendSheetStgData[Trend],TrendSheetPrdData[#All],9,FALSE),0)</f>
        <v>0.87</v>
      </c>
      <c r="J2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2" s="5">
        <f>VLOOKUP(TrendSheetStgData[Population]&amp;TrendSheetStgData[Trend],Threshold[#All],4,FALSE)</f>
        <v>10</v>
      </c>
      <c r="L222" s="5">
        <f>VLOOKUP(TrendSheetStgData[Population]&amp;TrendSheetStgData[Trend],Threshold[#All],5,FALSE)</f>
        <v>5</v>
      </c>
      <c r="M2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3" spans="1:13" x14ac:dyDescent="0.25">
      <c r="A223" t="s">
        <v>90</v>
      </c>
      <c r="B223" t="s">
        <v>90</v>
      </c>
      <c r="C223" t="s">
        <v>91</v>
      </c>
      <c r="D223" s="1" t="s">
        <v>104</v>
      </c>
      <c r="E223" t="s">
        <v>93</v>
      </c>
      <c r="F223" t="s">
        <v>27</v>
      </c>
      <c r="G223">
        <v>16</v>
      </c>
      <c r="H223">
        <v>0.88</v>
      </c>
      <c r="I223" s="5">
        <f>IFERROR(VLOOKUP(TrendSheetStgData[Population]&amp;TrendSheetStgData[Cost Basis]&amp;TrendSheetStgData[Period]&amp;TrendSheetStgData[Trend],TrendSheetPrdData[#All],9,FALSE),0)</f>
        <v>0.89</v>
      </c>
      <c r="J2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1.1235955056179785</v>
      </c>
      <c r="K223" s="5">
        <f>VLOOKUP(TrendSheetStgData[Population]&amp;TrendSheetStgData[Trend],Threshold[#All],4,FALSE)</f>
        <v>10</v>
      </c>
      <c r="L223" s="5">
        <f>VLOOKUP(TrendSheetStgData[Population]&amp;TrendSheetStgData[Trend],Threshold[#All],5,FALSE)</f>
        <v>5</v>
      </c>
      <c r="M2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4" spans="1:13" x14ac:dyDescent="0.25">
      <c r="A224" t="s">
        <v>90</v>
      </c>
      <c r="B224" t="s">
        <v>90</v>
      </c>
      <c r="C224" t="s">
        <v>91</v>
      </c>
      <c r="D224" s="1" t="s">
        <v>105</v>
      </c>
      <c r="E224" t="s">
        <v>106</v>
      </c>
      <c r="F224" t="s">
        <v>27</v>
      </c>
      <c r="G224">
        <v>16</v>
      </c>
      <c r="H224">
        <v>0.89</v>
      </c>
      <c r="I224" s="5">
        <f>IFERROR(VLOOKUP(TrendSheetStgData[Population]&amp;TrendSheetStgData[Cost Basis]&amp;TrendSheetStgData[Period]&amp;TrendSheetStgData[Trend],TrendSheetPrdData[#All],9,FALSE),0)</f>
        <v>0.89</v>
      </c>
      <c r="J2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4" s="5">
        <f>VLOOKUP(TrendSheetStgData[Population]&amp;TrendSheetStgData[Trend],Threshold[#All],4,FALSE)</f>
        <v>10</v>
      </c>
      <c r="L224" s="5">
        <f>VLOOKUP(TrendSheetStgData[Population]&amp;TrendSheetStgData[Trend],Threshold[#All],5,FALSE)</f>
        <v>5</v>
      </c>
      <c r="M2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5" spans="1:13" x14ac:dyDescent="0.25">
      <c r="A225" t="s">
        <v>90</v>
      </c>
      <c r="B225" t="s">
        <v>90</v>
      </c>
      <c r="C225" t="s">
        <v>91</v>
      </c>
      <c r="D225" s="1" t="s">
        <v>107</v>
      </c>
      <c r="E225" t="s">
        <v>106</v>
      </c>
      <c r="F225" t="s">
        <v>27</v>
      </c>
      <c r="G225">
        <v>16</v>
      </c>
      <c r="H225">
        <v>0.88</v>
      </c>
      <c r="I225" s="5">
        <f>IFERROR(VLOOKUP(TrendSheetStgData[Population]&amp;TrendSheetStgData[Cost Basis]&amp;TrendSheetStgData[Period]&amp;TrendSheetStgData[Trend],TrendSheetPrdData[#All],9,FALSE),0)</f>
        <v>0</v>
      </c>
      <c r="J2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25" s="5">
        <f>VLOOKUP(TrendSheetStgData[Population]&amp;TrendSheetStgData[Trend],Threshold[#All],4,FALSE)</f>
        <v>10</v>
      </c>
      <c r="L225" s="5">
        <f>VLOOKUP(TrendSheetStgData[Population]&amp;TrendSheetStgData[Trend],Threshold[#All],5,FALSE)</f>
        <v>5</v>
      </c>
      <c r="M2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6" spans="1:13" x14ac:dyDescent="0.25">
      <c r="A226" t="s">
        <v>90</v>
      </c>
      <c r="B226" t="s">
        <v>90</v>
      </c>
      <c r="C226" t="s">
        <v>91</v>
      </c>
      <c r="D226" s="1" t="s">
        <v>92</v>
      </c>
      <c r="E226" t="s">
        <v>93</v>
      </c>
      <c r="F226" t="s">
        <v>28</v>
      </c>
      <c r="G226">
        <v>17</v>
      </c>
      <c r="H226">
        <v>2720271</v>
      </c>
      <c r="I226" s="5">
        <f>IFERROR(VLOOKUP(TrendSheetStgData[Population]&amp;TrendSheetStgData[Cost Basis]&amp;TrendSheetStgData[Period]&amp;TrendSheetStgData[Trend],TrendSheetPrdData[#All],9,FALSE),0)</f>
        <v>2720015</v>
      </c>
      <c r="J2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9.4117128030543947E-3</v>
      </c>
      <c r="K226" s="5">
        <f>VLOOKUP(TrendSheetStgData[Population]&amp;TrendSheetStgData[Trend],Threshold[#All],4,FALSE)</f>
        <v>10</v>
      </c>
      <c r="L226" s="5">
        <f>VLOOKUP(TrendSheetStgData[Population]&amp;TrendSheetStgData[Trend],Threshold[#All],5,FALSE)</f>
        <v>5</v>
      </c>
      <c r="M2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7" spans="1:13" x14ac:dyDescent="0.25">
      <c r="A227" t="s">
        <v>90</v>
      </c>
      <c r="B227" t="s">
        <v>90</v>
      </c>
      <c r="C227" t="s">
        <v>91</v>
      </c>
      <c r="D227" s="1" t="s">
        <v>94</v>
      </c>
      <c r="E227" t="s">
        <v>93</v>
      </c>
      <c r="F227" t="s">
        <v>28</v>
      </c>
      <c r="G227">
        <v>17</v>
      </c>
      <c r="H227">
        <v>2611473</v>
      </c>
      <c r="I227" s="5">
        <f>IFERROR(VLOOKUP(TrendSheetStgData[Population]&amp;TrendSheetStgData[Cost Basis]&amp;TrendSheetStgData[Period]&amp;TrendSheetStgData[Trend],TrendSheetPrdData[#All],9,FALSE),0)</f>
        <v>2610543</v>
      </c>
      <c r="J2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3.5624772317483372E-2</v>
      </c>
      <c r="K227" s="5">
        <f>VLOOKUP(TrendSheetStgData[Population]&amp;TrendSheetStgData[Trend],Threshold[#All],4,FALSE)</f>
        <v>10</v>
      </c>
      <c r="L227" s="5">
        <f>VLOOKUP(TrendSheetStgData[Population]&amp;TrendSheetStgData[Trend],Threshold[#All],5,FALSE)</f>
        <v>5</v>
      </c>
      <c r="M2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8" spans="1:13" x14ac:dyDescent="0.25">
      <c r="A228" t="s">
        <v>90</v>
      </c>
      <c r="B228" t="s">
        <v>90</v>
      </c>
      <c r="C228" t="s">
        <v>91</v>
      </c>
      <c r="D228" s="1" t="s">
        <v>95</v>
      </c>
      <c r="E228" t="s">
        <v>93</v>
      </c>
      <c r="F228" t="s">
        <v>28</v>
      </c>
      <c r="G228">
        <v>17</v>
      </c>
      <c r="H228">
        <v>3073193</v>
      </c>
      <c r="I228" s="5">
        <f>IFERROR(VLOOKUP(TrendSheetStgData[Population]&amp;TrendSheetStgData[Cost Basis]&amp;TrendSheetStgData[Period]&amp;TrendSheetStgData[Trend],TrendSheetPrdData[#All],9,FALSE),0)</f>
        <v>3071280</v>
      </c>
      <c r="J2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6.2286733869917434E-2</v>
      </c>
      <c r="K228" s="5">
        <f>VLOOKUP(TrendSheetStgData[Population]&amp;TrendSheetStgData[Trend],Threshold[#All],4,FALSE)</f>
        <v>10</v>
      </c>
      <c r="L228" s="5">
        <f>VLOOKUP(TrendSheetStgData[Population]&amp;TrendSheetStgData[Trend],Threshold[#All],5,FALSE)</f>
        <v>5</v>
      </c>
      <c r="M2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9" spans="1:13" x14ac:dyDescent="0.25">
      <c r="A229" t="s">
        <v>90</v>
      </c>
      <c r="B229" t="s">
        <v>90</v>
      </c>
      <c r="C229" t="s">
        <v>91</v>
      </c>
      <c r="D229" s="1" t="s">
        <v>96</v>
      </c>
      <c r="E229" t="s">
        <v>93</v>
      </c>
      <c r="F229" t="s">
        <v>28</v>
      </c>
      <c r="G229">
        <v>17</v>
      </c>
      <c r="H229">
        <v>2631969</v>
      </c>
      <c r="I229" s="5">
        <f>IFERROR(VLOOKUP(TrendSheetStgData[Population]&amp;TrendSheetStgData[Cost Basis]&amp;TrendSheetStgData[Period]&amp;TrendSheetStgData[Trend],TrendSheetPrdData[#All],9,FALSE),0)</f>
        <v>2613902</v>
      </c>
      <c r="J2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0.69118888160305936</v>
      </c>
      <c r="K229" s="5">
        <f>VLOOKUP(TrendSheetStgData[Population]&amp;TrendSheetStgData[Trend],Threshold[#All],4,FALSE)</f>
        <v>10</v>
      </c>
      <c r="L229" s="5">
        <f>VLOOKUP(TrendSheetStgData[Population]&amp;TrendSheetStgData[Trend],Threshold[#All],5,FALSE)</f>
        <v>5</v>
      </c>
      <c r="M2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0" spans="1:13" x14ac:dyDescent="0.25">
      <c r="A230" t="s">
        <v>90</v>
      </c>
      <c r="B230" t="s">
        <v>90</v>
      </c>
      <c r="C230" t="s">
        <v>91</v>
      </c>
      <c r="D230" s="1" t="s">
        <v>97</v>
      </c>
      <c r="E230" t="s">
        <v>93</v>
      </c>
      <c r="F230" t="s">
        <v>28</v>
      </c>
      <c r="G230">
        <v>17</v>
      </c>
      <c r="H230">
        <v>2718516</v>
      </c>
      <c r="I230" s="5">
        <f>IFERROR(VLOOKUP(TrendSheetStgData[Population]&amp;TrendSheetStgData[Cost Basis]&amp;TrendSheetStgData[Period]&amp;TrendSheetStgData[Trend],TrendSheetPrdData[#All],9,FALSE),0)</f>
        <v>2717143</v>
      </c>
      <c r="J2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5.0531017322238837E-2</v>
      </c>
      <c r="K230" s="5">
        <f>VLOOKUP(TrendSheetStgData[Population]&amp;TrendSheetStgData[Trend],Threshold[#All],4,FALSE)</f>
        <v>10</v>
      </c>
      <c r="L230" s="5">
        <f>VLOOKUP(TrendSheetStgData[Population]&amp;TrendSheetStgData[Trend],Threshold[#All],5,FALSE)</f>
        <v>5</v>
      </c>
      <c r="M2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1" spans="1:13" x14ac:dyDescent="0.25">
      <c r="A231" t="s">
        <v>90</v>
      </c>
      <c r="B231" t="s">
        <v>90</v>
      </c>
      <c r="C231" t="s">
        <v>91</v>
      </c>
      <c r="D231" s="1" t="s">
        <v>98</v>
      </c>
      <c r="E231" t="s">
        <v>93</v>
      </c>
      <c r="F231" t="s">
        <v>28</v>
      </c>
      <c r="G231">
        <v>17</v>
      </c>
      <c r="H231">
        <v>3089092</v>
      </c>
      <c r="I231" s="5">
        <f>IFERROR(VLOOKUP(TrendSheetStgData[Population]&amp;TrendSheetStgData[Cost Basis]&amp;TrendSheetStgData[Period]&amp;TrendSheetStgData[Trend],TrendSheetPrdData[#All],9,FALSE),0)</f>
        <v>3092771</v>
      </c>
      <c r="J2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0.11895481430729918</v>
      </c>
      <c r="K231" s="5">
        <f>VLOOKUP(TrendSheetStgData[Population]&amp;TrendSheetStgData[Trend],Threshold[#All],4,FALSE)</f>
        <v>10</v>
      </c>
      <c r="L231" s="5">
        <f>VLOOKUP(TrendSheetStgData[Population]&amp;TrendSheetStgData[Trend],Threshold[#All],5,FALSE)</f>
        <v>5</v>
      </c>
      <c r="M2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2" spans="1:13" x14ac:dyDescent="0.25">
      <c r="A232" t="s">
        <v>90</v>
      </c>
      <c r="B232" t="s">
        <v>90</v>
      </c>
      <c r="C232" t="s">
        <v>91</v>
      </c>
      <c r="D232" s="1" t="s">
        <v>99</v>
      </c>
      <c r="E232" t="s">
        <v>93</v>
      </c>
      <c r="F232" t="s">
        <v>28</v>
      </c>
      <c r="G232">
        <v>17</v>
      </c>
      <c r="H232">
        <v>2777819</v>
      </c>
      <c r="I232" s="5">
        <f>IFERROR(VLOOKUP(TrendSheetStgData[Population]&amp;TrendSheetStgData[Cost Basis]&amp;TrendSheetStgData[Period]&amp;TrendSheetStgData[Trend],TrendSheetPrdData[#All],9,FALSE),0)</f>
        <v>2747052</v>
      </c>
      <c r="J2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1.1200006406868162</v>
      </c>
      <c r="K232" s="5">
        <f>VLOOKUP(TrendSheetStgData[Population]&amp;TrendSheetStgData[Trend],Threshold[#All],4,FALSE)</f>
        <v>10</v>
      </c>
      <c r="L232" s="5">
        <f>VLOOKUP(TrendSheetStgData[Population]&amp;TrendSheetStgData[Trend],Threshold[#All],5,FALSE)</f>
        <v>5</v>
      </c>
      <c r="M2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3" spans="1:13" x14ac:dyDescent="0.25">
      <c r="A233" t="s">
        <v>90</v>
      </c>
      <c r="B233" t="s">
        <v>90</v>
      </c>
      <c r="C233" t="s">
        <v>91</v>
      </c>
      <c r="D233" s="1" t="s">
        <v>100</v>
      </c>
      <c r="E233" t="s">
        <v>93</v>
      </c>
      <c r="F233" t="s">
        <v>28</v>
      </c>
      <c r="G233">
        <v>17</v>
      </c>
      <c r="H233">
        <v>3008911</v>
      </c>
      <c r="I233" s="5">
        <f>IFERROR(VLOOKUP(TrendSheetStgData[Population]&amp;TrendSheetStgData[Cost Basis]&amp;TrendSheetStgData[Period]&amp;TrendSheetStgData[Trend],TrendSheetPrdData[#All],9,FALSE),0)</f>
        <v>3004870</v>
      </c>
      <c r="J2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0.13448169138764737</v>
      </c>
      <c r="K233" s="5">
        <f>VLOOKUP(TrendSheetStgData[Population]&amp;TrendSheetStgData[Trend],Threshold[#All],4,FALSE)</f>
        <v>10</v>
      </c>
      <c r="L233" s="5">
        <f>VLOOKUP(TrendSheetStgData[Population]&amp;TrendSheetStgData[Trend],Threshold[#All],5,FALSE)</f>
        <v>5</v>
      </c>
      <c r="M2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4" spans="1:13" x14ac:dyDescent="0.25">
      <c r="A234" t="s">
        <v>90</v>
      </c>
      <c r="B234" t="s">
        <v>90</v>
      </c>
      <c r="C234" t="s">
        <v>91</v>
      </c>
      <c r="D234" s="1" t="s">
        <v>101</v>
      </c>
      <c r="E234" t="s">
        <v>93</v>
      </c>
      <c r="F234" t="s">
        <v>28</v>
      </c>
      <c r="G234">
        <v>17</v>
      </c>
      <c r="H234">
        <v>3255933</v>
      </c>
      <c r="I234" s="5">
        <f>IFERROR(VLOOKUP(TrendSheetStgData[Population]&amp;TrendSheetStgData[Cost Basis]&amp;TrendSheetStgData[Period]&amp;TrendSheetStgData[Trend],TrendSheetPrdData[#All],9,FALSE),0)</f>
        <v>3249473</v>
      </c>
      <c r="J2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0.19880146719175695</v>
      </c>
      <c r="K234" s="5">
        <f>VLOOKUP(TrendSheetStgData[Population]&amp;TrendSheetStgData[Trend],Threshold[#All],4,FALSE)</f>
        <v>10</v>
      </c>
      <c r="L234" s="5">
        <f>VLOOKUP(TrendSheetStgData[Population]&amp;TrendSheetStgData[Trend],Threshold[#All],5,FALSE)</f>
        <v>5</v>
      </c>
      <c r="M2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5" spans="1:13" x14ac:dyDescent="0.25">
      <c r="A235" t="s">
        <v>90</v>
      </c>
      <c r="B235" t="s">
        <v>90</v>
      </c>
      <c r="C235" t="s">
        <v>91</v>
      </c>
      <c r="D235" s="1" t="s">
        <v>102</v>
      </c>
      <c r="E235" t="s">
        <v>93</v>
      </c>
      <c r="F235" t="s">
        <v>28</v>
      </c>
      <c r="G235">
        <v>17</v>
      </c>
      <c r="H235">
        <v>2902681</v>
      </c>
      <c r="I235" s="5">
        <f>IFERROR(VLOOKUP(TrendSheetStgData[Population]&amp;TrendSheetStgData[Cost Basis]&amp;TrendSheetStgData[Period]&amp;TrendSheetStgData[Trend],TrendSheetPrdData[#All],9,FALSE),0)</f>
        <v>2814876</v>
      </c>
      <c r="J2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3.1193203537207324</v>
      </c>
      <c r="K235" s="5">
        <f>VLOOKUP(TrendSheetStgData[Population]&amp;TrendSheetStgData[Trend],Threshold[#All],4,FALSE)</f>
        <v>10</v>
      </c>
      <c r="L235" s="5">
        <f>VLOOKUP(TrendSheetStgData[Population]&amp;TrendSheetStgData[Trend],Threshold[#All],5,FALSE)</f>
        <v>5</v>
      </c>
      <c r="M2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6" spans="1:13" x14ac:dyDescent="0.25">
      <c r="A236" t="s">
        <v>90</v>
      </c>
      <c r="B236" t="s">
        <v>90</v>
      </c>
      <c r="C236" t="s">
        <v>91</v>
      </c>
      <c r="D236" s="1" t="s">
        <v>103</v>
      </c>
      <c r="E236" t="s">
        <v>93</v>
      </c>
      <c r="F236" t="s">
        <v>28</v>
      </c>
      <c r="G236">
        <v>17</v>
      </c>
      <c r="H236">
        <v>3013687</v>
      </c>
      <c r="I236" s="5">
        <f>IFERROR(VLOOKUP(TrendSheetStgData[Population]&amp;TrendSheetStgData[Cost Basis]&amp;TrendSheetStgData[Period]&amp;TrendSheetStgData[Trend],TrendSheetPrdData[#All],9,FALSE),0)</f>
        <v>2961439</v>
      </c>
      <c r="J2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1.7642774340447329</v>
      </c>
      <c r="K236" s="5">
        <f>VLOOKUP(TrendSheetStgData[Population]&amp;TrendSheetStgData[Trend],Threshold[#All],4,FALSE)</f>
        <v>10</v>
      </c>
      <c r="L236" s="5">
        <f>VLOOKUP(TrendSheetStgData[Population]&amp;TrendSheetStgData[Trend],Threshold[#All],5,FALSE)</f>
        <v>5</v>
      </c>
      <c r="M2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7" spans="1:13" x14ac:dyDescent="0.25">
      <c r="A237" t="s">
        <v>90</v>
      </c>
      <c r="B237" t="s">
        <v>90</v>
      </c>
      <c r="C237" t="s">
        <v>91</v>
      </c>
      <c r="D237" s="1" t="s">
        <v>104</v>
      </c>
      <c r="E237" t="s">
        <v>93</v>
      </c>
      <c r="F237" t="s">
        <v>28</v>
      </c>
      <c r="G237">
        <v>17</v>
      </c>
      <c r="H237">
        <v>3238531</v>
      </c>
      <c r="I237" s="5">
        <f>IFERROR(VLOOKUP(TrendSheetStgData[Population]&amp;TrendSheetStgData[Cost Basis]&amp;TrendSheetStgData[Period]&amp;TrendSheetStgData[Trend],TrendSheetPrdData[#All],9,FALSE),0)</f>
        <v>3053306</v>
      </c>
      <c r="J2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6.0663752666781514</v>
      </c>
      <c r="K237" s="5">
        <f>VLOOKUP(TrendSheetStgData[Population]&amp;TrendSheetStgData[Trend],Threshold[#All],4,FALSE)</f>
        <v>10</v>
      </c>
      <c r="L237" s="5">
        <f>VLOOKUP(TrendSheetStgData[Population]&amp;TrendSheetStgData[Trend],Threshold[#All],5,FALSE)</f>
        <v>5</v>
      </c>
      <c r="M2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38" spans="1:13" x14ac:dyDescent="0.25">
      <c r="A238" t="s">
        <v>90</v>
      </c>
      <c r="B238" t="s">
        <v>90</v>
      </c>
      <c r="C238" t="s">
        <v>91</v>
      </c>
      <c r="D238" s="1" t="s">
        <v>105</v>
      </c>
      <c r="E238" t="s">
        <v>106</v>
      </c>
      <c r="F238" t="s">
        <v>28</v>
      </c>
      <c r="G238">
        <v>17</v>
      </c>
      <c r="H238">
        <v>2600014</v>
      </c>
      <c r="I238" s="5">
        <f>IFERROR(VLOOKUP(TrendSheetStgData[Population]&amp;TrendSheetStgData[Cost Basis]&amp;TrendSheetStgData[Period]&amp;TrendSheetStgData[Trend],TrendSheetPrdData[#All],9,FALSE),0)</f>
        <v>1065971</v>
      </c>
      <c r="J2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143.91038780604725</v>
      </c>
      <c r="K238" s="5">
        <f>VLOOKUP(TrendSheetStgData[Population]&amp;TrendSheetStgData[Trend],Threshold[#All],4,FALSE)</f>
        <v>10</v>
      </c>
      <c r="L238" s="5">
        <f>VLOOKUP(TrendSheetStgData[Population]&amp;TrendSheetStgData[Trend],Threshold[#All],5,FALSE)</f>
        <v>5</v>
      </c>
      <c r="M2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39" spans="1:13" x14ac:dyDescent="0.25">
      <c r="A239" t="s">
        <v>90</v>
      </c>
      <c r="B239" t="s">
        <v>90</v>
      </c>
      <c r="C239" t="s">
        <v>91</v>
      </c>
      <c r="D239" s="1" t="s">
        <v>107</v>
      </c>
      <c r="E239" t="s">
        <v>106</v>
      </c>
      <c r="F239" t="s">
        <v>28</v>
      </c>
      <c r="G239">
        <v>17</v>
      </c>
      <c r="H239">
        <v>1585675</v>
      </c>
      <c r="I239" s="5">
        <f>IFERROR(VLOOKUP(TrendSheetStgData[Population]&amp;TrendSheetStgData[Cost Basis]&amp;TrendSheetStgData[Period]&amp;TrendSheetStgData[Trend],TrendSheetPrdData[#All],9,FALSE),0)</f>
        <v>0</v>
      </c>
      <c r="J2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39" s="5">
        <f>VLOOKUP(TrendSheetStgData[Population]&amp;TrendSheetStgData[Trend],Threshold[#All],4,FALSE)</f>
        <v>10</v>
      </c>
      <c r="L239" s="5">
        <f>VLOOKUP(TrendSheetStgData[Population]&amp;TrendSheetStgData[Trend],Threshold[#All],5,FALSE)</f>
        <v>5</v>
      </c>
      <c r="M2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40" spans="1:13" x14ac:dyDescent="0.25">
      <c r="A240" t="s">
        <v>90</v>
      </c>
      <c r="B240" t="s">
        <v>90</v>
      </c>
      <c r="C240" t="s">
        <v>91</v>
      </c>
      <c r="D240" s="1" t="s">
        <v>92</v>
      </c>
      <c r="E240" t="s">
        <v>93</v>
      </c>
      <c r="F240" t="s">
        <v>29</v>
      </c>
      <c r="G240">
        <v>18</v>
      </c>
      <c r="H240">
        <v>300.63</v>
      </c>
      <c r="I240" s="5">
        <f>IFERROR(VLOOKUP(TrendSheetStgData[Population]&amp;TrendSheetStgData[Cost Basis]&amp;TrendSheetStgData[Period]&amp;TrendSheetStgData[Trend],TrendSheetPrdData[#All],9,FALSE),0)</f>
        <v>300.63</v>
      </c>
      <c r="J2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0" s="5">
        <f>VLOOKUP(TrendSheetStgData[Population]&amp;TrendSheetStgData[Trend],Threshold[#All],4,FALSE)</f>
        <v>10</v>
      </c>
      <c r="L240" s="5">
        <f>VLOOKUP(TrendSheetStgData[Population]&amp;TrendSheetStgData[Trend],Threshold[#All],5,FALSE)</f>
        <v>5</v>
      </c>
      <c r="M2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1" spans="1:13" x14ac:dyDescent="0.25">
      <c r="A241" t="s">
        <v>90</v>
      </c>
      <c r="B241" t="s">
        <v>90</v>
      </c>
      <c r="C241" t="s">
        <v>91</v>
      </c>
      <c r="D241" s="1" t="s">
        <v>94</v>
      </c>
      <c r="E241" t="s">
        <v>93</v>
      </c>
      <c r="F241" t="s">
        <v>29</v>
      </c>
      <c r="G241">
        <v>18</v>
      </c>
      <c r="H241">
        <v>304.10000000000002</v>
      </c>
      <c r="I241" s="5">
        <f>IFERROR(VLOOKUP(TrendSheetStgData[Population]&amp;TrendSheetStgData[Cost Basis]&amp;TrendSheetStgData[Period]&amp;TrendSheetStgData[Trend],TrendSheetPrdData[#All],9,FALSE),0)</f>
        <v>304.10000000000002</v>
      </c>
      <c r="J2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1" s="5">
        <f>VLOOKUP(TrendSheetStgData[Population]&amp;TrendSheetStgData[Trend],Threshold[#All],4,FALSE)</f>
        <v>10</v>
      </c>
      <c r="L241" s="5">
        <f>VLOOKUP(TrendSheetStgData[Population]&amp;TrendSheetStgData[Trend],Threshold[#All],5,FALSE)</f>
        <v>5</v>
      </c>
      <c r="M2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2" spans="1:13" x14ac:dyDescent="0.25">
      <c r="A242" t="s">
        <v>90</v>
      </c>
      <c r="B242" t="s">
        <v>90</v>
      </c>
      <c r="C242" t="s">
        <v>91</v>
      </c>
      <c r="D242" s="1" t="s">
        <v>95</v>
      </c>
      <c r="E242" t="s">
        <v>93</v>
      </c>
      <c r="F242" t="s">
        <v>29</v>
      </c>
      <c r="G242">
        <v>18</v>
      </c>
      <c r="H242">
        <v>306.5</v>
      </c>
      <c r="I242" s="5">
        <f>IFERROR(VLOOKUP(TrendSheetStgData[Population]&amp;TrendSheetStgData[Cost Basis]&amp;TrendSheetStgData[Period]&amp;TrendSheetStgData[Trend],TrendSheetPrdData[#All],9,FALSE),0)</f>
        <v>306.5</v>
      </c>
      <c r="J2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2" s="5">
        <f>VLOOKUP(TrendSheetStgData[Population]&amp;TrendSheetStgData[Trend],Threshold[#All],4,FALSE)</f>
        <v>10</v>
      </c>
      <c r="L242" s="5">
        <f>VLOOKUP(TrendSheetStgData[Population]&amp;TrendSheetStgData[Trend],Threshold[#All],5,FALSE)</f>
        <v>5</v>
      </c>
      <c r="M2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3" spans="1:13" x14ac:dyDescent="0.25">
      <c r="A243" t="s">
        <v>90</v>
      </c>
      <c r="B243" t="s">
        <v>90</v>
      </c>
      <c r="C243" t="s">
        <v>91</v>
      </c>
      <c r="D243" s="1" t="s">
        <v>96</v>
      </c>
      <c r="E243" t="s">
        <v>93</v>
      </c>
      <c r="F243" t="s">
        <v>29</v>
      </c>
      <c r="G243">
        <v>18</v>
      </c>
      <c r="H243">
        <v>304.41000000000003</v>
      </c>
      <c r="I243" s="5">
        <f>IFERROR(VLOOKUP(TrendSheetStgData[Population]&amp;TrendSheetStgData[Cost Basis]&amp;TrendSheetStgData[Period]&amp;TrendSheetStgData[Trend],TrendSheetPrdData[#All],9,FALSE),0)</f>
        <v>304.41000000000003</v>
      </c>
      <c r="J2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3" s="5">
        <f>VLOOKUP(TrendSheetStgData[Population]&amp;TrendSheetStgData[Trend],Threshold[#All],4,FALSE)</f>
        <v>10</v>
      </c>
      <c r="L243" s="5">
        <f>VLOOKUP(TrendSheetStgData[Population]&amp;TrendSheetStgData[Trend],Threshold[#All],5,FALSE)</f>
        <v>5</v>
      </c>
      <c r="M2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4" spans="1:13" x14ac:dyDescent="0.25">
      <c r="A244" t="s">
        <v>90</v>
      </c>
      <c r="B244" t="s">
        <v>90</v>
      </c>
      <c r="C244" t="s">
        <v>91</v>
      </c>
      <c r="D244" s="1" t="s">
        <v>97</v>
      </c>
      <c r="E244" t="s">
        <v>93</v>
      </c>
      <c r="F244" t="s">
        <v>29</v>
      </c>
      <c r="G244">
        <v>18</v>
      </c>
      <c r="H244">
        <v>304.8</v>
      </c>
      <c r="I244" s="5">
        <f>IFERROR(VLOOKUP(TrendSheetStgData[Population]&amp;TrendSheetStgData[Cost Basis]&amp;TrendSheetStgData[Period]&amp;TrendSheetStgData[Trend],TrendSheetPrdData[#All],9,FALSE),0)</f>
        <v>304.8</v>
      </c>
      <c r="J2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4" s="5">
        <f>VLOOKUP(TrendSheetStgData[Population]&amp;TrendSheetStgData[Trend],Threshold[#All],4,FALSE)</f>
        <v>10</v>
      </c>
      <c r="L244" s="5">
        <f>VLOOKUP(TrendSheetStgData[Population]&amp;TrendSheetStgData[Trend],Threshold[#All],5,FALSE)</f>
        <v>5</v>
      </c>
      <c r="M2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5" spans="1:13" x14ac:dyDescent="0.25">
      <c r="A245" t="s">
        <v>90</v>
      </c>
      <c r="B245" t="s">
        <v>90</v>
      </c>
      <c r="C245" t="s">
        <v>91</v>
      </c>
      <c r="D245" s="1" t="s">
        <v>98</v>
      </c>
      <c r="E245" t="s">
        <v>93</v>
      </c>
      <c r="F245" t="s">
        <v>29</v>
      </c>
      <c r="G245">
        <v>18</v>
      </c>
      <c r="H245">
        <v>303.58999999999997</v>
      </c>
      <c r="I245" s="5">
        <f>IFERROR(VLOOKUP(TrendSheetStgData[Population]&amp;TrendSheetStgData[Cost Basis]&amp;TrendSheetStgData[Period]&amp;TrendSheetStgData[Trend],TrendSheetPrdData[#All],9,FALSE),0)</f>
        <v>303.58999999999997</v>
      </c>
      <c r="J2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5" s="5">
        <f>VLOOKUP(TrendSheetStgData[Population]&amp;TrendSheetStgData[Trend],Threshold[#All],4,FALSE)</f>
        <v>10</v>
      </c>
      <c r="L245" s="5">
        <f>VLOOKUP(TrendSheetStgData[Population]&amp;TrendSheetStgData[Trend],Threshold[#All],5,FALSE)</f>
        <v>5</v>
      </c>
      <c r="M2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6" spans="1:13" x14ac:dyDescent="0.25">
      <c r="A246" t="s">
        <v>90</v>
      </c>
      <c r="B246" t="s">
        <v>90</v>
      </c>
      <c r="C246" t="s">
        <v>91</v>
      </c>
      <c r="D246" s="1" t="s">
        <v>99</v>
      </c>
      <c r="E246" t="s">
        <v>93</v>
      </c>
      <c r="F246" t="s">
        <v>29</v>
      </c>
      <c r="G246">
        <v>18</v>
      </c>
      <c r="H246">
        <v>306.43</v>
      </c>
      <c r="I246" s="5">
        <f>IFERROR(VLOOKUP(TrendSheetStgData[Population]&amp;TrendSheetStgData[Cost Basis]&amp;TrendSheetStgData[Period]&amp;TrendSheetStgData[Trend],TrendSheetPrdData[#All],9,FALSE),0)</f>
        <v>306.32</v>
      </c>
      <c r="J2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3.5910159310529398E-2</v>
      </c>
      <c r="K246" s="5">
        <f>VLOOKUP(TrendSheetStgData[Population]&amp;TrendSheetStgData[Trend],Threshold[#All],4,FALSE)</f>
        <v>10</v>
      </c>
      <c r="L246" s="5">
        <f>VLOOKUP(TrendSheetStgData[Population]&amp;TrendSheetStgData[Trend],Threshold[#All],5,FALSE)</f>
        <v>5</v>
      </c>
      <c r="M2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7" spans="1:13" x14ac:dyDescent="0.25">
      <c r="A247" t="s">
        <v>90</v>
      </c>
      <c r="B247" t="s">
        <v>90</v>
      </c>
      <c r="C247" t="s">
        <v>91</v>
      </c>
      <c r="D247" s="1" t="s">
        <v>100</v>
      </c>
      <c r="E247" t="s">
        <v>93</v>
      </c>
      <c r="F247" t="s">
        <v>29</v>
      </c>
      <c r="G247">
        <v>18</v>
      </c>
      <c r="H247">
        <v>306.07</v>
      </c>
      <c r="I247" s="5">
        <f>IFERROR(VLOOKUP(TrendSheetStgData[Population]&amp;TrendSheetStgData[Cost Basis]&amp;TrendSheetStgData[Period]&amp;TrendSheetStgData[Trend],TrendSheetPrdData[#All],9,FALSE),0)</f>
        <v>305.95999999999998</v>
      </c>
      <c r="J2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3.5952412080014921E-2</v>
      </c>
      <c r="K247" s="5">
        <f>VLOOKUP(TrendSheetStgData[Population]&amp;TrendSheetStgData[Trend],Threshold[#All],4,FALSE)</f>
        <v>10</v>
      </c>
      <c r="L247" s="5">
        <f>VLOOKUP(TrendSheetStgData[Population]&amp;TrendSheetStgData[Trend],Threshold[#All],5,FALSE)</f>
        <v>5</v>
      </c>
      <c r="M2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8" spans="1:13" x14ac:dyDescent="0.25">
      <c r="A248" t="s">
        <v>90</v>
      </c>
      <c r="B248" t="s">
        <v>90</v>
      </c>
      <c r="C248" t="s">
        <v>91</v>
      </c>
      <c r="D248" s="1" t="s">
        <v>101</v>
      </c>
      <c r="E248" t="s">
        <v>93</v>
      </c>
      <c r="F248" t="s">
        <v>29</v>
      </c>
      <c r="G248">
        <v>18</v>
      </c>
      <c r="H248">
        <v>306.20999999999998</v>
      </c>
      <c r="I248" s="5">
        <f>IFERROR(VLOOKUP(TrendSheetStgData[Population]&amp;TrendSheetStgData[Cost Basis]&amp;TrendSheetStgData[Period]&amp;TrendSheetStgData[Trend],TrendSheetPrdData[#All],9,FALSE),0)</f>
        <v>306</v>
      </c>
      <c r="J2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6.8627450980385474E-2</v>
      </c>
      <c r="K248" s="5">
        <f>VLOOKUP(TrendSheetStgData[Population]&amp;TrendSheetStgData[Trend],Threshold[#All],4,FALSE)</f>
        <v>10</v>
      </c>
      <c r="L248" s="5">
        <f>VLOOKUP(TrendSheetStgData[Population]&amp;TrendSheetStgData[Trend],Threshold[#All],5,FALSE)</f>
        <v>5</v>
      </c>
      <c r="M2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9" spans="1:13" x14ac:dyDescent="0.25">
      <c r="A249" t="s">
        <v>90</v>
      </c>
      <c r="B249" t="s">
        <v>90</v>
      </c>
      <c r="C249" t="s">
        <v>91</v>
      </c>
      <c r="D249" s="1" t="s">
        <v>102</v>
      </c>
      <c r="E249" t="s">
        <v>93</v>
      </c>
      <c r="F249" t="s">
        <v>29</v>
      </c>
      <c r="G249">
        <v>18</v>
      </c>
      <c r="H249">
        <v>300.52999999999997</v>
      </c>
      <c r="I249" s="5">
        <f>IFERROR(VLOOKUP(TrendSheetStgData[Population]&amp;TrendSheetStgData[Cost Basis]&amp;TrendSheetStgData[Period]&amp;TrendSheetStgData[Trend],TrendSheetPrdData[#All],9,FALSE),0)</f>
        <v>299.8</v>
      </c>
      <c r="J2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0.24349566377583767</v>
      </c>
      <c r="K249" s="5">
        <f>VLOOKUP(TrendSheetStgData[Population]&amp;TrendSheetStgData[Trend],Threshold[#All],4,FALSE)</f>
        <v>10</v>
      </c>
      <c r="L249" s="5">
        <f>VLOOKUP(TrendSheetStgData[Population]&amp;TrendSheetStgData[Trend],Threshold[#All],5,FALSE)</f>
        <v>5</v>
      </c>
      <c r="M2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50" spans="1:13" x14ac:dyDescent="0.25">
      <c r="A250" t="s">
        <v>90</v>
      </c>
      <c r="B250" t="s">
        <v>90</v>
      </c>
      <c r="C250" t="s">
        <v>91</v>
      </c>
      <c r="D250" s="1" t="s">
        <v>103</v>
      </c>
      <c r="E250" t="s">
        <v>93</v>
      </c>
      <c r="F250" t="s">
        <v>29</v>
      </c>
      <c r="G250">
        <v>18</v>
      </c>
      <c r="H250">
        <v>300.23</v>
      </c>
      <c r="I250" s="5">
        <f>IFERROR(VLOOKUP(TrendSheetStgData[Population]&amp;TrendSheetStgData[Cost Basis]&amp;TrendSheetStgData[Period]&amp;TrendSheetStgData[Trend],TrendSheetPrdData[#All],9,FALSE),0)</f>
        <v>299.3</v>
      </c>
      <c r="J2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0.31072502505847205</v>
      </c>
      <c r="K250" s="5">
        <f>VLOOKUP(TrendSheetStgData[Population]&amp;TrendSheetStgData[Trend],Threshold[#All],4,FALSE)</f>
        <v>10</v>
      </c>
      <c r="L250" s="5">
        <f>VLOOKUP(TrendSheetStgData[Population]&amp;TrendSheetStgData[Trend],Threshold[#All],5,FALSE)</f>
        <v>5</v>
      </c>
      <c r="M2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51" spans="1:13" x14ac:dyDescent="0.25">
      <c r="A251" t="s">
        <v>90</v>
      </c>
      <c r="B251" t="s">
        <v>90</v>
      </c>
      <c r="C251" t="s">
        <v>91</v>
      </c>
      <c r="D251" s="1" t="s">
        <v>104</v>
      </c>
      <c r="E251" t="s">
        <v>93</v>
      </c>
      <c r="F251" t="s">
        <v>29</v>
      </c>
      <c r="G251">
        <v>18</v>
      </c>
      <c r="H251">
        <v>301.25</v>
      </c>
      <c r="I251" s="5">
        <f>IFERROR(VLOOKUP(TrendSheetStgData[Population]&amp;TrendSheetStgData[Cost Basis]&amp;TrendSheetStgData[Period]&amp;TrendSheetStgData[Trend],TrendSheetPrdData[#All],9,FALSE),0)</f>
        <v>299.82</v>
      </c>
      <c r="J2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0.47695283836969077</v>
      </c>
      <c r="K251" s="5">
        <f>VLOOKUP(TrendSheetStgData[Population]&amp;TrendSheetStgData[Trend],Threshold[#All],4,FALSE)</f>
        <v>10</v>
      </c>
      <c r="L251" s="5">
        <f>VLOOKUP(TrendSheetStgData[Population]&amp;TrendSheetStgData[Trend],Threshold[#All],5,FALSE)</f>
        <v>5</v>
      </c>
      <c r="M2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52" spans="1:13" x14ac:dyDescent="0.25">
      <c r="A252" t="s">
        <v>90</v>
      </c>
      <c r="B252" t="s">
        <v>90</v>
      </c>
      <c r="C252" t="s">
        <v>91</v>
      </c>
      <c r="D252" s="1" t="s">
        <v>105</v>
      </c>
      <c r="E252" t="s">
        <v>106</v>
      </c>
      <c r="F252" t="s">
        <v>29</v>
      </c>
      <c r="G252">
        <v>18</v>
      </c>
      <c r="H252">
        <v>303.58</v>
      </c>
      <c r="I252" s="5">
        <f>IFERROR(VLOOKUP(TrendSheetStgData[Population]&amp;TrendSheetStgData[Cost Basis]&amp;TrendSheetStgData[Period]&amp;TrendSheetStgData[Trend],TrendSheetPrdData[#All],9,FALSE),0)</f>
        <v>291.56</v>
      </c>
      <c r="J2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4.1226505693510704</v>
      </c>
      <c r="K252" s="5">
        <f>VLOOKUP(TrendSheetStgData[Population]&amp;TrendSheetStgData[Trend],Threshold[#All],4,FALSE)</f>
        <v>10</v>
      </c>
      <c r="L252" s="5">
        <f>VLOOKUP(TrendSheetStgData[Population]&amp;TrendSheetStgData[Trend],Threshold[#All],5,FALSE)</f>
        <v>5</v>
      </c>
      <c r="M2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53" spans="1:13" x14ac:dyDescent="0.25">
      <c r="A253" t="s">
        <v>90</v>
      </c>
      <c r="B253" t="s">
        <v>90</v>
      </c>
      <c r="C253" t="s">
        <v>91</v>
      </c>
      <c r="D253" s="1" t="s">
        <v>107</v>
      </c>
      <c r="E253" t="s">
        <v>106</v>
      </c>
      <c r="F253" t="s">
        <v>29</v>
      </c>
      <c r="G253">
        <v>18</v>
      </c>
      <c r="H253">
        <v>298.19</v>
      </c>
      <c r="I253" s="5">
        <f>IFERROR(VLOOKUP(TrendSheetStgData[Population]&amp;TrendSheetStgData[Cost Basis]&amp;TrendSheetStgData[Period]&amp;TrendSheetStgData[Trend],TrendSheetPrdData[#All],9,FALSE),0)</f>
        <v>0</v>
      </c>
      <c r="J2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53" s="5">
        <f>VLOOKUP(TrendSheetStgData[Population]&amp;TrendSheetStgData[Trend],Threshold[#All],4,FALSE)</f>
        <v>10</v>
      </c>
      <c r="L253" s="5">
        <f>VLOOKUP(TrendSheetStgData[Population]&amp;TrendSheetStgData[Trend],Threshold[#All],5,FALSE)</f>
        <v>5</v>
      </c>
      <c r="M2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54" spans="1:13" x14ac:dyDescent="0.25">
      <c r="A254" t="s">
        <v>90</v>
      </c>
      <c r="B254" t="s">
        <v>90</v>
      </c>
      <c r="C254" t="s">
        <v>91</v>
      </c>
      <c r="D254" s="1" t="s">
        <v>92</v>
      </c>
      <c r="E254" t="s">
        <v>93</v>
      </c>
      <c r="F254" t="s">
        <v>30</v>
      </c>
      <c r="G254">
        <v>19</v>
      </c>
      <c r="H254">
        <v>510</v>
      </c>
      <c r="I254" s="5">
        <f>IFERROR(VLOOKUP(TrendSheetStgData[Population]&amp;TrendSheetStgData[Cost Basis]&amp;TrendSheetStgData[Period]&amp;TrendSheetStgData[Trend],TrendSheetPrdData[#All],9,FALSE),0)</f>
        <v>510</v>
      </c>
      <c r="J2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4" s="5">
        <f>VLOOKUP(TrendSheetStgData[Population]&amp;TrendSheetStgData[Trend],Threshold[#All],4,FALSE)</f>
        <v>10</v>
      </c>
      <c r="L254" s="5">
        <f>VLOOKUP(TrendSheetStgData[Population]&amp;TrendSheetStgData[Trend],Threshold[#All],5,FALSE)</f>
        <v>5</v>
      </c>
      <c r="M2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5" spans="1:13" x14ac:dyDescent="0.25">
      <c r="A255" t="s">
        <v>90</v>
      </c>
      <c r="B255" t="s">
        <v>90</v>
      </c>
      <c r="C255" t="s">
        <v>91</v>
      </c>
      <c r="D255" s="1" t="s">
        <v>94</v>
      </c>
      <c r="E255" t="s">
        <v>93</v>
      </c>
      <c r="F255" t="s">
        <v>30</v>
      </c>
      <c r="G255">
        <v>19</v>
      </c>
      <c r="H255">
        <v>505</v>
      </c>
      <c r="I255" s="5">
        <f>IFERROR(VLOOKUP(TrendSheetStgData[Population]&amp;TrendSheetStgData[Cost Basis]&amp;TrendSheetStgData[Period]&amp;TrendSheetStgData[Trend],TrendSheetPrdData[#All],9,FALSE),0)</f>
        <v>505</v>
      </c>
      <c r="J2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5" s="5">
        <f>VLOOKUP(TrendSheetStgData[Population]&amp;TrendSheetStgData[Trend],Threshold[#All],4,FALSE)</f>
        <v>10</v>
      </c>
      <c r="L255" s="5">
        <f>VLOOKUP(TrendSheetStgData[Population]&amp;TrendSheetStgData[Trend],Threshold[#All],5,FALSE)</f>
        <v>5</v>
      </c>
      <c r="M2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6" spans="1:13" x14ac:dyDescent="0.25">
      <c r="A256" t="s">
        <v>90</v>
      </c>
      <c r="B256" t="s">
        <v>90</v>
      </c>
      <c r="C256" t="s">
        <v>91</v>
      </c>
      <c r="D256" s="1" t="s">
        <v>95</v>
      </c>
      <c r="E256" t="s">
        <v>93</v>
      </c>
      <c r="F256" t="s">
        <v>30</v>
      </c>
      <c r="G256">
        <v>19</v>
      </c>
      <c r="H256">
        <v>598</v>
      </c>
      <c r="I256" s="5">
        <f>IFERROR(VLOOKUP(TrendSheetStgData[Population]&amp;TrendSheetStgData[Cost Basis]&amp;TrendSheetStgData[Period]&amp;TrendSheetStgData[Trend],TrendSheetPrdData[#All],9,FALSE),0)</f>
        <v>598</v>
      </c>
      <c r="J2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6" s="5">
        <f>VLOOKUP(TrendSheetStgData[Population]&amp;TrendSheetStgData[Trend],Threshold[#All],4,FALSE)</f>
        <v>10</v>
      </c>
      <c r="L256" s="5">
        <f>VLOOKUP(TrendSheetStgData[Population]&amp;TrendSheetStgData[Trend],Threshold[#All],5,FALSE)</f>
        <v>5</v>
      </c>
      <c r="M2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7" spans="1:13" x14ac:dyDescent="0.25">
      <c r="A257" t="s">
        <v>90</v>
      </c>
      <c r="B257" t="s">
        <v>90</v>
      </c>
      <c r="C257" t="s">
        <v>91</v>
      </c>
      <c r="D257" s="1" t="s">
        <v>96</v>
      </c>
      <c r="E257" t="s">
        <v>93</v>
      </c>
      <c r="F257" t="s">
        <v>30</v>
      </c>
      <c r="G257">
        <v>19</v>
      </c>
      <c r="H257">
        <v>607</v>
      </c>
      <c r="I257" s="5">
        <f>IFERROR(VLOOKUP(TrendSheetStgData[Population]&amp;TrendSheetStgData[Cost Basis]&amp;TrendSheetStgData[Period]&amp;TrendSheetStgData[Trend],TrendSheetPrdData[#All],9,FALSE),0)</f>
        <v>607</v>
      </c>
      <c r="J2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7" s="5">
        <f>VLOOKUP(TrendSheetStgData[Population]&amp;TrendSheetStgData[Trend],Threshold[#All],4,FALSE)</f>
        <v>10</v>
      </c>
      <c r="L257" s="5">
        <f>VLOOKUP(TrendSheetStgData[Population]&amp;TrendSheetStgData[Trend],Threshold[#All],5,FALSE)</f>
        <v>5</v>
      </c>
      <c r="M2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8" spans="1:13" x14ac:dyDescent="0.25">
      <c r="A258" t="s">
        <v>90</v>
      </c>
      <c r="B258" t="s">
        <v>90</v>
      </c>
      <c r="C258" t="s">
        <v>91</v>
      </c>
      <c r="D258" s="1" t="s">
        <v>97</v>
      </c>
      <c r="E258" t="s">
        <v>93</v>
      </c>
      <c r="F258" t="s">
        <v>30</v>
      </c>
      <c r="G258">
        <v>19</v>
      </c>
      <c r="H258">
        <v>407</v>
      </c>
      <c r="I258" s="5">
        <f>IFERROR(VLOOKUP(TrendSheetStgData[Population]&amp;TrendSheetStgData[Cost Basis]&amp;TrendSheetStgData[Period]&amp;TrendSheetStgData[Trend],TrendSheetPrdData[#All],9,FALSE),0)</f>
        <v>407</v>
      </c>
      <c r="J2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8" s="5">
        <f>VLOOKUP(TrendSheetStgData[Population]&amp;TrendSheetStgData[Trend],Threshold[#All],4,FALSE)</f>
        <v>10</v>
      </c>
      <c r="L258" s="5">
        <f>VLOOKUP(TrendSheetStgData[Population]&amp;TrendSheetStgData[Trend],Threshold[#All],5,FALSE)</f>
        <v>5</v>
      </c>
      <c r="M2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9" spans="1:13" x14ac:dyDescent="0.25">
      <c r="A259" t="s">
        <v>90</v>
      </c>
      <c r="B259" t="s">
        <v>90</v>
      </c>
      <c r="C259" t="s">
        <v>91</v>
      </c>
      <c r="D259" s="1" t="s">
        <v>98</v>
      </c>
      <c r="E259" t="s">
        <v>93</v>
      </c>
      <c r="F259" t="s">
        <v>30</v>
      </c>
      <c r="G259">
        <v>19</v>
      </c>
      <c r="H259">
        <v>459</v>
      </c>
      <c r="I259" s="5">
        <f>IFERROR(VLOOKUP(TrendSheetStgData[Population]&amp;TrendSheetStgData[Cost Basis]&amp;TrendSheetStgData[Period]&amp;TrendSheetStgData[Trend],TrendSheetPrdData[#All],9,FALSE),0)</f>
        <v>459</v>
      </c>
      <c r="J2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9" s="5">
        <f>VLOOKUP(TrendSheetStgData[Population]&amp;TrendSheetStgData[Trend],Threshold[#All],4,FALSE)</f>
        <v>10</v>
      </c>
      <c r="L259" s="5">
        <f>VLOOKUP(TrendSheetStgData[Population]&amp;TrendSheetStgData[Trend],Threshold[#All],5,FALSE)</f>
        <v>5</v>
      </c>
      <c r="M2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0" spans="1:13" x14ac:dyDescent="0.25">
      <c r="A260" t="s">
        <v>90</v>
      </c>
      <c r="B260" t="s">
        <v>90</v>
      </c>
      <c r="C260" t="s">
        <v>91</v>
      </c>
      <c r="D260" s="1" t="s">
        <v>99</v>
      </c>
      <c r="E260" t="s">
        <v>93</v>
      </c>
      <c r="F260" t="s">
        <v>30</v>
      </c>
      <c r="G260">
        <v>19</v>
      </c>
      <c r="H260">
        <v>499</v>
      </c>
      <c r="I260" s="5">
        <f>IFERROR(VLOOKUP(TrendSheetStgData[Population]&amp;TrendSheetStgData[Cost Basis]&amp;TrendSheetStgData[Period]&amp;TrendSheetStgData[Trend],TrendSheetPrdData[#All],9,FALSE),0)</f>
        <v>482</v>
      </c>
      <c r="J2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3.5269709543568464</v>
      </c>
      <c r="K260" s="5">
        <f>VLOOKUP(TrendSheetStgData[Population]&amp;TrendSheetStgData[Trend],Threshold[#All],4,FALSE)</f>
        <v>10</v>
      </c>
      <c r="L260" s="5">
        <f>VLOOKUP(TrendSheetStgData[Population]&amp;TrendSheetStgData[Trend],Threshold[#All],5,FALSE)</f>
        <v>5</v>
      </c>
      <c r="M2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1" spans="1:13" x14ac:dyDescent="0.25">
      <c r="A261" t="s">
        <v>90</v>
      </c>
      <c r="B261" t="s">
        <v>90</v>
      </c>
      <c r="C261" t="s">
        <v>91</v>
      </c>
      <c r="D261" s="1" t="s">
        <v>100</v>
      </c>
      <c r="E261" t="s">
        <v>93</v>
      </c>
      <c r="F261" t="s">
        <v>30</v>
      </c>
      <c r="G261">
        <v>19</v>
      </c>
      <c r="H261">
        <v>396</v>
      </c>
      <c r="I261" s="5">
        <f>IFERROR(VLOOKUP(TrendSheetStgData[Population]&amp;TrendSheetStgData[Cost Basis]&amp;TrendSheetStgData[Period]&amp;TrendSheetStgData[Trend],TrendSheetPrdData[#All],9,FALSE),0)</f>
        <v>396</v>
      </c>
      <c r="J2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1" s="5">
        <f>VLOOKUP(TrendSheetStgData[Population]&amp;TrendSheetStgData[Trend],Threshold[#All],4,FALSE)</f>
        <v>10</v>
      </c>
      <c r="L261" s="5">
        <f>VLOOKUP(TrendSheetStgData[Population]&amp;TrendSheetStgData[Trend],Threshold[#All],5,FALSE)</f>
        <v>5</v>
      </c>
      <c r="M2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2" spans="1:13" x14ac:dyDescent="0.25">
      <c r="A262" t="s">
        <v>90</v>
      </c>
      <c r="B262" t="s">
        <v>90</v>
      </c>
      <c r="C262" t="s">
        <v>91</v>
      </c>
      <c r="D262" s="1" t="s">
        <v>101</v>
      </c>
      <c r="E262" t="s">
        <v>93</v>
      </c>
      <c r="F262" t="s">
        <v>30</v>
      </c>
      <c r="G262">
        <v>19</v>
      </c>
      <c r="H262">
        <v>433</v>
      </c>
      <c r="I262" s="5">
        <f>IFERROR(VLOOKUP(TrendSheetStgData[Population]&amp;TrendSheetStgData[Cost Basis]&amp;TrendSheetStgData[Period]&amp;TrendSheetStgData[Trend],TrendSheetPrdData[#All],9,FALSE),0)</f>
        <v>428</v>
      </c>
      <c r="J2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1.1682242990654206</v>
      </c>
      <c r="K262" s="5">
        <f>VLOOKUP(TrendSheetStgData[Population]&amp;TrendSheetStgData[Trend],Threshold[#All],4,FALSE)</f>
        <v>10</v>
      </c>
      <c r="L262" s="5">
        <f>VLOOKUP(TrendSheetStgData[Population]&amp;TrendSheetStgData[Trend],Threshold[#All],5,FALSE)</f>
        <v>5</v>
      </c>
      <c r="M2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3" spans="1:13" x14ac:dyDescent="0.25">
      <c r="A263" t="s">
        <v>90</v>
      </c>
      <c r="B263" t="s">
        <v>90</v>
      </c>
      <c r="C263" t="s">
        <v>91</v>
      </c>
      <c r="D263" s="1" t="s">
        <v>102</v>
      </c>
      <c r="E263" t="s">
        <v>93</v>
      </c>
      <c r="F263" t="s">
        <v>30</v>
      </c>
      <c r="G263">
        <v>19</v>
      </c>
      <c r="H263">
        <v>530</v>
      </c>
      <c r="I263" s="5">
        <f>IFERROR(VLOOKUP(TrendSheetStgData[Population]&amp;TrendSheetStgData[Cost Basis]&amp;TrendSheetStgData[Period]&amp;TrendSheetStgData[Trend],TrendSheetPrdData[#All],9,FALSE),0)</f>
        <v>505</v>
      </c>
      <c r="J2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4.9504950495049505</v>
      </c>
      <c r="K263" s="5">
        <f>VLOOKUP(TrendSheetStgData[Population]&amp;TrendSheetStgData[Trend],Threshold[#All],4,FALSE)</f>
        <v>10</v>
      </c>
      <c r="L263" s="5">
        <f>VLOOKUP(TrendSheetStgData[Population]&amp;TrendSheetStgData[Trend],Threshold[#All],5,FALSE)</f>
        <v>5</v>
      </c>
      <c r="M2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4" spans="1:13" x14ac:dyDescent="0.25">
      <c r="A264" t="s">
        <v>90</v>
      </c>
      <c r="B264" t="s">
        <v>90</v>
      </c>
      <c r="C264" t="s">
        <v>91</v>
      </c>
      <c r="D264" s="1" t="s">
        <v>103</v>
      </c>
      <c r="E264" t="s">
        <v>93</v>
      </c>
      <c r="F264" t="s">
        <v>30</v>
      </c>
      <c r="G264">
        <v>19</v>
      </c>
      <c r="H264">
        <v>535</v>
      </c>
      <c r="I264" s="5">
        <f>IFERROR(VLOOKUP(TrendSheetStgData[Population]&amp;TrendSheetStgData[Cost Basis]&amp;TrendSheetStgData[Period]&amp;TrendSheetStgData[Trend],TrendSheetPrdData[#All],9,FALSE),0)</f>
        <v>519</v>
      </c>
      <c r="J2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3.0828516377649327</v>
      </c>
      <c r="K264" s="5">
        <f>VLOOKUP(TrendSheetStgData[Population]&amp;TrendSheetStgData[Trend],Threshold[#All],4,FALSE)</f>
        <v>10</v>
      </c>
      <c r="L264" s="5">
        <f>VLOOKUP(TrendSheetStgData[Population]&amp;TrendSheetStgData[Trend],Threshold[#All],5,FALSE)</f>
        <v>5</v>
      </c>
      <c r="M2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5" spans="1:13" x14ac:dyDescent="0.25">
      <c r="A265" t="s">
        <v>90</v>
      </c>
      <c r="B265" t="s">
        <v>90</v>
      </c>
      <c r="C265" t="s">
        <v>91</v>
      </c>
      <c r="D265" s="1" t="s">
        <v>104</v>
      </c>
      <c r="E265" t="s">
        <v>93</v>
      </c>
      <c r="F265" t="s">
        <v>30</v>
      </c>
      <c r="G265">
        <v>19</v>
      </c>
      <c r="H265">
        <v>520</v>
      </c>
      <c r="I265" s="5">
        <f>IFERROR(VLOOKUP(TrendSheetStgData[Population]&amp;TrendSheetStgData[Cost Basis]&amp;TrendSheetStgData[Period]&amp;TrendSheetStgData[Trend],TrendSheetPrdData[#All],9,FALSE),0)</f>
        <v>477</v>
      </c>
      <c r="J2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9.0146750524109009</v>
      </c>
      <c r="K265" s="5">
        <f>VLOOKUP(TrendSheetStgData[Population]&amp;TrendSheetStgData[Trend],Threshold[#All],4,FALSE)</f>
        <v>10</v>
      </c>
      <c r="L265" s="5">
        <f>VLOOKUP(TrendSheetStgData[Population]&amp;TrendSheetStgData[Trend],Threshold[#All],5,FALSE)</f>
        <v>5</v>
      </c>
      <c r="M2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66" spans="1:13" x14ac:dyDescent="0.25">
      <c r="A266" t="s">
        <v>90</v>
      </c>
      <c r="B266" t="s">
        <v>90</v>
      </c>
      <c r="C266" t="s">
        <v>91</v>
      </c>
      <c r="D266" s="1" t="s">
        <v>105</v>
      </c>
      <c r="E266" t="s">
        <v>106</v>
      </c>
      <c r="F266" t="s">
        <v>30</v>
      </c>
      <c r="G266">
        <v>19</v>
      </c>
      <c r="H266">
        <v>370</v>
      </c>
      <c r="I266" s="5">
        <f>IFERROR(VLOOKUP(TrendSheetStgData[Population]&amp;TrendSheetStgData[Cost Basis]&amp;TrendSheetStgData[Period]&amp;TrendSheetStgData[Trend],TrendSheetPrdData[#All],9,FALSE),0)</f>
        <v>69</v>
      </c>
      <c r="J2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436.231884057971</v>
      </c>
      <c r="K266" s="5">
        <f>VLOOKUP(TrendSheetStgData[Population]&amp;TrendSheetStgData[Trend],Threshold[#All],4,FALSE)</f>
        <v>10</v>
      </c>
      <c r="L266" s="5">
        <f>VLOOKUP(TrendSheetStgData[Population]&amp;TrendSheetStgData[Trend],Threshold[#All],5,FALSE)</f>
        <v>5</v>
      </c>
      <c r="M2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67" spans="1:13" x14ac:dyDescent="0.25">
      <c r="A267" t="s">
        <v>90</v>
      </c>
      <c r="B267" t="s">
        <v>90</v>
      </c>
      <c r="C267" t="s">
        <v>91</v>
      </c>
      <c r="D267" s="1" t="s">
        <v>107</v>
      </c>
      <c r="E267" t="s">
        <v>106</v>
      </c>
      <c r="F267" t="s">
        <v>30</v>
      </c>
      <c r="G267">
        <v>19</v>
      </c>
      <c r="H267">
        <v>129</v>
      </c>
      <c r="I267" s="5">
        <f>IFERROR(VLOOKUP(TrendSheetStgData[Population]&amp;TrendSheetStgData[Cost Basis]&amp;TrendSheetStgData[Period]&amp;TrendSheetStgData[Trend],TrendSheetPrdData[#All],9,FALSE),0)</f>
        <v>0</v>
      </c>
      <c r="J2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67" s="5">
        <f>VLOOKUP(TrendSheetStgData[Population]&amp;TrendSheetStgData[Trend],Threshold[#All],4,FALSE)</f>
        <v>10</v>
      </c>
      <c r="L267" s="5">
        <f>VLOOKUP(TrendSheetStgData[Population]&amp;TrendSheetStgData[Trend],Threshold[#All],5,FALSE)</f>
        <v>5</v>
      </c>
      <c r="M2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68" spans="1:13" x14ac:dyDescent="0.25">
      <c r="A268" t="s">
        <v>90</v>
      </c>
      <c r="B268" t="s">
        <v>90</v>
      </c>
      <c r="C268" t="s">
        <v>91</v>
      </c>
      <c r="D268" s="1" t="s">
        <v>92</v>
      </c>
      <c r="E268" t="s">
        <v>93</v>
      </c>
      <c r="F268" t="s">
        <v>31</v>
      </c>
      <c r="G268">
        <v>20</v>
      </c>
      <c r="H268">
        <v>8186</v>
      </c>
      <c r="I268" s="5">
        <f>IFERROR(VLOOKUP(TrendSheetStgData[Population]&amp;TrendSheetStgData[Cost Basis]&amp;TrendSheetStgData[Period]&amp;TrendSheetStgData[Trend],TrendSheetPrdData[#All],9,FALSE),0)</f>
        <v>8186</v>
      </c>
      <c r="J2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8" s="5">
        <f>VLOOKUP(TrendSheetStgData[Population]&amp;TrendSheetStgData[Trend],Threshold[#All],4,FALSE)</f>
        <v>10</v>
      </c>
      <c r="L268" s="5">
        <f>VLOOKUP(TrendSheetStgData[Population]&amp;TrendSheetStgData[Trend],Threshold[#All],5,FALSE)</f>
        <v>5</v>
      </c>
      <c r="M2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9" spans="1:13" x14ac:dyDescent="0.25">
      <c r="A269" t="s">
        <v>90</v>
      </c>
      <c r="B269" t="s">
        <v>90</v>
      </c>
      <c r="C269" t="s">
        <v>91</v>
      </c>
      <c r="D269" s="1" t="s">
        <v>94</v>
      </c>
      <c r="E269" t="s">
        <v>93</v>
      </c>
      <c r="F269" t="s">
        <v>31</v>
      </c>
      <c r="G269">
        <v>20</v>
      </c>
      <c r="H269">
        <v>6919</v>
      </c>
      <c r="I269" s="5">
        <f>IFERROR(VLOOKUP(TrendSheetStgData[Population]&amp;TrendSheetStgData[Cost Basis]&amp;TrendSheetStgData[Period]&amp;TrendSheetStgData[Trend],TrendSheetPrdData[#All],9,FALSE),0)</f>
        <v>6916</v>
      </c>
      <c r="J2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4.3377674956622328E-2</v>
      </c>
      <c r="K269" s="5">
        <f>VLOOKUP(TrendSheetStgData[Population]&amp;TrendSheetStgData[Trend],Threshold[#All],4,FALSE)</f>
        <v>10</v>
      </c>
      <c r="L269" s="5">
        <f>VLOOKUP(TrendSheetStgData[Population]&amp;TrendSheetStgData[Trend],Threshold[#All],5,FALSE)</f>
        <v>5</v>
      </c>
      <c r="M2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0" spans="1:13" x14ac:dyDescent="0.25">
      <c r="A270" t="s">
        <v>90</v>
      </c>
      <c r="B270" t="s">
        <v>90</v>
      </c>
      <c r="C270" t="s">
        <v>91</v>
      </c>
      <c r="D270" s="1" t="s">
        <v>95</v>
      </c>
      <c r="E270" t="s">
        <v>93</v>
      </c>
      <c r="F270" t="s">
        <v>31</v>
      </c>
      <c r="G270">
        <v>20</v>
      </c>
      <c r="H270">
        <v>8342</v>
      </c>
      <c r="I270" s="5">
        <f>IFERROR(VLOOKUP(TrendSheetStgData[Population]&amp;TrendSheetStgData[Cost Basis]&amp;TrendSheetStgData[Period]&amp;TrendSheetStgData[Trend],TrendSheetPrdData[#All],9,FALSE),0)</f>
        <v>8339</v>
      </c>
      <c r="J2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3.5975536635088137E-2</v>
      </c>
      <c r="K270" s="5">
        <f>VLOOKUP(TrendSheetStgData[Population]&amp;TrendSheetStgData[Trend],Threshold[#All],4,FALSE)</f>
        <v>10</v>
      </c>
      <c r="L270" s="5">
        <f>VLOOKUP(TrendSheetStgData[Population]&amp;TrendSheetStgData[Trend],Threshold[#All],5,FALSE)</f>
        <v>5</v>
      </c>
      <c r="M2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1" spans="1:13" x14ac:dyDescent="0.25">
      <c r="A271" t="s">
        <v>90</v>
      </c>
      <c r="B271" t="s">
        <v>90</v>
      </c>
      <c r="C271" t="s">
        <v>91</v>
      </c>
      <c r="D271" s="1" t="s">
        <v>96</v>
      </c>
      <c r="E271" t="s">
        <v>93</v>
      </c>
      <c r="F271" t="s">
        <v>31</v>
      </c>
      <c r="G271">
        <v>20</v>
      </c>
      <c r="H271">
        <v>7478</v>
      </c>
      <c r="I271" s="5">
        <f>IFERROR(VLOOKUP(TrendSheetStgData[Population]&amp;TrendSheetStgData[Cost Basis]&amp;TrendSheetStgData[Period]&amp;TrendSheetStgData[Trend],TrendSheetPrdData[#All],9,FALSE),0)</f>
        <v>7456</v>
      </c>
      <c r="J2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0.29506437768240346</v>
      </c>
      <c r="K271" s="5">
        <f>VLOOKUP(TrendSheetStgData[Population]&amp;TrendSheetStgData[Trend],Threshold[#All],4,FALSE)</f>
        <v>10</v>
      </c>
      <c r="L271" s="5">
        <f>VLOOKUP(TrendSheetStgData[Population]&amp;TrendSheetStgData[Trend],Threshold[#All],5,FALSE)</f>
        <v>5</v>
      </c>
      <c r="M2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2" spans="1:13" x14ac:dyDescent="0.25">
      <c r="A272" t="s">
        <v>90</v>
      </c>
      <c r="B272" t="s">
        <v>90</v>
      </c>
      <c r="C272" t="s">
        <v>91</v>
      </c>
      <c r="D272" s="1" t="s">
        <v>97</v>
      </c>
      <c r="E272" t="s">
        <v>93</v>
      </c>
      <c r="F272" t="s">
        <v>31</v>
      </c>
      <c r="G272">
        <v>20</v>
      </c>
      <c r="H272">
        <v>8382</v>
      </c>
      <c r="I272" s="5">
        <f>IFERROR(VLOOKUP(TrendSheetStgData[Population]&amp;TrendSheetStgData[Cost Basis]&amp;TrendSheetStgData[Period]&amp;TrendSheetStgData[Trend],TrendSheetPrdData[#All],9,FALSE),0)</f>
        <v>8363</v>
      </c>
      <c r="J2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0.22719119933038381</v>
      </c>
      <c r="K272" s="5">
        <f>VLOOKUP(TrendSheetStgData[Population]&amp;TrendSheetStgData[Trend],Threshold[#All],4,FALSE)</f>
        <v>10</v>
      </c>
      <c r="L272" s="5">
        <f>VLOOKUP(TrendSheetStgData[Population]&amp;TrendSheetStgData[Trend],Threshold[#All],5,FALSE)</f>
        <v>5</v>
      </c>
      <c r="M2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3" spans="1:13" x14ac:dyDescent="0.25">
      <c r="A273" t="s">
        <v>90</v>
      </c>
      <c r="B273" t="s">
        <v>90</v>
      </c>
      <c r="C273" t="s">
        <v>91</v>
      </c>
      <c r="D273" s="1" t="s">
        <v>98</v>
      </c>
      <c r="E273" t="s">
        <v>93</v>
      </c>
      <c r="F273" t="s">
        <v>31</v>
      </c>
      <c r="G273">
        <v>20</v>
      </c>
      <c r="H273">
        <v>7723</v>
      </c>
      <c r="I273" s="5">
        <f>IFERROR(VLOOKUP(TrendSheetStgData[Population]&amp;TrendSheetStgData[Cost Basis]&amp;TrendSheetStgData[Period]&amp;TrendSheetStgData[Trend],TrendSheetPrdData[#All],9,FALSE),0)</f>
        <v>7670</v>
      </c>
      <c r="J2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0.69100391134289441</v>
      </c>
      <c r="K273" s="5">
        <f>VLOOKUP(TrendSheetStgData[Population]&amp;TrendSheetStgData[Trend],Threshold[#All],4,FALSE)</f>
        <v>10</v>
      </c>
      <c r="L273" s="5">
        <f>VLOOKUP(TrendSheetStgData[Population]&amp;TrendSheetStgData[Trend],Threshold[#All],5,FALSE)</f>
        <v>5</v>
      </c>
      <c r="M2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4" spans="1:13" x14ac:dyDescent="0.25">
      <c r="A274" t="s">
        <v>90</v>
      </c>
      <c r="B274" t="s">
        <v>90</v>
      </c>
      <c r="C274" t="s">
        <v>91</v>
      </c>
      <c r="D274" s="1" t="s">
        <v>99</v>
      </c>
      <c r="E274" t="s">
        <v>93</v>
      </c>
      <c r="F274" t="s">
        <v>31</v>
      </c>
      <c r="G274">
        <v>20</v>
      </c>
      <c r="H274">
        <v>8353</v>
      </c>
      <c r="I274" s="5">
        <f>IFERROR(VLOOKUP(TrendSheetStgData[Population]&amp;TrendSheetStgData[Cost Basis]&amp;TrendSheetStgData[Period]&amp;TrendSheetStgData[Trend],TrendSheetPrdData[#All],9,FALSE),0)</f>
        <v>8318</v>
      </c>
      <c r="J2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0.42077422457321467</v>
      </c>
      <c r="K274" s="5">
        <f>VLOOKUP(TrendSheetStgData[Population]&amp;TrendSheetStgData[Trend],Threshold[#All],4,FALSE)</f>
        <v>10</v>
      </c>
      <c r="L274" s="5">
        <f>VLOOKUP(TrendSheetStgData[Population]&amp;TrendSheetStgData[Trend],Threshold[#All],5,FALSE)</f>
        <v>5</v>
      </c>
      <c r="M2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5" spans="1:13" x14ac:dyDescent="0.25">
      <c r="A275" t="s">
        <v>90</v>
      </c>
      <c r="B275" t="s">
        <v>90</v>
      </c>
      <c r="C275" t="s">
        <v>91</v>
      </c>
      <c r="D275" s="1" t="s">
        <v>100</v>
      </c>
      <c r="E275" t="s">
        <v>93</v>
      </c>
      <c r="F275" t="s">
        <v>31</v>
      </c>
      <c r="G275">
        <v>20</v>
      </c>
      <c r="H275">
        <v>8519</v>
      </c>
      <c r="I275" s="5">
        <f>IFERROR(VLOOKUP(TrendSheetStgData[Population]&amp;TrendSheetStgData[Cost Basis]&amp;TrendSheetStgData[Period]&amp;TrendSheetStgData[Trend],TrendSheetPrdData[#All],9,FALSE),0)</f>
        <v>8490</v>
      </c>
      <c r="J2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0.34157832744405187</v>
      </c>
      <c r="K275" s="5">
        <f>VLOOKUP(TrendSheetStgData[Population]&amp;TrendSheetStgData[Trend],Threshold[#All],4,FALSE)</f>
        <v>10</v>
      </c>
      <c r="L275" s="5">
        <f>VLOOKUP(TrendSheetStgData[Population]&amp;TrendSheetStgData[Trend],Threshold[#All],5,FALSE)</f>
        <v>5</v>
      </c>
      <c r="M2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6" spans="1:13" x14ac:dyDescent="0.25">
      <c r="A276" t="s">
        <v>90</v>
      </c>
      <c r="B276" t="s">
        <v>90</v>
      </c>
      <c r="C276" t="s">
        <v>91</v>
      </c>
      <c r="D276" s="1" t="s">
        <v>101</v>
      </c>
      <c r="E276" t="s">
        <v>93</v>
      </c>
      <c r="F276" t="s">
        <v>31</v>
      </c>
      <c r="G276">
        <v>20</v>
      </c>
      <c r="H276">
        <v>8545</v>
      </c>
      <c r="I276" s="5">
        <f>IFERROR(VLOOKUP(TrendSheetStgData[Population]&amp;TrendSheetStgData[Cost Basis]&amp;TrendSheetStgData[Period]&amp;TrendSheetStgData[Trend],TrendSheetPrdData[#All],9,FALSE),0)</f>
        <v>8473</v>
      </c>
      <c r="J2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0.84975805499822965</v>
      </c>
      <c r="K276" s="5">
        <f>VLOOKUP(TrendSheetStgData[Population]&amp;TrendSheetStgData[Trend],Threshold[#All],4,FALSE)</f>
        <v>10</v>
      </c>
      <c r="L276" s="5">
        <f>VLOOKUP(TrendSheetStgData[Population]&amp;TrendSheetStgData[Trend],Threshold[#All],5,FALSE)</f>
        <v>5</v>
      </c>
      <c r="M2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7" spans="1:13" x14ac:dyDescent="0.25">
      <c r="A277" t="s">
        <v>90</v>
      </c>
      <c r="B277" t="s">
        <v>90</v>
      </c>
      <c r="C277" t="s">
        <v>91</v>
      </c>
      <c r="D277" s="1" t="s">
        <v>102</v>
      </c>
      <c r="E277" t="s">
        <v>93</v>
      </c>
      <c r="F277" t="s">
        <v>31</v>
      </c>
      <c r="G277">
        <v>20</v>
      </c>
      <c r="H277">
        <v>7297</v>
      </c>
      <c r="I277" s="5">
        <f>IFERROR(VLOOKUP(TrendSheetStgData[Population]&amp;TrendSheetStgData[Cost Basis]&amp;TrendSheetStgData[Period]&amp;TrendSheetStgData[Trend],TrendSheetPrdData[#All],9,FALSE),0)</f>
        <v>7231</v>
      </c>
      <c r="J2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0.91273682754805696</v>
      </c>
      <c r="K277" s="5">
        <f>VLOOKUP(TrendSheetStgData[Population]&amp;TrendSheetStgData[Trend],Threshold[#All],4,FALSE)</f>
        <v>10</v>
      </c>
      <c r="L277" s="5">
        <f>VLOOKUP(TrendSheetStgData[Population]&amp;TrendSheetStgData[Trend],Threshold[#All],5,FALSE)</f>
        <v>5</v>
      </c>
      <c r="M2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8" spans="1:13" x14ac:dyDescent="0.25">
      <c r="A278" t="s">
        <v>90</v>
      </c>
      <c r="B278" t="s">
        <v>90</v>
      </c>
      <c r="C278" t="s">
        <v>91</v>
      </c>
      <c r="D278" s="1" t="s">
        <v>103</v>
      </c>
      <c r="E278" t="s">
        <v>93</v>
      </c>
      <c r="F278" t="s">
        <v>31</v>
      </c>
      <c r="G278">
        <v>20</v>
      </c>
      <c r="H278">
        <v>7228</v>
      </c>
      <c r="I278" s="5">
        <f>IFERROR(VLOOKUP(TrendSheetStgData[Population]&amp;TrendSheetStgData[Cost Basis]&amp;TrendSheetStgData[Period]&amp;TrendSheetStgData[Trend],TrendSheetPrdData[#All],9,FALSE),0)</f>
        <v>7059</v>
      </c>
      <c r="J2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2.3941068139963169</v>
      </c>
      <c r="K278" s="5">
        <f>VLOOKUP(TrendSheetStgData[Population]&amp;TrendSheetStgData[Trend],Threshold[#All],4,FALSE)</f>
        <v>10</v>
      </c>
      <c r="L278" s="5">
        <f>VLOOKUP(TrendSheetStgData[Population]&amp;TrendSheetStgData[Trend],Threshold[#All],5,FALSE)</f>
        <v>5</v>
      </c>
      <c r="M2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9" spans="1:13" x14ac:dyDescent="0.25">
      <c r="A279" t="s">
        <v>90</v>
      </c>
      <c r="B279" t="s">
        <v>90</v>
      </c>
      <c r="C279" t="s">
        <v>91</v>
      </c>
      <c r="D279" s="1" t="s">
        <v>104</v>
      </c>
      <c r="E279" t="s">
        <v>93</v>
      </c>
      <c r="F279" t="s">
        <v>31</v>
      </c>
      <c r="G279">
        <v>20</v>
      </c>
      <c r="H279">
        <v>9283</v>
      </c>
      <c r="I279" s="5">
        <f>IFERROR(VLOOKUP(TrendSheetStgData[Population]&amp;TrendSheetStgData[Cost Basis]&amp;TrendSheetStgData[Period]&amp;TrendSheetStgData[Trend],TrendSheetPrdData[#All],9,FALSE),0)</f>
        <v>8762</v>
      </c>
      <c r="J2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5.9461310203149962</v>
      </c>
      <c r="K279" s="5">
        <f>VLOOKUP(TrendSheetStgData[Population]&amp;TrendSheetStgData[Trend],Threshold[#All],4,FALSE)</f>
        <v>10</v>
      </c>
      <c r="L279" s="5">
        <f>VLOOKUP(TrendSheetStgData[Population]&amp;TrendSheetStgData[Trend],Threshold[#All],5,FALSE)</f>
        <v>5</v>
      </c>
      <c r="M2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80" spans="1:13" x14ac:dyDescent="0.25">
      <c r="A280" t="s">
        <v>90</v>
      </c>
      <c r="B280" t="s">
        <v>90</v>
      </c>
      <c r="C280" t="s">
        <v>91</v>
      </c>
      <c r="D280" s="1" t="s">
        <v>105</v>
      </c>
      <c r="E280" t="s">
        <v>106</v>
      </c>
      <c r="F280" t="s">
        <v>31</v>
      </c>
      <c r="G280">
        <v>20</v>
      </c>
      <c r="H280">
        <v>7529</v>
      </c>
      <c r="I280" s="5">
        <f>IFERROR(VLOOKUP(TrendSheetStgData[Population]&amp;TrendSheetStgData[Cost Basis]&amp;TrendSheetStgData[Period]&amp;TrendSheetStgData[Trend],TrendSheetPrdData[#All],9,FALSE),0)</f>
        <v>2290</v>
      </c>
      <c r="J2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228.77729257641923</v>
      </c>
      <c r="K280" s="5">
        <f>VLOOKUP(TrendSheetStgData[Population]&amp;TrendSheetStgData[Trend],Threshold[#All],4,FALSE)</f>
        <v>10</v>
      </c>
      <c r="L280" s="5">
        <f>VLOOKUP(TrendSheetStgData[Population]&amp;TrendSheetStgData[Trend],Threshold[#All],5,FALSE)</f>
        <v>5</v>
      </c>
      <c r="M2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1" spans="1:13" x14ac:dyDescent="0.25">
      <c r="A281" t="s">
        <v>90</v>
      </c>
      <c r="B281" t="s">
        <v>90</v>
      </c>
      <c r="C281" t="s">
        <v>91</v>
      </c>
      <c r="D281" s="1" t="s">
        <v>107</v>
      </c>
      <c r="E281" t="s">
        <v>106</v>
      </c>
      <c r="F281" t="s">
        <v>31</v>
      </c>
      <c r="G281">
        <v>20</v>
      </c>
      <c r="H281">
        <v>3789</v>
      </c>
      <c r="I281" s="5">
        <f>IFERROR(VLOOKUP(TrendSheetStgData[Population]&amp;TrendSheetStgData[Cost Basis]&amp;TrendSheetStgData[Period]&amp;TrendSheetStgData[Trend],TrendSheetPrdData[#All],9,FALSE),0)</f>
        <v>0</v>
      </c>
      <c r="J2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81" s="5">
        <f>VLOOKUP(TrendSheetStgData[Population]&amp;TrendSheetStgData[Trend],Threshold[#All],4,FALSE)</f>
        <v>10</v>
      </c>
      <c r="L281" s="5">
        <f>VLOOKUP(TrendSheetStgData[Population]&amp;TrendSheetStgData[Trend],Threshold[#All],5,FALSE)</f>
        <v>5</v>
      </c>
      <c r="M2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2" spans="1:13" x14ac:dyDescent="0.25">
      <c r="A282" t="s">
        <v>90</v>
      </c>
      <c r="B282" t="s">
        <v>90</v>
      </c>
      <c r="C282" t="s">
        <v>91</v>
      </c>
      <c r="D282" s="1" t="s">
        <v>92</v>
      </c>
      <c r="E282" t="s">
        <v>93</v>
      </c>
      <c r="F282" t="s">
        <v>32</v>
      </c>
      <c r="G282">
        <v>21</v>
      </c>
      <c r="H282">
        <v>9625</v>
      </c>
      <c r="I282" s="5">
        <f>IFERROR(VLOOKUP(TrendSheetStgData[Population]&amp;TrendSheetStgData[Cost Basis]&amp;TrendSheetStgData[Period]&amp;TrendSheetStgData[Trend],TrendSheetPrdData[#All],9,FALSE),0)</f>
        <v>9568</v>
      </c>
      <c r="J2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0.59573578595317733</v>
      </c>
      <c r="K282" s="5">
        <f>VLOOKUP(TrendSheetStgData[Population]&amp;TrendSheetStgData[Trend],Threshold[#All],4,FALSE)</f>
        <v>10</v>
      </c>
      <c r="L282" s="5">
        <f>VLOOKUP(TrendSheetStgData[Population]&amp;TrendSheetStgData[Trend],Threshold[#All],5,FALSE)</f>
        <v>5</v>
      </c>
      <c r="M2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3" spans="1:13" x14ac:dyDescent="0.25">
      <c r="A283" t="s">
        <v>90</v>
      </c>
      <c r="B283" t="s">
        <v>90</v>
      </c>
      <c r="C283" t="s">
        <v>91</v>
      </c>
      <c r="D283" s="1" t="s">
        <v>94</v>
      </c>
      <c r="E283" t="s">
        <v>93</v>
      </c>
      <c r="F283" t="s">
        <v>32</v>
      </c>
      <c r="G283">
        <v>21</v>
      </c>
      <c r="H283">
        <v>8944</v>
      </c>
      <c r="I283" s="5">
        <f>IFERROR(VLOOKUP(TrendSheetStgData[Population]&amp;TrendSheetStgData[Cost Basis]&amp;TrendSheetStgData[Period]&amp;TrendSheetStgData[Trend],TrendSheetPrdData[#All],9,FALSE),0)</f>
        <v>8904</v>
      </c>
      <c r="J2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0.44923629829290207</v>
      </c>
      <c r="K283" s="5">
        <f>VLOOKUP(TrendSheetStgData[Population]&amp;TrendSheetStgData[Trend],Threshold[#All],4,FALSE)</f>
        <v>10</v>
      </c>
      <c r="L283" s="5">
        <f>VLOOKUP(TrendSheetStgData[Population]&amp;TrendSheetStgData[Trend],Threshold[#All],5,FALSE)</f>
        <v>5</v>
      </c>
      <c r="M2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4" spans="1:13" x14ac:dyDescent="0.25">
      <c r="A284" t="s">
        <v>90</v>
      </c>
      <c r="B284" t="s">
        <v>90</v>
      </c>
      <c r="C284" t="s">
        <v>91</v>
      </c>
      <c r="D284" s="1" t="s">
        <v>95</v>
      </c>
      <c r="E284" t="s">
        <v>93</v>
      </c>
      <c r="F284" t="s">
        <v>32</v>
      </c>
      <c r="G284">
        <v>21</v>
      </c>
      <c r="H284">
        <v>9995</v>
      </c>
      <c r="I284" s="5">
        <f>IFERROR(VLOOKUP(TrendSheetStgData[Population]&amp;TrendSheetStgData[Cost Basis]&amp;TrendSheetStgData[Period]&amp;TrendSheetStgData[Trend],TrendSheetPrdData[#All],9,FALSE),0)</f>
        <v>9942</v>
      </c>
      <c r="J2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0.53309193321263326</v>
      </c>
      <c r="K284" s="5">
        <f>VLOOKUP(TrendSheetStgData[Population]&amp;TrendSheetStgData[Trend],Threshold[#All],4,FALSE)</f>
        <v>10</v>
      </c>
      <c r="L284" s="5">
        <f>VLOOKUP(TrendSheetStgData[Population]&amp;TrendSheetStgData[Trend],Threshold[#All],5,FALSE)</f>
        <v>5</v>
      </c>
      <c r="M2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5" spans="1:13" x14ac:dyDescent="0.25">
      <c r="A285" t="s">
        <v>90</v>
      </c>
      <c r="B285" t="s">
        <v>90</v>
      </c>
      <c r="C285" t="s">
        <v>91</v>
      </c>
      <c r="D285" s="1" t="s">
        <v>96</v>
      </c>
      <c r="E285" t="s">
        <v>93</v>
      </c>
      <c r="F285" t="s">
        <v>32</v>
      </c>
      <c r="G285">
        <v>21</v>
      </c>
      <c r="H285">
        <v>8600</v>
      </c>
      <c r="I285" s="5">
        <f>IFERROR(VLOOKUP(TrendSheetStgData[Population]&amp;TrendSheetStgData[Cost Basis]&amp;TrendSheetStgData[Period]&amp;TrendSheetStgData[Trend],TrendSheetPrdData[#All],9,FALSE),0)</f>
        <v>8531</v>
      </c>
      <c r="J2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0.80881491032704267</v>
      </c>
      <c r="K285" s="5">
        <f>VLOOKUP(TrendSheetStgData[Population]&amp;TrendSheetStgData[Trend],Threshold[#All],4,FALSE)</f>
        <v>10</v>
      </c>
      <c r="L285" s="5">
        <f>VLOOKUP(TrendSheetStgData[Population]&amp;TrendSheetStgData[Trend],Threshold[#All],5,FALSE)</f>
        <v>5</v>
      </c>
      <c r="M2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6" spans="1:13" x14ac:dyDescent="0.25">
      <c r="A286" t="s">
        <v>90</v>
      </c>
      <c r="B286" t="s">
        <v>90</v>
      </c>
      <c r="C286" t="s">
        <v>91</v>
      </c>
      <c r="D286" s="1" t="s">
        <v>97</v>
      </c>
      <c r="E286" t="s">
        <v>93</v>
      </c>
      <c r="F286" t="s">
        <v>32</v>
      </c>
      <c r="G286">
        <v>21</v>
      </c>
      <c r="H286">
        <v>10477</v>
      </c>
      <c r="I286" s="5">
        <f>IFERROR(VLOOKUP(TrendSheetStgData[Population]&amp;TrendSheetStgData[Cost Basis]&amp;TrendSheetStgData[Period]&amp;TrendSheetStgData[Trend],TrendSheetPrdData[#All],9,FALSE),0)</f>
        <v>10389</v>
      </c>
      <c r="J2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0.8470497641736453</v>
      </c>
      <c r="K286" s="5">
        <f>VLOOKUP(TrendSheetStgData[Population]&amp;TrendSheetStgData[Trend],Threshold[#All],4,FALSE)</f>
        <v>10</v>
      </c>
      <c r="L286" s="5">
        <f>VLOOKUP(TrendSheetStgData[Population]&amp;TrendSheetStgData[Trend],Threshold[#All],5,FALSE)</f>
        <v>5</v>
      </c>
      <c r="M2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7" spans="1:13" x14ac:dyDescent="0.25">
      <c r="A287" t="s">
        <v>90</v>
      </c>
      <c r="B287" t="s">
        <v>90</v>
      </c>
      <c r="C287" t="s">
        <v>91</v>
      </c>
      <c r="D287" s="1" t="s">
        <v>98</v>
      </c>
      <c r="E287" t="s">
        <v>93</v>
      </c>
      <c r="F287" t="s">
        <v>32</v>
      </c>
      <c r="G287">
        <v>21</v>
      </c>
      <c r="H287">
        <v>10150</v>
      </c>
      <c r="I287" s="5">
        <f>IFERROR(VLOOKUP(TrendSheetStgData[Population]&amp;TrendSheetStgData[Cost Basis]&amp;TrendSheetStgData[Period]&amp;TrendSheetStgData[Trend],TrendSheetPrdData[#All],9,FALSE),0)</f>
        <v>10058</v>
      </c>
      <c r="J2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0.91469477033207391</v>
      </c>
      <c r="K287" s="5">
        <f>VLOOKUP(TrendSheetStgData[Population]&amp;TrendSheetStgData[Trend],Threshold[#All],4,FALSE)</f>
        <v>10</v>
      </c>
      <c r="L287" s="5">
        <f>VLOOKUP(TrendSheetStgData[Population]&amp;TrendSheetStgData[Trend],Threshold[#All],5,FALSE)</f>
        <v>5</v>
      </c>
      <c r="M2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8" spans="1:13" x14ac:dyDescent="0.25">
      <c r="A288" t="s">
        <v>90</v>
      </c>
      <c r="B288" t="s">
        <v>90</v>
      </c>
      <c r="C288" t="s">
        <v>91</v>
      </c>
      <c r="D288" s="1" t="s">
        <v>99</v>
      </c>
      <c r="E288" t="s">
        <v>93</v>
      </c>
      <c r="F288" t="s">
        <v>32</v>
      </c>
      <c r="G288">
        <v>21</v>
      </c>
      <c r="H288">
        <v>11079</v>
      </c>
      <c r="I288" s="5">
        <f>IFERROR(VLOOKUP(TrendSheetStgData[Population]&amp;TrendSheetStgData[Cost Basis]&amp;TrendSheetStgData[Period]&amp;TrendSheetStgData[Trend],TrendSheetPrdData[#All],9,FALSE),0)</f>
        <v>10995</v>
      </c>
      <c r="J2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0.76398362892223737</v>
      </c>
      <c r="K288" s="5">
        <f>VLOOKUP(TrendSheetStgData[Population]&amp;TrendSheetStgData[Trend],Threshold[#All],4,FALSE)</f>
        <v>10</v>
      </c>
      <c r="L288" s="5">
        <f>VLOOKUP(TrendSheetStgData[Population]&amp;TrendSheetStgData[Trend],Threshold[#All],5,FALSE)</f>
        <v>5</v>
      </c>
      <c r="M2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9" spans="1:13" x14ac:dyDescent="0.25">
      <c r="A289" t="s">
        <v>90</v>
      </c>
      <c r="B289" t="s">
        <v>90</v>
      </c>
      <c r="C289" t="s">
        <v>91</v>
      </c>
      <c r="D289" s="1" t="s">
        <v>100</v>
      </c>
      <c r="E289" t="s">
        <v>93</v>
      </c>
      <c r="F289" t="s">
        <v>32</v>
      </c>
      <c r="G289">
        <v>21</v>
      </c>
      <c r="H289">
        <v>11632</v>
      </c>
      <c r="I289" s="5">
        <f>IFERROR(VLOOKUP(TrendSheetStgData[Population]&amp;TrendSheetStgData[Cost Basis]&amp;TrendSheetStgData[Period]&amp;TrendSheetStgData[Trend],TrendSheetPrdData[#All],9,FALSE),0)</f>
        <v>11525</v>
      </c>
      <c r="J2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0.92841648590021686</v>
      </c>
      <c r="K289" s="5">
        <f>VLOOKUP(TrendSheetStgData[Population]&amp;TrendSheetStgData[Trend],Threshold[#All],4,FALSE)</f>
        <v>10</v>
      </c>
      <c r="L289" s="5">
        <f>VLOOKUP(TrendSheetStgData[Population]&amp;TrendSheetStgData[Trend],Threshold[#All],5,FALSE)</f>
        <v>5</v>
      </c>
      <c r="M2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0" spans="1:13" x14ac:dyDescent="0.25">
      <c r="A290" t="s">
        <v>90</v>
      </c>
      <c r="B290" t="s">
        <v>90</v>
      </c>
      <c r="C290" t="s">
        <v>91</v>
      </c>
      <c r="D290" s="1" t="s">
        <v>101</v>
      </c>
      <c r="E290" t="s">
        <v>93</v>
      </c>
      <c r="F290" t="s">
        <v>32</v>
      </c>
      <c r="G290">
        <v>21</v>
      </c>
      <c r="H290">
        <v>11163</v>
      </c>
      <c r="I290" s="5">
        <f>IFERROR(VLOOKUP(TrendSheetStgData[Population]&amp;TrendSheetStgData[Cost Basis]&amp;TrendSheetStgData[Period]&amp;TrendSheetStgData[Trend],TrendSheetPrdData[#All],9,FALSE),0)</f>
        <v>11035</v>
      </c>
      <c r="J2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1.1599456275487088</v>
      </c>
      <c r="K290" s="5">
        <f>VLOOKUP(TrendSheetStgData[Population]&amp;TrendSheetStgData[Trend],Threshold[#All],4,FALSE)</f>
        <v>10</v>
      </c>
      <c r="L290" s="5">
        <f>VLOOKUP(TrendSheetStgData[Population]&amp;TrendSheetStgData[Trend],Threshold[#All],5,FALSE)</f>
        <v>5</v>
      </c>
      <c r="M2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1" spans="1:13" x14ac:dyDescent="0.25">
      <c r="A291" t="s">
        <v>90</v>
      </c>
      <c r="B291" t="s">
        <v>90</v>
      </c>
      <c r="C291" t="s">
        <v>91</v>
      </c>
      <c r="D291" s="1" t="s">
        <v>102</v>
      </c>
      <c r="E291" t="s">
        <v>93</v>
      </c>
      <c r="F291" t="s">
        <v>32</v>
      </c>
      <c r="G291">
        <v>21</v>
      </c>
      <c r="H291">
        <v>10439</v>
      </c>
      <c r="I291" s="5">
        <f>IFERROR(VLOOKUP(TrendSheetStgData[Population]&amp;TrendSheetStgData[Cost Basis]&amp;TrendSheetStgData[Period]&amp;TrendSheetStgData[Trend],TrendSheetPrdData[#All],9,FALSE),0)</f>
        <v>10233</v>
      </c>
      <c r="J2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2.0130948890843348</v>
      </c>
      <c r="K291" s="5">
        <f>VLOOKUP(TrendSheetStgData[Population]&amp;TrendSheetStgData[Trend],Threshold[#All],4,FALSE)</f>
        <v>10</v>
      </c>
      <c r="L291" s="5">
        <f>VLOOKUP(TrendSheetStgData[Population]&amp;TrendSheetStgData[Trend],Threshold[#All],5,FALSE)</f>
        <v>5</v>
      </c>
      <c r="M2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2" spans="1:13" x14ac:dyDescent="0.25">
      <c r="A292" t="s">
        <v>90</v>
      </c>
      <c r="B292" t="s">
        <v>90</v>
      </c>
      <c r="C292" t="s">
        <v>91</v>
      </c>
      <c r="D292" s="1" t="s">
        <v>103</v>
      </c>
      <c r="E292" t="s">
        <v>93</v>
      </c>
      <c r="F292" t="s">
        <v>32</v>
      </c>
      <c r="G292">
        <v>21</v>
      </c>
      <c r="H292">
        <v>9537</v>
      </c>
      <c r="I292" s="5">
        <f>IFERROR(VLOOKUP(TrendSheetStgData[Population]&amp;TrendSheetStgData[Cost Basis]&amp;TrendSheetStgData[Period]&amp;TrendSheetStgData[Trend],TrendSheetPrdData[#All],9,FALSE),0)</f>
        <v>9289</v>
      </c>
      <c r="J2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2.6698245236301004</v>
      </c>
      <c r="K292" s="5">
        <f>VLOOKUP(TrendSheetStgData[Population]&amp;TrendSheetStgData[Trend],Threshold[#All],4,FALSE)</f>
        <v>10</v>
      </c>
      <c r="L292" s="5">
        <f>VLOOKUP(TrendSheetStgData[Population]&amp;TrendSheetStgData[Trend],Threshold[#All],5,FALSE)</f>
        <v>5</v>
      </c>
      <c r="M2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3" spans="1:13" x14ac:dyDescent="0.25">
      <c r="A293" t="s">
        <v>90</v>
      </c>
      <c r="B293" t="s">
        <v>90</v>
      </c>
      <c r="C293" t="s">
        <v>91</v>
      </c>
      <c r="D293" s="1" t="s">
        <v>104</v>
      </c>
      <c r="E293" t="s">
        <v>93</v>
      </c>
      <c r="F293" t="s">
        <v>32</v>
      </c>
      <c r="G293">
        <v>21</v>
      </c>
      <c r="H293">
        <v>10684</v>
      </c>
      <c r="I293" s="5">
        <f>IFERROR(VLOOKUP(TrendSheetStgData[Population]&amp;TrendSheetStgData[Cost Basis]&amp;TrendSheetStgData[Period]&amp;TrendSheetStgData[Trend],TrendSheetPrdData[#All],9,FALSE),0)</f>
        <v>9766</v>
      </c>
      <c r="J2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9.3999590415728029</v>
      </c>
      <c r="K293" s="5">
        <f>VLOOKUP(TrendSheetStgData[Population]&amp;TrendSheetStgData[Trend],Threshold[#All],4,FALSE)</f>
        <v>10</v>
      </c>
      <c r="L293" s="5">
        <f>VLOOKUP(TrendSheetStgData[Population]&amp;TrendSheetStgData[Trend],Threshold[#All],5,FALSE)</f>
        <v>5</v>
      </c>
      <c r="M2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94" spans="1:13" x14ac:dyDescent="0.25">
      <c r="A294" t="s">
        <v>90</v>
      </c>
      <c r="B294" t="s">
        <v>90</v>
      </c>
      <c r="C294" t="s">
        <v>91</v>
      </c>
      <c r="D294" s="1" t="s">
        <v>105</v>
      </c>
      <c r="E294" t="s">
        <v>106</v>
      </c>
      <c r="F294" t="s">
        <v>32</v>
      </c>
      <c r="G294">
        <v>21</v>
      </c>
      <c r="H294">
        <v>9305</v>
      </c>
      <c r="I294" s="5">
        <f>IFERROR(VLOOKUP(TrendSheetStgData[Population]&amp;TrendSheetStgData[Cost Basis]&amp;TrendSheetStgData[Period]&amp;TrendSheetStgData[Trend],TrendSheetPrdData[#All],9,FALSE),0)</f>
        <v>3323</v>
      </c>
      <c r="J2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180.0180559735179</v>
      </c>
      <c r="K294" s="5">
        <f>VLOOKUP(TrendSheetStgData[Population]&amp;TrendSheetStgData[Trend],Threshold[#All],4,FALSE)</f>
        <v>10</v>
      </c>
      <c r="L294" s="5">
        <f>VLOOKUP(TrendSheetStgData[Population]&amp;TrendSheetStgData[Trend],Threshold[#All],5,FALSE)</f>
        <v>5</v>
      </c>
      <c r="M2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95" spans="1:13" x14ac:dyDescent="0.25">
      <c r="A295" t="s">
        <v>90</v>
      </c>
      <c r="B295" t="s">
        <v>90</v>
      </c>
      <c r="C295" t="s">
        <v>91</v>
      </c>
      <c r="D295" s="1" t="s">
        <v>107</v>
      </c>
      <c r="E295" t="s">
        <v>106</v>
      </c>
      <c r="F295" t="s">
        <v>32</v>
      </c>
      <c r="G295">
        <v>21</v>
      </c>
      <c r="H295">
        <v>5027</v>
      </c>
      <c r="I295" s="5">
        <f>IFERROR(VLOOKUP(TrendSheetStgData[Population]&amp;TrendSheetStgData[Cost Basis]&amp;TrendSheetStgData[Period]&amp;TrendSheetStgData[Trend],TrendSheetPrdData[#All],9,FALSE),0)</f>
        <v>0</v>
      </c>
      <c r="J2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95" s="5">
        <f>VLOOKUP(TrendSheetStgData[Population]&amp;TrendSheetStgData[Trend],Threshold[#All],4,FALSE)</f>
        <v>10</v>
      </c>
      <c r="L295" s="5">
        <f>VLOOKUP(TrendSheetStgData[Population]&amp;TrendSheetStgData[Trend],Threshold[#All],5,FALSE)</f>
        <v>5</v>
      </c>
      <c r="M2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96" spans="1:13" x14ac:dyDescent="0.25">
      <c r="A296" t="s">
        <v>90</v>
      </c>
      <c r="B296" t="s">
        <v>90</v>
      </c>
      <c r="C296" t="s">
        <v>91</v>
      </c>
      <c r="D296" s="1" t="s">
        <v>92</v>
      </c>
      <c r="E296" t="s">
        <v>93</v>
      </c>
      <c r="F296" t="s">
        <v>33</v>
      </c>
      <c r="G296">
        <v>22</v>
      </c>
      <c r="H296">
        <v>696</v>
      </c>
      <c r="I296" s="5">
        <f>IFERROR(VLOOKUP(TrendSheetStgData[Population]&amp;TrendSheetStgData[Cost Basis]&amp;TrendSheetStgData[Period]&amp;TrendSheetStgData[Trend],TrendSheetPrdData[#All],9,FALSE),0)</f>
        <v>734</v>
      </c>
      <c r="J2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5.1771117166212539</v>
      </c>
      <c r="K296" s="5">
        <f>VLOOKUP(TrendSheetStgData[Population]&amp;TrendSheetStgData[Trend],Threshold[#All],4,FALSE)</f>
        <v>10</v>
      </c>
      <c r="L296" s="5">
        <f>VLOOKUP(TrendSheetStgData[Population]&amp;TrendSheetStgData[Trend],Threshold[#All],5,FALSE)</f>
        <v>5</v>
      </c>
      <c r="M2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97" spans="1:13" x14ac:dyDescent="0.25">
      <c r="A297" t="s">
        <v>90</v>
      </c>
      <c r="B297" t="s">
        <v>90</v>
      </c>
      <c r="C297" t="s">
        <v>91</v>
      </c>
      <c r="D297" s="1" t="s">
        <v>94</v>
      </c>
      <c r="E297" t="s">
        <v>93</v>
      </c>
      <c r="F297" t="s">
        <v>33</v>
      </c>
      <c r="G297">
        <v>22</v>
      </c>
      <c r="H297">
        <v>673</v>
      </c>
      <c r="I297" s="5">
        <f>IFERROR(VLOOKUP(TrendSheetStgData[Population]&amp;TrendSheetStgData[Cost Basis]&amp;TrendSheetStgData[Period]&amp;TrendSheetStgData[Trend],TrendSheetPrdData[#All],9,FALSE),0)</f>
        <v>706</v>
      </c>
      <c r="J2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4.6742209631728047</v>
      </c>
      <c r="K297" s="5">
        <f>VLOOKUP(TrendSheetStgData[Population]&amp;TrendSheetStgData[Trend],Threshold[#All],4,FALSE)</f>
        <v>10</v>
      </c>
      <c r="L297" s="5">
        <f>VLOOKUP(TrendSheetStgData[Population]&amp;TrendSheetStgData[Trend],Threshold[#All],5,FALSE)</f>
        <v>5</v>
      </c>
      <c r="M2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8" spans="1:13" x14ac:dyDescent="0.25">
      <c r="A298" t="s">
        <v>90</v>
      </c>
      <c r="B298" t="s">
        <v>90</v>
      </c>
      <c r="C298" t="s">
        <v>91</v>
      </c>
      <c r="D298" s="1" t="s">
        <v>95</v>
      </c>
      <c r="E298" t="s">
        <v>93</v>
      </c>
      <c r="F298" t="s">
        <v>33</v>
      </c>
      <c r="G298">
        <v>22</v>
      </c>
      <c r="H298">
        <v>721</v>
      </c>
      <c r="I298" s="5">
        <f>IFERROR(VLOOKUP(TrendSheetStgData[Population]&amp;TrendSheetStgData[Cost Basis]&amp;TrendSheetStgData[Period]&amp;TrendSheetStgData[Trend],TrendSheetPrdData[#All],9,FALSE),0)</f>
        <v>753</v>
      </c>
      <c r="J2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4.2496679946879148</v>
      </c>
      <c r="K298" s="5">
        <f>VLOOKUP(TrendSheetStgData[Population]&amp;TrendSheetStgData[Trend],Threshold[#All],4,FALSE)</f>
        <v>10</v>
      </c>
      <c r="L298" s="5">
        <f>VLOOKUP(TrendSheetStgData[Population]&amp;TrendSheetStgData[Trend],Threshold[#All],5,FALSE)</f>
        <v>5</v>
      </c>
      <c r="M2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9" spans="1:13" x14ac:dyDescent="0.25">
      <c r="A299" t="s">
        <v>90</v>
      </c>
      <c r="B299" t="s">
        <v>90</v>
      </c>
      <c r="C299" t="s">
        <v>91</v>
      </c>
      <c r="D299" s="1" t="s">
        <v>96</v>
      </c>
      <c r="E299" t="s">
        <v>93</v>
      </c>
      <c r="F299" t="s">
        <v>33</v>
      </c>
      <c r="G299">
        <v>22</v>
      </c>
      <c r="H299">
        <v>676</v>
      </c>
      <c r="I299" s="5">
        <f>IFERROR(VLOOKUP(TrendSheetStgData[Population]&amp;TrendSheetStgData[Cost Basis]&amp;TrendSheetStgData[Period]&amp;TrendSheetStgData[Trend],TrendSheetPrdData[#All],9,FALSE),0)</f>
        <v>705</v>
      </c>
      <c r="J2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4.1134751773049638</v>
      </c>
      <c r="K299" s="5">
        <f>VLOOKUP(TrendSheetStgData[Population]&amp;TrendSheetStgData[Trend],Threshold[#All],4,FALSE)</f>
        <v>10</v>
      </c>
      <c r="L299" s="5">
        <f>VLOOKUP(TrendSheetStgData[Population]&amp;TrendSheetStgData[Trend],Threshold[#All],5,FALSE)</f>
        <v>5</v>
      </c>
      <c r="M2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0" spans="1:13" x14ac:dyDescent="0.25">
      <c r="A300" t="s">
        <v>90</v>
      </c>
      <c r="B300" t="s">
        <v>90</v>
      </c>
      <c r="C300" t="s">
        <v>91</v>
      </c>
      <c r="D300" s="1" t="s">
        <v>97</v>
      </c>
      <c r="E300" t="s">
        <v>93</v>
      </c>
      <c r="F300" t="s">
        <v>33</v>
      </c>
      <c r="G300">
        <v>22</v>
      </c>
      <c r="H300">
        <v>777</v>
      </c>
      <c r="I300" s="5">
        <f>IFERROR(VLOOKUP(TrendSheetStgData[Population]&amp;TrendSheetStgData[Cost Basis]&amp;TrendSheetStgData[Period]&amp;TrendSheetStgData[Trend],TrendSheetPrdData[#All],9,FALSE),0)</f>
        <v>815</v>
      </c>
      <c r="J3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4.6625766871165641</v>
      </c>
      <c r="K300" s="5">
        <f>VLOOKUP(TrendSheetStgData[Population]&amp;TrendSheetStgData[Trend],Threshold[#All],4,FALSE)</f>
        <v>10</v>
      </c>
      <c r="L300" s="5">
        <f>VLOOKUP(TrendSheetStgData[Population]&amp;TrendSheetStgData[Trend],Threshold[#All],5,FALSE)</f>
        <v>5</v>
      </c>
      <c r="M3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1" spans="1:13" x14ac:dyDescent="0.25">
      <c r="A301" t="s">
        <v>90</v>
      </c>
      <c r="B301" t="s">
        <v>90</v>
      </c>
      <c r="C301" t="s">
        <v>91</v>
      </c>
      <c r="D301" s="1" t="s">
        <v>98</v>
      </c>
      <c r="E301" t="s">
        <v>93</v>
      </c>
      <c r="F301" t="s">
        <v>33</v>
      </c>
      <c r="G301">
        <v>22</v>
      </c>
      <c r="H301">
        <v>792</v>
      </c>
      <c r="I301" s="5">
        <f>IFERROR(VLOOKUP(TrendSheetStgData[Population]&amp;TrendSheetStgData[Cost Basis]&amp;TrendSheetStgData[Period]&amp;TrendSheetStgData[Trend],TrendSheetPrdData[#All],9,FALSE),0)</f>
        <v>820</v>
      </c>
      <c r="J3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3.4146341463414638</v>
      </c>
      <c r="K301" s="5">
        <f>VLOOKUP(TrendSheetStgData[Population]&amp;TrendSheetStgData[Trend],Threshold[#All],4,FALSE)</f>
        <v>10</v>
      </c>
      <c r="L301" s="5">
        <f>VLOOKUP(TrendSheetStgData[Population]&amp;TrendSheetStgData[Trend],Threshold[#All],5,FALSE)</f>
        <v>5</v>
      </c>
      <c r="M3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2" spans="1:13" x14ac:dyDescent="0.25">
      <c r="A302" t="s">
        <v>90</v>
      </c>
      <c r="B302" t="s">
        <v>90</v>
      </c>
      <c r="C302" t="s">
        <v>91</v>
      </c>
      <c r="D302" s="1" t="s">
        <v>99</v>
      </c>
      <c r="E302" t="s">
        <v>93</v>
      </c>
      <c r="F302" t="s">
        <v>33</v>
      </c>
      <c r="G302">
        <v>22</v>
      </c>
      <c r="H302">
        <v>868</v>
      </c>
      <c r="I302" s="5">
        <f>IFERROR(VLOOKUP(TrendSheetStgData[Population]&amp;TrendSheetStgData[Cost Basis]&amp;TrendSheetStgData[Period]&amp;TrendSheetStgData[Trend],TrendSheetPrdData[#All],9,FALSE),0)</f>
        <v>885</v>
      </c>
      <c r="J3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1.9209039548022599</v>
      </c>
      <c r="K302" s="5">
        <f>VLOOKUP(TrendSheetStgData[Population]&amp;TrendSheetStgData[Trend],Threshold[#All],4,FALSE)</f>
        <v>10</v>
      </c>
      <c r="L302" s="5">
        <f>VLOOKUP(TrendSheetStgData[Population]&amp;TrendSheetStgData[Trend],Threshold[#All],5,FALSE)</f>
        <v>5</v>
      </c>
      <c r="M3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3" spans="1:13" x14ac:dyDescent="0.25">
      <c r="A303" t="s">
        <v>90</v>
      </c>
      <c r="B303" t="s">
        <v>90</v>
      </c>
      <c r="C303" t="s">
        <v>91</v>
      </c>
      <c r="D303" s="1" t="s">
        <v>100</v>
      </c>
      <c r="E303" t="s">
        <v>93</v>
      </c>
      <c r="F303" t="s">
        <v>33</v>
      </c>
      <c r="G303">
        <v>22</v>
      </c>
      <c r="H303">
        <v>848</v>
      </c>
      <c r="I303" s="5">
        <f>IFERROR(VLOOKUP(TrendSheetStgData[Population]&amp;TrendSheetStgData[Cost Basis]&amp;TrendSheetStgData[Period]&amp;TrendSheetStgData[Trend],TrendSheetPrdData[#All],9,FALSE),0)</f>
        <v>876</v>
      </c>
      <c r="J3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3.1963470319634704</v>
      </c>
      <c r="K303" s="5">
        <f>VLOOKUP(TrendSheetStgData[Population]&amp;TrendSheetStgData[Trend],Threshold[#All],4,FALSE)</f>
        <v>10</v>
      </c>
      <c r="L303" s="5">
        <f>VLOOKUP(TrendSheetStgData[Population]&amp;TrendSheetStgData[Trend],Threshold[#All],5,FALSE)</f>
        <v>5</v>
      </c>
      <c r="M3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4" spans="1:13" x14ac:dyDescent="0.25">
      <c r="A304" t="s">
        <v>90</v>
      </c>
      <c r="B304" t="s">
        <v>90</v>
      </c>
      <c r="C304" t="s">
        <v>91</v>
      </c>
      <c r="D304" s="1" t="s">
        <v>101</v>
      </c>
      <c r="E304" t="s">
        <v>93</v>
      </c>
      <c r="F304" t="s">
        <v>33</v>
      </c>
      <c r="G304">
        <v>22</v>
      </c>
      <c r="H304">
        <v>764</v>
      </c>
      <c r="I304" s="5">
        <f>IFERROR(VLOOKUP(TrendSheetStgData[Population]&amp;TrendSheetStgData[Cost Basis]&amp;TrendSheetStgData[Period]&amp;TrendSheetStgData[Trend],TrendSheetPrdData[#All],9,FALSE),0)</f>
        <v>789</v>
      </c>
      <c r="J3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3.1685678073510775</v>
      </c>
      <c r="K304" s="5">
        <f>VLOOKUP(TrendSheetStgData[Population]&amp;TrendSheetStgData[Trend],Threshold[#All],4,FALSE)</f>
        <v>10</v>
      </c>
      <c r="L304" s="5">
        <f>VLOOKUP(TrendSheetStgData[Population]&amp;TrendSheetStgData[Trend],Threshold[#All],5,FALSE)</f>
        <v>5</v>
      </c>
      <c r="M3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5" spans="1:13" x14ac:dyDescent="0.25">
      <c r="A305" t="s">
        <v>90</v>
      </c>
      <c r="B305" t="s">
        <v>90</v>
      </c>
      <c r="C305" t="s">
        <v>91</v>
      </c>
      <c r="D305" s="1" t="s">
        <v>102</v>
      </c>
      <c r="E305" t="s">
        <v>93</v>
      </c>
      <c r="F305" t="s">
        <v>33</v>
      </c>
      <c r="G305">
        <v>22</v>
      </c>
      <c r="H305">
        <v>812</v>
      </c>
      <c r="I305" s="5">
        <f>IFERROR(VLOOKUP(TrendSheetStgData[Population]&amp;TrendSheetStgData[Cost Basis]&amp;TrendSheetStgData[Period]&amp;TrendSheetStgData[Trend],TrendSheetPrdData[#All],9,FALSE),0)</f>
        <v>805</v>
      </c>
      <c r="J3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0.86956521739130432</v>
      </c>
      <c r="K305" s="5">
        <f>VLOOKUP(TrendSheetStgData[Population]&amp;TrendSheetStgData[Trend],Threshold[#All],4,FALSE)</f>
        <v>10</v>
      </c>
      <c r="L305" s="5">
        <f>VLOOKUP(TrendSheetStgData[Population]&amp;TrendSheetStgData[Trend],Threshold[#All],5,FALSE)</f>
        <v>5</v>
      </c>
      <c r="M3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6" spans="1:13" x14ac:dyDescent="0.25">
      <c r="A306" t="s">
        <v>90</v>
      </c>
      <c r="B306" t="s">
        <v>90</v>
      </c>
      <c r="C306" t="s">
        <v>91</v>
      </c>
      <c r="D306" s="1" t="s">
        <v>103</v>
      </c>
      <c r="E306" t="s">
        <v>93</v>
      </c>
      <c r="F306" t="s">
        <v>33</v>
      </c>
      <c r="G306">
        <v>22</v>
      </c>
      <c r="H306">
        <v>864</v>
      </c>
      <c r="I306" s="5">
        <f>IFERROR(VLOOKUP(TrendSheetStgData[Population]&amp;TrendSheetStgData[Cost Basis]&amp;TrendSheetStgData[Period]&amp;TrendSheetStgData[Trend],TrendSheetPrdData[#All],9,FALSE),0)</f>
        <v>874</v>
      </c>
      <c r="J3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1.1441647597254003</v>
      </c>
      <c r="K306" s="5">
        <f>VLOOKUP(TrendSheetStgData[Population]&amp;TrendSheetStgData[Trend],Threshold[#All],4,FALSE)</f>
        <v>10</v>
      </c>
      <c r="L306" s="5">
        <f>VLOOKUP(TrendSheetStgData[Population]&amp;TrendSheetStgData[Trend],Threshold[#All],5,FALSE)</f>
        <v>5</v>
      </c>
      <c r="M3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7" spans="1:13" x14ac:dyDescent="0.25">
      <c r="A307" t="s">
        <v>90</v>
      </c>
      <c r="B307" t="s">
        <v>90</v>
      </c>
      <c r="C307" t="s">
        <v>91</v>
      </c>
      <c r="D307" s="1" t="s">
        <v>104</v>
      </c>
      <c r="E307" t="s">
        <v>93</v>
      </c>
      <c r="F307" t="s">
        <v>33</v>
      </c>
      <c r="G307">
        <v>22</v>
      </c>
      <c r="H307">
        <v>905</v>
      </c>
      <c r="I307" s="5">
        <f>IFERROR(VLOOKUP(TrendSheetStgData[Population]&amp;TrendSheetStgData[Cost Basis]&amp;TrendSheetStgData[Period]&amp;TrendSheetStgData[Trend],TrendSheetPrdData[#All],9,FALSE),0)</f>
        <v>837</v>
      </c>
      <c r="J3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8.1242532855436078</v>
      </c>
      <c r="K307" s="5">
        <f>VLOOKUP(TrendSheetStgData[Population]&amp;TrendSheetStgData[Trend],Threshold[#All],4,FALSE)</f>
        <v>10</v>
      </c>
      <c r="L307" s="5">
        <f>VLOOKUP(TrendSheetStgData[Population]&amp;TrendSheetStgData[Trend],Threshold[#All],5,FALSE)</f>
        <v>5</v>
      </c>
      <c r="M3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08" spans="1:13" x14ac:dyDescent="0.25">
      <c r="A308" t="s">
        <v>90</v>
      </c>
      <c r="B308" t="s">
        <v>90</v>
      </c>
      <c r="C308" t="s">
        <v>91</v>
      </c>
      <c r="D308" s="1" t="s">
        <v>105</v>
      </c>
      <c r="E308" t="s">
        <v>106</v>
      </c>
      <c r="F308" t="s">
        <v>33</v>
      </c>
      <c r="G308">
        <v>22</v>
      </c>
      <c r="H308">
        <v>877</v>
      </c>
      <c r="I308" s="5">
        <f>IFERROR(VLOOKUP(TrendSheetStgData[Population]&amp;TrendSheetStgData[Cost Basis]&amp;TrendSheetStgData[Period]&amp;TrendSheetStgData[Trend],TrendSheetPrdData[#All],9,FALSE),0)</f>
        <v>273</v>
      </c>
      <c r="J3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221.24542124542126</v>
      </c>
      <c r="K308" s="5">
        <f>VLOOKUP(TrendSheetStgData[Population]&amp;TrendSheetStgData[Trend],Threshold[#All],4,FALSE)</f>
        <v>10</v>
      </c>
      <c r="L308" s="5">
        <f>VLOOKUP(TrendSheetStgData[Population]&amp;TrendSheetStgData[Trend],Threshold[#All],5,FALSE)</f>
        <v>5</v>
      </c>
      <c r="M3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09" spans="1:13" x14ac:dyDescent="0.25">
      <c r="A309" t="s">
        <v>90</v>
      </c>
      <c r="B309" t="s">
        <v>90</v>
      </c>
      <c r="C309" t="s">
        <v>91</v>
      </c>
      <c r="D309" s="1" t="s">
        <v>107</v>
      </c>
      <c r="E309" t="s">
        <v>106</v>
      </c>
      <c r="F309" t="s">
        <v>33</v>
      </c>
      <c r="G309">
        <v>22</v>
      </c>
      <c r="H309">
        <v>385</v>
      </c>
      <c r="I309" s="5">
        <f>IFERROR(VLOOKUP(TrendSheetStgData[Population]&amp;TrendSheetStgData[Cost Basis]&amp;TrendSheetStgData[Period]&amp;TrendSheetStgData[Trend],TrendSheetPrdData[#All],9,FALSE),0)</f>
        <v>0</v>
      </c>
      <c r="J3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09" s="5">
        <f>VLOOKUP(TrendSheetStgData[Population]&amp;TrendSheetStgData[Trend],Threshold[#All],4,FALSE)</f>
        <v>10</v>
      </c>
      <c r="L309" s="5">
        <f>VLOOKUP(TrendSheetStgData[Population]&amp;TrendSheetStgData[Trend],Threshold[#All],5,FALSE)</f>
        <v>5</v>
      </c>
      <c r="M3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10" spans="1:13" x14ac:dyDescent="0.25">
      <c r="A310" t="s">
        <v>90</v>
      </c>
      <c r="B310" t="s">
        <v>90</v>
      </c>
      <c r="C310" t="s">
        <v>91</v>
      </c>
      <c r="D310" s="1" t="s">
        <v>92</v>
      </c>
      <c r="E310" t="s">
        <v>93</v>
      </c>
      <c r="F310" t="s">
        <v>34</v>
      </c>
      <c r="G310">
        <v>23</v>
      </c>
      <c r="H310">
        <v>9166</v>
      </c>
      <c r="I310" s="5">
        <f>IFERROR(VLOOKUP(TrendSheetStgData[Population]&amp;TrendSheetStgData[Cost Basis]&amp;TrendSheetStgData[Period]&amp;TrendSheetStgData[Trend],TrendSheetPrdData[#All],9,FALSE),0)</f>
        <v>9166</v>
      </c>
      <c r="J3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0" s="5">
        <f>VLOOKUP(TrendSheetStgData[Population]&amp;TrendSheetStgData[Trend],Threshold[#All],4,FALSE)</f>
        <v>10</v>
      </c>
      <c r="L310" s="5">
        <f>VLOOKUP(TrendSheetStgData[Population]&amp;TrendSheetStgData[Trend],Threshold[#All],5,FALSE)</f>
        <v>5</v>
      </c>
      <c r="M3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1" spans="1:13" x14ac:dyDescent="0.25">
      <c r="A311" t="s">
        <v>90</v>
      </c>
      <c r="B311" t="s">
        <v>90</v>
      </c>
      <c r="C311" t="s">
        <v>91</v>
      </c>
      <c r="D311" s="1" t="s">
        <v>94</v>
      </c>
      <c r="E311" t="s">
        <v>93</v>
      </c>
      <c r="F311" t="s">
        <v>34</v>
      </c>
      <c r="G311">
        <v>23</v>
      </c>
      <c r="H311">
        <v>8615</v>
      </c>
      <c r="I311" s="5">
        <f>IFERROR(VLOOKUP(TrendSheetStgData[Population]&amp;TrendSheetStgData[Cost Basis]&amp;TrendSheetStgData[Period]&amp;TrendSheetStgData[Trend],TrendSheetPrdData[#All],9,FALSE),0)</f>
        <v>8615</v>
      </c>
      <c r="J3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1" s="5">
        <f>VLOOKUP(TrendSheetStgData[Population]&amp;TrendSheetStgData[Trend],Threshold[#All],4,FALSE)</f>
        <v>10</v>
      </c>
      <c r="L311" s="5">
        <f>VLOOKUP(TrendSheetStgData[Population]&amp;TrendSheetStgData[Trend],Threshold[#All],5,FALSE)</f>
        <v>5</v>
      </c>
      <c r="M3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2" spans="1:13" x14ac:dyDescent="0.25">
      <c r="A312" t="s">
        <v>90</v>
      </c>
      <c r="B312" t="s">
        <v>90</v>
      </c>
      <c r="C312" t="s">
        <v>91</v>
      </c>
      <c r="D312" s="1" t="s">
        <v>95</v>
      </c>
      <c r="E312" t="s">
        <v>93</v>
      </c>
      <c r="F312" t="s">
        <v>34</v>
      </c>
      <c r="G312">
        <v>23</v>
      </c>
      <c r="H312">
        <v>9044</v>
      </c>
      <c r="I312" s="5">
        <f>IFERROR(VLOOKUP(TrendSheetStgData[Population]&amp;TrendSheetStgData[Cost Basis]&amp;TrendSheetStgData[Period]&amp;TrendSheetStgData[Trend],TrendSheetPrdData[#All],9,FALSE),0)</f>
        <v>9044</v>
      </c>
      <c r="J3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2" s="5">
        <f>VLOOKUP(TrendSheetStgData[Population]&amp;TrendSheetStgData[Trend],Threshold[#All],4,FALSE)</f>
        <v>10</v>
      </c>
      <c r="L312" s="5">
        <f>VLOOKUP(TrendSheetStgData[Population]&amp;TrendSheetStgData[Trend],Threshold[#All],5,FALSE)</f>
        <v>5</v>
      </c>
      <c r="M3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3" spans="1:13" x14ac:dyDescent="0.25">
      <c r="A313" t="s">
        <v>90</v>
      </c>
      <c r="B313" t="s">
        <v>90</v>
      </c>
      <c r="C313" t="s">
        <v>91</v>
      </c>
      <c r="D313" s="1" t="s">
        <v>96</v>
      </c>
      <c r="E313" t="s">
        <v>93</v>
      </c>
      <c r="F313" t="s">
        <v>34</v>
      </c>
      <c r="G313">
        <v>23</v>
      </c>
      <c r="H313">
        <v>8445</v>
      </c>
      <c r="I313" s="5">
        <f>IFERROR(VLOOKUP(TrendSheetStgData[Population]&amp;TrendSheetStgData[Cost Basis]&amp;TrendSheetStgData[Period]&amp;TrendSheetStgData[Trend],TrendSheetPrdData[#All],9,FALSE),0)</f>
        <v>8445</v>
      </c>
      <c r="J3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3" s="5">
        <f>VLOOKUP(TrendSheetStgData[Population]&amp;TrendSheetStgData[Trend],Threshold[#All],4,FALSE)</f>
        <v>10</v>
      </c>
      <c r="L313" s="5">
        <f>VLOOKUP(TrendSheetStgData[Population]&amp;TrendSheetStgData[Trend],Threshold[#All],5,FALSE)</f>
        <v>5</v>
      </c>
      <c r="M3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4" spans="1:13" x14ac:dyDescent="0.25">
      <c r="A314" t="s">
        <v>90</v>
      </c>
      <c r="B314" t="s">
        <v>90</v>
      </c>
      <c r="C314" t="s">
        <v>91</v>
      </c>
      <c r="D314" s="1" t="s">
        <v>97</v>
      </c>
      <c r="E314" t="s">
        <v>93</v>
      </c>
      <c r="F314" t="s">
        <v>34</v>
      </c>
      <c r="G314">
        <v>23</v>
      </c>
      <c r="H314">
        <v>8991</v>
      </c>
      <c r="I314" s="5">
        <f>IFERROR(VLOOKUP(TrendSheetStgData[Population]&amp;TrendSheetStgData[Cost Basis]&amp;TrendSheetStgData[Period]&amp;TrendSheetStgData[Trend],TrendSheetPrdData[#All],9,FALSE),0)</f>
        <v>8991</v>
      </c>
      <c r="J3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4" s="5">
        <f>VLOOKUP(TrendSheetStgData[Population]&amp;TrendSheetStgData[Trend],Threshold[#All],4,FALSE)</f>
        <v>10</v>
      </c>
      <c r="L314" s="5">
        <f>VLOOKUP(TrendSheetStgData[Population]&amp;TrendSheetStgData[Trend],Threshold[#All],5,FALSE)</f>
        <v>5</v>
      </c>
      <c r="M3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5" spans="1:13" x14ac:dyDescent="0.25">
      <c r="A315" t="s">
        <v>90</v>
      </c>
      <c r="B315" t="s">
        <v>90</v>
      </c>
      <c r="C315" t="s">
        <v>91</v>
      </c>
      <c r="D315" s="1" t="s">
        <v>98</v>
      </c>
      <c r="E315" t="s">
        <v>93</v>
      </c>
      <c r="F315" t="s">
        <v>34</v>
      </c>
      <c r="G315">
        <v>23</v>
      </c>
      <c r="H315">
        <v>8878</v>
      </c>
      <c r="I315" s="5">
        <f>IFERROR(VLOOKUP(TrendSheetStgData[Population]&amp;TrendSheetStgData[Cost Basis]&amp;TrendSheetStgData[Period]&amp;TrendSheetStgData[Trend],TrendSheetPrdData[#All],9,FALSE),0)</f>
        <v>8878</v>
      </c>
      <c r="J3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5" s="5">
        <f>VLOOKUP(TrendSheetStgData[Population]&amp;TrendSheetStgData[Trend],Threshold[#All],4,FALSE)</f>
        <v>10</v>
      </c>
      <c r="L315" s="5">
        <f>VLOOKUP(TrendSheetStgData[Population]&amp;TrendSheetStgData[Trend],Threshold[#All],5,FALSE)</f>
        <v>5</v>
      </c>
      <c r="M3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6" spans="1:13" x14ac:dyDescent="0.25">
      <c r="A316" t="s">
        <v>90</v>
      </c>
      <c r="B316" t="s">
        <v>90</v>
      </c>
      <c r="C316" t="s">
        <v>91</v>
      </c>
      <c r="D316" s="1" t="s">
        <v>99</v>
      </c>
      <c r="E316" t="s">
        <v>93</v>
      </c>
      <c r="F316" t="s">
        <v>34</v>
      </c>
      <c r="G316">
        <v>23</v>
      </c>
      <c r="H316">
        <v>9022</v>
      </c>
      <c r="I316" s="5">
        <f>IFERROR(VLOOKUP(TrendSheetStgData[Population]&amp;TrendSheetStgData[Cost Basis]&amp;TrendSheetStgData[Period]&amp;TrendSheetStgData[Trend],TrendSheetPrdData[#All],9,FALSE),0)</f>
        <v>9022</v>
      </c>
      <c r="J3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6" s="5">
        <f>VLOOKUP(TrendSheetStgData[Population]&amp;TrendSheetStgData[Trend],Threshold[#All],4,FALSE)</f>
        <v>10</v>
      </c>
      <c r="L316" s="5">
        <f>VLOOKUP(TrendSheetStgData[Population]&amp;TrendSheetStgData[Trend],Threshold[#All],5,FALSE)</f>
        <v>5</v>
      </c>
      <c r="M3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7" spans="1:13" x14ac:dyDescent="0.25">
      <c r="A317" t="s">
        <v>90</v>
      </c>
      <c r="B317" t="s">
        <v>90</v>
      </c>
      <c r="C317" t="s">
        <v>91</v>
      </c>
      <c r="D317" s="1" t="s">
        <v>100</v>
      </c>
      <c r="E317" t="s">
        <v>93</v>
      </c>
      <c r="F317" t="s">
        <v>34</v>
      </c>
      <c r="G317">
        <v>23</v>
      </c>
      <c r="H317">
        <v>9397</v>
      </c>
      <c r="I317" s="5">
        <f>IFERROR(VLOOKUP(TrendSheetStgData[Population]&amp;TrendSheetStgData[Cost Basis]&amp;TrendSheetStgData[Period]&amp;TrendSheetStgData[Trend],TrendSheetPrdData[#All],9,FALSE),0)</f>
        <v>9397</v>
      </c>
      <c r="J3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7" s="5">
        <f>VLOOKUP(TrendSheetStgData[Population]&amp;TrendSheetStgData[Trend],Threshold[#All],4,FALSE)</f>
        <v>10</v>
      </c>
      <c r="L317" s="5">
        <f>VLOOKUP(TrendSheetStgData[Population]&amp;TrendSheetStgData[Trend],Threshold[#All],5,FALSE)</f>
        <v>5</v>
      </c>
      <c r="M3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8" spans="1:13" x14ac:dyDescent="0.25">
      <c r="A318" t="s">
        <v>90</v>
      </c>
      <c r="B318" t="s">
        <v>90</v>
      </c>
      <c r="C318" t="s">
        <v>91</v>
      </c>
      <c r="D318" s="1" t="s">
        <v>101</v>
      </c>
      <c r="E318" t="s">
        <v>93</v>
      </c>
      <c r="F318" t="s">
        <v>34</v>
      </c>
      <c r="G318">
        <v>23</v>
      </c>
      <c r="H318">
        <v>10331</v>
      </c>
      <c r="I318" s="5">
        <f>IFERROR(VLOOKUP(TrendSheetStgData[Population]&amp;TrendSheetStgData[Cost Basis]&amp;TrendSheetStgData[Period]&amp;TrendSheetStgData[Trend],TrendSheetPrdData[#All],9,FALSE),0)</f>
        <v>10331</v>
      </c>
      <c r="J3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8" s="5">
        <f>VLOOKUP(TrendSheetStgData[Population]&amp;TrendSheetStgData[Trend],Threshold[#All],4,FALSE)</f>
        <v>10</v>
      </c>
      <c r="L318" s="5">
        <f>VLOOKUP(TrendSheetStgData[Population]&amp;TrendSheetStgData[Trend],Threshold[#All],5,FALSE)</f>
        <v>5</v>
      </c>
      <c r="M3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9" spans="1:13" x14ac:dyDescent="0.25">
      <c r="A319" t="s">
        <v>90</v>
      </c>
      <c r="B319" t="s">
        <v>90</v>
      </c>
      <c r="C319" t="s">
        <v>91</v>
      </c>
      <c r="D319" s="1" t="s">
        <v>102</v>
      </c>
      <c r="E319" t="s">
        <v>93</v>
      </c>
      <c r="F319" t="s">
        <v>34</v>
      </c>
      <c r="G319">
        <v>23</v>
      </c>
      <c r="H319">
        <v>9966</v>
      </c>
      <c r="I319" s="5">
        <f>IFERROR(VLOOKUP(TrendSheetStgData[Population]&amp;TrendSheetStgData[Cost Basis]&amp;TrendSheetStgData[Period]&amp;TrendSheetStgData[Trend],TrendSheetPrdData[#All],9,FALSE),0)</f>
        <v>9964</v>
      </c>
      <c r="J3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2.0072260136491368E-2</v>
      </c>
      <c r="K319" s="5">
        <f>VLOOKUP(TrendSheetStgData[Population]&amp;TrendSheetStgData[Trend],Threshold[#All],4,FALSE)</f>
        <v>10</v>
      </c>
      <c r="L319" s="5">
        <f>VLOOKUP(TrendSheetStgData[Population]&amp;TrendSheetStgData[Trend],Threshold[#All],5,FALSE)</f>
        <v>5</v>
      </c>
      <c r="M3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0" spans="1:13" x14ac:dyDescent="0.25">
      <c r="A320" t="s">
        <v>90</v>
      </c>
      <c r="B320" t="s">
        <v>90</v>
      </c>
      <c r="C320" t="s">
        <v>91</v>
      </c>
      <c r="D320" s="1" t="s">
        <v>103</v>
      </c>
      <c r="E320" t="s">
        <v>93</v>
      </c>
      <c r="F320" t="s">
        <v>34</v>
      </c>
      <c r="G320">
        <v>23</v>
      </c>
      <c r="H320">
        <v>9036</v>
      </c>
      <c r="I320" s="5">
        <f>IFERROR(VLOOKUP(TrendSheetStgData[Population]&amp;TrendSheetStgData[Cost Basis]&amp;TrendSheetStgData[Period]&amp;TrendSheetStgData[Trend],TrendSheetPrdData[#All],9,FALSE),0)</f>
        <v>9034</v>
      </c>
      <c r="J3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2.2138587558113793E-2</v>
      </c>
      <c r="K320" s="5">
        <f>VLOOKUP(TrendSheetStgData[Population]&amp;TrendSheetStgData[Trend],Threshold[#All],4,FALSE)</f>
        <v>10</v>
      </c>
      <c r="L320" s="5">
        <f>VLOOKUP(TrendSheetStgData[Population]&amp;TrendSheetStgData[Trend],Threshold[#All],5,FALSE)</f>
        <v>5</v>
      </c>
      <c r="M3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1" spans="1:13" x14ac:dyDescent="0.25">
      <c r="A321" t="s">
        <v>90</v>
      </c>
      <c r="B321" t="s">
        <v>90</v>
      </c>
      <c r="C321" t="s">
        <v>91</v>
      </c>
      <c r="D321" s="1" t="s">
        <v>104</v>
      </c>
      <c r="E321" t="s">
        <v>93</v>
      </c>
      <c r="F321" t="s">
        <v>34</v>
      </c>
      <c r="G321">
        <v>23</v>
      </c>
      <c r="H321">
        <v>10396</v>
      </c>
      <c r="I321" s="5">
        <f>IFERROR(VLOOKUP(TrendSheetStgData[Population]&amp;TrendSheetStgData[Cost Basis]&amp;TrendSheetStgData[Period]&amp;TrendSheetStgData[Trend],TrendSheetPrdData[#All],9,FALSE),0)</f>
        <v>10394</v>
      </c>
      <c r="J3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1.9241870309794112E-2</v>
      </c>
      <c r="K321" s="5">
        <f>VLOOKUP(TrendSheetStgData[Population]&amp;TrendSheetStgData[Trend],Threshold[#All],4,FALSE)</f>
        <v>10</v>
      </c>
      <c r="L321" s="5">
        <f>VLOOKUP(TrendSheetStgData[Population]&amp;TrendSheetStgData[Trend],Threshold[#All],5,FALSE)</f>
        <v>5</v>
      </c>
      <c r="M3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2" spans="1:13" x14ac:dyDescent="0.25">
      <c r="A322" t="s">
        <v>90</v>
      </c>
      <c r="B322" t="s">
        <v>90</v>
      </c>
      <c r="C322" t="s">
        <v>91</v>
      </c>
      <c r="D322" s="1" t="s">
        <v>105</v>
      </c>
      <c r="E322" t="s">
        <v>106</v>
      </c>
      <c r="F322" t="s">
        <v>34</v>
      </c>
      <c r="G322">
        <v>23</v>
      </c>
      <c r="H322">
        <v>9358</v>
      </c>
      <c r="I322" s="5">
        <f>IFERROR(VLOOKUP(TrendSheetStgData[Population]&amp;TrendSheetStgData[Cost Basis]&amp;TrendSheetStgData[Period]&amp;TrendSheetStgData[Trend],TrendSheetPrdData[#All],9,FALSE),0)</f>
        <v>9252</v>
      </c>
      <c r="J3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1.1456982274102896</v>
      </c>
      <c r="K322" s="5">
        <f>VLOOKUP(TrendSheetStgData[Population]&amp;TrendSheetStgData[Trend],Threshold[#All],4,FALSE)</f>
        <v>10</v>
      </c>
      <c r="L322" s="5">
        <f>VLOOKUP(TrendSheetStgData[Population]&amp;TrendSheetStgData[Trend],Threshold[#All],5,FALSE)</f>
        <v>5</v>
      </c>
      <c r="M3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3" spans="1:13" x14ac:dyDescent="0.25">
      <c r="A323" t="s">
        <v>90</v>
      </c>
      <c r="B323" t="s">
        <v>90</v>
      </c>
      <c r="C323" t="s">
        <v>91</v>
      </c>
      <c r="D323" s="1" t="s">
        <v>107</v>
      </c>
      <c r="E323" t="s">
        <v>106</v>
      </c>
      <c r="F323" t="s">
        <v>34</v>
      </c>
      <c r="G323">
        <v>23</v>
      </c>
      <c r="H323">
        <v>9440</v>
      </c>
      <c r="I323" s="5">
        <f>IFERROR(VLOOKUP(TrendSheetStgData[Population]&amp;TrendSheetStgData[Cost Basis]&amp;TrendSheetStgData[Period]&amp;TrendSheetStgData[Trend],TrendSheetPrdData[#All],9,FALSE),0)</f>
        <v>0</v>
      </c>
      <c r="J3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23" s="5">
        <f>VLOOKUP(TrendSheetStgData[Population]&amp;TrendSheetStgData[Trend],Threshold[#All],4,FALSE)</f>
        <v>10</v>
      </c>
      <c r="L323" s="5">
        <f>VLOOKUP(TrendSheetStgData[Population]&amp;TrendSheetStgData[Trend],Threshold[#All],5,FALSE)</f>
        <v>5</v>
      </c>
      <c r="M3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24" spans="1:13" x14ac:dyDescent="0.25">
      <c r="A324" t="s">
        <v>90</v>
      </c>
      <c r="B324" t="s">
        <v>90</v>
      </c>
      <c r="C324" t="s">
        <v>78</v>
      </c>
      <c r="D324" s="1" t="s">
        <v>92</v>
      </c>
      <c r="E324" t="s">
        <v>93</v>
      </c>
      <c r="F324" t="s">
        <v>12</v>
      </c>
      <c r="G324">
        <v>1</v>
      </c>
      <c r="H324">
        <v>274.29000000000002</v>
      </c>
      <c r="I324" s="5">
        <f>IFERROR(VLOOKUP(TrendSheetStgData[Population]&amp;TrendSheetStgData[Cost Basis]&amp;TrendSheetStgData[Period]&amp;TrendSheetStgData[Trend],TrendSheetPrdData[#All],9,FALSE),0)</f>
        <v>274.25</v>
      </c>
      <c r="J3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1.4585232452149667E-2</v>
      </c>
      <c r="K324" s="5">
        <f>VLOOKUP(TrendSheetStgData[Population]&amp;TrendSheetStgData[Trend],Threshold[#All],4,FALSE)</f>
        <v>10</v>
      </c>
      <c r="L324" s="5">
        <f>VLOOKUP(TrendSheetStgData[Population]&amp;TrendSheetStgData[Trend],Threshold[#All],5,FALSE)</f>
        <v>5</v>
      </c>
      <c r="M3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5" spans="1:13" x14ac:dyDescent="0.25">
      <c r="A325" t="s">
        <v>90</v>
      </c>
      <c r="B325" t="s">
        <v>90</v>
      </c>
      <c r="C325" t="s">
        <v>78</v>
      </c>
      <c r="D325" s="1" t="s">
        <v>94</v>
      </c>
      <c r="E325" t="s">
        <v>93</v>
      </c>
      <c r="F325" t="s">
        <v>12</v>
      </c>
      <c r="G325">
        <v>1</v>
      </c>
      <c r="H325">
        <v>266.61</v>
      </c>
      <c r="I325" s="5">
        <f>IFERROR(VLOOKUP(TrendSheetStgData[Population]&amp;TrendSheetStgData[Cost Basis]&amp;TrendSheetStgData[Period]&amp;TrendSheetStgData[Trend],TrendSheetPrdData[#All],9,FALSE),0)</f>
        <v>266.48</v>
      </c>
      <c r="J3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4.8784148904231252E-2</v>
      </c>
      <c r="K325" s="5">
        <f>VLOOKUP(TrendSheetStgData[Population]&amp;TrendSheetStgData[Trend],Threshold[#All],4,FALSE)</f>
        <v>10</v>
      </c>
      <c r="L325" s="5">
        <f>VLOOKUP(TrendSheetStgData[Population]&amp;TrendSheetStgData[Trend],Threshold[#All],5,FALSE)</f>
        <v>5</v>
      </c>
      <c r="M3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6" spans="1:13" x14ac:dyDescent="0.25">
      <c r="A326" t="s">
        <v>90</v>
      </c>
      <c r="B326" t="s">
        <v>90</v>
      </c>
      <c r="C326" t="s">
        <v>78</v>
      </c>
      <c r="D326" s="1" t="s">
        <v>95</v>
      </c>
      <c r="E326" t="s">
        <v>93</v>
      </c>
      <c r="F326" t="s">
        <v>12</v>
      </c>
      <c r="G326">
        <v>1</v>
      </c>
      <c r="H326">
        <v>327.92</v>
      </c>
      <c r="I326" s="5">
        <f>IFERROR(VLOOKUP(TrendSheetStgData[Population]&amp;TrendSheetStgData[Cost Basis]&amp;TrendSheetStgData[Period]&amp;TrendSheetStgData[Trend],TrendSheetPrdData[#All],9,FALSE),0)</f>
        <v>327.72</v>
      </c>
      <c r="J3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6.10277065787833E-2</v>
      </c>
      <c r="K326" s="5">
        <f>VLOOKUP(TrendSheetStgData[Population]&amp;TrendSheetStgData[Trend],Threshold[#All],4,FALSE)</f>
        <v>10</v>
      </c>
      <c r="L326" s="5">
        <f>VLOOKUP(TrendSheetStgData[Population]&amp;TrendSheetStgData[Trend],Threshold[#All],5,FALSE)</f>
        <v>5</v>
      </c>
      <c r="M3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7" spans="1:13" x14ac:dyDescent="0.25">
      <c r="A327" t="s">
        <v>90</v>
      </c>
      <c r="B327" t="s">
        <v>90</v>
      </c>
      <c r="C327" t="s">
        <v>78</v>
      </c>
      <c r="D327" s="1" t="s">
        <v>96</v>
      </c>
      <c r="E327" t="s">
        <v>93</v>
      </c>
      <c r="F327" t="s">
        <v>12</v>
      </c>
      <c r="G327">
        <v>1</v>
      </c>
      <c r="H327">
        <v>283.08</v>
      </c>
      <c r="I327" s="5">
        <f>IFERROR(VLOOKUP(TrendSheetStgData[Population]&amp;TrendSheetStgData[Cost Basis]&amp;TrendSheetStgData[Period]&amp;TrendSheetStgData[Trend],TrendSheetPrdData[#All],9,FALSE),0)</f>
        <v>279.62</v>
      </c>
      <c r="J3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1.2373936056076029</v>
      </c>
      <c r="K327" s="5">
        <f>VLOOKUP(TrendSheetStgData[Population]&amp;TrendSheetStgData[Trend],Threshold[#All],4,FALSE)</f>
        <v>10</v>
      </c>
      <c r="L327" s="5">
        <f>VLOOKUP(TrendSheetStgData[Population]&amp;TrendSheetStgData[Trend],Threshold[#All],5,FALSE)</f>
        <v>5</v>
      </c>
      <c r="M3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8" spans="1:13" x14ac:dyDescent="0.25">
      <c r="A328" t="s">
        <v>90</v>
      </c>
      <c r="B328" t="s">
        <v>90</v>
      </c>
      <c r="C328" t="s">
        <v>78</v>
      </c>
      <c r="D328" s="1" t="s">
        <v>97</v>
      </c>
      <c r="E328" t="s">
        <v>93</v>
      </c>
      <c r="F328" t="s">
        <v>12</v>
      </c>
      <c r="G328">
        <v>1</v>
      </c>
      <c r="H328">
        <v>262.64</v>
      </c>
      <c r="I328" s="5">
        <f>IFERROR(VLOOKUP(TrendSheetStgData[Population]&amp;TrendSheetStgData[Cost Basis]&amp;TrendSheetStgData[Period]&amp;TrendSheetStgData[Trend],TrendSheetPrdData[#All],9,FALSE),0)</f>
        <v>263.08999999999997</v>
      </c>
      <c r="J3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0.17104412938537711</v>
      </c>
      <c r="K328" s="5">
        <f>VLOOKUP(TrendSheetStgData[Population]&amp;TrendSheetStgData[Trend],Threshold[#All],4,FALSE)</f>
        <v>10</v>
      </c>
      <c r="L328" s="5">
        <f>VLOOKUP(TrendSheetStgData[Population]&amp;TrendSheetStgData[Trend],Threshold[#All],5,FALSE)</f>
        <v>5</v>
      </c>
      <c r="M3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9" spans="1:13" x14ac:dyDescent="0.25">
      <c r="A329" t="s">
        <v>90</v>
      </c>
      <c r="B329" t="s">
        <v>90</v>
      </c>
      <c r="C329" t="s">
        <v>78</v>
      </c>
      <c r="D329" s="1" t="s">
        <v>98</v>
      </c>
      <c r="E329" t="s">
        <v>93</v>
      </c>
      <c r="F329" t="s">
        <v>12</v>
      </c>
      <c r="G329">
        <v>1</v>
      </c>
      <c r="H329">
        <v>316.64</v>
      </c>
      <c r="I329" s="5">
        <f>IFERROR(VLOOKUP(TrendSheetStgData[Population]&amp;TrendSheetStgData[Cost Basis]&amp;TrendSheetStgData[Period]&amp;TrendSheetStgData[Trend],TrendSheetPrdData[#All],9,FALSE),0)</f>
        <v>316.47000000000003</v>
      </c>
      <c r="J3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5.3717571965734214E-2</v>
      </c>
      <c r="K329" s="5">
        <f>VLOOKUP(TrendSheetStgData[Population]&amp;TrendSheetStgData[Trend],Threshold[#All],4,FALSE)</f>
        <v>10</v>
      </c>
      <c r="L329" s="5">
        <f>VLOOKUP(TrendSheetStgData[Population]&amp;TrendSheetStgData[Trend],Threshold[#All],5,FALSE)</f>
        <v>5</v>
      </c>
      <c r="M3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0" spans="1:13" x14ac:dyDescent="0.25">
      <c r="A330" t="s">
        <v>90</v>
      </c>
      <c r="B330" t="s">
        <v>90</v>
      </c>
      <c r="C330" t="s">
        <v>78</v>
      </c>
      <c r="D330" s="1" t="s">
        <v>99</v>
      </c>
      <c r="E330" t="s">
        <v>93</v>
      </c>
      <c r="F330" t="s">
        <v>12</v>
      </c>
      <c r="G330">
        <v>1</v>
      </c>
      <c r="H330">
        <v>301.56</v>
      </c>
      <c r="I330" s="5">
        <f>IFERROR(VLOOKUP(TrendSheetStgData[Population]&amp;TrendSheetStgData[Cost Basis]&amp;TrendSheetStgData[Period]&amp;TrendSheetStgData[Trend],TrendSheetPrdData[#All],9,FALSE),0)</f>
        <v>298.24</v>
      </c>
      <c r="J3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1.1131974248927015</v>
      </c>
      <c r="K330" s="5">
        <f>VLOOKUP(TrendSheetStgData[Population]&amp;TrendSheetStgData[Trend],Threshold[#All],4,FALSE)</f>
        <v>10</v>
      </c>
      <c r="L330" s="5">
        <f>VLOOKUP(TrendSheetStgData[Population]&amp;TrendSheetStgData[Trend],Threshold[#All],5,FALSE)</f>
        <v>5</v>
      </c>
      <c r="M3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1" spans="1:13" x14ac:dyDescent="0.25">
      <c r="A331" t="s">
        <v>90</v>
      </c>
      <c r="B331" t="s">
        <v>90</v>
      </c>
      <c r="C331" t="s">
        <v>78</v>
      </c>
      <c r="D331" s="1" t="s">
        <v>100</v>
      </c>
      <c r="E331" t="s">
        <v>93</v>
      </c>
      <c r="F331" t="s">
        <v>12</v>
      </c>
      <c r="G331">
        <v>1</v>
      </c>
      <c r="H331">
        <v>322.86</v>
      </c>
      <c r="I331" s="5">
        <f>IFERROR(VLOOKUP(TrendSheetStgData[Population]&amp;TrendSheetStgData[Cost Basis]&amp;TrendSheetStgData[Period]&amp;TrendSheetStgData[Trend],TrendSheetPrdData[#All],9,FALSE),0)</f>
        <v>322.48</v>
      </c>
      <c r="J3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0.11783676507070064</v>
      </c>
      <c r="K331" s="5">
        <f>VLOOKUP(TrendSheetStgData[Population]&amp;TrendSheetStgData[Trend],Threshold[#All],4,FALSE)</f>
        <v>10</v>
      </c>
      <c r="L331" s="5">
        <f>VLOOKUP(TrendSheetStgData[Population]&amp;TrendSheetStgData[Trend],Threshold[#All],5,FALSE)</f>
        <v>5</v>
      </c>
      <c r="M3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2" spans="1:13" x14ac:dyDescent="0.25">
      <c r="A332" t="s">
        <v>90</v>
      </c>
      <c r="B332" t="s">
        <v>90</v>
      </c>
      <c r="C332" t="s">
        <v>78</v>
      </c>
      <c r="D332" s="1" t="s">
        <v>101</v>
      </c>
      <c r="E332" t="s">
        <v>93</v>
      </c>
      <c r="F332" t="s">
        <v>12</v>
      </c>
      <c r="G332">
        <v>1</v>
      </c>
      <c r="H332">
        <v>334.08</v>
      </c>
      <c r="I332" s="5">
        <f>IFERROR(VLOOKUP(TrendSheetStgData[Population]&amp;TrendSheetStgData[Cost Basis]&amp;TrendSheetStgData[Period]&amp;TrendSheetStgData[Trend],TrendSheetPrdData[#All],9,FALSE),0)</f>
        <v>334.54</v>
      </c>
      <c r="J3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0.13750224188438942</v>
      </c>
      <c r="K332" s="5">
        <f>VLOOKUP(TrendSheetStgData[Population]&amp;TrendSheetStgData[Trend],Threshold[#All],4,FALSE)</f>
        <v>10</v>
      </c>
      <c r="L332" s="5">
        <f>VLOOKUP(TrendSheetStgData[Population]&amp;TrendSheetStgData[Trend],Threshold[#All],5,FALSE)</f>
        <v>5</v>
      </c>
      <c r="M3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3" spans="1:13" x14ac:dyDescent="0.25">
      <c r="A333" t="s">
        <v>90</v>
      </c>
      <c r="B333" t="s">
        <v>90</v>
      </c>
      <c r="C333" t="s">
        <v>78</v>
      </c>
      <c r="D333" s="1" t="s">
        <v>102</v>
      </c>
      <c r="E333" t="s">
        <v>93</v>
      </c>
      <c r="F333" t="s">
        <v>12</v>
      </c>
      <c r="G333">
        <v>1</v>
      </c>
      <c r="H333">
        <v>245.52</v>
      </c>
      <c r="I333" s="5">
        <f>IFERROR(VLOOKUP(TrendSheetStgData[Population]&amp;TrendSheetStgData[Cost Basis]&amp;TrendSheetStgData[Period]&amp;TrendSheetStgData[Trend],TrendSheetPrdData[#All],9,FALSE),0)</f>
        <v>236.04</v>
      </c>
      <c r="J3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4.0162684290798252</v>
      </c>
      <c r="K333" s="5">
        <f>VLOOKUP(TrendSheetStgData[Population]&amp;TrendSheetStgData[Trend],Threshold[#All],4,FALSE)</f>
        <v>10</v>
      </c>
      <c r="L333" s="5">
        <f>VLOOKUP(TrendSheetStgData[Population]&amp;TrendSheetStgData[Trend],Threshold[#All],5,FALSE)</f>
        <v>5</v>
      </c>
      <c r="M3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4" spans="1:13" x14ac:dyDescent="0.25">
      <c r="A334" t="s">
        <v>90</v>
      </c>
      <c r="B334" t="s">
        <v>90</v>
      </c>
      <c r="C334" t="s">
        <v>78</v>
      </c>
      <c r="D334" s="1" t="s">
        <v>103</v>
      </c>
      <c r="E334" t="s">
        <v>93</v>
      </c>
      <c r="F334" t="s">
        <v>12</v>
      </c>
      <c r="G334">
        <v>1</v>
      </c>
      <c r="H334">
        <v>266.26</v>
      </c>
      <c r="I334" s="5">
        <f>IFERROR(VLOOKUP(TrendSheetStgData[Population]&amp;TrendSheetStgData[Cost Basis]&amp;TrendSheetStgData[Period]&amp;TrendSheetStgData[Trend],TrendSheetPrdData[#All],9,FALSE),0)</f>
        <v>260.02999999999997</v>
      </c>
      <c r="J3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2.3958773987616886</v>
      </c>
      <c r="K334" s="5">
        <f>VLOOKUP(TrendSheetStgData[Population]&amp;TrendSheetStgData[Trend],Threshold[#All],4,FALSE)</f>
        <v>10</v>
      </c>
      <c r="L334" s="5">
        <f>VLOOKUP(TrendSheetStgData[Population]&amp;TrendSheetStgData[Trend],Threshold[#All],5,FALSE)</f>
        <v>5</v>
      </c>
      <c r="M3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5" spans="1:13" x14ac:dyDescent="0.25">
      <c r="A335" t="s">
        <v>90</v>
      </c>
      <c r="B335" t="s">
        <v>90</v>
      </c>
      <c r="C335" t="s">
        <v>78</v>
      </c>
      <c r="D335" s="1" t="s">
        <v>104</v>
      </c>
      <c r="E335" t="s">
        <v>93</v>
      </c>
      <c r="F335" t="s">
        <v>12</v>
      </c>
      <c r="G335">
        <v>1</v>
      </c>
      <c r="H335">
        <v>314.10000000000002</v>
      </c>
      <c r="I335" s="5">
        <f>IFERROR(VLOOKUP(TrendSheetStgData[Population]&amp;TrendSheetStgData[Cost Basis]&amp;TrendSheetStgData[Period]&amp;TrendSheetStgData[Trend],TrendSheetPrdData[#All],9,FALSE),0)</f>
        <v>292.33999999999997</v>
      </c>
      <c r="J3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7.4433878360812917</v>
      </c>
      <c r="K335" s="5">
        <f>VLOOKUP(TrendSheetStgData[Population]&amp;TrendSheetStgData[Trend],Threshold[#All],4,FALSE)</f>
        <v>10</v>
      </c>
      <c r="L335" s="5">
        <f>VLOOKUP(TrendSheetStgData[Population]&amp;TrendSheetStgData[Trend],Threshold[#All],5,FALSE)</f>
        <v>5</v>
      </c>
      <c r="M3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36" spans="1:13" x14ac:dyDescent="0.25">
      <c r="A336" t="s">
        <v>90</v>
      </c>
      <c r="B336" t="s">
        <v>90</v>
      </c>
      <c r="C336" t="s">
        <v>78</v>
      </c>
      <c r="D336" s="1" t="s">
        <v>105</v>
      </c>
      <c r="E336" t="s">
        <v>106</v>
      </c>
      <c r="F336" t="s">
        <v>12</v>
      </c>
      <c r="G336">
        <v>1</v>
      </c>
      <c r="H336">
        <v>246.49</v>
      </c>
      <c r="I336" s="5">
        <f>IFERROR(VLOOKUP(TrendSheetStgData[Population]&amp;TrendSheetStgData[Cost Basis]&amp;TrendSheetStgData[Period]&amp;TrendSheetStgData[Trend],TrendSheetPrdData[#All],9,FALSE),0)</f>
        <v>63.97</v>
      </c>
      <c r="J3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285.32124433328124</v>
      </c>
      <c r="K336" s="5">
        <f>VLOOKUP(TrendSheetStgData[Population]&amp;TrendSheetStgData[Trend],Threshold[#All],4,FALSE)</f>
        <v>10</v>
      </c>
      <c r="L336" s="5">
        <f>VLOOKUP(TrendSheetStgData[Population]&amp;TrendSheetStgData[Trend],Threshold[#All],5,FALSE)</f>
        <v>5</v>
      </c>
      <c r="M3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7" spans="1:13" x14ac:dyDescent="0.25">
      <c r="A337" t="s">
        <v>90</v>
      </c>
      <c r="B337" t="s">
        <v>90</v>
      </c>
      <c r="C337" t="s">
        <v>78</v>
      </c>
      <c r="D337" s="1" t="s">
        <v>107</v>
      </c>
      <c r="E337" t="s">
        <v>106</v>
      </c>
      <c r="F337" t="s">
        <v>12</v>
      </c>
      <c r="G337">
        <v>1</v>
      </c>
      <c r="H337">
        <v>117.3</v>
      </c>
      <c r="I337" s="5">
        <f>IFERROR(VLOOKUP(TrendSheetStgData[Population]&amp;TrendSheetStgData[Cost Basis]&amp;TrendSheetStgData[Period]&amp;TrendSheetStgData[Trend],TrendSheetPrdData[#All],9,FALSE),0)</f>
        <v>0</v>
      </c>
      <c r="J3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37" s="5">
        <f>VLOOKUP(TrendSheetStgData[Population]&amp;TrendSheetStgData[Trend],Threshold[#All],4,FALSE)</f>
        <v>10</v>
      </c>
      <c r="L337" s="5">
        <f>VLOOKUP(TrendSheetStgData[Population]&amp;TrendSheetStgData[Trend],Threshold[#All],5,FALSE)</f>
        <v>5</v>
      </c>
      <c r="M3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8" spans="1:13" x14ac:dyDescent="0.25">
      <c r="A338" t="s">
        <v>90</v>
      </c>
      <c r="B338" t="s">
        <v>90</v>
      </c>
      <c r="C338" t="s">
        <v>78</v>
      </c>
      <c r="D338" s="1" t="s">
        <v>92</v>
      </c>
      <c r="E338" t="s">
        <v>93</v>
      </c>
      <c r="F338" t="s">
        <v>13</v>
      </c>
      <c r="G338">
        <v>2</v>
      </c>
      <c r="H338">
        <v>61.99</v>
      </c>
      <c r="I338" s="5">
        <f>IFERROR(VLOOKUP(TrendSheetStgData[Population]&amp;TrendSheetStgData[Cost Basis]&amp;TrendSheetStgData[Period]&amp;TrendSheetStgData[Trend],TrendSheetPrdData[#All],9,FALSE),0)</f>
        <v>61.99</v>
      </c>
      <c r="J3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8" s="5">
        <f>VLOOKUP(TrendSheetStgData[Population]&amp;TrendSheetStgData[Trend],Threshold[#All],4,FALSE)</f>
        <v>10</v>
      </c>
      <c r="L338" s="5">
        <f>VLOOKUP(TrendSheetStgData[Population]&amp;TrendSheetStgData[Trend],Threshold[#All],5,FALSE)</f>
        <v>5</v>
      </c>
      <c r="M3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9" spans="1:13" x14ac:dyDescent="0.25">
      <c r="A339" t="s">
        <v>90</v>
      </c>
      <c r="B339" t="s">
        <v>90</v>
      </c>
      <c r="C339" t="s">
        <v>78</v>
      </c>
      <c r="D339" s="1" t="s">
        <v>94</v>
      </c>
      <c r="E339" t="s">
        <v>93</v>
      </c>
      <c r="F339" t="s">
        <v>13</v>
      </c>
      <c r="G339">
        <v>2</v>
      </c>
      <c r="H339">
        <v>68.790000000000006</v>
      </c>
      <c r="I339" s="5">
        <f>IFERROR(VLOOKUP(TrendSheetStgData[Population]&amp;TrendSheetStgData[Cost Basis]&amp;TrendSheetStgData[Period]&amp;TrendSheetStgData[Trend],TrendSheetPrdData[#All],9,FALSE),0)</f>
        <v>68.790000000000006</v>
      </c>
      <c r="J3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9" s="5">
        <f>VLOOKUP(TrendSheetStgData[Population]&amp;TrendSheetStgData[Trend],Threshold[#All],4,FALSE)</f>
        <v>10</v>
      </c>
      <c r="L339" s="5">
        <f>VLOOKUP(TrendSheetStgData[Population]&amp;TrendSheetStgData[Trend],Threshold[#All],5,FALSE)</f>
        <v>5</v>
      </c>
      <c r="M3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0" spans="1:13" x14ac:dyDescent="0.25">
      <c r="A340" t="s">
        <v>90</v>
      </c>
      <c r="B340" t="s">
        <v>90</v>
      </c>
      <c r="C340" t="s">
        <v>78</v>
      </c>
      <c r="D340" s="1" t="s">
        <v>95</v>
      </c>
      <c r="E340" t="s">
        <v>93</v>
      </c>
      <c r="F340" t="s">
        <v>13</v>
      </c>
      <c r="G340">
        <v>2</v>
      </c>
      <c r="H340">
        <v>69.8</v>
      </c>
      <c r="I340" s="5">
        <f>IFERROR(VLOOKUP(TrendSheetStgData[Population]&amp;TrendSheetStgData[Cost Basis]&amp;TrendSheetStgData[Period]&amp;TrendSheetStgData[Trend],TrendSheetPrdData[#All],9,FALSE),0)</f>
        <v>69.8</v>
      </c>
      <c r="J3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0" s="5">
        <f>VLOOKUP(TrendSheetStgData[Population]&amp;TrendSheetStgData[Trend],Threshold[#All],4,FALSE)</f>
        <v>10</v>
      </c>
      <c r="L340" s="5">
        <f>VLOOKUP(TrendSheetStgData[Population]&amp;TrendSheetStgData[Trend],Threshold[#All],5,FALSE)</f>
        <v>5</v>
      </c>
      <c r="M3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1" spans="1:13" x14ac:dyDescent="0.25">
      <c r="A341" t="s">
        <v>90</v>
      </c>
      <c r="B341" t="s">
        <v>90</v>
      </c>
      <c r="C341" t="s">
        <v>78</v>
      </c>
      <c r="D341" s="1" t="s">
        <v>96</v>
      </c>
      <c r="E341" t="s">
        <v>93</v>
      </c>
      <c r="F341" t="s">
        <v>13</v>
      </c>
      <c r="G341">
        <v>2</v>
      </c>
      <c r="H341">
        <v>70.28</v>
      </c>
      <c r="I341" s="5">
        <f>IFERROR(VLOOKUP(TrendSheetStgData[Population]&amp;TrendSheetStgData[Cost Basis]&amp;TrendSheetStgData[Period]&amp;TrendSheetStgData[Trend],TrendSheetPrdData[#All],9,FALSE),0)</f>
        <v>70.28</v>
      </c>
      <c r="J3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1" s="5">
        <f>VLOOKUP(TrendSheetStgData[Population]&amp;TrendSheetStgData[Trend],Threshold[#All],4,FALSE)</f>
        <v>10</v>
      </c>
      <c r="L341" s="5">
        <f>VLOOKUP(TrendSheetStgData[Population]&amp;TrendSheetStgData[Trend],Threshold[#All],5,FALSE)</f>
        <v>5</v>
      </c>
      <c r="M3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2" spans="1:13" x14ac:dyDescent="0.25">
      <c r="A342" t="s">
        <v>90</v>
      </c>
      <c r="B342" t="s">
        <v>90</v>
      </c>
      <c r="C342" t="s">
        <v>78</v>
      </c>
      <c r="D342" s="1" t="s">
        <v>97</v>
      </c>
      <c r="E342" t="s">
        <v>93</v>
      </c>
      <c r="F342" t="s">
        <v>13</v>
      </c>
      <c r="G342">
        <v>2</v>
      </c>
      <c r="H342">
        <v>86.79</v>
      </c>
      <c r="I342" s="5">
        <f>IFERROR(VLOOKUP(TrendSheetStgData[Population]&amp;TrendSheetStgData[Cost Basis]&amp;TrendSheetStgData[Period]&amp;TrendSheetStgData[Trend],TrendSheetPrdData[#All],9,FALSE),0)</f>
        <v>86.79</v>
      </c>
      <c r="J3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2" s="5">
        <f>VLOOKUP(TrendSheetStgData[Population]&amp;TrendSheetStgData[Trend],Threshold[#All],4,FALSE)</f>
        <v>10</v>
      </c>
      <c r="L342" s="5">
        <f>VLOOKUP(TrendSheetStgData[Population]&amp;TrendSheetStgData[Trend],Threshold[#All],5,FALSE)</f>
        <v>5</v>
      </c>
      <c r="M3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3" spans="1:13" x14ac:dyDescent="0.25">
      <c r="A343" t="s">
        <v>90</v>
      </c>
      <c r="B343" t="s">
        <v>90</v>
      </c>
      <c r="C343" t="s">
        <v>78</v>
      </c>
      <c r="D343" s="1" t="s">
        <v>98</v>
      </c>
      <c r="E343" t="s">
        <v>93</v>
      </c>
      <c r="F343" t="s">
        <v>13</v>
      </c>
      <c r="G343">
        <v>2</v>
      </c>
      <c r="H343">
        <v>74.39</v>
      </c>
      <c r="I343" s="5">
        <f>IFERROR(VLOOKUP(TrendSheetStgData[Population]&amp;TrendSheetStgData[Cost Basis]&amp;TrendSheetStgData[Period]&amp;TrendSheetStgData[Trend],TrendSheetPrdData[#All],9,FALSE),0)</f>
        <v>74.39</v>
      </c>
      <c r="J3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3" s="5">
        <f>VLOOKUP(TrendSheetStgData[Population]&amp;TrendSheetStgData[Trend],Threshold[#All],4,FALSE)</f>
        <v>10</v>
      </c>
      <c r="L343" s="5">
        <f>VLOOKUP(TrendSheetStgData[Population]&amp;TrendSheetStgData[Trend],Threshold[#All],5,FALSE)</f>
        <v>5</v>
      </c>
      <c r="M3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4" spans="1:13" x14ac:dyDescent="0.25">
      <c r="A344" t="s">
        <v>90</v>
      </c>
      <c r="B344" t="s">
        <v>90</v>
      </c>
      <c r="C344" t="s">
        <v>78</v>
      </c>
      <c r="D344" s="1" t="s">
        <v>99</v>
      </c>
      <c r="E344" t="s">
        <v>93</v>
      </c>
      <c r="F344" t="s">
        <v>13</v>
      </c>
      <c r="G344">
        <v>2</v>
      </c>
      <c r="H344">
        <v>71.27</v>
      </c>
      <c r="I344" s="5">
        <f>IFERROR(VLOOKUP(TrendSheetStgData[Population]&amp;TrendSheetStgData[Cost Basis]&amp;TrendSheetStgData[Period]&amp;TrendSheetStgData[Trend],TrendSheetPrdData[#All],9,FALSE),0)</f>
        <v>71.27</v>
      </c>
      <c r="J3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4" s="5">
        <f>VLOOKUP(TrendSheetStgData[Population]&amp;TrendSheetStgData[Trend],Threshold[#All],4,FALSE)</f>
        <v>10</v>
      </c>
      <c r="L344" s="5">
        <f>VLOOKUP(TrendSheetStgData[Population]&amp;TrendSheetStgData[Trend],Threshold[#All],5,FALSE)</f>
        <v>5</v>
      </c>
      <c r="M3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5" spans="1:13" x14ac:dyDescent="0.25">
      <c r="A345" t="s">
        <v>90</v>
      </c>
      <c r="B345" t="s">
        <v>90</v>
      </c>
      <c r="C345" t="s">
        <v>78</v>
      </c>
      <c r="D345" s="1" t="s">
        <v>100</v>
      </c>
      <c r="E345" t="s">
        <v>93</v>
      </c>
      <c r="F345" t="s">
        <v>13</v>
      </c>
      <c r="G345">
        <v>2</v>
      </c>
      <c r="H345">
        <v>69.41</v>
      </c>
      <c r="I345" s="5">
        <f>IFERROR(VLOOKUP(TrendSheetStgData[Population]&amp;TrendSheetStgData[Cost Basis]&amp;TrendSheetStgData[Period]&amp;TrendSheetStgData[Trend],TrendSheetPrdData[#All],9,FALSE),0)</f>
        <v>69.41</v>
      </c>
      <c r="J3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5" s="5">
        <f>VLOOKUP(TrendSheetStgData[Population]&amp;TrendSheetStgData[Trend],Threshold[#All],4,FALSE)</f>
        <v>10</v>
      </c>
      <c r="L345" s="5">
        <f>VLOOKUP(TrendSheetStgData[Population]&amp;TrendSheetStgData[Trend],Threshold[#All],5,FALSE)</f>
        <v>5</v>
      </c>
      <c r="M3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6" spans="1:13" x14ac:dyDescent="0.25">
      <c r="A346" t="s">
        <v>90</v>
      </c>
      <c r="B346" t="s">
        <v>90</v>
      </c>
      <c r="C346" t="s">
        <v>78</v>
      </c>
      <c r="D346" s="1" t="s">
        <v>101</v>
      </c>
      <c r="E346" t="s">
        <v>93</v>
      </c>
      <c r="F346" t="s">
        <v>13</v>
      </c>
      <c r="G346">
        <v>2</v>
      </c>
      <c r="H346">
        <v>81.3</v>
      </c>
      <c r="I346" s="5">
        <f>IFERROR(VLOOKUP(TrendSheetStgData[Population]&amp;TrendSheetStgData[Cost Basis]&amp;TrendSheetStgData[Period]&amp;TrendSheetStgData[Trend],TrendSheetPrdData[#All],9,FALSE),0)</f>
        <v>81.3</v>
      </c>
      <c r="J3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6" s="5">
        <f>VLOOKUP(TrendSheetStgData[Population]&amp;TrendSheetStgData[Trend],Threshold[#All],4,FALSE)</f>
        <v>10</v>
      </c>
      <c r="L346" s="5">
        <f>VLOOKUP(TrendSheetStgData[Population]&amp;TrendSheetStgData[Trend],Threshold[#All],5,FALSE)</f>
        <v>5</v>
      </c>
      <c r="M3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7" spans="1:13" x14ac:dyDescent="0.25">
      <c r="A347" t="s">
        <v>90</v>
      </c>
      <c r="B347" t="s">
        <v>90</v>
      </c>
      <c r="C347" t="s">
        <v>78</v>
      </c>
      <c r="D347" s="1" t="s">
        <v>102</v>
      </c>
      <c r="E347" t="s">
        <v>93</v>
      </c>
      <c r="F347" t="s">
        <v>13</v>
      </c>
      <c r="G347">
        <v>2</v>
      </c>
      <c r="H347">
        <v>68.11</v>
      </c>
      <c r="I347" s="5">
        <f>IFERROR(VLOOKUP(TrendSheetStgData[Population]&amp;TrendSheetStgData[Cost Basis]&amp;TrendSheetStgData[Period]&amp;TrendSheetStgData[Trend],TrendSheetPrdData[#All],9,FALSE),0)</f>
        <v>68.05</v>
      </c>
      <c r="J3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8.8170462894933535E-2</v>
      </c>
      <c r="K347" s="5">
        <f>VLOOKUP(TrendSheetStgData[Population]&amp;TrendSheetStgData[Trend],Threshold[#All],4,FALSE)</f>
        <v>10</v>
      </c>
      <c r="L347" s="5">
        <f>VLOOKUP(TrendSheetStgData[Population]&amp;TrendSheetStgData[Trend],Threshold[#All],5,FALSE)</f>
        <v>5</v>
      </c>
      <c r="M3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8" spans="1:13" x14ac:dyDescent="0.25">
      <c r="A348" t="s">
        <v>90</v>
      </c>
      <c r="B348" t="s">
        <v>90</v>
      </c>
      <c r="C348" t="s">
        <v>78</v>
      </c>
      <c r="D348" s="1" t="s">
        <v>103</v>
      </c>
      <c r="E348" t="s">
        <v>93</v>
      </c>
      <c r="F348" t="s">
        <v>13</v>
      </c>
      <c r="G348">
        <v>2</v>
      </c>
      <c r="H348">
        <v>62.78</v>
      </c>
      <c r="I348" s="5">
        <f>IFERROR(VLOOKUP(TrendSheetStgData[Population]&amp;TrendSheetStgData[Cost Basis]&amp;TrendSheetStgData[Period]&amp;TrendSheetStgData[Trend],TrendSheetPrdData[#All],9,FALSE),0)</f>
        <v>62.72</v>
      </c>
      <c r="J3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9.566326530612608E-2</v>
      </c>
      <c r="K348" s="5">
        <f>VLOOKUP(TrendSheetStgData[Population]&amp;TrendSheetStgData[Trend],Threshold[#All],4,FALSE)</f>
        <v>10</v>
      </c>
      <c r="L348" s="5">
        <f>VLOOKUP(TrendSheetStgData[Population]&amp;TrendSheetStgData[Trend],Threshold[#All],5,FALSE)</f>
        <v>5</v>
      </c>
      <c r="M3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9" spans="1:13" x14ac:dyDescent="0.25">
      <c r="A349" t="s">
        <v>90</v>
      </c>
      <c r="B349" t="s">
        <v>90</v>
      </c>
      <c r="C349" t="s">
        <v>78</v>
      </c>
      <c r="D349" s="1" t="s">
        <v>104</v>
      </c>
      <c r="E349" t="s">
        <v>93</v>
      </c>
      <c r="F349" t="s">
        <v>13</v>
      </c>
      <c r="G349">
        <v>2</v>
      </c>
      <c r="H349">
        <v>67.17</v>
      </c>
      <c r="I349" s="5">
        <f>IFERROR(VLOOKUP(TrendSheetStgData[Population]&amp;TrendSheetStgData[Cost Basis]&amp;TrendSheetStgData[Period]&amp;TrendSheetStgData[Trend],TrendSheetPrdData[#All],9,FALSE),0)</f>
        <v>67.239999999999995</v>
      </c>
      <c r="J3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0.10410469958357106</v>
      </c>
      <c r="K349" s="5">
        <f>VLOOKUP(TrendSheetStgData[Population]&amp;TrendSheetStgData[Trend],Threshold[#All],4,FALSE)</f>
        <v>10</v>
      </c>
      <c r="L349" s="5">
        <f>VLOOKUP(TrendSheetStgData[Population]&amp;TrendSheetStgData[Trend],Threshold[#All],5,FALSE)</f>
        <v>5</v>
      </c>
      <c r="M3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0" spans="1:13" x14ac:dyDescent="0.25">
      <c r="A350" t="s">
        <v>90</v>
      </c>
      <c r="B350" t="s">
        <v>90</v>
      </c>
      <c r="C350" t="s">
        <v>78</v>
      </c>
      <c r="D350" s="1" t="s">
        <v>105</v>
      </c>
      <c r="E350" t="s">
        <v>106</v>
      </c>
      <c r="F350" t="s">
        <v>13</v>
      </c>
      <c r="G350">
        <v>2</v>
      </c>
      <c r="H350">
        <v>60.12</v>
      </c>
      <c r="I350" s="5">
        <f>IFERROR(VLOOKUP(TrendSheetStgData[Population]&amp;TrendSheetStgData[Cost Basis]&amp;TrendSheetStgData[Period]&amp;TrendSheetStgData[Trend],TrendSheetPrdData[#All],9,FALSE),0)</f>
        <v>60.06</v>
      </c>
      <c r="J3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9.9900099900091854E-2</v>
      </c>
      <c r="K350" s="5">
        <f>VLOOKUP(TrendSheetStgData[Population]&amp;TrendSheetStgData[Trend],Threshold[#All],4,FALSE)</f>
        <v>10</v>
      </c>
      <c r="L350" s="5">
        <f>VLOOKUP(TrendSheetStgData[Population]&amp;TrendSheetStgData[Trend],Threshold[#All],5,FALSE)</f>
        <v>5</v>
      </c>
      <c r="M3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1" spans="1:13" x14ac:dyDescent="0.25">
      <c r="A351" t="s">
        <v>90</v>
      </c>
      <c r="B351" t="s">
        <v>90</v>
      </c>
      <c r="C351" t="s">
        <v>78</v>
      </c>
      <c r="D351" s="1" t="s">
        <v>107</v>
      </c>
      <c r="E351" t="s">
        <v>106</v>
      </c>
      <c r="F351" t="s">
        <v>13</v>
      </c>
      <c r="G351">
        <v>2</v>
      </c>
      <c r="H351">
        <v>73.98</v>
      </c>
      <c r="I351" s="5">
        <f>IFERROR(VLOOKUP(TrendSheetStgData[Population]&amp;TrendSheetStgData[Cost Basis]&amp;TrendSheetStgData[Period]&amp;TrendSheetStgData[Trend],TrendSheetPrdData[#All],9,FALSE),0)</f>
        <v>0</v>
      </c>
      <c r="J3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51" s="5">
        <f>VLOOKUP(TrendSheetStgData[Population]&amp;TrendSheetStgData[Trend],Threshold[#All],4,FALSE)</f>
        <v>10</v>
      </c>
      <c r="L351" s="5">
        <f>VLOOKUP(TrendSheetStgData[Population]&amp;TrendSheetStgData[Trend],Threshold[#All],5,FALSE)</f>
        <v>5</v>
      </c>
      <c r="M3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52" spans="1:13" x14ac:dyDescent="0.25">
      <c r="A352" t="s">
        <v>90</v>
      </c>
      <c r="B352" t="s">
        <v>90</v>
      </c>
      <c r="C352" t="s">
        <v>78</v>
      </c>
      <c r="D352" s="1" t="s">
        <v>92</v>
      </c>
      <c r="E352" t="s">
        <v>93</v>
      </c>
      <c r="F352" t="s">
        <v>14</v>
      </c>
      <c r="G352">
        <v>3</v>
      </c>
      <c r="H352">
        <v>336.28</v>
      </c>
      <c r="I352" s="5">
        <f>IFERROR(VLOOKUP(TrendSheetStgData[Population]&amp;TrendSheetStgData[Cost Basis]&amp;TrendSheetStgData[Period]&amp;TrendSheetStgData[Trend],TrendSheetPrdData[#All],9,FALSE),0)</f>
        <v>336.24</v>
      </c>
      <c r="J3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1.1896264572913281E-2</v>
      </c>
      <c r="K352" s="5">
        <f>VLOOKUP(TrendSheetStgData[Population]&amp;TrendSheetStgData[Trend],Threshold[#All],4,FALSE)</f>
        <v>10</v>
      </c>
      <c r="L352" s="5">
        <f>VLOOKUP(TrendSheetStgData[Population]&amp;TrendSheetStgData[Trend],Threshold[#All],5,FALSE)</f>
        <v>5</v>
      </c>
      <c r="M3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3" spans="1:13" x14ac:dyDescent="0.25">
      <c r="A353" t="s">
        <v>90</v>
      </c>
      <c r="B353" t="s">
        <v>90</v>
      </c>
      <c r="C353" t="s">
        <v>78</v>
      </c>
      <c r="D353" s="1" t="s">
        <v>94</v>
      </c>
      <c r="E353" t="s">
        <v>93</v>
      </c>
      <c r="F353" t="s">
        <v>14</v>
      </c>
      <c r="G353">
        <v>3</v>
      </c>
      <c r="H353">
        <v>335.4</v>
      </c>
      <c r="I353" s="5">
        <f>IFERROR(VLOOKUP(TrendSheetStgData[Population]&amp;TrendSheetStgData[Cost Basis]&amp;TrendSheetStgData[Period]&amp;TrendSheetStgData[Trend],TrendSheetPrdData[#All],9,FALSE),0)</f>
        <v>335.27</v>
      </c>
      <c r="J3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3.8774718883286742E-2</v>
      </c>
      <c r="K353" s="5">
        <f>VLOOKUP(TrendSheetStgData[Population]&amp;TrendSheetStgData[Trend],Threshold[#All],4,FALSE)</f>
        <v>10</v>
      </c>
      <c r="L353" s="5">
        <f>VLOOKUP(TrendSheetStgData[Population]&amp;TrendSheetStgData[Trend],Threshold[#All],5,FALSE)</f>
        <v>5</v>
      </c>
      <c r="M3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4" spans="1:13" x14ac:dyDescent="0.25">
      <c r="A354" t="s">
        <v>90</v>
      </c>
      <c r="B354" t="s">
        <v>90</v>
      </c>
      <c r="C354" t="s">
        <v>78</v>
      </c>
      <c r="D354" s="1" t="s">
        <v>95</v>
      </c>
      <c r="E354" t="s">
        <v>93</v>
      </c>
      <c r="F354" t="s">
        <v>14</v>
      </c>
      <c r="G354">
        <v>3</v>
      </c>
      <c r="H354">
        <v>397.72</v>
      </c>
      <c r="I354" s="5">
        <f>IFERROR(VLOOKUP(TrendSheetStgData[Population]&amp;TrendSheetStgData[Cost Basis]&amp;TrendSheetStgData[Period]&amp;TrendSheetStgData[Trend],TrendSheetPrdData[#All],9,FALSE),0)</f>
        <v>397.52</v>
      </c>
      <c r="J3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5.0311933990754051E-2</v>
      </c>
      <c r="K354" s="5">
        <f>VLOOKUP(TrendSheetStgData[Population]&amp;TrendSheetStgData[Trend],Threshold[#All],4,FALSE)</f>
        <v>10</v>
      </c>
      <c r="L354" s="5">
        <f>VLOOKUP(TrendSheetStgData[Population]&amp;TrendSheetStgData[Trend],Threshold[#All],5,FALSE)</f>
        <v>5</v>
      </c>
      <c r="M3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5" spans="1:13" x14ac:dyDescent="0.25">
      <c r="A355" t="s">
        <v>90</v>
      </c>
      <c r="B355" t="s">
        <v>90</v>
      </c>
      <c r="C355" t="s">
        <v>78</v>
      </c>
      <c r="D355" s="1" t="s">
        <v>96</v>
      </c>
      <c r="E355" t="s">
        <v>93</v>
      </c>
      <c r="F355" t="s">
        <v>14</v>
      </c>
      <c r="G355">
        <v>3</v>
      </c>
      <c r="H355">
        <v>353.36</v>
      </c>
      <c r="I355" s="5">
        <f>IFERROR(VLOOKUP(TrendSheetStgData[Population]&amp;TrendSheetStgData[Cost Basis]&amp;TrendSheetStgData[Period]&amp;TrendSheetStgData[Trend],TrendSheetPrdData[#All],9,FALSE),0)</f>
        <v>349.9</v>
      </c>
      <c r="J3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0.98885395827380296</v>
      </c>
      <c r="K355" s="5">
        <f>VLOOKUP(TrendSheetStgData[Population]&amp;TrendSheetStgData[Trend],Threshold[#All],4,FALSE)</f>
        <v>10</v>
      </c>
      <c r="L355" s="5">
        <f>VLOOKUP(TrendSheetStgData[Population]&amp;TrendSheetStgData[Trend],Threshold[#All],5,FALSE)</f>
        <v>5</v>
      </c>
      <c r="M3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6" spans="1:13" x14ac:dyDescent="0.25">
      <c r="A356" t="s">
        <v>90</v>
      </c>
      <c r="B356" t="s">
        <v>90</v>
      </c>
      <c r="C356" t="s">
        <v>78</v>
      </c>
      <c r="D356" s="1" t="s">
        <v>97</v>
      </c>
      <c r="E356" t="s">
        <v>93</v>
      </c>
      <c r="F356" t="s">
        <v>14</v>
      </c>
      <c r="G356">
        <v>3</v>
      </c>
      <c r="H356">
        <v>349.43</v>
      </c>
      <c r="I356" s="5">
        <f>IFERROR(VLOOKUP(TrendSheetStgData[Population]&amp;TrendSheetStgData[Cost Basis]&amp;TrendSheetStgData[Period]&amp;TrendSheetStgData[Trend],TrendSheetPrdData[#All],9,FALSE),0)</f>
        <v>349.88</v>
      </c>
      <c r="J3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0.12861552532296461</v>
      </c>
      <c r="K356" s="5">
        <f>VLOOKUP(TrendSheetStgData[Population]&amp;TrendSheetStgData[Trend],Threshold[#All],4,FALSE)</f>
        <v>10</v>
      </c>
      <c r="L356" s="5">
        <f>VLOOKUP(TrendSheetStgData[Population]&amp;TrendSheetStgData[Trend],Threshold[#All],5,FALSE)</f>
        <v>5</v>
      </c>
      <c r="M3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7" spans="1:13" x14ac:dyDescent="0.25">
      <c r="A357" t="s">
        <v>90</v>
      </c>
      <c r="B357" t="s">
        <v>90</v>
      </c>
      <c r="C357" t="s">
        <v>78</v>
      </c>
      <c r="D357" s="1" t="s">
        <v>98</v>
      </c>
      <c r="E357" t="s">
        <v>93</v>
      </c>
      <c r="F357" t="s">
        <v>14</v>
      </c>
      <c r="G357">
        <v>3</v>
      </c>
      <c r="H357">
        <v>391.03</v>
      </c>
      <c r="I357" s="5">
        <f>IFERROR(VLOOKUP(TrendSheetStgData[Population]&amp;TrendSheetStgData[Cost Basis]&amp;TrendSheetStgData[Period]&amp;TrendSheetStgData[Trend],TrendSheetPrdData[#All],9,FALSE),0)</f>
        <v>390.86</v>
      </c>
      <c r="J3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4.3493834109389312E-2</v>
      </c>
      <c r="K357" s="5">
        <f>VLOOKUP(TrendSheetStgData[Population]&amp;TrendSheetStgData[Trend],Threshold[#All],4,FALSE)</f>
        <v>10</v>
      </c>
      <c r="L357" s="5">
        <f>VLOOKUP(TrendSheetStgData[Population]&amp;TrendSheetStgData[Trend],Threshold[#All],5,FALSE)</f>
        <v>5</v>
      </c>
      <c r="M3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8" spans="1:13" x14ac:dyDescent="0.25">
      <c r="A358" t="s">
        <v>90</v>
      </c>
      <c r="B358" t="s">
        <v>90</v>
      </c>
      <c r="C358" t="s">
        <v>78</v>
      </c>
      <c r="D358" s="1" t="s">
        <v>99</v>
      </c>
      <c r="E358" t="s">
        <v>93</v>
      </c>
      <c r="F358" t="s">
        <v>14</v>
      </c>
      <c r="G358">
        <v>3</v>
      </c>
      <c r="H358">
        <v>372.83</v>
      </c>
      <c r="I358" s="5">
        <f>IFERROR(VLOOKUP(TrendSheetStgData[Population]&amp;TrendSheetStgData[Cost Basis]&amp;TrendSheetStgData[Period]&amp;TrendSheetStgData[Trend],TrendSheetPrdData[#All],9,FALSE),0)</f>
        <v>369.51</v>
      </c>
      <c r="J3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0.89848718573245467</v>
      </c>
      <c r="K358" s="5">
        <f>VLOOKUP(TrendSheetStgData[Population]&amp;TrendSheetStgData[Trend],Threshold[#All],4,FALSE)</f>
        <v>10</v>
      </c>
      <c r="L358" s="5">
        <f>VLOOKUP(TrendSheetStgData[Population]&amp;TrendSheetStgData[Trend],Threshold[#All],5,FALSE)</f>
        <v>5</v>
      </c>
      <c r="M3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9" spans="1:13" x14ac:dyDescent="0.25">
      <c r="A359" t="s">
        <v>90</v>
      </c>
      <c r="B359" t="s">
        <v>90</v>
      </c>
      <c r="C359" t="s">
        <v>78</v>
      </c>
      <c r="D359" s="1" t="s">
        <v>100</v>
      </c>
      <c r="E359" t="s">
        <v>93</v>
      </c>
      <c r="F359" t="s">
        <v>14</v>
      </c>
      <c r="G359">
        <v>3</v>
      </c>
      <c r="H359">
        <v>392.27</v>
      </c>
      <c r="I359" s="5">
        <f>IFERROR(VLOOKUP(TrendSheetStgData[Population]&amp;TrendSheetStgData[Cost Basis]&amp;TrendSheetStgData[Period]&amp;TrendSheetStgData[Trend],TrendSheetPrdData[#All],9,FALSE),0)</f>
        <v>391.89</v>
      </c>
      <c r="J3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9.6965985353031581E-2</v>
      </c>
      <c r="K359" s="5">
        <f>VLOOKUP(TrendSheetStgData[Population]&amp;TrendSheetStgData[Trend],Threshold[#All],4,FALSE)</f>
        <v>10</v>
      </c>
      <c r="L359" s="5">
        <f>VLOOKUP(TrendSheetStgData[Population]&amp;TrendSheetStgData[Trend],Threshold[#All],5,FALSE)</f>
        <v>5</v>
      </c>
      <c r="M3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0" spans="1:13" x14ac:dyDescent="0.25">
      <c r="A360" t="s">
        <v>90</v>
      </c>
      <c r="B360" t="s">
        <v>90</v>
      </c>
      <c r="C360" t="s">
        <v>78</v>
      </c>
      <c r="D360" s="1" t="s">
        <v>101</v>
      </c>
      <c r="E360" t="s">
        <v>93</v>
      </c>
      <c r="F360" t="s">
        <v>14</v>
      </c>
      <c r="G360">
        <v>3</v>
      </c>
      <c r="H360">
        <v>415.38</v>
      </c>
      <c r="I360" s="5">
        <f>IFERROR(VLOOKUP(TrendSheetStgData[Population]&amp;TrendSheetStgData[Cost Basis]&amp;TrendSheetStgData[Period]&amp;TrendSheetStgData[Trend],TrendSheetPrdData[#All],9,FALSE),0)</f>
        <v>415.84</v>
      </c>
      <c r="J3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0.11061946902654375</v>
      </c>
      <c r="K360" s="5">
        <f>VLOOKUP(TrendSheetStgData[Population]&amp;TrendSheetStgData[Trend],Threshold[#All],4,FALSE)</f>
        <v>10</v>
      </c>
      <c r="L360" s="5">
        <f>VLOOKUP(TrendSheetStgData[Population]&amp;TrendSheetStgData[Trend],Threshold[#All],5,FALSE)</f>
        <v>5</v>
      </c>
      <c r="M3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1" spans="1:13" x14ac:dyDescent="0.25">
      <c r="A361" t="s">
        <v>90</v>
      </c>
      <c r="B361" t="s">
        <v>90</v>
      </c>
      <c r="C361" t="s">
        <v>78</v>
      </c>
      <c r="D361" s="1" t="s">
        <v>102</v>
      </c>
      <c r="E361" t="s">
        <v>93</v>
      </c>
      <c r="F361" t="s">
        <v>14</v>
      </c>
      <c r="G361">
        <v>3</v>
      </c>
      <c r="H361">
        <v>313.63</v>
      </c>
      <c r="I361" s="5">
        <f>IFERROR(VLOOKUP(TrendSheetStgData[Population]&amp;TrendSheetStgData[Cost Basis]&amp;TrendSheetStgData[Period]&amp;TrendSheetStgData[Trend],TrendSheetPrdData[#All],9,FALSE),0)</f>
        <v>304.08999999999997</v>
      </c>
      <c r="J3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3.1372291098030263</v>
      </c>
      <c r="K361" s="5">
        <f>VLOOKUP(TrendSheetStgData[Population]&amp;TrendSheetStgData[Trend],Threshold[#All],4,FALSE)</f>
        <v>10</v>
      </c>
      <c r="L361" s="5">
        <f>VLOOKUP(TrendSheetStgData[Population]&amp;TrendSheetStgData[Trend],Threshold[#All],5,FALSE)</f>
        <v>5</v>
      </c>
      <c r="M3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2" spans="1:13" x14ac:dyDescent="0.25">
      <c r="A362" t="s">
        <v>90</v>
      </c>
      <c r="B362" t="s">
        <v>90</v>
      </c>
      <c r="C362" t="s">
        <v>78</v>
      </c>
      <c r="D362" s="1" t="s">
        <v>103</v>
      </c>
      <c r="E362" t="s">
        <v>93</v>
      </c>
      <c r="F362" t="s">
        <v>14</v>
      </c>
      <c r="G362">
        <v>3</v>
      </c>
      <c r="H362">
        <v>329.04</v>
      </c>
      <c r="I362" s="5">
        <f>IFERROR(VLOOKUP(TrendSheetStgData[Population]&amp;TrendSheetStgData[Cost Basis]&amp;TrendSheetStgData[Period]&amp;TrendSheetStgData[Trend],TrendSheetPrdData[#All],9,FALSE),0)</f>
        <v>322.75</v>
      </c>
      <c r="J3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1.9488768396591853</v>
      </c>
      <c r="K362" s="5">
        <f>VLOOKUP(TrendSheetStgData[Population]&amp;TrendSheetStgData[Trend],Threshold[#All],4,FALSE)</f>
        <v>10</v>
      </c>
      <c r="L362" s="5">
        <f>VLOOKUP(TrendSheetStgData[Population]&amp;TrendSheetStgData[Trend],Threshold[#All],5,FALSE)</f>
        <v>5</v>
      </c>
      <c r="M3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3" spans="1:13" x14ac:dyDescent="0.25">
      <c r="A363" t="s">
        <v>90</v>
      </c>
      <c r="B363" t="s">
        <v>90</v>
      </c>
      <c r="C363" t="s">
        <v>78</v>
      </c>
      <c r="D363" s="1" t="s">
        <v>104</v>
      </c>
      <c r="E363" t="s">
        <v>93</v>
      </c>
      <c r="F363" t="s">
        <v>14</v>
      </c>
      <c r="G363">
        <v>3</v>
      </c>
      <c r="H363">
        <v>381.27</v>
      </c>
      <c r="I363" s="5">
        <f>IFERROR(VLOOKUP(TrendSheetStgData[Population]&amp;TrendSheetStgData[Cost Basis]&amp;TrendSheetStgData[Period]&amp;TrendSheetStgData[Trend],TrendSheetPrdData[#All],9,FALSE),0)</f>
        <v>359.58</v>
      </c>
      <c r="J3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6.0320373769397628</v>
      </c>
      <c r="K363" s="5">
        <f>VLOOKUP(TrendSheetStgData[Population]&amp;TrendSheetStgData[Trend],Threshold[#All],4,FALSE)</f>
        <v>10</v>
      </c>
      <c r="L363" s="5">
        <f>VLOOKUP(TrendSheetStgData[Population]&amp;TrendSheetStgData[Trend],Threshold[#All],5,FALSE)</f>
        <v>5</v>
      </c>
      <c r="M3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64" spans="1:13" x14ac:dyDescent="0.25">
      <c r="A364" t="s">
        <v>90</v>
      </c>
      <c r="B364" t="s">
        <v>90</v>
      </c>
      <c r="C364" t="s">
        <v>78</v>
      </c>
      <c r="D364" s="1" t="s">
        <v>105</v>
      </c>
      <c r="E364" t="s">
        <v>106</v>
      </c>
      <c r="F364" t="s">
        <v>14</v>
      </c>
      <c r="G364">
        <v>3</v>
      </c>
      <c r="H364">
        <v>306.61</v>
      </c>
      <c r="I364" s="5">
        <f>IFERROR(VLOOKUP(TrendSheetStgData[Population]&amp;TrendSheetStgData[Cost Basis]&amp;TrendSheetStgData[Period]&amp;TrendSheetStgData[Trend],TrendSheetPrdData[#All],9,FALSE),0)</f>
        <v>124.03</v>
      </c>
      <c r="J3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147.20632105135854</v>
      </c>
      <c r="K364" s="5">
        <f>VLOOKUP(TrendSheetStgData[Population]&amp;TrendSheetStgData[Trend],Threshold[#All],4,FALSE)</f>
        <v>10</v>
      </c>
      <c r="L364" s="5">
        <f>VLOOKUP(TrendSheetStgData[Population]&amp;TrendSheetStgData[Trend],Threshold[#All],5,FALSE)</f>
        <v>5</v>
      </c>
      <c r="M3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65" spans="1:13" x14ac:dyDescent="0.25">
      <c r="A365" t="s">
        <v>90</v>
      </c>
      <c r="B365" t="s">
        <v>90</v>
      </c>
      <c r="C365" t="s">
        <v>78</v>
      </c>
      <c r="D365" s="1" t="s">
        <v>107</v>
      </c>
      <c r="E365" t="s">
        <v>106</v>
      </c>
      <c r="F365" t="s">
        <v>14</v>
      </c>
      <c r="G365">
        <v>3</v>
      </c>
      <c r="H365">
        <v>191.28</v>
      </c>
      <c r="I365" s="5">
        <f>IFERROR(VLOOKUP(TrendSheetStgData[Population]&amp;TrendSheetStgData[Cost Basis]&amp;TrendSheetStgData[Period]&amp;TrendSheetStgData[Trend],TrendSheetPrdData[#All],9,FALSE),0)</f>
        <v>0</v>
      </c>
      <c r="J3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65" s="5">
        <f>VLOOKUP(TrendSheetStgData[Population]&amp;TrendSheetStgData[Trend],Threshold[#All],4,FALSE)</f>
        <v>10</v>
      </c>
      <c r="L365" s="5">
        <f>VLOOKUP(TrendSheetStgData[Population]&amp;TrendSheetStgData[Trend],Threshold[#All],5,FALSE)</f>
        <v>5</v>
      </c>
      <c r="M3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66" spans="1:13" x14ac:dyDescent="0.25">
      <c r="A366" t="s">
        <v>90</v>
      </c>
      <c r="B366" t="s">
        <v>90</v>
      </c>
      <c r="C366" t="s">
        <v>78</v>
      </c>
      <c r="D366" s="1" t="s">
        <v>92</v>
      </c>
      <c r="E366" t="s">
        <v>93</v>
      </c>
      <c r="F366" t="s">
        <v>15</v>
      </c>
      <c r="G366">
        <v>4</v>
      </c>
      <c r="H366">
        <v>34577.120000000003</v>
      </c>
      <c r="I366" s="5">
        <f>IFERROR(VLOOKUP(TrendSheetStgData[Population]&amp;TrendSheetStgData[Cost Basis]&amp;TrendSheetStgData[Period]&amp;TrendSheetStgData[Trend],TrendSheetPrdData[#All],9,FALSE),0)</f>
        <v>34577.120000000003</v>
      </c>
      <c r="J3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6" s="5">
        <f>VLOOKUP(TrendSheetStgData[Population]&amp;TrendSheetStgData[Trend],Threshold[#All],4,FALSE)</f>
        <v>10</v>
      </c>
      <c r="L366" s="5">
        <f>VLOOKUP(TrendSheetStgData[Population]&amp;TrendSheetStgData[Trend],Threshold[#All],5,FALSE)</f>
        <v>5</v>
      </c>
      <c r="M3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7" spans="1:13" x14ac:dyDescent="0.25">
      <c r="A367" t="s">
        <v>90</v>
      </c>
      <c r="B367" t="s">
        <v>90</v>
      </c>
      <c r="C367" t="s">
        <v>78</v>
      </c>
      <c r="D367" s="1" t="s">
        <v>94</v>
      </c>
      <c r="E367" t="s">
        <v>93</v>
      </c>
      <c r="F367" t="s">
        <v>15</v>
      </c>
      <c r="G367">
        <v>4</v>
      </c>
      <c r="H367">
        <v>264404.24</v>
      </c>
      <c r="I367" s="5">
        <f>IFERROR(VLOOKUP(TrendSheetStgData[Population]&amp;TrendSheetStgData[Cost Basis]&amp;TrendSheetStgData[Period]&amp;TrendSheetStgData[Trend],TrendSheetPrdData[#All],9,FALSE),0)</f>
        <v>264404.24</v>
      </c>
      <c r="J3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7" s="5">
        <f>VLOOKUP(TrendSheetStgData[Population]&amp;TrendSheetStgData[Trend],Threshold[#All],4,FALSE)</f>
        <v>10</v>
      </c>
      <c r="L367" s="5">
        <f>VLOOKUP(TrendSheetStgData[Population]&amp;TrendSheetStgData[Trend],Threshold[#All],5,FALSE)</f>
        <v>5</v>
      </c>
      <c r="M3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8" spans="1:13" x14ac:dyDescent="0.25">
      <c r="A368" t="s">
        <v>90</v>
      </c>
      <c r="B368" t="s">
        <v>90</v>
      </c>
      <c r="C368" t="s">
        <v>78</v>
      </c>
      <c r="D368" s="1" t="s">
        <v>95</v>
      </c>
      <c r="E368" t="s">
        <v>93</v>
      </c>
      <c r="F368" t="s">
        <v>15</v>
      </c>
      <c r="G368">
        <v>4</v>
      </c>
      <c r="H368">
        <v>22162.14</v>
      </c>
      <c r="I368" s="5">
        <f>IFERROR(VLOOKUP(TrendSheetStgData[Population]&amp;TrendSheetStgData[Cost Basis]&amp;TrendSheetStgData[Period]&amp;TrendSheetStgData[Trend],TrendSheetPrdData[#All],9,FALSE),0)</f>
        <v>22162.14</v>
      </c>
      <c r="J3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8" s="5">
        <f>VLOOKUP(TrendSheetStgData[Population]&amp;TrendSheetStgData[Trend],Threshold[#All],4,FALSE)</f>
        <v>10</v>
      </c>
      <c r="L368" s="5">
        <f>VLOOKUP(TrendSheetStgData[Population]&amp;TrendSheetStgData[Trend],Threshold[#All],5,FALSE)</f>
        <v>5</v>
      </c>
      <c r="M3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9" spans="1:13" x14ac:dyDescent="0.25">
      <c r="A369" t="s">
        <v>90</v>
      </c>
      <c r="B369" t="s">
        <v>90</v>
      </c>
      <c r="C369" t="s">
        <v>78</v>
      </c>
      <c r="D369" s="1" t="s">
        <v>96</v>
      </c>
      <c r="E369" t="s">
        <v>93</v>
      </c>
      <c r="F369" t="s">
        <v>15</v>
      </c>
      <c r="G369">
        <v>4</v>
      </c>
      <c r="H369">
        <v>1211.49</v>
      </c>
      <c r="I369" s="5">
        <f>IFERROR(VLOOKUP(TrendSheetStgData[Population]&amp;TrendSheetStgData[Cost Basis]&amp;TrendSheetStgData[Period]&amp;TrendSheetStgData[Trend],TrendSheetPrdData[#All],9,FALSE),0)</f>
        <v>1211.49</v>
      </c>
      <c r="J3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9" s="5">
        <f>VLOOKUP(TrendSheetStgData[Population]&amp;TrendSheetStgData[Trend],Threshold[#All],4,FALSE)</f>
        <v>10</v>
      </c>
      <c r="L369" s="5">
        <f>VLOOKUP(TrendSheetStgData[Population]&amp;TrendSheetStgData[Trend],Threshold[#All],5,FALSE)</f>
        <v>5</v>
      </c>
      <c r="M3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0" spans="1:13" x14ac:dyDescent="0.25">
      <c r="A370" t="s">
        <v>90</v>
      </c>
      <c r="B370" t="s">
        <v>90</v>
      </c>
      <c r="C370" t="s">
        <v>78</v>
      </c>
      <c r="D370" s="1" t="s">
        <v>97</v>
      </c>
      <c r="E370" t="s">
        <v>93</v>
      </c>
      <c r="F370" t="s">
        <v>15</v>
      </c>
      <c r="G370">
        <v>4</v>
      </c>
      <c r="H370">
        <v>0</v>
      </c>
      <c r="I370" s="5">
        <f>IFERROR(VLOOKUP(TrendSheetStgData[Population]&amp;TrendSheetStgData[Cost Basis]&amp;TrendSheetStgData[Period]&amp;TrendSheetStgData[Trend],TrendSheetPrdData[#All],9,FALSE),0)</f>
        <v>0</v>
      </c>
      <c r="J3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0" s="5">
        <f>VLOOKUP(TrendSheetStgData[Population]&amp;TrendSheetStgData[Trend],Threshold[#All],4,FALSE)</f>
        <v>10</v>
      </c>
      <c r="L370" s="5">
        <f>VLOOKUP(TrendSheetStgData[Population]&amp;TrendSheetStgData[Trend],Threshold[#All],5,FALSE)</f>
        <v>5</v>
      </c>
      <c r="M3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1" spans="1:13" x14ac:dyDescent="0.25">
      <c r="A371" t="s">
        <v>90</v>
      </c>
      <c r="B371" t="s">
        <v>90</v>
      </c>
      <c r="C371" t="s">
        <v>78</v>
      </c>
      <c r="D371" s="1" t="s">
        <v>98</v>
      </c>
      <c r="E371" t="s">
        <v>93</v>
      </c>
      <c r="F371" t="s">
        <v>15</v>
      </c>
      <c r="G371">
        <v>4</v>
      </c>
      <c r="H371">
        <v>138116.6</v>
      </c>
      <c r="I371" s="5">
        <f>IFERROR(VLOOKUP(TrendSheetStgData[Population]&amp;TrendSheetStgData[Cost Basis]&amp;TrendSheetStgData[Period]&amp;TrendSheetStgData[Trend],TrendSheetPrdData[#All],9,FALSE),0)</f>
        <v>115650.42</v>
      </c>
      <c r="J3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19.425938963299924</v>
      </c>
      <c r="K371" s="5">
        <f>VLOOKUP(TrendSheetStgData[Population]&amp;TrendSheetStgData[Trend],Threshold[#All],4,FALSE)</f>
        <v>10</v>
      </c>
      <c r="L371" s="5">
        <f>VLOOKUP(TrendSheetStgData[Population]&amp;TrendSheetStgData[Trend],Threshold[#All],5,FALSE)</f>
        <v>5</v>
      </c>
      <c r="M3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2" spans="1:13" x14ac:dyDescent="0.25">
      <c r="A372" t="s">
        <v>90</v>
      </c>
      <c r="B372" t="s">
        <v>90</v>
      </c>
      <c r="C372" t="s">
        <v>78</v>
      </c>
      <c r="D372" s="1" t="s">
        <v>99</v>
      </c>
      <c r="E372" t="s">
        <v>93</v>
      </c>
      <c r="F372" t="s">
        <v>15</v>
      </c>
      <c r="G372">
        <v>4</v>
      </c>
      <c r="H372">
        <v>46312.09</v>
      </c>
      <c r="I372" s="5">
        <f>IFERROR(VLOOKUP(TrendSheetStgData[Population]&amp;TrendSheetStgData[Cost Basis]&amp;TrendSheetStgData[Period]&amp;TrendSheetStgData[Trend],TrendSheetPrdData[#All],9,FALSE),0)</f>
        <v>46312.09</v>
      </c>
      <c r="J3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2" s="5">
        <f>VLOOKUP(TrendSheetStgData[Population]&amp;TrendSheetStgData[Trend],Threshold[#All],4,FALSE)</f>
        <v>10</v>
      </c>
      <c r="L372" s="5">
        <f>VLOOKUP(TrendSheetStgData[Population]&amp;TrendSheetStgData[Trend],Threshold[#All],5,FALSE)</f>
        <v>5</v>
      </c>
      <c r="M3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3" spans="1:13" x14ac:dyDescent="0.25">
      <c r="A373" t="s">
        <v>90</v>
      </c>
      <c r="B373" t="s">
        <v>90</v>
      </c>
      <c r="C373" t="s">
        <v>78</v>
      </c>
      <c r="D373" s="1" t="s">
        <v>100</v>
      </c>
      <c r="E373" t="s">
        <v>93</v>
      </c>
      <c r="F373" t="s">
        <v>15</v>
      </c>
      <c r="G373">
        <v>4</v>
      </c>
      <c r="H373">
        <v>106868.22</v>
      </c>
      <c r="I373" s="5">
        <f>IFERROR(VLOOKUP(TrendSheetStgData[Population]&amp;TrendSheetStgData[Cost Basis]&amp;TrendSheetStgData[Period]&amp;TrendSheetStgData[Trend],TrendSheetPrdData[#All],9,FALSE),0)</f>
        <v>106868.22</v>
      </c>
      <c r="J3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3" s="5">
        <f>VLOOKUP(TrendSheetStgData[Population]&amp;TrendSheetStgData[Trend],Threshold[#All],4,FALSE)</f>
        <v>10</v>
      </c>
      <c r="L373" s="5">
        <f>VLOOKUP(TrendSheetStgData[Population]&amp;TrendSheetStgData[Trend],Threshold[#All],5,FALSE)</f>
        <v>5</v>
      </c>
      <c r="M3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4" spans="1:13" x14ac:dyDescent="0.25">
      <c r="A374" t="s">
        <v>90</v>
      </c>
      <c r="B374" t="s">
        <v>90</v>
      </c>
      <c r="C374" t="s">
        <v>78</v>
      </c>
      <c r="D374" s="1" t="s">
        <v>101</v>
      </c>
      <c r="E374" t="s">
        <v>93</v>
      </c>
      <c r="F374" t="s">
        <v>15</v>
      </c>
      <c r="G374">
        <v>4</v>
      </c>
      <c r="H374">
        <v>30839.81</v>
      </c>
      <c r="I374" s="5">
        <f>IFERROR(VLOOKUP(TrendSheetStgData[Population]&amp;TrendSheetStgData[Cost Basis]&amp;TrendSheetStgData[Period]&amp;TrendSheetStgData[Trend],TrendSheetPrdData[#All],9,FALSE),0)</f>
        <v>30839.81</v>
      </c>
      <c r="J3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4" s="5">
        <f>VLOOKUP(TrendSheetStgData[Population]&amp;TrendSheetStgData[Trend],Threshold[#All],4,FALSE)</f>
        <v>10</v>
      </c>
      <c r="L374" s="5">
        <f>VLOOKUP(TrendSheetStgData[Population]&amp;TrendSheetStgData[Trend],Threshold[#All],5,FALSE)</f>
        <v>5</v>
      </c>
      <c r="M3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5" spans="1:13" x14ac:dyDescent="0.25">
      <c r="A375" t="s">
        <v>90</v>
      </c>
      <c r="B375" t="s">
        <v>90</v>
      </c>
      <c r="C375" t="s">
        <v>78</v>
      </c>
      <c r="D375" s="1" t="s">
        <v>102</v>
      </c>
      <c r="E375" t="s">
        <v>93</v>
      </c>
      <c r="F375" t="s">
        <v>15</v>
      </c>
      <c r="G375">
        <v>4</v>
      </c>
      <c r="H375">
        <v>11909.89</v>
      </c>
      <c r="I375" s="5">
        <f>IFERROR(VLOOKUP(TrendSheetStgData[Population]&amp;TrendSheetStgData[Cost Basis]&amp;TrendSheetStgData[Period]&amp;TrendSheetStgData[Trend],TrendSheetPrdData[#All],9,FALSE),0)</f>
        <v>11909.89</v>
      </c>
      <c r="J3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5" s="5">
        <f>VLOOKUP(TrendSheetStgData[Population]&amp;TrendSheetStgData[Trend],Threshold[#All],4,FALSE)</f>
        <v>10</v>
      </c>
      <c r="L375" s="5">
        <f>VLOOKUP(TrendSheetStgData[Population]&amp;TrendSheetStgData[Trend],Threshold[#All],5,FALSE)</f>
        <v>5</v>
      </c>
      <c r="M3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6" spans="1:13" x14ac:dyDescent="0.25">
      <c r="A376" t="s">
        <v>90</v>
      </c>
      <c r="B376" t="s">
        <v>90</v>
      </c>
      <c r="C376" t="s">
        <v>78</v>
      </c>
      <c r="D376" s="1" t="s">
        <v>103</v>
      </c>
      <c r="E376" t="s">
        <v>93</v>
      </c>
      <c r="F376" t="s">
        <v>15</v>
      </c>
      <c r="G376">
        <v>4</v>
      </c>
      <c r="H376">
        <v>7905.91</v>
      </c>
      <c r="I376" s="5">
        <f>IFERROR(VLOOKUP(TrendSheetStgData[Population]&amp;TrendSheetStgData[Cost Basis]&amp;TrendSheetStgData[Period]&amp;TrendSheetStgData[Trend],TrendSheetPrdData[#All],9,FALSE),0)</f>
        <v>7905.91</v>
      </c>
      <c r="J3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6" s="5">
        <f>VLOOKUP(TrendSheetStgData[Population]&amp;TrendSheetStgData[Trend],Threshold[#All],4,FALSE)</f>
        <v>10</v>
      </c>
      <c r="L376" s="5">
        <f>VLOOKUP(TrendSheetStgData[Population]&amp;TrendSheetStgData[Trend],Threshold[#All],5,FALSE)</f>
        <v>5</v>
      </c>
      <c r="M3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7" spans="1:13" x14ac:dyDescent="0.25">
      <c r="A377" t="s">
        <v>90</v>
      </c>
      <c r="B377" t="s">
        <v>90</v>
      </c>
      <c r="C377" t="s">
        <v>78</v>
      </c>
      <c r="D377" s="1" t="s">
        <v>104</v>
      </c>
      <c r="E377" t="s">
        <v>93</v>
      </c>
      <c r="F377" t="s">
        <v>15</v>
      </c>
      <c r="G377">
        <v>4</v>
      </c>
      <c r="H377">
        <v>8746.42</v>
      </c>
      <c r="I377" s="5">
        <f>IFERROR(VLOOKUP(TrendSheetStgData[Population]&amp;TrendSheetStgData[Cost Basis]&amp;TrendSheetStgData[Period]&amp;TrendSheetStgData[Trend],TrendSheetPrdData[#All],9,FALSE),0)</f>
        <v>8746.42</v>
      </c>
      <c r="J3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7" s="5">
        <f>VLOOKUP(TrendSheetStgData[Population]&amp;TrendSheetStgData[Trend],Threshold[#All],4,FALSE)</f>
        <v>10</v>
      </c>
      <c r="L377" s="5">
        <f>VLOOKUP(TrendSheetStgData[Population]&amp;TrendSheetStgData[Trend],Threshold[#All],5,FALSE)</f>
        <v>5</v>
      </c>
      <c r="M3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8" spans="1:13" x14ac:dyDescent="0.25">
      <c r="A378" t="s">
        <v>90</v>
      </c>
      <c r="B378" t="s">
        <v>90</v>
      </c>
      <c r="C378" t="s">
        <v>78</v>
      </c>
      <c r="D378" s="1" t="s">
        <v>105</v>
      </c>
      <c r="E378" t="s">
        <v>106</v>
      </c>
      <c r="F378" t="s">
        <v>15</v>
      </c>
      <c r="G378">
        <v>4</v>
      </c>
      <c r="H378">
        <v>0</v>
      </c>
      <c r="I378" s="5">
        <f>IFERROR(VLOOKUP(TrendSheetStgData[Population]&amp;TrendSheetStgData[Cost Basis]&amp;TrendSheetStgData[Period]&amp;TrendSheetStgData[Trend],TrendSheetPrdData[#All],9,FALSE),0)</f>
        <v>0</v>
      </c>
      <c r="J3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8" s="5">
        <f>VLOOKUP(TrendSheetStgData[Population]&amp;TrendSheetStgData[Trend],Threshold[#All],4,FALSE)</f>
        <v>10</v>
      </c>
      <c r="L378" s="5">
        <f>VLOOKUP(TrendSheetStgData[Population]&amp;TrendSheetStgData[Trend],Threshold[#All],5,FALSE)</f>
        <v>5</v>
      </c>
      <c r="M3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9" spans="1:13" x14ac:dyDescent="0.25">
      <c r="A379" t="s">
        <v>90</v>
      </c>
      <c r="B379" t="s">
        <v>90</v>
      </c>
      <c r="C379" t="s">
        <v>78</v>
      </c>
      <c r="D379" s="1" t="s">
        <v>107</v>
      </c>
      <c r="E379" t="s">
        <v>106</v>
      </c>
      <c r="F379" t="s">
        <v>15</v>
      </c>
      <c r="G379">
        <v>4</v>
      </c>
      <c r="H379">
        <v>0</v>
      </c>
      <c r="I379" s="5">
        <f>IFERROR(VLOOKUP(TrendSheetStgData[Population]&amp;TrendSheetStgData[Cost Basis]&amp;TrendSheetStgData[Period]&amp;TrendSheetStgData[Trend],TrendSheetPrdData[#All],9,FALSE),0)</f>
        <v>0</v>
      </c>
      <c r="J3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9" s="5">
        <f>VLOOKUP(TrendSheetStgData[Population]&amp;TrendSheetStgData[Trend],Threshold[#All],4,FALSE)</f>
        <v>10</v>
      </c>
      <c r="L379" s="5">
        <f>VLOOKUP(TrendSheetStgData[Population]&amp;TrendSheetStgData[Trend],Threshold[#All],5,FALSE)</f>
        <v>5</v>
      </c>
      <c r="M3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0" spans="1:13" x14ac:dyDescent="0.25">
      <c r="A380" t="s">
        <v>90</v>
      </c>
      <c r="B380" t="s">
        <v>90</v>
      </c>
      <c r="C380" t="s">
        <v>78</v>
      </c>
      <c r="D380" s="1" t="s">
        <v>92</v>
      </c>
      <c r="E380" t="s">
        <v>93</v>
      </c>
      <c r="F380" t="s">
        <v>16</v>
      </c>
      <c r="G380">
        <v>5</v>
      </c>
      <c r="H380">
        <v>1</v>
      </c>
      <c r="I380" s="5">
        <f>IFERROR(VLOOKUP(TrendSheetStgData[Population]&amp;TrendSheetStgData[Cost Basis]&amp;TrendSheetStgData[Period]&amp;TrendSheetStgData[Trend],TrendSheetPrdData[#All],9,FALSE),0)</f>
        <v>1</v>
      </c>
      <c r="J3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0" s="5">
        <f>VLOOKUP(TrendSheetStgData[Population]&amp;TrendSheetStgData[Trend],Threshold[#All],4,FALSE)</f>
        <v>10</v>
      </c>
      <c r="L380" s="5">
        <f>VLOOKUP(TrendSheetStgData[Population]&amp;TrendSheetStgData[Trend],Threshold[#All],5,FALSE)</f>
        <v>5</v>
      </c>
      <c r="M3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1" spans="1:13" x14ac:dyDescent="0.25">
      <c r="A381" t="s">
        <v>90</v>
      </c>
      <c r="B381" t="s">
        <v>90</v>
      </c>
      <c r="C381" t="s">
        <v>78</v>
      </c>
      <c r="D381" s="1" t="s">
        <v>94</v>
      </c>
      <c r="E381" t="s">
        <v>93</v>
      </c>
      <c r="F381" t="s">
        <v>16</v>
      </c>
      <c r="G381">
        <v>5</v>
      </c>
      <c r="H381">
        <v>2</v>
      </c>
      <c r="I381" s="5">
        <f>IFERROR(VLOOKUP(TrendSheetStgData[Population]&amp;TrendSheetStgData[Cost Basis]&amp;TrendSheetStgData[Period]&amp;TrendSheetStgData[Trend],TrendSheetPrdData[#All],9,FALSE),0)</f>
        <v>2</v>
      </c>
      <c r="J3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1" s="5">
        <f>VLOOKUP(TrendSheetStgData[Population]&amp;TrendSheetStgData[Trend],Threshold[#All],4,FALSE)</f>
        <v>10</v>
      </c>
      <c r="L381" s="5">
        <f>VLOOKUP(TrendSheetStgData[Population]&amp;TrendSheetStgData[Trend],Threshold[#All],5,FALSE)</f>
        <v>5</v>
      </c>
      <c r="M3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2" spans="1:13" x14ac:dyDescent="0.25">
      <c r="A382" t="s">
        <v>90</v>
      </c>
      <c r="B382" t="s">
        <v>90</v>
      </c>
      <c r="C382" t="s">
        <v>78</v>
      </c>
      <c r="D382" s="1" t="s">
        <v>95</v>
      </c>
      <c r="E382" t="s">
        <v>93</v>
      </c>
      <c r="F382" t="s">
        <v>16</v>
      </c>
      <c r="G382">
        <v>5</v>
      </c>
      <c r="H382">
        <v>1</v>
      </c>
      <c r="I382" s="5">
        <f>IFERROR(VLOOKUP(TrendSheetStgData[Population]&amp;TrendSheetStgData[Cost Basis]&amp;TrendSheetStgData[Period]&amp;TrendSheetStgData[Trend],TrendSheetPrdData[#All],9,FALSE),0)</f>
        <v>1</v>
      </c>
      <c r="J3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2" s="5">
        <f>VLOOKUP(TrendSheetStgData[Population]&amp;TrendSheetStgData[Trend],Threshold[#All],4,FALSE)</f>
        <v>10</v>
      </c>
      <c r="L382" s="5">
        <f>VLOOKUP(TrendSheetStgData[Population]&amp;TrendSheetStgData[Trend],Threshold[#All],5,FALSE)</f>
        <v>5</v>
      </c>
      <c r="M3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3" spans="1:13" x14ac:dyDescent="0.25">
      <c r="A383" t="s">
        <v>90</v>
      </c>
      <c r="B383" t="s">
        <v>90</v>
      </c>
      <c r="C383" t="s">
        <v>78</v>
      </c>
      <c r="D383" s="1" t="s">
        <v>96</v>
      </c>
      <c r="E383" t="s">
        <v>93</v>
      </c>
      <c r="F383" t="s">
        <v>16</v>
      </c>
      <c r="G383">
        <v>5</v>
      </c>
      <c r="H383">
        <v>1</v>
      </c>
      <c r="I383" s="5">
        <f>IFERROR(VLOOKUP(TrendSheetStgData[Population]&amp;TrendSheetStgData[Cost Basis]&amp;TrendSheetStgData[Period]&amp;TrendSheetStgData[Trend],TrendSheetPrdData[#All],9,FALSE),0)</f>
        <v>1</v>
      </c>
      <c r="J3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3" s="5">
        <f>VLOOKUP(TrendSheetStgData[Population]&amp;TrendSheetStgData[Trend],Threshold[#All],4,FALSE)</f>
        <v>10</v>
      </c>
      <c r="L383" s="5">
        <f>VLOOKUP(TrendSheetStgData[Population]&amp;TrendSheetStgData[Trend],Threshold[#All],5,FALSE)</f>
        <v>5</v>
      </c>
      <c r="M3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4" spans="1:13" x14ac:dyDescent="0.25">
      <c r="A384" t="s">
        <v>90</v>
      </c>
      <c r="B384" t="s">
        <v>90</v>
      </c>
      <c r="C384" t="s">
        <v>78</v>
      </c>
      <c r="D384" s="1" t="s">
        <v>97</v>
      </c>
      <c r="E384" t="s">
        <v>93</v>
      </c>
      <c r="F384" t="s">
        <v>16</v>
      </c>
      <c r="G384">
        <v>5</v>
      </c>
      <c r="H384">
        <v>0</v>
      </c>
      <c r="I384" s="5">
        <f>IFERROR(VLOOKUP(TrendSheetStgData[Population]&amp;TrendSheetStgData[Cost Basis]&amp;TrendSheetStgData[Period]&amp;TrendSheetStgData[Trend],TrendSheetPrdData[#All],9,FALSE),0)</f>
        <v>0</v>
      </c>
      <c r="J3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4" s="5">
        <f>VLOOKUP(TrendSheetStgData[Population]&amp;TrendSheetStgData[Trend],Threshold[#All],4,FALSE)</f>
        <v>10</v>
      </c>
      <c r="L384" s="5">
        <f>VLOOKUP(TrendSheetStgData[Population]&amp;TrendSheetStgData[Trend],Threshold[#All],5,FALSE)</f>
        <v>5</v>
      </c>
      <c r="M3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5" spans="1:13" x14ac:dyDescent="0.25">
      <c r="A385" t="s">
        <v>90</v>
      </c>
      <c r="B385" t="s">
        <v>90</v>
      </c>
      <c r="C385" t="s">
        <v>78</v>
      </c>
      <c r="D385" s="1" t="s">
        <v>98</v>
      </c>
      <c r="E385" t="s">
        <v>93</v>
      </c>
      <c r="F385" t="s">
        <v>16</v>
      </c>
      <c r="G385">
        <v>5</v>
      </c>
      <c r="H385">
        <v>5</v>
      </c>
      <c r="I385" s="5">
        <f>IFERROR(VLOOKUP(TrendSheetStgData[Population]&amp;TrendSheetStgData[Cost Basis]&amp;TrendSheetStgData[Period]&amp;TrendSheetStgData[Trend],TrendSheetPrdData[#All],9,FALSE),0)</f>
        <v>4</v>
      </c>
      <c r="J3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v>
      </c>
      <c r="K385" s="5">
        <f>VLOOKUP(TrendSheetStgData[Population]&amp;TrendSheetStgData[Trend],Threshold[#All],4,FALSE)</f>
        <v>10</v>
      </c>
      <c r="L385" s="5">
        <f>VLOOKUP(TrendSheetStgData[Population]&amp;TrendSheetStgData[Trend],Threshold[#All],5,FALSE)</f>
        <v>5</v>
      </c>
      <c r="M3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6" spans="1:13" x14ac:dyDescent="0.25">
      <c r="A386" t="s">
        <v>90</v>
      </c>
      <c r="B386" t="s">
        <v>90</v>
      </c>
      <c r="C386" t="s">
        <v>78</v>
      </c>
      <c r="D386" s="1" t="s">
        <v>99</v>
      </c>
      <c r="E386" t="s">
        <v>93</v>
      </c>
      <c r="F386" t="s">
        <v>16</v>
      </c>
      <c r="G386">
        <v>5</v>
      </c>
      <c r="H386">
        <v>5</v>
      </c>
      <c r="I386" s="5">
        <f>IFERROR(VLOOKUP(TrendSheetStgData[Population]&amp;TrendSheetStgData[Cost Basis]&amp;TrendSheetStgData[Period]&amp;TrendSheetStgData[Trend],TrendSheetPrdData[#All],9,FALSE),0)</f>
        <v>5</v>
      </c>
      <c r="J3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6" s="5">
        <f>VLOOKUP(TrendSheetStgData[Population]&amp;TrendSheetStgData[Trend],Threshold[#All],4,FALSE)</f>
        <v>10</v>
      </c>
      <c r="L386" s="5">
        <f>VLOOKUP(TrendSheetStgData[Population]&amp;TrendSheetStgData[Trend],Threshold[#All],5,FALSE)</f>
        <v>5</v>
      </c>
      <c r="M3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7" spans="1:13" x14ac:dyDescent="0.25">
      <c r="A387" t="s">
        <v>90</v>
      </c>
      <c r="B387" t="s">
        <v>90</v>
      </c>
      <c r="C387" t="s">
        <v>78</v>
      </c>
      <c r="D387" s="1" t="s">
        <v>100</v>
      </c>
      <c r="E387" t="s">
        <v>93</v>
      </c>
      <c r="F387" t="s">
        <v>16</v>
      </c>
      <c r="G387">
        <v>5</v>
      </c>
      <c r="H387">
        <v>1</v>
      </c>
      <c r="I387" s="5">
        <f>IFERROR(VLOOKUP(TrendSheetStgData[Population]&amp;TrendSheetStgData[Cost Basis]&amp;TrendSheetStgData[Period]&amp;TrendSheetStgData[Trend],TrendSheetPrdData[#All],9,FALSE),0)</f>
        <v>1</v>
      </c>
      <c r="J3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7" s="5">
        <f>VLOOKUP(TrendSheetStgData[Population]&amp;TrendSheetStgData[Trend],Threshold[#All],4,FALSE)</f>
        <v>10</v>
      </c>
      <c r="L387" s="5">
        <f>VLOOKUP(TrendSheetStgData[Population]&amp;TrendSheetStgData[Trend],Threshold[#All],5,FALSE)</f>
        <v>5</v>
      </c>
      <c r="M3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8" spans="1:13" x14ac:dyDescent="0.25">
      <c r="A388" t="s">
        <v>90</v>
      </c>
      <c r="B388" t="s">
        <v>90</v>
      </c>
      <c r="C388" t="s">
        <v>78</v>
      </c>
      <c r="D388" s="1" t="s">
        <v>101</v>
      </c>
      <c r="E388" t="s">
        <v>93</v>
      </c>
      <c r="F388" t="s">
        <v>16</v>
      </c>
      <c r="G388">
        <v>5</v>
      </c>
      <c r="H388">
        <v>4</v>
      </c>
      <c r="I388" s="5">
        <f>IFERROR(VLOOKUP(TrendSheetStgData[Population]&amp;TrendSheetStgData[Cost Basis]&amp;TrendSheetStgData[Period]&amp;TrendSheetStgData[Trend],TrendSheetPrdData[#All],9,FALSE),0)</f>
        <v>4</v>
      </c>
      <c r="J3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8" s="5">
        <f>VLOOKUP(TrendSheetStgData[Population]&amp;TrendSheetStgData[Trend],Threshold[#All],4,FALSE)</f>
        <v>10</v>
      </c>
      <c r="L388" s="5">
        <f>VLOOKUP(TrendSheetStgData[Population]&amp;TrendSheetStgData[Trend],Threshold[#All],5,FALSE)</f>
        <v>5</v>
      </c>
      <c r="M3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9" spans="1:13" x14ac:dyDescent="0.25">
      <c r="A389" t="s">
        <v>90</v>
      </c>
      <c r="B389" t="s">
        <v>90</v>
      </c>
      <c r="C389" t="s">
        <v>78</v>
      </c>
      <c r="D389" s="1" t="s">
        <v>102</v>
      </c>
      <c r="E389" t="s">
        <v>93</v>
      </c>
      <c r="F389" t="s">
        <v>16</v>
      </c>
      <c r="G389">
        <v>5</v>
      </c>
      <c r="H389">
        <v>1</v>
      </c>
      <c r="I389" s="5">
        <f>IFERROR(VLOOKUP(TrendSheetStgData[Population]&amp;TrendSheetStgData[Cost Basis]&amp;TrendSheetStgData[Period]&amp;TrendSheetStgData[Trend],TrendSheetPrdData[#All],9,FALSE),0)</f>
        <v>1</v>
      </c>
      <c r="J3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9" s="5">
        <f>VLOOKUP(TrendSheetStgData[Population]&amp;TrendSheetStgData[Trend],Threshold[#All],4,FALSE)</f>
        <v>10</v>
      </c>
      <c r="L389" s="5">
        <f>VLOOKUP(TrendSheetStgData[Population]&amp;TrendSheetStgData[Trend],Threshold[#All],5,FALSE)</f>
        <v>5</v>
      </c>
      <c r="M3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0" spans="1:13" x14ac:dyDescent="0.25">
      <c r="A390" t="s">
        <v>90</v>
      </c>
      <c r="B390" t="s">
        <v>90</v>
      </c>
      <c r="C390" t="s">
        <v>78</v>
      </c>
      <c r="D390" s="1" t="s">
        <v>103</v>
      </c>
      <c r="E390" t="s">
        <v>93</v>
      </c>
      <c r="F390" t="s">
        <v>16</v>
      </c>
      <c r="G390">
        <v>5</v>
      </c>
      <c r="H390">
        <v>2</v>
      </c>
      <c r="I390" s="5">
        <f>IFERROR(VLOOKUP(TrendSheetStgData[Population]&amp;TrendSheetStgData[Cost Basis]&amp;TrendSheetStgData[Period]&amp;TrendSheetStgData[Trend],TrendSheetPrdData[#All],9,FALSE),0)</f>
        <v>2</v>
      </c>
      <c r="J3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0" s="5">
        <f>VLOOKUP(TrendSheetStgData[Population]&amp;TrendSheetStgData[Trend],Threshold[#All],4,FALSE)</f>
        <v>10</v>
      </c>
      <c r="L390" s="5">
        <f>VLOOKUP(TrendSheetStgData[Population]&amp;TrendSheetStgData[Trend],Threshold[#All],5,FALSE)</f>
        <v>5</v>
      </c>
      <c r="M3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1" spans="1:13" x14ac:dyDescent="0.25">
      <c r="A391" t="s">
        <v>90</v>
      </c>
      <c r="B391" t="s">
        <v>90</v>
      </c>
      <c r="C391" t="s">
        <v>78</v>
      </c>
      <c r="D391" s="1" t="s">
        <v>104</v>
      </c>
      <c r="E391" t="s">
        <v>93</v>
      </c>
      <c r="F391" t="s">
        <v>16</v>
      </c>
      <c r="G391">
        <v>5</v>
      </c>
      <c r="H391">
        <v>1</v>
      </c>
      <c r="I391" s="5">
        <f>IFERROR(VLOOKUP(TrendSheetStgData[Population]&amp;TrendSheetStgData[Cost Basis]&amp;TrendSheetStgData[Period]&amp;TrendSheetStgData[Trend],TrendSheetPrdData[#All],9,FALSE),0)</f>
        <v>1</v>
      </c>
      <c r="J3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1" s="5">
        <f>VLOOKUP(TrendSheetStgData[Population]&amp;TrendSheetStgData[Trend],Threshold[#All],4,FALSE)</f>
        <v>10</v>
      </c>
      <c r="L391" s="5">
        <f>VLOOKUP(TrendSheetStgData[Population]&amp;TrendSheetStgData[Trend],Threshold[#All],5,FALSE)</f>
        <v>5</v>
      </c>
      <c r="M3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2" spans="1:13" x14ac:dyDescent="0.25">
      <c r="A392" t="s">
        <v>90</v>
      </c>
      <c r="B392" t="s">
        <v>90</v>
      </c>
      <c r="C392" t="s">
        <v>78</v>
      </c>
      <c r="D392" s="1" t="s">
        <v>105</v>
      </c>
      <c r="E392" t="s">
        <v>106</v>
      </c>
      <c r="F392" t="s">
        <v>16</v>
      </c>
      <c r="G392">
        <v>5</v>
      </c>
      <c r="H392">
        <v>0</v>
      </c>
      <c r="I392" s="5">
        <f>IFERROR(VLOOKUP(TrendSheetStgData[Population]&amp;TrendSheetStgData[Cost Basis]&amp;TrendSheetStgData[Period]&amp;TrendSheetStgData[Trend],TrendSheetPrdData[#All],9,FALSE),0)</f>
        <v>0</v>
      </c>
      <c r="J3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2" s="5">
        <f>VLOOKUP(TrendSheetStgData[Population]&amp;TrendSheetStgData[Trend],Threshold[#All],4,FALSE)</f>
        <v>10</v>
      </c>
      <c r="L392" s="5">
        <f>VLOOKUP(TrendSheetStgData[Population]&amp;TrendSheetStgData[Trend],Threshold[#All],5,FALSE)</f>
        <v>5</v>
      </c>
      <c r="M3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3" spans="1:13" x14ac:dyDescent="0.25">
      <c r="A393" t="s">
        <v>90</v>
      </c>
      <c r="B393" t="s">
        <v>90</v>
      </c>
      <c r="C393" t="s">
        <v>78</v>
      </c>
      <c r="D393" s="1" t="s">
        <v>107</v>
      </c>
      <c r="E393" t="s">
        <v>106</v>
      </c>
      <c r="F393" t="s">
        <v>16</v>
      </c>
      <c r="G393">
        <v>5</v>
      </c>
      <c r="H393">
        <v>0</v>
      </c>
      <c r="I393" s="5">
        <f>IFERROR(VLOOKUP(TrendSheetStgData[Population]&amp;TrendSheetStgData[Cost Basis]&amp;TrendSheetStgData[Period]&amp;TrendSheetStgData[Trend],TrendSheetPrdData[#All],9,FALSE),0)</f>
        <v>0</v>
      </c>
      <c r="J3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3" s="5">
        <f>VLOOKUP(TrendSheetStgData[Population]&amp;TrendSheetStgData[Trend],Threshold[#All],4,FALSE)</f>
        <v>10</v>
      </c>
      <c r="L393" s="5">
        <f>VLOOKUP(TrendSheetStgData[Population]&amp;TrendSheetStgData[Trend],Threshold[#All],5,FALSE)</f>
        <v>5</v>
      </c>
      <c r="M3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4" spans="1:13" x14ac:dyDescent="0.25">
      <c r="A394" t="s">
        <v>90</v>
      </c>
      <c r="B394" t="s">
        <v>90</v>
      </c>
      <c r="C394" t="s">
        <v>78</v>
      </c>
      <c r="D394" s="1" t="s">
        <v>92</v>
      </c>
      <c r="E394" t="s">
        <v>93</v>
      </c>
      <c r="F394" t="s">
        <v>17</v>
      </c>
      <c r="G394">
        <v>6</v>
      </c>
      <c r="H394">
        <v>30090.83</v>
      </c>
      <c r="I394" s="5">
        <f>IFERROR(VLOOKUP(TrendSheetStgData[Population]&amp;TrendSheetStgData[Cost Basis]&amp;TrendSheetStgData[Period]&amp;TrendSheetStgData[Trend],TrendSheetPrdData[#All],9,FALSE),0)</f>
        <v>30090.83</v>
      </c>
      <c r="J3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4" s="5">
        <f>VLOOKUP(TrendSheetStgData[Population]&amp;TrendSheetStgData[Trend],Threshold[#All],4,FALSE)</f>
        <v>10</v>
      </c>
      <c r="L394" s="5">
        <f>VLOOKUP(TrendSheetStgData[Population]&amp;TrendSheetStgData[Trend],Threshold[#All],5,FALSE)</f>
        <v>5</v>
      </c>
      <c r="M3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5" spans="1:13" x14ac:dyDescent="0.25">
      <c r="A395" t="s">
        <v>90</v>
      </c>
      <c r="B395" t="s">
        <v>90</v>
      </c>
      <c r="C395" t="s">
        <v>78</v>
      </c>
      <c r="D395" s="1" t="s">
        <v>94</v>
      </c>
      <c r="E395" t="s">
        <v>93</v>
      </c>
      <c r="F395" t="s">
        <v>17</v>
      </c>
      <c r="G395">
        <v>6</v>
      </c>
      <c r="H395">
        <v>0</v>
      </c>
      <c r="I395" s="5">
        <f>IFERROR(VLOOKUP(TrendSheetStgData[Population]&amp;TrendSheetStgData[Cost Basis]&amp;TrendSheetStgData[Period]&amp;TrendSheetStgData[Trend],TrendSheetPrdData[#All],9,FALSE),0)</f>
        <v>0</v>
      </c>
      <c r="J3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5" s="5">
        <f>VLOOKUP(TrendSheetStgData[Population]&amp;TrendSheetStgData[Trend],Threshold[#All],4,FALSE)</f>
        <v>10</v>
      </c>
      <c r="L395" s="5">
        <f>VLOOKUP(TrendSheetStgData[Population]&amp;TrendSheetStgData[Trend],Threshold[#All],5,FALSE)</f>
        <v>5</v>
      </c>
      <c r="M3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6" spans="1:13" x14ac:dyDescent="0.25">
      <c r="A396" t="s">
        <v>90</v>
      </c>
      <c r="B396" t="s">
        <v>90</v>
      </c>
      <c r="C396" t="s">
        <v>78</v>
      </c>
      <c r="D396" s="1" t="s">
        <v>95</v>
      </c>
      <c r="E396" t="s">
        <v>93</v>
      </c>
      <c r="F396" t="s">
        <v>17</v>
      </c>
      <c r="G396">
        <v>6</v>
      </c>
      <c r="H396">
        <v>12501.16</v>
      </c>
      <c r="I396" s="5">
        <f>IFERROR(VLOOKUP(TrendSheetStgData[Population]&amp;TrendSheetStgData[Cost Basis]&amp;TrendSheetStgData[Period]&amp;TrendSheetStgData[Trend],TrendSheetPrdData[#All],9,FALSE),0)</f>
        <v>12501.16</v>
      </c>
      <c r="J3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6" s="5">
        <f>VLOOKUP(TrendSheetStgData[Population]&amp;TrendSheetStgData[Trend],Threshold[#All],4,FALSE)</f>
        <v>10</v>
      </c>
      <c r="L396" s="5">
        <f>VLOOKUP(TrendSheetStgData[Population]&amp;TrendSheetStgData[Trend],Threshold[#All],5,FALSE)</f>
        <v>5</v>
      </c>
      <c r="M3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7" spans="1:13" x14ac:dyDescent="0.25">
      <c r="A397" t="s">
        <v>90</v>
      </c>
      <c r="B397" t="s">
        <v>90</v>
      </c>
      <c r="C397" t="s">
        <v>78</v>
      </c>
      <c r="D397" s="1" t="s">
        <v>96</v>
      </c>
      <c r="E397" t="s">
        <v>93</v>
      </c>
      <c r="F397" t="s">
        <v>17</v>
      </c>
      <c r="G397">
        <v>6</v>
      </c>
      <c r="H397">
        <v>0</v>
      </c>
      <c r="I397" s="5">
        <f>IFERROR(VLOOKUP(TrendSheetStgData[Population]&amp;TrendSheetStgData[Cost Basis]&amp;TrendSheetStgData[Period]&amp;TrendSheetStgData[Trend],TrendSheetPrdData[#All],9,FALSE),0)</f>
        <v>0</v>
      </c>
      <c r="J3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7" s="5">
        <f>VLOOKUP(TrendSheetStgData[Population]&amp;TrendSheetStgData[Trend],Threshold[#All],4,FALSE)</f>
        <v>10</v>
      </c>
      <c r="L397" s="5">
        <f>VLOOKUP(TrendSheetStgData[Population]&amp;TrendSheetStgData[Trend],Threshold[#All],5,FALSE)</f>
        <v>5</v>
      </c>
      <c r="M3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8" spans="1:13" x14ac:dyDescent="0.25">
      <c r="A398" t="s">
        <v>90</v>
      </c>
      <c r="B398" t="s">
        <v>90</v>
      </c>
      <c r="C398" t="s">
        <v>78</v>
      </c>
      <c r="D398" s="1" t="s">
        <v>97</v>
      </c>
      <c r="E398" t="s">
        <v>93</v>
      </c>
      <c r="F398" t="s">
        <v>17</v>
      </c>
      <c r="G398">
        <v>6</v>
      </c>
      <c r="H398">
        <v>0</v>
      </c>
      <c r="I398" s="5">
        <f>IFERROR(VLOOKUP(TrendSheetStgData[Population]&amp;TrendSheetStgData[Cost Basis]&amp;TrendSheetStgData[Period]&amp;TrendSheetStgData[Trend],TrendSheetPrdData[#All],9,FALSE),0)</f>
        <v>0</v>
      </c>
      <c r="J3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8" s="5">
        <f>VLOOKUP(TrendSheetStgData[Population]&amp;TrendSheetStgData[Trend],Threshold[#All],4,FALSE)</f>
        <v>10</v>
      </c>
      <c r="L398" s="5">
        <f>VLOOKUP(TrendSheetStgData[Population]&amp;TrendSheetStgData[Trend],Threshold[#All],5,FALSE)</f>
        <v>5</v>
      </c>
      <c r="M3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9" spans="1:13" x14ac:dyDescent="0.25">
      <c r="A399" t="s">
        <v>90</v>
      </c>
      <c r="B399" t="s">
        <v>90</v>
      </c>
      <c r="C399" t="s">
        <v>78</v>
      </c>
      <c r="D399" s="1" t="s">
        <v>98</v>
      </c>
      <c r="E399" t="s">
        <v>93</v>
      </c>
      <c r="F399" t="s">
        <v>17</v>
      </c>
      <c r="G399">
        <v>6</v>
      </c>
      <c r="H399">
        <v>9709.0400000000009</v>
      </c>
      <c r="I399" s="5">
        <f>IFERROR(VLOOKUP(TrendSheetStgData[Population]&amp;TrendSheetStgData[Cost Basis]&amp;TrendSheetStgData[Period]&amp;TrendSheetStgData[Trend],TrendSheetPrdData[#All],9,FALSE),0)</f>
        <v>9709.0400000000009</v>
      </c>
      <c r="J3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9" s="5">
        <f>VLOOKUP(TrendSheetStgData[Population]&amp;TrendSheetStgData[Trend],Threshold[#All],4,FALSE)</f>
        <v>10</v>
      </c>
      <c r="L399" s="5">
        <f>VLOOKUP(TrendSheetStgData[Population]&amp;TrendSheetStgData[Trend],Threshold[#All],5,FALSE)</f>
        <v>5</v>
      </c>
      <c r="M3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0" spans="1:13" x14ac:dyDescent="0.25">
      <c r="A400" t="s">
        <v>90</v>
      </c>
      <c r="B400" t="s">
        <v>90</v>
      </c>
      <c r="C400" t="s">
        <v>78</v>
      </c>
      <c r="D400" s="1" t="s">
        <v>99</v>
      </c>
      <c r="E400" t="s">
        <v>93</v>
      </c>
      <c r="F400" t="s">
        <v>17</v>
      </c>
      <c r="G400">
        <v>6</v>
      </c>
      <c r="H400">
        <v>27958.94</v>
      </c>
      <c r="I400" s="5">
        <f>IFERROR(VLOOKUP(TrendSheetStgData[Population]&amp;TrendSheetStgData[Cost Basis]&amp;TrendSheetStgData[Period]&amp;TrendSheetStgData[Trend],TrendSheetPrdData[#All],9,FALSE),0)</f>
        <v>27958.94</v>
      </c>
      <c r="J4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0" s="5">
        <f>VLOOKUP(TrendSheetStgData[Population]&amp;TrendSheetStgData[Trend],Threshold[#All],4,FALSE)</f>
        <v>10</v>
      </c>
      <c r="L400" s="5">
        <f>VLOOKUP(TrendSheetStgData[Population]&amp;TrendSheetStgData[Trend],Threshold[#All],5,FALSE)</f>
        <v>5</v>
      </c>
      <c r="M4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1" spans="1:13" x14ac:dyDescent="0.25">
      <c r="A401" t="s">
        <v>90</v>
      </c>
      <c r="B401" t="s">
        <v>90</v>
      </c>
      <c r="C401" t="s">
        <v>78</v>
      </c>
      <c r="D401" s="1" t="s">
        <v>100</v>
      </c>
      <c r="E401" t="s">
        <v>93</v>
      </c>
      <c r="F401" t="s">
        <v>17</v>
      </c>
      <c r="G401">
        <v>6</v>
      </c>
      <c r="H401">
        <v>9324.5300000000007</v>
      </c>
      <c r="I401" s="5">
        <f>IFERROR(VLOOKUP(TrendSheetStgData[Population]&amp;TrendSheetStgData[Cost Basis]&amp;TrendSheetStgData[Period]&amp;TrendSheetStgData[Trend],TrendSheetPrdData[#All],9,FALSE),0)</f>
        <v>9324.5300000000007</v>
      </c>
      <c r="J4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1" s="5">
        <f>VLOOKUP(TrendSheetStgData[Population]&amp;TrendSheetStgData[Trend],Threshold[#All],4,FALSE)</f>
        <v>10</v>
      </c>
      <c r="L401" s="5">
        <f>VLOOKUP(TrendSheetStgData[Population]&amp;TrendSheetStgData[Trend],Threshold[#All],5,FALSE)</f>
        <v>5</v>
      </c>
      <c r="M4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2" spans="1:13" x14ac:dyDescent="0.25">
      <c r="A402" t="s">
        <v>90</v>
      </c>
      <c r="B402" t="s">
        <v>90</v>
      </c>
      <c r="C402" t="s">
        <v>78</v>
      </c>
      <c r="D402" s="1" t="s">
        <v>101</v>
      </c>
      <c r="E402" t="s">
        <v>93</v>
      </c>
      <c r="F402" t="s">
        <v>17</v>
      </c>
      <c r="G402">
        <v>6</v>
      </c>
      <c r="H402">
        <v>32293.4</v>
      </c>
      <c r="I402" s="5">
        <f>IFERROR(VLOOKUP(TrendSheetStgData[Population]&amp;TrendSheetStgData[Cost Basis]&amp;TrendSheetStgData[Period]&amp;TrendSheetStgData[Trend],TrendSheetPrdData[#All],9,FALSE),0)</f>
        <v>32293.4</v>
      </c>
      <c r="J4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2" s="5">
        <f>VLOOKUP(TrendSheetStgData[Population]&amp;TrendSheetStgData[Trend],Threshold[#All],4,FALSE)</f>
        <v>10</v>
      </c>
      <c r="L402" s="5">
        <f>VLOOKUP(TrendSheetStgData[Population]&amp;TrendSheetStgData[Trend],Threshold[#All],5,FALSE)</f>
        <v>5</v>
      </c>
      <c r="M4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3" spans="1:13" x14ac:dyDescent="0.25">
      <c r="A403" t="s">
        <v>90</v>
      </c>
      <c r="B403" t="s">
        <v>90</v>
      </c>
      <c r="C403" t="s">
        <v>78</v>
      </c>
      <c r="D403" s="1" t="s">
        <v>102</v>
      </c>
      <c r="E403" t="s">
        <v>93</v>
      </c>
      <c r="F403" t="s">
        <v>17</v>
      </c>
      <c r="G403">
        <v>6</v>
      </c>
      <c r="H403">
        <v>0</v>
      </c>
      <c r="I403" s="5">
        <f>IFERROR(VLOOKUP(TrendSheetStgData[Population]&amp;TrendSheetStgData[Cost Basis]&amp;TrendSheetStgData[Period]&amp;TrendSheetStgData[Trend],TrendSheetPrdData[#All],9,FALSE),0)</f>
        <v>0</v>
      </c>
      <c r="J4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3" s="5">
        <f>VLOOKUP(TrendSheetStgData[Population]&amp;TrendSheetStgData[Trend],Threshold[#All],4,FALSE)</f>
        <v>10</v>
      </c>
      <c r="L403" s="5">
        <f>VLOOKUP(TrendSheetStgData[Population]&amp;TrendSheetStgData[Trend],Threshold[#All],5,FALSE)</f>
        <v>5</v>
      </c>
      <c r="M4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4" spans="1:13" x14ac:dyDescent="0.25">
      <c r="A404" t="s">
        <v>90</v>
      </c>
      <c r="B404" t="s">
        <v>90</v>
      </c>
      <c r="C404" t="s">
        <v>78</v>
      </c>
      <c r="D404" s="1" t="s">
        <v>103</v>
      </c>
      <c r="E404" t="s">
        <v>93</v>
      </c>
      <c r="F404" t="s">
        <v>17</v>
      </c>
      <c r="G404">
        <v>6</v>
      </c>
      <c r="H404">
        <v>158065.82</v>
      </c>
      <c r="I404" s="5">
        <f>IFERROR(VLOOKUP(TrendSheetStgData[Population]&amp;TrendSheetStgData[Cost Basis]&amp;TrendSheetStgData[Period]&amp;TrendSheetStgData[Trend],TrendSheetPrdData[#All],9,FALSE),0)</f>
        <v>158065.82</v>
      </c>
      <c r="J4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4" s="5">
        <f>VLOOKUP(TrendSheetStgData[Population]&amp;TrendSheetStgData[Trend],Threshold[#All],4,FALSE)</f>
        <v>10</v>
      </c>
      <c r="L404" s="5">
        <f>VLOOKUP(TrendSheetStgData[Population]&amp;TrendSheetStgData[Trend],Threshold[#All],5,FALSE)</f>
        <v>5</v>
      </c>
      <c r="M4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5" spans="1:13" x14ac:dyDescent="0.25">
      <c r="A405" t="s">
        <v>90</v>
      </c>
      <c r="B405" t="s">
        <v>90</v>
      </c>
      <c r="C405" t="s">
        <v>78</v>
      </c>
      <c r="D405" s="1" t="s">
        <v>104</v>
      </c>
      <c r="E405" t="s">
        <v>93</v>
      </c>
      <c r="F405" t="s">
        <v>17</v>
      </c>
      <c r="G405">
        <v>6</v>
      </c>
      <c r="H405">
        <v>0</v>
      </c>
      <c r="I405" s="5">
        <f>IFERROR(VLOOKUP(TrendSheetStgData[Population]&amp;TrendSheetStgData[Cost Basis]&amp;TrendSheetStgData[Period]&amp;TrendSheetStgData[Trend],TrendSheetPrdData[#All],9,FALSE),0)</f>
        <v>0</v>
      </c>
      <c r="J4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5" s="5">
        <f>VLOOKUP(TrendSheetStgData[Population]&amp;TrendSheetStgData[Trend],Threshold[#All],4,FALSE)</f>
        <v>10</v>
      </c>
      <c r="L405" s="5">
        <f>VLOOKUP(TrendSheetStgData[Population]&amp;TrendSheetStgData[Trend],Threshold[#All],5,FALSE)</f>
        <v>5</v>
      </c>
      <c r="M4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6" spans="1:13" x14ac:dyDescent="0.25">
      <c r="A406" t="s">
        <v>90</v>
      </c>
      <c r="B406" t="s">
        <v>90</v>
      </c>
      <c r="C406" t="s">
        <v>78</v>
      </c>
      <c r="D406" s="1" t="s">
        <v>105</v>
      </c>
      <c r="E406" t="s">
        <v>106</v>
      </c>
      <c r="F406" t="s">
        <v>17</v>
      </c>
      <c r="G406">
        <v>6</v>
      </c>
      <c r="H406">
        <v>0</v>
      </c>
      <c r="I406" s="5">
        <f>IFERROR(VLOOKUP(TrendSheetStgData[Population]&amp;TrendSheetStgData[Cost Basis]&amp;TrendSheetStgData[Period]&amp;TrendSheetStgData[Trend],TrendSheetPrdData[#All],9,FALSE),0)</f>
        <v>0</v>
      </c>
      <c r="J4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6" s="5">
        <f>VLOOKUP(TrendSheetStgData[Population]&amp;TrendSheetStgData[Trend],Threshold[#All],4,FALSE)</f>
        <v>10</v>
      </c>
      <c r="L406" s="5">
        <f>VLOOKUP(TrendSheetStgData[Population]&amp;TrendSheetStgData[Trend],Threshold[#All],5,FALSE)</f>
        <v>5</v>
      </c>
      <c r="M4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7" spans="1:13" x14ac:dyDescent="0.25">
      <c r="A407" t="s">
        <v>90</v>
      </c>
      <c r="B407" t="s">
        <v>90</v>
      </c>
      <c r="C407" t="s">
        <v>78</v>
      </c>
      <c r="D407" s="1" t="s">
        <v>107</v>
      </c>
      <c r="E407" t="s">
        <v>106</v>
      </c>
      <c r="F407" t="s">
        <v>17</v>
      </c>
      <c r="G407">
        <v>6</v>
      </c>
      <c r="H407">
        <v>0</v>
      </c>
      <c r="I407" s="5">
        <f>IFERROR(VLOOKUP(TrendSheetStgData[Population]&amp;TrendSheetStgData[Cost Basis]&amp;TrendSheetStgData[Period]&amp;TrendSheetStgData[Trend],TrendSheetPrdData[#All],9,FALSE),0)</f>
        <v>0</v>
      </c>
      <c r="J4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7" s="5">
        <f>VLOOKUP(TrendSheetStgData[Population]&amp;TrendSheetStgData[Trend],Threshold[#All],4,FALSE)</f>
        <v>10</v>
      </c>
      <c r="L407" s="5">
        <f>VLOOKUP(TrendSheetStgData[Population]&amp;TrendSheetStgData[Trend],Threshold[#All],5,FALSE)</f>
        <v>5</v>
      </c>
      <c r="M4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8" spans="1:13" x14ac:dyDescent="0.25">
      <c r="A408" t="s">
        <v>90</v>
      </c>
      <c r="B408" t="s">
        <v>90</v>
      </c>
      <c r="C408" t="s">
        <v>78</v>
      </c>
      <c r="D408" s="1" t="s">
        <v>92</v>
      </c>
      <c r="E408" t="s">
        <v>93</v>
      </c>
      <c r="F408" t="s">
        <v>18</v>
      </c>
      <c r="G408">
        <v>7</v>
      </c>
      <c r="H408">
        <v>1</v>
      </c>
      <c r="I408" s="5">
        <f>IFERROR(VLOOKUP(TrendSheetStgData[Population]&amp;TrendSheetStgData[Cost Basis]&amp;TrendSheetStgData[Period]&amp;TrendSheetStgData[Trend],TrendSheetPrdData[#All],9,FALSE),0)</f>
        <v>1</v>
      </c>
      <c r="J4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8" s="5">
        <f>VLOOKUP(TrendSheetStgData[Population]&amp;TrendSheetStgData[Trend],Threshold[#All],4,FALSE)</f>
        <v>10</v>
      </c>
      <c r="L408" s="5">
        <f>VLOOKUP(TrendSheetStgData[Population]&amp;TrendSheetStgData[Trend],Threshold[#All],5,FALSE)</f>
        <v>5</v>
      </c>
      <c r="M4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9" spans="1:13" x14ac:dyDescent="0.25">
      <c r="A409" t="s">
        <v>90</v>
      </c>
      <c r="B409" t="s">
        <v>90</v>
      </c>
      <c r="C409" t="s">
        <v>78</v>
      </c>
      <c r="D409" s="1" t="s">
        <v>94</v>
      </c>
      <c r="E409" t="s">
        <v>93</v>
      </c>
      <c r="F409" t="s">
        <v>18</v>
      </c>
      <c r="G409">
        <v>7</v>
      </c>
      <c r="H409">
        <v>0</v>
      </c>
      <c r="I409" s="5">
        <f>IFERROR(VLOOKUP(TrendSheetStgData[Population]&amp;TrendSheetStgData[Cost Basis]&amp;TrendSheetStgData[Period]&amp;TrendSheetStgData[Trend],TrendSheetPrdData[#All],9,FALSE),0)</f>
        <v>0</v>
      </c>
      <c r="J4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9" s="5">
        <f>VLOOKUP(TrendSheetStgData[Population]&amp;TrendSheetStgData[Trend],Threshold[#All],4,FALSE)</f>
        <v>10</v>
      </c>
      <c r="L409" s="5">
        <f>VLOOKUP(TrendSheetStgData[Population]&amp;TrendSheetStgData[Trend],Threshold[#All],5,FALSE)</f>
        <v>5</v>
      </c>
      <c r="M4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0" spans="1:13" x14ac:dyDescent="0.25">
      <c r="A410" t="s">
        <v>90</v>
      </c>
      <c r="B410" t="s">
        <v>90</v>
      </c>
      <c r="C410" t="s">
        <v>78</v>
      </c>
      <c r="D410" s="1" t="s">
        <v>95</v>
      </c>
      <c r="E410" t="s">
        <v>93</v>
      </c>
      <c r="F410" t="s">
        <v>18</v>
      </c>
      <c r="G410">
        <v>7</v>
      </c>
      <c r="H410">
        <v>1</v>
      </c>
      <c r="I410" s="5">
        <f>IFERROR(VLOOKUP(TrendSheetStgData[Population]&amp;TrendSheetStgData[Cost Basis]&amp;TrendSheetStgData[Period]&amp;TrendSheetStgData[Trend],TrendSheetPrdData[#All],9,FALSE),0)</f>
        <v>1</v>
      </c>
      <c r="J4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0" s="5">
        <f>VLOOKUP(TrendSheetStgData[Population]&amp;TrendSheetStgData[Trend],Threshold[#All],4,FALSE)</f>
        <v>10</v>
      </c>
      <c r="L410" s="5">
        <f>VLOOKUP(TrendSheetStgData[Population]&amp;TrendSheetStgData[Trend],Threshold[#All],5,FALSE)</f>
        <v>5</v>
      </c>
      <c r="M4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1" spans="1:13" x14ac:dyDescent="0.25">
      <c r="A411" t="s">
        <v>90</v>
      </c>
      <c r="B411" t="s">
        <v>90</v>
      </c>
      <c r="C411" t="s">
        <v>78</v>
      </c>
      <c r="D411" s="1" t="s">
        <v>96</v>
      </c>
      <c r="E411" t="s">
        <v>93</v>
      </c>
      <c r="F411" t="s">
        <v>18</v>
      </c>
      <c r="G411">
        <v>7</v>
      </c>
      <c r="H411">
        <v>0</v>
      </c>
      <c r="I411" s="5">
        <f>IFERROR(VLOOKUP(TrendSheetStgData[Population]&amp;TrendSheetStgData[Cost Basis]&amp;TrendSheetStgData[Period]&amp;TrendSheetStgData[Trend],TrendSheetPrdData[#All],9,FALSE),0)</f>
        <v>0</v>
      </c>
      <c r="J4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1" s="5">
        <f>VLOOKUP(TrendSheetStgData[Population]&amp;TrendSheetStgData[Trend],Threshold[#All],4,FALSE)</f>
        <v>10</v>
      </c>
      <c r="L411" s="5">
        <f>VLOOKUP(TrendSheetStgData[Population]&amp;TrendSheetStgData[Trend],Threshold[#All],5,FALSE)</f>
        <v>5</v>
      </c>
      <c r="M4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2" spans="1:13" x14ac:dyDescent="0.25">
      <c r="A412" t="s">
        <v>90</v>
      </c>
      <c r="B412" t="s">
        <v>90</v>
      </c>
      <c r="C412" t="s">
        <v>78</v>
      </c>
      <c r="D412" s="1" t="s">
        <v>97</v>
      </c>
      <c r="E412" t="s">
        <v>93</v>
      </c>
      <c r="F412" t="s">
        <v>18</v>
      </c>
      <c r="G412">
        <v>7</v>
      </c>
      <c r="H412">
        <v>0</v>
      </c>
      <c r="I412" s="5">
        <f>IFERROR(VLOOKUP(TrendSheetStgData[Population]&amp;TrendSheetStgData[Cost Basis]&amp;TrendSheetStgData[Period]&amp;TrendSheetStgData[Trend],TrendSheetPrdData[#All],9,FALSE),0)</f>
        <v>0</v>
      </c>
      <c r="J4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2" s="5">
        <f>VLOOKUP(TrendSheetStgData[Population]&amp;TrendSheetStgData[Trend],Threshold[#All],4,FALSE)</f>
        <v>10</v>
      </c>
      <c r="L412" s="5">
        <f>VLOOKUP(TrendSheetStgData[Population]&amp;TrendSheetStgData[Trend],Threshold[#All],5,FALSE)</f>
        <v>5</v>
      </c>
      <c r="M4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3" spans="1:13" x14ac:dyDescent="0.25">
      <c r="A413" t="s">
        <v>90</v>
      </c>
      <c r="B413" t="s">
        <v>90</v>
      </c>
      <c r="C413" t="s">
        <v>78</v>
      </c>
      <c r="D413" s="1" t="s">
        <v>98</v>
      </c>
      <c r="E413" t="s">
        <v>93</v>
      </c>
      <c r="F413" t="s">
        <v>18</v>
      </c>
      <c r="G413">
        <v>7</v>
      </c>
      <c r="H413">
        <v>1</v>
      </c>
      <c r="I413" s="5">
        <f>IFERROR(VLOOKUP(TrendSheetStgData[Population]&amp;TrendSheetStgData[Cost Basis]&amp;TrendSheetStgData[Period]&amp;TrendSheetStgData[Trend],TrendSheetPrdData[#All],9,FALSE),0)</f>
        <v>1</v>
      </c>
      <c r="J4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3" s="5">
        <f>VLOOKUP(TrendSheetStgData[Population]&amp;TrendSheetStgData[Trend],Threshold[#All],4,FALSE)</f>
        <v>10</v>
      </c>
      <c r="L413" s="5">
        <f>VLOOKUP(TrendSheetStgData[Population]&amp;TrendSheetStgData[Trend],Threshold[#All],5,FALSE)</f>
        <v>5</v>
      </c>
      <c r="M4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4" spans="1:13" x14ac:dyDescent="0.25">
      <c r="A414" t="s">
        <v>90</v>
      </c>
      <c r="B414" t="s">
        <v>90</v>
      </c>
      <c r="C414" t="s">
        <v>78</v>
      </c>
      <c r="D414" s="1" t="s">
        <v>99</v>
      </c>
      <c r="E414" t="s">
        <v>93</v>
      </c>
      <c r="F414" t="s">
        <v>18</v>
      </c>
      <c r="G414">
        <v>7</v>
      </c>
      <c r="H414">
        <v>1</v>
      </c>
      <c r="I414" s="5">
        <f>IFERROR(VLOOKUP(TrendSheetStgData[Population]&amp;TrendSheetStgData[Cost Basis]&amp;TrendSheetStgData[Period]&amp;TrendSheetStgData[Trend],TrendSheetPrdData[#All],9,FALSE),0)</f>
        <v>1</v>
      </c>
      <c r="J4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4" s="5">
        <f>VLOOKUP(TrendSheetStgData[Population]&amp;TrendSheetStgData[Trend],Threshold[#All],4,FALSE)</f>
        <v>10</v>
      </c>
      <c r="L414" s="5">
        <f>VLOOKUP(TrendSheetStgData[Population]&amp;TrendSheetStgData[Trend],Threshold[#All],5,FALSE)</f>
        <v>5</v>
      </c>
      <c r="M4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5" spans="1:13" x14ac:dyDescent="0.25">
      <c r="A415" t="s">
        <v>90</v>
      </c>
      <c r="B415" t="s">
        <v>90</v>
      </c>
      <c r="C415" t="s">
        <v>78</v>
      </c>
      <c r="D415" s="1" t="s">
        <v>100</v>
      </c>
      <c r="E415" t="s">
        <v>93</v>
      </c>
      <c r="F415" t="s">
        <v>18</v>
      </c>
      <c r="G415">
        <v>7</v>
      </c>
      <c r="H415">
        <v>1</v>
      </c>
      <c r="I415" s="5">
        <f>IFERROR(VLOOKUP(TrendSheetStgData[Population]&amp;TrendSheetStgData[Cost Basis]&amp;TrendSheetStgData[Period]&amp;TrendSheetStgData[Trend],TrendSheetPrdData[#All],9,FALSE),0)</f>
        <v>1</v>
      </c>
      <c r="J4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5" s="5">
        <f>VLOOKUP(TrendSheetStgData[Population]&amp;TrendSheetStgData[Trend],Threshold[#All],4,FALSE)</f>
        <v>10</v>
      </c>
      <c r="L415" s="5">
        <f>VLOOKUP(TrendSheetStgData[Population]&amp;TrendSheetStgData[Trend],Threshold[#All],5,FALSE)</f>
        <v>5</v>
      </c>
      <c r="M4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6" spans="1:13" x14ac:dyDescent="0.25">
      <c r="A416" t="s">
        <v>90</v>
      </c>
      <c r="B416" t="s">
        <v>90</v>
      </c>
      <c r="C416" t="s">
        <v>78</v>
      </c>
      <c r="D416" s="1" t="s">
        <v>101</v>
      </c>
      <c r="E416" t="s">
        <v>93</v>
      </c>
      <c r="F416" t="s">
        <v>18</v>
      </c>
      <c r="G416">
        <v>7</v>
      </c>
      <c r="H416">
        <v>2</v>
      </c>
      <c r="I416" s="5">
        <f>IFERROR(VLOOKUP(TrendSheetStgData[Population]&amp;TrendSheetStgData[Cost Basis]&amp;TrendSheetStgData[Period]&amp;TrendSheetStgData[Trend],TrendSheetPrdData[#All],9,FALSE),0)</f>
        <v>2</v>
      </c>
      <c r="J4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6" s="5">
        <f>VLOOKUP(TrendSheetStgData[Population]&amp;TrendSheetStgData[Trend],Threshold[#All],4,FALSE)</f>
        <v>10</v>
      </c>
      <c r="L416" s="5">
        <f>VLOOKUP(TrendSheetStgData[Population]&amp;TrendSheetStgData[Trend],Threshold[#All],5,FALSE)</f>
        <v>5</v>
      </c>
      <c r="M4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7" spans="1:13" x14ac:dyDescent="0.25">
      <c r="A417" t="s">
        <v>90</v>
      </c>
      <c r="B417" t="s">
        <v>90</v>
      </c>
      <c r="C417" t="s">
        <v>78</v>
      </c>
      <c r="D417" s="1" t="s">
        <v>102</v>
      </c>
      <c r="E417" t="s">
        <v>93</v>
      </c>
      <c r="F417" t="s">
        <v>18</v>
      </c>
      <c r="G417">
        <v>7</v>
      </c>
      <c r="H417">
        <v>0</v>
      </c>
      <c r="I417" s="5">
        <f>IFERROR(VLOOKUP(TrendSheetStgData[Population]&amp;TrendSheetStgData[Cost Basis]&amp;TrendSheetStgData[Period]&amp;TrendSheetStgData[Trend],TrendSheetPrdData[#All],9,FALSE),0)</f>
        <v>0</v>
      </c>
      <c r="J4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7" s="5">
        <f>VLOOKUP(TrendSheetStgData[Population]&amp;TrendSheetStgData[Trend],Threshold[#All],4,FALSE)</f>
        <v>10</v>
      </c>
      <c r="L417" s="5">
        <f>VLOOKUP(TrendSheetStgData[Population]&amp;TrendSheetStgData[Trend],Threshold[#All],5,FALSE)</f>
        <v>5</v>
      </c>
      <c r="M4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8" spans="1:13" x14ac:dyDescent="0.25">
      <c r="A418" t="s">
        <v>90</v>
      </c>
      <c r="B418" t="s">
        <v>90</v>
      </c>
      <c r="C418" t="s">
        <v>78</v>
      </c>
      <c r="D418" s="1" t="s">
        <v>103</v>
      </c>
      <c r="E418" t="s">
        <v>93</v>
      </c>
      <c r="F418" t="s">
        <v>18</v>
      </c>
      <c r="G418">
        <v>7</v>
      </c>
      <c r="H418">
        <v>2</v>
      </c>
      <c r="I418" s="5">
        <f>IFERROR(VLOOKUP(TrendSheetStgData[Population]&amp;TrendSheetStgData[Cost Basis]&amp;TrendSheetStgData[Period]&amp;TrendSheetStgData[Trend],TrendSheetPrdData[#All],9,FALSE),0)</f>
        <v>2</v>
      </c>
      <c r="J4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8" s="5">
        <f>VLOOKUP(TrendSheetStgData[Population]&amp;TrendSheetStgData[Trend],Threshold[#All],4,FALSE)</f>
        <v>10</v>
      </c>
      <c r="L418" s="5">
        <f>VLOOKUP(TrendSheetStgData[Population]&amp;TrendSheetStgData[Trend],Threshold[#All],5,FALSE)</f>
        <v>5</v>
      </c>
      <c r="M4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9" spans="1:13" x14ac:dyDescent="0.25">
      <c r="A419" t="s">
        <v>90</v>
      </c>
      <c r="B419" t="s">
        <v>90</v>
      </c>
      <c r="C419" t="s">
        <v>78</v>
      </c>
      <c r="D419" s="1" t="s">
        <v>104</v>
      </c>
      <c r="E419" t="s">
        <v>93</v>
      </c>
      <c r="F419" t="s">
        <v>18</v>
      </c>
      <c r="G419">
        <v>7</v>
      </c>
      <c r="H419">
        <v>0</v>
      </c>
      <c r="I419" s="5">
        <f>IFERROR(VLOOKUP(TrendSheetStgData[Population]&amp;TrendSheetStgData[Cost Basis]&amp;TrendSheetStgData[Period]&amp;TrendSheetStgData[Trend],TrendSheetPrdData[#All],9,FALSE),0)</f>
        <v>0</v>
      </c>
      <c r="J4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9" s="5">
        <f>VLOOKUP(TrendSheetStgData[Population]&amp;TrendSheetStgData[Trend],Threshold[#All],4,FALSE)</f>
        <v>10</v>
      </c>
      <c r="L419" s="5">
        <f>VLOOKUP(TrendSheetStgData[Population]&amp;TrendSheetStgData[Trend],Threshold[#All],5,FALSE)</f>
        <v>5</v>
      </c>
      <c r="M4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0" spans="1:13" x14ac:dyDescent="0.25">
      <c r="A420" t="s">
        <v>90</v>
      </c>
      <c r="B420" t="s">
        <v>90</v>
      </c>
      <c r="C420" t="s">
        <v>78</v>
      </c>
      <c r="D420" s="1" t="s">
        <v>105</v>
      </c>
      <c r="E420" t="s">
        <v>106</v>
      </c>
      <c r="F420" t="s">
        <v>18</v>
      </c>
      <c r="G420">
        <v>7</v>
      </c>
      <c r="H420">
        <v>0</v>
      </c>
      <c r="I420" s="5">
        <f>IFERROR(VLOOKUP(TrendSheetStgData[Population]&amp;TrendSheetStgData[Cost Basis]&amp;TrendSheetStgData[Period]&amp;TrendSheetStgData[Trend],TrendSheetPrdData[#All],9,FALSE),0)</f>
        <v>0</v>
      </c>
      <c r="J4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0" s="5">
        <f>VLOOKUP(TrendSheetStgData[Population]&amp;TrendSheetStgData[Trend],Threshold[#All],4,FALSE)</f>
        <v>10</v>
      </c>
      <c r="L420" s="5">
        <f>VLOOKUP(TrendSheetStgData[Population]&amp;TrendSheetStgData[Trend],Threshold[#All],5,FALSE)</f>
        <v>5</v>
      </c>
      <c r="M4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1" spans="1:13" x14ac:dyDescent="0.25">
      <c r="A421" t="s">
        <v>90</v>
      </c>
      <c r="B421" t="s">
        <v>90</v>
      </c>
      <c r="C421" t="s">
        <v>78</v>
      </c>
      <c r="D421" s="1" t="s">
        <v>107</v>
      </c>
      <c r="E421" t="s">
        <v>106</v>
      </c>
      <c r="F421" t="s">
        <v>18</v>
      </c>
      <c r="G421">
        <v>7</v>
      </c>
      <c r="H421">
        <v>0</v>
      </c>
      <c r="I421" s="5">
        <f>IFERROR(VLOOKUP(TrendSheetStgData[Population]&amp;TrendSheetStgData[Cost Basis]&amp;TrendSheetStgData[Period]&amp;TrendSheetStgData[Trend],TrendSheetPrdData[#All],9,FALSE),0)</f>
        <v>0</v>
      </c>
      <c r="J4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1" s="5">
        <f>VLOOKUP(TrendSheetStgData[Population]&amp;TrendSheetStgData[Trend],Threshold[#All],4,FALSE)</f>
        <v>10</v>
      </c>
      <c r="L421" s="5">
        <f>VLOOKUP(TrendSheetStgData[Population]&amp;TrendSheetStgData[Trend],Threshold[#All],5,FALSE)</f>
        <v>5</v>
      </c>
      <c r="M4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2" spans="1:13" x14ac:dyDescent="0.25">
      <c r="A422" t="s">
        <v>90</v>
      </c>
      <c r="B422" t="s">
        <v>90</v>
      </c>
      <c r="C422" t="s">
        <v>78</v>
      </c>
      <c r="D422" s="1" t="s">
        <v>92</v>
      </c>
      <c r="E422" t="s">
        <v>93</v>
      </c>
      <c r="F422" t="s">
        <v>19</v>
      </c>
      <c r="G422">
        <v>8</v>
      </c>
      <c r="H422">
        <v>58718.21</v>
      </c>
      <c r="I422" s="5">
        <f>IFERROR(VLOOKUP(TrendSheetStgData[Population]&amp;TrendSheetStgData[Cost Basis]&amp;TrendSheetStgData[Period]&amp;TrendSheetStgData[Trend],TrendSheetPrdData[#All],9,FALSE),0)</f>
        <v>58718.21</v>
      </c>
      <c r="J4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2" s="5">
        <f>VLOOKUP(TrendSheetStgData[Population]&amp;TrendSheetStgData[Trend],Threshold[#All],4,FALSE)</f>
        <v>10</v>
      </c>
      <c r="L422" s="5">
        <f>VLOOKUP(TrendSheetStgData[Population]&amp;TrendSheetStgData[Trend],Threshold[#All],5,FALSE)</f>
        <v>5</v>
      </c>
      <c r="M4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3" spans="1:13" x14ac:dyDescent="0.25">
      <c r="A423" t="s">
        <v>90</v>
      </c>
      <c r="B423" t="s">
        <v>90</v>
      </c>
      <c r="C423" t="s">
        <v>78</v>
      </c>
      <c r="D423" s="1" t="s">
        <v>94</v>
      </c>
      <c r="E423" t="s">
        <v>93</v>
      </c>
      <c r="F423" t="s">
        <v>19</v>
      </c>
      <c r="G423">
        <v>8</v>
      </c>
      <c r="H423">
        <v>53830.95</v>
      </c>
      <c r="I423" s="5">
        <f>IFERROR(VLOOKUP(TrendSheetStgData[Population]&amp;TrendSheetStgData[Cost Basis]&amp;TrendSheetStgData[Period]&amp;TrendSheetStgData[Trend],TrendSheetPrdData[#All],9,FALSE),0)</f>
        <v>53830.95</v>
      </c>
      <c r="J4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3" s="5">
        <f>VLOOKUP(TrendSheetStgData[Population]&amp;TrendSheetStgData[Trend],Threshold[#All],4,FALSE)</f>
        <v>10</v>
      </c>
      <c r="L423" s="5">
        <f>VLOOKUP(TrendSheetStgData[Population]&amp;TrendSheetStgData[Trend],Threshold[#All],5,FALSE)</f>
        <v>5</v>
      </c>
      <c r="M4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4" spans="1:13" x14ac:dyDescent="0.25">
      <c r="A424" t="s">
        <v>90</v>
      </c>
      <c r="B424" t="s">
        <v>90</v>
      </c>
      <c r="C424" t="s">
        <v>78</v>
      </c>
      <c r="D424" s="1" t="s">
        <v>95</v>
      </c>
      <c r="E424" t="s">
        <v>93</v>
      </c>
      <c r="F424" t="s">
        <v>19</v>
      </c>
      <c r="G424">
        <v>8</v>
      </c>
      <c r="H424">
        <v>45684.71</v>
      </c>
      <c r="I424" s="5">
        <f>IFERROR(VLOOKUP(TrendSheetStgData[Population]&amp;TrendSheetStgData[Cost Basis]&amp;TrendSheetStgData[Period]&amp;TrendSheetStgData[Trend],TrendSheetPrdData[#All],9,FALSE),0)</f>
        <v>45684.71</v>
      </c>
      <c r="J4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4" s="5">
        <f>VLOOKUP(TrendSheetStgData[Population]&amp;TrendSheetStgData[Trend],Threshold[#All],4,FALSE)</f>
        <v>10</v>
      </c>
      <c r="L424" s="5">
        <f>VLOOKUP(TrendSheetStgData[Population]&amp;TrendSheetStgData[Trend],Threshold[#All],5,FALSE)</f>
        <v>5</v>
      </c>
      <c r="M4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5" spans="1:13" x14ac:dyDescent="0.25">
      <c r="A425" t="s">
        <v>90</v>
      </c>
      <c r="B425" t="s">
        <v>90</v>
      </c>
      <c r="C425" t="s">
        <v>78</v>
      </c>
      <c r="D425" s="1" t="s">
        <v>96</v>
      </c>
      <c r="E425" t="s">
        <v>93</v>
      </c>
      <c r="F425" t="s">
        <v>19</v>
      </c>
      <c r="G425">
        <v>8</v>
      </c>
      <c r="H425">
        <v>38034.33</v>
      </c>
      <c r="I425" s="5">
        <f>IFERROR(VLOOKUP(TrendSheetStgData[Population]&amp;TrendSheetStgData[Cost Basis]&amp;TrendSheetStgData[Period]&amp;TrendSheetStgData[Trend],TrendSheetPrdData[#All],9,FALSE),0)</f>
        <v>38034.33</v>
      </c>
      <c r="J4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5" s="5">
        <f>VLOOKUP(TrendSheetStgData[Population]&amp;TrendSheetStgData[Trend],Threshold[#All],4,FALSE)</f>
        <v>10</v>
      </c>
      <c r="L425" s="5">
        <f>VLOOKUP(TrendSheetStgData[Population]&amp;TrendSheetStgData[Trend],Threshold[#All],5,FALSE)</f>
        <v>5</v>
      </c>
      <c r="M4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6" spans="1:13" x14ac:dyDescent="0.25">
      <c r="A426" t="s">
        <v>90</v>
      </c>
      <c r="B426" t="s">
        <v>90</v>
      </c>
      <c r="C426" t="s">
        <v>78</v>
      </c>
      <c r="D426" s="1" t="s">
        <v>97</v>
      </c>
      <c r="E426" t="s">
        <v>93</v>
      </c>
      <c r="F426" t="s">
        <v>19</v>
      </c>
      <c r="G426">
        <v>8</v>
      </c>
      <c r="H426">
        <v>67280.34</v>
      </c>
      <c r="I426" s="5">
        <f>IFERROR(VLOOKUP(TrendSheetStgData[Population]&amp;TrendSheetStgData[Cost Basis]&amp;TrendSheetStgData[Period]&amp;TrendSheetStgData[Trend],TrendSheetPrdData[#All],9,FALSE),0)</f>
        <v>67280.34</v>
      </c>
      <c r="J4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6" s="5">
        <f>VLOOKUP(TrendSheetStgData[Population]&amp;TrendSheetStgData[Trend],Threshold[#All],4,FALSE)</f>
        <v>10</v>
      </c>
      <c r="L426" s="5">
        <f>VLOOKUP(TrendSheetStgData[Population]&amp;TrendSheetStgData[Trend],Threshold[#All],5,FALSE)</f>
        <v>5</v>
      </c>
      <c r="M4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7" spans="1:13" x14ac:dyDescent="0.25">
      <c r="A427" t="s">
        <v>90</v>
      </c>
      <c r="B427" t="s">
        <v>90</v>
      </c>
      <c r="C427" t="s">
        <v>78</v>
      </c>
      <c r="D427" s="1" t="s">
        <v>98</v>
      </c>
      <c r="E427" t="s">
        <v>93</v>
      </c>
      <c r="F427" t="s">
        <v>19</v>
      </c>
      <c r="G427">
        <v>8</v>
      </c>
      <c r="H427">
        <v>47856.5</v>
      </c>
      <c r="I427" s="5">
        <f>IFERROR(VLOOKUP(TrendSheetStgData[Population]&amp;TrendSheetStgData[Cost Basis]&amp;TrendSheetStgData[Period]&amp;TrendSheetStgData[Trend],TrendSheetPrdData[#All],9,FALSE),0)</f>
        <v>47521.87</v>
      </c>
      <c r="J4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0.70416000043768767</v>
      </c>
      <c r="K427" s="5">
        <f>VLOOKUP(TrendSheetStgData[Population]&amp;TrendSheetStgData[Trend],Threshold[#All],4,FALSE)</f>
        <v>10</v>
      </c>
      <c r="L427" s="5">
        <f>VLOOKUP(TrendSheetStgData[Population]&amp;TrendSheetStgData[Trend],Threshold[#All],5,FALSE)</f>
        <v>5</v>
      </c>
      <c r="M4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8" spans="1:13" x14ac:dyDescent="0.25">
      <c r="A428" t="s">
        <v>90</v>
      </c>
      <c r="B428" t="s">
        <v>90</v>
      </c>
      <c r="C428" t="s">
        <v>78</v>
      </c>
      <c r="D428" s="1" t="s">
        <v>99</v>
      </c>
      <c r="E428" t="s">
        <v>93</v>
      </c>
      <c r="F428" t="s">
        <v>19</v>
      </c>
      <c r="G428">
        <v>8</v>
      </c>
      <c r="H428">
        <v>64634.76</v>
      </c>
      <c r="I428" s="5">
        <f>IFERROR(VLOOKUP(TrendSheetStgData[Population]&amp;TrendSheetStgData[Cost Basis]&amp;TrendSheetStgData[Period]&amp;TrendSheetStgData[Trend],TrendSheetPrdData[#All],9,FALSE),0)</f>
        <v>64634.76</v>
      </c>
      <c r="J4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8" s="5">
        <f>VLOOKUP(TrendSheetStgData[Population]&amp;TrendSheetStgData[Trend],Threshold[#All],4,FALSE)</f>
        <v>10</v>
      </c>
      <c r="L428" s="5">
        <f>VLOOKUP(TrendSheetStgData[Population]&amp;TrendSheetStgData[Trend],Threshold[#All],5,FALSE)</f>
        <v>5</v>
      </c>
      <c r="M4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9" spans="1:13" x14ac:dyDescent="0.25">
      <c r="A429" t="s">
        <v>90</v>
      </c>
      <c r="B429" t="s">
        <v>90</v>
      </c>
      <c r="C429" t="s">
        <v>78</v>
      </c>
      <c r="D429" s="1" t="s">
        <v>100</v>
      </c>
      <c r="E429" t="s">
        <v>93</v>
      </c>
      <c r="F429" t="s">
        <v>19</v>
      </c>
      <c r="G429">
        <v>8</v>
      </c>
      <c r="H429">
        <v>72478.720000000001</v>
      </c>
      <c r="I429" s="5">
        <f>IFERROR(VLOOKUP(TrendSheetStgData[Population]&amp;TrendSheetStgData[Cost Basis]&amp;TrendSheetStgData[Period]&amp;TrendSheetStgData[Trend],TrendSheetPrdData[#All],9,FALSE),0)</f>
        <v>71883.070000000007</v>
      </c>
      <c r="J4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0.82863739681679449</v>
      </c>
      <c r="K429" s="5">
        <f>VLOOKUP(TrendSheetStgData[Population]&amp;TrendSheetStgData[Trend],Threshold[#All],4,FALSE)</f>
        <v>10</v>
      </c>
      <c r="L429" s="5">
        <f>VLOOKUP(TrendSheetStgData[Population]&amp;TrendSheetStgData[Trend],Threshold[#All],5,FALSE)</f>
        <v>5</v>
      </c>
      <c r="M4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0" spans="1:13" x14ac:dyDescent="0.25">
      <c r="A430" t="s">
        <v>90</v>
      </c>
      <c r="B430" t="s">
        <v>90</v>
      </c>
      <c r="C430" t="s">
        <v>78</v>
      </c>
      <c r="D430" s="1" t="s">
        <v>101</v>
      </c>
      <c r="E430" t="s">
        <v>93</v>
      </c>
      <c r="F430" t="s">
        <v>19</v>
      </c>
      <c r="G430">
        <v>8</v>
      </c>
      <c r="H430">
        <v>89186.03</v>
      </c>
      <c r="I430" s="5">
        <f>IFERROR(VLOOKUP(TrendSheetStgData[Population]&amp;TrendSheetStgData[Cost Basis]&amp;TrendSheetStgData[Period]&amp;TrendSheetStgData[Trend],TrendSheetPrdData[#All],9,FALSE),0)</f>
        <v>88359.22</v>
      </c>
      <c r="J4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0.93573709681909567</v>
      </c>
      <c r="K430" s="5">
        <f>VLOOKUP(TrendSheetStgData[Population]&amp;TrendSheetStgData[Trend],Threshold[#All],4,FALSE)</f>
        <v>10</v>
      </c>
      <c r="L430" s="5">
        <f>VLOOKUP(TrendSheetStgData[Population]&amp;TrendSheetStgData[Trend],Threshold[#All],5,FALSE)</f>
        <v>5</v>
      </c>
      <c r="M4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1" spans="1:13" x14ac:dyDescent="0.25">
      <c r="A431" t="s">
        <v>90</v>
      </c>
      <c r="B431" t="s">
        <v>90</v>
      </c>
      <c r="C431" t="s">
        <v>78</v>
      </c>
      <c r="D431" s="1" t="s">
        <v>102</v>
      </c>
      <c r="E431" t="s">
        <v>93</v>
      </c>
      <c r="F431" t="s">
        <v>19</v>
      </c>
      <c r="G431">
        <v>8</v>
      </c>
      <c r="H431">
        <v>38218.06</v>
      </c>
      <c r="I431" s="5">
        <f>IFERROR(VLOOKUP(TrendSheetStgData[Population]&amp;TrendSheetStgData[Cost Basis]&amp;TrendSheetStgData[Period]&amp;TrendSheetStgData[Trend],TrendSheetPrdData[#All],9,FALSE),0)</f>
        <v>35704.78</v>
      </c>
      <c r="J4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7.0390575155483361</v>
      </c>
      <c r="K431" s="5">
        <f>VLOOKUP(TrendSheetStgData[Population]&amp;TrendSheetStgData[Trend],Threshold[#All],4,FALSE)</f>
        <v>10</v>
      </c>
      <c r="L431" s="5">
        <f>VLOOKUP(TrendSheetStgData[Population]&amp;TrendSheetStgData[Trend],Threshold[#All],5,FALSE)</f>
        <v>5</v>
      </c>
      <c r="M4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32" spans="1:13" x14ac:dyDescent="0.25">
      <c r="A432" t="s">
        <v>90</v>
      </c>
      <c r="B432" t="s">
        <v>90</v>
      </c>
      <c r="C432" t="s">
        <v>78</v>
      </c>
      <c r="D432" s="1" t="s">
        <v>103</v>
      </c>
      <c r="E432" t="s">
        <v>93</v>
      </c>
      <c r="F432" t="s">
        <v>19</v>
      </c>
      <c r="G432">
        <v>8</v>
      </c>
      <c r="H432">
        <v>49482.81</v>
      </c>
      <c r="I432" s="5">
        <f>IFERROR(VLOOKUP(TrendSheetStgData[Population]&amp;TrendSheetStgData[Cost Basis]&amp;TrendSheetStgData[Period]&amp;TrendSheetStgData[Trend],TrendSheetPrdData[#All],9,FALSE),0)</f>
        <v>48656</v>
      </c>
      <c r="J4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1.6992971062150561</v>
      </c>
      <c r="K432" s="5">
        <f>VLOOKUP(TrendSheetStgData[Population]&amp;TrendSheetStgData[Trend],Threshold[#All],4,FALSE)</f>
        <v>10</v>
      </c>
      <c r="L432" s="5">
        <f>VLOOKUP(TrendSheetStgData[Population]&amp;TrendSheetStgData[Trend],Threshold[#All],5,FALSE)</f>
        <v>5</v>
      </c>
      <c r="M4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3" spans="1:13" x14ac:dyDescent="0.25">
      <c r="A433" t="s">
        <v>90</v>
      </c>
      <c r="B433" t="s">
        <v>90</v>
      </c>
      <c r="C433" t="s">
        <v>78</v>
      </c>
      <c r="D433" s="1" t="s">
        <v>104</v>
      </c>
      <c r="E433" t="s">
        <v>93</v>
      </c>
      <c r="F433" t="s">
        <v>19</v>
      </c>
      <c r="G433">
        <v>8</v>
      </c>
      <c r="H433">
        <v>49618.62</v>
      </c>
      <c r="I433" s="5">
        <f>IFERROR(VLOOKUP(TrendSheetStgData[Population]&amp;TrendSheetStgData[Cost Basis]&amp;TrendSheetStgData[Period]&amp;TrendSheetStgData[Trend],TrendSheetPrdData[#All],9,FALSE),0)</f>
        <v>45569.83</v>
      </c>
      <c r="J4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8.8848038274446068</v>
      </c>
      <c r="K433" s="5">
        <f>VLOOKUP(TrendSheetStgData[Population]&amp;TrendSheetStgData[Trend],Threshold[#All],4,FALSE)</f>
        <v>10</v>
      </c>
      <c r="L433" s="5">
        <f>VLOOKUP(TrendSheetStgData[Population]&amp;TrendSheetStgData[Trend],Threshold[#All],5,FALSE)</f>
        <v>5</v>
      </c>
      <c r="M4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34" spans="1:13" x14ac:dyDescent="0.25">
      <c r="A434" t="s">
        <v>90</v>
      </c>
      <c r="B434" t="s">
        <v>90</v>
      </c>
      <c r="C434" t="s">
        <v>78</v>
      </c>
      <c r="D434" s="1" t="s">
        <v>105</v>
      </c>
      <c r="E434" t="s">
        <v>106</v>
      </c>
      <c r="F434" t="s">
        <v>19</v>
      </c>
      <c r="G434">
        <v>8</v>
      </c>
      <c r="H434">
        <v>35214.660000000003</v>
      </c>
      <c r="I434" s="5">
        <f>IFERROR(VLOOKUP(TrendSheetStgData[Population]&amp;TrendSheetStgData[Cost Basis]&amp;TrendSheetStgData[Period]&amp;TrendSheetStgData[Trend],TrendSheetPrdData[#All],9,FALSE),0)</f>
        <v>13645.62</v>
      </c>
      <c r="J4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158.06566502657995</v>
      </c>
      <c r="K434" s="5">
        <f>VLOOKUP(TrendSheetStgData[Population]&amp;TrendSheetStgData[Trend],Threshold[#All],4,FALSE)</f>
        <v>10</v>
      </c>
      <c r="L434" s="5">
        <f>VLOOKUP(TrendSheetStgData[Population]&amp;TrendSheetStgData[Trend],Threshold[#All],5,FALSE)</f>
        <v>5</v>
      </c>
      <c r="M4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5" spans="1:13" x14ac:dyDescent="0.25">
      <c r="A435" t="s">
        <v>90</v>
      </c>
      <c r="B435" t="s">
        <v>90</v>
      </c>
      <c r="C435" t="s">
        <v>78</v>
      </c>
      <c r="D435" s="1" t="s">
        <v>107</v>
      </c>
      <c r="E435" t="s">
        <v>106</v>
      </c>
      <c r="F435" t="s">
        <v>19</v>
      </c>
      <c r="G435">
        <v>8</v>
      </c>
      <c r="H435">
        <v>20087.099999999999</v>
      </c>
      <c r="I435" s="5">
        <f>IFERROR(VLOOKUP(TrendSheetStgData[Population]&amp;TrendSheetStgData[Cost Basis]&amp;TrendSheetStgData[Period]&amp;TrendSheetStgData[Trend],TrendSheetPrdData[#All],9,FALSE),0)</f>
        <v>0</v>
      </c>
      <c r="J4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35" s="5">
        <f>VLOOKUP(TrendSheetStgData[Population]&amp;TrendSheetStgData[Trend],Threshold[#All],4,FALSE)</f>
        <v>10</v>
      </c>
      <c r="L435" s="5">
        <f>VLOOKUP(TrendSheetStgData[Population]&amp;TrendSheetStgData[Trend],Threshold[#All],5,FALSE)</f>
        <v>5</v>
      </c>
      <c r="M4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6" spans="1:13" x14ac:dyDescent="0.25">
      <c r="A436" t="s">
        <v>90</v>
      </c>
      <c r="B436" t="s">
        <v>90</v>
      </c>
      <c r="C436" t="s">
        <v>78</v>
      </c>
      <c r="D436" s="1" t="s">
        <v>92</v>
      </c>
      <c r="E436" t="s">
        <v>93</v>
      </c>
      <c r="F436" t="s">
        <v>20</v>
      </c>
      <c r="G436">
        <v>9</v>
      </c>
      <c r="H436">
        <v>36</v>
      </c>
      <c r="I436" s="5">
        <f>IFERROR(VLOOKUP(TrendSheetStgData[Population]&amp;TrendSheetStgData[Cost Basis]&amp;TrendSheetStgData[Period]&amp;TrendSheetStgData[Trend],TrendSheetPrdData[#All],9,FALSE),0)</f>
        <v>36</v>
      </c>
      <c r="J4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6" s="5">
        <f>VLOOKUP(TrendSheetStgData[Population]&amp;TrendSheetStgData[Trend],Threshold[#All],4,FALSE)</f>
        <v>10</v>
      </c>
      <c r="L436" s="5">
        <f>VLOOKUP(TrendSheetStgData[Population]&amp;TrendSheetStgData[Trend],Threshold[#All],5,FALSE)</f>
        <v>5</v>
      </c>
      <c r="M4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7" spans="1:13" x14ac:dyDescent="0.25">
      <c r="A437" t="s">
        <v>90</v>
      </c>
      <c r="B437" t="s">
        <v>90</v>
      </c>
      <c r="C437" t="s">
        <v>78</v>
      </c>
      <c r="D437" s="1" t="s">
        <v>94</v>
      </c>
      <c r="E437" t="s">
        <v>93</v>
      </c>
      <c r="F437" t="s">
        <v>20</v>
      </c>
      <c r="G437">
        <v>9</v>
      </c>
      <c r="H437">
        <v>38</v>
      </c>
      <c r="I437" s="5">
        <f>IFERROR(VLOOKUP(TrendSheetStgData[Population]&amp;TrendSheetStgData[Cost Basis]&amp;TrendSheetStgData[Period]&amp;TrendSheetStgData[Trend],TrendSheetPrdData[#All],9,FALSE),0)</f>
        <v>38</v>
      </c>
      <c r="J4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7" s="5">
        <f>VLOOKUP(TrendSheetStgData[Population]&amp;TrendSheetStgData[Trend],Threshold[#All],4,FALSE)</f>
        <v>10</v>
      </c>
      <c r="L437" s="5">
        <f>VLOOKUP(TrendSheetStgData[Population]&amp;TrendSheetStgData[Trend],Threshold[#All],5,FALSE)</f>
        <v>5</v>
      </c>
      <c r="M4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8" spans="1:13" x14ac:dyDescent="0.25">
      <c r="A438" t="s">
        <v>90</v>
      </c>
      <c r="B438" t="s">
        <v>90</v>
      </c>
      <c r="C438" t="s">
        <v>78</v>
      </c>
      <c r="D438" s="1" t="s">
        <v>95</v>
      </c>
      <c r="E438" t="s">
        <v>93</v>
      </c>
      <c r="F438" t="s">
        <v>20</v>
      </c>
      <c r="G438">
        <v>9</v>
      </c>
      <c r="H438">
        <v>32</v>
      </c>
      <c r="I438" s="5">
        <f>IFERROR(VLOOKUP(TrendSheetStgData[Population]&amp;TrendSheetStgData[Cost Basis]&amp;TrendSheetStgData[Period]&amp;TrendSheetStgData[Trend],TrendSheetPrdData[#All],9,FALSE),0)</f>
        <v>32</v>
      </c>
      <c r="J4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8" s="5">
        <f>VLOOKUP(TrendSheetStgData[Population]&amp;TrendSheetStgData[Trend],Threshold[#All],4,FALSE)</f>
        <v>10</v>
      </c>
      <c r="L438" s="5">
        <f>VLOOKUP(TrendSheetStgData[Population]&amp;TrendSheetStgData[Trend],Threshold[#All],5,FALSE)</f>
        <v>5</v>
      </c>
      <c r="M4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9" spans="1:13" x14ac:dyDescent="0.25">
      <c r="A439" t="s">
        <v>90</v>
      </c>
      <c r="B439" t="s">
        <v>90</v>
      </c>
      <c r="C439" t="s">
        <v>78</v>
      </c>
      <c r="D439" s="1" t="s">
        <v>96</v>
      </c>
      <c r="E439" t="s">
        <v>93</v>
      </c>
      <c r="F439" t="s">
        <v>20</v>
      </c>
      <c r="G439">
        <v>9</v>
      </c>
      <c r="H439">
        <v>32</v>
      </c>
      <c r="I439" s="5">
        <f>IFERROR(VLOOKUP(TrendSheetStgData[Population]&amp;TrendSheetStgData[Cost Basis]&amp;TrendSheetStgData[Period]&amp;TrendSheetStgData[Trend],TrendSheetPrdData[#All],9,FALSE),0)</f>
        <v>32</v>
      </c>
      <c r="J4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9" s="5">
        <f>VLOOKUP(TrendSheetStgData[Population]&amp;TrendSheetStgData[Trend],Threshold[#All],4,FALSE)</f>
        <v>10</v>
      </c>
      <c r="L439" s="5">
        <f>VLOOKUP(TrendSheetStgData[Population]&amp;TrendSheetStgData[Trend],Threshold[#All],5,FALSE)</f>
        <v>5</v>
      </c>
      <c r="M4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0" spans="1:13" x14ac:dyDescent="0.25">
      <c r="A440" t="s">
        <v>90</v>
      </c>
      <c r="B440" t="s">
        <v>90</v>
      </c>
      <c r="C440" t="s">
        <v>78</v>
      </c>
      <c r="D440" s="1" t="s">
        <v>97</v>
      </c>
      <c r="E440" t="s">
        <v>93</v>
      </c>
      <c r="F440" t="s">
        <v>20</v>
      </c>
      <c r="G440">
        <v>9</v>
      </c>
      <c r="H440">
        <v>60</v>
      </c>
      <c r="I440" s="5">
        <f>IFERROR(VLOOKUP(TrendSheetStgData[Population]&amp;TrendSheetStgData[Cost Basis]&amp;TrendSheetStgData[Period]&amp;TrendSheetStgData[Trend],TrendSheetPrdData[#All],9,FALSE),0)</f>
        <v>60</v>
      </c>
      <c r="J4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0" s="5">
        <f>VLOOKUP(TrendSheetStgData[Population]&amp;TrendSheetStgData[Trend],Threshold[#All],4,FALSE)</f>
        <v>10</v>
      </c>
      <c r="L440" s="5">
        <f>VLOOKUP(TrendSheetStgData[Population]&amp;TrendSheetStgData[Trend],Threshold[#All],5,FALSE)</f>
        <v>5</v>
      </c>
      <c r="M4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1" spans="1:13" x14ac:dyDescent="0.25">
      <c r="A441" t="s">
        <v>90</v>
      </c>
      <c r="B441" t="s">
        <v>90</v>
      </c>
      <c r="C441" t="s">
        <v>78</v>
      </c>
      <c r="D441" s="1" t="s">
        <v>98</v>
      </c>
      <c r="E441" t="s">
        <v>93</v>
      </c>
      <c r="F441" t="s">
        <v>20</v>
      </c>
      <c r="G441">
        <v>9</v>
      </c>
      <c r="H441">
        <v>35</v>
      </c>
      <c r="I441" s="5">
        <f>IFERROR(VLOOKUP(TrendSheetStgData[Population]&amp;TrendSheetStgData[Cost Basis]&amp;TrendSheetStgData[Period]&amp;TrendSheetStgData[Trend],TrendSheetPrdData[#All],9,FALSE),0)</f>
        <v>33</v>
      </c>
      <c r="J4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6.0606060606060606</v>
      </c>
      <c r="K441" s="5">
        <f>VLOOKUP(TrendSheetStgData[Population]&amp;TrendSheetStgData[Trend],Threshold[#All],4,FALSE)</f>
        <v>10</v>
      </c>
      <c r="L441" s="5">
        <f>VLOOKUP(TrendSheetStgData[Population]&amp;TrendSheetStgData[Trend],Threshold[#All],5,FALSE)</f>
        <v>5</v>
      </c>
      <c r="M4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42" spans="1:13" x14ac:dyDescent="0.25">
      <c r="A442" t="s">
        <v>90</v>
      </c>
      <c r="B442" t="s">
        <v>90</v>
      </c>
      <c r="C442" t="s">
        <v>78</v>
      </c>
      <c r="D442" s="1" t="s">
        <v>99</v>
      </c>
      <c r="E442" t="s">
        <v>93</v>
      </c>
      <c r="F442" t="s">
        <v>20</v>
      </c>
      <c r="G442">
        <v>9</v>
      </c>
      <c r="H442">
        <v>49</v>
      </c>
      <c r="I442" s="5">
        <f>IFERROR(VLOOKUP(TrendSheetStgData[Population]&amp;TrendSheetStgData[Cost Basis]&amp;TrendSheetStgData[Period]&amp;TrendSheetStgData[Trend],TrendSheetPrdData[#All],9,FALSE),0)</f>
        <v>49</v>
      </c>
      <c r="J4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2" s="5">
        <f>VLOOKUP(TrendSheetStgData[Population]&amp;TrendSheetStgData[Trend],Threshold[#All],4,FALSE)</f>
        <v>10</v>
      </c>
      <c r="L442" s="5">
        <f>VLOOKUP(TrendSheetStgData[Population]&amp;TrendSheetStgData[Trend],Threshold[#All],5,FALSE)</f>
        <v>5</v>
      </c>
      <c r="M4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3" spans="1:13" x14ac:dyDescent="0.25">
      <c r="A443" t="s">
        <v>90</v>
      </c>
      <c r="B443" t="s">
        <v>90</v>
      </c>
      <c r="C443" t="s">
        <v>78</v>
      </c>
      <c r="D443" s="1" t="s">
        <v>100</v>
      </c>
      <c r="E443" t="s">
        <v>93</v>
      </c>
      <c r="F443" t="s">
        <v>20</v>
      </c>
      <c r="G443">
        <v>9</v>
      </c>
      <c r="H443">
        <v>41</v>
      </c>
      <c r="I443" s="5">
        <f>IFERROR(VLOOKUP(TrendSheetStgData[Population]&amp;TrendSheetStgData[Cost Basis]&amp;TrendSheetStgData[Period]&amp;TrendSheetStgData[Trend],TrendSheetPrdData[#All],9,FALSE),0)</f>
        <v>39</v>
      </c>
      <c r="J4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5.1282051282051277</v>
      </c>
      <c r="K443" s="5">
        <f>VLOOKUP(TrendSheetStgData[Population]&amp;TrendSheetStgData[Trend],Threshold[#All],4,FALSE)</f>
        <v>10</v>
      </c>
      <c r="L443" s="5">
        <f>VLOOKUP(TrendSheetStgData[Population]&amp;TrendSheetStgData[Trend],Threshold[#All],5,FALSE)</f>
        <v>5</v>
      </c>
      <c r="M4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44" spans="1:13" x14ac:dyDescent="0.25">
      <c r="A444" t="s">
        <v>90</v>
      </c>
      <c r="B444" t="s">
        <v>90</v>
      </c>
      <c r="C444" t="s">
        <v>78</v>
      </c>
      <c r="D444" s="1" t="s">
        <v>101</v>
      </c>
      <c r="E444" t="s">
        <v>93</v>
      </c>
      <c r="F444" t="s">
        <v>20</v>
      </c>
      <c r="G444">
        <v>9</v>
      </c>
      <c r="H444">
        <v>75</v>
      </c>
      <c r="I444" s="5">
        <f>IFERROR(VLOOKUP(TrendSheetStgData[Population]&amp;TrendSheetStgData[Cost Basis]&amp;TrendSheetStgData[Period]&amp;TrendSheetStgData[Trend],TrendSheetPrdData[#All],9,FALSE),0)</f>
        <v>74</v>
      </c>
      <c r="J4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1.3513513513513513</v>
      </c>
      <c r="K444" s="5">
        <f>VLOOKUP(TrendSheetStgData[Population]&amp;TrendSheetStgData[Trend],Threshold[#All],4,FALSE)</f>
        <v>10</v>
      </c>
      <c r="L444" s="5">
        <f>VLOOKUP(TrendSheetStgData[Population]&amp;TrendSheetStgData[Trend],Threshold[#All],5,FALSE)</f>
        <v>5</v>
      </c>
      <c r="M4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45" spans="1:13" x14ac:dyDescent="0.25">
      <c r="A445" t="s">
        <v>90</v>
      </c>
      <c r="B445" t="s">
        <v>90</v>
      </c>
      <c r="C445" t="s">
        <v>78</v>
      </c>
      <c r="D445" s="1" t="s">
        <v>102</v>
      </c>
      <c r="E445" t="s">
        <v>93</v>
      </c>
      <c r="F445" t="s">
        <v>20</v>
      </c>
      <c r="G445">
        <v>9</v>
      </c>
      <c r="H445">
        <v>39</v>
      </c>
      <c r="I445" s="5">
        <f>IFERROR(VLOOKUP(TrendSheetStgData[Population]&amp;TrendSheetStgData[Cost Basis]&amp;TrendSheetStgData[Period]&amp;TrendSheetStgData[Trend],TrendSheetPrdData[#All],9,FALSE),0)</f>
        <v>35</v>
      </c>
      <c r="J4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11.428571428571429</v>
      </c>
      <c r="K445" s="5">
        <f>VLOOKUP(TrendSheetStgData[Population]&amp;TrendSheetStgData[Trend],Threshold[#All],4,FALSE)</f>
        <v>10</v>
      </c>
      <c r="L445" s="5">
        <f>VLOOKUP(TrendSheetStgData[Population]&amp;TrendSheetStgData[Trend],Threshold[#All],5,FALSE)</f>
        <v>5</v>
      </c>
      <c r="M4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6" spans="1:13" x14ac:dyDescent="0.25">
      <c r="A446" t="s">
        <v>90</v>
      </c>
      <c r="B446" t="s">
        <v>90</v>
      </c>
      <c r="C446" t="s">
        <v>78</v>
      </c>
      <c r="D446" s="1" t="s">
        <v>103</v>
      </c>
      <c r="E446" t="s">
        <v>93</v>
      </c>
      <c r="F446" t="s">
        <v>20</v>
      </c>
      <c r="G446">
        <v>9</v>
      </c>
      <c r="H446">
        <v>45</v>
      </c>
      <c r="I446" s="5">
        <f>IFERROR(VLOOKUP(TrendSheetStgData[Population]&amp;TrendSheetStgData[Cost Basis]&amp;TrendSheetStgData[Period]&amp;TrendSheetStgData[Trend],TrendSheetPrdData[#All],9,FALSE),0)</f>
        <v>43</v>
      </c>
      <c r="J4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4.6511627906976747</v>
      </c>
      <c r="K446" s="5">
        <f>VLOOKUP(TrendSheetStgData[Population]&amp;TrendSheetStgData[Trend],Threshold[#All],4,FALSE)</f>
        <v>10</v>
      </c>
      <c r="L446" s="5">
        <f>VLOOKUP(TrendSheetStgData[Population]&amp;TrendSheetStgData[Trend],Threshold[#All],5,FALSE)</f>
        <v>5</v>
      </c>
      <c r="M4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47" spans="1:13" x14ac:dyDescent="0.25">
      <c r="A447" t="s">
        <v>90</v>
      </c>
      <c r="B447" t="s">
        <v>90</v>
      </c>
      <c r="C447" t="s">
        <v>78</v>
      </c>
      <c r="D447" s="1" t="s">
        <v>104</v>
      </c>
      <c r="E447" t="s">
        <v>93</v>
      </c>
      <c r="F447" t="s">
        <v>20</v>
      </c>
      <c r="G447">
        <v>9</v>
      </c>
      <c r="H447">
        <v>52</v>
      </c>
      <c r="I447" s="5">
        <f>IFERROR(VLOOKUP(TrendSheetStgData[Population]&amp;TrendSheetStgData[Cost Basis]&amp;TrendSheetStgData[Period]&amp;TrendSheetStgData[Trend],TrendSheetPrdData[#All],9,FALSE),0)</f>
        <v>47</v>
      </c>
      <c r="J4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10.638297872340425</v>
      </c>
      <c r="K447" s="5">
        <f>VLOOKUP(TrendSheetStgData[Population]&amp;TrendSheetStgData[Trend],Threshold[#All],4,FALSE)</f>
        <v>10</v>
      </c>
      <c r="L447" s="5">
        <f>VLOOKUP(TrendSheetStgData[Population]&amp;TrendSheetStgData[Trend],Threshold[#All],5,FALSE)</f>
        <v>5</v>
      </c>
      <c r="M4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8" spans="1:13" x14ac:dyDescent="0.25">
      <c r="A448" t="s">
        <v>90</v>
      </c>
      <c r="B448" t="s">
        <v>90</v>
      </c>
      <c r="C448" t="s">
        <v>78</v>
      </c>
      <c r="D448" s="1" t="s">
        <v>105</v>
      </c>
      <c r="E448" t="s">
        <v>106</v>
      </c>
      <c r="F448" t="s">
        <v>20</v>
      </c>
      <c r="G448">
        <v>9</v>
      </c>
      <c r="H448">
        <v>22</v>
      </c>
      <c r="I448" s="5">
        <f>IFERROR(VLOOKUP(TrendSheetStgData[Population]&amp;TrendSheetStgData[Cost Basis]&amp;TrendSheetStgData[Period]&amp;TrendSheetStgData[Trend],TrendSheetPrdData[#All],9,FALSE),0)</f>
        <v>10</v>
      </c>
      <c r="J4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120</v>
      </c>
      <c r="K448" s="5">
        <f>VLOOKUP(TrendSheetStgData[Population]&amp;TrendSheetStgData[Trend],Threshold[#All],4,FALSE)</f>
        <v>10</v>
      </c>
      <c r="L448" s="5">
        <f>VLOOKUP(TrendSheetStgData[Population]&amp;TrendSheetStgData[Trend],Threshold[#All],5,FALSE)</f>
        <v>5</v>
      </c>
      <c r="M4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9" spans="1:13" x14ac:dyDescent="0.25">
      <c r="A449" t="s">
        <v>90</v>
      </c>
      <c r="B449" t="s">
        <v>90</v>
      </c>
      <c r="C449" t="s">
        <v>78</v>
      </c>
      <c r="D449" s="1" t="s">
        <v>107</v>
      </c>
      <c r="E449" t="s">
        <v>106</v>
      </c>
      <c r="F449" t="s">
        <v>20</v>
      </c>
      <c r="G449">
        <v>9</v>
      </c>
      <c r="H449">
        <v>15</v>
      </c>
      <c r="I449" s="5">
        <f>IFERROR(VLOOKUP(TrendSheetStgData[Population]&amp;TrendSheetStgData[Cost Basis]&amp;TrendSheetStgData[Period]&amp;TrendSheetStgData[Trend],TrendSheetPrdData[#All],9,FALSE),0)</f>
        <v>0</v>
      </c>
      <c r="J4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49" s="5">
        <f>VLOOKUP(TrendSheetStgData[Population]&amp;TrendSheetStgData[Trend],Threshold[#All],4,FALSE)</f>
        <v>10</v>
      </c>
      <c r="L449" s="5">
        <f>VLOOKUP(TrendSheetStgData[Population]&amp;TrendSheetStgData[Trend],Threshold[#All],5,FALSE)</f>
        <v>5</v>
      </c>
      <c r="M4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50" spans="1:13" x14ac:dyDescent="0.25">
      <c r="A450" t="s">
        <v>90</v>
      </c>
      <c r="B450" t="s">
        <v>90</v>
      </c>
      <c r="C450" t="s">
        <v>78</v>
      </c>
      <c r="D450" s="1" t="s">
        <v>92</v>
      </c>
      <c r="E450" t="s">
        <v>93</v>
      </c>
      <c r="F450" t="s">
        <v>21</v>
      </c>
      <c r="G450">
        <v>10</v>
      </c>
      <c r="H450">
        <v>71</v>
      </c>
      <c r="I450" s="5">
        <f>IFERROR(VLOOKUP(TrendSheetStgData[Population]&amp;TrendSheetStgData[Cost Basis]&amp;TrendSheetStgData[Period]&amp;TrendSheetStgData[Trend],TrendSheetPrdData[#All],9,FALSE),0)</f>
        <v>71</v>
      </c>
      <c r="J4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0" s="5">
        <f>VLOOKUP(TrendSheetStgData[Population]&amp;TrendSheetStgData[Trend],Threshold[#All],4,FALSE)</f>
        <v>10</v>
      </c>
      <c r="L450" s="5">
        <f>VLOOKUP(TrendSheetStgData[Population]&amp;TrendSheetStgData[Trend],Threshold[#All],5,FALSE)</f>
        <v>5</v>
      </c>
      <c r="M4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1" spans="1:13" x14ac:dyDescent="0.25">
      <c r="A451" t="s">
        <v>90</v>
      </c>
      <c r="B451" t="s">
        <v>90</v>
      </c>
      <c r="C451" t="s">
        <v>78</v>
      </c>
      <c r="D451" s="1" t="s">
        <v>94</v>
      </c>
      <c r="E451" t="s">
        <v>93</v>
      </c>
      <c r="F451" t="s">
        <v>21</v>
      </c>
      <c r="G451">
        <v>10</v>
      </c>
      <c r="H451">
        <v>52</v>
      </c>
      <c r="I451" s="5">
        <f>IFERROR(VLOOKUP(TrendSheetStgData[Population]&amp;TrendSheetStgData[Cost Basis]&amp;TrendSheetStgData[Period]&amp;TrendSheetStgData[Trend],TrendSheetPrdData[#All],9,FALSE),0)</f>
        <v>52</v>
      </c>
      <c r="J4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1" s="5">
        <f>VLOOKUP(TrendSheetStgData[Population]&amp;TrendSheetStgData[Trend],Threshold[#All],4,FALSE)</f>
        <v>10</v>
      </c>
      <c r="L451" s="5">
        <f>VLOOKUP(TrendSheetStgData[Population]&amp;TrendSheetStgData[Trend],Threshold[#All],5,FALSE)</f>
        <v>5</v>
      </c>
      <c r="M4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2" spans="1:13" x14ac:dyDescent="0.25">
      <c r="A452" t="s">
        <v>90</v>
      </c>
      <c r="B452" t="s">
        <v>90</v>
      </c>
      <c r="C452" t="s">
        <v>78</v>
      </c>
      <c r="D452" s="1" t="s">
        <v>95</v>
      </c>
      <c r="E452" t="s">
        <v>93</v>
      </c>
      <c r="F452" t="s">
        <v>21</v>
      </c>
      <c r="G452">
        <v>10</v>
      </c>
      <c r="H452">
        <v>39</v>
      </c>
      <c r="I452" s="5">
        <f>IFERROR(VLOOKUP(TrendSheetStgData[Population]&amp;TrendSheetStgData[Cost Basis]&amp;TrendSheetStgData[Period]&amp;TrendSheetStgData[Trend],TrendSheetPrdData[#All],9,FALSE),0)</f>
        <v>39</v>
      </c>
      <c r="J4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2" s="5">
        <f>VLOOKUP(TrendSheetStgData[Population]&amp;TrendSheetStgData[Trend],Threshold[#All],4,FALSE)</f>
        <v>10</v>
      </c>
      <c r="L452" s="5">
        <f>VLOOKUP(TrendSheetStgData[Population]&amp;TrendSheetStgData[Trend],Threshold[#All],5,FALSE)</f>
        <v>5</v>
      </c>
      <c r="M4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3" spans="1:13" x14ac:dyDescent="0.25">
      <c r="A453" t="s">
        <v>90</v>
      </c>
      <c r="B453" t="s">
        <v>90</v>
      </c>
      <c r="C453" t="s">
        <v>78</v>
      </c>
      <c r="D453" s="1" t="s">
        <v>96</v>
      </c>
      <c r="E453" t="s">
        <v>93</v>
      </c>
      <c r="F453" t="s">
        <v>21</v>
      </c>
      <c r="G453">
        <v>10</v>
      </c>
      <c r="H453">
        <v>34</v>
      </c>
      <c r="I453" s="5">
        <f>IFERROR(VLOOKUP(TrendSheetStgData[Population]&amp;TrendSheetStgData[Cost Basis]&amp;TrendSheetStgData[Period]&amp;TrendSheetStgData[Trend],TrendSheetPrdData[#All],9,FALSE),0)</f>
        <v>34</v>
      </c>
      <c r="J4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3" s="5">
        <f>VLOOKUP(TrendSheetStgData[Population]&amp;TrendSheetStgData[Trend],Threshold[#All],4,FALSE)</f>
        <v>10</v>
      </c>
      <c r="L453" s="5">
        <f>VLOOKUP(TrendSheetStgData[Population]&amp;TrendSheetStgData[Trend],Threshold[#All],5,FALSE)</f>
        <v>5</v>
      </c>
      <c r="M4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4" spans="1:13" x14ac:dyDescent="0.25">
      <c r="A454" t="s">
        <v>90</v>
      </c>
      <c r="B454" t="s">
        <v>90</v>
      </c>
      <c r="C454" t="s">
        <v>78</v>
      </c>
      <c r="D454" s="1" t="s">
        <v>97</v>
      </c>
      <c r="E454" t="s">
        <v>93</v>
      </c>
      <c r="F454" t="s">
        <v>21</v>
      </c>
      <c r="G454">
        <v>10</v>
      </c>
      <c r="H454">
        <v>34</v>
      </c>
      <c r="I454" s="5">
        <f>IFERROR(VLOOKUP(TrendSheetStgData[Population]&amp;TrendSheetStgData[Cost Basis]&amp;TrendSheetStgData[Period]&amp;TrendSheetStgData[Trend],TrendSheetPrdData[#All],9,FALSE),0)</f>
        <v>34</v>
      </c>
      <c r="J4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4" s="5">
        <f>VLOOKUP(TrendSheetStgData[Population]&amp;TrendSheetStgData[Trend],Threshold[#All],4,FALSE)</f>
        <v>10</v>
      </c>
      <c r="L454" s="5">
        <f>VLOOKUP(TrendSheetStgData[Population]&amp;TrendSheetStgData[Trend],Threshold[#All],5,FALSE)</f>
        <v>5</v>
      </c>
      <c r="M4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5" spans="1:13" x14ac:dyDescent="0.25">
      <c r="A455" t="s">
        <v>90</v>
      </c>
      <c r="B455" t="s">
        <v>90</v>
      </c>
      <c r="C455" t="s">
        <v>78</v>
      </c>
      <c r="D455" s="1" t="s">
        <v>98</v>
      </c>
      <c r="E455" t="s">
        <v>93</v>
      </c>
      <c r="F455" t="s">
        <v>21</v>
      </c>
      <c r="G455">
        <v>10</v>
      </c>
      <c r="H455">
        <v>35</v>
      </c>
      <c r="I455" s="5">
        <f>IFERROR(VLOOKUP(TrendSheetStgData[Population]&amp;TrendSheetStgData[Cost Basis]&amp;TrendSheetStgData[Period]&amp;TrendSheetStgData[Trend],TrendSheetPrdData[#All],9,FALSE),0)</f>
        <v>35</v>
      </c>
      <c r="J4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5" s="5">
        <f>VLOOKUP(TrendSheetStgData[Population]&amp;TrendSheetStgData[Trend],Threshold[#All],4,FALSE)</f>
        <v>10</v>
      </c>
      <c r="L455" s="5">
        <f>VLOOKUP(TrendSheetStgData[Population]&amp;TrendSheetStgData[Trend],Threshold[#All],5,FALSE)</f>
        <v>5</v>
      </c>
      <c r="M4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6" spans="1:13" x14ac:dyDescent="0.25">
      <c r="A456" t="s">
        <v>90</v>
      </c>
      <c r="B456" t="s">
        <v>90</v>
      </c>
      <c r="C456" t="s">
        <v>78</v>
      </c>
      <c r="D456" s="1" t="s">
        <v>99</v>
      </c>
      <c r="E456" t="s">
        <v>93</v>
      </c>
      <c r="F456" t="s">
        <v>21</v>
      </c>
      <c r="G456">
        <v>10</v>
      </c>
      <c r="H456">
        <v>33</v>
      </c>
      <c r="I456" s="5">
        <f>IFERROR(VLOOKUP(TrendSheetStgData[Population]&amp;TrendSheetStgData[Cost Basis]&amp;TrendSheetStgData[Period]&amp;TrendSheetStgData[Trend],TrendSheetPrdData[#All],9,FALSE),0)</f>
        <v>33</v>
      </c>
      <c r="J4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6" s="5">
        <f>VLOOKUP(TrendSheetStgData[Population]&amp;TrendSheetStgData[Trend],Threshold[#All],4,FALSE)</f>
        <v>10</v>
      </c>
      <c r="L456" s="5">
        <f>VLOOKUP(TrendSheetStgData[Population]&amp;TrendSheetStgData[Trend],Threshold[#All],5,FALSE)</f>
        <v>5</v>
      </c>
      <c r="M4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7" spans="1:13" x14ac:dyDescent="0.25">
      <c r="A457" t="s">
        <v>90</v>
      </c>
      <c r="B457" t="s">
        <v>90</v>
      </c>
      <c r="C457" t="s">
        <v>78</v>
      </c>
      <c r="D457" s="1" t="s">
        <v>100</v>
      </c>
      <c r="E457" t="s">
        <v>93</v>
      </c>
      <c r="F457" t="s">
        <v>21</v>
      </c>
      <c r="G457">
        <v>10</v>
      </c>
      <c r="H457">
        <v>45</v>
      </c>
      <c r="I457" s="5">
        <f>IFERROR(VLOOKUP(TrendSheetStgData[Population]&amp;TrendSheetStgData[Cost Basis]&amp;TrendSheetStgData[Period]&amp;TrendSheetStgData[Trend],TrendSheetPrdData[#All],9,FALSE),0)</f>
        <v>45</v>
      </c>
      <c r="J4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7" s="5">
        <f>VLOOKUP(TrendSheetStgData[Population]&amp;TrendSheetStgData[Trend],Threshold[#All],4,FALSE)</f>
        <v>10</v>
      </c>
      <c r="L457" s="5">
        <f>VLOOKUP(TrendSheetStgData[Population]&amp;TrendSheetStgData[Trend],Threshold[#All],5,FALSE)</f>
        <v>5</v>
      </c>
      <c r="M4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8" spans="1:13" x14ac:dyDescent="0.25">
      <c r="A458" t="s">
        <v>90</v>
      </c>
      <c r="B458" t="s">
        <v>90</v>
      </c>
      <c r="C458" t="s">
        <v>78</v>
      </c>
      <c r="D458" s="1" t="s">
        <v>101</v>
      </c>
      <c r="E458" t="s">
        <v>93</v>
      </c>
      <c r="F458" t="s">
        <v>21</v>
      </c>
      <c r="G458">
        <v>10</v>
      </c>
      <c r="H458">
        <v>38</v>
      </c>
      <c r="I458" s="5">
        <f>IFERROR(VLOOKUP(TrendSheetStgData[Population]&amp;TrendSheetStgData[Cost Basis]&amp;TrendSheetStgData[Period]&amp;TrendSheetStgData[Trend],TrendSheetPrdData[#All],9,FALSE),0)</f>
        <v>38</v>
      </c>
      <c r="J4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8" s="5">
        <f>VLOOKUP(TrendSheetStgData[Population]&amp;TrendSheetStgData[Trend],Threshold[#All],4,FALSE)</f>
        <v>10</v>
      </c>
      <c r="L458" s="5">
        <f>VLOOKUP(TrendSheetStgData[Population]&amp;TrendSheetStgData[Trend],Threshold[#All],5,FALSE)</f>
        <v>5</v>
      </c>
      <c r="M4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9" spans="1:13" x14ac:dyDescent="0.25">
      <c r="A459" t="s">
        <v>90</v>
      </c>
      <c r="B459" t="s">
        <v>90</v>
      </c>
      <c r="C459" t="s">
        <v>78</v>
      </c>
      <c r="D459" s="1" t="s">
        <v>102</v>
      </c>
      <c r="E459" t="s">
        <v>93</v>
      </c>
      <c r="F459" t="s">
        <v>21</v>
      </c>
      <c r="G459">
        <v>10</v>
      </c>
      <c r="H459">
        <v>40</v>
      </c>
      <c r="I459" s="5">
        <f>IFERROR(VLOOKUP(TrendSheetStgData[Population]&amp;TrendSheetStgData[Cost Basis]&amp;TrendSheetStgData[Period]&amp;TrendSheetStgData[Trend],TrendSheetPrdData[#All],9,FALSE),0)</f>
        <v>40</v>
      </c>
      <c r="J4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9" s="5">
        <f>VLOOKUP(TrendSheetStgData[Population]&amp;TrendSheetStgData[Trend],Threshold[#All],4,FALSE)</f>
        <v>10</v>
      </c>
      <c r="L459" s="5">
        <f>VLOOKUP(TrendSheetStgData[Population]&amp;TrendSheetStgData[Trend],Threshold[#All],5,FALSE)</f>
        <v>5</v>
      </c>
      <c r="M4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0" spans="1:13" x14ac:dyDescent="0.25">
      <c r="A460" t="s">
        <v>90</v>
      </c>
      <c r="B460" t="s">
        <v>90</v>
      </c>
      <c r="C460" t="s">
        <v>78</v>
      </c>
      <c r="D460" s="1" t="s">
        <v>103</v>
      </c>
      <c r="E460" t="s">
        <v>93</v>
      </c>
      <c r="F460" t="s">
        <v>21</v>
      </c>
      <c r="G460">
        <v>10</v>
      </c>
      <c r="H460">
        <v>38</v>
      </c>
      <c r="I460" s="5">
        <f>IFERROR(VLOOKUP(TrendSheetStgData[Population]&amp;TrendSheetStgData[Cost Basis]&amp;TrendSheetStgData[Period]&amp;TrendSheetStgData[Trend],TrendSheetPrdData[#All],9,FALSE),0)</f>
        <v>38</v>
      </c>
      <c r="J4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0" s="5">
        <f>VLOOKUP(TrendSheetStgData[Population]&amp;TrendSheetStgData[Trend],Threshold[#All],4,FALSE)</f>
        <v>10</v>
      </c>
      <c r="L460" s="5">
        <f>VLOOKUP(TrendSheetStgData[Population]&amp;TrendSheetStgData[Trend],Threshold[#All],5,FALSE)</f>
        <v>5</v>
      </c>
      <c r="M4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1" spans="1:13" x14ac:dyDescent="0.25">
      <c r="A461" t="s">
        <v>90</v>
      </c>
      <c r="B461" t="s">
        <v>90</v>
      </c>
      <c r="C461" t="s">
        <v>78</v>
      </c>
      <c r="D461" s="1" t="s">
        <v>104</v>
      </c>
      <c r="E461" t="s">
        <v>93</v>
      </c>
      <c r="F461" t="s">
        <v>21</v>
      </c>
      <c r="G461">
        <v>10</v>
      </c>
      <c r="H461">
        <v>41</v>
      </c>
      <c r="I461" s="5">
        <f>IFERROR(VLOOKUP(TrendSheetStgData[Population]&amp;TrendSheetStgData[Cost Basis]&amp;TrendSheetStgData[Period]&amp;TrendSheetStgData[Trend],TrendSheetPrdData[#All],9,FALSE),0)</f>
        <v>37</v>
      </c>
      <c r="J4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10.810810810810811</v>
      </c>
      <c r="K461" s="5">
        <f>VLOOKUP(TrendSheetStgData[Population]&amp;TrendSheetStgData[Trend],Threshold[#All],4,FALSE)</f>
        <v>10</v>
      </c>
      <c r="L461" s="5">
        <f>VLOOKUP(TrendSheetStgData[Population]&amp;TrendSheetStgData[Trend],Threshold[#All],5,FALSE)</f>
        <v>5</v>
      </c>
      <c r="M4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2" spans="1:13" x14ac:dyDescent="0.25">
      <c r="A462" t="s">
        <v>90</v>
      </c>
      <c r="B462" t="s">
        <v>90</v>
      </c>
      <c r="C462" t="s">
        <v>78</v>
      </c>
      <c r="D462" s="1" t="s">
        <v>105</v>
      </c>
      <c r="E462" t="s">
        <v>106</v>
      </c>
      <c r="F462" t="s">
        <v>21</v>
      </c>
      <c r="G462">
        <v>10</v>
      </c>
      <c r="H462">
        <v>37</v>
      </c>
      <c r="I462" s="5">
        <f>IFERROR(VLOOKUP(TrendSheetStgData[Population]&amp;TrendSheetStgData[Cost Basis]&amp;TrendSheetStgData[Period]&amp;TrendSheetStgData[Trend],TrendSheetPrdData[#All],9,FALSE),0)</f>
        <v>14</v>
      </c>
      <c r="J4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164.28571428571428</v>
      </c>
      <c r="K462" s="5">
        <f>VLOOKUP(TrendSheetStgData[Population]&amp;TrendSheetStgData[Trend],Threshold[#All],4,FALSE)</f>
        <v>10</v>
      </c>
      <c r="L462" s="5">
        <f>VLOOKUP(TrendSheetStgData[Population]&amp;TrendSheetStgData[Trend],Threshold[#All],5,FALSE)</f>
        <v>5</v>
      </c>
      <c r="M4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3" spans="1:13" x14ac:dyDescent="0.25">
      <c r="A463" t="s">
        <v>90</v>
      </c>
      <c r="B463" t="s">
        <v>90</v>
      </c>
      <c r="C463" t="s">
        <v>78</v>
      </c>
      <c r="D463" s="1" t="s">
        <v>107</v>
      </c>
      <c r="E463" t="s">
        <v>106</v>
      </c>
      <c r="F463" t="s">
        <v>21</v>
      </c>
      <c r="G463">
        <v>10</v>
      </c>
      <c r="H463">
        <v>10</v>
      </c>
      <c r="I463" s="5">
        <f>IFERROR(VLOOKUP(TrendSheetStgData[Population]&amp;TrendSheetStgData[Cost Basis]&amp;TrendSheetStgData[Period]&amp;TrendSheetStgData[Trend],TrendSheetPrdData[#All],9,FALSE),0)</f>
        <v>0</v>
      </c>
      <c r="J4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63" s="5">
        <f>VLOOKUP(TrendSheetStgData[Population]&amp;TrendSheetStgData[Trend],Threshold[#All],4,FALSE)</f>
        <v>10</v>
      </c>
      <c r="L463" s="5">
        <f>VLOOKUP(TrendSheetStgData[Population]&amp;TrendSheetStgData[Trend],Threshold[#All],5,FALSE)</f>
        <v>5</v>
      </c>
      <c r="M4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4" spans="1:13" x14ac:dyDescent="0.25">
      <c r="A464" t="s">
        <v>90</v>
      </c>
      <c r="B464" t="s">
        <v>90</v>
      </c>
      <c r="C464" t="s">
        <v>78</v>
      </c>
      <c r="D464" s="1" t="s">
        <v>92</v>
      </c>
      <c r="E464" t="s">
        <v>93</v>
      </c>
      <c r="F464" t="s">
        <v>22</v>
      </c>
      <c r="G464">
        <v>11</v>
      </c>
      <c r="H464">
        <v>4</v>
      </c>
      <c r="I464" s="5">
        <f>IFERROR(VLOOKUP(TrendSheetStgData[Population]&amp;TrendSheetStgData[Cost Basis]&amp;TrendSheetStgData[Period]&amp;TrendSheetStgData[Trend],TrendSheetPrdData[#All],9,FALSE),0)</f>
        <v>4</v>
      </c>
      <c r="J4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4" s="5">
        <f>VLOOKUP(TrendSheetStgData[Population]&amp;TrendSheetStgData[Trend],Threshold[#All],4,FALSE)</f>
        <v>10</v>
      </c>
      <c r="L464" s="5">
        <f>VLOOKUP(TrendSheetStgData[Population]&amp;TrendSheetStgData[Trend],Threshold[#All],5,FALSE)</f>
        <v>5</v>
      </c>
      <c r="M4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5" spans="1:13" x14ac:dyDescent="0.25">
      <c r="A465" t="s">
        <v>90</v>
      </c>
      <c r="B465" t="s">
        <v>90</v>
      </c>
      <c r="C465" t="s">
        <v>78</v>
      </c>
      <c r="D465" s="1" t="s">
        <v>94</v>
      </c>
      <c r="E465" t="s">
        <v>93</v>
      </c>
      <c r="F465" t="s">
        <v>22</v>
      </c>
      <c r="G465">
        <v>11</v>
      </c>
      <c r="H465">
        <v>1</v>
      </c>
      <c r="I465" s="5">
        <f>IFERROR(VLOOKUP(TrendSheetStgData[Population]&amp;TrendSheetStgData[Cost Basis]&amp;TrendSheetStgData[Period]&amp;TrendSheetStgData[Trend],TrendSheetPrdData[#All],9,FALSE),0)</f>
        <v>1</v>
      </c>
      <c r="J4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5" s="5">
        <f>VLOOKUP(TrendSheetStgData[Population]&amp;TrendSheetStgData[Trend],Threshold[#All],4,FALSE)</f>
        <v>10</v>
      </c>
      <c r="L465" s="5">
        <f>VLOOKUP(TrendSheetStgData[Population]&amp;TrendSheetStgData[Trend],Threshold[#All],5,FALSE)</f>
        <v>5</v>
      </c>
      <c r="M4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6" spans="1:13" x14ac:dyDescent="0.25">
      <c r="A466" t="s">
        <v>90</v>
      </c>
      <c r="B466" t="s">
        <v>90</v>
      </c>
      <c r="C466" t="s">
        <v>78</v>
      </c>
      <c r="D466" s="1" t="s">
        <v>95</v>
      </c>
      <c r="E466" t="s">
        <v>93</v>
      </c>
      <c r="F466" t="s">
        <v>22</v>
      </c>
      <c r="G466">
        <v>11</v>
      </c>
      <c r="H466">
        <v>0</v>
      </c>
      <c r="I466" s="5">
        <f>IFERROR(VLOOKUP(TrendSheetStgData[Population]&amp;TrendSheetStgData[Cost Basis]&amp;TrendSheetStgData[Period]&amp;TrendSheetStgData[Trend],TrendSheetPrdData[#All],9,FALSE),0)</f>
        <v>0</v>
      </c>
      <c r="J4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6" s="5">
        <f>VLOOKUP(TrendSheetStgData[Population]&amp;TrendSheetStgData[Trend],Threshold[#All],4,FALSE)</f>
        <v>10</v>
      </c>
      <c r="L466" s="5">
        <f>VLOOKUP(TrendSheetStgData[Population]&amp;TrendSheetStgData[Trend],Threshold[#All],5,FALSE)</f>
        <v>5</v>
      </c>
      <c r="M4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7" spans="1:13" x14ac:dyDescent="0.25">
      <c r="A467" t="s">
        <v>90</v>
      </c>
      <c r="B467" t="s">
        <v>90</v>
      </c>
      <c r="C467" t="s">
        <v>78</v>
      </c>
      <c r="D467" s="1" t="s">
        <v>96</v>
      </c>
      <c r="E467" t="s">
        <v>93</v>
      </c>
      <c r="F467" t="s">
        <v>22</v>
      </c>
      <c r="G467">
        <v>11</v>
      </c>
      <c r="H467">
        <v>0</v>
      </c>
      <c r="I467" s="5">
        <f>IFERROR(VLOOKUP(TrendSheetStgData[Population]&amp;TrendSheetStgData[Cost Basis]&amp;TrendSheetStgData[Period]&amp;TrendSheetStgData[Trend],TrendSheetPrdData[#All],9,FALSE),0)</f>
        <v>0</v>
      </c>
      <c r="J4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7" s="5">
        <f>VLOOKUP(TrendSheetStgData[Population]&amp;TrendSheetStgData[Trend],Threshold[#All],4,FALSE)</f>
        <v>10</v>
      </c>
      <c r="L467" s="5">
        <f>VLOOKUP(TrendSheetStgData[Population]&amp;TrendSheetStgData[Trend],Threshold[#All],5,FALSE)</f>
        <v>5</v>
      </c>
      <c r="M4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8" spans="1:13" x14ac:dyDescent="0.25">
      <c r="A468" t="s">
        <v>90</v>
      </c>
      <c r="B468" t="s">
        <v>90</v>
      </c>
      <c r="C468" t="s">
        <v>78</v>
      </c>
      <c r="D468" s="1" t="s">
        <v>97</v>
      </c>
      <c r="E468" t="s">
        <v>93</v>
      </c>
      <c r="F468" t="s">
        <v>22</v>
      </c>
      <c r="G468">
        <v>11</v>
      </c>
      <c r="H468">
        <v>4</v>
      </c>
      <c r="I468" s="5">
        <f>IFERROR(VLOOKUP(TrendSheetStgData[Population]&amp;TrendSheetStgData[Cost Basis]&amp;TrendSheetStgData[Period]&amp;TrendSheetStgData[Trend],TrendSheetPrdData[#All],9,FALSE),0)</f>
        <v>4</v>
      </c>
      <c r="J4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8" s="5">
        <f>VLOOKUP(TrendSheetStgData[Population]&amp;TrendSheetStgData[Trend],Threshold[#All],4,FALSE)</f>
        <v>10</v>
      </c>
      <c r="L468" s="5">
        <f>VLOOKUP(TrendSheetStgData[Population]&amp;TrendSheetStgData[Trend],Threshold[#All],5,FALSE)</f>
        <v>5</v>
      </c>
      <c r="M4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9" spans="1:13" x14ac:dyDescent="0.25">
      <c r="A469" t="s">
        <v>90</v>
      </c>
      <c r="B469" t="s">
        <v>90</v>
      </c>
      <c r="C469" t="s">
        <v>78</v>
      </c>
      <c r="D469" s="1" t="s">
        <v>98</v>
      </c>
      <c r="E469" t="s">
        <v>93</v>
      </c>
      <c r="F469" t="s">
        <v>22</v>
      </c>
      <c r="G469">
        <v>11</v>
      </c>
      <c r="H469">
        <v>3</v>
      </c>
      <c r="I469" s="5">
        <f>IFERROR(VLOOKUP(TrendSheetStgData[Population]&amp;TrendSheetStgData[Cost Basis]&amp;TrendSheetStgData[Period]&amp;TrendSheetStgData[Trend],TrendSheetPrdData[#All],9,FALSE),0)</f>
        <v>3</v>
      </c>
      <c r="J4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9" s="5">
        <f>VLOOKUP(TrendSheetStgData[Population]&amp;TrendSheetStgData[Trend],Threshold[#All],4,FALSE)</f>
        <v>10</v>
      </c>
      <c r="L469" s="5">
        <f>VLOOKUP(TrendSheetStgData[Population]&amp;TrendSheetStgData[Trend],Threshold[#All],5,FALSE)</f>
        <v>5</v>
      </c>
      <c r="M4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0" spans="1:13" x14ac:dyDescent="0.25">
      <c r="A470" t="s">
        <v>90</v>
      </c>
      <c r="B470" t="s">
        <v>90</v>
      </c>
      <c r="C470" t="s">
        <v>78</v>
      </c>
      <c r="D470" s="1" t="s">
        <v>99</v>
      </c>
      <c r="E470" t="s">
        <v>93</v>
      </c>
      <c r="F470" t="s">
        <v>22</v>
      </c>
      <c r="G470">
        <v>11</v>
      </c>
      <c r="H470">
        <v>1</v>
      </c>
      <c r="I470" s="5">
        <f>IFERROR(VLOOKUP(TrendSheetStgData[Population]&amp;TrendSheetStgData[Cost Basis]&amp;TrendSheetStgData[Period]&amp;TrendSheetStgData[Trend],TrendSheetPrdData[#All],9,FALSE),0)</f>
        <v>1</v>
      </c>
      <c r="J4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0" s="5">
        <f>VLOOKUP(TrendSheetStgData[Population]&amp;TrendSheetStgData[Trend],Threshold[#All],4,FALSE)</f>
        <v>10</v>
      </c>
      <c r="L470" s="5">
        <f>VLOOKUP(TrendSheetStgData[Population]&amp;TrendSheetStgData[Trend],Threshold[#All],5,FALSE)</f>
        <v>5</v>
      </c>
      <c r="M4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1" spans="1:13" x14ac:dyDescent="0.25">
      <c r="A471" t="s">
        <v>90</v>
      </c>
      <c r="B471" t="s">
        <v>90</v>
      </c>
      <c r="C471" t="s">
        <v>78</v>
      </c>
      <c r="D471" s="1" t="s">
        <v>100</v>
      </c>
      <c r="E471" t="s">
        <v>93</v>
      </c>
      <c r="F471" t="s">
        <v>22</v>
      </c>
      <c r="G471">
        <v>11</v>
      </c>
      <c r="H471">
        <v>3</v>
      </c>
      <c r="I471" s="5">
        <f>IFERROR(VLOOKUP(TrendSheetStgData[Population]&amp;TrendSheetStgData[Cost Basis]&amp;TrendSheetStgData[Period]&amp;TrendSheetStgData[Trend],TrendSheetPrdData[#All],9,FALSE),0)</f>
        <v>3</v>
      </c>
      <c r="J4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1" s="5">
        <f>VLOOKUP(TrendSheetStgData[Population]&amp;TrendSheetStgData[Trend],Threshold[#All],4,FALSE)</f>
        <v>10</v>
      </c>
      <c r="L471" s="5">
        <f>VLOOKUP(TrendSheetStgData[Population]&amp;TrendSheetStgData[Trend],Threshold[#All],5,FALSE)</f>
        <v>5</v>
      </c>
      <c r="M4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2" spans="1:13" x14ac:dyDescent="0.25">
      <c r="A472" t="s">
        <v>90</v>
      </c>
      <c r="B472" t="s">
        <v>90</v>
      </c>
      <c r="C472" t="s">
        <v>78</v>
      </c>
      <c r="D472" s="1" t="s">
        <v>101</v>
      </c>
      <c r="E472" t="s">
        <v>93</v>
      </c>
      <c r="F472" t="s">
        <v>22</v>
      </c>
      <c r="G472">
        <v>11</v>
      </c>
      <c r="H472">
        <v>1</v>
      </c>
      <c r="I472" s="5">
        <f>IFERROR(VLOOKUP(TrendSheetStgData[Population]&amp;TrendSheetStgData[Cost Basis]&amp;TrendSheetStgData[Period]&amp;TrendSheetStgData[Trend],TrendSheetPrdData[#All],9,FALSE),0)</f>
        <v>1</v>
      </c>
      <c r="J4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2" s="5">
        <f>VLOOKUP(TrendSheetStgData[Population]&amp;TrendSheetStgData[Trend],Threshold[#All],4,FALSE)</f>
        <v>10</v>
      </c>
      <c r="L472" s="5">
        <f>VLOOKUP(TrendSheetStgData[Population]&amp;TrendSheetStgData[Trend],Threshold[#All],5,FALSE)</f>
        <v>5</v>
      </c>
      <c r="M4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3" spans="1:13" x14ac:dyDescent="0.25">
      <c r="A473" t="s">
        <v>90</v>
      </c>
      <c r="B473" t="s">
        <v>90</v>
      </c>
      <c r="C473" t="s">
        <v>78</v>
      </c>
      <c r="D473" s="1" t="s">
        <v>102</v>
      </c>
      <c r="E473" t="s">
        <v>93</v>
      </c>
      <c r="F473" t="s">
        <v>22</v>
      </c>
      <c r="G473">
        <v>11</v>
      </c>
      <c r="H473">
        <v>3</v>
      </c>
      <c r="I473" s="5">
        <f>IFERROR(VLOOKUP(TrendSheetStgData[Population]&amp;TrendSheetStgData[Cost Basis]&amp;TrendSheetStgData[Period]&amp;TrendSheetStgData[Trend],TrendSheetPrdData[#All],9,FALSE),0)</f>
        <v>3</v>
      </c>
      <c r="J4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3" s="5">
        <f>VLOOKUP(TrendSheetStgData[Population]&amp;TrendSheetStgData[Trend],Threshold[#All],4,FALSE)</f>
        <v>10</v>
      </c>
      <c r="L473" s="5">
        <f>VLOOKUP(TrendSheetStgData[Population]&amp;TrendSheetStgData[Trend],Threshold[#All],5,FALSE)</f>
        <v>5</v>
      </c>
      <c r="M4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4" spans="1:13" x14ac:dyDescent="0.25">
      <c r="A474" t="s">
        <v>90</v>
      </c>
      <c r="B474" t="s">
        <v>90</v>
      </c>
      <c r="C474" t="s">
        <v>78</v>
      </c>
      <c r="D474" s="1" t="s">
        <v>103</v>
      </c>
      <c r="E474" t="s">
        <v>93</v>
      </c>
      <c r="F474" t="s">
        <v>22</v>
      </c>
      <c r="G474">
        <v>11</v>
      </c>
      <c r="H474">
        <v>4</v>
      </c>
      <c r="I474" s="5">
        <f>IFERROR(VLOOKUP(TrendSheetStgData[Population]&amp;TrendSheetStgData[Cost Basis]&amp;TrendSheetStgData[Period]&amp;TrendSheetStgData[Trend],TrendSheetPrdData[#All],9,FALSE),0)</f>
        <v>4</v>
      </c>
      <c r="J4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4" s="5">
        <f>VLOOKUP(TrendSheetStgData[Population]&amp;TrendSheetStgData[Trend],Threshold[#All],4,FALSE)</f>
        <v>10</v>
      </c>
      <c r="L474" s="5">
        <f>VLOOKUP(TrendSheetStgData[Population]&amp;TrendSheetStgData[Trend],Threshold[#All],5,FALSE)</f>
        <v>5</v>
      </c>
      <c r="M4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5" spans="1:13" x14ac:dyDescent="0.25">
      <c r="A475" t="s">
        <v>90</v>
      </c>
      <c r="B475" t="s">
        <v>90</v>
      </c>
      <c r="C475" t="s">
        <v>78</v>
      </c>
      <c r="D475" s="1" t="s">
        <v>104</v>
      </c>
      <c r="E475" t="s">
        <v>93</v>
      </c>
      <c r="F475" t="s">
        <v>22</v>
      </c>
      <c r="G475">
        <v>11</v>
      </c>
      <c r="H475">
        <v>1</v>
      </c>
      <c r="I475" s="5">
        <f>IFERROR(VLOOKUP(TrendSheetStgData[Population]&amp;TrendSheetStgData[Cost Basis]&amp;TrendSheetStgData[Period]&amp;TrendSheetStgData[Trend],TrendSheetPrdData[#All],9,FALSE),0)</f>
        <v>1</v>
      </c>
      <c r="J4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5" s="5">
        <f>VLOOKUP(TrendSheetStgData[Population]&amp;TrendSheetStgData[Trend],Threshold[#All],4,FALSE)</f>
        <v>10</v>
      </c>
      <c r="L475" s="5">
        <f>VLOOKUP(TrendSheetStgData[Population]&amp;TrendSheetStgData[Trend],Threshold[#All],5,FALSE)</f>
        <v>5</v>
      </c>
      <c r="M4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6" spans="1:13" x14ac:dyDescent="0.25">
      <c r="A476" t="s">
        <v>90</v>
      </c>
      <c r="B476" t="s">
        <v>90</v>
      </c>
      <c r="C476" t="s">
        <v>78</v>
      </c>
      <c r="D476" s="1" t="s">
        <v>105</v>
      </c>
      <c r="E476" t="s">
        <v>106</v>
      </c>
      <c r="F476" t="s">
        <v>22</v>
      </c>
      <c r="G476">
        <v>11</v>
      </c>
      <c r="H476">
        <v>2</v>
      </c>
      <c r="I476" s="5">
        <f>IFERROR(VLOOKUP(TrendSheetStgData[Population]&amp;TrendSheetStgData[Cost Basis]&amp;TrendSheetStgData[Period]&amp;TrendSheetStgData[Trend],TrendSheetPrdData[#All],9,FALSE),0)</f>
        <v>2</v>
      </c>
      <c r="J4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6" s="5">
        <f>VLOOKUP(TrendSheetStgData[Population]&amp;TrendSheetStgData[Trend],Threshold[#All],4,FALSE)</f>
        <v>10</v>
      </c>
      <c r="L476" s="5">
        <f>VLOOKUP(TrendSheetStgData[Population]&amp;TrendSheetStgData[Trend],Threshold[#All],5,FALSE)</f>
        <v>5</v>
      </c>
      <c r="M4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7" spans="1:13" x14ac:dyDescent="0.25">
      <c r="A477" t="s">
        <v>90</v>
      </c>
      <c r="B477" t="s">
        <v>90</v>
      </c>
      <c r="C477" t="s">
        <v>78</v>
      </c>
      <c r="D477" s="1" t="s">
        <v>107</v>
      </c>
      <c r="E477" t="s">
        <v>106</v>
      </c>
      <c r="F477" t="s">
        <v>22</v>
      </c>
      <c r="G477">
        <v>11</v>
      </c>
      <c r="H477">
        <v>2</v>
      </c>
      <c r="I477" s="5">
        <f>IFERROR(VLOOKUP(TrendSheetStgData[Population]&amp;TrendSheetStgData[Cost Basis]&amp;TrendSheetStgData[Period]&amp;TrendSheetStgData[Trend],TrendSheetPrdData[#All],9,FALSE),0)</f>
        <v>0</v>
      </c>
      <c r="J4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77" s="5">
        <f>VLOOKUP(TrendSheetStgData[Population]&amp;TrendSheetStgData[Trend],Threshold[#All],4,FALSE)</f>
        <v>10</v>
      </c>
      <c r="L477" s="5">
        <f>VLOOKUP(TrendSheetStgData[Population]&amp;TrendSheetStgData[Trend],Threshold[#All],5,FALSE)</f>
        <v>5</v>
      </c>
      <c r="M4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8" spans="1:13" x14ac:dyDescent="0.25">
      <c r="A478" t="s">
        <v>90</v>
      </c>
      <c r="B478" t="s">
        <v>90</v>
      </c>
      <c r="C478" t="s">
        <v>78</v>
      </c>
      <c r="D478" s="1" t="s">
        <v>92</v>
      </c>
      <c r="E478" t="s">
        <v>93</v>
      </c>
      <c r="F478" t="s">
        <v>23</v>
      </c>
      <c r="G478">
        <v>12</v>
      </c>
      <c r="H478">
        <v>8</v>
      </c>
      <c r="I478" s="5">
        <f>IFERROR(VLOOKUP(TrendSheetStgData[Population]&amp;TrendSheetStgData[Cost Basis]&amp;TrendSheetStgData[Period]&amp;TrendSheetStgData[Trend],TrendSheetPrdData[#All],9,FALSE),0)</f>
        <v>8</v>
      </c>
      <c r="J4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8" s="5">
        <f>VLOOKUP(TrendSheetStgData[Population]&amp;TrendSheetStgData[Trend],Threshold[#All],4,FALSE)</f>
        <v>10</v>
      </c>
      <c r="L478" s="5">
        <f>VLOOKUP(TrendSheetStgData[Population]&amp;TrendSheetStgData[Trend],Threshold[#All],5,FALSE)</f>
        <v>5</v>
      </c>
      <c r="M4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9" spans="1:13" x14ac:dyDescent="0.25">
      <c r="A479" t="s">
        <v>90</v>
      </c>
      <c r="B479" t="s">
        <v>90</v>
      </c>
      <c r="C479" t="s">
        <v>78</v>
      </c>
      <c r="D479" s="1" t="s">
        <v>94</v>
      </c>
      <c r="E479" t="s">
        <v>93</v>
      </c>
      <c r="F479" t="s">
        <v>23</v>
      </c>
      <c r="G479">
        <v>12</v>
      </c>
      <c r="H479">
        <v>5</v>
      </c>
      <c r="I479" s="5">
        <f>IFERROR(VLOOKUP(TrendSheetStgData[Population]&amp;TrendSheetStgData[Cost Basis]&amp;TrendSheetStgData[Period]&amp;TrendSheetStgData[Trend],TrendSheetPrdData[#All],9,FALSE),0)</f>
        <v>5</v>
      </c>
      <c r="J4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9" s="5">
        <f>VLOOKUP(TrendSheetStgData[Population]&amp;TrendSheetStgData[Trend],Threshold[#All],4,FALSE)</f>
        <v>10</v>
      </c>
      <c r="L479" s="5">
        <f>VLOOKUP(TrendSheetStgData[Population]&amp;TrendSheetStgData[Trend],Threshold[#All],5,FALSE)</f>
        <v>5</v>
      </c>
      <c r="M4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0" spans="1:13" x14ac:dyDescent="0.25">
      <c r="A480" t="s">
        <v>90</v>
      </c>
      <c r="B480" t="s">
        <v>90</v>
      </c>
      <c r="C480" t="s">
        <v>78</v>
      </c>
      <c r="D480" s="1" t="s">
        <v>95</v>
      </c>
      <c r="E480" t="s">
        <v>93</v>
      </c>
      <c r="F480" t="s">
        <v>23</v>
      </c>
      <c r="G480">
        <v>12</v>
      </c>
      <c r="H480">
        <v>8</v>
      </c>
      <c r="I480" s="5">
        <f>IFERROR(VLOOKUP(TrendSheetStgData[Population]&amp;TrendSheetStgData[Cost Basis]&amp;TrendSheetStgData[Period]&amp;TrendSheetStgData[Trend],TrendSheetPrdData[#All],9,FALSE),0)</f>
        <v>8</v>
      </c>
      <c r="J4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0" s="5">
        <f>VLOOKUP(TrendSheetStgData[Population]&amp;TrendSheetStgData[Trend],Threshold[#All],4,FALSE)</f>
        <v>10</v>
      </c>
      <c r="L480" s="5">
        <f>VLOOKUP(TrendSheetStgData[Population]&amp;TrendSheetStgData[Trend],Threshold[#All],5,FALSE)</f>
        <v>5</v>
      </c>
      <c r="M4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1" spans="1:13" x14ac:dyDescent="0.25">
      <c r="A481" t="s">
        <v>90</v>
      </c>
      <c r="B481" t="s">
        <v>90</v>
      </c>
      <c r="C481" t="s">
        <v>78</v>
      </c>
      <c r="D481" s="1" t="s">
        <v>96</v>
      </c>
      <c r="E481" t="s">
        <v>93</v>
      </c>
      <c r="F481" t="s">
        <v>23</v>
      </c>
      <c r="G481">
        <v>12</v>
      </c>
      <c r="H481">
        <v>7</v>
      </c>
      <c r="I481" s="5">
        <f>IFERROR(VLOOKUP(TrendSheetStgData[Population]&amp;TrendSheetStgData[Cost Basis]&amp;TrendSheetStgData[Period]&amp;TrendSheetStgData[Trend],TrendSheetPrdData[#All],9,FALSE),0)</f>
        <v>7</v>
      </c>
      <c r="J4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1" s="5">
        <f>VLOOKUP(TrendSheetStgData[Population]&amp;TrendSheetStgData[Trend],Threshold[#All],4,FALSE)</f>
        <v>10</v>
      </c>
      <c r="L481" s="5">
        <f>VLOOKUP(TrendSheetStgData[Population]&amp;TrendSheetStgData[Trend],Threshold[#All],5,FALSE)</f>
        <v>5</v>
      </c>
      <c r="M4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2" spans="1:13" x14ac:dyDescent="0.25">
      <c r="A482" t="s">
        <v>90</v>
      </c>
      <c r="B482" t="s">
        <v>90</v>
      </c>
      <c r="C482" t="s">
        <v>78</v>
      </c>
      <c r="D482" s="1" t="s">
        <v>97</v>
      </c>
      <c r="E482" t="s">
        <v>93</v>
      </c>
      <c r="F482" t="s">
        <v>23</v>
      </c>
      <c r="G482">
        <v>12</v>
      </c>
      <c r="H482">
        <v>7</v>
      </c>
      <c r="I482" s="5">
        <f>IFERROR(VLOOKUP(TrendSheetStgData[Population]&amp;TrendSheetStgData[Cost Basis]&amp;TrendSheetStgData[Period]&amp;TrendSheetStgData[Trend],TrendSheetPrdData[#All],9,FALSE),0)</f>
        <v>7</v>
      </c>
      <c r="J4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2" s="5">
        <f>VLOOKUP(TrendSheetStgData[Population]&amp;TrendSheetStgData[Trend],Threshold[#All],4,FALSE)</f>
        <v>10</v>
      </c>
      <c r="L482" s="5">
        <f>VLOOKUP(TrendSheetStgData[Population]&amp;TrendSheetStgData[Trend],Threshold[#All],5,FALSE)</f>
        <v>5</v>
      </c>
      <c r="M4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3" spans="1:13" x14ac:dyDescent="0.25">
      <c r="A483" t="s">
        <v>90</v>
      </c>
      <c r="B483" t="s">
        <v>90</v>
      </c>
      <c r="C483" t="s">
        <v>78</v>
      </c>
      <c r="D483" s="1" t="s">
        <v>98</v>
      </c>
      <c r="E483" t="s">
        <v>93</v>
      </c>
      <c r="F483" t="s">
        <v>23</v>
      </c>
      <c r="G483">
        <v>12</v>
      </c>
      <c r="H483">
        <v>10</v>
      </c>
      <c r="I483" s="5">
        <f>IFERROR(VLOOKUP(TrendSheetStgData[Population]&amp;TrendSheetStgData[Cost Basis]&amp;TrendSheetStgData[Period]&amp;TrendSheetStgData[Trend],TrendSheetPrdData[#All],9,FALSE),0)</f>
        <v>10</v>
      </c>
      <c r="J4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3" s="5">
        <f>VLOOKUP(TrendSheetStgData[Population]&amp;TrendSheetStgData[Trend],Threshold[#All],4,FALSE)</f>
        <v>10</v>
      </c>
      <c r="L483" s="5">
        <f>VLOOKUP(TrendSheetStgData[Population]&amp;TrendSheetStgData[Trend],Threshold[#All],5,FALSE)</f>
        <v>5</v>
      </c>
      <c r="M4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4" spans="1:13" x14ac:dyDescent="0.25">
      <c r="A484" t="s">
        <v>90</v>
      </c>
      <c r="B484" t="s">
        <v>90</v>
      </c>
      <c r="C484" t="s">
        <v>78</v>
      </c>
      <c r="D484" s="1" t="s">
        <v>99</v>
      </c>
      <c r="E484" t="s">
        <v>93</v>
      </c>
      <c r="F484" t="s">
        <v>23</v>
      </c>
      <c r="G484">
        <v>12</v>
      </c>
      <c r="H484">
        <v>14</v>
      </c>
      <c r="I484" s="5">
        <f>IFERROR(VLOOKUP(TrendSheetStgData[Population]&amp;TrendSheetStgData[Cost Basis]&amp;TrendSheetStgData[Period]&amp;TrendSheetStgData[Trend],TrendSheetPrdData[#All],9,FALSE),0)</f>
        <v>14</v>
      </c>
      <c r="J4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4" s="5">
        <f>VLOOKUP(TrendSheetStgData[Population]&amp;TrendSheetStgData[Trend],Threshold[#All],4,FALSE)</f>
        <v>10</v>
      </c>
      <c r="L484" s="5">
        <f>VLOOKUP(TrendSheetStgData[Population]&amp;TrendSheetStgData[Trend],Threshold[#All],5,FALSE)</f>
        <v>5</v>
      </c>
      <c r="M4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5" spans="1:13" x14ac:dyDescent="0.25">
      <c r="A485" t="s">
        <v>90</v>
      </c>
      <c r="B485" t="s">
        <v>90</v>
      </c>
      <c r="C485" t="s">
        <v>78</v>
      </c>
      <c r="D485" s="1" t="s">
        <v>100</v>
      </c>
      <c r="E485" t="s">
        <v>93</v>
      </c>
      <c r="F485" t="s">
        <v>23</v>
      </c>
      <c r="G485">
        <v>12</v>
      </c>
      <c r="H485">
        <v>8</v>
      </c>
      <c r="I485" s="5">
        <f>IFERROR(VLOOKUP(TrendSheetStgData[Population]&amp;TrendSheetStgData[Cost Basis]&amp;TrendSheetStgData[Period]&amp;TrendSheetStgData[Trend],TrendSheetPrdData[#All],9,FALSE),0)</f>
        <v>8</v>
      </c>
      <c r="J4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5" s="5">
        <f>VLOOKUP(TrendSheetStgData[Population]&amp;TrendSheetStgData[Trend],Threshold[#All],4,FALSE)</f>
        <v>10</v>
      </c>
      <c r="L485" s="5">
        <f>VLOOKUP(TrendSheetStgData[Population]&amp;TrendSheetStgData[Trend],Threshold[#All],5,FALSE)</f>
        <v>5</v>
      </c>
      <c r="M4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6" spans="1:13" x14ac:dyDescent="0.25">
      <c r="A486" t="s">
        <v>90</v>
      </c>
      <c r="B486" t="s">
        <v>90</v>
      </c>
      <c r="C486" t="s">
        <v>78</v>
      </c>
      <c r="D486" s="1" t="s">
        <v>101</v>
      </c>
      <c r="E486" t="s">
        <v>93</v>
      </c>
      <c r="F486" t="s">
        <v>23</v>
      </c>
      <c r="G486">
        <v>12</v>
      </c>
      <c r="H486">
        <v>8</v>
      </c>
      <c r="I486" s="5">
        <f>IFERROR(VLOOKUP(TrendSheetStgData[Population]&amp;TrendSheetStgData[Cost Basis]&amp;TrendSheetStgData[Period]&amp;TrendSheetStgData[Trend],TrendSheetPrdData[#All],9,FALSE),0)</f>
        <v>8</v>
      </c>
      <c r="J4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6" s="5">
        <f>VLOOKUP(TrendSheetStgData[Population]&amp;TrendSheetStgData[Trend],Threshold[#All],4,FALSE)</f>
        <v>10</v>
      </c>
      <c r="L486" s="5">
        <f>VLOOKUP(TrendSheetStgData[Population]&amp;TrendSheetStgData[Trend],Threshold[#All],5,FALSE)</f>
        <v>5</v>
      </c>
      <c r="M4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7" spans="1:13" x14ac:dyDescent="0.25">
      <c r="A487" t="s">
        <v>90</v>
      </c>
      <c r="B487" t="s">
        <v>90</v>
      </c>
      <c r="C487" t="s">
        <v>78</v>
      </c>
      <c r="D487" s="1" t="s">
        <v>102</v>
      </c>
      <c r="E487" t="s">
        <v>93</v>
      </c>
      <c r="F487" t="s">
        <v>23</v>
      </c>
      <c r="G487">
        <v>12</v>
      </c>
      <c r="H487">
        <v>6</v>
      </c>
      <c r="I487" s="5">
        <f>IFERROR(VLOOKUP(TrendSheetStgData[Population]&amp;TrendSheetStgData[Cost Basis]&amp;TrendSheetStgData[Period]&amp;TrendSheetStgData[Trend],TrendSheetPrdData[#All],9,FALSE),0)</f>
        <v>6</v>
      </c>
      <c r="J4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7" s="5">
        <f>VLOOKUP(TrendSheetStgData[Population]&amp;TrendSheetStgData[Trend],Threshold[#All],4,FALSE)</f>
        <v>10</v>
      </c>
      <c r="L487" s="5">
        <f>VLOOKUP(TrendSheetStgData[Population]&amp;TrendSheetStgData[Trend],Threshold[#All],5,FALSE)</f>
        <v>5</v>
      </c>
      <c r="M4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8" spans="1:13" x14ac:dyDescent="0.25">
      <c r="A488" t="s">
        <v>90</v>
      </c>
      <c r="B488" t="s">
        <v>90</v>
      </c>
      <c r="C488" t="s">
        <v>78</v>
      </c>
      <c r="D488" s="1" t="s">
        <v>103</v>
      </c>
      <c r="E488" t="s">
        <v>93</v>
      </c>
      <c r="F488" t="s">
        <v>23</v>
      </c>
      <c r="G488">
        <v>12</v>
      </c>
      <c r="H488">
        <v>6</v>
      </c>
      <c r="I488" s="5">
        <f>IFERROR(VLOOKUP(TrendSheetStgData[Population]&amp;TrendSheetStgData[Cost Basis]&amp;TrendSheetStgData[Period]&amp;TrendSheetStgData[Trend],TrendSheetPrdData[#All],9,FALSE),0)</f>
        <v>6</v>
      </c>
      <c r="J4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8" s="5">
        <f>VLOOKUP(TrendSheetStgData[Population]&amp;TrendSheetStgData[Trend],Threshold[#All],4,FALSE)</f>
        <v>10</v>
      </c>
      <c r="L488" s="5">
        <f>VLOOKUP(TrendSheetStgData[Population]&amp;TrendSheetStgData[Trend],Threshold[#All],5,FALSE)</f>
        <v>5</v>
      </c>
      <c r="M4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9" spans="1:13" x14ac:dyDescent="0.25">
      <c r="A489" t="s">
        <v>90</v>
      </c>
      <c r="B489" t="s">
        <v>90</v>
      </c>
      <c r="C489" t="s">
        <v>78</v>
      </c>
      <c r="D489" s="1" t="s">
        <v>104</v>
      </c>
      <c r="E489" t="s">
        <v>93</v>
      </c>
      <c r="F489" t="s">
        <v>23</v>
      </c>
      <c r="G489">
        <v>12</v>
      </c>
      <c r="H489">
        <v>5</v>
      </c>
      <c r="I489" s="5">
        <f>IFERROR(VLOOKUP(TrendSheetStgData[Population]&amp;TrendSheetStgData[Cost Basis]&amp;TrendSheetStgData[Period]&amp;TrendSheetStgData[Trend],TrendSheetPrdData[#All],9,FALSE),0)</f>
        <v>5</v>
      </c>
      <c r="J4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9" s="5">
        <f>VLOOKUP(TrendSheetStgData[Population]&amp;TrendSheetStgData[Trend],Threshold[#All],4,FALSE)</f>
        <v>10</v>
      </c>
      <c r="L489" s="5">
        <f>VLOOKUP(TrendSheetStgData[Population]&amp;TrendSheetStgData[Trend],Threshold[#All],5,FALSE)</f>
        <v>5</v>
      </c>
      <c r="M4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0" spans="1:13" x14ac:dyDescent="0.25">
      <c r="A490" t="s">
        <v>90</v>
      </c>
      <c r="B490" t="s">
        <v>90</v>
      </c>
      <c r="C490" t="s">
        <v>78</v>
      </c>
      <c r="D490" s="1" t="s">
        <v>105</v>
      </c>
      <c r="E490" t="s">
        <v>106</v>
      </c>
      <c r="F490" t="s">
        <v>23</v>
      </c>
      <c r="G490">
        <v>12</v>
      </c>
      <c r="H490">
        <v>6</v>
      </c>
      <c r="I490" s="5">
        <f>IFERROR(VLOOKUP(TrendSheetStgData[Population]&amp;TrendSheetStgData[Cost Basis]&amp;TrendSheetStgData[Period]&amp;TrendSheetStgData[Trend],TrendSheetPrdData[#All],9,FALSE),0)</f>
        <v>4</v>
      </c>
      <c r="J4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v>
      </c>
      <c r="K490" s="5">
        <f>VLOOKUP(TrendSheetStgData[Population]&amp;TrendSheetStgData[Trend],Threshold[#All],4,FALSE)</f>
        <v>10</v>
      </c>
      <c r="L490" s="5">
        <f>VLOOKUP(TrendSheetStgData[Population]&amp;TrendSheetStgData[Trend],Threshold[#All],5,FALSE)</f>
        <v>5</v>
      </c>
      <c r="M4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91" spans="1:13" x14ac:dyDescent="0.25">
      <c r="A491" t="s">
        <v>90</v>
      </c>
      <c r="B491" t="s">
        <v>90</v>
      </c>
      <c r="C491" t="s">
        <v>78</v>
      </c>
      <c r="D491" s="1" t="s">
        <v>107</v>
      </c>
      <c r="E491" t="s">
        <v>106</v>
      </c>
      <c r="F491" t="s">
        <v>23</v>
      </c>
      <c r="G491">
        <v>12</v>
      </c>
      <c r="H491">
        <v>6</v>
      </c>
      <c r="I491" s="5">
        <f>IFERROR(VLOOKUP(TrendSheetStgData[Population]&amp;TrendSheetStgData[Cost Basis]&amp;TrendSheetStgData[Period]&amp;TrendSheetStgData[Trend],TrendSheetPrdData[#All],9,FALSE),0)</f>
        <v>0</v>
      </c>
      <c r="J4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91" s="5">
        <f>VLOOKUP(TrendSheetStgData[Population]&amp;TrendSheetStgData[Trend],Threshold[#All],4,FALSE)</f>
        <v>10</v>
      </c>
      <c r="L491" s="5">
        <f>VLOOKUP(TrendSheetStgData[Population]&amp;TrendSheetStgData[Trend],Threshold[#All],5,FALSE)</f>
        <v>5</v>
      </c>
      <c r="M4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92" spans="1:13" x14ac:dyDescent="0.25">
      <c r="A492" t="s">
        <v>90</v>
      </c>
      <c r="B492" t="s">
        <v>90</v>
      </c>
      <c r="C492" t="s">
        <v>78</v>
      </c>
      <c r="D492" s="1" t="s">
        <v>92</v>
      </c>
      <c r="E492" t="s">
        <v>93</v>
      </c>
      <c r="F492" t="s">
        <v>24</v>
      </c>
      <c r="G492">
        <v>13</v>
      </c>
      <c r="H492">
        <v>104399</v>
      </c>
      <c r="I492" s="5">
        <f>IFERROR(VLOOKUP(TrendSheetStgData[Population]&amp;TrendSheetStgData[Cost Basis]&amp;TrendSheetStgData[Period]&amp;TrendSheetStgData[Trend],TrendSheetPrdData[#All],9,FALSE),0)</f>
        <v>104399</v>
      </c>
      <c r="J4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2" s="5">
        <f>VLOOKUP(TrendSheetStgData[Population]&amp;TrendSheetStgData[Trend],Threshold[#All],4,FALSE)</f>
        <v>10</v>
      </c>
      <c r="L492" s="5">
        <f>VLOOKUP(TrendSheetStgData[Population]&amp;TrendSheetStgData[Trend],Threshold[#All],5,FALSE)</f>
        <v>5</v>
      </c>
      <c r="M4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3" spans="1:13" x14ac:dyDescent="0.25">
      <c r="A493" t="s">
        <v>90</v>
      </c>
      <c r="B493" t="s">
        <v>90</v>
      </c>
      <c r="C493" t="s">
        <v>78</v>
      </c>
      <c r="D493" s="1" t="s">
        <v>94</v>
      </c>
      <c r="E493" t="s">
        <v>93</v>
      </c>
      <c r="F493" t="s">
        <v>24</v>
      </c>
      <c r="G493">
        <v>13</v>
      </c>
      <c r="H493">
        <v>53844</v>
      </c>
      <c r="I493" s="5">
        <f>IFERROR(VLOOKUP(TrendSheetStgData[Population]&amp;TrendSheetStgData[Cost Basis]&amp;TrendSheetStgData[Period]&amp;TrendSheetStgData[Trend],TrendSheetPrdData[#All],9,FALSE),0)</f>
        <v>53554</v>
      </c>
      <c r="J4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0.54150950442543966</v>
      </c>
      <c r="K493" s="5">
        <f>VLOOKUP(TrendSheetStgData[Population]&amp;TrendSheetStgData[Trend],Threshold[#All],4,FALSE)</f>
        <v>10</v>
      </c>
      <c r="L493" s="5">
        <f>VLOOKUP(TrendSheetStgData[Population]&amp;TrendSheetStgData[Trend],Threshold[#All],5,FALSE)</f>
        <v>5</v>
      </c>
      <c r="M4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4" spans="1:13" x14ac:dyDescent="0.25">
      <c r="A494" t="s">
        <v>90</v>
      </c>
      <c r="B494" t="s">
        <v>90</v>
      </c>
      <c r="C494" t="s">
        <v>78</v>
      </c>
      <c r="D494" s="1" t="s">
        <v>95</v>
      </c>
      <c r="E494" t="s">
        <v>93</v>
      </c>
      <c r="F494" t="s">
        <v>24</v>
      </c>
      <c r="G494">
        <v>13</v>
      </c>
      <c r="H494">
        <v>117097</v>
      </c>
      <c r="I494" s="5">
        <f>IFERROR(VLOOKUP(TrendSheetStgData[Population]&amp;TrendSheetStgData[Cost Basis]&amp;TrendSheetStgData[Period]&amp;TrendSheetStgData[Trend],TrendSheetPrdData[#All],9,FALSE),0)</f>
        <v>116817</v>
      </c>
      <c r="J4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0.23969114084422644</v>
      </c>
      <c r="K494" s="5">
        <f>VLOOKUP(TrendSheetStgData[Population]&amp;TrendSheetStgData[Trend],Threshold[#All],4,FALSE)</f>
        <v>10</v>
      </c>
      <c r="L494" s="5">
        <f>VLOOKUP(TrendSheetStgData[Population]&amp;TrendSheetStgData[Trend],Threshold[#All],5,FALSE)</f>
        <v>5</v>
      </c>
      <c r="M4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5" spans="1:13" x14ac:dyDescent="0.25">
      <c r="A495" t="s">
        <v>90</v>
      </c>
      <c r="B495" t="s">
        <v>90</v>
      </c>
      <c r="C495" t="s">
        <v>78</v>
      </c>
      <c r="D495" s="1" t="s">
        <v>96</v>
      </c>
      <c r="E495" t="s">
        <v>93</v>
      </c>
      <c r="F495" t="s">
        <v>24</v>
      </c>
      <c r="G495">
        <v>13</v>
      </c>
      <c r="H495">
        <v>151903</v>
      </c>
      <c r="I495" s="5">
        <f>IFERROR(VLOOKUP(TrendSheetStgData[Population]&amp;TrendSheetStgData[Cost Basis]&amp;TrendSheetStgData[Period]&amp;TrendSheetStgData[Trend],TrendSheetPrdData[#All],9,FALSE),0)</f>
        <v>151320</v>
      </c>
      <c r="J4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0.38527623579169973</v>
      </c>
      <c r="K495" s="5">
        <f>VLOOKUP(TrendSheetStgData[Population]&amp;TrendSheetStgData[Trend],Threshold[#All],4,FALSE)</f>
        <v>10</v>
      </c>
      <c r="L495" s="5">
        <f>VLOOKUP(TrendSheetStgData[Population]&amp;TrendSheetStgData[Trend],Threshold[#All],5,FALSE)</f>
        <v>5</v>
      </c>
      <c r="M4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6" spans="1:13" x14ac:dyDescent="0.25">
      <c r="A496" t="s">
        <v>90</v>
      </c>
      <c r="B496" t="s">
        <v>90</v>
      </c>
      <c r="C496" t="s">
        <v>78</v>
      </c>
      <c r="D496" s="1" t="s">
        <v>97</v>
      </c>
      <c r="E496" t="s">
        <v>93</v>
      </c>
      <c r="F496" t="s">
        <v>24</v>
      </c>
      <c r="G496">
        <v>13</v>
      </c>
      <c r="H496">
        <v>116990</v>
      </c>
      <c r="I496" s="5">
        <f>IFERROR(VLOOKUP(TrendSheetStgData[Population]&amp;TrendSheetStgData[Cost Basis]&amp;TrendSheetStgData[Period]&amp;TrendSheetStgData[Trend],TrendSheetPrdData[#All],9,FALSE),0)</f>
        <v>116990</v>
      </c>
      <c r="J4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6" s="5">
        <f>VLOOKUP(TrendSheetStgData[Population]&amp;TrendSheetStgData[Trend],Threshold[#All],4,FALSE)</f>
        <v>10</v>
      </c>
      <c r="L496" s="5">
        <f>VLOOKUP(TrendSheetStgData[Population]&amp;TrendSheetStgData[Trend],Threshold[#All],5,FALSE)</f>
        <v>5</v>
      </c>
      <c r="M4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7" spans="1:13" x14ac:dyDescent="0.25">
      <c r="A497" t="s">
        <v>90</v>
      </c>
      <c r="B497" t="s">
        <v>90</v>
      </c>
      <c r="C497" t="s">
        <v>78</v>
      </c>
      <c r="D497" s="1" t="s">
        <v>98</v>
      </c>
      <c r="E497" t="s">
        <v>93</v>
      </c>
      <c r="F497" t="s">
        <v>24</v>
      </c>
      <c r="G497">
        <v>13</v>
      </c>
      <c r="H497">
        <v>93326</v>
      </c>
      <c r="I497" s="5">
        <f>IFERROR(VLOOKUP(TrendSheetStgData[Population]&amp;TrendSheetStgData[Cost Basis]&amp;TrendSheetStgData[Period]&amp;TrendSheetStgData[Trend],TrendSheetPrdData[#All],9,FALSE),0)</f>
        <v>93232</v>
      </c>
      <c r="J4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0.10082375150163034</v>
      </c>
      <c r="K497" s="5">
        <f>VLOOKUP(TrendSheetStgData[Population]&amp;TrendSheetStgData[Trend],Threshold[#All],4,FALSE)</f>
        <v>10</v>
      </c>
      <c r="L497" s="5">
        <f>VLOOKUP(TrendSheetStgData[Population]&amp;TrendSheetStgData[Trend],Threshold[#All],5,FALSE)</f>
        <v>5</v>
      </c>
      <c r="M4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8" spans="1:13" x14ac:dyDescent="0.25">
      <c r="A498" t="s">
        <v>90</v>
      </c>
      <c r="B498" t="s">
        <v>90</v>
      </c>
      <c r="C498" t="s">
        <v>78</v>
      </c>
      <c r="D498" s="1" t="s">
        <v>99</v>
      </c>
      <c r="E498" t="s">
        <v>93</v>
      </c>
      <c r="F498" t="s">
        <v>24</v>
      </c>
      <c r="G498">
        <v>13</v>
      </c>
      <c r="H498">
        <v>105556</v>
      </c>
      <c r="I498" s="5">
        <f>IFERROR(VLOOKUP(TrendSheetStgData[Population]&amp;TrendSheetStgData[Cost Basis]&amp;TrendSheetStgData[Period]&amp;TrendSheetStgData[Trend],TrendSheetPrdData[#All],9,FALSE),0)</f>
        <v>105556</v>
      </c>
      <c r="J4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8" s="5">
        <f>VLOOKUP(TrendSheetStgData[Population]&amp;TrendSheetStgData[Trend],Threshold[#All],4,FALSE)</f>
        <v>10</v>
      </c>
      <c r="L498" s="5">
        <f>VLOOKUP(TrendSheetStgData[Population]&amp;TrendSheetStgData[Trend],Threshold[#All],5,FALSE)</f>
        <v>5</v>
      </c>
      <c r="M4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9" spans="1:13" x14ac:dyDescent="0.25">
      <c r="A499" t="s">
        <v>90</v>
      </c>
      <c r="B499" t="s">
        <v>90</v>
      </c>
      <c r="C499" t="s">
        <v>78</v>
      </c>
      <c r="D499" s="1" t="s">
        <v>100</v>
      </c>
      <c r="E499" t="s">
        <v>93</v>
      </c>
      <c r="F499" t="s">
        <v>24</v>
      </c>
      <c r="G499">
        <v>13</v>
      </c>
      <c r="H499">
        <v>135037</v>
      </c>
      <c r="I499" s="5">
        <f>IFERROR(VLOOKUP(TrendSheetStgData[Population]&amp;TrendSheetStgData[Cost Basis]&amp;TrendSheetStgData[Period]&amp;TrendSheetStgData[Trend],TrendSheetPrdData[#All],9,FALSE),0)</f>
        <v>135337</v>
      </c>
      <c r="J4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0.22166887104043978</v>
      </c>
      <c r="K499" s="5">
        <f>VLOOKUP(TrendSheetStgData[Population]&amp;TrendSheetStgData[Trend],Threshold[#All],4,FALSE)</f>
        <v>10</v>
      </c>
      <c r="L499" s="5">
        <f>VLOOKUP(TrendSheetStgData[Population]&amp;TrendSheetStgData[Trend],Threshold[#All],5,FALSE)</f>
        <v>5</v>
      </c>
      <c r="M4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00" spans="1:13" x14ac:dyDescent="0.25">
      <c r="A500" t="s">
        <v>90</v>
      </c>
      <c r="B500" t="s">
        <v>90</v>
      </c>
      <c r="C500" t="s">
        <v>78</v>
      </c>
      <c r="D500" s="1" t="s">
        <v>101</v>
      </c>
      <c r="E500" t="s">
        <v>93</v>
      </c>
      <c r="F500" t="s">
        <v>24</v>
      </c>
      <c r="G500">
        <v>13</v>
      </c>
      <c r="H500">
        <v>100524</v>
      </c>
      <c r="I500" s="5">
        <f>IFERROR(VLOOKUP(TrendSheetStgData[Population]&amp;TrendSheetStgData[Cost Basis]&amp;TrendSheetStgData[Period]&amp;TrendSheetStgData[Trend],TrendSheetPrdData[#All],9,FALSE),0)</f>
        <v>100524</v>
      </c>
      <c r="J5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0" s="5">
        <f>VLOOKUP(TrendSheetStgData[Population]&amp;TrendSheetStgData[Trend],Threshold[#All],4,FALSE)</f>
        <v>10</v>
      </c>
      <c r="L500" s="5">
        <f>VLOOKUP(TrendSheetStgData[Population]&amp;TrendSheetStgData[Trend],Threshold[#All],5,FALSE)</f>
        <v>5</v>
      </c>
      <c r="M5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1" spans="1:13" x14ac:dyDescent="0.25">
      <c r="A501" t="s">
        <v>90</v>
      </c>
      <c r="B501" t="s">
        <v>90</v>
      </c>
      <c r="C501" t="s">
        <v>78</v>
      </c>
      <c r="D501" s="1" t="s">
        <v>102</v>
      </c>
      <c r="E501" t="s">
        <v>93</v>
      </c>
      <c r="F501" t="s">
        <v>24</v>
      </c>
      <c r="G501">
        <v>13</v>
      </c>
      <c r="H501">
        <v>95389</v>
      </c>
      <c r="I501" s="5">
        <f>IFERROR(VLOOKUP(TrendSheetStgData[Population]&amp;TrendSheetStgData[Cost Basis]&amp;TrendSheetStgData[Period]&amp;TrendSheetStgData[Trend],TrendSheetPrdData[#All],9,FALSE),0)</f>
        <v>93266</v>
      </c>
      <c r="J5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2.2762850342032466</v>
      </c>
      <c r="K501" s="5">
        <f>VLOOKUP(TrendSheetStgData[Population]&amp;TrendSheetStgData[Trend],Threshold[#All],4,FALSE)</f>
        <v>10</v>
      </c>
      <c r="L501" s="5">
        <f>VLOOKUP(TrendSheetStgData[Population]&amp;TrendSheetStgData[Trend],Threshold[#All],5,FALSE)</f>
        <v>5</v>
      </c>
      <c r="M5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02" spans="1:13" x14ac:dyDescent="0.25">
      <c r="A502" t="s">
        <v>90</v>
      </c>
      <c r="B502" t="s">
        <v>90</v>
      </c>
      <c r="C502" t="s">
        <v>78</v>
      </c>
      <c r="D502" s="1" t="s">
        <v>103</v>
      </c>
      <c r="E502" t="s">
        <v>93</v>
      </c>
      <c r="F502" t="s">
        <v>24</v>
      </c>
      <c r="G502">
        <v>13</v>
      </c>
      <c r="H502">
        <v>90721</v>
      </c>
      <c r="I502" s="5">
        <f>IFERROR(VLOOKUP(TrendSheetStgData[Population]&amp;TrendSheetStgData[Cost Basis]&amp;TrendSheetStgData[Period]&amp;TrendSheetStgData[Trend],TrendSheetPrdData[#All],9,FALSE),0)</f>
        <v>81781</v>
      </c>
      <c r="J5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10.931634487228086</v>
      </c>
      <c r="K502" s="5">
        <f>VLOOKUP(TrendSheetStgData[Population]&amp;TrendSheetStgData[Trend],Threshold[#All],4,FALSE)</f>
        <v>10</v>
      </c>
      <c r="L502" s="5">
        <f>VLOOKUP(TrendSheetStgData[Population]&amp;TrendSheetStgData[Trend],Threshold[#All],5,FALSE)</f>
        <v>5</v>
      </c>
      <c r="M5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3" spans="1:13" x14ac:dyDescent="0.25">
      <c r="A503" t="s">
        <v>90</v>
      </c>
      <c r="B503" t="s">
        <v>90</v>
      </c>
      <c r="C503" t="s">
        <v>78</v>
      </c>
      <c r="D503" s="1" t="s">
        <v>104</v>
      </c>
      <c r="E503" t="s">
        <v>93</v>
      </c>
      <c r="F503" t="s">
        <v>24</v>
      </c>
      <c r="G503">
        <v>13</v>
      </c>
      <c r="H503">
        <v>118199</v>
      </c>
      <c r="I503" s="5">
        <f>IFERROR(VLOOKUP(TrendSheetStgData[Population]&amp;TrendSheetStgData[Cost Basis]&amp;TrendSheetStgData[Period]&amp;TrendSheetStgData[Trend],TrendSheetPrdData[#All],9,FALSE),0)</f>
        <v>106030</v>
      </c>
      <c r="J5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11.476940488540979</v>
      </c>
      <c r="K503" s="5">
        <f>VLOOKUP(TrendSheetStgData[Population]&amp;TrendSheetStgData[Trend],Threshold[#All],4,FALSE)</f>
        <v>10</v>
      </c>
      <c r="L503" s="5">
        <f>VLOOKUP(TrendSheetStgData[Population]&amp;TrendSheetStgData[Trend],Threshold[#All],5,FALSE)</f>
        <v>5</v>
      </c>
      <c r="M5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4" spans="1:13" x14ac:dyDescent="0.25">
      <c r="A504" t="s">
        <v>90</v>
      </c>
      <c r="B504" t="s">
        <v>90</v>
      </c>
      <c r="C504" t="s">
        <v>78</v>
      </c>
      <c r="D504" s="1" t="s">
        <v>105</v>
      </c>
      <c r="E504" t="s">
        <v>106</v>
      </c>
      <c r="F504" t="s">
        <v>24</v>
      </c>
      <c r="G504">
        <v>13</v>
      </c>
      <c r="H504">
        <v>90259</v>
      </c>
      <c r="I504" s="5">
        <f>IFERROR(VLOOKUP(TrendSheetStgData[Population]&amp;TrendSheetStgData[Cost Basis]&amp;TrendSheetStgData[Period]&amp;TrendSheetStgData[Trend],TrendSheetPrdData[#All],9,FALSE),0)</f>
        <v>7076</v>
      </c>
      <c r="J5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1175.5652911249294</v>
      </c>
      <c r="K504" s="5">
        <f>VLOOKUP(TrendSheetStgData[Population]&amp;TrendSheetStgData[Trend],Threshold[#All],4,FALSE)</f>
        <v>10</v>
      </c>
      <c r="L504" s="5">
        <f>VLOOKUP(TrendSheetStgData[Population]&amp;TrendSheetStgData[Trend],Threshold[#All],5,FALSE)</f>
        <v>5</v>
      </c>
      <c r="M5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5" spans="1:13" x14ac:dyDescent="0.25">
      <c r="A505" t="s">
        <v>90</v>
      </c>
      <c r="B505" t="s">
        <v>90</v>
      </c>
      <c r="C505" t="s">
        <v>78</v>
      </c>
      <c r="D505" s="1" t="s">
        <v>107</v>
      </c>
      <c r="E505" t="s">
        <v>106</v>
      </c>
      <c r="F505" t="s">
        <v>24</v>
      </c>
      <c r="G505">
        <v>13</v>
      </c>
      <c r="H505">
        <v>27086</v>
      </c>
      <c r="I505" s="5">
        <f>IFERROR(VLOOKUP(TrendSheetStgData[Population]&amp;TrendSheetStgData[Cost Basis]&amp;TrendSheetStgData[Period]&amp;TrendSheetStgData[Trend],TrendSheetPrdData[#All],9,FALSE),0)</f>
        <v>0</v>
      </c>
      <c r="J5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05" s="5">
        <f>VLOOKUP(TrendSheetStgData[Population]&amp;TrendSheetStgData[Trend],Threshold[#All],4,FALSE)</f>
        <v>10</v>
      </c>
      <c r="L505" s="5">
        <f>VLOOKUP(TrendSheetStgData[Population]&amp;TrendSheetStgData[Trend],Threshold[#All],5,FALSE)</f>
        <v>5</v>
      </c>
      <c r="M5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6" spans="1:13" x14ac:dyDescent="0.25">
      <c r="A506" t="s">
        <v>90</v>
      </c>
      <c r="B506" t="s">
        <v>90</v>
      </c>
      <c r="C506" t="s">
        <v>78</v>
      </c>
      <c r="D506" s="1" t="s">
        <v>92</v>
      </c>
      <c r="E506" t="s">
        <v>93</v>
      </c>
      <c r="F506" t="s">
        <v>25</v>
      </c>
      <c r="G506">
        <v>14</v>
      </c>
      <c r="H506">
        <v>144</v>
      </c>
      <c r="I506" s="5">
        <f>IFERROR(VLOOKUP(TrendSheetStgData[Population]&amp;TrendSheetStgData[Cost Basis]&amp;TrendSheetStgData[Period]&amp;TrendSheetStgData[Trend],TrendSheetPrdData[#All],9,FALSE),0)</f>
        <v>144</v>
      </c>
      <c r="J5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6" s="5">
        <f>VLOOKUP(TrendSheetStgData[Population]&amp;TrendSheetStgData[Trend],Threshold[#All],4,FALSE)</f>
        <v>10</v>
      </c>
      <c r="L506" s="5">
        <f>VLOOKUP(TrendSheetStgData[Population]&amp;TrendSheetStgData[Trend],Threshold[#All],5,FALSE)</f>
        <v>5</v>
      </c>
      <c r="M5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7" spans="1:13" x14ac:dyDescent="0.25">
      <c r="A507" t="s">
        <v>90</v>
      </c>
      <c r="B507" t="s">
        <v>90</v>
      </c>
      <c r="C507" t="s">
        <v>78</v>
      </c>
      <c r="D507" s="1" t="s">
        <v>94</v>
      </c>
      <c r="E507" t="s">
        <v>93</v>
      </c>
      <c r="F507" t="s">
        <v>25</v>
      </c>
      <c r="G507">
        <v>14</v>
      </c>
      <c r="H507">
        <v>126</v>
      </c>
      <c r="I507" s="5">
        <f>IFERROR(VLOOKUP(TrendSheetStgData[Population]&amp;TrendSheetStgData[Cost Basis]&amp;TrendSheetStgData[Period]&amp;TrendSheetStgData[Trend],TrendSheetPrdData[#All],9,FALSE),0)</f>
        <v>125</v>
      </c>
      <c r="J5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v>
      </c>
      <c r="K507" s="5">
        <f>VLOOKUP(TrendSheetStgData[Population]&amp;TrendSheetStgData[Trend],Threshold[#All],4,FALSE)</f>
        <v>10</v>
      </c>
      <c r="L507" s="5">
        <f>VLOOKUP(TrendSheetStgData[Population]&amp;TrendSheetStgData[Trend],Threshold[#All],5,FALSE)</f>
        <v>5</v>
      </c>
      <c r="M5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08" spans="1:13" x14ac:dyDescent="0.25">
      <c r="A508" t="s">
        <v>90</v>
      </c>
      <c r="B508" t="s">
        <v>90</v>
      </c>
      <c r="C508" t="s">
        <v>78</v>
      </c>
      <c r="D508" s="1" t="s">
        <v>95</v>
      </c>
      <c r="E508" t="s">
        <v>93</v>
      </c>
      <c r="F508" t="s">
        <v>25</v>
      </c>
      <c r="G508">
        <v>14</v>
      </c>
      <c r="H508">
        <v>157</v>
      </c>
      <c r="I508" s="5">
        <f>IFERROR(VLOOKUP(TrendSheetStgData[Population]&amp;TrendSheetStgData[Cost Basis]&amp;TrendSheetStgData[Period]&amp;TrendSheetStgData[Trend],TrendSheetPrdData[#All],9,FALSE),0)</f>
        <v>156</v>
      </c>
      <c r="J5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0.64102564102564097</v>
      </c>
      <c r="K508" s="5">
        <f>VLOOKUP(TrendSheetStgData[Population]&amp;TrendSheetStgData[Trend],Threshold[#All],4,FALSE)</f>
        <v>10</v>
      </c>
      <c r="L508" s="5">
        <f>VLOOKUP(TrendSheetStgData[Population]&amp;TrendSheetStgData[Trend],Threshold[#All],5,FALSE)</f>
        <v>5</v>
      </c>
      <c r="M5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09" spans="1:13" x14ac:dyDescent="0.25">
      <c r="A509" t="s">
        <v>90</v>
      </c>
      <c r="B509" t="s">
        <v>90</v>
      </c>
      <c r="C509" t="s">
        <v>78</v>
      </c>
      <c r="D509" s="1" t="s">
        <v>96</v>
      </c>
      <c r="E509" t="s">
        <v>93</v>
      </c>
      <c r="F509" t="s">
        <v>25</v>
      </c>
      <c r="G509">
        <v>14</v>
      </c>
      <c r="H509">
        <v>209</v>
      </c>
      <c r="I509" s="5">
        <f>IFERROR(VLOOKUP(TrendSheetStgData[Population]&amp;TrendSheetStgData[Cost Basis]&amp;TrendSheetStgData[Period]&amp;TrendSheetStgData[Trend],TrendSheetPrdData[#All],9,FALSE),0)</f>
        <v>209</v>
      </c>
      <c r="J5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9" s="5">
        <f>VLOOKUP(TrendSheetStgData[Population]&amp;TrendSheetStgData[Trend],Threshold[#All],4,FALSE)</f>
        <v>10</v>
      </c>
      <c r="L509" s="5">
        <f>VLOOKUP(TrendSheetStgData[Population]&amp;TrendSheetStgData[Trend],Threshold[#All],5,FALSE)</f>
        <v>5</v>
      </c>
      <c r="M5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0" spans="1:13" x14ac:dyDescent="0.25">
      <c r="A510" t="s">
        <v>90</v>
      </c>
      <c r="B510" t="s">
        <v>90</v>
      </c>
      <c r="C510" t="s">
        <v>78</v>
      </c>
      <c r="D510" s="1" t="s">
        <v>97</v>
      </c>
      <c r="E510" t="s">
        <v>93</v>
      </c>
      <c r="F510" t="s">
        <v>25</v>
      </c>
      <c r="G510">
        <v>14</v>
      </c>
      <c r="H510">
        <v>169</v>
      </c>
      <c r="I510" s="5">
        <f>IFERROR(VLOOKUP(TrendSheetStgData[Population]&amp;TrendSheetStgData[Cost Basis]&amp;TrendSheetStgData[Period]&amp;TrendSheetStgData[Trend],TrendSheetPrdData[#All],9,FALSE),0)</f>
        <v>169</v>
      </c>
      <c r="J5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0" s="5">
        <f>VLOOKUP(TrendSheetStgData[Population]&amp;TrendSheetStgData[Trend],Threshold[#All],4,FALSE)</f>
        <v>10</v>
      </c>
      <c r="L510" s="5">
        <f>VLOOKUP(TrendSheetStgData[Population]&amp;TrendSheetStgData[Trend],Threshold[#All],5,FALSE)</f>
        <v>5</v>
      </c>
      <c r="M5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1" spans="1:13" x14ac:dyDescent="0.25">
      <c r="A511" t="s">
        <v>90</v>
      </c>
      <c r="B511" t="s">
        <v>90</v>
      </c>
      <c r="C511" t="s">
        <v>78</v>
      </c>
      <c r="D511" s="1" t="s">
        <v>98</v>
      </c>
      <c r="E511" t="s">
        <v>93</v>
      </c>
      <c r="F511" t="s">
        <v>25</v>
      </c>
      <c r="G511">
        <v>14</v>
      </c>
      <c r="H511">
        <v>147</v>
      </c>
      <c r="I511" s="5">
        <f>IFERROR(VLOOKUP(TrendSheetStgData[Population]&amp;TrendSheetStgData[Cost Basis]&amp;TrendSheetStgData[Period]&amp;TrendSheetStgData[Trend],TrendSheetPrdData[#All],9,FALSE),0)</f>
        <v>145</v>
      </c>
      <c r="J5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1.3793103448275863</v>
      </c>
      <c r="K511" s="5">
        <f>VLOOKUP(TrendSheetStgData[Population]&amp;TrendSheetStgData[Trend],Threshold[#All],4,FALSE)</f>
        <v>10</v>
      </c>
      <c r="L511" s="5">
        <f>VLOOKUP(TrendSheetStgData[Population]&amp;TrendSheetStgData[Trend],Threshold[#All],5,FALSE)</f>
        <v>5</v>
      </c>
      <c r="M5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2" spans="1:13" x14ac:dyDescent="0.25">
      <c r="A512" t="s">
        <v>90</v>
      </c>
      <c r="B512" t="s">
        <v>90</v>
      </c>
      <c r="C512" t="s">
        <v>78</v>
      </c>
      <c r="D512" s="1" t="s">
        <v>99</v>
      </c>
      <c r="E512" t="s">
        <v>93</v>
      </c>
      <c r="F512" t="s">
        <v>25</v>
      </c>
      <c r="G512">
        <v>14</v>
      </c>
      <c r="H512">
        <v>191</v>
      </c>
      <c r="I512" s="5">
        <f>IFERROR(VLOOKUP(TrendSheetStgData[Population]&amp;TrendSheetStgData[Cost Basis]&amp;TrendSheetStgData[Period]&amp;TrendSheetStgData[Trend],TrendSheetPrdData[#All],9,FALSE),0)</f>
        <v>191</v>
      </c>
      <c r="J5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2" s="5">
        <f>VLOOKUP(TrendSheetStgData[Population]&amp;TrendSheetStgData[Trend],Threshold[#All],4,FALSE)</f>
        <v>10</v>
      </c>
      <c r="L512" s="5">
        <f>VLOOKUP(TrendSheetStgData[Population]&amp;TrendSheetStgData[Trend],Threshold[#All],5,FALSE)</f>
        <v>5</v>
      </c>
      <c r="M5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3" spans="1:13" x14ac:dyDescent="0.25">
      <c r="A513" t="s">
        <v>90</v>
      </c>
      <c r="B513" t="s">
        <v>90</v>
      </c>
      <c r="C513" t="s">
        <v>78</v>
      </c>
      <c r="D513" s="1" t="s">
        <v>100</v>
      </c>
      <c r="E513" t="s">
        <v>93</v>
      </c>
      <c r="F513" t="s">
        <v>25</v>
      </c>
      <c r="G513">
        <v>14</v>
      </c>
      <c r="H513">
        <v>187</v>
      </c>
      <c r="I513" s="5">
        <f>IFERROR(VLOOKUP(TrendSheetStgData[Population]&amp;TrendSheetStgData[Cost Basis]&amp;TrendSheetStgData[Period]&amp;TrendSheetStgData[Trend],TrendSheetPrdData[#All],9,FALSE),0)</f>
        <v>186</v>
      </c>
      <c r="J5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0.53763440860215062</v>
      </c>
      <c r="K513" s="5">
        <f>VLOOKUP(TrendSheetStgData[Population]&amp;TrendSheetStgData[Trend],Threshold[#All],4,FALSE)</f>
        <v>10</v>
      </c>
      <c r="L513" s="5">
        <f>VLOOKUP(TrendSheetStgData[Population]&amp;TrendSheetStgData[Trend],Threshold[#All],5,FALSE)</f>
        <v>5</v>
      </c>
      <c r="M5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4" spans="1:13" x14ac:dyDescent="0.25">
      <c r="A514" t="s">
        <v>90</v>
      </c>
      <c r="B514" t="s">
        <v>90</v>
      </c>
      <c r="C514" t="s">
        <v>78</v>
      </c>
      <c r="D514" s="1" t="s">
        <v>101</v>
      </c>
      <c r="E514" t="s">
        <v>93</v>
      </c>
      <c r="F514" t="s">
        <v>25</v>
      </c>
      <c r="G514">
        <v>14</v>
      </c>
      <c r="H514">
        <v>146</v>
      </c>
      <c r="I514" s="5">
        <f>IFERROR(VLOOKUP(TrendSheetStgData[Population]&amp;TrendSheetStgData[Cost Basis]&amp;TrendSheetStgData[Period]&amp;TrendSheetStgData[Trend],TrendSheetPrdData[#All],9,FALSE),0)</f>
        <v>146</v>
      </c>
      <c r="J5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4" s="5">
        <f>VLOOKUP(TrendSheetStgData[Population]&amp;TrendSheetStgData[Trend],Threshold[#All],4,FALSE)</f>
        <v>10</v>
      </c>
      <c r="L514" s="5">
        <f>VLOOKUP(TrendSheetStgData[Population]&amp;TrendSheetStgData[Trend],Threshold[#All],5,FALSE)</f>
        <v>5</v>
      </c>
      <c r="M5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5" spans="1:13" x14ac:dyDescent="0.25">
      <c r="A515" t="s">
        <v>90</v>
      </c>
      <c r="B515" t="s">
        <v>90</v>
      </c>
      <c r="C515" t="s">
        <v>78</v>
      </c>
      <c r="D515" s="1" t="s">
        <v>102</v>
      </c>
      <c r="E515" t="s">
        <v>93</v>
      </c>
      <c r="F515" t="s">
        <v>25</v>
      </c>
      <c r="G515">
        <v>14</v>
      </c>
      <c r="H515">
        <v>152</v>
      </c>
      <c r="I515" s="5">
        <f>IFERROR(VLOOKUP(TrendSheetStgData[Population]&amp;TrendSheetStgData[Cost Basis]&amp;TrendSheetStgData[Period]&amp;TrendSheetStgData[Trend],TrendSheetPrdData[#All],9,FALSE),0)</f>
        <v>150</v>
      </c>
      <c r="J5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1.3333333333333335</v>
      </c>
      <c r="K515" s="5">
        <f>VLOOKUP(TrendSheetStgData[Population]&amp;TrendSheetStgData[Trend],Threshold[#All],4,FALSE)</f>
        <v>10</v>
      </c>
      <c r="L515" s="5">
        <f>VLOOKUP(TrendSheetStgData[Population]&amp;TrendSheetStgData[Trend],Threshold[#All],5,FALSE)</f>
        <v>5</v>
      </c>
      <c r="M5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6" spans="1:13" x14ac:dyDescent="0.25">
      <c r="A516" t="s">
        <v>90</v>
      </c>
      <c r="B516" t="s">
        <v>90</v>
      </c>
      <c r="C516" t="s">
        <v>78</v>
      </c>
      <c r="D516" s="1" t="s">
        <v>103</v>
      </c>
      <c r="E516" t="s">
        <v>93</v>
      </c>
      <c r="F516" t="s">
        <v>25</v>
      </c>
      <c r="G516">
        <v>14</v>
      </c>
      <c r="H516">
        <v>146</v>
      </c>
      <c r="I516" s="5">
        <f>IFERROR(VLOOKUP(TrendSheetStgData[Population]&amp;TrendSheetStgData[Cost Basis]&amp;TrendSheetStgData[Period]&amp;TrendSheetStgData[Trend],TrendSheetPrdData[#All],9,FALSE),0)</f>
        <v>142</v>
      </c>
      <c r="J5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2.8169014084507045</v>
      </c>
      <c r="K516" s="5">
        <f>VLOOKUP(TrendSheetStgData[Population]&amp;TrendSheetStgData[Trend],Threshold[#All],4,FALSE)</f>
        <v>10</v>
      </c>
      <c r="L516" s="5">
        <f>VLOOKUP(TrendSheetStgData[Population]&amp;TrendSheetStgData[Trend],Threshold[#All],5,FALSE)</f>
        <v>5</v>
      </c>
      <c r="M5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7" spans="1:13" x14ac:dyDescent="0.25">
      <c r="A517" t="s">
        <v>90</v>
      </c>
      <c r="B517" t="s">
        <v>90</v>
      </c>
      <c r="C517" t="s">
        <v>78</v>
      </c>
      <c r="D517" s="1" t="s">
        <v>104</v>
      </c>
      <c r="E517" t="s">
        <v>93</v>
      </c>
      <c r="F517" t="s">
        <v>25</v>
      </c>
      <c r="G517">
        <v>14</v>
      </c>
      <c r="H517">
        <v>185</v>
      </c>
      <c r="I517" s="5">
        <f>IFERROR(VLOOKUP(TrendSheetStgData[Population]&amp;TrendSheetStgData[Cost Basis]&amp;TrendSheetStgData[Period]&amp;TrendSheetStgData[Trend],TrendSheetPrdData[#All],9,FALSE),0)</f>
        <v>167</v>
      </c>
      <c r="J5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10.778443113772456</v>
      </c>
      <c r="K517" s="5">
        <f>VLOOKUP(TrendSheetStgData[Population]&amp;TrendSheetStgData[Trend],Threshold[#All],4,FALSE)</f>
        <v>10</v>
      </c>
      <c r="L517" s="5">
        <f>VLOOKUP(TrendSheetStgData[Population]&amp;TrendSheetStgData[Trend],Threshold[#All],5,FALSE)</f>
        <v>5</v>
      </c>
      <c r="M5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8" spans="1:13" x14ac:dyDescent="0.25">
      <c r="A518" t="s">
        <v>90</v>
      </c>
      <c r="B518" t="s">
        <v>90</v>
      </c>
      <c r="C518" t="s">
        <v>78</v>
      </c>
      <c r="D518" s="1" t="s">
        <v>105</v>
      </c>
      <c r="E518" t="s">
        <v>106</v>
      </c>
      <c r="F518" t="s">
        <v>25</v>
      </c>
      <c r="G518">
        <v>14</v>
      </c>
      <c r="H518">
        <v>150</v>
      </c>
      <c r="I518" s="5">
        <f>IFERROR(VLOOKUP(TrendSheetStgData[Population]&amp;TrendSheetStgData[Cost Basis]&amp;TrendSheetStgData[Period]&amp;TrendSheetStgData[Trend],TrendSheetPrdData[#All],9,FALSE),0)</f>
        <v>11</v>
      </c>
      <c r="J5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1263.6363636363637</v>
      </c>
      <c r="K518" s="5">
        <f>VLOOKUP(TrendSheetStgData[Population]&amp;TrendSheetStgData[Trend],Threshold[#All],4,FALSE)</f>
        <v>10</v>
      </c>
      <c r="L518" s="5">
        <f>VLOOKUP(TrendSheetStgData[Population]&amp;TrendSheetStgData[Trend],Threshold[#All],5,FALSE)</f>
        <v>5</v>
      </c>
      <c r="M5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9" spans="1:13" x14ac:dyDescent="0.25">
      <c r="A519" t="s">
        <v>90</v>
      </c>
      <c r="B519" t="s">
        <v>90</v>
      </c>
      <c r="C519" t="s">
        <v>78</v>
      </c>
      <c r="D519" s="1" t="s">
        <v>107</v>
      </c>
      <c r="E519" t="s">
        <v>106</v>
      </c>
      <c r="F519" t="s">
        <v>25</v>
      </c>
      <c r="G519">
        <v>14</v>
      </c>
      <c r="H519">
        <v>37</v>
      </c>
      <c r="I519" s="5">
        <f>IFERROR(VLOOKUP(TrendSheetStgData[Population]&amp;TrendSheetStgData[Cost Basis]&amp;TrendSheetStgData[Period]&amp;TrendSheetStgData[Trend],TrendSheetPrdData[#All],9,FALSE),0)</f>
        <v>0</v>
      </c>
      <c r="J5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19" s="5">
        <f>VLOOKUP(TrendSheetStgData[Population]&amp;TrendSheetStgData[Trend],Threshold[#All],4,FALSE)</f>
        <v>10</v>
      </c>
      <c r="L519" s="5">
        <f>VLOOKUP(TrendSheetStgData[Population]&amp;TrendSheetStgData[Trend],Threshold[#All],5,FALSE)</f>
        <v>5</v>
      </c>
      <c r="M5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0" spans="1:13" x14ac:dyDescent="0.25">
      <c r="A520" t="s">
        <v>90</v>
      </c>
      <c r="B520" t="s">
        <v>90</v>
      </c>
      <c r="C520" t="s">
        <v>78</v>
      </c>
      <c r="D520" s="1" t="s">
        <v>92</v>
      </c>
      <c r="E520" t="s">
        <v>93</v>
      </c>
      <c r="F520" t="s">
        <v>26</v>
      </c>
      <c r="G520">
        <v>15</v>
      </c>
      <c r="H520">
        <v>557389</v>
      </c>
      <c r="I520" s="5">
        <f>IFERROR(VLOOKUP(TrendSheetStgData[Population]&amp;TrendSheetStgData[Cost Basis]&amp;TrendSheetStgData[Period]&amp;TrendSheetStgData[Trend],TrendSheetPrdData[#All],9,FALSE),0)</f>
        <v>557389</v>
      </c>
      <c r="J5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0" s="5">
        <f>VLOOKUP(TrendSheetStgData[Population]&amp;TrendSheetStgData[Trend],Threshold[#All],4,FALSE)</f>
        <v>10</v>
      </c>
      <c r="L520" s="5">
        <f>VLOOKUP(TrendSheetStgData[Population]&amp;TrendSheetStgData[Trend],Threshold[#All],5,FALSE)</f>
        <v>5</v>
      </c>
      <c r="M5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1" spans="1:13" x14ac:dyDescent="0.25">
      <c r="A521" t="s">
        <v>90</v>
      </c>
      <c r="B521" t="s">
        <v>90</v>
      </c>
      <c r="C521" t="s">
        <v>78</v>
      </c>
      <c r="D521" s="1" t="s">
        <v>94</v>
      </c>
      <c r="E521" t="s">
        <v>93</v>
      </c>
      <c r="F521" t="s">
        <v>26</v>
      </c>
      <c r="G521">
        <v>15</v>
      </c>
      <c r="H521">
        <v>616438</v>
      </c>
      <c r="I521" s="5">
        <f>IFERROR(VLOOKUP(TrendSheetStgData[Population]&amp;TrendSheetStgData[Cost Basis]&amp;TrendSheetStgData[Period]&amp;TrendSheetStgData[Trend],TrendSheetPrdData[#All],9,FALSE),0)</f>
        <v>616438</v>
      </c>
      <c r="J5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1" s="5">
        <f>VLOOKUP(TrendSheetStgData[Population]&amp;TrendSheetStgData[Trend],Threshold[#All],4,FALSE)</f>
        <v>10</v>
      </c>
      <c r="L521" s="5">
        <f>VLOOKUP(TrendSheetStgData[Population]&amp;TrendSheetStgData[Trend],Threshold[#All],5,FALSE)</f>
        <v>5</v>
      </c>
      <c r="M5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2" spans="1:13" x14ac:dyDescent="0.25">
      <c r="A522" t="s">
        <v>90</v>
      </c>
      <c r="B522" t="s">
        <v>90</v>
      </c>
      <c r="C522" t="s">
        <v>78</v>
      </c>
      <c r="D522" s="1" t="s">
        <v>95</v>
      </c>
      <c r="E522" t="s">
        <v>93</v>
      </c>
      <c r="F522" t="s">
        <v>26</v>
      </c>
      <c r="G522">
        <v>15</v>
      </c>
      <c r="H522">
        <v>628542</v>
      </c>
      <c r="I522" s="5">
        <f>IFERROR(VLOOKUP(TrendSheetStgData[Population]&amp;TrendSheetStgData[Cost Basis]&amp;TrendSheetStgData[Period]&amp;TrendSheetStgData[Trend],TrendSheetPrdData[#All],9,FALSE),0)</f>
        <v>628542</v>
      </c>
      <c r="J5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2" s="5">
        <f>VLOOKUP(TrendSheetStgData[Population]&amp;TrendSheetStgData[Trend],Threshold[#All],4,FALSE)</f>
        <v>10</v>
      </c>
      <c r="L522" s="5">
        <f>VLOOKUP(TrendSheetStgData[Population]&amp;TrendSheetStgData[Trend],Threshold[#All],5,FALSE)</f>
        <v>5</v>
      </c>
      <c r="M5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3" spans="1:13" x14ac:dyDescent="0.25">
      <c r="A523" t="s">
        <v>90</v>
      </c>
      <c r="B523" t="s">
        <v>90</v>
      </c>
      <c r="C523" t="s">
        <v>78</v>
      </c>
      <c r="D523" s="1" t="s">
        <v>96</v>
      </c>
      <c r="E523" t="s">
        <v>93</v>
      </c>
      <c r="F523" t="s">
        <v>26</v>
      </c>
      <c r="G523">
        <v>15</v>
      </c>
      <c r="H523">
        <v>639054</v>
      </c>
      <c r="I523" s="5">
        <f>IFERROR(VLOOKUP(TrendSheetStgData[Population]&amp;TrendSheetStgData[Cost Basis]&amp;TrendSheetStgData[Period]&amp;TrendSheetStgData[Trend],TrendSheetPrdData[#All],9,FALSE),0)</f>
        <v>639054</v>
      </c>
      <c r="J5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3" s="5">
        <f>VLOOKUP(TrendSheetStgData[Population]&amp;TrendSheetStgData[Trend],Threshold[#All],4,FALSE)</f>
        <v>10</v>
      </c>
      <c r="L523" s="5">
        <f>VLOOKUP(TrendSheetStgData[Population]&amp;TrendSheetStgData[Trend],Threshold[#All],5,FALSE)</f>
        <v>5</v>
      </c>
      <c r="M5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4" spans="1:13" x14ac:dyDescent="0.25">
      <c r="A524" t="s">
        <v>90</v>
      </c>
      <c r="B524" t="s">
        <v>90</v>
      </c>
      <c r="C524" t="s">
        <v>78</v>
      </c>
      <c r="D524" s="1" t="s">
        <v>97</v>
      </c>
      <c r="E524" t="s">
        <v>93</v>
      </c>
      <c r="F524" t="s">
        <v>26</v>
      </c>
      <c r="G524">
        <v>15</v>
      </c>
      <c r="H524">
        <v>794992</v>
      </c>
      <c r="I524" s="5">
        <f>IFERROR(VLOOKUP(TrendSheetStgData[Population]&amp;TrendSheetStgData[Cost Basis]&amp;TrendSheetStgData[Period]&amp;TrendSheetStgData[Trend],TrendSheetPrdData[#All],9,FALSE),0)</f>
        <v>794992</v>
      </c>
      <c r="J5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4" s="5">
        <f>VLOOKUP(TrendSheetStgData[Population]&amp;TrendSheetStgData[Trend],Threshold[#All],4,FALSE)</f>
        <v>10</v>
      </c>
      <c r="L524" s="5">
        <f>VLOOKUP(TrendSheetStgData[Population]&amp;TrendSheetStgData[Trend],Threshold[#All],5,FALSE)</f>
        <v>5</v>
      </c>
      <c r="M5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5" spans="1:13" x14ac:dyDescent="0.25">
      <c r="A525" t="s">
        <v>90</v>
      </c>
      <c r="B525" t="s">
        <v>90</v>
      </c>
      <c r="C525" t="s">
        <v>78</v>
      </c>
      <c r="D525" s="1" t="s">
        <v>98</v>
      </c>
      <c r="E525" t="s">
        <v>93</v>
      </c>
      <c r="F525" t="s">
        <v>26</v>
      </c>
      <c r="G525">
        <v>15</v>
      </c>
      <c r="H525">
        <v>694391</v>
      </c>
      <c r="I525" s="5">
        <f>IFERROR(VLOOKUP(TrendSheetStgData[Population]&amp;TrendSheetStgData[Cost Basis]&amp;TrendSheetStgData[Period]&amp;TrendSheetStgData[Trend],TrendSheetPrdData[#All],9,FALSE),0)</f>
        <v>694391</v>
      </c>
      <c r="J5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5" s="5">
        <f>VLOOKUP(TrendSheetStgData[Population]&amp;TrendSheetStgData[Trend],Threshold[#All],4,FALSE)</f>
        <v>10</v>
      </c>
      <c r="L525" s="5">
        <f>VLOOKUP(TrendSheetStgData[Population]&amp;TrendSheetStgData[Trend],Threshold[#All],5,FALSE)</f>
        <v>5</v>
      </c>
      <c r="M5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6" spans="1:13" x14ac:dyDescent="0.25">
      <c r="A526" t="s">
        <v>90</v>
      </c>
      <c r="B526" t="s">
        <v>90</v>
      </c>
      <c r="C526" t="s">
        <v>78</v>
      </c>
      <c r="D526" s="1" t="s">
        <v>99</v>
      </c>
      <c r="E526" t="s">
        <v>93</v>
      </c>
      <c r="F526" t="s">
        <v>26</v>
      </c>
      <c r="G526">
        <v>15</v>
      </c>
      <c r="H526">
        <v>667522</v>
      </c>
      <c r="I526" s="5">
        <f>IFERROR(VLOOKUP(TrendSheetStgData[Population]&amp;TrendSheetStgData[Cost Basis]&amp;TrendSheetStgData[Period]&amp;TrendSheetStgData[Trend],TrendSheetPrdData[#All],9,FALSE),0)</f>
        <v>667522</v>
      </c>
      <c r="J5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6" s="5">
        <f>VLOOKUP(TrendSheetStgData[Population]&amp;TrendSheetStgData[Trend],Threshold[#All],4,FALSE)</f>
        <v>10</v>
      </c>
      <c r="L526" s="5">
        <f>VLOOKUP(TrendSheetStgData[Population]&amp;TrendSheetStgData[Trend],Threshold[#All],5,FALSE)</f>
        <v>5</v>
      </c>
      <c r="M5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7" spans="1:13" x14ac:dyDescent="0.25">
      <c r="A527" t="s">
        <v>90</v>
      </c>
      <c r="B527" t="s">
        <v>90</v>
      </c>
      <c r="C527" t="s">
        <v>78</v>
      </c>
      <c r="D527" s="1" t="s">
        <v>100</v>
      </c>
      <c r="E527" t="s">
        <v>93</v>
      </c>
      <c r="F527" t="s">
        <v>26</v>
      </c>
      <c r="G527">
        <v>15</v>
      </c>
      <c r="H527">
        <v>654294</v>
      </c>
      <c r="I527" s="5">
        <f>IFERROR(VLOOKUP(TrendSheetStgData[Population]&amp;TrendSheetStgData[Cost Basis]&amp;TrendSheetStgData[Period]&amp;TrendSheetStgData[Trend],TrendSheetPrdData[#All],9,FALSE),0)</f>
        <v>654294</v>
      </c>
      <c r="J5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7" s="5">
        <f>VLOOKUP(TrendSheetStgData[Population]&amp;TrendSheetStgData[Trend],Threshold[#All],4,FALSE)</f>
        <v>10</v>
      </c>
      <c r="L527" s="5">
        <f>VLOOKUP(TrendSheetStgData[Population]&amp;TrendSheetStgData[Trend],Threshold[#All],5,FALSE)</f>
        <v>5</v>
      </c>
      <c r="M5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8" spans="1:13" x14ac:dyDescent="0.25">
      <c r="A528" t="s">
        <v>90</v>
      </c>
      <c r="B528" t="s">
        <v>90</v>
      </c>
      <c r="C528" t="s">
        <v>78</v>
      </c>
      <c r="D528" s="1" t="s">
        <v>101</v>
      </c>
      <c r="E528" t="s">
        <v>93</v>
      </c>
      <c r="F528" t="s">
        <v>26</v>
      </c>
      <c r="G528">
        <v>15</v>
      </c>
      <c r="H528">
        <v>769423</v>
      </c>
      <c r="I528" s="5">
        <f>IFERROR(VLOOKUP(TrendSheetStgData[Population]&amp;TrendSheetStgData[Cost Basis]&amp;TrendSheetStgData[Period]&amp;TrendSheetStgData[Trend],TrendSheetPrdData[#All],9,FALSE),0)</f>
        <v>769423</v>
      </c>
      <c r="J5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8" s="5">
        <f>VLOOKUP(TrendSheetStgData[Population]&amp;TrendSheetStgData[Trend],Threshold[#All],4,FALSE)</f>
        <v>10</v>
      </c>
      <c r="L528" s="5">
        <f>VLOOKUP(TrendSheetStgData[Population]&amp;TrendSheetStgData[Trend],Threshold[#All],5,FALSE)</f>
        <v>5</v>
      </c>
      <c r="M5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9" spans="1:13" x14ac:dyDescent="0.25">
      <c r="A529" t="s">
        <v>90</v>
      </c>
      <c r="B529" t="s">
        <v>90</v>
      </c>
      <c r="C529" t="s">
        <v>78</v>
      </c>
      <c r="D529" s="1" t="s">
        <v>102</v>
      </c>
      <c r="E529" t="s">
        <v>93</v>
      </c>
      <c r="F529" t="s">
        <v>26</v>
      </c>
      <c r="G529">
        <v>15</v>
      </c>
      <c r="H529">
        <v>654758</v>
      </c>
      <c r="I529" s="5">
        <f>IFERROR(VLOOKUP(TrendSheetStgData[Population]&amp;TrendSheetStgData[Cost Basis]&amp;TrendSheetStgData[Period]&amp;TrendSheetStgData[Trend],TrendSheetPrdData[#All],9,FALSE),0)</f>
        <v>654190</v>
      </c>
      <c r="J5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8.6824928537580823E-2</v>
      </c>
      <c r="K529" s="5">
        <f>VLOOKUP(TrendSheetStgData[Population]&amp;TrendSheetStgData[Trend],Threshold[#All],4,FALSE)</f>
        <v>10</v>
      </c>
      <c r="L529" s="5">
        <f>VLOOKUP(TrendSheetStgData[Population]&amp;TrendSheetStgData[Trend],Threshold[#All],5,FALSE)</f>
        <v>5</v>
      </c>
      <c r="M5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0" spans="1:13" x14ac:dyDescent="0.25">
      <c r="A530" t="s">
        <v>90</v>
      </c>
      <c r="B530" t="s">
        <v>90</v>
      </c>
      <c r="C530" t="s">
        <v>78</v>
      </c>
      <c r="D530" s="1" t="s">
        <v>103</v>
      </c>
      <c r="E530" t="s">
        <v>93</v>
      </c>
      <c r="F530" t="s">
        <v>26</v>
      </c>
      <c r="G530">
        <v>15</v>
      </c>
      <c r="H530">
        <v>608117</v>
      </c>
      <c r="I530" s="5">
        <f>IFERROR(VLOOKUP(TrendSheetStgData[Population]&amp;TrendSheetStgData[Cost Basis]&amp;TrendSheetStgData[Period]&amp;TrendSheetStgData[Trend],TrendSheetPrdData[#All],9,FALSE),0)</f>
        <v>607549</v>
      </c>
      <c r="J5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9.3490401597237427E-2</v>
      </c>
      <c r="K530" s="5">
        <f>VLOOKUP(TrendSheetStgData[Population]&amp;TrendSheetStgData[Trend],Threshold[#All],4,FALSE)</f>
        <v>10</v>
      </c>
      <c r="L530" s="5">
        <f>VLOOKUP(TrendSheetStgData[Population]&amp;TrendSheetStgData[Trend],Threshold[#All],5,FALSE)</f>
        <v>5</v>
      </c>
      <c r="M5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1" spans="1:13" x14ac:dyDescent="0.25">
      <c r="A531" t="s">
        <v>90</v>
      </c>
      <c r="B531" t="s">
        <v>90</v>
      </c>
      <c r="C531" t="s">
        <v>78</v>
      </c>
      <c r="D531" s="1" t="s">
        <v>104</v>
      </c>
      <c r="E531" t="s">
        <v>93</v>
      </c>
      <c r="F531" t="s">
        <v>26</v>
      </c>
      <c r="G531">
        <v>15</v>
      </c>
      <c r="H531">
        <v>654685</v>
      </c>
      <c r="I531" s="5">
        <f>IFERROR(VLOOKUP(TrendSheetStgData[Population]&amp;TrendSheetStgData[Cost Basis]&amp;TrendSheetStgData[Period]&amp;TrendSheetStgData[Trend],TrendSheetPrdData[#All],9,FALSE),0)</f>
        <v>655334</v>
      </c>
      <c r="J5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9.9033469955778289E-2</v>
      </c>
      <c r="K531" s="5">
        <f>VLOOKUP(TrendSheetStgData[Population]&amp;TrendSheetStgData[Trend],Threshold[#All],4,FALSE)</f>
        <v>10</v>
      </c>
      <c r="L531" s="5">
        <f>VLOOKUP(TrendSheetStgData[Population]&amp;TrendSheetStgData[Trend],Threshold[#All],5,FALSE)</f>
        <v>5</v>
      </c>
      <c r="M5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2" spans="1:13" x14ac:dyDescent="0.25">
      <c r="A532" t="s">
        <v>90</v>
      </c>
      <c r="B532" t="s">
        <v>90</v>
      </c>
      <c r="C532" t="s">
        <v>78</v>
      </c>
      <c r="D532" s="1" t="s">
        <v>105</v>
      </c>
      <c r="E532" t="s">
        <v>106</v>
      </c>
      <c r="F532" t="s">
        <v>26</v>
      </c>
      <c r="G532">
        <v>15</v>
      </c>
      <c r="H532">
        <v>585253</v>
      </c>
      <c r="I532" s="5">
        <f>IFERROR(VLOOKUP(TrendSheetStgData[Population]&amp;TrendSheetStgData[Cost Basis]&amp;TrendSheetStgData[Period]&amp;TrendSheetStgData[Trend],TrendSheetPrdData[#All],9,FALSE),0)</f>
        <v>584602</v>
      </c>
      <c r="J5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0.11135781266571104</v>
      </c>
      <c r="K532" s="5">
        <f>VLOOKUP(TrendSheetStgData[Population]&amp;TrendSheetStgData[Trend],Threshold[#All],4,FALSE)</f>
        <v>10</v>
      </c>
      <c r="L532" s="5">
        <f>VLOOKUP(TrendSheetStgData[Population]&amp;TrendSheetStgData[Trend],Threshold[#All],5,FALSE)</f>
        <v>5</v>
      </c>
      <c r="M5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3" spans="1:13" x14ac:dyDescent="0.25">
      <c r="A533" t="s">
        <v>90</v>
      </c>
      <c r="B533" t="s">
        <v>90</v>
      </c>
      <c r="C533" t="s">
        <v>78</v>
      </c>
      <c r="D533" s="1" t="s">
        <v>107</v>
      </c>
      <c r="E533" t="s">
        <v>106</v>
      </c>
      <c r="F533" t="s">
        <v>26</v>
      </c>
      <c r="G533">
        <v>15</v>
      </c>
      <c r="H533">
        <v>723486</v>
      </c>
      <c r="I533" s="5">
        <f>IFERROR(VLOOKUP(TrendSheetStgData[Population]&amp;TrendSheetStgData[Cost Basis]&amp;TrendSheetStgData[Period]&amp;TrendSheetStgData[Trend],TrendSheetPrdData[#All],9,FALSE),0)</f>
        <v>0</v>
      </c>
      <c r="J5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33" s="5">
        <f>VLOOKUP(TrendSheetStgData[Population]&amp;TrendSheetStgData[Trend],Threshold[#All],4,FALSE)</f>
        <v>10</v>
      </c>
      <c r="L533" s="5">
        <f>VLOOKUP(TrendSheetStgData[Population]&amp;TrendSheetStgData[Trend],Threshold[#All],5,FALSE)</f>
        <v>5</v>
      </c>
      <c r="M5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34" spans="1:13" x14ac:dyDescent="0.25">
      <c r="A534" t="s">
        <v>90</v>
      </c>
      <c r="B534" t="s">
        <v>90</v>
      </c>
      <c r="C534" t="s">
        <v>78</v>
      </c>
      <c r="D534" s="1" t="s">
        <v>92</v>
      </c>
      <c r="E534" t="s">
        <v>93</v>
      </c>
      <c r="F534" t="s">
        <v>27</v>
      </c>
      <c r="G534">
        <v>16</v>
      </c>
      <c r="H534">
        <v>0.87</v>
      </c>
      <c r="I534" s="5">
        <f>IFERROR(VLOOKUP(TrendSheetStgData[Population]&amp;TrendSheetStgData[Cost Basis]&amp;TrendSheetStgData[Period]&amp;TrendSheetStgData[Trend],TrendSheetPrdData[#All],9,FALSE),0)</f>
        <v>0.87</v>
      </c>
      <c r="J5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4" s="5">
        <f>VLOOKUP(TrendSheetStgData[Population]&amp;TrendSheetStgData[Trend],Threshold[#All],4,FALSE)</f>
        <v>10</v>
      </c>
      <c r="L534" s="5">
        <f>VLOOKUP(TrendSheetStgData[Population]&amp;TrendSheetStgData[Trend],Threshold[#All],5,FALSE)</f>
        <v>5</v>
      </c>
      <c r="M5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5" spans="1:13" x14ac:dyDescent="0.25">
      <c r="A535" t="s">
        <v>90</v>
      </c>
      <c r="B535" t="s">
        <v>90</v>
      </c>
      <c r="C535" t="s">
        <v>78</v>
      </c>
      <c r="D535" s="1" t="s">
        <v>94</v>
      </c>
      <c r="E535" t="s">
        <v>93</v>
      </c>
      <c r="F535" t="s">
        <v>27</v>
      </c>
      <c r="G535">
        <v>16</v>
      </c>
      <c r="H535">
        <v>0.88</v>
      </c>
      <c r="I535" s="5">
        <f>IFERROR(VLOOKUP(TrendSheetStgData[Population]&amp;TrendSheetStgData[Cost Basis]&amp;TrendSheetStgData[Period]&amp;TrendSheetStgData[Trend],TrendSheetPrdData[#All],9,FALSE),0)</f>
        <v>0.88</v>
      </c>
      <c r="J5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5" s="5">
        <f>VLOOKUP(TrendSheetStgData[Population]&amp;TrendSheetStgData[Trend],Threshold[#All],4,FALSE)</f>
        <v>10</v>
      </c>
      <c r="L535" s="5">
        <f>VLOOKUP(TrendSheetStgData[Population]&amp;TrendSheetStgData[Trend],Threshold[#All],5,FALSE)</f>
        <v>5</v>
      </c>
      <c r="M5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6" spans="1:13" x14ac:dyDescent="0.25">
      <c r="A536" t="s">
        <v>90</v>
      </c>
      <c r="B536" t="s">
        <v>90</v>
      </c>
      <c r="C536" t="s">
        <v>78</v>
      </c>
      <c r="D536" s="1" t="s">
        <v>95</v>
      </c>
      <c r="E536" t="s">
        <v>93</v>
      </c>
      <c r="F536" t="s">
        <v>27</v>
      </c>
      <c r="G536">
        <v>16</v>
      </c>
      <c r="H536">
        <v>0.88</v>
      </c>
      <c r="I536" s="5">
        <f>IFERROR(VLOOKUP(TrendSheetStgData[Population]&amp;TrendSheetStgData[Cost Basis]&amp;TrendSheetStgData[Period]&amp;TrendSheetStgData[Trend],TrendSheetPrdData[#All],9,FALSE),0)</f>
        <v>0.88</v>
      </c>
      <c r="J5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6" s="5">
        <f>VLOOKUP(TrendSheetStgData[Population]&amp;TrendSheetStgData[Trend],Threshold[#All],4,FALSE)</f>
        <v>10</v>
      </c>
      <c r="L536" s="5">
        <f>VLOOKUP(TrendSheetStgData[Population]&amp;TrendSheetStgData[Trend],Threshold[#All],5,FALSE)</f>
        <v>5</v>
      </c>
      <c r="M5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7" spans="1:13" x14ac:dyDescent="0.25">
      <c r="A537" t="s">
        <v>90</v>
      </c>
      <c r="B537" t="s">
        <v>90</v>
      </c>
      <c r="C537" t="s">
        <v>78</v>
      </c>
      <c r="D537" s="1" t="s">
        <v>96</v>
      </c>
      <c r="E537" t="s">
        <v>93</v>
      </c>
      <c r="F537" t="s">
        <v>27</v>
      </c>
      <c r="G537">
        <v>16</v>
      </c>
      <c r="H537">
        <v>0.87</v>
      </c>
      <c r="I537" s="5">
        <f>IFERROR(VLOOKUP(TrendSheetStgData[Population]&amp;TrendSheetStgData[Cost Basis]&amp;TrendSheetStgData[Period]&amp;TrendSheetStgData[Trend],TrendSheetPrdData[#All],9,FALSE),0)</f>
        <v>0.87</v>
      </c>
      <c r="J5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7" s="5">
        <f>VLOOKUP(TrendSheetStgData[Population]&amp;TrendSheetStgData[Trend],Threshold[#All],4,FALSE)</f>
        <v>10</v>
      </c>
      <c r="L537" s="5">
        <f>VLOOKUP(TrendSheetStgData[Population]&amp;TrendSheetStgData[Trend],Threshold[#All],5,FALSE)</f>
        <v>5</v>
      </c>
      <c r="M5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8" spans="1:13" x14ac:dyDescent="0.25">
      <c r="A538" t="s">
        <v>90</v>
      </c>
      <c r="B538" t="s">
        <v>90</v>
      </c>
      <c r="C538" t="s">
        <v>78</v>
      </c>
      <c r="D538" s="1" t="s">
        <v>97</v>
      </c>
      <c r="E538" t="s">
        <v>93</v>
      </c>
      <c r="F538" t="s">
        <v>27</v>
      </c>
      <c r="G538">
        <v>16</v>
      </c>
      <c r="H538">
        <v>0.87</v>
      </c>
      <c r="I538" s="5">
        <f>IFERROR(VLOOKUP(TrendSheetStgData[Population]&amp;TrendSheetStgData[Cost Basis]&amp;TrendSheetStgData[Period]&amp;TrendSheetStgData[Trend],TrendSheetPrdData[#All],9,FALSE),0)</f>
        <v>0.87</v>
      </c>
      <c r="J5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8" s="5">
        <f>VLOOKUP(TrendSheetStgData[Population]&amp;TrendSheetStgData[Trend],Threshold[#All],4,FALSE)</f>
        <v>10</v>
      </c>
      <c r="L538" s="5">
        <f>VLOOKUP(TrendSheetStgData[Population]&amp;TrendSheetStgData[Trend],Threshold[#All],5,FALSE)</f>
        <v>5</v>
      </c>
      <c r="M5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9" spans="1:13" x14ac:dyDescent="0.25">
      <c r="A539" t="s">
        <v>90</v>
      </c>
      <c r="B539" t="s">
        <v>90</v>
      </c>
      <c r="C539" t="s">
        <v>78</v>
      </c>
      <c r="D539" s="1" t="s">
        <v>98</v>
      </c>
      <c r="E539" t="s">
        <v>93</v>
      </c>
      <c r="F539" t="s">
        <v>27</v>
      </c>
      <c r="G539">
        <v>16</v>
      </c>
      <c r="H539">
        <v>0.88</v>
      </c>
      <c r="I539" s="5">
        <f>IFERROR(VLOOKUP(TrendSheetStgData[Population]&amp;TrendSheetStgData[Cost Basis]&amp;TrendSheetStgData[Period]&amp;TrendSheetStgData[Trend],TrendSheetPrdData[#All],9,FALSE),0)</f>
        <v>0.88</v>
      </c>
      <c r="J5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9" s="5">
        <f>VLOOKUP(TrendSheetStgData[Population]&amp;TrendSheetStgData[Trend],Threshold[#All],4,FALSE)</f>
        <v>10</v>
      </c>
      <c r="L539" s="5">
        <f>VLOOKUP(TrendSheetStgData[Population]&amp;TrendSheetStgData[Trend],Threshold[#All],5,FALSE)</f>
        <v>5</v>
      </c>
      <c r="M5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0" spans="1:13" x14ac:dyDescent="0.25">
      <c r="A540" t="s">
        <v>90</v>
      </c>
      <c r="B540" t="s">
        <v>90</v>
      </c>
      <c r="C540" t="s">
        <v>78</v>
      </c>
      <c r="D540" s="1" t="s">
        <v>99</v>
      </c>
      <c r="E540" t="s">
        <v>93</v>
      </c>
      <c r="F540" t="s">
        <v>27</v>
      </c>
      <c r="G540">
        <v>16</v>
      </c>
      <c r="H540">
        <v>0.88</v>
      </c>
      <c r="I540" s="5">
        <f>IFERROR(VLOOKUP(TrendSheetStgData[Population]&amp;TrendSheetStgData[Cost Basis]&amp;TrendSheetStgData[Period]&amp;TrendSheetStgData[Trend],TrendSheetPrdData[#All],9,FALSE),0)</f>
        <v>0.88</v>
      </c>
      <c r="J5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0" s="5">
        <f>VLOOKUP(TrendSheetStgData[Population]&amp;TrendSheetStgData[Trend],Threshold[#All],4,FALSE)</f>
        <v>10</v>
      </c>
      <c r="L540" s="5">
        <f>VLOOKUP(TrendSheetStgData[Population]&amp;TrendSheetStgData[Trend],Threshold[#All],5,FALSE)</f>
        <v>5</v>
      </c>
      <c r="M5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1" spans="1:13" x14ac:dyDescent="0.25">
      <c r="A541" t="s">
        <v>90</v>
      </c>
      <c r="B541" t="s">
        <v>90</v>
      </c>
      <c r="C541" t="s">
        <v>78</v>
      </c>
      <c r="D541" s="1" t="s">
        <v>100</v>
      </c>
      <c r="E541" t="s">
        <v>93</v>
      </c>
      <c r="F541" t="s">
        <v>27</v>
      </c>
      <c r="G541">
        <v>16</v>
      </c>
      <c r="H541">
        <v>0.87</v>
      </c>
      <c r="I541" s="5">
        <f>IFERROR(VLOOKUP(TrendSheetStgData[Population]&amp;TrendSheetStgData[Cost Basis]&amp;TrendSheetStgData[Period]&amp;TrendSheetStgData[Trend],TrendSheetPrdData[#All],9,FALSE),0)</f>
        <v>0.87</v>
      </c>
      <c r="J5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1" s="5">
        <f>VLOOKUP(TrendSheetStgData[Population]&amp;TrendSheetStgData[Trend],Threshold[#All],4,FALSE)</f>
        <v>10</v>
      </c>
      <c r="L541" s="5">
        <f>VLOOKUP(TrendSheetStgData[Population]&amp;TrendSheetStgData[Trend],Threshold[#All],5,FALSE)</f>
        <v>5</v>
      </c>
      <c r="M5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2" spans="1:13" x14ac:dyDescent="0.25">
      <c r="A542" t="s">
        <v>90</v>
      </c>
      <c r="B542" t="s">
        <v>90</v>
      </c>
      <c r="C542" t="s">
        <v>78</v>
      </c>
      <c r="D542" s="1" t="s">
        <v>101</v>
      </c>
      <c r="E542" t="s">
        <v>93</v>
      </c>
      <c r="F542" t="s">
        <v>27</v>
      </c>
      <c r="G542">
        <v>16</v>
      </c>
      <c r="H542">
        <v>0.88</v>
      </c>
      <c r="I542" s="5">
        <f>IFERROR(VLOOKUP(TrendSheetStgData[Population]&amp;TrendSheetStgData[Cost Basis]&amp;TrendSheetStgData[Period]&amp;TrendSheetStgData[Trend],TrendSheetPrdData[#All],9,FALSE),0)</f>
        <v>0.88</v>
      </c>
      <c r="J5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2" s="5">
        <f>VLOOKUP(TrendSheetStgData[Population]&amp;TrendSheetStgData[Trend],Threshold[#All],4,FALSE)</f>
        <v>10</v>
      </c>
      <c r="L542" s="5">
        <f>VLOOKUP(TrendSheetStgData[Population]&amp;TrendSheetStgData[Trend],Threshold[#All],5,FALSE)</f>
        <v>5</v>
      </c>
      <c r="M5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3" spans="1:13" x14ac:dyDescent="0.25">
      <c r="A543" t="s">
        <v>90</v>
      </c>
      <c r="B543" t="s">
        <v>90</v>
      </c>
      <c r="C543" t="s">
        <v>78</v>
      </c>
      <c r="D543" s="1" t="s">
        <v>102</v>
      </c>
      <c r="E543" t="s">
        <v>93</v>
      </c>
      <c r="F543" t="s">
        <v>27</v>
      </c>
      <c r="G543">
        <v>16</v>
      </c>
      <c r="H543">
        <v>0.88</v>
      </c>
      <c r="I543" s="5">
        <f>IFERROR(VLOOKUP(TrendSheetStgData[Population]&amp;TrendSheetStgData[Cost Basis]&amp;TrendSheetStgData[Period]&amp;TrendSheetStgData[Trend],TrendSheetPrdData[#All],9,FALSE),0)</f>
        <v>0.88</v>
      </c>
      <c r="J5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3" s="5">
        <f>VLOOKUP(TrendSheetStgData[Population]&amp;TrendSheetStgData[Trend],Threshold[#All],4,FALSE)</f>
        <v>10</v>
      </c>
      <c r="L543" s="5">
        <f>VLOOKUP(TrendSheetStgData[Population]&amp;TrendSheetStgData[Trend],Threshold[#All],5,FALSE)</f>
        <v>5</v>
      </c>
      <c r="M5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4" spans="1:13" x14ac:dyDescent="0.25">
      <c r="A544" t="s">
        <v>90</v>
      </c>
      <c r="B544" t="s">
        <v>90</v>
      </c>
      <c r="C544" t="s">
        <v>78</v>
      </c>
      <c r="D544" s="1" t="s">
        <v>103</v>
      </c>
      <c r="E544" t="s">
        <v>93</v>
      </c>
      <c r="F544" t="s">
        <v>27</v>
      </c>
      <c r="G544">
        <v>16</v>
      </c>
      <c r="H544">
        <v>0.87</v>
      </c>
      <c r="I544" s="5">
        <f>IFERROR(VLOOKUP(TrendSheetStgData[Population]&amp;TrendSheetStgData[Cost Basis]&amp;TrendSheetStgData[Period]&amp;TrendSheetStgData[Trend],TrendSheetPrdData[#All],9,FALSE),0)</f>
        <v>0.87</v>
      </c>
      <c r="J5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4" s="5">
        <f>VLOOKUP(TrendSheetStgData[Population]&amp;TrendSheetStgData[Trend],Threshold[#All],4,FALSE)</f>
        <v>10</v>
      </c>
      <c r="L544" s="5">
        <f>VLOOKUP(TrendSheetStgData[Population]&amp;TrendSheetStgData[Trend],Threshold[#All],5,FALSE)</f>
        <v>5</v>
      </c>
      <c r="M5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5" spans="1:13" x14ac:dyDescent="0.25">
      <c r="A545" t="s">
        <v>90</v>
      </c>
      <c r="B545" t="s">
        <v>90</v>
      </c>
      <c r="C545" t="s">
        <v>78</v>
      </c>
      <c r="D545" s="1" t="s">
        <v>104</v>
      </c>
      <c r="E545" t="s">
        <v>93</v>
      </c>
      <c r="F545" t="s">
        <v>27</v>
      </c>
      <c r="G545">
        <v>16</v>
      </c>
      <c r="H545">
        <v>0.88</v>
      </c>
      <c r="I545" s="5">
        <f>IFERROR(VLOOKUP(TrendSheetStgData[Population]&amp;TrendSheetStgData[Cost Basis]&amp;TrendSheetStgData[Period]&amp;TrendSheetStgData[Trend],TrendSheetPrdData[#All],9,FALSE),0)</f>
        <v>0.89</v>
      </c>
      <c r="J5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1.1235955056179785</v>
      </c>
      <c r="K545" s="5">
        <f>VLOOKUP(TrendSheetStgData[Population]&amp;TrendSheetStgData[Trend],Threshold[#All],4,FALSE)</f>
        <v>10</v>
      </c>
      <c r="L545" s="5">
        <f>VLOOKUP(TrendSheetStgData[Population]&amp;TrendSheetStgData[Trend],Threshold[#All],5,FALSE)</f>
        <v>5</v>
      </c>
      <c r="M5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46" spans="1:13" x14ac:dyDescent="0.25">
      <c r="A546" t="s">
        <v>90</v>
      </c>
      <c r="B546" t="s">
        <v>90</v>
      </c>
      <c r="C546" t="s">
        <v>78</v>
      </c>
      <c r="D546" s="1" t="s">
        <v>105</v>
      </c>
      <c r="E546" t="s">
        <v>106</v>
      </c>
      <c r="F546" t="s">
        <v>27</v>
      </c>
      <c r="G546">
        <v>16</v>
      </c>
      <c r="H546">
        <v>0.89</v>
      </c>
      <c r="I546" s="5">
        <f>IFERROR(VLOOKUP(TrendSheetStgData[Population]&amp;TrendSheetStgData[Cost Basis]&amp;TrendSheetStgData[Period]&amp;TrendSheetStgData[Trend],TrendSheetPrdData[#All],9,FALSE),0)</f>
        <v>0.89</v>
      </c>
      <c r="J5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6" s="5">
        <f>VLOOKUP(TrendSheetStgData[Population]&amp;TrendSheetStgData[Trend],Threshold[#All],4,FALSE)</f>
        <v>10</v>
      </c>
      <c r="L546" s="5">
        <f>VLOOKUP(TrendSheetStgData[Population]&amp;TrendSheetStgData[Trend],Threshold[#All],5,FALSE)</f>
        <v>5</v>
      </c>
      <c r="M5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7" spans="1:13" x14ac:dyDescent="0.25">
      <c r="A547" t="s">
        <v>90</v>
      </c>
      <c r="B547" t="s">
        <v>90</v>
      </c>
      <c r="C547" t="s">
        <v>78</v>
      </c>
      <c r="D547" s="1" t="s">
        <v>107</v>
      </c>
      <c r="E547" t="s">
        <v>106</v>
      </c>
      <c r="F547" t="s">
        <v>27</v>
      </c>
      <c r="G547">
        <v>16</v>
      </c>
      <c r="H547">
        <v>0.88</v>
      </c>
      <c r="I547" s="5">
        <f>IFERROR(VLOOKUP(TrendSheetStgData[Population]&amp;TrendSheetStgData[Cost Basis]&amp;TrendSheetStgData[Period]&amp;TrendSheetStgData[Trend],TrendSheetPrdData[#All],9,FALSE),0)</f>
        <v>0</v>
      </c>
      <c r="J5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47" s="5">
        <f>VLOOKUP(TrendSheetStgData[Population]&amp;TrendSheetStgData[Trend],Threshold[#All],4,FALSE)</f>
        <v>10</v>
      </c>
      <c r="L547" s="5">
        <f>VLOOKUP(TrendSheetStgData[Population]&amp;TrendSheetStgData[Trend],Threshold[#All],5,FALSE)</f>
        <v>5</v>
      </c>
      <c r="M5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48" spans="1:13" x14ac:dyDescent="0.25">
      <c r="A548" t="s">
        <v>90</v>
      </c>
      <c r="B548" t="s">
        <v>90</v>
      </c>
      <c r="C548" t="s">
        <v>78</v>
      </c>
      <c r="D548" s="1" t="s">
        <v>92</v>
      </c>
      <c r="E548" t="s">
        <v>93</v>
      </c>
      <c r="F548" t="s">
        <v>28</v>
      </c>
      <c r="G548">
        <v>17</v>
      </c>
      <c r="H548">
        <v>2284711</v>
      </c>
      <c r="I548" s="5">
        <f>IFERROR(VLOOKUP(TrendSheetStgData[Population]&amp;TrendSheetStgData[Cost Basis]&amp;TrendSheetStgData[Period]&amp;TrendSheetStgData[Trend],TrendSheetPrdData[#All],9,FALSE),0)</f>
        <v>2284418</v>
      </c>
      <c r="J5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1.2826023958837656E-2</v>
      </c>
      <c r="K548" s="5">
        <f>VLOOKUP(TrendSheetStgData[Population]&amp;TrendSheetStgData[Trend],Threshold[#All],4,FALSE)</f>
        <v>10</v>
      </c>
      <c r="L548" s="5">
        <f>VLOOKUP(TrendSheetStgData[Population]&amp;TrendSheetStgData[Trend],Threshold[#All],5,FALSE)</f>
        <v>5</v>
      </c>
      <c r="M5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49" spans="1:13" x14ac:dyDescent="0.25">
      <c r="A549" t="s">
        <v>90</v>
      </c>
      <c r="B549" t="s">
        <v>90</v>
      </c>
      <c r="C549" t="s">
        <v>78</v>
      </c>
      <c r="D549" s="1" t="s">
        <v>94</v>
      </c>
      <c r="E549" t="s">
        <v>93</v>
      </c>
      <c r="F549" t="s">
        <v>28</v>
      </c>
      <c r="G549">
        <v>17</v>
      </c>
      <c r="H549">
        <v>2229594</v>
      </c>
      <c r="I549" s="5">
        <f>IFERROR(VLOOKUP(TrendSheetStgData[Population]&amp;TrendSheetStgData[Cost Basis]&amp;TrendSheetStgData[Period]&amp;TrendSheetStgData[Trend],TrendSheetPrdData[#All],9,FALSE),0)</f>
        <v>2228850</v>
      </c>
      <c r="J5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3.3380442829261732E-2</v>
      </c>
      <c r="K549" s="5">
        <f>VLOOKUP(TrendSheetStgData[Population]&amp;TrendSheetStgData[Trend],Threshold[#All],4,FALSE)</f>
        <v>10</v>
      </c>
      <c r="L549" s="5">
        <f>VLOOKUP(TrendSheetStgData[Population]&amp;TrendSheetStgData[Trend],Threshold[#All],5,FALSE)</f>
        <v>5</v>
      </c>
      <c r="M5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0" spans="1:13" x14ac:dyDescent="0.25">
      <c r="A550" t="s">
        <v>90</v>
      </c>
      <c r="B550" t="s">
        <v>90</v>
      </c>
      <c r="C550" t="s">
        <v>78</v>
      </c>
      <c r="D550" s="1" t="s">
        <v>95</v>
      </c>
      <c r="E550" t="s">
        <v>93</v>
      </c>
      <c r="F550" t="s">
        <v>28</v>
      </c>
      <c r="G550">
        <v>17</v>
      </c>
      <c r="H550">
        <v>2649788</v>
      </c>
      <c r="I550" s="5">
        <f>IFERROR(VLOOKUP(TrendSheetStgData[Population]&amp;TrendSheetStgData[Cost Basis]&amp;TrendSheetStgData[Period]&amp;TrendSheetStgData[Trend],TrendSheetPrdData[#All],9,FALSE),0)</f>
        <v>2648091</v>
      </c>
      <c r="J5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6.4083900439977318E-2</v>
      </c>
      <c r="K550" s="5">
        <f>VLOOKUP(TrendSheetStgData[Population]&amp;TrendSheetStgData[Trend],Threshold[#All],4,FALSE)</f>
        <v>10</v>
      </c>
      <c r="L550" s="5">
        <f>VLOOKUP(TrendSheetStgData[Population]&amp;TrendSheetStgData[Trend],Threshold[#All],5,FALSE)</f>
        <v>5</v>
      </c>
      <c r="M5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1" spans="1:13" x14ac:dyDescent="0.25">
      <c r="A551" t="s">
        <v>90</v>
      </c>
      <c r="B551" t="s">
        <v>90</v>
      </c>
      <c r="C551" t="s">
        <v>78</v>
      </c>
      <c r="D551" s="1" t="s">
        <v>96</v>
      </c>
      <c r="E551" t="s">
        <v>93</v>
      </c>
      <c r="F551" t="s">
        <v>28</v>
      </c>
      <c r="G551">
        <v>17</v>
      </c>
      <c r="H551">
        <v>2294613</v>
      </c>
      <c r="I551" s="5">
        <f>IFERROR(VLOOKUP(TrendSheetStgData[Population]&amp;TrendSheetStgData[Cost Basis]&amp;TrendSheetStgData[Period]&amp;TrendSheetStgData[Trend],TrendSheetPrdData[#All],9,FALSE),0)</f>
        <v>2276191</v>
      </c>
      <c r="J5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0.80933454178493802</v>
      </c>
      <c r="K551" s="5">
        <f>VLOOKUP(TrendSheetStgData[Population]&amp;TrendSheetStgData[Trend],Threshold[#All],4,FALSE)</f>
        <v>10</v>
      </c>
      <c r="L551" s="5">
        <f>VLOOKUP(TrendSheetStgData[Population]&amp;TrendSheetStgData[Trend],Threshold[#All],5,FALSE)</f>
        <v>5</v>
      </c>
      <c r="M5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2" spans="1:13" x14ac:dyDescent="0.25">
      <c r="A552" t="s">
        <v>90</v>
      </c>
      <c r="B552" t="s">
        <v>90</v>
      </c>
      <c r="C552" t="s">
        <v>78</v>
      </c>
      <c r="D552" s="1" t="s">
        <v>97</v>
      </c>
      <c r="E552" t="s">
        <v>93</v>
      </c>
      <c r="F552" t="s">
        <v>28</v>
      </c>
      <c r="G552">
        <v>17</v>
      </c>
      <c r="H552">
        <v>2335285</v>
      </c>
      <c r="I552" s="5">
        <f>IFERROR(VLOOKUP(TrendSheetStgData[Population]&amp;TrendSheetStgData[Cost Basis]&amp;TrendSheetStgData[Period]&amp;TrendSheetStgData[Trend],TrendSheetPrdData[#All],9,FALSE),0)</f>
        <v>2342803</v>
      </c>
      <c r="J5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0.32089765976908857</v>
      </c>
      <c r="K552" s="5">
        <f>VLOOKUP(TrendSheetStgData[Population]&amp;TrendSheetStgData[Trend],Threshold[#All],4,FALSE)</f>
        <v>10</v>
      </c>
      <c r="L552" s="5">
        <f>VLOOKUP(TrendSheetStgData[Population]&amp;TrendSheetStgData[Trend],Threshold[#All],5,FALSE)</f>
        <v>5</v>
      </c>
      <c r="M5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3" spans="1:13" x14ac:dyDescent="0.25">
      <c r="A553" t="s">
        <v>90</v>
      </c>
      <c r="B553" t="s">
        <v>90</v>
      </c>
      <c r="C553" t="s">
        <v>78</v>
      </c>
      <c r="D553" s="1" t="s">
        <v>98</v>
      </c>
      <c r="E553" t="s">
        <v>93</v>
      </c>
      <c r="F553" t="s">
        <v>28</v>
      </c>
      <c r="G553">
        <v>17</v>
      </c>
      <c r="H553">
        <v>2799411</v>
      </c>
      <c r="I553" s="5">
        <f>IFERROR(VLOOKUP(TrendSheetStgData[Population]&amp;TrendSheetStgData[Cost Basis]&amp;TrendSheetStgData[Period]&amp;TrendSheetStgData[Trend],TrendSheetPrdData[#All],9,FALSE),0)</f>
        <v>2799230</v>
      </c>
      <c r="J5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6.4660638818532234E-3</v>
      </c>
      <c r="K553" s="5">
        <f>VLOOKUP(TrendSheetStgData[Population]&amp;TrendSheetStgData[Trend],Threshold[#All],4,FALSE)</f>
        <v>10</v>
      </c>
      <c r="L553" s="5">
        <f>VLOOKUP(TrendSheetStgData[Population]&amp;TrendSheetStgData[Trend],Threshold[#All],5,FALSE)</f>
        <v>5</v>
      </c>
      <c r="M5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4" spans="1:13" x14ac:dyDescent="0.25">
      <c r="A554" t="s">
        <v>90</v>
      </c>
      <c r="B554" t="s">
        <v>90</v>
      </c>
      <c r="C554" t="s">
        <v>78</v>
      </c>
      <c r="D554" s="1" t="s">
        <v>99</v>
      </c>
      <c r="E554" t="s">
        <v>93</v>
      </c>
      <c r="F554" t="s">
        <v>28</v>
      </c>
      <c r="G554">
        <v>17</v>
      </c>
      <c r="H554">
        <v>2491403</v>
      </c>
      <c r="I554" s="5">
        <f>IFERROR(VLOOKUP(TrendSheetStgData[Population]&amp;TrendSheetStgData[Cost Basis]&amp;TrendSheetStgData[Period]&amp;TrendSheetStgData[Trend],TrendSheetPrdData[#All],9,FALSE),0)</f>
        <v>2462057</v>
      </c>
      <c r="J5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1.191930162461714</v>
      </c>
      <c r="K554" s="5">
        <f>VLOOKUP(TrendSheetStgData[Population]&amp;TrendSheetStgData[Trend],Threshold[#All],4,FALSE)</f>
        <v>10</v>
      </c>
      <c r="L554" s="5">
        <f>VLOOKUP(TrendSheetStgData[Population]&amp;TrendSheetStgData[Trend],Threshold[#All],5,FALSE)</f>
        <v>5</v>
      </c>
      <c r="M5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5" spans="1:13" x14ac:dyDescent="0.25">
      <c r="A555" t="s">
        <v>90</v>
      </c>
      <c r="B555" t="s">
        <v>90</v>
      </c>
      <c r="C555" t="s">
        <v>78</v>
      </c>
      <c r="D555" s="1" t="s">
        <v>100</v>
      </c>
      <c r="E555" t="s">
        <v>93</v>
      </c>
      <c r="F555" t="s">
        <v>28</v>
      </c>
      <c r="G555">
        <v>17</v>
      </c>
      <c r="H555">
        <v>2697609</v>
      </c>
      <c r="I555" s="5">
        <f>IFERROR(VLOOKUP(TrendSheetStgData[Population]&amp;TrendSheetStgData[Cost Basis]&amp;TrendSheetStgData[Period]&amp;TrendSheetStgData[Trend],TrendSheetPrdData[#All],9,FALSE),0)</f>
        <v>2695577</v>
      </c>
      <c r="J5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7.5382747367261263E-2</v>
      </c>
      <c r="K555" s="5">
        <f>VLOOKUP(TrendSheetStgData[Population]&amp;TrendSheetStgData[Trend],Threshold[#All],4,FALSE)</f>
        <v>10</v>
      </c>
      <c r="L555" s="5">
        <f>VLOOKUP(TrendSheetStgData[Population]&amp;TrendSheetStgData[Trend],Threshold[#All],5,FALSE)</f>
        <v>5</v>
      </c>
      <c r="M5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6" spans="1:13" x14ac:dyDescent="0.25">
      <c r="A556" t="s">
        <v>90</v>
      </c>
      <c r="B556" t="s">
        <v>90</v>
      </c>
      <c r="C556" t="s">
        <v>78</v>
      </c>
      <c r="D556" s="1" t="s">
        <v>101</v>
      </c>
      <c r="E556" t="s">
        <v>93</v>
      </c>
      <c r="F556" t="s">
        <v>28</v>
      </c>
      <c r="G556">
        <v>17</v>
      </c>
      <c r="H556">
        <v>2895383</v>
      </c>
      <c r="I556" s="5">
        <f>IFERROR(VLOOKUP(TrendSheetStgData[Population]&amp;TrendSheetStgData[Cost Basis]&amp;TrendSheetStgData[Period]&amp;TrendSheetStgData[Trend],TrendSheetPrdData[#All],9,FALSE),0)</f>
        <v>2899383</v>
      </c>
      <c r="J5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0.13796038674435215</v>
      </c>
      <c r="K556" s="5">
        <f>VLOOKUP(TrendSheetStgData[Population]&amp;TrendSheetStgData[Trend],Threshold[#All],4,FALSE)</f>
        <v>10</v>
      </c>
      <c r="L556" s="5">
        <f>VLOOKUP(TrendSheetStgData[Population]&amp;TrendSheetStgData[Trend],Threshold[#All],5,FALSE)</f>
        <v>5</v>
      </c>
      <c r="M5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7" spans="1:13" x14ac:dyDescent="0.25">
      <c r="A557" t="s">
        <v>90</v>
      </c>
      <c r="B557" t="s">
        <v>90</v>
      </c>
      <c r="C557" t="s">
        <v>78</v>
      </c>
      <c r="D557" s="1" t="s">
        <v>102</v>
      </c>
      <c r="E557" t="s">
        <v>93</v>
      </c>
      <c r="F557" t="s">
        <v>28</v>
      </c>
      <c r="G557">
        <v>17</v>
      </c>
      <c r="H557">
        <v>2190268</v>
      </c>
      <c r="I557" s="5">
        <f>IFERROR(VLOOKUP(TrendSheetStgData[Population]&amp;TrendSheetStgData[Cost Basis]&amp;TrendSheetStgData[Period]&amp;TrendSheetStgData[Trend],TrendSheetPrdData[#All],9,FALSE),0)</f>
        <v>2120033</v>
      </c>
      <c r="J5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3.3129201290734627</v>
      </c>
      <c r="K557" s="5">
        <f>VLOOKUP(TrendSheetStgData[Population]&amp;TrendSheetStgData[Trend],Threshold[#All],4,FALSE)</f>
        <v>10</v>
      </c>
      <c r="L557" s="5">
        <f>VLOOKUP(TrendSheetStgData[Population]&amp;TrendSheetStgData[Trend],Threshold[#All],5,FALSE)</f>
        <v>5</v>
      </c>
      <c r="M5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8" spans="1:13" x14ac:dyDescent="0.25">
      <c r="A558" t="s">
        <v>90</v>
      </c>
      <c r="B558" t="s">
        <v>90</v>
      </c>
      <c r="C558" t="s">
        <v>78</v>
      </c>
      <c r="D558" s="1" t="s">
        <v>103</v>
      </c>
      <c r="E558" t="s">
        <v>93</v>
      </c>
      <c r="F558" t="s">
        <v>28</v>
      </c>
      <c r="G558">
        <v>17</v>
      </c>
      <c r="H558">
        <v>2444436</v>
      </c>
      <c r="I558" s="5">
        <f>IFERROR(VLOOKUP(TrendSheetStgData[Population]&amp;TrendSheetStgData[Cost Basis]&amp;TrendSheetStgData[Period]&amp;TrendSheetStgData[Trend],TrendSheetPrdData[#All],9,FALSE),0)</f>
        <v>2396912</v>
      </c>
      <c r="J5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1.9827177635223989</v>
      </c>
      <c r="K558" s="5">
        <f>VLOOKUP(TrendSheetStgData[Population]&amp;TrendSheetStgData[Trend],Threshold[#All],4,FALSE)</f>
        <v>10</v>
      </c>
      <c r="L558" s="5">
        <f>VLOOKUP(TrendSheetStgData[Population]&amp;TrendSheetStgData[Trend],Threshold[#All],5,FALSE)</f>
        <v>5</v>
      </c>
      <c r="M5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9" spans="1:13" x14ac:dyDescent="0.25">
      <c r="A559" t="s">
        <v>90</v>
      </c>
      <c r="B559" t="s">
        <v>90</v>
      </c>
      <c r="C559" t="s">
        <v>78</v>
      </c>
      <c r="D559" s="1" t="s">
        <v>104</v>
      </c>
      <c r="E559" t="s">
        <v>93</v>
      </c>
      <c r="F559" t="s">
        <v>28</v>
      </c>
      <c r="G559">
        <v>17</v>
      </c>
      <c r="H559">
        <v>2667283</v>
      </c>
      <c r="I559" s="5">
        <f>IFERROR(VLOOKUP(TrendSheetStgData[Population]&amp;TrendSheetStgData[Cost Basis]&amp;TrendSheetStgData[Period]&amp;TrendSheetStgData[Trend],TrendSheetPrdData[#All],9,FALSE),0)</f>
        <v>2516770</v>
      </c>
      <c r="J5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5.9804034536330297</v>
      </c>
      <c r="K559" s="5">
        <f>VLOOKUP(TrendSheetStgData[Population]&amp;TrendSheetStgData[Trend],Threshold[#All],4,FALSE)</f>
        <v>10</v>
      </c>
      <c r="L559" s="5">
        <f>VLOOKUP(TrendSheetStgData[Population]&amp;TrendSheetStgData[Trend],Threshold[#All],5,FALSE)</f>
        <v>5</v>
      </c>
      <c r="M5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60" spans="1:13" x14ac:dyDescent="0.25">
      <c r="A560" t="s">
        <v>90</v>
      </c>
      <c r="B560" t="s">
        <v>90</v>
      </c>
      <c r="C560" t="s">
        <v>78</v>
      </c>
      <c r="D560" s="1" t="s">
        <v>105</v>
      </c>
      <c r="E560" t="s">
        <v>106</v>
      </c>
      <c r="F560" t="s">
        <v>28</v>
      </c>
      <c r="G560">
        <v>17</v>
      </c>
      <c r="H560">
        <v>2184987</v>
      </c>
      <c r="I560" s="5">
        <f>IFERROR(VLOOKUP(TrendSheetStgData[Population]&amp;TrendSheetStgData[Cost Basis]&amp;TrendSheetStgData[Period]&amp;TrendSheetStgData[Trend],TrendSheetPrdData[#All],9,FALSE),0)</f>
        <v>895890</v>
      </c>
      <c r="J5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143.89009811472391</v>
      </c>
      <c r="K560" s="5">
        <f>VLOOKUP(TrendSheetStgData[Population]&amp;TrendSheetStgData[Trend],Threshold[#All],4,FALSE)</f>
        <v>10</v>
      </c>
      <c r="L560" s="5">
        <f>VLOOKUP(TrendSheetStgData[Population]&amp;TrendSheetStgData[Trend],Threshold[#All],5,FALSE)</f>
        <v>5</v>
      </c>
      <c r="M5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61" spans="1:13" x14ac:dyDescent="0.25">
      <c r="A561" t="s">
        <v>90</v>
      </c>
      <c r="B561" t="s">
        <v>90</v>
      </c>
      <c r="C561" t="s">
        <v>78</v>
      </c>
      <c r="D561" s="1" t="s">
        <v>107</v>
      </c>
      <c r="E561" t="s">
        <v>106</v>
      </c>
      <c r="F561" t="s">
        <v>28</v>
      </c>
      <c r="G561">
        <v>17</v>
      </c>
      <c r="H561">
        <v>1356242</v>
      </c>
      <c r="I561" s="5">
        <f>IFERROR(VLOOKUP(TrendSheetStgData[Population]&amp;TrendSheetStgData[Cost Basis]&amp;TrendSheetStgData[Period]&amp;TrendSheetStgData[Trend],TrendSheetPrdData[#All],9,FALSE),0)</f>
        <v>0</v>
      </c>
      <c r="J5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61" s="5">
        <f>VLOOKUP(TrendSheetStgData[Population]&amp;TrendSheetStgData[Trend],Threshold[#All],4,FALSE)</f>
        <v>10</v>
      </c>
      <c r="L561" s="5">
        <f>VLOOKUP(TrendSheetStgData[Population]&amp;TrendSheetStgData[Trend],Threshold[#All],5,FALSE)</f>
        <v>5</v>
      </c>
      <c r="M5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62" spans="1:13" x14ac:dyDescent="0.25">
      <c r="A562" t="s">
        <v>90</v>
      </c>
      <c r="B562" t="s">
        <v>90</v>
      </c>
      <c r="C562" t="s">
        <v>78</v>
      </c>
      <c r="D562" s="1" t="s">
        <v>92</v>
      </c>
      <c r="E562" t="s">
        <v>93</v>
      </c>
      <c r="F562" t="s">
        <v>29</v>
      </c>
      <c r="G562">
        <v>18</v>
      </c>
      <c r="H562">
        <v>300.63</v>
      </c>
      <c r="I562" s="5">
        <f>IFERROR(VLOOKUP(TrendSheetStgData[Population]&amp;TrendSheetStgData[Cost Basis]&amp;TrendSheetStgData[Period]&amp;TrendSheetStgData[Trend],TrendSheetPrdData[#All],9,FALSE),0)</f>
        <v>300.63</v>
      </c>
      <c r="J5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2" s="5">
        <f>VLOOKUP(TrendSheetStgData[Population]&amp;TrendSheetStgData[Trend],Threshold[#All],4,FALSE)</f>
        <v>10</v>
      </c>
      <c r="L562" s="5">
        <f>VLOOKUP(TrendSheetStgData[Population]&amp;TrendSheetStgData[Trend],Threshold[#All],5,FALSE)</f>
        <v>5</v>
      </c>
      <c r="M5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3" spans="1:13" x14ac:dyDescent="0.25">
      <c r="A563" t="s">
        <v>90</v>
      </c>
      <c r="B563" t="s">
        <v>90</v>
      </c>
      <c r="C563" t="s">
        <v>78</v>
      </c>
      <c r="D563" s="1" t="s">
        <v>94</v>
      </c>
      <c r="E563" t="s">
        <v>93</v>
      </c>
      <c r="F563" t="s">
        <v>29</v>
      </c>
      <c r="G563">
        <v>18</v>
      </c>
      <c r="H563">
        <v>304.10000000000002</v>
      </c>
      <c r="I563" s="5">
        <f>IFERROR(VLOOKUP(TrendSheetStgData[Population]&amp;TrendSheetStgData[Cost Basis]&amp;TrendSheetStgData[Period]&amp;TrendSheetStgData[Trend],TrendSheetPrdData[#All],9,FALSE),0)</f>
        <v>304.10000000000002</v>
      </c>
      <c r="J5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3" s="5">
        <f>VLOOKUP(TrendSheetStgData[Population]&amp;TrendSheetStgData[Trend],Threshold[#All],4,FALSE)</f>
        <v>10</v>
      </c>
      <c r="L563" s="5">
        <f>VLOOKUP(TrendSheetStgData[Population]&amp;TrendSheetStgData[Trend],Threshold[#All],5,FALSE)</f>
        <v>5</v>
      </c>
      <c r="M5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4" spans="1:13" x14ac:dyDescent="0.25">
      <c r="A564" t="s">
        <v>90</v>
      </c>
      <c r="B564" t="s">
        <v>90</v>
      </c>
      <c r="C564" t="s">
        <v>78</v>
      </c>
      <c r="D564" s="1" t="s">
        <v>95</v>
      </c>
      <c r="E564" t="s">
        <v>93</v>
      </c>
      <c r="F564" t="s">
        <v>29</v>
      </c>
      <c r="G564">
        <v>18</v>
      </c>
      <c r="H564">
        <v>306.5</v>
      </c>
      <c r="I564" s="5">
        <f>IFERROR(VLOOKUP(TrendSheetStgData[Population]&amp;TrendSheetStgData[Cost Basis]&amp;TrendSheetStgData[Period]&amp;TrendSheetStgData[Trend],TrendSheetPrdData[#All],9,FALSE),0)</f>
        <v>306.5</v>
      </c>
      <c r="J5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4" s="5">
        <f>VLOOKUP(TrendSheetStgData[Population]&amp;TrendSheetStgData[Trend],Threshold[#All],4,FALSE)</f>
        <v>10</v>
      </c>
      <c r="L564" s="5">
        <f>VLOOKUP(TrendSheetStgData[Population]&amp;TrendSheetStgData[Trend],Threshold[#All],5,FALSE)</f>
        <v>5</v>
      </c>
      <c r="M5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5" spans="1:13" x14ac:dyDescent="0.25">
      <c r="A565" t="s">
        <v>90</v>
      </c>
      <c r="B565" t="s">
        <v>90</v>
      </c>
      <c r="C565" t="s">
        <v>78</v>
      </c>
      <c r="D565" s="1" t="s">
        <v>96</v>
      </c>
      <c r="E565" t="s">
        <v>93</v>
      </c>
      <c r="F565" t="s">
        <v>29</v>
      </c>
      <c r="G565">
        <v>18</v>
      </c>
      <c r="H565">
        <v>304.41000000000003</v>
      </c>
      <c r="I565" s="5">
        <f>IFERROR(VLOOKUP(TrendSheetStgData[Population]&amp;TrendSheetStgData[Cost Basis]&amp;TrendSheetStgData[Period]&amp;TrendSheetStgData[Trend],TrendSheetPrdData[#All],9,FALSE),0)</f>
        <v>304.41000000000003</v>
      </c>
      <c r="J5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5" s="5">
        <f>VLOOKUP(TrendSheetStgData[Population]&amp;TrendSheetStgData[Trend],Threshold[#All],4,FALSE)</f>
        <v>10</v>
      </c>
      <c r="L565" s="5">
        <f>VLOOKUP(TrendSheetStgData[Population]&amp;TrendSheetStgData[Trend],Threshold[#All],5,FALSE)</f>
        <v>5</v>
      </c>
      <c r="M5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6" spans="1:13" x14ac:dyDescent="0.25">
      <c r="A566" t="s">
        <v>90</v>
      </c>
      <c r="B566" t="s">
        <v>90</v>
      </c>
      <c r="C566" t="s">
        <v>78</v>
      </c>
      <c r="D566" s="1" t="s">
        <v>97</v>
      </c>
      <c r="E566" t="s">
        <v>93</v>
      </c>
      <c r="F566" t="s">
        <v>29</v>
      </c>
      <c r="G566">
        <v>18</v>
      </c>
      <c r="H566">
        <v>304.8</v>
      </c>
      <c r="I566" s="5">
        <f>IFERROR(VLOOKUP(TrendSheetStgData[Population]&amp;TrendSheetStgData[Cost Basis]&amp;TrendSheetStgData[Period]&amp;TrendSheetStgData[Trend],TrendSheetPrdData[#All],9,FALSE),0)</f>
        <v>304.8</v>
      </c>
      <c r="J5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6" s="5">
        <f>VLOOKUP(TrendSheetStgData[Population]&amp;TrendSheetStgData[Trend],Threshold[#All],4,FALSE)</f>
        <v>10</v>
      </c>
      <c r="L566" s="5">
        <f>VLOOKUP(TrendSheetStgData[Population]&amp;TrendSheetStgData[Trend],Threshold[#All],5,FALSE)</f>
        <v>5</v>
      </c>
      <c r="M5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7" spans="1:13" x14ac:dyDescent="0.25">
      <c r="A567" t="s">
        <v>90</v>
      </c>
      <c r="B567" t="s">
        <v>90</v>
      </c>
      <c r="C567" t="s">
        <v>78</v>
      </c>
      <c r="D567" s="1" t="s">
        <v>98</v>
      </c>
      <c r="E567" t="s">
        <v>93</v>
      </c>
      <c r="F567" t="s">
        <v>29</v>
      </c>
      <c r="G567">
        <v>18</v>
      </c>
      <c r="H567">
        <v>303.58999999999997</v>
      </c>
      <c r="I567" s="5">
        <f>IFERROR(VLOOKUP(TrendSheetStgData[Population]&amp;TrendSheetStgData[Cost Basis]&amp;TrendSheetStgData[Period]&amp;TrendSheetStgData[Trend],TrendSheetPrdData[#All],9,FALSE),0)</f>
        <v>303.58999999999997</v>
      </c>
      <c r="J5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7" s="5">
        <f>VLOOKUP(TrendSheetStgData[Population]&amp;TrendSheetStgData[Trend],Threshold[#All],4,FALSE)</f>
        <v>10</v>
      </c>
      <c r="L567" s="5">
        <f>VLOOKUP(TrendSheetStgData[Population]&amp;TrendSheetStgData[Trend],Threshold[#All],5,FALSE)</f>
        <v>5</v>
      </c>
      <c r="M5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8" spans="1:13" x14ac:dyDescent="0.25">
      <c r="A568" t="s">
        <v>90</v>
      </c>
      <c r="B568" t="s">
        <v>90</v>
      </c>
      <c r="C568" t="s">
        <v>78</v>
      </c>
      <c r="D568" s="1" t="s">
        <v>99</v>
      </c>
      <c r="E568" t="s">
        <v>93</v>
      </c>
      <c r="F568" t="s">
        <v>29</v>
      </c>
      <c r="G568">
        <v>18</v>
      </c>
      <c r="H568">
        <v>306.43</v>
      </c>
      <c r="I568" s="5">
        <f>IFERROR(VLOOKUP(TrendSheetStgData[Population]&amp;TrendSheetStgData[Cost Basis]&amp;TrendSheetStgData[Period]&amp;TrendSheetStgData[Trend],TrendSheetPrdData[#All],9,FALSE),0)</f>
        <v>306.32</v>
      </c>
      <c r="J5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3.5910159310529398E-2</v>
      </c>
      <c r="K568" s="5">
        <f>VLOOKUP(TrendSheetStgData[Population]&amp;TrendSheetStgData[Trend],Threshold[#All],4,FALSE)</f>
        <v>10</v>
      </c>
      <c r="L568" s="5">
        <f>VLOOKUP(TrendSheetStgData[Population]&amp;TrendSheetStgData[Trend],Threshold[#All],5,FALSE)</f>
        <v>5</v>
      </c>
      <c r="M5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9" spans="1:13" x14ac:dyDescent="0.25">
      <c r="A569" t="s">
        <v>90</v>
      </c>
      <c r="B569" t="s">
        <v>90</v>
      </c>
      <c r="C569" t="s">
        <v>78</v>
      </c>
      <c r="D569" s="1" t="s">
        <v>100</v>
      </c>
      <c r="E569" t="s">
        <v>93</v>
      </c>
      <c r="F569" t="s">
        <v>29</v>
      </c>
      <c r="G569">
        <v>18</v>
      </c>
      <c r="H569">
        <v>306.07</v>
      </c>
      <c r="I569" s="5">
        <f>IFERROR(VLOOKUP(TrendSheetStgData[Population]&amp;TrendSheetStgData[Cost Basis]&amp;TrendSheetStgData[Period]&amp;TrendSheetStgData[Trend],TrendSheetPrdData[#All],9,FALSE),0)</f>
        <v>305.95999999999998</v>
      </c>
      <c r="J5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3.5952412080014921E-2</v>
      </c>
      <c r="K569" s="5">
        <f>VLOOKUP(TrendSheetStgData[Population]&amp;TrendSheetStgData[Trend],Threshold[#All],4,FALSE)</f>
        <v>10</v>
      </c>
      <c r="L569" s="5">
        <f>VLOOKUP(TrendSheetStgData[Population]&amp;TrendSheetStgData[Trend],Threshold[#All],5,FALSE)</f>
        <v>5</v>
      </c>
      <c r="M5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0" spans="1:13" x14ac:dyDescent="0.25">
      <c r="A570" t="s">
        <v>90</v>
      </c>
      <c r="B570" t="s">
        <v>90</v>
      </c>
      <c r="C570" t="s">
        <v>78</v>
      </c>
      <c r="D570" s="1" t="s">
        <v>101</v>
      </c>
      <c r="E570" t="s">
        <v>93</v>
      </c>
      <c r="F570" t="s">
        <v>29</v>
      </c>
      <c r="G570">
        <v>18</v>
      </c>
      <c r="H570">
        <v>306.20999999999998</v>
      </c>
      <c r="I570" s="5">
        <f>IFERROR(VLOOKUP(TrendSheetStgData[Population]&amp;TrendSheetStgData[Cost Basis]&amp;TrendSheetStgData[Period]&amp;TrendSheetStgData[Trend],TrendSheetPrdData[#All],9,FALSE),0)</f>
        <v>306</v>
      </c>
      <c r="J5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6.8627450980385474E-2</v>
      </c>
      <c r="K570" s="5">
        <f>VLOOKUP(TrendSheetStgData[Population]&amp;TrendSheetStgData[Trend],Threshold[#All],4,FALSE)</f>
        <v>10</v>
      </c>
      <c r="L570" s="5">
        <f>VLOOKUP(TrendSheetStgData[Population]&amp;TrendSheetStgData[Trend],Threshold[#All],5,FALSE)</f>
        <v>5</v>
      </c>
      <c r="M5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1" spans="1:13" x14ac:dyDescent="0.25">
      <c r="A571" t="s">
        <v>90</v>
      </c>
      <c r="B571" t="s">
        <v>90</v>
      </c>
      <c r="C571" t="s">
        <v>78</v>
      </c>
      <c r="D571" s="1" t="s">
        <v>102</v>
      </c>
      <c r="E571" t="s">
        <v>93</v>
      </c>
      <c r="F571" t="s">
        <v>29</v>
      </c>
      <c r="G571">
        <v>18</v>
      </c>
      <c r="H571">
        <v>300.52999999999997</v>
      </c>
      <c r="I571" s="5">
        <f>IFERROR(VLOOKUP(TrendSheetStgData[Population]&amp;TrendSheetStgData[Cost Basis]&amp;TrendSheetStgData[Period]&amp;TrendSheetStgData[Trend],TrendSheetPrdData[#All],9,FALSE),0)</f>
        <v>299.8</v>
      </c>
      <c r="J5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0.24349566377583767</v>
      </c>
      <c r="K571" s="5">
        <f>VLOOKUP(TrendSheetStgData[Population]&amp;TrendSheetStgData[Trend],Threshold[#All],4,FALSE)</f>
        <v>10</v>
      </c>
      <c r="L571" s="5">
        <f>VLOOKUP(TrendSheetStgData[Population]&amp;TrendSheetStgData[Trend],Threshold[#All],5,FALSE)</f>
        <v>5</v>
      </c>
      <c r="M5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2" spans="1:13" x14ac:dyDescent="0.25">
      <c r="A572" t="s">
        <v>90</v>
      </c>
      <c r="B572" t="s">
        <v>90</v>
      </c>
      <c r="C572" t="s">
        <v>78</v>
      </c>
      <c r="D572" s="1" t="s">
        <v>103</v>
      </c>
      <c r="E572" t="s">
        <v>93</v>
      </c>
      <c r="F572" t="s">
        <v>29</v>
      </c>
      <c r="G572">
        <v>18</v>
      </c>
      <c r="H572">
        <v>300.23</v>
      </c>
      <c r="I572" s="5">
        <f>IFERROR(VLOOKUP(TrendSheetStgData[Population]&amp;TrendSheetStgData[Cost Basis]&amp;TrendSheetStgData[Period]&amp;TrendSheetStgData[Trend],TrendSheetPrdData[#All],9,FALSE),0)</f>
        <v>299.3</v>
      </c>
      <c r="J5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0.31072502505847205</v>
      </c>
      <c r="K572" s="5">
        <f>VLOOKUP(TrendSheetStgData[Population]&amp;TrendSheetStgData[Trend],Threshold[#All],4,FALSE)</f>
        <v>10</v>
      </c>
      <c r="L572" s="5">
        <f>VLOOKUP(TrendSheetStgData[Population]&amp;TrendSheetStgData[Trend],Threshold[#All],5,FALSE)</f>
        <v>5</v>
      </c>
      <c r="M5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3" spans="1:13" x14ac:dyDescent="0.25">
      <c r="A573" t="s">
        <v>90</v>
      </c>
      <c r="B573" t="s">
        <v>90</v>
      </c>
      <c r="C573" t="s">
        <v>78</v>
      </c>
      <c r="D573" s="1" t="s">
        <v>104</v>
      </c>
      <c r="E573" t="s">
        <v>93</v>
      </c>
      <c r="F573" t="s">
        <v>29</v>
      </c>
      <c r="G573">
        <v>18</v>
      </c>
      <c r="H573">
        <v>301.25</v>
      </c>
      <c r="I573" s="5">
        <f>IFERROR(VLOOKUP(TrendSheetStgData[Population]&amp;TrendSheetStgData[Cost Basis]&amp;TrendSheetStgData[Period]&amp;TrendSheetStgData[Trend],TrendSheetPrdData[#All],9,FALSE),0)</f>
        <v>299.82</v>
      </c>
      <c r="J5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0.47695283836969077</v>
      </c>
      <c r="K573" s="5">
        <f>VLOOKUP(TrendSheetStgData[Population]&amp;TrendSheetStgData[Trend],Threshold[#All],4,FALSE)</f>
        <v>10</v>
      </c>
      <c r="L573" s="5">
        <f>VLOOKUP(TrendSheetStgData[Population]&amp;TrendSheetStgData[Trend],Threshold[#All],5,FALSE)</f>
        <v>5</v>
      </c>
      <c r="M5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4" spans="1:13" x14ac:dyDescent="0.25">
      <c r="A574" t="s">
        <v>90</v>
      </c>
      <c r="B574" t="s">
        <v>90</v>
      </c>
      <c r="C574" t="s">
        <v>78</v>
      </c>
      <c r="D574" s="1" t="s">
        <v>105</v>
      </c>
      <c r="E574" t="s">
        <v>106</v>
      </c>
      <c r="F574" t="s">
        <v>29</v>
      </c>
      <c r="G574">
        <v>18</v>
      </c>
      <c r="H574">
        <v>303.58</v>
      </c>
      <c r="I574" s="5">
        <f>IFERROR(VLOOKUP(TrendSheetStgData[Population]&amp;TrendSheetStgData[Cost Basis]&amp;TrendSheetStgData[Period]&amp;TrendSheetStgData[Trend],TrendSheetPrdData[#All],9,FALSE),0)</f>
        <v>291.56</v>
      </c>
      <c r="J5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4.1226505693510704</v>
      </c>
      <c r="K574" s="5">
        <f>VLOOKUP(TrendSheetStgData[Population]&amp;TrendSheetStgData[Trend],Threshold[#All],4,FALSE)</f>
        <v>10</v>
      </c>
      <c r="L574" s="5">
        <f>VLOOKUP(TrendSheetStgData[Population]&amp;TrendSheetStgData[Trend],Threshold[#All],5,FALSE)</f>
        <v>5</v>
      </c>
      <c r="M5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5" spans="1:13" x14ac:dyDescent="0.25">
      <c r="A575" t="s">
        <v>90</v>
      </c>
      <c r="B575" t="s">
        <v>90</v>
      </c>
      <c r="C575" t="s">
        <v>78</v>
      </c>
      <c r="D575" s="1" t="s">
        <v>107</v>
      </c>
      <c r="E575" t="s">
        <v>106</v>
      </c>
      <c r="F575" t="s">
        <v>29</v>
      </c>
      <c r="G575">
        <v>18</v>
      </c>
      <c r="H575">
        <v>298.19</v>
      </c>
      <c r="I575" s="5">
        <f>IFERROR(VLOOKUP(TrendSheetStgData[Population]&amp;TrendSheetStgData[Cost Basis]&amp;TrendSheetStgData[Period]&amp;TrendSheetStgData[Trend],TrendSheetPrdData[#All],9,FALSE),0)</f>
        <v>0</v>
      </c>
      <c r="J5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75" s="5">
        <f>VLOOKUP(TrendSheetStgData[Population]&amp;TrendSheetStgData[Trend],Threshold[#All],4,FALSE)</f>
        <v>10</v>
      </c>
      <c r="L575" s="5">
        <f>VLOOKUP(TrendSheetStgData[Population]&amp;TrendSheetStgData[Trend],Threshold[#All],5,FALSE)</f>
        <v>5</v>
      </c>
      <c r="M5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6" spans="1:13" x14ac:dyDescent="0.25">
      <c r="A576" t="s">
        <v>90</v>
      </c>
      <c r="B576" t="s">
        <v>90</v>
      </c>
      <c r="C576" t="s">
        <v>78</v>
      </c>
      <c r="D576" s="1" t="s">
        <v>92</v>
      </c>
      <c r="E576" t="s">
        <v>93</v>
      </c>
      <c r="F576" t="s">
        <v>30</v>
      </c>
      <c r="G576">
        <v>19</v>
      </c>
      <c r="H576">
        <v>510</v>
      </c>
      <c r="I576" s="5">
        <f>IFERROR(VLOOKUP(TrendSheetStgData[Population]&amp;TrendSheetStgData[Cost Basis]&amp;TrendSheetStgData[Period]&amp;TrendSheetStgData[Trend],TrendSheetPrdData[#All],9,FALSE),0)</f>
        <v>510</v>
      </c>
      <c r="J5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6" s="5">
        <f>VLOOKUP(TrendSheetStgData[Population]&amp;TrendSheetStgData[Trend],Threshold[#All],4,FALSE)</f>
        <v>10</v>
      </c>
      <c r="L576" s="5">
        <f>VLOOKUP(TrendSheetStgData[Population]&amp;TrendSheetStgData[Trend],Threshold[#All],5,FALSE)</f>
        <v>5</v>
      </c>
      <c r="M5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7" spans="1:13" x14ac:dyDescent="0.25">
      <c r="A577" t="s">
        <v>90</v>
      </c>
      <c r="B577" t="s">
        <v>90</v>
      </c>
      <c r="C577" t="s">
        <v>78</v>
      </c>
      <c r="D577" s="1" t="s">
        <v>94</v>
      </c>
      <c r="E577" t="s">
        <v>93</v>
      </c>
      <c r="F577" t="s">
        <v>30</v>
      </c>
      <c r="G577">
        <v>19</v>
      </c>
      <c r="H577">
        <v>505</v>
      </c>
      <c r="I577" s="5">
        <f>IFERROR(VLOOKUP(TrendSheetStgData[Population]&amp;TrendSheetStgData[Cost Basis]&amp;TrendSheetStgData[Period]&amp;TrendSheetStgData[Trend],TrendSheetPrdData[#All],9,FALSE),0)</f>
        <v>505</v>
      </c>
      <c r="J5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7" s="5">
        <f>VLOOKUP(TrendSheetStgData[Population]&amp;TrendSheetStgData[Trend],Threshold[#All],4,FALSE)</f>
        <v>10</v>
      </c>
      <c r="L577" s="5">
        <f>VLOOKUP(TrendSheetStgData[Population]&amp;TrendSheetStgData[Trend],Threshold[#All],5,FALSE)</f>
        <v>5</v>
      </c>
      <c r="M5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8" spans="1:13" x14ac:dyDescent="0.25">
      <c r="A578" t="s">
        <v>90</v>
      </c>
      <c r="B578" t="s">
        <v>90</v>
      </c>
      <c r="C578" t="s">
        <v>78</v>
      </c>
      <c r="D578" s="1" t="s">
        <v>95</v>
      </c>
      <c r="E578" t="s">
        <v>93</v>
      </c>
      <c r="F578" t="s">
        <v>30</v>
      </c>
      <c r="G578">
        <v>19</v>
      </c>
      <c r="H578">
        <v>598</v>
      </c>
      <c r="I578" s="5">
        <f>IFERROR(VLOOKUP(TrendSheetStgData[Population]&amp;TrendSheetStgData[Cost Basis]&amp;TrendSheetStgData[Period]&amp;TrendSheetStgData[Trend],TrendSheetPrdData[#All],9,FALSE),0)</f>
        <v>598</v>
      </c>
      <c r="J5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8" s="5">
        <f>VLOOKUP(TrendSheetStgData[Population]&amp;TrendSheetStgData[Trend],Threshold[#All],4,FALSE)</f>
        <v>10</v>
      </c>
      <c r="L578" s="5">
        <f>VLOOKUP(TrendSheetStgData[Population]&amp;TrendSheetStgData[Trend],Threshold[#All],5,FALSE)</f>
        <v>5</v>
      </c>
      <c r="M5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9" spans="1:13" x14ac:dyDescent="0.25">
      <c r="A579" t="s">
        <v>90</v>
      </c>
      <c r="B579" t="s">
        <v>90</v>
      </c>
      <c r="C579" t="s">
        <v>78</v>
      </c>
      <c r="D579" s="1" t="s">
        <v>96</v>
      </c>
      <c r="E579" t="s">
        <v>93</v>
      </c>
      <c r="F579" t="s">
        <v>30</v>
      </c>
      <c r="G579">
        <v>19</v>
      </c>
      <c r="H579">
        <v>607</v>
      </c>
      <c r="I579" s="5">
        <f>IFERROR(VLOOKUP(TrendSheetStgData[Population]&amp;TrendSheetStgData[Cost Basis]&amp;TrendSheetStgData[Period]&amp;TrendSheetStgData[Trend],TrendSheetPrdData[#All],9,FALSE),0)</f>
        <v>607</v>
      </c>
      <c r="J5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9" s="5">
        <f>VLOOKUP(TrendSheetStgData[Population]&amp;TrendSheetStgData[Trend],Threshold[#All],4,FALSE)</f>
        <v>10</v>
      </c>
      <c r="L579" s="5">
        <f>VLOOKUP(TrendSheetStgData[Population]&amp;TrendSheetStgData[Trend],Threshold[#All],5,FALSE)</f>
        <v>5</v>
      </c>
      <c r="M5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0" spans="1:13" x14ac:dyDescent="0.25">
      <c r="A580" t="s">
        <v>90</v>
      </c>
      <c r="B580" t="s">
        <v>90</v>
      </c>
      <c r="C580" t="s">
        <v>78</v>
      </c>
      <c r="D580" s="1" t="s">
        <v>97</v>
      </c>
      <c r="E580" t="s">
        <v>93</v>
      </c>
      <c r="F580" t="s">
        <v>30</v>
      </c>
      <c r="G580">
        <v>19</v>
      </c>
      <c r="H580">
        <v>407</v>
      </c>
      <c r="I580" s="5">
        <f>IFERROR(VLOOKUP(TrendSheetStgData[Population]&amp;TrendSheetStgData[Cost Basis]&amp;TrendSheetStgData[Period]&amp;TrendSheetStgData[Trend],TrendSheetPrdData[#All],9,FALSE),0)</f>
        <v>407</v>
      </c>
      <c r="J5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0" s="5">
        <f>VLOOKUP(TrendSheetStgData[Population]&amp;TrendSheetStgData[Trend],Threshold[#All],4,FALSE)</f>
        <v>10</v>
      </c>
      <c r="L580" s="5">
        <f>VLOOKUP(TrendSheetStgData[Population]&amp;TrendSheetStgData[Trend],Threshold[#All],5,FALSE)</f>
        <v>5</v>
      </c>
      <c r="M5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1" spans="1:13" x14ac:dyDescent="0.25">
      <c r="A581" t="s">
        <v>90</v>
      </c>
      <c r="B581" t="s">
        <v>90</v>
      </c>
      <c r="C581" t="s">
        <v>78</v>
      </c>
      <c r="D581" s="1" t="s">
        <v>98</v>
      </c>
      <c r="E581" t="s">
        <v>93</v>
      </c>
      <c r="F581" t="s">
        <v>30</v>
      </c>
      <c r="G581">
        <v>19</v>
      </c>
      <c r="H581">
        <v>459</v>
      </c>
      <c r="I581" s="5">
        <f>IFERROR(VLOOKUP(TrendSheetStgData[Population]&amp;TrendSheetStgData[Cost Basis]&amp;TrendSheetStgData[Period]&amp;TrendSheetStgData[Trend],TrendSheetPrdData[#All],9,FALSE),0)</f>
        <v>459</v>
      </c>
      <c r="J5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1" s="5">
        <f>VLOOKUP(TrendSheetStgData[Population]&amp;TrendSheetStgData[Trend],Threshold[#All],4,FALSE)</f>
        <v>10</v>
      </c>
      <c r="L581" s="5">
        <f>VLOOKUP(TrendSheetStgData[Population]&amp;TrendSheetStgData[Trend],Threshold[#All],5,FALSE)</f>
        <v>5</v>
      </c>
      <c r="M5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2" spans="1:13" x14ac:dyDescent="0.25">
      <c r="A582" t="s">
        <v>90</v>
      </c>
      <c r="B582" t="s">
        <v>90</v>
      </c>
      <c r="C582" t="s">
        <v>78</v>
      </c>
      <c r="D582" s="1" t="s">
        <v>99</v>
      </c>
      <c r="E582" t="s">
        <v>93</v>
      </c>
      <c r="F582" t="s">
        <v>30</v>
      </c>
      <c r="G582">
        <v>19</v>
      </c>
      <c r="H582">
        <v>499</v>
      </c>
      <c r="I582" s="5">
        <f>IFERROR(VLOOKUP(TrendSheetStgData[Population]&amp;TrendSheetStgData[Cost Basis]&amp;TrendSheetStgData[Period]&amp;TrendSheetStgData[Trend],TrendSheetPrdData[#All],9,FALSE),0)</f>
        <v>482</v>
      </c>
      <c r="J5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3.5269709543568464</v>
      </c>
      <c r="K582" s="5">
        <f>VLOOKUP(TrendSheetStgData[Population]&amp;TrendSheetStgData[Trend],Threshold[#All],4,FALSE)</f>
        <v>10</v>
      </c>
      <c r="L582" s="5">
        <f>VLOOKUP(TrendSheetStgData[Population]&amp;TrendSheetStgData[Trend],Threshold[#All],5,FALSE)</f>
        <v>5</v>
      </c>
      <c r="M5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83" spans="1:13" x14ac:dyDescent="0.25">
      <c r="A583" t="s">
        <v>90</v>
      </c>
      <c r="B583" t="s">
        <v>90</v>
      </c>
      <c r="C583" t="s">
        <v>78</v>
      </c>
      <c r="D583" s="1" t="s">
        <v>100</v>
      </c>
      <c r="E583" t="s">
        <v>93</v>
      </c>
      <c r="F583" t="s">
        <v>30</v>
      </c>
      <c r="G583">
        <v>19</v>
      </c>
      <c r="H583">
        <v>396</v>
      </c>
      <c r="I583" s="5">
        <f>IFERROR(VLOOKUP(TrendSheetStgData[Population]&amp;TrendSheetStgData[Cost Basis]&amp;TrendSheetStgData[Period]&amp;TrendSheetStgData[Trend],TrendSheetPrdData[#All],9,FALSE),0)</f>
        <v>396</v>
      </c>
      <c r="J5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3" s="5">
        <f>VLOOKUP(TrendSheetStgData[Population]&amp;TrendSheetStgData[Trend],Threshold[#All],4,FALSE)</f>
        <v>10</v>
      </c>
      <c r="L583" s="5">
        <f>VLOOKUP(TrendSheetStgData[Population]&amp;TrendSheetStgData[Trend],Threshold[#All],5,FALSE)</f>
        <v>5</v>
      </c>
      <c r="M5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4" spans="1:13" x14ac:dyDescent="0.25">
      <c r="A584" t="s">
        <v>90</v>
      </c>
      <c r="B584" t="s">
        <v>90</v>
      </c>
      <c r="C584" t="s">
        <v>78</v>
      </c>
      <c r="D584" s="1" t="s">
        <v>101</v>
      </c>
      <c r="E584" t="s">
        <v>93</v>
      </c>
      <c r="F584" t="s">
        <v>30</v>
      </c>
      <c r="G584">
        <v>19</v>
      </c>
      <c r="H584">
        <v>433</v>
      </c>
      <c r="I584" s="5">
        <f>IFERROR(VLOOKUP(TrendSheetStgData[Population]&amp;TrendSheetStgData[Cost Basis]&amp;TrendSheetStgData[Period]&amp;TrendSheetStgData[Trend],TrendSheetPrdData[#All],9,FALSE),0)</f>
        <v>428</v>
      </c>
      <c r="J5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1.1682242990654206</v>
      </c>
      <c r="K584" s="5">
        <f>VLOOKUP(TrendSheetStgData[Population]&amp;TrendSheetStgData[Trend],Threshold[#All],4,FALSE)</f>
        <v>10</v>
      </c>
      <c r="L584" s="5">
        <f>VLOOKUP(TrendSheetStgData[Population]&amp;TrendSheetStgData[Trend],Threshold[#All],5,FALSE)</f>
        <v>5</v>
      </c>
      <c r="M5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85" spans="1:13" x14ac:dyDescent="0.25">
      <c r="A585" t="s">
        <v>90</v>
      </c>
      <c r="B585" t="s">
        <v>90</v>
      </c>
      <c r="C585" t="s">
        <v>78</v>
      </c>
      <c r="D585" s="1" t="s">
        <v>102</v>
      </c>
      <c r="E585" t="s">
        <v>93</v>
      </c>
      <c r="F585" t="s">
        <v>30</v>
      </c>
      <c r="G585">
        <v>19</v>
      </c>
      <c r="H585">
        <v>530</v>
      </c>
      <c r="I585" s="5">
        <f>IFERROR(VLOOKUP(TrendSheetStgData[Population]&amp;TrendSheetStgData[Cost Basis]&amp;TrendSheetStgData[Period]&amp;TrendSheetStgData[Trend],TrendSheetPrdData[#All],9,FALSE),0)</f>
        <v>505</v>
      </c>
      <c r="J5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4.9504950495049505</v>
      </c>
      <c r="K585" s="5">
        <f>VLOOKUP(TrendSheetStgData[Population]&amp;TrendSheetStgData[Trend],Threshold[#All],4,FALSE)</f>
        <v>10</v>
      </c>
      <c r="L585" s="5">
        <f>VLOOKUP(TrendSheetStgData[Population]&amp;TrendSheetStgData[Trend],Threshold[#All],5,FALSE)</f>
        <v>5</v>
      </c>
      <c r="M5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86" spans="1:13" x14ac:dyDescent="0.25">
      <c r="A586" t="s">
        <v>90</v>
      </c>
      <c r="B586" t="s">
        <v>90</v>
      </c>
      <c r="C586" t="s">
        <v>78</v>
      </c>
      <c r="D586" s="1" t="s">
        <v>103</v>
      </c>
      <c r="E586" t="s">
        <v>93</v>
      </c>
      <c r="F586" t="s">
        <v>30</v>
      </c>
      <c r="G586">
        <v>19</v>
      </c>
      <c r="H586">
        <v>535</v>
      </c>
      <c r="I586" s="5">
        <f>IFERROR(VLOOKUP(TrendSheetStgData[Population]&amp;TrendSheetStgData[Cost Basis]&amp;TrendSheetStgData[Period]&amp;TrendSheetStgData[Trend],TrendSheetPrdData[#All],9,FALSE),0)</f>
        <v>519</v>
      </c>
      <c r="J5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3.0828516377649327</v>
      </c>
      <c r="K586" s="5">
        <f>VLOOKUP(TrendSheetStgData[Population]&amp;TrendSheetStgData[Trend],Threshold[#All],4,FALSE)</f>
        <v>10</v>
      </c>
      <c r="L586" s="5">
        <f>VLOOKUP(TrendSheetStgData[Population]&amp;TrendSheetStgData[Trend],Threshold[#All],5,FALSE)</f>
        <v>5</v>
      </c>
      <c r="M5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87" spans="1:13" x14ac:dyDescent="0.25">
      <c r="A587" t="s">
        <v>90</v>
      </c>
      <c r="B587" t="s">
        <v>90</v>
      </c>
      <c r="C587" t="s">
        <v>78</v>
      </c>
      <c r="D587" s="1" t="s">
        <v>104</v>
      </c>
      <c r="E587" t="s">
        <v>93</v>
      </c>
      <c r="F587" t="s">
        <v>30</v>
      </c>
      <c r="G587">
        <v>19</v>
      </c>
      <c r="H587">
        <v>520</v>
      </c>
      <c r="I587" s="5">
        <f>IFERROR(VLOOKUP(TrendSheetStgData[Population]&amp;TrendSheetStgData[Cost Basis]&amp;TrendSheetStgData[Period]&amp;TrendSheetStgData[Trend],TrendSheetPrdData[#All],9,FALSE),0)</f>
        <v>477</v>
      </c>
      <c r="J5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9.0146750524109009</v>
      </c>
      <c r="K587" s="5">
        <f>VLOOKUP(TrendSheetStgData[Population]&amp;TrendSheetStgData[Trend],Threshold[#All],4,FALSE)</f>
        <v>10</v>
      </c>
      <c r="L587" s="5">
        <f>VLOOKUP(TrendSheetStgData[Population]&amp;TrendSheetStgData[Trend],Threshold[#All],5,FALSE)</f>
        <v>5</v>
      </c>
      <c r="M5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88" spans="1:13" x14ac:dyDescent="0.25">
      <c r="A588" t="s">
        <v>90</v>
      </c>
      <c r="B588" t="s">
        <v>90</v>
      </c>
      <c r="C588" t="s">
        <v>78</v>
      </c>
      <c r="D588" s="1" t="s">
        <v>105</v>
      </c>
      <c r="E588" t="s">
        <v>106</v>
      </c>
      <c r="F588" t="s">
        <v>30</v>
      </c>
      <c r="G588">
        <v>19</v>
      </c>
      <c r="H588">
        <v>370</v>
      </c>
      <c r="I588" s="5">
        <f>IFERROR(VLOOKUP(TrendSheetStgData[Population]&amp;TrendSheetStgData[Cost Basis]&amp;TrendSheetStgData[Period]&amp;TrendSheetStgData[Trend],TrendSheetPrdData[#All],9,FALSE),0)</f>
        <v>69</v>
      </c>
      <c r="J5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436.231884057971</v>
      </c>
      <c r="K588" s="5">
        <f>VLOOKUP(TrendSheetStgData[Population]&amp;TrendSheetStgData[Trend],Threshold[#All],4,FALSE)</f>
        <v>10</v>
      </c>
      <c r="L588" s="5">
        <f>VLOOKUP(TrendSheetStgData[Population]&amp;TrendSheetStgData[Trend],Threshold[#All],5,FALSE)</f>
        <v>5</v>
      </c>
      <c r="M5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89" spans="1:13" x14ac:dyDescent="0.25">
      <c r="A589" t="s">
        <v>90</v>
      </c>
      <c r="B589" t="s">
        <v>90</v>
      </c>
      <c r="C589" t="s">
        <v>78</v>
      </c>
      <c r="D589" s="1" t="s">
        <v>107</v>
      </c>
      <c r="E589" t="s">
        <v>106</v>
      </c>
      <c r="F589" t="s">
        <v>30</v>
      </c>
      <c r="G589">
        <v>19</v>
      </c>
      <c r="H589">
        <v>129</v>
      </c>
      <c r="I589" s="5">
        <f>IFERROR(VLOOKUP(TrendSheetStgData[Population]&amp;TrendSheetStgData[Cost Basis]&amp;TrendSheetStgData[Period]&amp;TrendSheetStgData[Trend],TrendSheetPrdData[#All],9,FALSE),0)</f>
        <v>0</v>
      </c>
      <c r="J5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89" s="5">
        <f>VLOOKUP(TrendSheetStgData[Population]&amp;TrendSheetStgData[Trend],Threshold[#All],4,FALSE)</f>
        <v>10</v>
      </c>
      <c r="L589" s="5">
        <f>VLOOKUP(TrendSheetStgData[Population]&amp;TrendSheetStgData[Trend],Threshold[#All],5,FALSE)</f>
        <v>5</v>
      </c>
      <c r="M5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90" spans="1:13" x14ac:dyDescent="0.25">
      <c r="A590" t="s">
        <v>90</v>
      </c>
      <c r="B590" t="s">
        <v>90</v>
      </c>
      <c r="C590" t="s">
        <v>78</v>
      </c>
      <c r="D590" s="1" t="s">
        <v>92</v>
      </c>
      <c r="E590" t="s">
        <v>93</v>
      </c>
      <c r="F590" t="s">
        <v>31</v>
      </c>
      <c r="G590">
        <v>20</v>
      </c>
      <c r="H590">
        <v>8186</v>
      </c>
      <c r="I590" s="5">
        <f>IFERROR(VLOOKUP(TrendSheetStgData[Population]&amp;TrendSheetStgData[Cost Basis]&amp;TrendSheetStgData[Period]&amp;TrendSheetStgData[Trend],TrendSheetPrdData[#All],9,FALSE),0)</f>
        <v>8186</v>
      </c>
      <c r="J5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0" s="5">
        <f>VLOOKUP(TrendSheetStgData[Population]&amp;TrendSheetStgData[Trend],Threshold[#All],4,FALSE)</f>
        <v>10</v>
      </c>
      <c r="L590" s="5">
        <f>VLOOKUP(TrendSheetStgData[Population]&amp;TrendSheetStgData[Trend],Threshold[#All],5,FALSE)</f>
        <v>5</v>
      </c>
      <c r="M5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1" spans="1:13" x14ac:dyDescent="0.25">
      <c r="A591" t="s">
        <v>90</v>
      </c>
      <c r="B591" t="s">
        <v>90</v>
      </c>
      <c r="C591" t="s">
        <v>78</v>
      </c>
      <c r="D591" s="1" t="s">
        <v>94</v>
      </c>
      <c r="E591" t="s">
        <v>93</v>
      </c>
      <c r="F591" t="s">
        <v>31</v>
      </c>
      <c r="G591">
        <v>20</v>
      </c>
      <c r="H591">
        <v>6919</v>
      </c>
      <c r="I591" s="5">
        <f>IFERROR(VLOOKUP(TrendSheetStgData[Population]&amp;TrendSheetStgData[Cost Basis]&amp;TrendSheetStgData[Period]&amp;TrendSheetStgData[Trend],TrendSheetPrdData[#All],9,FALSE),0)</f>
        <v>6916</v>
      </c>
      <c r="J5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4.3377674956622328E-2</v>
      </c>
      <c r="K591" s="5">
        <f>VLOOKUP(TrendSheetStgData[Population]&amp;TrendSheetStgData[Trend],Threshold[#All],4,FALSE)</f>
        <v>10</v>
      </c>
      <c r="L591" s="5">
        <f>VLOOKUP(TrendSheetStgData[Population]&amp;TrendSheetStgData[Trend],Threshold[#All],5,FALSE)</f>
        <v>5</v>
      </c>
      <c r="M5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2" spans="1:13" x14ac:dyDescent="0.25">
      <c r="A592" t="s">
        <v>90</v>
      </c>
      <c r="B592" t="s">
        <v>90</v>
      </c>
      <c r="C592" t="s">
        <v>78</v>
      </c>
      <c r="D592" s="1" t="s">
        <v>95</v>
      </c>
      <c r="E592" t="s">
        <v>93</v>
      </c>
      <c r="F592" t="s">
        <v>31</v>
      </c>
      <c r="G592">
        <v>20</v>
      </c>
      <c r="H592">
        <v>8342</v>
      </c>
      <c r="I592" s="5">
        <f>IFERROR(VLOOKUP(TrendSheetStgData[Population]&amp;TrendSheetStgData[Cost Basis]&amp;TrendSheetStgData[Period]&amp;TrendSheetStgData[Trend],TrendSheetPrdData[#All],9,FALSE),0)</f>
        <v>8339</v>
      </c>
      <c r="J5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3.5975536635088137E-2</v>
      </c>
      <c r="K592" s="5">
        <f>VLOOKUP(TrendSheetStgData[Population]&amp;TrendSheetStgData[Trend],Threshold[#All],4,FALSE)</f>
        <v>10</v>
      </c>
      <c r="L592" s="5">
        <f>VLOOKUP(TrendSheetStgData[Population]&amp;TrendSheetStgData[Trend],Threshold[#All],5,FALSE)</f>
        <v>5</v>
      </c>
      <c r="M5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3" spans="1:13" x14ac:dyDescent="0.25">
      <c r="A593" t="s">
        <v>90</v>
      </c>
      <c r="B593" t="s">
        <v>90</v>
      </c>
      <c r="C593" t="s">
        <v>78</v>
      </c>
      <c r="D593" s="1" t="s">
        <v>96</v>
      </c>
      <c r="E593" t="s">
        <v>93</v>
      </c>
      <c r="F593" t="s">
        <v>31</v>
      </c>
      <c r="G593">
        <v>20</v>
      </c>
      <c r="H593">
        <v>7478</v>
      </c>
      <c r="I593" s="5">
        <f>IFERROR(VLOOKUP(TrendSheetStgData[Population]&amp;TrendSheetStgData[Cost Basis]&amp;TrendSheetStgData[Period]&amp;TrendSheetStgData[Trend],TrendSheetPrdData[#All],9,FALSE),0)</f>
        <v>7456</v>
      </c>
      <c r="J5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0.29506437768240346</v>
      </c>
      <c r="K593" s="5">
        <f>VLOOKUP(TrendSheetStgData[Population]&amp;TrendSheetStgData[Trend],Threshold[#All],4,FALSE)</f>
        <v>10</v>
      </c>
      <c r="L593" s="5">
        <f>VLOOKUP(TrendSheetStgData[Population]&amp;TrendSheetStgData[Trend],Threshold[#All],5,FALSE)</f>
        <v>5</v>
      </c>
      <c r="M5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4" spans="1:13" x14ac:dyDescent="0.25">
      <c r="A594" t="s">
        <v>90</v>
      </c>
      <c r="B594" t="s">
        <v>90</v>
      </c>
      <c r="C594" t="s">
        <v>78</v>
      </c>
      <c r="D594" s="1" t="s">
        <v>97</v>
      </c>
      <c r="E594" t="s">
        <v>93</v>
      </c>
      <c r="F594" t="s">
        <v>31</v>
      </c>
      <c r="G594">
        <v>20</v>
      </c>
      <c r="H594">
        <v>8382</v>
      </c>
      <c r="I594" s="5">
        <f>IFERROR(VLOOKUP(TrendSheetStgData[Population]&amp;TrendSheetStgData[Cost Basis]&amp;TrendSheetStgData[Period]&amp;TrendSheetStgData[Trend],TrendSheetPrdData[#All],9,FALSE),0)</f>
        <v>8363</v>
      </c>
      <c r="J5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0.22719119933038381</v>
      </c>
      <c r="K594" s="5">
        <f>VLOOKUP(TrendSheetStgData[Population]&amp;TrendSheetStgData[Trend],Threshold[#All],4,FALSE)</f>
        <v>10</v>
      </c>
      <c r="L594" s="5">
        <f>VLOOKUP(TrendSheetStgData[Population]&amp;TrendSheetStgData[Trend],Threshold[#All],5,FALSE)</f>
        <v>5</v>
      </c>
      <c r="M5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5" spans="1:13" x14ac:dyDescent="0.25">
      <c r="A595" t="s">
        <v>90</v>
      </c>
      <c r="B595" t="s">
        <v>90</v>
      </c>
      <c r="C595" t="s">
        <v>78</v>
      </c>
      <c r="D595" s="1" t="s">
        <v>98</v>
      </c>
      <c r="E595" t="s">
        <v>93</v>
      </c>
      <c r="F595" t="s">
        <v>31</v>
      </c>
      <c r="G595">
        <v>20</v>
      </c>
      <c r="H595">
        <v>7723</v>
      </c>
      <c r="I595" s="5">
        <f>IFERROR(VLOOKUP(TrendSheetStgData[Population]&amp;TrendSheetStgData[Cost Basis]&amp;TrendSheetStgData[Period]&amp;TrendSheetStgData[Trend],TrendSheetPrdData[#All],9,FALSE),0)</f>
        <v>7670</v>
      </c>
      <c r="J5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0.69100391134289441</v>
      </c>
      <c r="K595" s="5">
        <f>VLOOKUP(TrendSheetStgData[Population]&amp;TrendSheetStgData[Trend],Threshold[#All],4,FALSE)</f>
        <v>10</v>
      </c>
      <c r="L595" s="5">
        <f>VLOOKUP(TrendSheetStgData[Population]&amp;TrendSheetStgData[Trend],Threshold[#All],5,FALSE)</f>
        <v>5</v>
      </c>
      <c r="M5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6" spans="1:13" x14ac:dyDescent="0.25">
      <c r="A596" t="s">
        <v>90</v>
      </c>
      <c r="B596" t="s">
        <v>90</v>
      </c>
      <c r="C596" t="s">
        <v>78</v>
      </c>
      <c r="D596" s="1" t="s">
        <v>99</v>
      </c>
      <c r="E596" t="s">
        <v>93</v>
      </c>
      <c r="F596" t="s">
        <v>31</v>
      </c>
      <c r="G596">
        <v>20</v>
      </c>
      <c r="H596">
        <v>8353</v>
      </c>
      <c r="I596" s="5">
        <f>IFERROR(VLOOKUP(TrendSheetStgData[Population]&amp;TrendSheetStgData[Cost Basis]&amp;TrendSheetStgData[Period]&amp;TrendSheetStgData[Trend],TrendSheetPrdData[#All],9,FALSE),0)</f>
        <v>8318</v>
      </c>
      <c r="J5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0.42077422457321467</v>
      </c>
      <c r="K596" s="5">
        <f>VLOOKUP(TrendSheetStgData[Population]&amp;TrendSheetStgData[Trend],Threshold[#All],4,FALSE)</f>
        <v>10</v>
      </c>
      <c r="L596" s="5">
        <f>VLOOKUP(TrendSheetStgData[Population]&amp;TrendSheetStgData[Trend],Threshold[#All],5,FALSE)</f>
        <v>5</v>
      </c>
      <c r="M5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7" spans="1:13" x14ac:dyDescent="0.25">
      <c r="A597" t="s">
        <v>90</v>
      </c>
      <c r="B597" t="s">
        <v>90</v>
      </c>
      <c r="C597" t="s">
        <v>78</v>
      </c>
      <c r="D597" s="1" t="s">
        <v>100</v>
      </c>
      <c r="E597" t="s">
        <v>93</v>
      </c>
      <c r="F597" t="s">
        <v>31</v>
      </c>
      <c r="G597">
        <v>20</v>
      </c>
      <c r="H597">
        <v>8519</v>
      </c>
      <c r="I597" s="5">
        <f>IFERROR(VLOOKUP(TrendSheetStgData[Population]&amp;TrendSheetStgData[Cost Basis]&amp;TrendSheetStgData[Period]&amp;TrendSheetStgData[Trend],TrendSheetPrdData[#All],9,FALSE),0)</f>
        <v>8490</v>
      </c>
      <c r="J5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0.34157832744405187</v>
      </c>
      <c r="K597" s="5">
        <f>VLOOKUP(TrendSheetStgData[Population]&amp;TrendSheetStgData[Trend],Threshold[#All],4,FALSE)</f>
        <v>10</v>
      </c>
      <c r="L597" s="5">
        <f>VLOOKUP(TrendSheetStgData[Population]&amp;TrendSheetStgData[Trend],Threshold[#All],5,FALSE)</f>
        <v>5</v>
      </c>
      <c r="M5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8" spans="1:13" x14ac:dyDescent="0.25">
      <c r="A598" t="s">
        <v>90</v>
      </c>
      <c r="B598" t="s">
        <v>90</v>
      </c>
      <c r="C598" t="s">
        <v>78</v>
      </c>
      <c r="D598" s="1" t="s">
        <v>101</v>
      </c>
      <c r="E598" t="s">
        <v>93</v>
      </c>
      <c r="F598" t="s">
        <v>31</v>
      </c>
      <c r="G598">
        <v>20</v>
      </c>
      <c r="H598">
        <v>8545</v>
      </c>
      <c r="I598" s="5">
        <f>IFERROR(VLOOKUP(TrendSheetStgData[Population]&amp;TrendSheetStgData[Cost Basis]&amp;TrendSheetStgData[Period]&amp;TrendSheetStgData[Trend],TrendSheetPrdData[#All],9,FALSE),0)</f>
        <v>8473</v>
      </c>
      <c r="J5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0.84975805499822965</v>
      </c>
      <c r="K598" s="5">
        <f>VLOOKUP(TrendSheetStgData[Population]&amp;TrendSheetStgData[Trend],Threshold[#All],4,FALSE)</f>
        <v>10</v>
      </c>
      <c r="L598" s="5">
        <f>VLOOKUP(TrendSheetStgData[Population]&amp;TrendSheetStgData[Trend],Threshold[#All],5,FALSE)</f>
        <v>5</v>
      </c>
      <c r="M5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9" spans="1:13" x14ac:dyDescent="0.25">
      <c r="A599" t="s">
        <v>90</v>
      </c>
      <c r="B599" t="s">
        <v>90</v>
      </c>
      <c r="C599" t="s">
        <v>78</v>
      </c>
      <c r="D599" s="1" t="s">
        <v>102</v>
      </c>
      <c r="E599" t="s">
        <v>93</v>
      </c>
      <c r="F599" t="s">
        <v>31</v>
      </c>
      <c r="G599">
        <v>20</v>
      </c>
      <c r="H599">
        <v>7297</v>
      </c>
      <c r="I599" s="5">
        <f>IFERROR(VLOOKUP(TrendSheetStgData[Population]&amp;TrendSheetStgData[Cost Basis]&amp;TrendSheetStgData[Period]&amp;TrendSheetStgData[Trend],TrendSheetPrdData[#All],9,FALSE),0)</f>
        <v>7231</v>
      </c>
      <c r="J5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0.91273682754805696</v>
      </c>
      <c r="K599" s="5">
        <f>VLOOKUP(TrendSheetStgData[Population]&amp;TrendSheetStgData[Trend],Threshold[#All],4,FALSE)</f>
        <v>10</v>
      </c>
      <c r="L599" s="5">
        <f>VLOOKUP(TrendSheetStgData[Population]&amp;TrendSheetStgData[Trend],Threshold[#All],5,FALSE)</f>
        <v>5</v>
      </c>
      <c r="M5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00" spans="1:13" x14ac:dyDescent="0.25">
      <c r="A600" t="s">
        <v>90</v>
      </c>
      <c r="B600" t="s">
        <v>90</v>
      </c>
      <c r="C600" t="s">
        <v>78</v>
      </c>
      <c r="D600" s="1" t="s">
        <v>103</v>
      </c>
      <c r="E600" t="s">
        <v>93</v>
      </c>
      <c r="F600" t="s">
        <v>31</v>
      </c>
      <c r="G600">
        <v>20</v>
      </c>
      <c r="H600">
        <v>7228</v>
      </c>
      <c r="I600" s="5">
        <f>IFERROR(VLOOKUP(TrendSheetStgData[Population]&amp;TrendSheetStgData[Cost Basis]&amp;TrendSheetStgData[Period]&amp;TrendSheetStgData[Trend],TrendSheetPrdData[#All],9,FALSE),0)</f>
        <v>7059</v>
      </c>
      <c r="J6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2.3941068139963169</v>
      </c>
      <c r="K600" s="5">
        <f>VLOOKUP(TrendSheetStgData[Population]&amp;TrendSheetStgData[Trend],Threshold[#All],4,FALSE)</f>
        <v>10</v>
      </c>
      <c r="L600" s="5">
        <f>VLOOKUP(TrendSheetStgData[Population]&amp;TrendSheetStgData[Trend],Threshold[#All],5,FALSE)</f>
        <v>5</v>
      </c>
      <c r="M6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01" spans="1:13" x14ac:dyDescent="0.25">
      <c r="A601" t="s">
        <v>90</v>
      </c>
      <c r="B601" t="s">
        <v>90</v>
      </c>
      <c r="C601" t="s">
        <v>78</v>
      </c>
      <c r="D601" s="1" t="s">
        <v>104</v>
      </c>
      <c r="E601" t="s">
        <v>93</v>
      </c>
      <c r="F601" t="s">
        <v>31</v>
      </c>
      <c r="G601">
        <v>20</v>
      </c>
      <c r="H601">
        <v>9283</v>
      </c>
      <c r="I601" s="5">
        <f>IFERROR(VLOOKUP(TrendSheetStgData[Population]&amp;TrendSheetStgData[Cost Basis]&amp;TrendSheetStgData[Period]&amp;TrendSheetStgData[Trend],TrendSheetPrdData[#All],9,FALSE),0)</f>
        <v>8762</v>
      </c>
      <c r="J6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5.9461310203149962</v>
      </c>
      <c r="K601" s="5">
        <f>VLOOKUP(TrendSheetStgData[Population]&amp;TrendSheetStgData[Trend],Threshold[#All],4,FALSE)</f>
        <v>10</v>
      </c>
      <c r="L601" s="5">
        <f>VLOOKUP(TrendSheetStgData[Population]&amp;TrendSheetStgData[Trend],Threshold[#All],5,FALSE)</f>
        <v>5</v>
      </c>
      <c r="M6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02" spans="1:13" x14ac:dyDescent="0.25">
      <c r="A602" t="s">
        <v>90</v>
      </c>
      <c r="B602" t="s">
        <v>90</v>
      </c>
      <c r="C602" t="s">
        <v>78</v>
      </c>
      <c r="D602" s="1" t="s">
        <v>105</v>
      </c>
      <c r="E602" t="s">
        <v>106</v>
      </c>
      <c r="F602" t="s">
        <v>31</v>
      </c>
      <c r="G602">
        <v>20</v>
      </c>
      <c r="H602">
        <v>7529</v>
      </c>
      <c r="I602" s="5">
        <f>IFERROR(VLOOKUP(TrendSheetStgData[Population]&amp;TrendSheetStgData[Cost Basis]&amp;TrendSheetStgData[Period]&amp;TrendSheetStgData[Trend],TrendSheetPrdData[#All],9,FALSE),0)</f>
        <v>2290</v>
      </c>
      <c r="J6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228.77729257641923</v>
      </c>
      <c r="K602" s="5">
        <f>VLOOKUP(TrendSheetStgData[Population]&amp;TrendSheetStgData[Trend],Threshold[#All],4,FALSE)</f>
        <v>10</v>
      </c>
      <c r="L602" s="5">
        <f>VLOOKUP(TrendSheetStgData[Population]&amp;TrendSheetStgData[Trend],Threshold[#All],5,FALSE)</f>
        <v>5</v>
      </c>
      <c r="M6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03" spans="1:13" x14ac:dyDescent="0.25">
      <c r="A603" t="s">
        <v>90</v>
      </c>
      <c r="B603" t="s">
        <v>90</v>
      </c>
      <c r="C603" t="s">
        <v>78</v>
      </c>
      <c r="D603" s="1" t="s">
        <v>107</v>
      </c>
      <c r="E603" t="s">
        <v>106</v>
      </c>
      <c r="F603" t="s">
        <v>31</v>
      </c>
      <c r="G603">
        <v>20</v>
      </c>
      <c r="H603">
        <v>3789</v>
      </c>
      <c r="I603" s="5">
        <f>IFERROR(VLOOKUP(TrendSheetStgData[Population]&amp;TrendSheetStgData[Cost Basis]&amp;TrendSheetStgData[Period]&amp;TrendSheetStgData[Trend],TrendSheetPrdData[#All],9,FALSE),0)</f>
        <v>0</v>
      </c>
      <c r="J6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03" s="5">
        <f>VLOOKUP(TrendSheetStgData[Population]&amp;TrendSheetStgData[Trend],Threshold[#All],4,FALSE)</f>
        <v>10</v>
      </c>
      <c r="L603" s="5">
        <f>VLOOKUP(TrendSheetStgData[Population]&amp;TrendSheetStgData[Trend],Threshold[#All],5,FALSE)</f>
        <v>5</v>
      </c>
      <c r="M6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04" spans="1:13" x14ac:dyDescent="0.25">
      <c r="A604" t="s">
        <v>90</v>
      </c>
      <c r="B604" t="s">
        <v>90</v>
      </c>
      <c r="C604" t="s">
        <v>78</v>
      </c>
      <c r="D604" s="1" t="s">
        <v>92</v>
      </c>
      <c r="E604" t="s">
        <v>93</v>
      </c>
      <c r="F604" t="s">
        <v>32</v>
      </c>
      <c r="G604">
        <v>21</v>
      </c>
      <c r="H604">
        <v>9625</v>
      </c>
      <c r="I604" s="5">
        <f>IFERROR(VLOOKUP(TrendSheetStgData[Population]&amp;TrendSheetStgData[Cost Basis]&amp;TrendSheetStgData[Period]&amp;TrendSheetStgData[Trend],TrendSheetPrdData[#All],9,FALSE),0)</f>
        <v>9568</v>
      </c>
      <c r="J6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0.59573578595317733</v>
      </c>
      <c r="K604" s="5">
        <f>VLOOKUP(TrendSheetStgData[Population]&amp;TrendSheetStgData[Trend],Threshold[#All],4,FALSE)</f>
        <v>10</v>
      </c>
      <c r="L604" s="5">
        <f>VLOOKUP(TrendSheetStgData[Population]&amp;TrendSheetStgData[Trend],Threshold[#All],5,FALSE)</f>
        <v>5</v>
      </c>
      <c r="M6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05" spans="1:13" x14ac:dyDescent="0.25">
      <c r="A605" t="s">
        <v>90</v>
      </c>
      <c r="B605" t="s">
        <v>90</v>
      </c>
      <c r="C605" t="s">
        <v>78</v>
      </c>
      <c r="D605" s="1" t="s">
        <v>94</v>
      </c>
      <c r="E605" t="s">
        <v>93</v>
      </c>
      <c r="F605" t="s">
        <v>32</v>
      </c>
      <c r="G605">
        <v>21</v>
      </c>
      <c r="H605">
        <v>8944</v>
      </c>
      <c r="I605" s="5">
        <f>IFERROR(VLOOKUP(TrendSheetStgData[Population]&amp;TrendSheetStgData[Cost Basis]&amp;TrendSheetStgData[Period]&amp;TrendSheetStgData[Trend],TrendSheetPrdData[#All],9,FALSE),0)</f>
        <v>8904</v>
      </c>
      <c r="J6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0.44923629829290207</v>
      </c>
      <c r="K605" s="5">
        <f>VLOOKUP(TrendSheetStgData[Population]&amp;TrendSheetStgData[Trend],Threshold[#All],4,FALSE)</f>
        <v>10</v>
      </c>
      <c r="L605" s="5">
        <f>VLOOKUP(TrendSheetStgData[Population]&amp;TrendSheetStgData[Trend],Threshold[#All],5,FALSE)</f>
        <v>5</v>
      </c>
      <c r="M6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06" spans="1:13" x14ac:dyDescent="0.25">
      <c r="A606" t="s">
        <v>90</v>
      </c>
      <c r="B606" t="s">
        <v>90</v>
      </c>
      <c r="C606" t="s">
        <v>78</v>
      </c>
      <c r="D606" s="1" t="s">
        <v>95</v>
      </c>
      <c r="E606" t="s">
        <v>93</v>
      </c>
      <c r="F606" t="s">
        <v>32</v>
      </c>
      <c r="G606">
        <v>21</v>
      </c>
      <c r="H606">
        <v>9995</v>
      </c>
      <c r="I606" s="5">
        <f>IFERROR(VLOOKUP(TrendSheetStgData[Population]&amp;TrendSheetStgData[Cost Basis]&amp;TrendSheetStgData[Period]&amp;TrendSheetStgData[Trend],TrendSheetPrdData[#All],9,FALSE),0)</f>
        <v>9942</v>
      </c>
      <c r="J6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0.53309193321263326</v>
      </c>
      <c r="K606" s="5">
        <f>VLOOKUP(TrendSheetStgData[Population]&amp;TrendSheetStgData[Trend],Threshold[#All],4,FALSE)</f>
        <v>10</v>
      </c>
      <c r="L606" s="5">
        <f>VLOOKUP(TrendSheetStgData[Population]&amp;TrendSheetStgData[Trend],Threshold[#All],5,FALSE)</f>
        <v>5</v>
      </c>
      <c r="M6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07" spans="1:13" x14ac:dyDescent="0.25">
      <c r="A607" t="s">
        <v>90</v>
      </c>
      <c r="B607" t="s">
        <v>90</v>
      </c>
      <c r="C607" t="s">
        <v>78</v>
      </c>
      <c r="D607" s="1" t="s">
        <v>96</v>
      </c>
      <c r="E607" t="s">
        <v>93</v>
      </c>
      <c r="F607" t="s">
        <v>32</v>
      </c>
      <c r="G607">
        <v>21</v>
      </c>
      <c r="H607">
        <v>8600</v>
      </c>
      <c r="I607" s="5">
        <f>IFERROR(VLOOKUP(TrendSheetStgData[Population]&amp;TrendSheetStgData[Cost Basis]&amp;TrendSheetStgData[Period]&amp;TrendSheetStgData[Trend],TrendSheetPrdData[#All],9,FALSE),0)</f>
        <v>8531</v>
      </c>
      <c r="J6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0.80881491032704267</v>
      </c>
      <c r="K607" s="5">
        <f>VLOOKUP(TrendSheetStgData[Population]&amp;TrendSheetStgData[Trend],Threshold[#All],4,FALSE)</f>
        <v>10</v>
      </c>
      <c r="L607" s="5">
        <f>VLOOKUP(TrendSheetStgData[Population]&amp;TrendSheetStgData[Trend],Threshold[#All],5,FALSE)</f>
        <v>5</v>
      </c>
      <c r="M6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08" spans="1:13" x14ac:dyDescent="0.25">
      <c r="A608" t="s">
        <v>90</v>
      </c>
      <c r="B608" t="s">
        <v>90</v>
      </c>
      <c r="C608" t="s">
        <v>78</v>
      </c>
      <c r="D608" s="1" t="s">
        <v>97</v>
      </c>
      <c r="E608" t="s">
        <v>93</v>
      </c>
      <c r="F608" t="s">
        <v>32</v>
      </c>
      <c r="G608">
        <v>21</v>
      </c>
      <c r="H608">
        <v>10477</v>
      </c>
      <c r="I608" s="5">
        <f>IFERROR(VLOOKUP(TrendSheetStgData[Population]&amp;TrendSheetStgData[Cost Basis]&amp;TrendSheetStgData[Period]&amp;TrendSheetStgData[Trend],TrendSheetPrdData[#All],9,FALSE),0)</f>
        <v>10389</v>
      </c>
      <c r="J6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0.8470497641736453</v>
      </c>
      <c r="K608" s="5">
        <f>VLOOKUP(TrendSheetStgData[Population]&amp;TrendSheetStgData[Trend],Threshold[#All],4,FALSE)</f>
        <v>10</v>
      </c>
      <c r="L608" s="5">
        <f>VLOOKUP(TrendSheetStgData[Population]&amp;TrendSheetStgData[Trend],Threshold[#All],5,FALSE)</f>
        <v>5</v>
      </c>
      <c r="M6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09" spans="1:13" x14ac:dyDescent="0.25">
      <c r="A609" t="s">
        <v>90</v>
      </c>
      <c r="B609" t="s">
        <v>90</v>
      </c>
      <c r="C609" t="s">
        <v>78</v>
      </c>
      <c r="D609" s="1" t="s">
        <v>98</v>
      </c>
      <c r="E609" t="s">
        <v>93</v>
      </c>
      <c r="F609" t="s">
        <v>32</v>
      </c>
      <c r="G609">
        <v>21</v>
      </c>
      <c r="H609">
        <v>10150</v>
      </c>
      <c r="I609" s="5">
        <f>IFERROR(VLOOKUP(TrendSheetStgData[Population]&amp;TrendSheetStgData[Cost Basis]&amp;TrendSheetStgData[Period]&amp;TrendSheetStgData[Trend],TrendSheetPrdData[#All],9,FALSE),0)</f>
        <v>10058</v>
      </c>
      <c r="J6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0.91469477033207391</v>
      </c>
      <c r="K609" s="5">
        <f>VLOOKUP(TrendSheetStgData[Population]&amp;TrendSheetStgData[Trend],Threshold[#All],4,FALSE)</f>
        <v>10</v>
      </c>
      <c r="L609" s="5">
        <f>VLOOKUP(TrendSheetStgData[Population]&amp;TrendSheetStgData[Trend],Threshold[#All],5,FALSE)</f>
        <v>5</v>
      </c>
      <c r="M6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10" spans="1:13" x14ac:dyDescent="0.25">
      <c r="A610" t="s">
        <v>90</v>
      </c>
      <c r="B610" t="s">
        <v>90</v>
      </c>
      <c r="C610" t="s">
        <v>78</v>
      </c>
      <c r="D610" s="1" t="s">
        <v>99</v>
      </c>
      <c r="E610" t="s">
        <v>93</v>
      </c>
      <c r="F610" t="s">
        <v>32</v>
      </c>
      <c r="G610">
        <v>21</v>
      </c>
      <c r="H610">
        <v>11079</v>
      </c>
      <c r="I610" s="5">
        <f>IFERROR(VLOOKUP(TrendSheetStgData[Population]&amp;TrendSheetStgData[Cost Basis]&amp;TrendSheetStgData[Period]&amp;TrendSheetStgData[Trend],TrendSheetPrdData[#All],9,FALSE),0)</f>
        <v>10995</v>
      </c>
      <c r="J6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0.76398362892223737</v>
      </c>
      <c r="K610" s="5">
        <f>VLOOKUP(TrendSheetStgData[Population]&amp;TrendSheetStgData[Trend],Threshold[#All],4,FALSE)</f>
        <v>10</v>
      </c>
      <c r="L610" s="5">
        <f>VLOOKUP(TrendSheetStgData[Population]&amp;TrendSheetStgData[Trend],Threshold[#All],5,FALSE)</f>
        <v>5</v>
      </c>
      <c r="M6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11" spans="1:13" x14ac:dyDescent="0.25">
      <c r="A611" t="s">
        <v>90</v>
      </c>
      <c r="B611" t="s">
        <v>90</v>
      </c>
      <c r="C611" t="s">
        <v>78</v>
      </c>
      <c r="D611" s="1" t="s">
        <v>100</v>
      </c>
      <c r="E611" t="s">
        <v>93</v>
      </c>
      <c r="F611" t="s">
        <v>32</v>
      </c>
      <c r="G611">
        <v>21</v>
      </c>
      <c r="H611">
        <v>11632</v>
      </c>
      <c r="I611" s="5">
        <f>IFERROR(VLOOKUP(TrendSheetStgData[Population]&amp;TrendSheetStgData[Cost Basis]&amp;TrendSheetStgData[Period]&amp;TrendSheetStgData[Trend],TrendSheetPrdData[#All],9,FALSE),0)</f>
        <v>11525</v>
      </c>
      <c r="J6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0.92841648590021686</v>
      </c>
      <c r="K611" s="5">
        <f>VLOOKUP(TrendSheetStgData[Population]&amp;TrendSheetStgData[Trend],Threshold[#All],4,FALSE)</f>
        <v>10</v>
      </c>
      <c r="L611" s="5">
        <f>VLOOKUP(TrendSheetStgData[Population]&amp;TrendSheetStgData[Trend],Threshold[#All],5,FALSE)</f>
        <v>5</v>
      </c>
      <c r="M6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12" spans="1:13" x14ac:dyDescent="0.25">
      <c r="A612" t="s">
        <v>90</v>
      </c>
      <c r="B612" t="s">
        <v>90</v>
      </c>
      <c r="C612" t="s">
        <v>78</v>
      </c>
      <c r="D612" s="1" t="s">
        <v>101</v>
      </c>
      <c r="E612" t="s">
        <v>93</v>
      </c>
      <c r="F612" t="s">
        <v>32</v>
      </c>
      <c r="G612">
        <v>21</v>
      </c>
      <c r="H612">
        <v>11163</v>
      </c>
      <c r="I612" s="5">
        <f>IFERROR(VLOOKUP(TrendSheetStgData[Population]&amp;TrendSheetStgData[Cost Basis]&amp;TrendSheetStgData[Period]&amp;TrendSheetStgData[Trend],TrendSheetPrdData[#All],9,FALSE),0)</f>
        <v>11035</v>
      </c>
      <c r="J6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1.1599456275487088</v>
      </c>
      <c r="K612" s="5">
        <f>VLOOKUP(TrendSheetStgData[Population]&amp;TrendSheetStgData[Trend],Threshold[#All],4,FALSE)</f>
        <v>10</v>
      </c>
      <c r="L612" s="5">
        <f>VLOOKUP(TrendSheetStgData[Population]&amp;TrendSheetStgData[Trend],Threshold[#All],5,FALSE)</f>
        <v>5</v>
      </c>
      <c r="M6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13" spans="1:13" x14ac:dyDescent="0.25">
      <c r="A613" t="s">
        <v>90</v>
      </c>
      <c r="B613" t="s">
        <v>90</v>
      </c>
      <c r="C613" t="s">
        <v>78</v>
      </c>
      <c r="D613" s="1" t="s">
        <v>102</v>
      </c>
      <c r="E613" t="s">
        <v>93</v>
      </c>
      <c r="F613" t="s">
        <v>32</v>
      </c>
      <c r="G613">
        <v>21</v>
      </c>
      <c r="H613">
        <v>10439</v>
      </c>
      <c r="I613" s="5">
        <f>IFERROR(VLOOKUP(TrendSheetStgData[Population]&amp;TrendSheetStgData[Cost Basis]&amp;TrendSheetStgData[Period]&amp;TrendSheetStgData[Trend],TrendSheetPrdData[#All],9,FALSE),0)</f>
        <v>10233</v>
      </c>
      <c r="J6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2.0130948890843348</v>
      </c>
      <c r="K613" s="5">
        <f>VLOOKUP(TrendSheetStgData[Population]&amp;TrendSheetStgData[Trend],Threshold[#All],4,FALSE)</f>
        <v>10</v>
      </c>
      <c r="L613" s="5">
        <f>VLOOKUP(TrendSheetStgData[Population]&amp;TrendSheetStgData[Trend],Threshold[#All],5,FALSE)</f>
        <v>5</v>
      </c>
      <c r="M6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14" spans="1:13" x14ac:dyDescent="0.25">
      <c r="A614" t="s">
        <v>90</v>
      </c>
      <c r="B614" t="s">
        <v>90</v>
      </c>
      <c r="C614" t="s">
        <v>78</v>
      </c>
      <c r="D614" s="1" t="s">
        <v>103</v>
      </c>
      <c r="E614" t="s">
        <v>93</v>
      </c>
      <c r="F614" t="s">
        <v>32</v>
      </c>
      <c r="G614">
        <v>21</v>
      </c>
      <c r="H614">
        <v>9537</v>
      </c>
      <c r="I614" s="5">
        <f>IFERROR(VLOOKUP(TrendSheetStgData[Population]&amp;TrendSheetStgData[Cost Basis]&amp;TrendSheetStgData[Period]&amp;TrendSheetStgData[Trend],TrendSheetPrdData[#All],9,FALSE),0)</f>
        <v>9289</v>
      </c>
      <c r="J6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2.6698245236301004</v>
      </c>
      <c r="K614" s="5">
        <f>VLOOKUP(TrendSheetStgData[Population]&amp;TrendSheetStgData[Trend],Threshold[#All],4,FALSE)</f>
        <v>10</v>
      </c>
      <c r="L614" s="5">
        <f>VLOOKUP(TrendSheetStgData[Population]&amp;TrendSheetStgData[Trend],Threshold[#All],5,FALSE)</f>
        <v>5</v>
      </c>
      <c r="M6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15" spans="1:13" x14ac:dyDescent="0.25">
      <c r="A615" t="s">
        <v>90</v>
      </c>
      <c r="B615" t="s">
        <v>90</v>
      </c>
      <c r="C615" t="s">
        <v>78</v>
      </c>
      <c r="D615" s="1" t="s">
        <v>104</v>
      </c>
      <c r="E615" t="s">
        <v>93</v>
      </c>
      <c r="F615" t="s">
        <v>32</v>
      </c>
      <c r="G615">
        <v>21</v>
      </c>
      <c r="H615">
        <v>10684</v>
      </c>
      <c r="I615" s="5">
        <f>IFERROR(VLOOKUP(TrendSheetStgData[Population]&amp;TrendSheetStgData[Cost Basis]&amp;TrendSheetStgData[Period]&amp;TrendSheetStgData[Trend],TrendSheetPrdData[#All],9,FALSE),0)</f>
        <v>9766</v>
      </c>
      <c r="J6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9.3999590415728029</v>
      </c>
      <c r="K615" s="5">
        <f>VLOOKUP(TrendSheetStgData[Population]&amp;TrendSheetStgData[Trend],Threshold[#All],4,FALSE)</f>
        <v>10</v>
      </c>
      <c r="L615" s="5">
        <f>VLOOKUP(TrendSheetStgData[Population]&amp;TrendSheetStgData[Trend],Threshold[#All],5,FALSE)</f>
        <v>5</v>
      </c>
      <c r="M6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16" spans="1:13" x14ac:dyDescent="0.25">
      <c r="A616" t="s">
        <v>90</v>
      </c>
      <c r="B616" t="s">
        <v>90</v>
      </c>
      <c r="C616" t="s">
        <v>78</v>
      </c>
      <c r="D616" s="1" t="s">
        <v>105</v>
      </c>
      <c r="E616" t="s">
        <v>106</v>
      </c>
      <c r="F616" t="s">
        <v>32</v>
      </c>
      <c r="G616">
        <v>21</v>
      </c>
      <c r="H616">
        <v>9305</v>
      </c>
      <c r="I616" s="5">
        <f>IFERROR(VLOOKUP(TrendSheetStgData[Population]&amp;TrendSheetStgData[Cost Basis]&amp;TrendSheetStgData[Period]&amp;TrendSheetStgData[Trend],TrendSheetPrdData[#All],9,FALSE),0)</f>
        <v>3323</v>
      </c>
      <c r="J6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180.0180559735179</v>
      </c>
      <c r="K616" s="5">
        <f>VLOOKUP(TrendSheetStgData[Population]&amp;TrendSheetStgData[Trend],Threshold[#All],4,FALSE)</f>
        <v>10</v>
      </c>
      <c r="L616" s="5">
        <f>VLOOKUP(TrendSheetStgData[Population]&amp;TrendSheetStgData[Trend],Threshold[#All],5,FALSE)</f>
        <v>5</v>
      </c>
      <c r="M6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17" spans="1:13" x14ac:dyDescent="0.25">
      <c r="A617" t="s">
        <v>90</v>
      </c>
      <c r="B617" t="s">
        <v>90</v>
      </c>
      <c r="C617" t="s">
        <v>78</v>
      </c>
      <c r="D617" s="1" t="s">
        <v>107</v>
      </c>
      <c r="E617" t="s">
        <v>106</v>
      </c>
      <c r="F617" t="s">
        <v>32</v>
      </c>
      <c r="G617">
        <v>21</v>
      </c>
      <c r="H617">
        <v>5027</v>
      </c>
      <c r="I617" s="5">
        <f>IFERROR(VLOOKUP(TrendSheetStgData[Population]&amp;TrendSheetStgData[Cost Basis]&amp;TrendSheetStgData[Period]&amp;TrendSheetStgData[Trend],TrendSheetPrdData[#All],9,FALSE),0)</f>
        <v>0</v>
      </c>
      <c r="J6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17" s="5">
        <f>VLOOKUP(TrendSheetStgData[Population]&amp;TrendSheetStgData[Trend],Threshold[#All],4,FALSE)</f>
        <v>10</v>
      </c>
      <c r="L617" s="5">
        <f>VLOOKUP(TrendSheetStgData[Population]&amp;TrendSheetStgData[Trend],Threshold[#All],5,FALSE)</f>
        <v>5</v>
      </c>
      <c r="M6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18" spans="1:13" x14ac:dyDescent="0.25">
      <c r="A618" t="s">
        <v>90</v>
      </c>
      <c r="B618" t="s">
        <v>90</v>
      </c>
      <c r="C618" t="s">
        <v>78</v>
      </c>
      <c r="D618" s="1" t="s">
        <v>92</v>
      </c>
      <c r="E618" t="s">
        <v>93</v>
      </c>
      <c r="F618" t="s">
        <v>33</v>
      </c>
      <c r="G618">
        <v>22</v>
      </c>
      <c r="H618">
        <v>696</v>
      </c>
      <c r="I618" s="5">
        <f>IFERROR(VLOOKUP(TrendSheetStgData[Population]&amp;TrendSheetStgData[Cost Basis]&amp;TrendSheetStgData[Period]&amp;TrendSheetStgData[Trend],TrendSheetPrdData[#All],9,FALSE),0)</f>
        <v>734</v>
      </c>
      <c r="J6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5.1771117166212539</v>
      </c>
      <c r="K618" s="5">
        <f>VLOOKUP(TrendSheetStgData[Population]&amp;TrendSheetStgData[Trend],Threshold[#All],4,FALSE)</f>
        <v>10</v>
      </c>
      <c r="L618" s="5">
        <f>VLOOKUP(TrendSheetStgData[Population]&amp;TrendSheetStgData[Trend],Threshold[#All],5,FALSE)</f>
        <v>5</v>
      </c>
      <c r="M6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19" spans="1:13" x14ac:dyDescent="0.25">
      <c r="A619" t="s">
        <v>90</v>
      </c>
      <c r="B619" t="s">
        <v>90</v>
      </c>
      <c r="C619" t="s">
        <v>78</v>
      </c>
      <c r="D619" s="1" t="s">
        <v>94</v>
      </c>
      <c r="E619" t="s">
        <v>93</v>
      </c>
      <c r="F619" t="s">
        <v>33</v>
      </c>
      <c r="G619">
        <v>22</v>
      </c>
      <c r="H619">
        <v>673</v>
      </c>
      <c r="I619" s="5">
        <f>IFERROR(VLOOKUP(TrendSheetStgData[Population]&amp;TrendSheetStgData[Cost Basis]&amp;TrendSheetStgData[Period]&amp;TrendSheetStgData[Trend],TrendSheetPrdData[#All],9,FALSE),0)</f>
        <v>706</v>
      </c>
      <c r="J6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4.6742209631728047</v>
      </c>
      <c r="K619" s="5">
        <f>VLOOKUP(TrendSheetStgData[Population]&amp;TrendSheetStgData[Trend],Threshold[#All],4,FALSE)</f>
        <v>10</v>
      </c>
      <c r="L619" s="5">
        <f>VLOOKUP(TrendSheetStgData[Population]&amp;TrendSheetStgData[Trend],Threshold[#All],5,FALSE)</f>
        <v>5</v>
      </c>
      <c r="M6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0" spans="1:13" x14ac:dyDescent="0.25">
      <c r="A620" t="s">
        <v>90</v>
      </c>
      <c r="B620" t="s">
        <v>90</v>
      </c>
      <c r="C620" t="s">
        <v>78</v>
      </c>
      <c r="D620" s="1" t="s">
        <v>95</v>
      </c>
      <c r="E620" t="s">
        <v>93</v>
      </c>
      <c r="F620" t="s">
        <v>33</v>
      </c>
      <c r="G620">
        <v>22</v>
      </c>
      <c r="H620">
        <v>721</v>
      </c>
      <c r="I620" s="5">
        <f>IFERROR(VLOOKUP(TrendSheetStgData[Population]&amp;TrendSheetStgData[Cost Basis]&amp;TrendSheetStgData[Period]&amp;TrendSheetStgData[Trend],TrendSheetPrdData[#All],9,FALSE),0)</f>
        <v>753</v>
      </c>
      <c r="J6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4.2496679946879148</v>
      </c>
      <c r="K620" s="5">
        <f>VLOOKUP(TrendSheetStgData[Population]&amp;TrendSheetStgData[Trend],Threshold[#All],4,FALSE)</f>
        <v>10</v>
      </c>
      <c r="L620" s="5">
        <f>VLOOKUP(TrendSheetStgData[Population]&amp;TrendSheetStgData[Trend],Threshold[#All],5,FALSE)</f>
        <v>5</v>
      </c>
      <c r="M6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1" spans="1:13" x14ac:dyDescent="0.25">
      <c r="A621" t="s">
        <v>90</v>
      </c>
      <c r="B621" t="s">
        <v>90</v>
      </c>
      <c r="C621" t="s">
        <v>78</v>
      </c>
      <c r="D621" s="1" t="s">
        <v>96</v>
      </c>
      <c r="E621" t="s">
        <v>93</v>
      </c>
      <c r="F621" t="s">
        <v>33</v>
      </c>
      <c r="G621">
        <v>22</v>
      </c>
      <c r="H621">
        <v>676</v>
      </c>
      <c r="I621" s="5">
        <f>IFERROR(VLOOKUP(TrendSheetStgData[Population]&amp;TrendSheetStgData[Cost Basis]&amp;TrendSheetStgData[Period]&amp;TrendSheetStgData[Trend],TrendSheetPrdData[#All],9,FALSE),0)</f>
        <v>705</v>
      </c>
      <c r="J6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4.1134751773049638</v>
      </c>
      <c r="K621" s="5">
        <f>VLOOKUP(TrendSheetStgData[Population]&amp;TrendSheetStgData[Trend],Threshold[#All],4,FALSE)</f>
        <v>10</v>
      </c>
      <c r="L621" s="5">
        <f>VLOOKUP(TrendSheetStgData[Population]&amp;TrendSheetStgData[Trend],Threshold[#All],5,FALSE)</f>
        <v>5</v>
      </c>
      <c r="M6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2" spans="1:13" x14ac:dyDescent="0.25">
      <c r="A622" t="s">
        <v>90</v>
      </c>
      <c r="B622" t="s">
        <v>90</v>
      </c>
      <c r="C622" t="s">
        <v>78</v>
      </c>
      <c r="D622" s="1" t="s">
        <v>97</v>
      </c>
      <c r="E622" t="s">
        <v>93</v>
      </c>
      <c r="F622" t="s">
        <v>33</v>
      </c>
      <c r="G622">
        <v>22</v>
      </c>
      <c r="H622">
        <v>777</v>
      </c>
      <c r="I622" s="5">
        <f>IFERROR(VLOOKUP(TrendSheetStgData[Population]&amp;TrendSheetStgData[Cost Basis]&amp;TrendSheetStgData[Period]&amp;TrendSheetStgData[Trend],TrendSheetPrdData[#All],9,FALSE),0)</f>
        <v>815</v>
      </c>
      <c r="J6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4.6625766871165641</v>
      </c>
      <c r="K622" s="5">
        <f>VLOOKUP(TrendSheetStgData[Population]&amp;TrendSheetStgData[Trend],Threshold[#All],4,FALSE)</f>
        <v>10</v>
      </c>
      <c r="L622" s="5">
        <f>VLOOKUP(TrendSheetStgData[Population]&amp;TrendSheetStgData[Trend],Threshold[#All],5,FALSE)</f>
        <v>5</v>
      </c>
      <c r="M6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3" spans="1:13" x14ac:dyDescent="0.25">
      <c r="A623" t="s">
        <v>90</v>
      </c>
      <c r="B623" t="s">
        <v>90</v>
      </c>
      <c r="C623" t="s">
        <v>78</v>
      </c>
      <c r="D623" s="1" t="s">
        <v>98</v>
      </c>
      <c r="E623" t="s">
        <v>93</v>
      </c>
      <c r="F623" t="s">
        <v>33</v>
      </c>
      <c r="G623">
        <v>22</v>
      </c>
      <c r="H623">
        <v>792</v>
      </c>
      <c r="I623" s="5">
        <f>IFERROR(VLOOKUP(TrendSheetStgData[Population]&amp;TrendSheetStgData[Cost Basis]&amp;TrendSheetStgData[Period]&amp;TrendSheetStgData[Trend],TrendSheetPrdData[#All],9,FALSE),0)</f>
        <v>820</v>
      </c>
      <c r="J6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3.4146341463414638</v>
      </c>
      <c r="K623" s="5">
        <f>VLOOKUP(TrendSheetStgData[Population]&amp;TrendSheetStgData[Trend],Threshold[#All],4,FALSE)</f>
        <v>10</v>
      </c>
      <c r="L623" s="5">
        <f>VLOOKUP(TrendSheetStgData[Population]&amp;TrendSheetStgData[Trend],Threshold[#All],5,FALSE)</f>
        <v>5</v>
      </c>
      <c r="M6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4" spans="1:13" x14ac:dyDescent="0.25">
      <c r="A624" t="s">
        <v>90</v>
      </c>
      <c r="B624" t="s">
        <v>90</v>
      </c>
      <c r="C624" t="s">
        <v>78</v>
      </c>
      <c r="D624" s="1" t="s">
        <v>99</v>
      </c>
      <c r="E624" t="s">
        <v>93</v>
      </c>
      <c r="F624" t="s">
        <v>33</v>
      </c>
      <c r="G624">
        <v>22</v>
      </c>
      <c r="H624">
        <v>868</v>
      </c>
      <c r="I624" s="5">
        <f>IFERROR(VLOOKUP(TrendSheetStgData[Population]&amp;TrendSheetStgData[Cost Basis]&amp;TrendSheetStgData[Period]&amp;TrendSheetStgData[Trend],TrendSheetPrdData[#All],9,FALSE),0)</f>
        <v>885</v>
      </c>
      <c r="J6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1.9209039548022599</v>
      </c>
      <c r="K624" s="5">
        <f>VLOOKUP(TrendSheetStgData[Population]&amp;TrendSheetStgData[Trend],Threshold[#All],4,FALSE)</f>
        <v>10</v>
      </c>
      <c r="L624" s="5">
        <f>VLOOKUP(TrendSheetStgData[Population]&amp;TrendSheetStgData[Trend],Threshold[#All],5,FALSE)</f>
        <v>5</v>
      </c>
      <c r="M6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5" spans="1:13" x14ac:dyDescent="0.25">
      <c r="A625" t="s">
        <v>90</v>
      </c>
      <c r="B625" t="s">
        <v>90</v>
      </c>
      <c r="C625" t="s">
        <v>78</v>
      </c>
      <c r="D625" s="1" t="s">
        <v>100</v>
      </c>
      <c r="E625" t="s">
        <v>93</v>
      </c>
      <c r="F625" t="s">
        <v>33</v>
      </c>
      <c r="G625">
        <v>22</v>
      </c>
      <c r="H625">
        <v>848</v>
      </c>
      <c r="I625" s="5">
        <f>IFERROR(VLOOKUP(TrendSheetStgData[Population]&amp;TrendSheetStgData[Cost Basis]&amp;TrendSheetStgData[Period]&amp;TrendSheetStgData[Trend],TrendSheetPrdData[#All],9,FALSE),0)</f>
        <v>876</v>
      </c>
      <c r="J6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3.1963470319634704</v>
      </c>
      <c r="K625" s="5">
        <f>VLOOKUP(TrendSheetStgData[Population]&amp;TrendSheetStgData[Trend],Threshold[#All],4,FALSE)</f>
        <v>10</v>
      </c>
      <c r="L625" s="5">
        <f>VLOOKUP(TrendSheetStgData[Population]&amp;TrendSheetStgData[Trend],Threshold[#All],5,FALSE)</f>
        <v>5</v>
      </c>
      <c r="M6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6" spans="1:13" x14ac:dyDescent="0.25">
      <c r="A626" t="s">
        <v>90</v>
      </c>
      <c r="B626" t="s">
        <v>90</v>
      </c>
      <c r="C626" t="s">
        <v>78</v>
      </c>
      <c r="D626" s="1" t="s">
        <v>101</v>
      </c>
      <c r="E626" t="s">
        <v>93</v>
      </c>
      <c r="F626" t="s">
        <v>33</v>
      </c>
      <c r="G626">
        <v>22</v>
      </c>
      <c r="H626">
        <v>764</v>
      </c>
      <c r="I626" s="5">
        <f>IFERROR(VLOOKUP(TrendSheetStgData[Population]&amp;TrendSheetStgData[Cost Basis]&amp;TrendSheetStgData[Period]&amp;TrendSheetStgData[Trend],TrendSheetPrdData[#All],9,FALSE),0)</f>
        <v>789</v>
      </c>
      <c r="J6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3.1685678073510775</v>
      </c>
      <c r="K626" s="5">
        <f>VLOOKUP(TrendSheetStgData[Population]&amp;TrendSheetStgData[Trend],Threshold[#All],4,FALSE)</f>
        <v>10</v>
      </c>
      <c r="L626" s="5">
        <f>VLOOKUP(TrendSheetStgData[Population]&amp;TrendSheetStgData[Trend],Threshold[#All],5,FALSE)</f>
        <v>5</v>
      </c>
      <c r="M6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7" spans="1:13" x14ac:dyDescent="0.25">
      <c r="A627" t="s">
        <v>90</v>
      </c>
      <c r="B627" t="s">
        <v>90</v>
      </c>
      <c r="C627" t="s">
        <v>78</v>
      </c>
      <c r="D627" s="1" t="s">
        <v>102</v>
      </c>
      <c r="E627" t="s">
        <v>93</v>
      </c>
      <c r="F627" t="s">
        <v>33</v>
      </c>
      <c r="G627">
        <v>22</v>
      </c>
      <c r="H627">
        <v>812</v>
      </c>
      <c r="I627" s="5">
        <f>IFERROR(VLOOKUP(TrendSheetStgData[Population]&amp;TrendSheetStgData[Cost Basis]&amp;TrendSheetStgData[Period]&amp;TrendSheetStgData[Trend],TrendSheetPrdData[#All],9,FALSE),0)</f>
        <v>805</v>
      </c>
      <c r="J6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0.86956521739130432</v>
      </c>
      <c r="K627" s="5">
        <f>VLOOKUP(TrendSheetStgData[Population]&amp;TrendSheetStgData[Trend],Threshold[#All],4,FALSE)</f>
        <v>10</v>
      </c>
      <c r="L627" s="5">
        <f>VLOOKUP(TrendSheetStgData[Population]&amp;TrendSheetStgData[Trend],Threshold[#All],5,FALSE)</f>
        <v>5</v>
      </c>
      <c r="M6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8" spans="1:13" x14ac:dyDescent="0.25">
      <c r="A628" t="s">
        <v>90</v>
      </c>
      <c r="B628" t="s">
        <v>90</v>
      </c>
      <c r="C628" t="s">
        <v>78</v>
      </c>
      <c r="D628" s="1" t="s">
        <v>103</v>
      </c>
      <c r="E628" t="s">
        <v>93</v>
      </c>
      <c r="F628" t="s">
        <v>33</v>
      </c>
      <c r="G628">
        <v>22</v>
      </c>
      <c r="H628">
        <v>864</v>
      </c>
      <c r="I628" s="5">
        <f>IFERROR(VLOOKUP(TrendSheetStgData[Population]&amp;TrendSheetStgData[Cost Basis]&amp;TrendSheetStgData[Period]&amp;TrendSheetStgData[Trend],TrendSheetPrdData[#All],9,FALSE),0)</f>
        <v>874</v>
      </c>
      <c r="J6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1.1441647597254003</v>
      </c>
      <c r="K628" s="5">
        <f>VLOOKUP(TrendSheetStgData[Population]&amp;TrendSheetStgData[Trend],Threshold[#All],4,FALSE)</f>
        <v>10</v>
      </c>
      <c r="L628" s="5">
        <f>VLOOKUP(TrendSheetStgData[Population]&amp;TrendSheetStgData[Trend],Threshold[#All],5,FALSE)</f>
        <v>5</v>
      </c>
      <c r="M6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9" spans="1:13" x14ac:dyDescent="0.25">
      <c r="A629" t="s">
        <v>90</v>
      </c>
      <c r="B629" t="s">
        <v>90</v>
      </c>
      <c r="C629" t="s">
        <v>78</v>
      </c>
      <c r="D629" s="1" t="s">
        <v>104</v>
      </c>
      <c r="E629" t="s">
        <v>93</v>
      </c>
      <c r="F629" t="s">
        <v>33</v>
      </c>
      <c r="G629">
        <v>22</v>
      </c>
      <c r="H629">
        <v>905</v>
      </c>
      <c r="I629" s="5">
        <f>IFERROR(VLOOKUP(TrendSheetStgData[Population]&amp;TrendSheetStgData[Cost Basis]&amp;TrendSheetStgData[Period]&amp;TrendSheetStgData[Trend],TrendSheetPrdData[#All],9,FALSE),0)</f>
        <v>837</v>
      </c>
      <c r="J6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8.1242532855436078</v>
      </c>
      <c r="K629" s="5">
        <f>VLOOKUP(TrendSheetStgData[Population]&amp;TrendSheetStgData[Trend],Threshold[#All],4,FALSE)</f>
        <v>10</v>
      </c>
      <c r="L629" s="5">
        <f>VLOOKUP(TrendSheetStgData[Population]&amp;TrendSheetStgData[Trend],Threshold[#All],5,FALSE)</f>
        <v>5</v>
      </c>
      <c r="M6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30" spans="1:13" x14ac:dyDescent="0.25">
      <c r="A630" t="s">
        <v>90</v>
      </c>
      <c r="B630" t="s">
        <v>90</v>
      </c>
      <c r="C630" t="s">
        <v>78</v>
      </c>
      <c r="D630" s="1" t="s">
        <v>105</v>
      </c>
      <c r="E630" t="s">
        <v>106</v>
      </c>
      <c r="F630" t="s">
        <v>33</v>
      </c>
      <c r="G630">
        <v>22</v>
      </c>
      <c r="H630">
        <v>877</v>
      </c>
      <c r="I630" s="5">
        <f>IFERROR(VLOOKUP(TrendSheetStgData[Population]&amp;TrendSheetStgData[Cost Basis]&amp;TrendSheetStgData[Period]&amp;TrendSheetStgData[Trend],TrendSheetPrdData[#All],9,FALSE),0)</f>
        <v>273</v>
      </c>
      <c r="J6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221.24542124542126</v>
      </c>
      <c r="K630" s="5">
        <f>VLOOKUP(TrendSheetStgData[Population]&amp;TrendSheetStgData[Trend],Threshold[#All],4,FALSE)</f>
        <v>10</v>
      </c>
      <c r="L630" s="5">
        <f>VLOOKUP(TrendSheetStgData[Population]&amp;TrendSheetStgData[Trend],Threshold[#All],5,FALSE)</f>
        <v>5</v>
      </c>
      <c r="M6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31" spans="1:13" x14ac:dyDescent="0.25">
      <c r="A631" t="s">
        <v>90</v>
      </c>
      <c r="B631" t="s">
        <v>90</v>
      </c>
      <c r="C631" t="s">
        <v>78</v>
      </c>
      <c r="D631" s="1" t="s">
        <v>107</v>
      </c>
      <c r="E631" t="s">
        <v>106</v>
      </c>
      <c r="F631" t="s">
        <v>33</v>
      </c>
      <c r="G631">
        <v>22</v>
      </c>
      <c r="H631">
        <v>385</v>
      </c>
      <c r="I631" s="5">
        <f>IFERROR(VLOOKUP(TrendSheetStgData[Population]&amp;TrendSheetStgData[Cost Basis]&amp;TrendSheetStgData[Period]&amp;TrendSheetStgData[Trend],TrendSheetPrdData[#All],9,FALSE),0)</f>
        <v>0</v>
      </c>
      <c r="J6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31" s="5">
        <f>VLOOKUP(TrendSheetStgData[Population]&amp;TrendSheetStgData[Trend],Threshold[#All],4,FALSE)</f>
        <v>10</v>
      </c>
      <c r="L631" s="5">
        <f>VLOOKUP(TrendSheetStgData[Population]&amp;TrendSheetStgData[Trend],Threshold[#All],5,FALSE)</f>
        <v>5</v>
      </c>
      <c r="M6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32" spans="1:13" x14ac:dyDescent="0.25">
      <c r="A632" t="s">
        <v>90</v>
      </c>
      <c r="B632" t="s">
        <v>90</v>
      </c>
      <c r="C632" t="s">
        <v>78</v>
      </c>
      <c r="D632" s="1" t="s">
        <v>92</v>
      </c>
      <c r="E632" t="s">
        <v>93</v>
      </c>
      <c r="F632" t="s">
        <v>34</v>
      </c>
      <c r="G632">
        <v>23</v>
      </c>
      <c r="H632">
        <v>9166</v>
      </c>
      <c r="I632" s="5">
        <f>IFERROR(VLOOKUP(TrendSheetStgData[Population]&amp;TrendSheetStgData[Cost Basis]&amp;TrendSheetStgData[Period]&amp;TrendSheetStgData[Trend],TrendSheetPrdData[#All],9,FALSE),0)</f>
        <v>9166</v>
      </c>
      <c r="J6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2" s="5">
        <f>VLOOKUP(TrendSheetStgData[Population]&amp;TrendSheetStgData[Trend],Threshold[#All],4,FALSE)</f>
        <v>10</v>
      </c>
      <c r="L632" s="5">
        <f>VLOOKUP(TrendSheetStgData[Population]&amp;TrendSheetStgData[Trend],Threshold[#All],5,FALSE)</f>
        <v>5</v>
      </c>
      <c r="M6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3" spans="1:13" x14ac:dyDescent="0.25">
      <c r="A633" t="s">
        <v>90</v>
      </c>
      <c r="B633" t="s">
        <v>90</v>
      </c>
      <c r="C633" t="s">
        <v>78</v>
      </c>
      <c r="D633" s="1" t="s">
        <v>94</v>
      </c>
      <c r="E633" t="s">
        <v>93</v>
      </c>
      <c r="F633" t="s">
        <v>34</v>
      </c>
      <c r="G633">
        <v>23</v>
      </c>
      <c r="H633">
        <v>8615</v>
      </c>
      <c r="I633" s="5">
        <f>IFERROR(VLOOKUP(TrendSheetStgData[Population]&amp;TrendSheetStgData[Cost Basis]&amp;TrendSheetStgData[Period]&amp;TrendSheetStgData[Trend],TrendSheetPrdData[#All],9,FALSE),0)</f>
        <v>8615</v>
      </c>
      <c r="J6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3" s="5">
        <f>VLOOKUP(TrendSheetStgData[Population]&amp;TrendSheetStgData[Trend],Threshold[#All],4,FALSE)</f>
        <v>10</v>
      </c>
      <c r="L633" s="5">
        <f>VLOOKUP(TrendSheetStgData[Population]&amp;TrendSheetStgData[Trend],Threshold[#All],5,FALSE)</f>
        <v>5</v>
      </c>
      <c r="M6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4" spans="1:13" x14ac:dyDescent="0.25">
      <c r="A634" t="s">
        <v>90</v>
      </c>
      <c r="B634" t="s">
        <v>90</v>
      </c>
      <c r="C634" t="s">
        <v>78</v>
      </c>
      <c r="D634" s="1" t="s">
        <v>95</v>
      </c>
      <c r="E634" t="s">
        <v>93</v>
      </c>
      <c r="F634" t="s">
        <v>34</v>
      </c>
      <c r="G634">
        <v>23</v>
      </c>
      <c r="H634">
        <v>9044</v>
      </c>
      <c r="I634" s="5">
        <f>IFERROR(VLOOKUP(TrendSheetStgData[Population]&amp;TrendSheetStgData[Cost Basis]&amp;TrendSheetStgData[Period]&amp;TrendSheetStgData[Trend],TrendSheetPrdData[#All],9,FALSE),0)</f>
        <v>9044</v>
      </c>
      <c r="J6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4" s="5">
        <f>VLOOKUP(TrendSheetStgData[Population]&amp;TrendSheetStgData[Trend],Threshold[#All],4,FALSE)</f>
        <v>10</v>
      </c>
      <c r="L634" s="5">
        <f>VLOOKUP(TrendSheetStgData[Population]&amp;TrendSheetStgData[Trend],Threshold[#All],5,FALSE)</f>
        <v>5</v>
      </c>
      <c r="M6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5" spans="1:13" x14ac:dyDescent="0.25">
      <c r="A635" t="s">
        <v>90</v>
      </c>
      <c r="B635" t="s">
        <v>90</v>
      </c>
      <c r="C635" t="s">
        <v>78</v>
      </c>
      <c r="D635" s="1" t="s">
        <v>96</v>
      </c>
      <c r="E635" t="s">
        <v>93</v>
      </c>
      <c r="F635" t="s">
        <v>34</v>
      </c>
      <c r="G635">
        <v>23</v>
      </c>
      <c r="H635">
        <v>8445</v>
      </c>
      <c r="I635" s="5">
        <f>IFERROR(VLOOKUP(TrendSheetStgData[Population]&amp;TrendSheetStgData[Cost Basis]&amp;TrendSheetStgData[Period]&amp;TrendSheetStgData[Trend],TrendSheetPrdData[#All],9,FALSE),0)</f>
        <v>8445</v>
      </c>
      <c r="J6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5" s="5">
        <f>VLOOKUP(TrendSheetStgData[Population]&amp;TrendSheetStgData[Trend],Threshold[#All],4,FALSE)</f>
        <v>10</v>
      </c>
      <c r="L635" s="5">
        <f>VLOOKUP(TrendSheetStgData[Population]&amp;TrendSheetStgData[Trend],Threshold[#All],5,FALSE)</f>
        <v>5</v>
      </c>
      <c r="M6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6" spans="1:13" x14ac:dyDescent="0.25">
      <c r="A636" t="s">
        <v>90</v>
      </c>
      <c r="B636" t="s">
        <v>90</v>
      </c>
      <c r="C636" t="s">
        <v>78</v>
      </c>
      <c r="D636" s="1" t="s">
        <v>97</v>
      </c>
      <c r="E636" t="s">
        <v>93</v>
      </c>
      <c r="F636" t="s">
        <v>34</v>
      </c>
      <c r="G636">
        <v>23</v>
      </c>
      <c r="H636">
        <v>8991</v>
      </c>
      <c r="I636" s="5">
        <f>IFERROR(VLOOKUP(TrendSheetStgData[Population]&amp;TrendSheetStgData[Cost Basis]&amp;TrendSheetStgData[Period]&amp;TrendSheetStgData[Trend],TrendSheetPrdData[#All],9,FALSE),0)</f>
        <v>8991</v>
      </c>
      <c r="J6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6" s="5">
        <f>VLOOKUP(TrendSheetStgData[Population]&amp;TrendSheetStgData[Trend],Threshold[#All],4,FALSE)</f>
        <v>10</v>
      </c>
      <c r="L636" s="5">
        <f>VLOOKUP(TrendSheetStgData[Population]&amp;TrendSheetStgData[Trend],Threshold[#All],5,FALSE)</f>
        <v>5</v>
      </c>
      <c r="M6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7" spans="1:13" x14ac:dyDescent="0.25">
      <c r="A637" t="s">
        <v>90</v>
      </c>
      <c r="B637" t="s">
        <v>90</v>
      </c>
      <c r="C637" t="s">
        <v>78</v>
      </c>
      <c r="D637" s="1" t="s">
        <v>98</v>
      </c>
      <c r="E637" t="s">
        <v>93</v>
      </c>
      <c r="F637" t="s">
        <v>34</v>
      </c>
      <c r="G637">
        <v>23</v>
      </c>
      <c r="H637">
        <v>8878</v>
      </c>
      <c r="I637" s="5">
        <f>IFERROR(VLOOKUP(TrendSheetStgData[Population]&amp;TrendSheetStgData[Cost Basis]&amp;TrendSheetStgData[Period]&amp;TrendSheetStgData[Trend],TrendSheetPrdData[#All],9,FALSE),0)</f>
        <v>8878</v>
      </c>
      <c r="J6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7" s="5">
        <f>VLOOKUP(TrendSheetStgData[Population]&amp;TrendSheetStgData[Trend],Threshold[#All],4,FALSE)</f>
        <v>10</v>
      </c>
      <c r="L637" s="5">
        <f>VLOOKUP(TrendSheetStgData[Population]&amp;TrendSheetStgData[Trend],Threshold[#All],5,FALSE)</f>
        <v>5</v>
      </c>
      <c r="M6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8" spans="1:13" x14ac:dyDescent="0.25">
      <c r="A638" t="s">
        <v>90</v>
      </c>
      <c r="B638" t="s">
        <v>90</v>
      </c>
      <c r="C638" t="s">
        <v>78</v>
      </c>
      <c r="D638" s="1" t="s">
        <v>99</v>
      </c>
      <c r="E638" t="s">
        <v>93</v>
      </c>
      <c r="F638" t="s">
        <v>34</v>
      </c>
      <c r="G638">
        <v>23</v>
      </c>
      <c r="H638">
        <v>9022</v>
      </c>
      <c r="I638" s="5">
        <f>IFERROR(VLOOKUP(TrendSheetStgData[Population]&amp;TrendSheetStgData[Cost Basis]&amp;TrendSheetStgData[Period]&amp;TrendSheetStgData[Trend],TrendSheetPrdData[#All],9,FALSE),0)</f>
        <v>9022</v>
      </c>
      <c r="J6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8" s="5">
        <f>VLOOKUP(TrendSheetStgData[Population]&amp;TrendSheetStgData[Trend],Threshold[#All],4,FALSE)</f>
        <v>10</v>
      </c>
      <c r="L638" s="5">
        <f>VLOOKUP(TrendSheetStgData[Population]&amp;TrendSheetStgData[Trend],Threshold[#All],5,FALSE)</f>
        <v>5</v>
      </c>
      <c r="M6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9" spans="1:13" x14ac:dyDescent="0.25">
      <c r="A639" t="s">
        <v>90</v>
      </c>
      <c r="B639" t="s">
        <v>90</v>
      </c>
      <c r="C639" t="s">
        <v>78</v>
      </c>
      <c r="D639" s="1" t="s">
        <v>100</v>
      </c>
      <c r="E639" t="s">
        <v>93</v>
      </c>
      <c r="F639" t="s">
        <v>34</v>
      </c>
      <c r="G639">
        <v>23</v>
      </c>
      <c r="H639">
        <v>9397</v>
      </c>
      <c r="I639" s="5">
        <f>IFERROR(VLOOKUP(TrendSheetStgData[Population]&amp;TrendSheetStgData[Cost Basis]&amp;TrendSheetStgData[Period]&amp;TrendSheetStgData[Trend],TrendSheetPrdData[#All],9,FALSE),0)</f>
        <v>9397</v>
      </c>
      <c r="J6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9" s="5">
        <f>VLOOKUP(TrendSheetStgData[Population]&amp;TrendSheetStgData[Trend],Threshold[#All],4,FALSE)</f>
        <v>10</v>
      </c>
      <c r="L639" s="5">
        <f>VLOOKUP(TrendSheetStgData[Population]&amp;TrendSheetStgData[Trend],Threshold[#All],5,FALSE)</f>
        <v>5</v>
      </c>
      <c r="M6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0" spans="1:13" x14ac:dyDescent="0.25">
      <c r="A640" t="s">
        <v>90</v>
      </c>
      <c r="B640" t="s">
        <v>90</v>
      </c>
      <c r="C640" t="s">
        <v>78</v>
      </c>
      <c r="D640" s="1" t="s">
        <v>101</v>
      </c>
      <c r="E640" t="s">
        <v>93</v>
      </c>
      <c r="F640" t="s">
        <v>34</v>
      </c>
      <c r="G640">
        <v>23</v>
      </c>
      <c r="H640">
        <v>10331</v>
      </c>
      <c r="I640" s="5">
        <f>IFERROR(VLOOKUP(TrendSheetStgData[Population]&amp;TrendSheetStgData[Cost Basis]&amp;TrendSheetStgData[Period]&amp;TrendSheetStgData[Trend],TrendSheetPrdData[#All],9,FALSE),0)</f>
        <v>10331</v>
      </c>
      <c r="J6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0" s="5">
        <f>VLOOKUP(TrendSheetStgData[Population]&amp;TrendSheetStgData[Trend],Threshold[#All],4,FALSE)</f>
        <v>10</v>
      </c>
      <c r="L640" s="5">
        <f>VLOOKUP(TrendSheetStgData[Population]&amp;TrendSheetStgData[Trend],Threshold[#All],5,FALSE)</f>
        <v>5</v>
      </c>
      <c r="M6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1" spans="1:13" x14ac:dyDescent="0.25">
      <c r="A641" t="s">
        <v>90</v>
      </c>
      <c r="B641" t="s">
        <v>90</v>
      </c>
      <c r="C641" t="s">
        <v>78</v>
      </c>
      <c r="D641" s="1" t="s">
        <v>102</v>
      </c>
      <c r="E641" t="s">
        <v>93</v>
      </c>
      <c r="F641" t="s">
        <v>34</v>
      </c>
      <c r="G641">
        <v>23</v>
      </c>
      <c r="H641">
        <v>9966</v>
      </c>
      <c r="I641" s="5">
        <f>IFERROR(VLOOKUP(TrendSheetStgData[Population]&amp;TrendSheetStgData[Cost Basis]&amp;TrendSheetStgData[Period]&amp;TrendSheetStgData[Trend],TrendSheetPrdData[#All],9,FALSE),0)</f>
        <v>9964</v>
      </c>
      <c r="J6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2.0072260136491368E-2</v>
      </c>
      <c r="K641" s="5">
        <f>VLOOKUP(TrendSheetStgData[Population]&amp;TrendSheetStgData[Trend],Threshold[#All],4,FALSE)</f>
        <v>10</v>
      </c>
      <c r="L641" s="5">
        <f>VLOOKUP(TrendSheetStgData[Population]&amp;TrendSheetStgData[Trend],Threshold[#All],5,FALSE)</f>
        <v>5</v>
      </c>
      <c r="M6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2" spans="1:13" x14ac:dyDescent="0.25">
      <c r="A642" t="s">
        <v>90</v>
      </c>
      <c r="B642" t="s">
        <v>90</v>
      </c>
      <c r="C642" t="s">
        <v>78</v>
      </c>
      <c r="D642" s="1" t="s">
        <v>103</v>
      </c>
      <c r="E642" t="s">
        <v>93</v>
      </c>
      <c r="F642" t="s">
        <v>34</v>
      </c>
      <c r="G642">
        <v>23</v>
      </c>
      <c r="H642">
        <v>9036</v>
      </c>
      <c r="I642" s="5">
        <f>IFERROR(VLOOKUP(TrendSheetStgData[Population]&amp;TrendSheetStgData[Cost Basis]&amp;TrendSheetStgData[Period]&amp;TrendSheetStgData[Trend],TrendSheetPrdData[#All],9,FALSE),0)</f>
        <v>9034</v>
      </c>
      <c r="J6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2.2138587558113793E-2</v>
      </c>
      <c r="K642" s="5">
        <f>VLOOKUP(TrendSheetStgData[Population]&amp;TrendSheetStgData[Trend],Threshold[#All],4,FALSE)</f>
        <v>10</v>
      </c>
      <c r="L642" s="5">
        <f>VLOOKUP(TrendSheetStgData[Population]&amp;TrendSheetStgData[Trend],Threshold[#All],5,FALSE)</f>
        <v>5</v>
      </c>
      <c r="M6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3" spans="1:13" x14ac:dyDescent="0.25">
      <c r="A643" t="s">
        <v>90</v>
      </c>
      <c r="B643" t="s">
        <v>90</v>
      </c>
      <c r="C643" t="s">
        <v>78</v>
      </c>
      <c r="D643" s="1" t="s">
        <v>104</v>
      </c>
      <c r="E643" t="s">
        <v>93</v>
      </c>
      <c r="F643" t="s">
        <v>34</v>
      </c>
      <c r="G643">
        <v>23</v>
      </c>
      <c r="H643">
        <v>10396</v>
      </c>
      <c r="I643" s="5">
        <f>IFERROR(VLOOKUP(TrendSheetStgData[Population]&amp;TrendSheetStgData[Cost Basis]&amp;TrendSheetStgData[Period]&amp;TrendSheetStgData[Trend],TrendSheetPrdData[#All],9,FALSE),0)</f>
        <v>10394</v>
      </c>
      <c r="J6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1.9241870309794112E-2</v>
      </c>
      <c r="K643" s="5">
        <f>VLOOKUP(TrendSheetStgData[Population]&amp;TrendSheetStgData[Trend],Threshold[#All],4,FALSE)</f>
        <v>10</v>
      </c>
      <c r="L643" s="5">
        <f>VLOOKUP(TrendSheetStgData[Population]&amp;TrendSheetStgData[Trend],Threshold[#All],5,FALSE)</f>
        <v>5</v>
      </c>
      <c r="M6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4" spans="1:13" x14ac:dyDescent="0.25">
      <c r="A644" t="s">
        <v>90</v>
      </c>
      <c r="B644" t="s">
        <v>90</v>
      </c>
      <c r="C644" t="s">
        <v>78</v>
      </c>
      <c r="D644" s="1" t="s">
        <v>105</v>
      </c>
      <c r="E644" t="s">
        <v>106</v>
      </c>
      <c r="F644" t="s">
        <v>34</v>
      </c>
      <c r="G644">
        <v>23</v>
      </c>
      <c r="H644">
        <v>9358</v>
      </c>
      <c r="I644" s="5">
        <f>IFERROR(VLOOKUP(TrendSheetStgData[Population]&amp;TrendSheetStgData[Cost Basis]&amp;TrendSheetStgData[Period]&amp;TrendSheetStgData[Trend],TrendSheetPrdData[#All],9,FALSE),0)</f>
        <v>9252</v>
      </c>
      <c r="J6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1.1456982274102896</v>
      </c>
      <c r="K644" s="5">
        <f>VLOOKUP(TrendSheetStgData[Population]&amp;TrendSheetStgData[Trend],Threshold[#All],4,FALSE)</f>
        <v>10</v>
      </c>
      <c r="L644" s="5">
        <f>VLOOKUP(TrendSheetStgData[Population]&amp;TrendSheetStgData[Trend],Threshold[#All],5,FALSE)</f>
        <v>5</v>
      </c>
      <c r="M6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5" spans="1:13" x14ac:dyDescent="0.25">
      <c r="A645" t="s">
        <v>90</v>
      </c>
      <c r="B645" t="s">
        <v>90</v>
      </c>
      <c r="C645" t="s">
        <v>78</v>
      </c>
      <c r="D645" s="1" t="s">
        <v>107</v>
      </c>
      <c r="E645" t="s">
        <v>106</v>
      </c>
      <c r="F645" t="s">
        <v>34</v>
      </c>
      <c r="G645">
        <v>23</v>
      </c>
      <c r="H645">
        <v>9440</v>
      </c>
      <c r="I645" s="5">
        <f>IFERROR(VLOOKUP(TrendSheetStgData[Population]&amp;TrendSheetStgData[Cost Basis]&amp;TrendSheetStgData[Period]&amp;TrendSheetStgData[Trend],TrendSheetPrdData[#All],9,FALSE),0)</f>
        <v>0</v>
      </c>
      <c r="J6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45" s="5">
        <f>VLOOKUP(TrendSheetStgData[Population]&amp;TrendSheetStgData[Trend],Threshold[#All],4,FALSE)</f>
        <v>10</v>
      </c>
      <c r="L645" s="5">
        <f>VLOOKUP(TrendSheetStgData[Population]&amp;TrendSheetStgData[Trend],Threshold[#All],5,FALSE)</f>
        <v>5</v>
      </c>
      <c r="M6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691"/>
  <sheetViews>
    <sheetView workbookViewId="0">
      <selection activeCell="A2" sqref="A2"/>
    </sheetView>
  </sheetViews>
  <sheetFormatPr defaultRowHeight="15" x14ac:dyDescent="0.25"/>
  <cols>
    <col min="1" max="1" width="80.85546875" bestFit="1" customWidth="1"/>
    <col min="2" max="2" width="26" bestFit="1" customWidth="1"/>
    <col min="3" max="3" width="26" customWidth="1"/>
    <col min="4" max="4" width="12" bestFit="1" customWidth="1"/>
    <col min="5" max="5" width="10.42578125" bestFit="1" customWidth="1"/>
    <col min="6" max="6" width="14.5703125" bestFit="1" customWidth="1"/>
    <col min="7" max="7" width="38.140625" bestFit="1" customWidth="1"/>
    <col min="8" max="8" width="14" bestFit="1" customWidth="1"/>
    <col min="9" max="9" width="10" bestFit="1" customWidth="1"/>
    <col min="10" max="10" width="17.140625" bestFit="1" customWidth="1"/>
    <col min="11" max="11" width="13.42578125" bestFit="1" customWidth="1"/>
  </cols>
  <sheetData>
    <row r="1" spans="1:9" x14ac:dyDescent="0.25">
      <c r="A1" t="s">
        <v>38</v>
      </c>
      <c r="B1" t="s">
        <v>0</v>
      </c>
      <c r="C1" t="s">
        <v>85</v>
      </c>
      <c r="D1" t="s">
        <v>1</v>
      </c>
      <c r="E1" t="s">
        <v>2</v>
      </c>
      <c r="F1" t="s">
        <v>3</v>
      </c>
      <c r="G1" t="s">
        <v>4</v>
      </c>
      <c r="H1" t="s">
        <v>5</v>
      </c>
      <c r="I1" t="s">
        <v>35</v>
      </c>
    </row>
    <row r="2" spans="1:9" x14ac:dyDescent="0.25">
      <c r="A2" t="str">
        <f>TrendSheetPrdData[[#This Row],[Population]]&amp;TrendSheetPrdData[[#This Row],[Cost Basis]]&amp;TrendSheetPrdData[[#This Row],[Period]]&amp;TrendSheetPrdData[[#This Row],[Trend]]</f>
        <v>EMPLOYEEAllowed2016-02-01Medical PMPM</v>
      </c>
      <c r="B2" t="s">
        <v>90</v>
      </c>
      <c r="C2" t="s">
        <v>90</v>
      </c>
      <c r="D2" t="s">
        <v>91</v>
      </c>
      <c r="E2" s="1" t="s">
        <v>124</v>
      </c>
      <c r="F2" t="s">
        <v>93</v>
      </c>
      <c r="G2" t="s">
        <v>12</v>
      </c>
      <c r="H2">
        <v>1</v>
      </c>
      <c r="I2">
        <v>393.18</v>
      </c>
    </row>
    <row r="3" spans="1:9" x14ac:dyDescent="0.25">
      <c r="A3" s="5" t="str">
        <f>TrendSheetPrdData[[#This Row],[Population]]&amp;TrendSheetPrdData[[#This Row],[Cost Basis]]&amp;TrendSheetPrdData[[#This Row],[Period]]&amp;TrendSheetPrdData[[#This Row],[Trend]]</f>
        <v>EMPLOYEEAllowed2016-03-01Medical PMPM</v>
      </c>
      <c r="B3" t="s">
        <v>90</v>
      </c>
      <c r="C3" t="s">
        <v>90</v>
      </c>
      <c r="D3" t="s">
        <v>91</v>
      </c>
      <c r="E3" s="1" t="s">
        <v>125</v>
      </c>
      <c r="F3" t="s">
        <v>93</v>
      </c>
      <c r="G3" t="s">
        <v>12</v>
      </c>
      <c r="H3">
        <v>1</v>
      </c>
      <c r="I3">
        <v>424.21</v>
      </c>
    </row>
    <row r="4" spans="1:9" x14ac:dyDescent="0.25">
      <c r="A4" s="5" t="str">
        <f>TrendSheetPrdData[[#This Row],[Population]]&amp;TrendSheetPrdData[[#This Row],[Cost Basis]]&amp;TrendSheetPrdData[[#This Row],[Period]]&amp;TrendSheetPrdData[[#This Row],[Trend]]</f>
        <v>EMPLOYEEAllowed2016-04-01Medical PMPM</v>
      </c>
      <c r="B4" t="s">
        <v>90</v>
      </c>
      <c r="C4" t="s">
        <v>90</v>
      </c>
      <c r="D4" t="s">
        <v>91</v>
      </c>
      <c r="E4" s="1" t="s">
        <v>92</v>
      </c>
      <c r="F4" t="s">
        <v>93</v>
      </c>
      <c r="G4" t="s">
        <v>12</v>
      </c>
      <c r="H4">
        <v>1</v>
      </c>
      <c r="I4">
        <v>348.22</v>
      </c>
    </row>
    <row r="5" spans="1:9" x14ac:dyDescent="0.25">
      <c r="A5" s="5" t="str">
        <f>TrendSheetPrdData[[#This Row],[Population]]&amp;TrendSheetPrdData[[#This Row],[Cost Basis]]&amp;TrendSheetPrdData[[#This Row],[Period]]&amp;TrendSheetPrdData[[#This Row],[Trend]]</f>
        <v>EMPLOYEEAllowed2016-05-01Medical PMPM</v>
      </c>
      <c r="B5" t="s">
        <v>90</v>
      </c>
      <c r="C5" t="s">
        <v>90</v>
      </c>
      <c r="D5" t="s">
        <v>91</v>
      </c>
      <c r="E5" s="1" t="s">
        <v>94</v>
      </c>
      <c r="F5" t="s">
        <v>93</v>
      </c>
      <c r="G5" t="s">
        <v>12</v>
      </c>
      <c r="H5">
        <v>1</v>
      </c>
      <c r="I5">
        <v>335.38</v>
      </c>
    </row>
    <row r="6" spans="1:9" x14ac:dyDescent="0.25">
      <c r="A6" s="5" t="str">
        <f>TrendSheetPrdData[[#This Row],[Population]]&amp;TrendSheetPrdData[[#This Row],[Cost Basis]]&amp;TrendSheetPrdData[[#This Row],[Period]]&amp;TrendSheetPrdData[[#This Row],[Trend]]</f>
        <v>EMPLOYEEAllowed2016-06-01Medical PMPM</v>
      </c>
      <c r="B6" t="s">
        <v>90</v>
      </c>
      <c r="C6" t="s">
        <v>90</v>
      </c>
      <c r="D6" t="s">
        <v>91</v>
      </c>
      <c r="E6" s="1" t="s">
        <v>95</v>
      </c>
      <c r="F6" t="s">
        <v>93</v>
      </c>
      <c r="G6" t="s">
        <v>12</v>
      </c>
      <c r="H6">
        <v>1</v>
      </c>
      <c r="I6">
        <v>400.94</v>
      </c>
    </row>
    <row r="7" spans="1:9" x14ac:dyDescent="0.25">
      <c r="A7" s="5" t="str">
        <f>TrendSheetPrdData[[#This Row],[Population]]&amp;TrendSheetPrdData[[#This Row],[Cost Basis]]&amp;TrendSheetPrdData[[#This Row],[Period]]&amp;TrendSheetPrdData[[#This Row],[Trend]]</f>
        <v>EMPLOYEEAllowed2016-07-01Medical PMPM</v>
      </c>
      <c r="B7" t="s">
        <v>90</v>
      </c>
      <c r="C7" t="s">
        <v>90</v>
      </c>
      <c r="D7" t="s">
        <v>91</v>
      </c>
      <c r="E7" s="1" t="s">
        <v>96</v>
      </c>
      <c r="F7" t="s">
        <v>93</v>
      </c>
      <c r="G7" t="s">
        <v>12</v>
      </c>
      <c r="H7">
        <v>1</v>
      </c>
      <c r="I7">
        <v>341.43</v>
      </c>
    </row>
    <row r="8" spans="1:9" x14ac:dyDescent="0.25">
      <c r="A8" s="5" t="str">
        <f>TrendSheetPrdData[[#This Row],[Population]]&amp;TrendSheetPrdData[[#This Row],[Cost Basis]]&amp;TrendSheetPrdData[[#This Row],[Period]]&amp;TrendSheetPrdData[[#This Row],[Trend]]</f>
        <v>EMPLOYEEAllowed2016-08-01Medical PMPM</v>
      </c>
      <c r="B8" t="s">
        <v>90</v>
      </c>
      <c r="C8" t="s">
        <v>90</v>
      </c>
      <c r="D8" t="s">
        <v>91</v>
      </c>
      <c r="E8" s="1" t="s">
        <v>97</v>
      </c>
      <c r="F8" t="s">
        <v>93</v>
      </c>
      <c r="G8" t="s">
        <v>12</v>
      </c>
      <c r="H8">
        <v>1</v>
      </c>
      <c r="I8">
        <v>328.19</v>
      </c>
    </row>
    <row r="9" spans="1:9" x14ac:dyDescent="0.25">
      <c r="A9" s="5" t="str">
        <f>TrendSheetPrdData[[#This Row],[Population]]&amp;TrendSheetPrdData[[#This Row],[Cost Basis]]&amp;TrendSheetPrdData[[#This Row],[Period]]&amp;TrendSheetPrdData[[#This Row],[Trend]]</f>
        <v>EMPLOYEEAllowed2016-09-01Medical PMPM</v>
      </c>
      <c r="B9" t="s">
        <v>90</v>
      </c>
      <c r="C9" t="s">
        <v>90</v>
      </c>
      <c r="D9" t="s">
        <v>91</v>
      </c>
      <c r="E9" s="1" t="s">
        <v>98</v>
      </c>
      <c r="F9" t="s">
        <v>93</v>
      </c>
      <c r="G9" t="s">
        <v>12</v>
      </c>
      <c r="H9">
        <v>1</v>
      </c>
      <c r="I9">
        <v>375.95</v>
      </c>
    </row>
    <row r="10" spans="1:9" x14ac:dyDescent="0.25">
      <c r="A10" s="5" t="str">
        <f>TrendSheetPrdData[[#This Row],[Population]]&amp;TrendSheetPrdData[[#This Row],[Cost Basis]]&amp;TrendSheetPrdData[[#This Row],[Period]]&amp;TrendSheetPrdData[[#This Row],[Trend]]</f>
        <v>EMPLOYEEAllowed2016-10-01Medical PMPM</v>
      </c>
      <c r="B10" t="s">
        <v>90</v>
      </c>
      <c r="C10" t="s">
        <v>90</v>
      </c>
      <c r="D10" t="s">
        <v>91</v>
      </c>
      <c r="E10" s="1" t="s">
        <v>99</v>
      </c>
      <c r="F10" t="s">
        <v>93</v>
      </c>
      <c r="G10" t="s">
        <v>12</v>
      </c>
      <c r="H10">
        <v>1</v>
      </c>
      <c r="I10">
        <v>353.37</v>
      </c>
    </row>
    <row r="11" spans="1:9" x14ac:dyDescent="0.25">
      <c r="A11" s="5" t="str">
        <f>TrendSheetPrdData[[#This Row],[Population]]&amp;TrendSheetPrdData[[#This Row],[Cost Basis]]&amp;TrendSheetPrdData[[#This Row],[Period]]&amp;TrendSheetPrdData[[#This Row],[Trend]]</f>
        <v>EMPLOYEEAllowed2016-11-01Medical PMPM</v>
      </c>
      <c r="B11" t="s">
        <v>90</v>
      </c>
      <c r="C11" t="s">
        <v>90</v>
      </c>
      <c r="D11" t="s">
        <v>91</v>
      </c>
      <c r="E11" s="1" t="s">
        <v>100</v>
      </c>
      <c r="F11" t="s">
        <v>93</v>
      </c>
      <c r="G11" t="s">
        <v>12</v>
      </c>
      <c r="H11">
        <v>1</v>
      </c>
      <c r="I11">
        <v>375.43</v>
      </c>
    </row>
    <row r="12" spans="1:9" x14ac:dyDescent="0.25">
      <c r="A12" s="5" t="str">
        <f>TrendSheetPrdData[[#This Row],[Population]]&amp;TrendSheetPrdData[[#This Row],[Cost Basis]]&amp;TrendSheetPrdData[[#This Row],[Period]]&amp;TrendSheetPrdData[[#This Row],[Trend]]</f>
        <v>EMPLOYEEAllowed2016-12-01Medical PMPM</v>
      </c>
      <c r="B12" t="s">
        <v>90</v>
      </c>
      <c r="C12" t="s">
        <v>90</v>
      </c>
      <c r="D12" t="s">
        <v>91</v>
      </c>
      <c r="E12" s="1" t="s">
        <v>101</v>
      </c>
      <c r="F12" t="s">
        <v>93</v>
      </c>
      <c r="G12" t="s">
        <v>12</v>
      </c>
      <c r="H12">
        <v>1</v>
      </c>
      <c r="I12">
        <v>390.28</v>
      </c>
    </row>
    <row r="13" spans="1:9" x14ac:dyDescent="0.25">
      <c r="A13" s="5" t="str">
        <f>TrendSheetPrdData[[#This Row],[Population]]&amp;TrendSheetPrdData[[#This Row],[Cost Basis]]&amp;TrendSheetPrdData[[#This Row],[Period]]&amp;TrendSheetPrdData[[#This Row],[Trend]]</f>
        <v>EMPLOYEEAllowed2017-01-01Medical PMPM</v>
      </c>
      <c r="B13" t="s">
        <v>90</v>
      </c>
      <c r="C13" t="s">
        <v>90</v>
      </c>
      <c r="D13" t="s">
        <v>91</v>
      </c>
      <c r="E13" s="1" t="s">
        <v>102</v>
      </c>
      <c r="F13" t="s">
        <v>93</v>
      </c>
      <c r="G13" t="s">
        <v>12</v>
      </c>
      <c r="H13">
        <v>1</v>
      </c>
      <c r="I13">
        <v>336.88</v>
      </c>
    </row>
    <row r="14" spans="1:9" x14ac:dyDescent="0.25">
      <c r="A14" s="5" t="str">
        <f>TrendSheetPrdData[[#This Row],[Population]]&amp;TrendSheetPrdData[[#This Row],[Cost Basis]]&amp;TrendSheetPrdData[[#This Row],[Period]]&amp;TrendSheetPrdData[[#This Row],[Trend]]</f>
        <v>EMPLOYEEAllowed2017-02-01Medical PMPM</v>
      </c>
      <c r="B14" t="s">
        <v>90</v>
      </c>
      <c r="C14" t="s">
        <v>90</v>
      </c>
      <c r="D14" t="s">
        <v>91</v>
      </c>
      <c r="E14" s="1" t="s">
        <v>103</v>
      </c>
      <c r="F14" t="s">
        <v>106</v>
      </c>
      <c r="G14" t="s">
        <v>12</v>
      </c>
      <c r="H14">
        <v>1</v>
      </c>
      <c r="I14">
        <v>345.5</v>
      </c>
    </row>
    <row r="15" spans="1:9" x14ac:dyDescent="0.25">
      <c r="A15" s="5" t="str">
        <f>TrendSheetPrdData[[#This Row],[Population]]&amp;TrendSheetPrdData[[#This Row],[Cost Basis]]&amp;TrendSheetPrdData[[#This Row],[Period]]&amp;TrendSheetPrdData[[#This Row],[Trend]]</f>
        <v>EMPLOYEEAllowed2017-03-01Medical PMPM</v>
      </c>
      <c r="B15" t="s">
        <v>90</v>
      </c>
      <c r="C15" t="s">
        <v>90</v>
      </c>
      <c r="D15" t="s">
        <v>91</v>
      </c>
      <c r="E15" s="1" t="s">
        <v>104</v>
      </c>
      <c r="F15" t="s">
        <v>106</v>
      </c>
      <c r="G15" t="s">
        <v>12</v>
      </c>
      <c r="H15">
        <v>1</v>
      </c>
      <c r="I15">
        <v>375.72</v>
      </c>
    </row>
    <row r="16" spans="1:9" x14ac:dyDescent="0.25">
      <c r="A16" s="5" t="str">
        <f>TrendSheetPrdData[[#This Row],[Population]]&amp;TrendSheetPrdData[[#This Row],[Cost Basis]]&amp;TrendSheetPrdData[[#This Row],[Period]]&amp;TrendSheetPrdData[[#This Row],[Trend]]</f>
        <v>EMPLOYEEAllowed2017-04-01Medical PMPM</v>
      </c>
      <c r="B16" t="s">
        <v>90</v>
      </c>
      <c r="C16" t="s">
        <v>90</v>
      </c>
      <c r="D16" t="s">
        <v>91</v>
      </c>
      <c r="E16" s="1" t="s">
        <v>105</v>
      </c>
      <c r="F16" t="s">
        <v>106</v>
      </c>
      <c r="G16" t="s">
        <v>12</v>
      </c>
      <c r="H16">
        <v>1</v>
      </c>
      <c r="I16">
        <v>85.04</v>
      </c>
    </row>
    <row r="17" spans="1:9" x14ac:dyDescent="0.25">
      <c r="A17" s="5" t="str">
        <f>TrendSheetPrdData[[#This Row],[Population]]&amp;TrendSheetPrdData[[#This Row],[Cost Basis]]&amp;TrendSheetPrdData[[#This Row],[Period]]&amp;TrendSheetPrdData[[#This Row],[Trend]]</f>
        <v>EMPLOYEEAllowed2016-02-01Drug PMPM</v>
      </c>
      <c r="B17" t="s">
        <v>90</v>
      </c>
      <c r="C17" t="s">
        <v>90</v>
      </c>
      <c r="D17" t="s">
        <v>91</v>
      </c>
      <c r="E17" s="1" t="s">
        <v>124</v>
      </c>
      <c r="F17" t="s">
        <v>93</v>
      </c>
      <c r="G17" t="s">
        <v>13</v>
      </c>
      <c r="H17">
        <v>2</v>
      </c>
      <c r="I17">
        <v>80.290000000000006</v>
      </c>
    </row>
    <row r="18" spans="1:9" x14ac:dyDescent="0.25">
      <c r="A18" s="5" t="str">
        <f>TrendSheetPrdData[[#This Row],[Population]]&amp;TrendSheetPrdData[[#This Row],[Cost Basis]]&amp;TrendSheetPrdData[[#This Row],[Period]]&amp;TrendSheetPrdData[[#This Row],[Trend]]</f>
        <v>EMPLOYEEAllowed2016-03-01Drug PMPM</v>
      </c>
      <c r="B18" t="s">
        <v>90</v>
      </c>
      <c r="C18" t="s">
        <v>90</v>
      </c>
      <c r="D18" t="s">
        <v>91</v>
      </c>
      <c r="E18" s="1" t="s">
        <v>125</v>
      </c>
      <c r="F18" t="s">
        <v>93</v>
      </c>
      <c r="G18" t="s">
        <v>13</v>
      </c>
      <c r="H18">
        <v>2</v>
      </c>
      <c r="I18">
        <v>94.65</v>
      </c>
    </row>
    <row r="19" spans="1:9" x14ac:dyDescent="0.25">
      <c r="A19" s="5" t="str">
        <f>TrendSheetPrdData[[#This Row],[Population]]&amp;TrendSheetPrdData[[#This Row],[Cost Basis]]&amp;TrendSheetPrdData[[#This Row],[Period]]&amp;TrendSheetPrdData[[#This Row],[Trend]]</f>
        <v>EMPLOYEEAllowed2016-04-01Drug PMPM</v>
      </c>
      <c r="B19" t="s">
        <v>90</v>
      </c>
      <c r="C19" t="s">
        <v>90</v>
      </c>
      <c r="D19" t="s">
        <v>91</v>
      </c>
      <c r="E19" s="1" t="s">
        <v>92</v>
      </c>
      <c r="F19" t="s">
        <v>93</v>
      </c>
      <c r="G19" t="s">
        <v>13</v>
      </c>
      <c r="H19">
        <v>2</v>
      </c>
      <c r="I19">
        <v>71.430000000000007</v>
      </c>
    </row>
    <row r="20" spans="1:9" x14ac:dyDescent="0.25">
      <c r="A20" s="5" t="str">
        <f>TrendSheetPrdData[[#This Row],[Population]]&amp;TrendSheetPrdData[[#This Row],[Cost Basis]]&amp;TrendSheetPrdData[[#This Row],[Period]]&amp;TrendSheetPrdData[[#This Row],[Trend]]</f>
        <v>EMPLOYEEAllowed2016-05-01Drug PMPM</v>
      </c>
      <c r="B20" t="s">
        <v>90</v>
      </c>
      <c r="C20" t="s">
        <v>90</v>
      </c>
      <c r="D20" t="s">
        <v>91</v>
      </c>
      <c r="E20" s="1" t="s">
        <v>94</v>
      </c>
      <c r="F20" t="s">
        <v>93</v>
      </c>
      <c r="G20" t="s">
        <v>13</v>
      </c>
      <c r="H20">
        <v>2</v>
      </c>
      <c r="I20">
        <v>77.239999999999995</v>
      </c>
    </row>
    <row r="21" spans="1:9" x14ac:dyDescent="0.25">
      <c r="A21" s="5" t="str">
        <f>TrendSheetPrdData[[#This Row],[Population]]&amp;TrendSheetPrdData[[#This Row],[Cost Basis]]&amp;TrendSheetPrdData[[#This Row],[Period]]&amp;TrendSheetPrdData[[#This Row],[Trend]]</f>
        <v>EMPLOYEEAllowed2016-06-01Drug PMPM</v>
      </c>
      <c r="B21" t="s">
        <v>90</v>
      </c>
      <c r="C21" t="s">
        <v>90</v>
      </c>
      <c r="D21" t="s">
        <v>91</v>
      </c>
      <c r="E21" s="1" t="s">
        <v>95</v>
      </c>
      <c r="F21" t="s">
        <v>93</v>
      </c>
      <c r="G21" t="s">
        <v>13</v>
      </c>
      <c r="H21">
        <v>2</v>
      </c>
      <c r="I21">
        <v>78.45</v>
      </c>
    </row>
    <row r="22" spans="1:9" x14ac:dyDescent="0.25">
      <c r="A22" s="5" t="str">
        <f>TrendSheetPrdData[[#This Row],[Population]]&amp;TrendSheetPrdData[[#This Row],[Cost Basis]]&amp;TrendSheetPrdData[[#This Row],[Period]]&amp;TrendSheetPrdData[[#This Row],[Trend]]</f>
        <v>EMPLOYEEAllowed2016-07-01Drug PMPM</v>
      </c>
      <c r="B22" t="s">
        <v>90</v>
      </c>
      <c r="C22" t="s">
        <v>90</v>
      </c>
      <c r="D22" t="s">
        <v>91</v>
      </c>
      <c r="E22" s="1" t="s">
        <v>96</v>
      </c>
      <c r="F22" t="s">
        <v>93</v>
      </c>
      <c r="G22" t="s">
        <v>13</v>
      </c>
      <c r="H22">
        <v>2</v>
      </c>
      <c r="I22">
        <v>78.06</v>
      </c>
    </row>
    <row r="23" spans="1:9" x14ac:dyDescent="0.25">
      <c r="A23" s="5" t="str">
        <f>TrendSheetPrdData[[#This Row],[Population]]&amp;TrendSheetPrdData[[#This Row],[Cost Basis]]&amp;TrendSheetPrdData[[#This Row],[Period]]&amp;TrendSheetPrdData[[#This Row],[Trend]]</f>
        <v>EMPLOYEEAllowed2016-08-01Drug PMPM</v>
      </c>
      <c r="B23" t="s">
        <v>90</v>
      </c>
      <c r="C23" t="s">
        <v>90</v>
      </c>
      <c r="D23" t="s">
        <v>91</v>
      </c>
      <c r="E23" s="1" t="s">
        <v>97</v>
      </c>
      <c r="F23" t="s">
        <v>93</v>
      </c>
      <c r="G23" t="s">
        <v>13</v>
      </c>
      <c r="H23">
        <v>2</v>
      </c>
      <c r="I23">
        <v>94.57</v>
      </c>
    </row>
    <row r="24" spans="1:9" x14ac:dyDescent="0.25">
      <c r="A24" s="5" t="str">
        <f>TrendSheetPrdData[[#This Row],[Population]]&amp;TrendSheetPrdData[[#This Row],[Cost Basis]]&amp;TrendSheetPrdData[[#This Row],[Period]]&amp;TrendSheetPrdData[[#This Row],[Trend]]</f>
        <v>EMPLOYEEAllowed2016-09-01Drug PMPM</v>
      </c>
      <c r="B24" t="s">
        <v>90</v>
      </c>
      <c r="C24" t="s">
        <v>90</v>
      </c>
      <c r="D24" t="s">
        <v>91</v>
      </c>
      <c r="E24" s="1" t="s">
        <v>98</v>
      </c>
      <c r="F24" t="s">
        <v>93</v>
      </c>
      <c r="G24" t="s">
        <v>13</v>
      </c>
      <c r="H24">
        <v>2</v>
      </c>
      <c r="I24">
        <v>82.03</v>
      </c>
    </row>
    <row r="25" spans="1:9" x14ac:dyDescent="0.25">
      <c r="A25" s="5" t="str">
        <f>TrendSheetPrdData[[#This Row],[Population]]&amp;TrendSheetPrdData[[#This Row],[Cost Basis]]&amp;TrendSheetPrdData[[#This Row],[Period]]&amp;TrendSheetPrdData[[#This Row],[Trend]]</f>
        <v>EMPLOYEEAllowed2016-10-01Drug PMPM</v>
      </c>
      <c r="B25" t="s">
        <v>90</v>
      </c>
      <c r="C25" t="s">
        <v>90</v>
      </c>
      <c r="D25" t="s">
        <v>91</v>
      </c>
      <c r="E25" s="1" t="s">
        <v>99</v>
      </c>
      <c r="F25" t="s">
        <v>93</v>
      </c>
      <c r="G25" t="s">
        <v>13</v>
      </c>
      <c r="H25">
        <v>2</v>
      </c>
      <c r="I25">
        <v>78.540000000000006</v>
      </c>
    </row>
    <row r="26" spans="1:9" x14ac:dyDescent="0.25">
      <c r="A26" s="5" t="str">
        <f>TrendSheetPrdData[[#This Row],[Population]]&amp;TrendSheetPrdData[[#This Row],[Cost Basis]]&amp;TrendSheetPrdData[[#This Row],[Period]]&amp;TrendSheetPrdData[[#This Row],[Trend]]</f>
        <v>EMPLOYEEAllowed2016-11-01Drug PMPM</v>
      </c>
      <c r="B26" t="s">
        <v>90</v>
      </c>
      <c r="C26" t="s">
        <v>90</v>
      </c>
      <c r="D26" t="s">
        <v>91</v>
      </c>
      <c r="E26" s="1" t="s">
        <v>100</v>
      </c>
      <c r="F26" t="s">
        <v>93</v>
      </c>
      <c r="G26" t="s">
        <v>13</v>
      </c>
      <c r="H26">
        <v>2</v>
      </c>
      <c r="I26">
        <v>77.069999999999993</v>
      </c>
    </row>
    <row r="27" spans="1:9" x14ac:dyDescent="0.25">
      <c r="A27" s="5" t="str">
        <f>TrendSheetPrdData[[#This Row],[Population]]&amp;TrendSheetPrdData[[#This Row],[Cost Basis]]&amp;TrendSheetPrdData[[#This Row],[Period]]&amp;TrendSheetPrdData[[#This Row],[Trend]]</f>
        <v>EMPLOYEEAllowed2016-12-01Drug PMPM</v>
      </c>
      <c r="B27" t="s">
        <v>90</v>
      </c>
      <c r="C27" t="s">
        <v>90</v>
      </c>
      <c r="D27" t="s">
        <v>91</v>
      </c>
      <c r="E27" s="1" t="s">
        <v>101</v>
      </c>
      <c r="F27" t="s">
        <v>93</v>
      </c>
      <c r="G27" t="s">
        <v>13</v>
      </c>
      <c r="H27">
        <v>2</v>
      </c>
      <c r="I27">
        <v>89.48</v>
      </c>
    </row>
    <row r="28" spans="1:9" x14ac:dyDescent="0.25">
      <c r="A28" s="5" t="str">
        <f>TrendSheetPrdData[[#This Row],[Population]]&amp;TrendSheetPrdData[[#This Row],[Cost Basis]]&amp;TrendSheetPrdData[[#This Row],[Period]]&amp;TrendSheetPrdData[[#This Row],[Trend]]</f>
        <v>EMPLOYEEAllowed2017-01-01Drug PMPM</v>
      </c>
      <c r="B28" t="s">
        <v>90</v>
      </c>
      <c r="C28" t="s">
        <v>90</v>
      </c>
      <c r="D28" t="s">
        <v>91</v>
      </c>
      <c r="E28" s="1" t="s">
        <v>102</v>
      </c>
      <c r="F28" t="s">
        <v>93</v>
      </c>
      <c r="G28" t="s">
        <v>13</v>
      </c>
      <c r="H28">
        <v>2</v>
      </c>
      <c r="I28">
        <v>83.11</v>
      </c>
    </row>
    <row r="29" spans="1:9" x14ac:dyDescent="0.25">
      <c r="A29" s="5" t="str">
        <f>TrendSheetPrdData[[#This Row],[Population]]&amp;TrendSheetPrdData[[#This Row],[Cost Basis]]&amp;TrendSheetPrdData[[#This Row],[Period]]&amp;TrendSheetPrdData[[#This Row],[Trend]]</f>
        <v>EMPLOYEEAllowed2017-02-01Drug PMPM</v>
      </c>
      <c r="B29" t="s">
        <v>90</v>
      </c>
      <c r="C29" t="s">
        <v>90</v>
      </c>
      <c r="D29" t="s">
        <v>91</v>
      </c>
      <c r="E29" s="1" t="s">
        <v>103</v>
      </c>
      <c r="F29" t="s">
        <v>106</v>
      </c>
      <c r="G29" t="s">
        <v>13</v>
      </c>
      <c r="H29">
        <v>2</v>
      </c>
      <c r="I29">
        <v>75.13</v>
      </c>
    </row>
    <row r="30" spans="1:9" x14ac:dyDescent="0.25">
      <c r="A30" s="5" t="str">
        <f>TrendSheetPrdData[[#This Row],[Population]]&amp;TrendSheetPrdData[[#This Row],[Cost Basis]]&amp;TrendSheetPrdData[[#This Row],[Period]]&amp;TrendSheetPrdData[[#This Row],[Trend]]</f>
        <v>EMPLOYEEAllowed2017-03-01Drug PMPM</v>
      </c>
      <c r="B30" t="s">
        <v>90</v>
      </c>
      <c r="C30" t="s">
        <v>90</v>
      </c>
      <c r="D30" t="s">
        <v>91</v>
      </c>
      <c r="E30" s="1" t="s">
        <v>104</v>
      </c>
      <c r="F30" t="s">
        <v>106</v>
      </c>
      <c r="G30" t="s">
        <v>13</v>
      </c>
      <c r="H30">
        <v>2</v>
      </c>
      <c r="I30">
        <v>79.08</v>
      </c>
    </row>
    <row r="31" spans="1:9" x14ac:dyDescent="0.25">
      <c r="A31" s="5" t="str">
        <f>TrendSheetPrdData[[#This Row],[Population]]&amp;TrendSheetPrdData[[#This Row],[Cost Basis]]&amp;TrendSheetPrdData[[#This Row],[Period]]&amp;TrendSheetPrdData[[#This Row],[Trend]]</f>
        <v>EMPLOYEEAllowed2017-04-01Drug PMPM</v>
      </c>
      <c r="B31" t="s">
        <v>90</v>
      </c>
      <c r="C31" t="s">
        <v>90</v>
      </c>
      <c r="D31" t="s">
        <v>91</v>
      </c>
      <c r="E31" s="1" t="s">
        <v>105</v>
      </c>
      <c r="F31" t="s">
        <v>106</v>
      </c>
      <c r="G31" t="s">
        <v>13</v>
      </c>
      <c r="H31">
        <v>2</v>
      </c>
      <c r="I31">
        <v>69.540000000000006</v>
      </c>
    </row>
    <row r="32" spans="1:9" x14ac:dyDescent="0.25">
      <c r="A32" s="5" t="str">
        <f>TrendSheetPrdData[[#This Row],[Population]]&amp;TrendSheetPrdData[[#This Row],[Cost Basis]]&amp;TrendSheetPrdData[[#This Row],[Period]]&amp;TrendSheetPrdData[[#This Row],[Trend]]</f>
        <v>EMPLOYEEAllowed2016-02-01Overall PMPM</v>
      </c>
      <c r="B32" t="s">
        <v>90</v>
      </c>
      <c r="C32" t="s">
        <v>90</v>
      </c>
      <c r="D32" t="s">
        <v>91</v>
      </c>
      <c r="E32" s="1" t="s">
        <v>124</v>
      </c>
      <c r="F32" t="s">
        <v>93</v>
      </c>
      <c r="G32" t="s">
        <v>14</v>
      </c>
      <c r="H32">
        <v>3</v>
      </c>
      <c r="I32">
        <v>473.47</v>
      </c>
    </row>
    <row r="33" spans="1:9" x14ac:dyDescent="0.25">
      <c r="A33" s="5" t="str">
        <f>TrendSheetPrdData[[#This Row],[Population]]&amp;TrendSheetPrdData[[#This Row],[Cost Basis]]&amp;TrendSheetPrdData[[#This Row],[Period]]&amp;TrendSheetPrdData[[#This Row],[Trend]]</f>
        <v>EMPLOYEEAllowed2016-03-01Overall PMPM</v>
      </c>
      <c r="B33" t="s">
        <v>90</v>
      </c>
      <c r="C33" t="s">
        <v>90</v>
      </c>
      <c r="D33" t="s">
        <v>91</v>
      </c>
      <c r="E33" s="1" t="s">
        <v>125</v>
      </c>
      <c r="F33" t="s">
        <v>93</v>
      </c>
      <c r="G33" t="s">
        <v>14</v>
      </c>
      <c r="H33">
        <v>3</v>
      </c>
      <c r="I33">
        <v>518.86</v>
      </c>
    </row>
    <row r="34" spans="1:9" x14ac:dyDescent="0.25">
      <c r="A34" s="5" t="str">
        <f>TrendSheetPrdData[[#This Row],[Population]]&amp;TrendSheetPrdData[[#This Row],[Cost Basis]]&amp;TrendSheetPrdData[[#This Row],[Period]]&amp;TrendSheetPrdData[[#This Row],[Trend]]</f>
        <v>EMPLOYEEAllowed2016-04-01Overall PMPM</v>
      </c>
      <c r="B34" t="s">
        <v>90</v>
      </c>
      <c r="C34" t="s">
        <v>90</v>
      </c>
      <c r="D34" t="s">
        <v>91</v>
      </c>
      <c r="E34" s="1" t="s">
        <v>92</v>
      </c>
      <c r="F34" t="s">
        <v>93</v>
      </c>
      <c r="G34" t="s">
        <v>14</v>
      </c>
      <c r="H34">
        <v>3</v>
      </c>
      <c r="I34">
        <v>419.65</v>
      </c>
    </row>
    <row r="35" spans="1:9" x14ac:dyDescent="0.25">
      <c r="A35" s="5" t="str">
        <f>TrendSheetPrdData[[#This Row],[Population]]&amp;TrendSheetPrdData[[#This Row],[Cost Basis]]&amp;TrendSheetPrdData[[#This Row],[Period]]&amp;TrendSheetPrdData[[#This Row],[Trend]]</f>
        <v>EMPLOYEEAllowed2016-05-01Overall PMPM</v>
      </c>
      <c r="B35" t="s">
        <v>90</v>
      </c>
      <c r="C35" t="s">
        <v>90</v>
      </c>
      <c r="D35" t="s">
        <v>91</v>
      </c>
      <c r="E35" s="1" t="s">
        <v>94</v>
      </c>
      <c r="F35" t="s">
        <v>93</v>
      </c>
      <c r="G35" t="s">
        <v>14</v>
      </c>
      <c r="H35">
        <v>3</v>
      </c>
      <c r="I35">
        <v>412.62</v>
      </c>
    </row>
    <row r="36" spans="1:9" x14ac:dyDescent="0.25">
      <c r="A36" s="5" t="str">
        <f>TrendSheetPrdData[[#This Row],[Population]]&amp;TrendSheetPrdData[[#This Row],[Cost Basis]]&amp;TrendSheetPrdData[[#This Row],[Period]]&amp;TrendSheetPrdData[[#This Row],[Trend]]</f>
        <v>EMPLOYEEAllowed2016-06-01Overall PMPM</v>
      </c>
      <c r="B36" t="s">
        <v>90</v>
      </c>
      <c r="C36" t="s">
        <v>90</v>
      </c>
      <c r="D36" t="s">
        <v>91</v>
      </c>
      <c r="E36" s="1" t="s">
        <v>95</v>
      </c>
      <c r="F36" t="s">
        <v>93</v>
      </c>
      <c r="G36" t="s">
        <v>14</v>
      </c>
      <c r="H36">
        <v>3</v>
      </c>
      <c r="I36">
        <v>479.39</v>
      </c>
    </row>
    <row r="37" spans="1:9" x14ac:dyDescent="0.25">
      <c r="A37" s="5" t="str">
        <f>TrendSheetPrdData[[#This Row],[Population]]&amp;TrendSheetPrdData[[#This Row],[Cost Basis]]&amp;TrendSheetPrdData[[#This Row],[Period]]&amp;TrendSheetPrdData[[#This Row],[Trend]]</f>
        <v>EMPLOYEEAllowed2016-07-01Overall PMPM</v>
      </c>
      <c r="B37" t="s">
        <v>90</v>
      </c>
      <c r="C37" t="s">
        <v>90</v>
      </c>
      <c r="D37" t="s">
        <v>91</v>
      </c>
      <c r="E37" s="1" t="s">
        <v>96</v>
      </c>
      <c r="F37" t="s">
        <v>93</v>
      </c>
      <c r="G37" t="s">
        <v>14</v>
      </c>
      <c r="H37">
        <v>3</v>
      </c>
      <c r="I37">
        <v>419.49</v>
      </c>
    </row>
    <row r="38" spans="1:9" x14ac:dyDescent="0.25">
      <c r="A38" s="5" t="str">
        <f>TrendSheetPrdData[[#This Row],[Population]]&amp;TrendSheetPrdData[[#This Row],[Cost Basis]]&amp;TrendSheetPrdData[[#This Row],[Period]]&amp;TrendSheetPrdData[[#This Row],[Trend]]</f>
        <v>EMPLOYEEAllowed2016-08-01Overall PMPM</v>
      </c>
      <c r="B38" t="s">
        <v>90</v>
      </c>
      <c r="C38" t="s">
        <v>90</v>
      </c>
      <c r="D38" t="s">
        <v>91</v>
      </c>
      <c r="E38" s="1" t="s">
        <v>97</v>
      </c>
      <c r="F38" t="s">
        <v>93</v>
      </c>
      <c r="G38" t="s">
        <v>14</v>
      </c>
      <c r="H38">
        <v>3</v>
      </c>
      <c r="I38">
        <v>422.76</v>
      </c>
    </row>
    <row r="39" spans="1:9" x14ac:dyDescent="0.25">
      <c r="A39" s="5" t="str">
        <f>TrendSheetPrdData[[#This Row],[Population]]&amp;TrendSheetPrdData[[#This Row],[Cost Basis]]&amp;TrendSheetPrdData[[#This Row],[Period]]&amp;TrendSheetPrdData[[#This Row],[Trend]]</f>
        <v>EMPLOYEEAllowed2016-09-01Overall PMPM</v>
      </c>
      <c r="B39" t="s">
        <v>90</v>
      </c>
      <c r="C39" t="s">
        <v>90</v>
      </c>
      <c r="D39" t="s">
        <v>91</v>
      </c>
      <c r="E39" s="1" t="s">
        <v>98</v>
      </c>
      <c r="F39" t="s">
        <v>93</v>
      </c>
      <c r="G39" t="s">
        <v>14</v>
      </c>
      <c r="H39">
        <v>3</v>
      </c>
      <c r="I39">
        <v>457.98</v>
      </c>
    </row>
    <row r="40" spans="1:9" x14ac:dyDescent="0.25">
      <c r="A40" s="5" t="str">
        <f>TrendSheetPrdData[[#This Row],[Population]]&amp;TrendSheetPrdData[[#This Row],[Cost Basis]]&amp;TrendSheetPrdData[[#This Row],[Period]]&amp;TrendSheetPrdData[[#This Row],[Trend]]</f>
        <v>EMPLOYEEAllowed2016-10-01Overall PMPM</v>
      </c>
      <c r="B40" t="s">
        <v>90</v>
      </c>
      <c r="C40" t="s">
        <v>90</v>
      </c>
      <c r="D40" t="s">
        <v>91</v>
      </c>
      <c r="E40" s="1" t="s">
        <v>99</v>
      </c>
      <c r="F40" t="s">
        <v>93</v>
      </c>
      <c r="G40" t="s">
        <v>14</v>
      </c>
      <c r="H40">
        <v>3</v>
      </c>
      <c r="I40">
        <v>431.91</v>
      </c>
    </row>
    <row r="41" spans="1:9" x14ac:dyDescent="0.25">
      <c r="A41" s="5" t="str">
        <f>TrendSheetPrdData[[#This Row],[Population]]&amp;TrendSheetPrdData[[#This Row],[Cost Basis]]&amp;TrendSheetPrdData[[#This Row],[Period]]&amp;TrendSheetPrdData[[#This Row],[Trend]]</f>
        <v>EMPLOYEEAllowed2016-11-01Overall PMPM</v>
      </c>
      <c r="B41" t="s">
        <v>90</v>
      </c>
      <c r="C41" t="s">
        <v>90</v>
      </c>
      <c r="D41" t="s">
        <v>91</v>
      </c>
      <c r="E41" s="1" t="s">
        <v>100</v>
      </c>
      <c r="F41" t="s">
        <v>93</v>
      </c>
      <c r="G41" t="s">
        <v>14</v>
      </c>
      <c r="H41">
        <v>3</v>
      </c>
      <c r="I41">
        <v>452.5</v>
      </c>
    </row>
    <row r="42" spans="1:9" x14ac:dyDescent="0.25">
      <c r="A42" s="5" t="str">
        <f>TrendSheetPrdData[[#This Row],[Population]]&amp;TrendSheetPrdData[[#This Row],[Cost Basis]]&amp;TrendSheetPrdData[[#This Row],[Period]]&amp;TrendSheetPrdData[[#This Row],[Trend]]</f>
        <v>EMPLOYEEAllowed2016-12-01Overall PMPM</v>
      </c>
      <c r="B42" t="s">
        <v>90</v>
      </c>
      <c r="C42" t="s">
        <v>90</v>
      </c>
      <c r="D42" t="s">
        <v>91</v>
      </c>
      <c r="E42" s="1" t="s">
        <v>101</v>
      </c>
      <c r="F42" t="s">
        <v>93</v>
      </c>
      <c r="G42" t="s">
        <v>14</v>
      </c>
      <c r="H42">
        <v>3</v>
      </c>
      <c r="I42">
        <v>479.76</v>
      </c>
    </row>
    <row r="43" spans="1:9" x14ac:dyDescent="0.25">
      <c r="A43" s="5" t="str">
        <f>TrendSheetPrdData[[#This Row],[Population]]&amp;TrendSheetPrdData[[#This Row],[Cost Basis]]&amp;TrendSheetPrdData[[#This Row],[Period]]&amp;TrendSheetPrdData[[#This Row],[Trend]]</f>
        <v>EMPLOYEEAllowed2017-01-01Overall PMPM</v>
      </c>
      <c r="B43" t="s">
        <v>90</v>
      </c>
      <c r="C43" t="s">
        <v>90</v>
      </c>
      <c r="D43" t="s">
        <v>91</v>
      </c>
      <c r="E43" s="1" t="s">
        <v>102</v>
      </c>
      <c r="F43" t="s">
        <v>93</v>
      </c>
      <c r="G43" t="s">
        <v>14</v>
      </c>
      <c r="H43">
        <v>3</v>
      </c>
      <c r="I43">
        <v>419.99</v>
      </c>
    </row>
    <row r="44" spans="1:9" x14ac:dyDescent="0.25">
      <c r="A44" s="5" t="str">
        <f>TrendSheetPrdData[[#This Row],[Population]]&amp;TrendSheetPrdData[[#This Row],[Cost Basis]]&amp;TrendSheetPrdData[[#This Row],[Period]]&amp;TrendSheetPrdData[[#This Row],[Trend]]</f>
        <v>EMPLOYEEAllowed2017-02-01Overall PMPM</v>
      </c>
      <c r="B44" t="s">
        <v>90</v>
      </c>
      <c r="C44" t="s">
        <v>90</v>
      </c>
      <c r="D44" t="s">
        <v>91</v>
      </c>
      <c r="E44" s="1" t="s">
        <v>103</v>
      </c>
      <c r="F44" t="s">
        <v>106</v>
      </c>
      <c r="G44" t="s">
        <v>14</v>
      </c>
      <c r="H44">
        <v>3</v>
      </c>
      <c r="I44">
        <v>420.63</v>
      </c>
    </row>
    <row r="45" spans="1:9" x14ac:dyDescent="0.25">
      <c r="A45" s="5" t="str">
        <f>TrendSheetPrdData[[#This Row],[Population]]&amp;TrendSheetPrdData[[#This Row],[Cost Basis]]&amp;TrendSheetPrdData[[#This Row],[Period]]&amp;TrendSheetPrdData[[#This Row],[Trend]]</f>
        <v>EMPLOYEEAllowed2017-03-01Overall PMPM</v>
      </c>
      <c r="B45" t="s">
        <v>90</v>
      </c>
      <c r="C45" t="s">
        <v>90</v>
      </c>
      <c r="D45" t="s">
        <v>91</v>
      </c>
      <c r="E45" s="1" t="s">
        <v>104</v>
      </c>
      <c r="F45" t="s">
        <v>106</v>
      </c>
      <c r="G45" t="s">
        <v>14</v>
      </c>
      <c r="H45">
        <v>3</v>
      </c>
      <c r="I45">
        <v>454.8</v>
      </c>
    </row>
    <row r="46" spans="1:9" x14ac:dyDescent="0.25">
      <c r="A46" s="5" t="str">
        <f>TrendSheetPrdData[[#This Row],[Population]]&amp;TrendSheetPrdData[[#This Row],[Cost Basis]]&amp;TrendSheetPrdData[[#This Row],[Period]]&amp;TrendSheetPrdData[[#This Row],[Trend]]</f>
        <v>EMPLOYEEAllowed2017-04-01Overall PMPM</v>
      </c>
      <c r="B46" t="s">
        <v>90</v>
      </c>
      <c r="C46" t="s">
        <v>90</v>
      </c>
      <c r="D46" t="s">
        <v>91</v>
      </c>
      <c r="E46" s="1" t="s">
        <v>105</v>
      </c>
      <c r="F46" t="s">
        <v>106</v>
      </c>
      <c r="G46" t="s">
        <v>14</v>
      </c>
      <c r="H46">
        <v>3</v>
      </c>
      <c r="I46">
        <v>154.58000000000001</v>
      </c>
    </row>
    <row r="47" spans="1:9" x14ac:dyDescent="0.25">
      <c r="A47" s="5" t="str">
        <f>TrendSheetPrdData[[#This Row],[Population]]&amp;TrendSheetPrdData[[#This Row],[Cost Basis]]&amp;TrendSheetPrdData[[#This Row],[Period]]&amp;TrendSheetPrdData[[#This Row],[Trend]]</f>
        <v>EMPLOYEEAllowed2016-02-01Readmission Cost</v>
      </c>
      <c r="B47" t="s">
        <v>90</v>
      </c>
      <c r="C47" t="s">
        <v>90</v>
      </c>
      <c r="D47" t="s">
        <v>91</v>
      </c>
      <c r="E47" s="1" t="s">
        <v>124</v>
      </c>
      <c r="F47" t="s">
        <v>93</v>
      </c>
      <c r="G47" t="s">
        <v>15</v>
      </c>
      <c r="H47">
        <v>4</v>
      </c>
      <c r="I47">
        <v>129383.26</v>
      </c>
    </row>
    <row r="48" spans="1:9" x14ac:dyDescent="0.25">
      <c r="A48" s="5" t="str">
        <f>TrendSheetPrdData[[#This Row],[Population]]&amp;TrendSheetPrdData[[#This Row],[Cost Basis]]&amp;TrendSheetPrdData[[#This Row],[Period]]&amp;TrendSheetPrdData[[#This Row],[Trend]]</f>
        <v>EMPLOYEEAllowed2016-03-01Readmission Cost</v>
      </c>
      <c r="B48" t="s">
        <v>90</v>
      </c>
      <c r="C48" t="s">
        <v>90</v>
      </c>
      <c r="D48" t="s">
        <v>91</v>
      </c>
      <c r="E48" s="1" t="s">
        <v>125</v>
      </c>
      <c r="F48" t="s">
        <v>93</v>
      </c>
      <c r="G48" t="s">
        <v>15</v>
      </c>
      <c r="H48">
        <v>4</v>
      </c>
      <c r="I48">
        <v>48649.66</v>
      </c>
    </row>
    <row r="49" spans="1:9" x14ac:dyDescent="0.25">
      <c r="A49" s="5" t="str">
        <f>TrendSheetPrdData[[#This Row],[Population]]&amp;TrendSheetPrdData[[#This Row],[Cost Basis]]&amp;TrendSheetPrdData[[#This Row],[Period]]&amp;TrendSheetPrdData[[#This Row],[Trend]]</f>
        <v>EMPLOYEEAllowed2016-04-01Readmission Cost</v>
      </c>
      <c r="B49" t="s">
        <v>90</v>
      </c>
      <c r="C49" t="s">
        <v>90</v>
      </c>
      <c r="D49" t="s">
        <v>91</v>
      </c>
      <c r="E49" s="1" t="s">
        <v>92</v>
      </c>
      <c r="F49" t="s">
        <v>93</v>
      </c>
      <c r="G49" t="s">
        <v>15</v>
      </c>
      <c r="H49">
        <v>4</v>
      </c>
      <c r="I49">
        <v>34577.120000000003</v>
      </c>
    </row>
    <row r="50" spans="1:9" x14ac:dyDescent="0.25">
      <c r="A50" s="5" t="str">
        <f>TrendSheetPrdData[[#This Row],[Population]]&amp;TrendSheetPrdData[[#This Row],[Cost Basis]]&amp;TrendSheetPrdData[[#This Row],[Period]]&amp;TrendSheetPrdData[[#This Row],[Trend]]</f>
        <v>EMPLOYEEAllowed2016-05-01Readmission Cost</v>
      </c>
      <c r="B50" t="s">
        <v>90</v>
      </c>
      <c r="C50" t="s">
        <v>90</v>
      </c>
      <c r="D50" t="s">
        <v>91</v>
      </c>
      <c r="E50" s="1" t="s">
        <v>94</v>
      </c>
      <c r="F50" t="s">
        <v>93</v>
      </c>
      <c r="G50" t="s">
        <v>15</v>
      </c>
      <c r="H50">
        <v>4</v>
      </c>
      <c r="I50">
        <v>264404.24</v>
      </c>
    </row>
    <row r="51" spans="1:9" x14ac:dyDescent="0.25">
      <c r="A51" s="5" t="str">
        <f>TrendSheetPrdData[[#This Row],[Population]]&amp;TrendSheetPrdData[[#This Row],[Cost Basis]]&amp;TrendSheetPrdData[[#This Row],[Period]]&amp;TrendSheetPrdData[[#This Row],[Trend]]</f>
        <v>EMPLOYEEAllowed2016-06-01Readmission Cost</v>
      </c>
      <c r="B51" t="s">
        <v>90</v>
      </c>
      <c r="C51" t="s">
        <v>90</v>
      </c>
      <c r="D51" t="s">
        <v>91</v>
      </c>
      <c r="E51" s="1" t="s">
        <v>95</v>
      </c>
      <c r="F51" t="s">
        <v>93</v>
      </c>
      <c r="G51" t="s">
        <v>15</v>
      </c>
      <c r="H51">
        <v>4</v>
      </c>
      <c r="I51">
        <v>22162.14</v>
      </c>
    </row>
    <row r="52" spans="1:9" x14ac:dyDescent="0.25">
      <c r="A52" s="5" t="str">
        <f>TrendSheetPrdData[[#This Row],[Population]]&amp;TrendSheetPrdData[[#This Row],[Cost Basis]]&amp;TrendSheetPrdData[[#This Row],[Period]]&amp;TrendSheetPrdData[[#This Row],[Trend]]</f>
        <v>EMPLOYEEAllowed2016-07-01Readmission Cost</v>
      </c>
      <c r="B52" t="s">
        <v>90</v>
      </c>
      <c r="C52" t="s">
        <v>90</v>
      </c>
      <c r="D52" t="s">
        <v>91</v>
      </c>
      <c r="E52" s="1" t="s">
        <v>96</v>
      </c>
      <c r="F52" t="s">
        <v>93</v>
      </c>
      <c r="G52" t="s">
        <v>15</v>
      </c>
      <c r="H52">
        <v>4</v>
      </c>
      <c r="I52">
        <v>2019.15</v>
      </c>
    </row>
    <row r="53" spans="1:9" x14ac:dyDescent="0.25">
      <c r="A53" s="5" t="str">
        <f>TrendSheetPrdData[[#This Row],[Population]]&amp;TrendSheetPrdData[[#This Row],[Cost Basis]]&amp;TrendSheetPrdData[[#This Row],[Period]]&amp;TrendSheetPrdData[[#This Row],[Trend]]</f>
        <v>EMPLOYEEAllowed2016-08-01Readmission Cost</v>
      </c>
      <c r="B53" t="s">
        <v>90</v>
      </c>
      <c r="C53" t="s">
        <v>90</v>
      </c>
      <c r="D53" t="s">
        <v>91</v>
      </c>
      <c r="E53" s="1" t="s">
        <v>97</v>
      </c>
      <c r="F53" t="s">
        <v>93</v>
      </c>
      <c r="G53" t="s">
        <v>15</v>
      </c>
      <c r="H53">
        <v>4</v>
      </c>
      <c r="I53">
        <v>0</v>
      </c>
    </row>
    <row r="54" spans="1:9" x14ac:dyDescent="0.25">
      <c r="A54" s="5" t="str">
        <f>TrendSheetPrdData[[#This Row],[Population]]&amp;TrendSheetPrdData[[#This Row],[Cost Basis]]&amp;TrendSheetPrdData[[#This Row],[Period]]&amp;TrendSheetPrdData[[#This Row],[Trend]]</f>
        <v>EMPLOYEEAllowed2016-09-01Readmission Cost</v>
      </c>
      <c r="B54" t="s">
        <v>90</v>
      </c>
      <c r="C54" t="s">
        <v>90</v>
      </c>
      <c r="D54" t="s">
        <v>91</v>
      </c>
      <c r="E54" s="1" t="s">
        <v>98</v>
      </c>
      <c r="F54" t="s">
        <v>93</v>
      </c>
      <c r="G54" t="s">
        <v>15</v>
      </c>
      <c r="H54">
        <v>4</v>
      </c>
      <c r="I54">
        <v>120026.17</v>
      </c>
    </row>
    <row r="55" spans="1:9" x14ac:dyDescent="0.25">
      <c r="A55" s="5" t="str">
        <f>TrendSheetPrdData[[#This Row],[Population]]&amp;TrendSheetPrdData[[#This Row],[Cost Basis]]&amp;TrendSheetPrdData[[#This Row],[Period]]&amp;TrendSheetPrdData[[#This Row],[Trend]]</f>
        <v>EMPLOYEEAllowed2016-10-01Readmission Cost</v>
      </c>
      <c r="B55" t="s">
        <v>90</v>
      </c>
      <c r="C55" t="s">
        <v>90</v>
      </c>
      <c r="D55" t="s">
        <v>91</v>
      </c>
      <c r="E55" s="1" t="s">
        <v>99</v>
      </c>
      <c r="F55" t="s">
        <v>93</v>
      </c>
      <c r="G55" t="s">
        <v>15</v>
      </c>
      <c r="H55">
        <v>4</v>
      </c>
      <c r="I55">
        <v>48595.47</v>
      </c>
    </row>
    <row r="56" spans="1:9" x14ac:dyDescent="0.25">
      <c r="A56" s="5" t="str">
        <f>TrendSheetPrdData[[#This Row],[Population]]&amp;TrendSheetPrdData[[#This Row],[Cost Basis]]&amp;TrendSheetPrdData[[#This Row],[Period]]&amp;TrendSheetPrdData[[#This Row],[Trend]]</f>
        <v>EMPLOYEEAllowed2016-11-01Readmission Cost</v>
      </c>
      <c r="B56" t="s">
        <v>90</v>
      </c>
      <c r="C56" t="s">
        <v>90</v>
      </c>
      <c r="D56" t="s">
        <v>91</v>
      </c>
      <c r="E56" s="1" t="s">
        <v>100</v>
      </c>
      <c r="F56" t="s">
        <v>93</v>
      </c>
      <c r="G56" t="s">
        <v>15</v>
      </c>
      <c r="H56">
        <v>4</v>
      </c>
      <c r="I56">
        <v>106868.22</v>
      </c>
    </row>
    <row r="57" spans="1:9" x14ac:dyDescent="0.25">
      <c r="A57" s="5" t="str">
        <f>TrendSheetPrdData[[#This Row],[Population]]&amp;TrendSheetPrdData[[#This Row],[Cost Basis]]&amp;TrendSheetPrdData[[#This Row],[Period]]&amp;TrendSheetPrdData[[#This Row],[Trend]]</f>
        <v>EMPLOYEEAllowed2016-12-01Readmission Cost</v>
      </c>
      <c r="B57" t="s">
        <v>90</v>
      </c>
      <c r="C57" t="s">
        <v>90</v>
      </c>
      <c r="D57" t="s">
        <v>91</v>
      </c>
      <c r="E57" s="1" t="s">
        <v>101</v>
      </c>
      <c r="F57" t="s">
        <v>93</v>
      </c>
      <c r="G57" t="s">
        <v>15</v>
      </c>
      <c r="H57">
        <v>4</v>
      </c>
      <c r="I57">
        <v>33576.300000000003</v>
      </c>
    </row>
    <row r="58" spans="1:9" x14ac:dyDescent="0.25">
      <c r="A58" s="5" t="str">
        <f>TrendSheetPrdData[[#This Row],[Population]]&amp;TrendSheetPrdData[[#This Row],[Cost Basis]]&amp;TrendSheetPrdData[[#This Row],[Period]]&amp;TrendSheetPrdData[[#This Row],[Trend]]</f>
        <v>EMPLOYEEAllowed2017-01-01Readmission Cost</v>
      </c>
      <c r="B58" t="s">
        <v>90</v>
      </c>
      <c r="C58" t="s">
        <v>90</v>
      </c>
      <c r="D58" t="s">
        <v>91</v>
      </c>
      <c r="E58" s="1" t="s">
        <v>102</v>
      </c>
      <c r="F58" t="s">
        <v>93</v>
      </c>
      <c r="G58" t="s">
        <v>15</v>
      </c>
      <c r="H58">
        <v>4</v>
      </c>
      <c r="I58">
        <v>13446.13</v>
      </c>
    </row>
    <row r="59" spans="1:9" x14ac:dyDescent="0.25">
      <c r="A59" s="5" t="str">
        <f>TrendSheetPrdData[[#This Row],[Population]]&amp;TrendSheetPrdData[[#This Row],[Cost Basis]]&amp;TrendSheetPrdData[[#This Row],[Period]]&amp;TrendSheetPrdData[[#This Row],[Trend]]</f>
        <v>EMPLOYEEAllowed2017-02-01Readmission Cost</v>
      </c>
      <c r="B59" t="s">
        <v>90</v>
      </c>
      <c r="C59" t="s">
        <v>90</v>
      </c>
      <c r="D59" t="s">
        <v>91</v>
      </c>
      <c r="E59" s="1" t="s">
        <v>103</v>
      </c>
      <c r="F59" t="s">
        <v>106</v>
      </c>
      <c r="G59" t="s">
        <v>15</v>
      </c>
      <c r="H59">
        <v>4</v>
      </c>
      <c r="I59">
        <v>10104.049999999999</v>
      </c>
    </row>
    <row r="60" spans="1:9" x14ac:dyDescent="0.25">
      <c r="A60" s="5" t="str">
        <f>TrendSheetPrdData[[#This Row],[Population]]&amp;TrendSheetPrdData[[#This Row],[Cost Basis]]&amp;TrendSheetPrdData[[#This Row],[Period]]&amp;TrendSheetPrdData[[#This Row],[Trend]]</f>
        <v>EMPLOYEEAllowed2017-03-01Readmission Cost</v>
      </c>
      <c r="B60" t="s">
        <v>90</v>
      </c>
      <c r="C60" t="s">
        <v>90</v>
      </c>
      <c r="D60" t="s">
        <v>91</v>
      </c>
      <c r="E60" s="1" t="s">
        <v>104</v>
      </c>
      <c r="F60" t="s">
        <v>106</v>
      </c>
      <c r="G60" t="s">
        <v>15</v>
      </c>
      <c r="H60">
        <v>4</v>
      </c>
      <c r="I60">
        <v>11418.26</v>
      </c>
    </row>
    <row r="61" spans="1:9" x14ac:dyDescent="0.25">
      <c r="A61" s="5" t="str">
        <f>TrendSheetPrdData[[#This Row],[Population]]&amp;TrendSheetPrdData[[#This Row],[Cost Basis]]&amp;TrendSheetPrdData[[#This Row],[Period]]&amp;TrendSheetPrdData[[#This Row],[Trend]]</f>
        <v>EMPLOYEEAllowed2017-04-01Readmission Cost</v>
      </c>
      <c r="B61" t="s">
        <v>90</v>
      </c>
      <c r="C61" t="s">
        <v>90</v>
      </c>
      <c r="D61" t="s">
        <v>91</v>
      </c>
      <c r="E61" s="1" t="s">
        <v>105</v>
      </c>
      <c r="F61" t="s">
        <v>106</v>
      </c>
      <c r="G61" t="s">
        <v>15</v>
      </c>
      <c r="H61">
        <v>4</v>
      </c>
      <c r="I61">
        <v>0</v>
      </c>
    </row>
    <row r="62" spans="1:9" x14ac:dyDescent="0.25">
      <c r="A62" s="5" t="str">
        <f>TrendSheetPrdData[[#This Row],[Population]]&amp;TrendSheetPrdData[[#This Row],[Cost Basis]]&amp;TrendSheetPrdData[[#This Row],[Period]]&amp;TrendSheetPrdData[[#This Row],[Trend]]</f>
        <v>EMPLOYEEAllowed2016-02-01Readmission Quality</v>
      </c>
      <c r="B62" t="s">
        <v>90</v>
      </c>
      <c r="C62" t="s">
        <v>90</v>
      </c>
      <c r="D62" t="s">
        <v>91</v>
      </c>
      <c r="E62" s="1" t="s">
        <v>124</v>
      </c>
      <c r="F62" t="s">
        <v>93</v>
      </c>
      <c r="G62" t="s">
        <v>16</v>
      </c>
      <c r="H62">
        <v>5</v>
      </c>
      <c r="I62">
        <v>2</v>
      </c>
    </row>
    <row r="63" spans="1:9" x14ac:dyDescent="0.25">
      <c r="A63" s="5" t="str">
        <f>TrendSheetPrdData[[#This Row],[Population]]&amp;TrendSheetPrdData[[#This Row],[Cost Basis]]&amp;TrendSheetPrdData[[#This Row],[Period]]&amp;TrendSheetPrdData[[#This Row],[Trend]]</f>
        <v>EMPLOYEEAllowed2016-03-01Readmission Quality</v>
      </c>
      <c r="B63" t="s">
        <v>90</v>
      </c>
      <c r="C63" t="s">
        <v>90</v>
      </c>
      <c r="D63" t="s">
        <v>91</v>
      </c>
      <c r="E63" s="1" t="s">
        <v>125</v>
      </c>
      <c r="F63" t="s">
        <v>93</v>
      </c>
      <c r="G63" t="s">
        <v>16</v>
      </c>
      <c r="H63">
        <v>5</v>
      </c>
      <c r="I63">
        <v>3</v>
      </c>
    </row>
    <row r="64" spans="1:9" x14ac:dyDescent="0.25">
      <c r="A64" s="5" t="str">
        <f>TrendSheetPrdData[[#This Row],[Population]]&amp;TrendSheetPrdData[[#This Row],[Cost Basis]]&amp;TrendSheetPrdData[[#This Row],[Period]]&amp;TrendSheetPrdData[[#This Row],[Trend]]</f>
        <v>EMPLOYEEAllowed2016-04-01Readmission Quality</v>
      </c>
      <c r="B64" t="s">
        <v>90</v>
      </c>
      <c r="C64" t="s">
        <v>90</v>
      </c>
      <c r="D64" t="s">
        <v>91</v>
      </c>
      <c r="E64" s="1" t="s">
        <v>92</v>
      </c>
      <c r="F64" t="s">
        <v>93</v>
      </c>
      <c r="G64" t="s">
        <v>16</v>
      </c>
      <c r="H64">
        <v>5</v>
      </c>
      <c r="I64">
        <v>1</v>
      </c>
    </row>
    <row r="65" spans="1:9" x14ac:dyDescent="0.25">
      <c r="A65" s="5" t="str">
        <f>TrendSheetPrdData[[#This Row],[Population]]&amp;TrendSheetPrdData[[#This Row],[Cost Basis]]&amp;TrendSheetPrdData[[#This Row],[Period]]&amp;TrendSheetPrdData[[#This Row],[Trend]]</f>
        <v>EMPLOYEEAllowed2016-05-01Readmission Quality</v>
      </c>
      <c r="B65" t="s">
        <v>90</v>
      </c>
      <c r="C65" t="s">
        <v>90</v>
      </c>
      <c r="D65" t="s">
        <v>91</v>
      </c>
      <c r="E65" s="1" t="s">
        <v>94</v>
      </c>
      <c r="F65" t="s">
        <v>93</v>
      </c>
      <c r="G65" t="s">
        <v>16</v>
      </c>
      <c r="H65">
        <v>5</v>
      </c>
      <c r="I65">
        <v>2</v>
      </c>
    </row>
    <row r="66" spans="1:9" x14ac:dyDescent="0.25">
      <c r="A66" s="5" t="str">
        <f>TrendSheetPrdData[[#This Row],[Population]]&amp;TrendSheetPrdData[[#This Row],[Cost Basis]]&amp;TrendSheetPrdData[[#This Row],[Period]]&amp;TrendSheetPrdData[[#This Row],[Trend]]</f>
        <v>EMPLOYEEAllowed2016-06-01Readmission Quality</v>
      </c>
      <c r="B66" t="s">
        <v>90</v>
      </c>
      <c r="C66" t="s">
        <v>90</v>
      </c>
      <c r="D66" t="s">
        <v>91</v>
      </c>
      <c r="E66" s="1" t="s">
        <v>95</v>
      </c>
      <c r="F66" t="s">
        <v>93</v>
      </c>
      <c r="G66" t="s">
        <v>16</v>
      </c>
      <c r="H66">
        <v>5</v>
      </c>
      <c r="I66">
        <v>1</v>
      </c>
    </row>
    <row r="67" spans="1:9" x14ac:dyDescent="0.25">
      <c r="A67" s="5" t="str">
        <f>TrendSheetPrdData[[#This Row],[Population]]&amp;TrendSheetPrdData[[#This Row],[Cost Basis]]&amp;TrendSheetPrdData[[#This Row],[Period]]&amp;TrendSheetPrdData[[#This Row],[Trend]]</f>
        <v>EMPLOYEEAllowed2016-07-01Readmission Quality</v>
      </c>
      <c r="B67" t="s">
        <v>90</v>
      </c>
      <c r="C67" t="s">
        <v>90</v>
      </c>
      <c r="D67" t="s">
        <v>91</v>
      </c>
      <c r="E67" s="1" t="s">
        <v>96</v>
      </c>
      <c r="F67" t="s">
        <v>93</v>
      </c>
      <c r="G67" t="s">
        <v>16</v>
      </c>
      <c r="H67">
        <v>5</v>
      </c>
      <c r="I67">
        <v>1</v>
      </c>
    </row>
    <row r="68" spans="1:9" x14ac:dyDescent="0.25">
      <c r="A68" s="5" t="str">
        <f>TrendSheetPrdData[[#This Row],[Population]]&amp;TrendSheetPrdData[[#This Row],[Cost Basis]]&amp;TrendSheetPrdData[[#This Row],[Period]]&amp;TrendSheetPrdData[[#This Row],[Trend]]</f>
        <v>EMPLOYEEAllowed2016-08-01Readmission Quality</v>
      </c>
      <c r="B68" t="s">
        <v>90</v>
      </c>
      <c r="C68" t="s">
        <v>90</v>
      </c>
      <c r="D68" t="s">
        <v>91</v>
      </c>
      <c r="E68" s="1" t="s">
        <v>97</v>
      </c>
      <c r="F68" t="s">
        <v>93</v>
      </c>
      <c r="G68" t="s">
        <v>16</v>
      </c>
      <c r="H68">
        <v>5</v>
      </c>
      <c r="I68">
        <v>0</v>
      </c>
    </row>
    <row r="69" spans="1:9" x14ac:dyDescent="0.25">
      <c r="A69" s="5" t="str">
        <f>TrendSheetPrdData[[#This Row],[Population]]&amp;TrendSheetPrdData[[#This Row],[Cost Basis]]&amp;TrendSheetPrdData[[#This Row],[Period]]&amp;TrendSheetPrdData[[#This Row],[Trend]]</f>
        <v>EMPLOYEEAllowed2016-09-01Readmission Quality</v>
      </c>
      <c r="B69" t="s">
        <v>90</v>
      </c>
      <c r="C69" t="s">
        <v>90</v>
      </c>
      <c r="D69" t="s">
        <v>91</v>
      </c>
      <c r="E69" s="1" t="s">
        <v>98</v>
      </c>
      <c r="F69" t="s">
        <v>93</v>
      </c>
      <c r="G69" t="s">
        <v>16</v>
      </c>
      <c r="H69">
        <v>5</v>
      </c>
      <c r="I69">
        <v>4</v>
      </c>
    </row>
    <row r="70" spans="1:9" x14ac:dyDescent="0.25">
      <c r="A70" s="5" t="str">
        <f>TrendSheetPrdData[[#This Row],[Population]]&amp;TrendSheetPrdData[[#This Row],[Cost Basis]]&amp;TrendSheetPrdData[[#This Row],[Period]]&amp;TrendSheetPrdData[[#This Row],[Trend]]</f>
        <v>EMPLOYEEAllowed2016-10-01Readmission Quality</v>
      </c>
      <c r="B70" t="s">
        <v>90</v>
      </c>
      <c r="C70" t="s">
        <v>90</v>
      </c>
      <c r="D70" t="s">
        <v>91</v>
      </c>
      <c r="E70" s="1" t="s">
        <v>99</v>
      </c>
      <c r="F70" t="s">
        <v>93</v>
      </c>
      <c r="G70" t="s">
        <v>16</v>
      </c>
      <c r="H70">
        <v>5</v>
      </c>
      <c r="I70">
        <v>5</v>
      </c>
    </row>
    <row r="71" spans="1:9" x14ac:dyDescent="0.25">
      <c r="A71" s="5" t="str">
        <f>TrendSheetPrdData[[#This Row],[Population]]&amp;TrendSheetPrdData[[#This Row],[Cost Basis]]&amp;TrendSheetPrdData[[#This Row],[Period]]&amp;TrendSheetPrdData[[#This Row],[Trend]]</f>
        <v>EMPLOYEEAllowed2016-11-01Readmission Quality</v>
      </c>
      <c r="B71" t="s">
        <v>90</v>
      </c>
      <c r="C71" t="s">
        <v>90</v>
      </c>
      <c r="D71" t="s">
        <v>91</v>
      </c>
      <c r="E71" s="1" t="s">
        <v>100</v>
      </c>
      <c r="F71" t="s">
        <v>93</v>
      </c>
      <c r="G71" t="s">
        <v>16</v>
      </c>
      <c r="H71">
        <v>5</v>
      </c>
      <c r="I71">
        <v>1</v>
      </c>
    </row>
    <row r="72" spans="1:9" x14ac:dyDescent="0.25">
      <c r="A72" s="5" t="str">
        <f>TrendSheetPrdData[[#This Row],[Population]]&amp;TrendSheetPrdData[[#This Row],[Cost Basis]]&amp;TrendSheetPrdData[[#This Row],[Period]]&amp;TrendSheetPrdData[[#This Row],[Trend]]</f>
        <v>EMPLOYEEAllowed2016-12-01Readmission Quality</v>
      </c>
      <c r="B72" t="s">
        <v>90</v>
      </c>
      <c r="C72" t="s">
        <v>90</v>
      </c>
      <c r="D72" t="s">
        <v>91</v>
      </c>
      <c r="E72" s="1" t="s">
        <v>101</v>
      </c>
      <c r="F72" t="s">
        <v>93</v>
      </c>
      <c r="G72" t="s">
        <v>16</v>
      </c>
      <c r="H72">
        <v>5</v>
      </c>
      <c r="I72">
        <v>4</v>
      </c>
    </row>
    <row r="73" spans="1:9" x14ac:dyDescent="0.25">
      <c r="A73" s="5" t="str">
        <f>TrendSheetPrdData[[#This Row],[Population]]&amp;TrendSheetPrdData[[#This Row],[Cost Basis]]&amp;TrendSheetPrdData[[#This Row],[Period]]&amp;TrendSheetPrdData[[#This Row],[Trend]]</f>
        <v>EMPLOYEEAllowed2017-01-01Readmission Quality</v>
      </c>
      <c r="B73" t="s">
        <v>90</v>
      </c>
      <c r="C73" t="s">
        <v>90</v>
      </c>
      <c r="D73" t="s">
        <v>91</v>
      </c>
      <c r="E73" s="1" t="s">
        <v>102</v>
      </c>
      <c r="F73" t="s">
        <v>93</v>
      </c>
      <c r="G73" t="s">
        <v>16</v>
      </c>
      <c r="H73">
        <v>5</v>
      </c>
      <c r="I73">
        <v>1</v>
      </c>
    </row>
    <row r="74" spans="1:9" x14ac:dyDescent="0.25">
      <c r="A74" s="5" t="str">
        <f>TrendSheetPrdData[[#This Row],[Population]]&amp;TrendSheetPrdData[[#This Row],[Cost Basis]]&amp;TrendSheetPrdData[[#This Row],[Period]]&amp;TrendSheetPrdData[[#This Row],[Trend]]</f>
        <v>EMPLOYEEAllowed2017-02-01Readmission Quality</v>
      </c>
      <c r="B74" t="s">
        <v>90</v>
      </c>
      <c r="C74" t="s">
        <v>90</v>
      </c>
      <c r="D74" t="s">
        <v>91</v>
      </c>
      <c r="E74" s="1" t="s">
        <v>103</v>
      </c>
      <c r="F74" t="s">
        <v>106</v>
      </c>
      <c r="G74" t="s">
        <v>16</v>
      </c>
      <c r="H74">
        <v>5</v>
      </c>
      <c r="I74">
        <v>2</v>
      </c>
    </row>
    <row r="75" spans="1:9" x14ac:dyDescent="0.25">
      <c r="A75" s="5" t="str">
        <f>TrendSheetPrdData[[#This Row],[Population]]&amp;TrendSheetPrdData[[#This Row],[Cost Basis]]&amp;TrendSheetPrdData[[#This Row],[Period]]&amp;TrendSheetPrdData[[#This Row],[Trend]]</f>
        <v>EMPLOYEEAllowed2017-03-01Readmission Quality</v>
      </c>
      <c r="B75" t="s">
        <v>90</v>
      </c>
      <c r="C75" t="s">
        <v>90</v>
      </c>
      <c r="D75" t="s">
        <v>91</v>
      </c>
      <c r="E75" s="1" t="s">
        <v>104</v>
      </c>
      <c r="F75" t="s">
        <v>106</v>
      </c>
      <c r="G75" t="s">
        <v>16</v>
      </c>
      <c r="H75">
        <v>5</v>
      </c>
      <c r="I75">
        <v>1</v>
      </c>
    </row>
    <row r="76" spans="1:9" x14ac:dyDescent="0.25">
      <c r="A76" s="5" t="str">
        <f>TrendSheetPrdData[[#This Row],[Population]]&amp;TrendSheetPrdData[[#This Row],[Cost Basis]]&amp;TrendSheetPrdData[[#This Row],[Period]]&amp;TrendSheetPrdData[[#This Row],[Trend]]</f>
        <v>EMPLOYEEAllowed2017-04-01Readmission Quality</v>
      </c>
      <c r="B76" t="s">
        <v>90</v>
      </c>
      <c r="C76" t="s">
        <v>90</v>
      </c>
      <c r="D76" t="s">
        <v>91</v>
      </c>
      <c r="E76" s="1" t="s">
        <v>105</v>
      </c>
      <c r="F76" t="s">
        <v>106</v>
      </c>
      <c r="G76" t="s">
        <v>16</v>
      </c>
      <c r="H76">
        <v>5</v>
      </c>
      <c r="I76">
        <v>0</v>
      </c>
    </row>
    <row r="77" spans="1:9" x14ac:dyDescent="0.25">
      <c r="A77" s="5" t="str">
        <f>TrendSheetPrdData[[#This Row],[Population]]&amp;TrendSheetPrdData[[#This Row],[Cost Basis]]&amp;TrendSheetPrdData[[#This Row],[Period]]&amp;TrendSheetPrdData[[#This Row],[Trend]]</f>
        <v>EMPLOYEEAllowed2016-02-01Avoidable Admission Cost</v>
      </c>
      <c r="B77" t="s">
        <v>90</v>
      </c>
      <c r="C77" t="s">
        <v>90</v>
      </c>
      <c r="D77" t="s">
        <v>91</v>
      </c>
      <c r="E77" s="1" t="s">
        <v>124</v>
      </c>
      <c r="F77" t="s">
        <v>93</v>
      </c>
      <c r="G77" t="s">
        <v>17</v>
      </c>
      <c r="H77">
        <v>6</v>
      </c>
      <c r="I77">
        <v>19787.66</v>
      </c>
    </row>
    <row r="78" spans="1:9" x14ac:dyDescent="0.25">
      <c r="A78" s="5" t="str">
        <f>TrendSheetPrdData[[#This Row],[Population]]&amp;TrendSheetPrdData[[#This Row],[Cost Basis]]&amp;TrendSheetPrdData[[#This Row],[Period]]&amp;TrendSheetPrdData[[#This Row],[Trend]]</f>
        <v>EMPLOYEEAllowed2016-03-01Avoidable Admission Cost</v>
      </c>
      <c r="B78" t="s">
        <v>90</v>
      </c>
      <c r="C78" t="s">
        <v>90</v>
      </c>
      <c r="D78" t="s">
        <v>91</v>
      </c>
      <c r="E78" s="1" t="s">
        <v>125</v>
      </c>
      <c r="F78" t="s">
        <v>93</v>
      </c>
      <c r="G78" t="s">
        <v>17</v>
      </c>
      <c r="H78">
        <v>6</v>
      </c>
      <c r="I78">
        <v>39398.81</v>
      </c>
    </row>
    <row r="79" spans="1:9" x14ac:dyDescent="0.25">
      <c r="A79" s="5" t="str">
        <f>TrendSheetPrdData[[#This Row],[Population]]&amp;TrendSheetPrdData[[#This Row],[Cost Basis]]&amp;TrendSheetPrdData[[#This Row],[Period]]&amp;TrendSheetPrdData[[#This Row],[Trend]]</f>
        <v>EMPLOYEEAllowed2016-04-01Avoidable Admission Cost</v>
      </c>
      <c r="B79" t="s">
        <v>90</v>
      </c>
      <c r="C79" t="s">
        <v>90</v>
      </c>
      <c r="D79" t="s">
        <v>91</v>
      </c>
      <c r="E79" s="1" t="s">
        <v>92</v>
      </c>
      <c r="F79" t="s">
        <v>93</v>
      </c>
      <c r="G79" t="s">
        <v>17</v>
      </c>
      <c r="H79">
        <v>6</v>
      </c>
      <c r="I79">
        <v>30090.83</v>
      </c>
    </row>
    <row r="80" spans="1:9" x14ac:dyDescent="0.25">
      <c r="A80" s="5" t="str">
        <f>TrendSheetPrdData[[#This Row],[Population]]&amp;TrendSheetPrdData[[#This Row],[Cost Basis]]&amp;TrendSheetPrdData[[#This Row],[Period]]&amp;TrendSheetPrdData[[#This Row],[Trend]]</f>
        <v>EMPLOYEEAllowed2016-05-01Avoidable Admission Cost</v>
      </c>
      <c r="B80" t="s">
        <v>90</v>
      </c>
      <c r="C80" t="s">
        <v>90</v>
      </c>
      <c r="D80" t="s">
        <v>91</v>
      </c>
      <c r="E80" s="1" t="s">
        <v>94</v>
      </c>
      <c r="F80" t="s">
        <v>93</v>
      </c>
      <c r="G80" t="s">
        <v>17</v>
      </c>
      <c r="H80">
        <v>6</v>
      </c>
      <c r="I80">
        <v>0</v>
      </c>
    </row>
    <row r="81" spans="1:9" x14ac:dyDescent="0.25">
      <c r="A81" s="5" t="str">
        <f>TrendSheetPrdData[[#This Row],[Population]]&amp;TrendSheetPrdData[[#This Row],[Cost Basis]]&amp;TrendSheetPrdData[[#This Row],[Period]]&amp;TrendSheetPrdData[[#This Row],[Trend]]</f>
        <v>EMPLOYEEAllowed2016-06-01Avoidable Admission Cost</v>
      </c>
      <c r="B81" t="s">
        <v>90</v>
      </c>
      <c r="C81" t="s">
        <v>90</v>
      </c>
      <c r="D81" t="s">
        <v>91</v>
      </c>
      <c r="E81" s="1" t="s">
        <v>95</v>
      </c>
      <c r="F81" t="s">
        <v>93</v>
      </c>
      <c r="G81" t="s">
        <v>17</v>
      </c>
      <c r="H81">
        <v>6</v>
      </c>
      <c r="I81">
        <v>13914.86</v>
      </c>
    </row>
    <row r="82" spans="1:9" x14ac:dyDescent="0.25">
      <c r="A82" s="5" t="str">
        <f>TrendSheetPrdData[[#This Row],[Population]]&amp;TrendSheetPrdData[[#This Row],[Cost Basis]]&amp;TrendSheetPrdData[[#This Row],[Period]]&amp;TrendSheetPrdData[[#This Row],[Trend]]</f>
        <v>EMPLOYEEAllowed2016-07-01Avoidable Admission Cost</v>
      </c>
      <c r="B82" t="s">
        <v>90</v>
      </c>
      <c r="C82" t="s">
        <v>90</v>
      </c>
      <c r="D82" t="s">
        <v>91</v>
      </c>
      <c r="E82" s="1" t="s">
        <v>96</v>
      </c>
      <c r="F82" t="s">
        <v>93</v>
      </c>
      <c r="G82" t="s">
        <v>17</v>
      </c>
      <c r="H82">
        <v>6</v>
      </c>
      <c r="I82">
        <v>0</v>
      </c>
    </row>
    <row r="83" spans="1:9" x14ac:dyDescent="0.25">
      <c r="A83" s="5" t="str">
        <f>TrendSheetPrdData[[#This Row],[Population]]&amp;TrendSheetPrdData[[#This Row],[Cost Basis]]&amp;TrendSheetPrdData[[#This Row],[Period]]&amp;TrendSheetPrdData[[#This Row],[Trend]]</f>
        <v>EMPLOYEEAllowed2016-08-01Avoidable Admission Cost</v>
      </c>
      <c r="B83" t="s">
        <v>90</v>
      </c>
      <c r="C83" t="s">
        <v>90</v>
      </c>
      <c r="D83" t="s">
        <v>91</v>
      </c>
      <c r="E83" s="1" t="s">
        <v>97</v>
      </c>
      <c r="F83" t="s">
        <v>93</v>
      </c>
      <c r="G83" t="s">
        <v>17</v>
      </c>
      <c r="H83">
        <v>6</v>
      </c>
      <c r="I83">
        <v>0</v>
      </c>
    </row>
    <row r="84" spans="1:9" x14ac:dyDescent="0.25">
      <c r="A84" s="5" t="str">
        <f>TrendSheetPrdData[[#This Row],[Population]]&amp;TrendSheetPrdData[[#This Row],[Cost Basis]]&amp;TrendSheetPrdData[[#This Row],[Period]]&amp;TrendSheetPrdData[[#This Row],[Trend]]</f>
        <v>EMPLOYEEAllowed2016-09-01Avoidable Admission Cost</v>
      </c>
      <c r="B84" t="s">
        <v>90</v>
      </c>
      <c r="C84" t="s">
        <v>90</v>
      </c>
      <c r="D84" t="s">
        <v>91</v>
      </c>
      <c r="E84" s="1" t="s">
        <v>98</v>
      </c>
      <c r="F84" t="s">
        <v>93</v>
      </c>
      <c r="G84" t="s">
        <v>17</v>
      </c>
      <c r="H84">
        <v>6</v>
      </c>
      <c r="I84">
        <v>10911.34</v>
      </c>
    </row>
    <row r="85" spans="1:9" x14ac:dyDescent="0.25">
      <c r="A85" s="5" t="str">
        <f>TrendSheetPrdData[[#This Row],[Population]]&amp;TrendSheetPrdData[[#This Row],[Cost Basis]]&amp;TrendSheetPrdData[[#This Row],[Period]]&amp;TrendSheetPrdData[[#This Row],[Trend]]</f>
        <v>EMPLOYEEAllowed2016-10-01Avoidable Admission Cost</v>
      </c>
      <c r="B85" t="s">
        <v>90</v>
      </c>
      <c r="C85" t="s">
        <v>90</v>
      </c>
      <c r="D85" t="s">
        <v>91</v>
      </c>
      <c r="E85" s="1" t="s">
        <v>99</v>
      </c>
      <c r="F85" t="s">
        <v>93</v>
      </c>
      <c r="G85" t="s">
        <v>17</v>
      </c>
      <c r="H85">
        <v>6</v>
      </c>
      <c r="I85">
        <v>27958.94</v>
      </c>
    </row>
    <row r="86" spans="1:9" x14ac:dyDescent="0.25">
      <c r="A86" s="5" t="str">
        <f>TrendSheetPrdData[[#This Row],[Population]]&amp;TrendSheetPrdData[[#This Row],[Cost Basis]]&amp;TrendSheetPrdData[[#This Row],[Period]]&amp;TrendSheetPrdData[[#This Row],[Trend]]</f>
        <v>EMPLOYEEAllowed2016-11-01Avoidable Admission Cost</v>
      </c>
      <c r="B86" t="s">
        <v>90</v>
      </c>
      <c r="C86" t="s">
        <v>90</v>
      </c>
      <c r="D86" t="s">
        <v>91</v>
      </c>
      <c r="E86" s="1" t="s">
        <v>100</v>
      </c>
      <c r="F86" t="s">
        <v>93</v>
      </c>
      <c r="G86" t="s">
        <v>17</v>
      </c>
      <c r="H86">
        <v>6</v>
      </c>
      <c r="I86">
        <v>9324.5300000000007</v>
      </c>
    </row>
    <row r="87" spans="1:9" x14ac:dyDescent="0.25">
      <c r="A87" s="5" t="str">
        <f>TrendSheetPrdData[[#This Row],[Population]]&amp;TrendSheetPrdData[[#This Row],[Cost Basis]]&amp;TrendSheetPrdData[[#This Row],[Period]]&amp;TrendSheetPrdData[[#This Row],[Trend]]</f>
        <v>EMPLOYEEAllowed2016-12-01Avoidable Admission Cost</v>
      </c>
      <c r="B87" t="s">
        <v>90</v>
      </c>
      <c r="C87" t="s">
        <v>90</v>
      </c>
      <c r="D87" t="s">
        <v>91</v>
      </c>
      <c r="E87" s="1" t="s">
        <v>101</v>
      </c>
      <c r="F87" t="s">
        <v>93</v>
      </c>
      <c r="G87" t="s">
        <v>17</v>
      </c>
      <c r="H87">
        <v>6</v>
      </c>
      <c r="I87">
        <v>33175.449999999997</v>
      </c>
    </row>
    <row r="88" spans="1:9" x14ac:dyDescent="0.25">
      <c r="A88" s="5" t="str">
        <f>TrendSheetPrdData[[#This Row],[Population]]&amp;TrendSheetPrdData[[#This Row],[Cost Basis]]&amp;TrendSheetPrdData[[#This Row],[Period]]&amp;TrendSheetPrdData[[#This Row],[Trend]]</f>
        <v>EMPLOYEEAllowed2017-01-01Avoidable Admission Cost</v>
      </c>
      <c r="B88" t="s">
        <v>90</v>
      </c>
      <c r="C88" t="s">
        <v>90</v>
      </c>
      <c r="D88" t="s">
        <v>91</v>
      </c>
      <c r="E88" s="1" t="s">
        <v>102</v>
      </c>
      <c r="F88" t="s">
        <v>93</v>
      </c>
      <c r="G88" t="s">
        <v>17</v>
      </c>
      <c r="H88">
        <v>6</v>
      </c>
      <c r="I88">
        <v>0</v>
      </c>
    </row>
    <row r="89" spans="1:9" x14ac:dyDescent="0.25">
      <c r="A89" s="5" t="str">
        <f>TrendSheetPrdData[[#This Row],[Population]]&amp;TrendSheetPrdData[[#This Row],[Cost Basis]]&amp;TrendSheetPrdData[[#This Row],[Period]]&amp;TrendSheetPrdData[[#This Row],[Trend]]</f>
        <v>EMPLOYEEAllowed2017-02-01Avoidable Admission Cost</v>
      </c>
      <c r="B89" t="s">
        <v>90</v>
      </c>
      <c r="C89" t="s">
        <v>90</v>
      </c>
      <c r="D89" t="s">
        <v>91</v>
      </c>
      <c r="E89" s="1" t="s">
        <v>103</v>
      </c>
      <c r="F89" t="s">
        <v>106</v>
      </c>
      <c r="G89" t="s">
        <v>17</v>
      </c>
      <c r="H89">
        <v>6</v>
      </c>
      <c r="I89">
        <v>159678.79999999999</v>
      </c>
    </row>
    <row r="90" spans="1:9" x14ac:dyDescent="0.25">
      <c r="A90" s="5" t="str">
        <f>TrendSheetPrdData[[#This Row],[Population]]&amp;TrendSheetPrdData[[#This Row],[Cost Basis]]&amp;TrendSheetPrdData[[#This Row],[Period]]&amp;TrendSheetPrdData[[#This Row],[Trend]]</f>
        <v>EMPLOYEEAllowed2017-03-01Avoidable Admission Cost</v>
      </c>
      <c r="B90" t="s">
        <v>90</v>
      </c>
      <c r="C90" t="s">
        <v>90</v>
      </c>
      <c r="D90" t="s">
        <v>91</v>
      </c>
      <c r="E90" s="1" t="s">
        <v>104</v>
      </c>
      <c r="F90" t="s">
        <v>106</v>
      </c>
      <c r="G90" t="s">
        <v>17</v>
      </c>
      <c r="H90">
        <v>6</v>
      </c>
      <c r="I90">
        <v>0</v>
      </c>
    </row>
    <row r="91" spans="1:9" x14ac:dyDescent="0.25">
      <c r="A91" s="5" t="str">
        <f>TrendSheetPrdData[[#This Row],[Population]]&amp;TrendSheetPrdData[[#This Row],[Cost Basis]]&amp;TrendSheetPrdData[[#This Row],[Period]]&amp;TrendSheetPrdData[[#This Row],[Trend]]</f>
        <v>EMPLOYEEAllowed2017-04-01Avoidable Admission Cost</v>
      </c>
      <c r="B91" t="s">
        <v>90</v>
      </c>
      <c r="C91" t="s">
        <v>90</v>
      </c>
      <c r="D91" t="s">
        <v>91</v>
      </c>
      <c r="E91" s="1" t="s">
        <v>105</v>
      </c>
      <c r="F91" t="s">
        <v>106</v>
      </c>
      <c r="G91" t="s">
        <v>17</v>
      </c>
      <c r="H91">
        <v>6</v>
      </c>
      <c r="I91">
        <v>0</v>
      </c>
    </row>
    <row r="92" spans="1:9" x14ac:dyDescent="0.25">
      <c r="A92" s="5" t="str">
        <f>TrendSheetPrdData[[#This Row],[Population]]&amp;TrendSheetPrdData[[#This Row],[Cost Basis]]&amp;TrendSheetPrdData[[#This Row],[Period]]&amp;TrendSheetPrdData[[#This Row],[Trend]]</f>
        <v>EMPLOYEEAllowed2016-02-01Avoidable Admission Quality</v>
      </c>
      <c r="B92" t="s">
        <v>90</v>
      </c>
      <c r="C92" t="s">
        <v>90</v>
      </c>
      <c r="D92" t="s">
        <v>91</v>
      </c>
      <c r="E92" s="1" t="s">
        <v>124</v>
      </c>
      <c r="F92" t="s">
        <v>93</v>
      </c>
      <c r="G92" t="s">
        <v>18</v>
      </c>
      <c r="H92">
        <v>7</v>
      </c>
      <c r="I92">
        <v>2</v>
      </c>
    </row>
    <row r="93" spans="1:9" x14ac:dyDescent="0.25">
      <c r="A93" s="5" t="str">
        <f>TrendSheetPrdData[[#This Row],[Population]]&amp;TrendSheetPrdData[[#This Row],[Cost Basis]]&amp;TrendSheetPrdData[[#This Row],[Period]]&amp;TrendSheetPrdData[[#This Row],[Trend]]</f>
        <v>EMPLOYEEAllowed2016-03-01Avoidable Admission Quality</v>
      </c>
      <c r="B93" t="s">
        <v>90</v>
      </c>
      <c r="C93" t="s">
        <v>90</v>
      </c>
      <c r="D93" t="s">
        <v>91</v>
      </c>
      <c r="E93" s="1" t="s">
        <v>125</v>
      </c>
      <c r="F93" t="s">
        <v>93</v>
      </c>
      <c r="G93" t="s">
        <v>18</v>
      </c>
      <c r="H93">
        <v>7</v>
      </c>
      <c r="I93">
        <v>3</v>
      </c>
    </row>
    <row r="94" spans="1:9" x14ac:dyDescent="0.25">
      <c r="A94" s="5" t="str">
        <f>TrendSheetPrdData[[#This Row],[Population]]&amp;TrendSheetPrdData[[#This Row],[Cost Basis]]&amp;TrendSheetPrdData[[#This Row],[Period]]&amp;TrendSheetPrdData[[#This Row],[Trend]]</f>
        <v>EMPLOYEEAllowed2016-04-01Avoidable Admission Quality</v>
      </c>
      <c r="B94" t="s">
        <v>90</v>
      </c>
      <c r="C94" t="s">
        <v>90</v>
      </c>
      <c r="D94" t="s">
        <v>91</v>
      </c>
      <c r="E94" s="1" t="s">
        <v>92</v>
      </c>
      <c r="F94" t="s">
        <v>93</v>
      </c>
      <c r="G94" t="s">
        <v>18</v>
      </c>
      <c r="H94">
        <v>7</v>
      </c>
      <c r="I94">
        <v>1</v>
      </c>
    </row>
    <row r="95" spans="1:9" x14ac:dyDescent="0.25">
      <c r="A95" s="5" t="str">
        <f>TrendSheetPrdData[[#This Row],[Population]]&amp;TrendSheetPrdData[[#This Row],[Cost Basis]]&amp;TrendSheetPrdData[[#This Row],[Period]]&amp;TrendSheetPrdData[[#This Row],[Trend]]</f>
        <v>EMPLOYEEAllowed2016-05-01Avoidable Admission Quality</v>
      </c>
      <c r="B95" t="s">
        <v>90</v>
      </c>
      <c r="C95" t="s">
        <v>90</v>
      </c>
      <c r="D95" t="s">
        <v>91</v>
      </c>
      <c r="E95" s="1" t="s">
        <v>94</v>
      </c>
      <c r="F95" t="s">
        <v>93</v>
      </c>
      <c r="G95" t="s">
        <v>18</v>
      </c>
      <c r="H95">
        <v>7</v>
      </c>
      <c r="I95">
        <v>0</v>
      </c>
    </row>
    <row r="96" spans="1:9" x14ac:dyDescent="0.25">
      <c r="A96" s="5" t="str">
        <f>TrendSheetPrdData[[#This Row],[Population]]&amp;TrendSheetPrdData[[#This Row],[Cost Basis]]&amp;TrendSheetPrdData[[#This Row],[Period]]&amp;TrendSheetPrdData[[#This Row],[Trend]]</f>
        <v>EMPLOYEEAllowed2016-06-01Avoidable Admission Quality</v>
      </c>
      <c r="B96" t="s">
        <v>90</v>
      </c>
      <c r="C96" t="s">
        <v>90</v>
      </c>
      <c r="D96" t="s">
        <v>91</v>
      </c>
      <c r="E96" s="1" t="s">
        <v>95</v>
      </c>
      <c r="F96" t="s">
        <v>93</v>
      </c>
      <c r="G96" t="s">
        <v>18</v>
      </c>
      <c r="H96">
        <v>7</v>
      </c>
      <c r="I96">
        <v>1</v>
      </c>
    </row>
    <row r="97" spans="1:9" x14ac:dyDescent="0.25">
      <c r="A97" s="5" t="str">
        <f>TrendSheetPrdData[[#This Row],[Population]]&amp;TrendSheetPrdData[[#This Row],[Cost Basis]]&amp;TrendSheetPrdData[[#This Row],[Period]]&amp;TrendSheetPrdData[[#This Row],[Trend]]</f>
        <v>EMPLOYEEAllowed2016-07-01Avoidable Admission Quality</v>
      </c>
      <c r="B97" t="s">
        <v>90</v>
      </c>
      <c r="C97" t="s">
        <v>90</v>
      </c>
      <c r="D97" t="s">
        <v>91</v>
      </c>
      <c r="E97" s="1" t="s">
        <v>96</v>
      </c>
      <c r="F97" t="s">
        <v>93</v>
      </c>
      <c r="G97" t="s">
        <v>18</v>
      </c>
      <c r="H97">
        <v>7</v>
      </c>
      <c r="I97">
        <v>0</v>
      </c>
    </row>
    <row r="98" spans="1:9" x14ac:dyDescent="0.25">
      <c r="A98" s="5" t="str">
        <f>TrendSheetPrdData[[#This Row],[Population]]&amp;TrendSheetPrdData[[#This Row],[Cost Basis]]&amp;TrendSheetPrdData[[#This Row],[Period]]&amp;TrendSheetPrdData[[#This Row],[Trend]]</f>
        <v>EMPLOYEEAllowed2016-08-01Avoidable Admission Quality</v>
      </c>
      <c r="B98" t="s">
        <v>90</v>
      </c>
      <c r="C98" t="s">
        <v>90</v>
      </c>
      <c r="D98" t="s">
        <v>91</v>
      </c>
      <c r="E98" s="1" t="s">
        <v>97</v>
      </c>
      <c r="F98" t="s">
        <v>93</v>
      </c>
      <c r="G98" t="s">
        <v>18</v>
      </c>
      <c r="H98">
        <v>7</v>
      </c>
      <c r="I98">
        <v>0</v>
      </c>
    </row>
    <row r="99" spans="1:9" x14ac:dyDescent="0.25">
      <c r="A99" s="5" t="str">
        <f>TrendSheetPrdData[[#This Row],[Population]]&amp;TrendSheetPrdData[[#This Row],[Cost Basis]]&amp;TrendSheetPrdData[[#This Row],[Period]]&amp;TrendSheetPrdData[[#This Row],[Trend]]</f>
        <v>EMPLOYEEAllowed2016-09-01Avoidable Admission Quality</v>
      </c>
      <c r="B99" t="s">
        <v>90</v>
      </c>
      <c r="C99" t="s">
        <v>90</v>
      </c>
      <c r="D99" t="s">
        <v>91</v>
      </c>
      <c r="E99" s="1" t="s">
        <v>98</v>
      </c>
      <c r="F99" t="s">
        <v>93</v>
      </c>
      <c r="G99" t="s">
        <v>18</v>
      </c>
      <c r="H99">
        <v>7</v>
      </c>
      <c r="I99">
        <v>1</v>
      </c>
    </row>
    <row r="100" spans="1:9" x14ac:dyDescent="0.25">
      <c r="A100" s="5" t="str">
        <f>TrendSheetPrdData[[#This Row],[Population]]&amp;TrendSheetPrdData[[#This Row],[Cost Basis]]&amp;TrendSheetPrdData[[#This Row],[Period]]&amp;TrendSheetPrdData[[#This Row],[Trend]]</f>
        <v>EMPLOYEEAllowed2016-10-01Avoidable Admission Quality</v>
      </c>
      <c r="B100" t="s">
        <v>90</v>
      </c>
      <c r="C100" t="s">
        <v>90</v>
      </c>
      <c r="D100" t="s">
        <v>91</v>
      </c>
      <c r="E100" s="1" t="s">
        <v>99</v>
      </c>
      <c r="F100" t="s">
        <v>93</v>
      </c>
      <c r="G100" t="s">
        <v>18</v>
      </c>
      <c r="H100">
        <v>7</v>
      </c>
      <c r="I100">
        <v>1</v>
      </c>
    </row>
    <row r="101" spans="1:9" x14ac:dyDescent="0.25">
      <c r="A101" s="5" t="str">
        <f>TrendSheetPrdData[[#This Row],[Population]]&amp;TrendSheetPrdData[[#This Row],[Cost Basis]]&amp;TrendSheetPrdData[[#This Row],[Period]]&amp;TrendSheetPrdData[[#This Row],[Trend]]</f>
        <v>EMPLOYEEAllowed2016-11-01Avoidable Admission Quality</v>
      </c>
      <c r="B101" t="s">
        <v>90</v>
      </c>
      <c r="C101" t="s">
        <v>90</v>
      </c>
      <c r="D101" t="s">
        <v>91</v>
      </c>
      <c r="E101" s="1" t="s">
        <v>100</v>
      </c>
      <c r="F101" t="s">
        <v>93</v>
      </c>
      <c r="G101" t="s">
        <v>18</v>
      </c>
      <c r="H101">
        <v>7</v>
      </c>
      <c r="I101">
        <v>1</v>
      </c>
    </row>
    <row r="102" spans="1:9" x14ac:dyDescent="0.25">
      <c r="A102" s="5" t="str">
        <f>TrendSheetPrdData[[#This Row],[Population]]&amp;TrendSheetPrdData[[#This Row],[Cost Basis]]&amp;TrendSheetPrdData[[#This Row],[Period]]&amp;TrendSheetPrdData[[#This Row],[Trend]]</f>
        <v>EMPLOYEEAllowed2016-12-01Avoidable Admission Quality</v>
      </c>
      <c r="B102" t="s">
        <v>90</v>
      </c>
      <c r="C102" t="s">
        <v>90</v>
      </c>
      <c r="D102" t="s">
        <v>91</v>
      </c>
      <c r="E102" s="1" t="s">
        <v>101</v>
      </c>
      <c r="F102" t="s">
        <v>93</v>
      </c>
      <c r="G102" t="s">
        <v>18</v>
      </c>
      <c r="H102">
        <v>7</v>
      </c>
      <c r="I102">
        <v>2</v>
      </c>
    </row>
    <row r="103" spans="1:9" x14ac:dyDescent="0.25">
      <c r="A103" s="5" t="str">
        <f>TrendSheetPrdData[[#This Row],[Population]]&amp;TrendSheetPrdData[[#This Row],[Cost Basis]]&amp;TrendSheetPrdData[[#This Row],[Period]]&amp;TrendSheetPrdData[[#This Row],[Trend]]</f>
        <v>EMPLOYEEAllowed2017-01-01Avoidable Admission Quality</v>
      </c>
      <c r="B103" t="s">
        <v>90</v>
      </c>
      <c r="C103" t="s">
        <v>90</v>
      </c>
      <c r="D103" t="s">
        <v>91</v>
      </c>
      <c r="E103" s="1" t="s">
        <v>102</v>
      </c>
      <c r="F103" t="s">
        <v>93</v>
      </c>
      <c r="G103" t="s">
        <v>18</v>
      </c>
      <c r="H103">
        <v>7</v>
      </c>
      <c r="I103">
        <v>0</v>
      </c>
    </row>
    <row r="104" spans="1:9" x14ac:dyDescent="0.25">
      <c r="A104" s="5" t="str">
        <f>TrendSheetPrdData[[#This Row],[Population]]&amp;TrendSheetPrdData[[#This Row],[Cost Basis]]&amp;TrendSheetPrdData[[#This Row],[Period]]&amp;TrendSheetPrdData[[#This Row],[Trend]]</f>
        <v>EMPLOYEEAllowed2017-02-01Avoidable Admission Quality</v>
      </c>
      <c r="B104" t="s">
        <v>90</v>
      </c>
      <c r="C104" t="s">
        <v>90</v>
      </c>
      <c r="D104" t="s">
        <v>91</v>
      </c>
      <c r="E104" s="1" t="s">
        <v>103</v>
      </c>
      <c r="F104" t="s">
        <v>106</v>
      </c>
      <c r="G104" t="s">
        <v>18</v>
      </c>
      <c r="H104">
        <v>7</v>
      </c>
      <c r="I104">
        <v>2</v>
      </c>
    </row>
    <row r="105" spans="1:9" x14ac:dyDescent="0.25">
      <c r="A105" s="5" t="str">
        <f>TrendSheetPrdData[[#This Row],[Population]]&amp;TrendSheetPrdData[[#This Row],[Cost Basis]]&amp;TrendSheetPrdData[[#This Row],[Period]]&amp;TrendSheetPrdData[[#This Row],[Trend]]</f>
        <v>EMPLOYEEAllowed2017-03-01Avoidable Admission Quality</v>
      </c>
      <c r="B105" t="s">
        <v>90</v>
      </c>
      <c r="C105" t="s">
        <v>90</v>
      </c>
      <c r="D105" t="s">
        <v>91</v>
      </c>
      <c r="E105" s="1" t="s">
        <v>104</v>
      </c>
      <c r="F105" t="s">
        <v>106</v>
      </c>
      <c r="G105" t="s">
        <v>18</v>
      </c>
      <c r="H105">
        <v>7</v>
      </c>
      <c r="I105">
        <v>0</v>
      </c>
    </row>
    <row r="106" spans="1:9" x14ac:dyDescent="0.25">
      <c r="A106" s="5" t="str">
        <f>TrendSheetPrdData[[#This Row],[Population]]&amp;TrendSheetPrdData[[#This Row],[Cost Basis]]&amp;TrendSheetPrdData[[#This Row],[Period]]&amp;TrendSheetPrdData[[#This Row],[Trend]]</f>
        <v>EMPLOYEEAllowed2017-04-01Avoidable Admission Quality</v>
      </c>
      <c r="B106" t="s">
        <v>90</v>
      </c>
      <c r="C106" t="s">
        <v>90</v>
      </c>
      <c r="D106" t="s">
        <v>91</v>
      </c>
      <c r="E106" s="1" t="s">
        <v>105</v>
      </c>
      <c r="F106" t="s">
        <v>106</v>
      </c>
      <c r="G106" t="s">
        <v>18</v>
      </c>
      <c r="H106">
        <v>7</v>
      </c>
      <c r="I106">
        <v>0</v>
      </c>
    </row>
    <row r="107" spans="1:9" x14ac:dyDescent="0.25">
      <c r="A107" s="5" t="str">
        <f>TrendSheetPrdData[[#This Row],[Population]]&amp;TrendSheetPrdData[[#This Row],[Cost Basis]]&amp;TrendSheetPrdData[[#This Row],[Period]]&amp;TrendSheetPrdData[[#This Row],[Trend]]</f>
        <v>EMPLOYEEAllowed2016-02-01Outpatient Imaging Cost</v>
      </c>
      <c r="B107" t="s">
        <v>90</v>
      </c>
      <c r="C107" t="s">
        <v>90</v>
      </c>
      <c r="D107" t="s">
        <v>91</v>
      </c>
      <c r="E107" s="1" t="s">
        <v>124</v>
      </c>
      <c r="F107" t="s">
        <v>93</v>
      </c>
      <c r="G107" t="s">
        <v>19</v>
      </c>
      <c r="H107">
        <v>8</v>
      </c>
      <c r="I107">
        <v>92029.37</v>
      </c>
    </row>
    <row r="108" spans="1:9" x14ac:dyDescent="0.25">
      <c r="A108" s="5" t="str">
        <f>TrendSheetPrdData[[#This Row],[Population]]&amp;TrendSheetPrdData[[#This Row],[Cost Basis]]&amp;TrendSheetPrdData[[#This Row],[Period]]&amp;TrendSheetPrdData[[#This Row],[Trend]]</f>
        <v>EMPLOYEEAllowed2016-03-01Outpatient Imaging Cost</v>
      </c>
      <c r="B108" t="s">
        <v>90</v>
      </c>
      <c r="C108" t="s">
        <v>90</v>
      </c>
      <c r="D108" t="s">
        <v>91</v>
      </c>
      <c r="E108" s="1" t="s">
        <v>125</v>
      </c>
      <c r="F108" t="s">
        <v>93</v>
      </c>
      <c r="G108" t="s">
        <v>19</v>
      </c>
      <c r="H108">
        <v>8</v>
      </c>
      <c r="I108">
        <v>83165.98</v>
      </c>
    </row>
    <row r="109" spans="1:9" x14ac:dyDescent="0.25">
      <c r="A109" s="5" t="str">
        <f>TrendSheetPrdData[[#This Row],[Population]]&amp;TrendSheetPrdData[[#This Row],[Cost Basis]]&amp;TrendSheetPrdData[[#This Row],[Period]]&amp;TrendSheetPrdData[[#This Row],[Trend]]</f>
        <v>EMPLOYEEAllowed2016-04-01Outpatient Imaging Cost</v>
      </c>
      <c r="B109" t="s">
        <v>90</v>
      </c>
      <c r="C109" t="s">
        <v>90</v>
      </c>
      <c r="D109" t="s">
        <v>91</v>
      </c>
      <c r="E109" s="1" t="s">
        <v>92</v>
      </c>
      <c r="F109" t="s">
        <v>93</v>
      </c>
      <c r="G109" t="s">
        <v>19</v>
      </c>
      <c r="H109">
        <v>8</v>
      </c>
      <c r="I109">
        <v>78205.539999999994</v>
      </c>
    </row>
    <row r="110" spans="1:9" x14ac:dyDescent="0.25">
      <c r="A110" s="5" t="str">
        <f>TrendSheetPrdData[[#This Row],[Population]]&amp;TrendSheetPrdData[[#This Row],[Cost Basis]]&amp;TrendSheetPrdData[[#This Row],[Period]]&amp;TrendSheetPrdData[[#This Row],[Trend]]</f>
        <v>EMPLOYEEAllowed2016-05-01Outpatient Imaging Cost</v>
      </c>
      <c r="B110" t="s">
        <v>90</v>
      </c>
      <c r="C110" t="s">
        <v>90</v>
      </c>
      <c r="D110" t="s">
        <v>91</v>
      </c>
      <c r="E110" s="1" t="s">
        <v>94</v>
      </c>
      <c r="F110" t="s">
        <v>93</v>
      </c>
      <c r="G110" t="s">
        <v>19</v>
      </c>
      <c r="H110">
        <v>8</v>
      </c>
      <c r="I110">
        <v>72166.11</v>
      </c>
    </row>
    <row r="111" spans="1:9" x14ac:dyDescent="0.25">
      <c r="A111" s="5" t="str">
        <f>TrendSheetPrdData[[#This Row],[Population]]&amp;TrendSheetPrdData[[#This Row],[Cost Basis]]&amp;TrendSheetPrdData[[#This Row],[Period]]&amp;TrendSheetPrdData[[#This Row],[Trend]]</f>
        <v>EMPLOYEEAllowed2016-06-01Outpatient Imaging Cost</v>
      </c>
      <c r="B111" t="s">
        <v>90</v>
      </c>
      <c r="C111" t="s">
        <v>90</v>
      </c>
      <c r="D111" t="s">
        <v>91</v>
      </c>
      <c r="E111" s="1" t="s">
        <v>95</v>
      </c>
      <c r="F111" t="s">
        <v>93</v>
      </c>
      <c r="G111" t="s">
        <v>19</v>
      </c>
      <c r="H111">
        <v>8</v>
      </c>
      <c r="I111">
        <v>59424.61</v>
      </c>
    </row>
    <row r="112" spans="1:9" x14ac:dyDescent="0.25">
      <c r="A112" s="5" t="str">
        <f>TrendSheetPrdData[[#This Row],[Population]]&amp;TrendSheetPrdData[[#This Row],[Cost Basis]]&amp;TrendSheetPrdData[[#This Row],[Period]]&amp;TrendSheetPrdData[[#This Row],[Trend]]</f>
        <v>EMPLOYEEAllowed2016-07-01Outpatient Imaging Cost</v>
      </c>
      <c r="B112" t="s">
        <v>90</v>
      </c>
      <c r="C112" t="s">
        <v>90</v>
      </c>
      <c r="D112" t="s">
        <v>91</v>
      </c>
      <c r="E112" s="1" t="s">
        <v>96</v>
      </c>
      <c r="F112" t="s">
        <v>93</v>
      </c>
      <c r="G112" t="s">
        <v>19</v>
      </c>
      <c r="H112">
        <v>8</v>
      </c>
      <c r="I112">
        <v>53666.82</v>
      </c>
    </row>
    <row r="113" spans="1:9" x14ac:dyDescent="0.25">
      <c r="A113" s="5" t="str">
        <f>TrendSheetPrdData[[#This Row],[Population]]&amp;TrendSheetPrdData[[#This Row],[Cost Basis]]&amp;TrendSheetPrdData[[#This Row],[Period]]&amp;TrendSheetPrdData[[#This Row],[Trend]]</f>
        <v>EMPLOYEEAllowed2016-08-01Outpatient Imaging Cost</v>
      </c>
      <c r="B113" t="s">
        <v>90</v>
      </c>
      <c r="C113" t="s">
        <v>90</v>
      </c>
      <c r="D113" t="s">
        <v>91</v>
      </c>
      <c r="E113" s="1" t="s">
        <v>97</v>
      </c>
      <c r="F113" t="s">
        <v>93</v>
      </c>
      <c r="G113" t="s">
        <v>19</v>
      </c>
      <c r="H113">
        <v>8</v>
      </c>
      <c r="I113">
        <v>88898.28</v>
      </c>
    </row>
    <row r="114" spans="1:9" x14ac:dyDescent="0.25">
      <c r="A114" s="5" t="str">
        <f>TrendSheetPrdData[[#This Row],[Population]]&amp;TrendSheetPrdData[[#This Row],[Cost Basis]]&amp;TrendSheetPrdData[[#This Row],[Period]]&amp;TrendSheetPrdData[[#This Row],[Trend]]</f>
        <v>EMPLOYEEAllowed2016-09-01Outpatient Imaging Cost</v>
      </c>
      <c r="B114" t="s">
        <v>90</v>
      </c>
      <c r="C114" t="s">
        <v>90</v>
      </c>
      <c r="D114" t="s">
        <v>91</v>
      </c>
      <c r="E114" s="1" t="s">
        <v>98</v>
      </c>
      <c r="F114" t="s">
        <v>93</v>
      </c>
      <c r="G114" t="s">
        <v>19</v>
      </c>
      <c r="H114">
        <v>8</v>
      </c>
      <c r="I114">
        <v>59028.76</v>
      </c>
    </row>
    <row r="115" spans="1:9" x14ac:dyDescent="0.25">
      <c r="A115" s="5" t="str">
        <f>TrendSheetPrdData[[#This Row],[Population]]&amp;TrendSheetPrdData[[#This Row],[Cost Basis]]&amp;TrendSheetPrdData[[#This Row],[Period]]&amp;TrendSheetPrdData[[#This Row],[Trend]]</f>
        <v>EMPLOYEEAllowed2016-10-01Outpatient Imaging Cost</v>
      </c>
      <c r="B115" t="s">
        <v>90</v>
      </c>
      <c r="C115" t="s">
        <v>90</v>
      </c>
      <c r="D115" t="s">
        <v>91</v>
      </c>
      <c r="E115" s="1" t="s">
        <v>99</v>
      </c>
      <c r="F115" t="s">
        <v>93</v>
      </c>
      <c r="G115" t="s">
        <v>19</v>
      </c>
      <c r="H115">
        <v>8</v>
      </c>
      <c r="I115">
        <v>81822.39</v>
      </c>
    </row>
    <row r="116" spans="1:9" x14ac:dyDescent="0.25">
      <c r="A116" s="5" t="str">
        <f>TrendSheetPrdData[[#This Row],[Population]]&amp;TrendSheetPrdData[[#This Row],[Cost Basis]]&amp;TrendSheetPrdData[[#This Row],[Period]]&amp;TrendSheetPrdData[[#This Row],[Trend]]</f>
        <v>EMPLOYEEAllowed2016-11-01Outpatient Imaging Cost</v>
      </c>
      <c r="B116" t="s">
        <v>90</v>
      </c>
      <c r="C116" t="s">
        <v>90</v>
      </c>
      <c r="D116" t="s">
        <v>91</v>
      </c>
      <c r="E116" s="1" t="s">
        <v>100</v>
      </c>
      <c r="F116" t="s">
        <v>93</v>
      </c>
      <c r="G116" t="s">
        <v>19</v>
      </c>
      <c r="H116">
        <v>8</v>
      </c>
      <c r="I116">
        <v>88480.77</v>
      </c>
    </row>
    <row r="117" spans="1:9" x14ac:dyDescent="0.25">
      <c r="A117" s="5" t="str">
        <f>TrendSheetPrdData[[#This Row],[Population]]&amp;TrendSheetPrdData[[#This Row],[Cost Basis]]&amp;TrendSheetPrdData[[#This Row],[Period]]&amp;TrendSheetPrdData[[#This Row],[Trend]]</f>
        <v>EMPLOYEEAllowed2016-12-01Outpatient Imaging Cost</v>
      </c>
      <c r="B117" t="s">
        <v>90</v>
      </c>
      <c r="C117" t="s">
        <v>90</v>
      </c>
      <c r="D117" t="s">
        <v>91</v>
      </c>
      <c r="E117" s="1" t="s">
        <v>101</v>
      </c>
      <c r="F117" t="s">
        <v>93</v>
      </c>
      <c r="G117" t="s">
        <v>19</v>
      </c>
      <c r="H117">
        <v>8</v>
      </c>
      <c r="I117">
        <v>112298.41</v>
      </c>
    </row>
    <row r="118" spans="1:9" x14ac:dyDescent="0.25">
      <c r="A118" s="5" t="str">
        <f>TrendSheetPrdData[[#This Row],[Population]]&amp;TrendSheetPrdData[[#This Row],[Cost Basis]]&amp;TrendSheetPrdData[[#This Row],[Period]]&amp;TrendSheetPrdData[[#This Row],[Trend]]</f>
        <v>EMPLOYEEAllowed2017-01-01Outpatient Imaging Cost</v>
      </c>
      <c r="B118" t="s">
        <v>90</v>
      </c>
      <c r="C118" t="s">
        <v>90</v>
      </c>
      <c r="D118" t="s">
        <v>91</v>
      </c>
      <c r="E118" s="1" t="s">
        <v>102</v>
      </c>
      <c r="F118" t="s">
        <v>93</v>
      </c>
      <c r="G118" t="s">
        <v>19</v>
      </c>
      <c r="H118">
        <v>8</v>
      </c>
      <c r="I118">
        <v>80418.7</v>
      </c>
    </row>
    <row r="119" spans="1:9" x14ac:dyDescent="0.25">
      <c r="A119" s="5" t="str">
        <f>TrendSheetPrdData[[#This Row],[Population]]&amp;TrendSheetPrdData[[#This Row],[Cost Basis]]&amp;TrendSheetPrdData[[#This Row],[Period]]&amp;TrendSheetPrdData[[#This Row],[Trend]]</f>
        <v>EMPLOYEEAllowed2017-02-01Outpatient Imaging Cost</v>
      </c>
      <c r="B119" t="s">
        <v>90</v>
      </c>
      <c r="C119" t="s">
        <v>90</v>
      </c>
      <c r="D119" t="s">
        <v>91</v>
      </c>
      <c r="E119" s="1" t="s">
        <v>103</v>
      </c>
      <c r="F119" t="s">
        <v>106</v>
      </c>
      <c r="G119" t="s">
        <v>19</v>
      </c>
      <c r="H119">
        <v>8</v>
      </c>
      <c r="I119">
        <v>82069.100000000006</v>
      </c>
    </row>
    <row r="120" spans="1:9" x14ac:dyDescent="0.25">
      <c r="A120" s="5" t="str">
        <f>TrendSheetPrdData[[#This Row],[Population]]&amp;TrendSheetPrdData[[#This Row],[Cost Basis]]&amp;TrendSheetPrdData[[#This Row],[Period]]&amp;TrendSheetPrdData[[#This Row],[Trend]]</f>
        <v>EMPLOYEEAllowed2017-03-01Outpatient Imaging Cost</v>
      </c>
      <c r="B120" t="s">
        <v>90</v>
      </c>
      <c r="C120" t="s">
        <v>90</v>
      </c>
      <c r="D120" t="s">
        <v>91</v>
      </c>
      <c r="E120" s="1" t="s">
        <v>104</v>
      </c>
      <c r="F120" t="s">
        <v>106</v>
      </c>
      <c r="G120" t="s">
        <v>19</v>
      </c>
      <c r="H120">
        <v>8</v>
      </c>
      <c r="I120">
        <v>72679.199999999997</v>
      </c>
    </row>
    <row r="121" spans="1:9" x14ac:dyDescent="0.25">
      <c r="A121" s="5" t="str">
        <f>TrendSheetPrdData[[#This Row],[Population]]&amp;TrendSheetPrdData[[#This Row],[Cost Basis]]&amp;TrendSheetPrdData[[#This Row],[Period]]&amp;TrendSheetPrdData[[#This Row],[Trend]]</f>
        <v>EMPLOYEEAllowed2017-04-01Outpatient Imaging Cost</v>
      </c>
      <c r="B121" t="s">
        <v>90</v>
      </c>
      <c r="C121" t="s">
        <v>90</v>
      </c>
      <c r="D121" t="s">
        <v>91</v>
      </c>
      <c r="E121" s="1" t="s">
        <v>105</v>
      </c>
      <c r="F121" t="s">
        <v>106</v>
      </c>
      <c r="G121" t="s">
        <v>19</v>
      </c>
      <c r="H121">
        <v>8</v>
      </c>
      <c r="I121">
        <v>22782.14</v>
      </c>
    </row>
    <row r="122" spans="1:9" x14ac:dyDescent="0.25">
      <c r="A122" s="5" t="str">
        <f>TrendSheetPrdData[[#This Row],[Population]]&amp;TrendSheetPrdData[[#This Row],[Cost Basis]]&amp;TrendSheetPrdData[[#This Row],[Period]]&amp;TrendSheetPrdData[[#This Row],[Trend]]</f>
        <v>EMPLOYEEAllowed2016-02-01Hospiatl Outpatient MRIs per 1k</v>
      </c>
      <c r="B122" t="s">
        <v>90</v>
      </c>
      <c r="C122" t="s">
        <v>90</v>
      </c>
      <c r="D122" t="s">
        <v>91</v>
      </c>
      <c r="E122" s="1" t="s">
        <v>124</v>
      </c>
      <c r="F122" t="s">
        <v>93</v>
      </c>
      <c r="G122" t="s">
        <v>20</v>
      </c>
      <c r="H122">
        <v>9</v>
      </c>
      <c r="I122">
        <v>54</v>
      </c>
    </row>
    <row r="123" spans="1:9" x14ac:dyDescent="0.25">
      <c r="A123" s="5" t="str">
        <f>TrendSheetPrdData[[#This Row],[Population]]&amp;TrendSheetPrdData[[#This Row],[Cost Basis]]&amp;TrendSheetPrdData[[#This Row],[Period]]&amp;TrendSheetPrdData[[#This Row],[Trend]]</f>
        <v>EMPLOYEEAllowed2016-03-01Hospiatl Outpatient MRIs per 1k</v>
      </c>
      <c r="B123" t="s">
        <v>90</v>
      </c>
      <c r="C123" t="s">
        <v>90</v>
      </c>
      <c r="D123" t="s">
        <v>91</v>
      </c>
      <c r="E123" s="1" t="s">
        <v>125</v>
      </c>
      <c r="F123" t="s">
        <v>93</v>
      </c>
      <c r="G123" t="s">
        <v>20</v>
      </c>
      <c r="H123">
        <v>9</v>
      </c>
      <c r="I123">
        <v>48</v>
      </c>
    </row>
    <row r="124" spans="1:9" x14ac:dyDescent="0.25">
      <c r="A124" s="5" t="str">
        <f>TrendSheetPrdData[[#This Row],[Population]]&amp;TrendSheetPrdData[[#This Row],[Cost Basis]]&amp;TrendSheetPrdData[[#This Row],[Period]]&amp;TrendSheetPrdData[[#This Row],[Trend]]</f>
        <v>EMPLOYEEAllowed2016-04-01Hospiatl Outpatient MRIs per 1k</v>
      </c>
      <c r="B124" t="s">
        <v>90</v>
      </c>
      <c r="C124" t="s">
        <v>90</v>
      </c>
      <c r="D124" t="s">
        <v>91</v>
      </c>
      <c r="E124" s="1" t="s">
        <v>92</v>
      </c>
      <c r="F124" t="s">
        <v>93</v>
      </c>
      <c r="G124" t="s">
        <v>20</v>
      </c>
      <c r="H124">
        <v>9</v>
      </c>
      <c r="I124">
        <v>36</v>
      </c>
    </row>
    <row r="125" spans="1:9" x14ac:dyDescent="0.25">
      <c r="A125" s="5" t="str">
        <f>TrendSheetPrdData[[#This Row],[Population]]&amp;TrendSheetPrdData[[#This Row],[Cost Basis]]&amp;TrendSheetPrdData[[#This Row],[Period]]&amp;TrendSheetPrdData[[#This Row],[Trend]]</f>
        <v>EMPLOYEEAllowed2016-05-01Hospiatl Outpatient MRIs per 1k</v>
      </c>
      <c r="B125" t="s">
        <v>90</v>
      </c>
      <c r="C125" t="s">
        <v>90</v>
      </c>
      <c r="D125" t="s">
        <v>91</v>
      </c>
      <c r="E125" s="1" t="s">
        <v>94</v>
      </c>
      <c r="F125" t="s">
        <v>93</v>
      </c>
      <c r="G125" t="s">
        <v>20</v>
      </c>
      <c r="H125">
        <v>9</v>
      </c>
      <c r="I125">
        <v>38</v>
      </c>
    </row>
    <row r="126" spans="1:9" x14ac:dyDescent="0.25">
      <c r="A126" s="5" t="str">
        <f>TrendSheetPrdData[[#This Row],[Population]]&amp;TrendSheetPrdData[[#This Row],[Cost Basis]]&amp;TrendSheetPrdData[[#This Row],[Period]]&amp;TrendSheetPrdData[[#This Row],[Trend]]</f>
        <v>EMPLOYEEAllowed2016-06-01Hospiatl Outpatient MRIs per 1k</v>
      </c>
      <c r="B126" t="s">
        <v>90</v>
      </c>
      <c r="C126" t="s">
        <v>90</v>
      </c>
      <c r="D126" t="s">
        <v>91</v>
      </c>
      <c r="E126" s="1" t="s">
        <v>95</v>
      </c>
      <c r="F126" t="s">
        <v>93</v>
      </c>
      <c r="G126" t="s">
        <v>20</v>
      </c>
      <c r="H126">
        <v>9</v>
      </c>
      <c r="I126">
        <v>32</v>
      </c>
    </row>
    <row r="127" spans="1:9" x14ac:dyDescent="0.25">
      <c r="A127" s="5" t="str">
        <f>TrendSheetPrdData[[#This Row],[Population]]&amp;TrendSheetPrdData[[#This Row],[Cost Basis]]&amp;TrendSheetPrdData[[#This Row],[Period]]&amp;TrendSheetPrdData[[#This Row],[Trend]]</f>
        <v>EMPLOYEEAllowed2016-07-01Hospiatl Outpatient MRIs per 1k</v>
      </c>
      <c r="B127" t="s">
        <v>90</v>
      </c>
      <c r="C127" t="s">
        <v>90</v>
      </c>
      <c r="D127" t="s">
        <v>91</v>
      </c>
      <c r="E127" s="1" t="s">
        <v>96</v>
      </c>
      <c r="F127" t="s">
        <v>93</v>
      </c>
      <c r="G127" t="s">
        <v>20</v>
      </c>
      <c r="H127">
        <v>9</v>
      </c>
      <c r="I127">
        <v>32</v>
      </c>
    </row>
    <row r="128" spans="1:9" x14ac:dyDescent="0.25">
      <c r="A128" s="5" t="str">
        <f>TrendSheetPrdData[[#This Row],[Population]]&amp;TrendSheetPrdData[[#This Row],[Cost Basis]]&amp;TrendSheetPrdData[[#This Row],[Period]]&amp;TrendSheetPrdData[[#This Row],[Trend]]</f>
        <v>EMPLOYEEAllowed2016-08-01Hospiatl Outpatient MRIs per 1k</v>
      </c>
      <c r="B128" t="s">
        <v>90</v>
      </c>
      <c r="C128" t="s">
        <v>90</v>
      </c>
      <c r="D128" t="s">
        <v>91</v>
      </c>
      <c r="E128" s="1" t="s">
        <v>97</v>
      </c>
      <c r="F128" t="s">
        <v>93</v>
      </c>
      <c r="G128" t="s">
        <v>20</v>
      </c>
      <c r="H128">
        <v>9</v>
      </c>
      <c r="I128">
        <v>60</v>
      </c>
    </row>
    <row r="129" spans="1:9" x14ac:dyDescent="0.25">
      <c r="A129" s="5" t="str">
        <f>TrendSheetPrdData[[#This Row],[Population]]&amp;TrendSheetPrdData[[#This Row],[Cost Basis]]&amp;TrendSheetPrdData[[#This Row],[Period]]&amp;TrendSheetPrdData[[#This Row],[Trend]]</f>
        <v>EMPLOYEEAllowed2016-09-01Hospiatl Outpatient MRIs per 1k</v>
      </c>
      <c r="B129" t="s">
        <v>90</v>
      </c>
      <c r="C129" t="s">
        <v>90</v>
      </c>
      <c r="D129" t="s">
        <v>91</v>
      </c>
      <c r="E129" s="1" t="s">
        <v>98</v>
      </c>
      <c r="F129" t="s">
        <v>93</v>
      </c>
      <c r="G129" t="s">
        <v>20</v>
      </c>
      <c r="H129">
        <v>9</v>
      </c>
      <c r="I129">
        <v>33</v>
      </c>
    </row>
    <row r="130" spans="1:9" x14ac:dyDescent="0.25">
      <c r="A130" s="5" t="str">
        <f>TrendSheetPrdData[[#This Row],[Population]]&amp;TrendSheetPrdData[[#This Row],[Cost Basis]]&amp;TrendSheetPrdData[[#This Row],[Period]]&amp;TrendSheetPrdData[[#This Row],[Trend]]</f>
        <v>EMPLOYEEAllowed2016-10-01Hospiatl Outpatient MRIs per 1k</v>
      </c>
      <c r="B130" t="s">
        <v>90</v>
      </c>
      <c r="C130" t="s">
        <v>90</v>
      </c>
      <c r="D130" t="s">
        <v>91</v>
      </c>
      <c r="E130" s="1" t="s">
        <v>99</v>
      </c>
      <c r="F130" t="s">
        <v>93</v>
      </c>
      <c r="G130" t="s">
        <v>20</v>
      </c>
      <c r="H130">
        <v>9</v>
      </c>
      <c r="I130">
        <v>49</v>
      </c>
    </row>
    <row r="131" spans="1:9" x14ac:dyDescent="0.25">
      <c r="A131" s="5" t="str">
        <f>TrendSheetPrdData[[#This Row],[Population]]&amp;TrendSheetPrdData[[#This Row],[Cost Basis]]&amp;TrendSheetPrdData[[#This Row],[Period]]&amp;TrendSheetPrdData[[#This Row],[Trend]]</f>
        <v>EMPLOYEEAllowed2016-11-01Hospiatl Outpatient MRIs per 1k</v>
      </c>
      <c r="B131" t="s">
        <v>90</v>
      </c>
      <c r="C131" t="s">
        <v>90</v>
      </c>
      <c r="D131" t="s">
        <v>91</v>
      </c>
      <c r="E131" s="1" t="s">
        <v>100</v>
      </c>
      <c r="F131" t="s">
        <v>93</v>
      </c>
      <c r="G131" t="s">
        <v>20</v>
      </c>
      <c r="H131">
        <v>9</v>
      </c>
      <c r="I131">
        <v>39</v>
      </c>
    </row>
    <row r="132" spans="1:9" x14ac:dyDescent="0.25">
      <c r="A132" s="5" t="str">
        <f>TrendSheetPrdData[[#This Row],[Population]]&amp;TrendSheetPrdData[[#This Row],[Cost Basis]]&amp;TrendSheetPrdData[[#This Row],[Period]]&amp;TrendSheetPrdData[[#This Row],[Trend]]</f>
        <v>EMPLOYEEAllowed2016-12-01Hospiatl Outpatient MRIs per 1k</v>
      </c>
      <c r="B132" t="s">
        <v>90</v>
      </c>
      <c r="C132" t="s">
        <v>90</v>
      </c>
      <c r="D132" t="s">
        <v>91</v>
      </c>
      <c r="E132" s="1" t="s">
        <v>101</v>
      </c>
      <c r="F132" t="s">
        <v>93</v>
      </c>
      <c r="G132" t="s">
        <v>20</v>
      </c>
      <c r="H132">
        <v>9</v>
      </c>
      <c r="I132">
        <v>74</v>
      </c>
    </row>
    <row r="133" spans="1:9" x14ac:dyDescent="0.25">
      <c r="A133" s="5" t="str">
        <f>TrendSheetPrdData[[#This Row],[Population]]&amp;TrendSheetPrdData[[#This Row],[Cost Basis]]&amp;TrendSheetPrdData[[#This Row],[Period]]&amp;TrendSheetPrdData[[#This Row],[Trend]]</f>
        <v>EMPLOYEEAllowed2017-01-01Hospiatl Outpatient MRIs per 1k</v>
      </c>
      <c r="B133" t="s">
        <v>90</v>
      </c>
      <c r="C133" t="s">
        <v>90</v>
      </c>
      <c r="D133" t="s">
        <v>91</v>
      </c>
      <c r="E133" s="1" t="s">
        <v>102</v>
      </c>
      <c r="F133" t="s">
        <v>93</v>
      </c>
      <c r="G133" t="s">
        <v>20</v>
      </c>
      <c r="H133">
        <v>9</v>
      </c>
      <c r="I133">
        <v>35</v>
      </c>
    </row>
    <row r="134" spans="1:9" x14ac:dyDescent="0.25">
      <c r="A134" s="5" t="str">
        <f>TrendSheetPrdData[[#This Row],[Population]]&amp;TrendSheetPrdData[[#This Row],[Cost Basis]]&amp;TrendSheetPrdData[[#This Row],[Period]]&amp;TrendSheetPrdData[[#This Row],[Trend]]</f>
        <v>EMPLOYEEAllowed2017-02-01Hospiatl Outpatient MRIs per 1k</v>
      </c>
      <c r="B134" t="s">
        <v>90</v>
      </c>
      <c r="C134" t="s">
        <v>90</v>
      </c>
      <c r="D134" t="s">
        <v>91</v>
      </c>
      <c r="E134" s="1" t="s">
        <v>103</v>
      </c>
      <c r="F134" t="s">
        <v>106</v>
      </c>
      <c r="G134" t="s">
        <v>20</v>
      </c>
      <c r="H134">
        <v>9</v>
      </c>
      <c r="I134">
        <v>43</v>
      </c>
    </row>
    <row r="135" spans="1:9" x14ac:dyDescent="0.25">
      <c r="A135" s="5" t="str">
        <f>TrendSheetPrdData[[#This Row],[Population]]&amp;TrendSheetPrdData[[#This Row],[Cost Basis]]&amp;TrendSheetPrdData[[#This Row],[Period]]&amp;TrendSheetPrdData[[#This Row],[Trend]]</f>
        <v>EMPLOYEEAllowed2017-03-01Hospiatl Outpatient MRIs per 1k</v>
      </c>
      <c r="B135" t="s">
        <v>90</v>
      </c>
      <c r="C135" t="s">
        <v>90</v>
      </c>
      <c r="D135" t="s">
        <v>91</v>
      </c>
      <c r="E135" s="1" t="s">
        <v>104</v>
      </c>
      <c r="F135" t="s">
        <v>106</v>
      </c>
      <c r="G135" t="s">
        <v>20</v>
      </c>
      <c r="H135">
        <v>9</v>
      </c>
      <c r="I135">
        <v>47</v>
      </c>
    </row>
    <row r="136" spans="1:9" x14ac:dyDescent="0.25">
      <c r="A136" s="5" t="str">
        <f>TrendSheetPrdData[[#This Row],[Population]]&amp;TrendSheetPrdData[[#This Row],[Cost Basis]]&amp;TrendSheetPrdData[[#This Row],[Period]]&amp;TrendSheetPrdData[[#This Row],[Trend]]</f>
        <v>EMPLOYEEAllowed2017-04-01Hospiatl Outpatient MRIs per 1k</v>
      </c>
      <c r="B136" t="s">
        <v>90</v>
      </c>
      <c r="C136" t="s">
        <v>90</v>
      </c>
      <c r="D136" t="s">
        <v>91</v>
      </c>
      <c r="E136" s="1" t="s">
        <v>105</v>
      </c>
      <c r="F136" t="s">
        <v>106</v>
      </c>
      <c r="G136" t="s">
        <v>20</v>
      </c>
      <c r="H136">
        <v>9</v>
      </c>
      <c r="I136">
        <v>10</v>
      </c>
    </row>
    <row r="137" spans="1:9" x14ac:dyDescent="0.25">
      <c r="A137" s="5" t="str">
        <f>TrendSheetPrdData[[#This Row],[Population]]&amp;TrendSheetPrdData[[#This Row],[Cost Basis]]&amp;TrendSheetPrdData[[#This Row],[Period]]&amp;TrendSheetPrdData[[#This Row],[Trend]]</f>
        <v>EMPLOYEEAllowed2016-02-01Hospiatl Outpatient CTs per 1k</v>
      </c>
      <c r="B137" t="s">
        <v>90</v>
      </c>
      <c r="C137" t="s">
        <v>90</v>
      </c>
      <c r="D137" t="s">
        <v>91</v>
      </c>
      <c r="E137" s="1" t="s">
        <v>124</v>
      </c>
      <c r="F137" t="s">
        <v>93</v>
      </c>
      <c r="G137" t="s">
        <v>21</v>
      </c>
      <c r="H137">
        <v>10</v>
      </c>
      <c r="I137">
        <v>47</v>
      </c>
    </row>
    <row r="138" spans="1:9" x14ac:dyDescent="0.25">
      <c r="A138" s="5" t="str">
        <f>TrendSheetPrdData[[#This Row],[Population]]&amp;TrendSheetPrdData[[#This Row],[Cost Basis]]&amp;TrendSheetPrdData[[#This Row],[Period]]&amp;TrendSheetPrdData[[#This Row],[Trend]]</f>
        <v>EMPLOYEEAllowed2016-03-01Hospiatl Outpatient CTs per 1k</v>
      </c>
      <c r="B138" t="s">
        <v>90</v>
      </c>
      <c r="C138" t="s">
        <v>90</v>
      </c>
      <c r="D138" t="s">
        <v>91</v>
      </c>
      <c r="E138" s="1" t="s">
        <v>125</v>
      </c>
      <c r="F138" t="s">
        <v>93</v>
      </c>
      <c r="G138" t="s">
        <v>21</v>
      </c>
      <c r="H138">
        <v>10</v>
      </c>
      <c r="I138">
        <v>56</v>
      </c>
    </row>
    <row r="139" spans="1:9" x14ac:dyDescent="0.25">
      <c r="A139" s="5" t="str">
        <f>TrendSheetPrdData[[#This Row],[Population]]&amp;TrendSheetPrdData[[#This Row],[Cost Basis]]&amp;TrendSheetPrdData[[#This Row],[Period]]&amp;TrendSheetPrdData[[#This Row],[Trend]]</f>
        <v>EMPLOYEEAllowed2016-04-01Hospiatl Outpatient CTs per 1k</v>
      </c>
      <c r="B139" t="s">
        <v>90</v>
      </c>
      <c r="C139" t="s">
        <v>90</v>
      </c>
      <c r="D139" t="s">
        <v>91</v>
      </c>
      <c r="E139" s="1" t="s">
        <v>92</v>
      </c>
      <c r="F139" t="s">
        <v>93</v>
      </c>
      <c r="G139" t="s">
        <v>21</v>
      </c>
      <c r="H139">
        <v>10</v>
      </c>
      <c r="I139">
        <v>71</v>
      </c>
    </row>
    <row r="140" spans="1:9" x14ac:dyDescent="0.25">
      <c r="A140" s="5" t="str">
        <f>TrendSheetPrdData[[#This Row],[Population]]&amp;TrendSheetPrdData[[#This Row],[Cost Basis]]&amp;TrendSheetPrdData[[#This Row],[Period]]&amp;TrendSheetPrdData[[#This Row],[Trend]]</f>
        <v>EMPLOYEEAllowed2016-05-01Hospiatl Outpatient CTs per 1k</v>
      </c>
      <c r="B140" t="s">
        <v>90</v>
      </c>
      <c r="C140" t="s">
        <v>90</v>
      </c>
      <c r="D140" t="s">
        <v>91</v>
      </c>
      <c r="E140" s="1" t="s">
        <v>94</v>
      </c>
      <c r="F140" t="s">
        <v>93</v>
      </c>
      <c r="G140" t="s">
        <v>21</v>
      </c>
      <c r="H140">
        <v>10</v>
      </c>
      <c r="I140">
        <v>52</v>
      </c>
    </row>
    <row r="141" spans="1:9" x14ac:dyDescent="0.25">
      <c r="A141" s="5" t="str">
        <f>TrendSheetPrdData[[#This Row],[Population]]&amp;TrendSheetPrdData[[#This Row],[Cost Basis]]&amp;TrendSheetPrdData[[#This Row],[Period]]&amp;TrendSheetPrdData[[#This Row],[Trend]]</f>
        <v>EMPLOYEEAllowed2016-06-01Hospiatl Outpatient CTs per 1k</v>
      </c>
      <c r="B141" t="s">
        <v>90</v>
      </c>
      <c r="C141" t="s">
        <v>90</v>
      </c>
      <c r="D141" t="s">
        <v>91</v>
      </c>
      <c r="E141" s="1" t="s">
        <v>95</v>
      </c>
      <c r="F141" t="s">
        <v>93</v>
      </c>
      <c r="G141" t="s">
        <v>21</v>
      </c>
      <c r="H141">
        <v>10</v>
      </c>
      <c r="I141">
        <v>39</v>
      </c>
    </row>
    <row r="142" spans="1:9" x14ac:dyDescent="0.25">
      <c r="A142" s="5" t="str">
        <f>TrendSheetPrdData[[#This Row],[Population]]&amp;TrendSheetPrdData[[#This Row],[Cost Basis]]&amp;TrendSheetPrdData[[#This Row],[Period]]&amp;TrendSheetPrdData[[#This Row],[Trend]]</f>
        <v>EMPLOYEEAllowed2016-07-01Hospiatl Outpatient CTs per 1k</v>
      </c>
      <c r="B142" t="s">
        <v>90</v>
      </c>
      <c r="C142" t="s">
        <v>90</v>
      </c>
      <c r="D142" t="s">
        <v>91</v>
      </c>
      <c r="E142" s="1" t="s">
        <v>96</v>
      </c>
      <c r="F142" t="s">
        <v>93</v>
      </c>
      <c r="G142" t="s">
        <v>21</v>
      </c>
      <c r="H142">
        <v>10</v>
      </c>
      <c r="I142">
        <v>34</v>
      </c>
    </row>
    <row r="143" spans="1:9" x14ac:dyDescent="0.25">
      <c r="A143" s="5" t="str">
        <f>TrendSheetPrdData[[#This Row],[Population]]&amp;TrendSheetPrdData[[#This Row],[Cost Basis]]&amp;TrendSheetPrdData[[#This Row],[Period]]&amp;TrendSheetPrdData[[#This Row],[Trend]]</f>
        <v>EMPLOYEEAllowed2016-08-01Hospiatl Outpatient CTs per 1k</v>
      </c>
      <c r="B143" t="s">
        <v>90</v>
      </c>
      <c r="C143" t="s">
        <v>90</v>
      </c>
      <c r="D143" t="s">
        <v>91</v>
      </c>
      <c r="E143" s="1" t="s">
        <v>97</v>
      </c>
      <c r="F143" t="s">
        <v>93</v>
      </c>
      <c r="G143" t="s">
        <v>21</v>
      </c>
      <c r="H143">
        <v>10</v>
      </c>
      <c r="I143">
        <v>34</v>
      </c>
    </row>
    <row r="144" spans="1:9" x14ac:dyDescent="0.25">
      <c r="A144" s="5" t="str">
        <f>TrendSheetPrdData[[#This Row],[Population]]&amp;TrendSheetPrdData[[#This Row],[Cost Basis]]&amp;TrendSheetPrdData[[#This Row],[Period]]&amp;TrendSheetPrdData[[#This Row],[Trend]]</f>
        <v>EMPLOYEEAllowed2016-09-01Hospiatl Outpatient CTs per 1k</v>
      </c>
      <c r="B144" t="s">
        <v>90</v>
      </c>
      <c r="C144" t="s">
        <v>90</v>
      </c>
      <c r="D144" t="s">
        <v>91</v>
      </c>
      <c r="E144" s="1" t="s">
        <v>98</v>
      </c>
      <c r="F144" t="s">
        <v>93</v>
      </c>
      <c r="G144" t="s">
        <v>21</v>
      </c>
      <c r="H144">
        <v>10</v>
      </c>
      <c r="I144">
        <v>35</v>
      </c>
    </row>
    <row r="145" spans="1:9" x14ac:dyDescent="0.25">
      <c r="A145" s="5" t="str">
        <f>TrendSheetPrdData[[#This Row],[Population]]&amp;TrendSheetPrdData[[#This Row],[Cost Basis]]&amp;TrendSheetPrdData[[#This Row],[Period]]&amp;TrendSheetPrdData[[#This Row],[Trend]]</f>
        <v>EMPLOYEEAllowed2016-10-01Hospiatl Outpatient CTs per 1k</v>
      </c>
      <c r="B145" t="s">
        <v>90</v>
      </c>
      <c r="C145" t="s">
        <v>90</v>
      </c>
      <c r="D145" t="s">
        <v>91</v>
      </c>
      <c r="E145" s="1" t="s">
        <v>99</v>
      </c>
      <c r="F145" t="s">
        <v>93</v>
      </c>
      <c r="G145" t="s">
        <v>21</v>
      </c>
      <c r="H145">
        <v>10</v>
      </c>
      <c r="I145">
        <v>33</v>
      </c>
    </row>
    <row r="146" spans="1:9" x14ac:dyDescent="0.25">
      <c r="A146" s="5" t="str">
        <f>TrendSheetPrdData[[#This Row],[Population]]&amp;TrendSheetPrdData[[#This Row],[Cost Basis]]&amp;TrendSheetPrdData[[#This Row],[Period]]&amp;TrendSheetPrdData[[#This Row],[Trend]]</f>
        <v>EMPLOYEEAllowed2016-11-01Hospiatl Outpatient CTs per 1k</v>
      </c>
      <c r="B146" t="s">
        <v>90</v>
      </c>
      <c r="C146" t="s">
        <v>90</v>
      </c>
      <c r="D146" t="s">
        <v>91</v>
      </c>
      <c r="E146" s="1" t="s">
        <v>100</v>
      </c>
      <c r="F146" t="s">
        <v>93</v>
      </c>
      <c r="G146" t="s">
        <v>21</v>
      </c>
      <c r="H146">
        <v>10</v>
      </c>
      <c r="I146">
        <v>45</v>
      </c>
    </row>
    <row r="147" spans="1:9" x14ac:dyDescent="0.25">
      <c r="A147" s="5" t="str">
        <f>TrendSheetPrdData[[#This Row],[Population]]&amp;TrendSheetPrdData[[#This Row],[Cost Basis]]&amp;TrendSheetPrdData[[#This Row],[Period]]&amp;TrendSheetPrdData[[#This Row],[Trend]]</f>
        <v>EMPLOYEEAllowed2016-12-01Hospiatl Outpatient CTs per 1k</v>
      </c>
      <c r="B147" t="s">
        <v>90</v>
      </c>
      <c r="C147" t="s">
        <v>90</v>
      </c>
      <c r="D147" t="s">
        <v>91</v>
      </c>
      <c r="E147" s="1" t="s">
        <v>101</v>
      </c>
      <c r="F147" t="s">
        <v>93</v>
      </c>
      <c r="G147" t="s">
        <v>21</v>
      </c>
      <c r="H147">
        <v>10</v>
      </c>
      <c r="I147">
        <v>38</v>
      </c>
    </row>
    <row r="148" spans="1:9" x14ac:dyDescent="0.25">
      <c r="A148" s="5" t="str">
        <f>TrendSheetPrdData[[#This Row],[Population]]&amp;TrendSheetPrdData[[#This Row],[Cost Basis]]&amp;TrendSheetPrdData[[#This Row],[Period]]&amp;TrendSheetPrdData[[#This Row],[Trend]]</f>
        <v>EMPLOYEEAllowed2017-01-01Hospiatl Outpatient CTs per 1k</v>
      </c>
      <c r="B148" t="s">
        <v>90</v>
      </c>
      <c r="C148" t="s">
        <v>90</v>
      </c>
      <c r="D148" t="s">
        <v>91</v>
      </c>
      <c r="E148" s="1" t="s">
        <v>102</v>
      </c>
      <c r="F148" t="s">
        <v>93</v>
      </c>
      <c r="G148" t="s">
        <v>21</v>
      </c>
      <c r="H148">
        <v>10</v>
      </c>
      <c r="I148">
        <v>40</v>
      </c>
    </row>
    <row r="149" spans="1:9" x14ac:dyDescent="0.25">
      <c r="A149" s="5" t="str">
        <f>TrendSheetPrdData[[#This Row],[Population]]&amp;TrendSheetPrdData[[#This Row],[Cost Basis]]&amp;TrendSheetPrdData[[#This Row],[Period]]&amp;TrendSheetPrdData[[#This Row],[Trend]]</f>
        <v>EMPLOYEEAllowed2017-02-01Hospiatl Outpatient CTs per 1k</v>
      </c>
      <c r="B149" t="s">
        <v>90</v>
      </c>
      <c r="C149" t="s">
        <v>90</v>
      </c>
      <c r="D149" t="s">
        <v>91</v>
      </c>
      <c r="E149" s="1" t="s">
        <v>103</v>
      </c>
      <c r="F149" t="s">
        <v>106</v>
      </c>
      <c r="G149" t="s">
        <v>21</v>
      </c>
      <c r="H149">
        <v>10</v>
      </c>
      <c r="I149">
        <v>38</v>
      </c>
    </row>
    <row r="150" spans="1:9" x14ac:dyDescent="0.25">
      <c r="A150" s="5" t="str">
        <f>TrendSheetPrdData[[#This Row],[Population]]&amp;TrendSheetPrdData[[#This Row],[Cost Basis]]&amp;TrendSheetPrdData[[#This Row],[Period]]&amp;TrendSheetPrdData[[#This Row],[Trend]]</f>
        <v>EMPLOYEEAllowed2017-03-01Hospiatl Outpatient CTs per 1k</v>
      </c>
      <c r="B150" t="s">
        <v>90</v>
      </c>
      <c r="C150" t="s">
        <v>90</v>
      </c>
      <c r="D150" t="s">
        <v>91</v>
      </c>
      <c r="E150" s="1" t="s">
        <v>104</v>
      </c>
      <c r="F150" t="s">
        <v>106</v>
      </c>
      <c r="G150" t="s">
        <v>21</v>
      </c>
      <c r="H150">
        <v>10</v>
      </c>
      <c r="I150">
        <v>37</v>
      </c>
    </row>
    <row r="151" spans="1:9" x14ac:dyDescent="0.25">
      <c r="A151" s="5" t="str">
        <f>TrendSheetPrdData[[#This Row],[Population]]&amp;TrendSheetPrdData[[#This Row],[Cost Basis]]&amp;TrendSheetPrdData[[#This Row],[Period]]&amp;TrendSheetPrdData[[#This Row],[Trend]]</f>
        <v>EMPLOYEEAllowed2017-04-01Hospiatl Outpatient CTs per 1k</v>
      </c>
      <c r="B151" t="s">
        <v>90</v>
      </c>
      <c r="C151" t="s">
        <v>90</v>
      </c>
      <c r="D151" t="s">
        <v>91</v>
      </c>
      <c r="E151" s="1" t="s">
        <v>105</v>
      </c>
      <c r="F151" t="s">
        <v>106</v>
      </c>
      <c r="G151" t="s">
        <v>21</v>
      </c>
      <c r="H151">
        <v>10</v>
      </c>
      <c r="I151">
        <v>14</v>
      </c>
    </row>
    <row r="152" spans="1:9" x14ac:dyDescent="0.25">
      <c r="A152" s="5" t="str">
        <f>TrendSheetPrdData[[#This Row],[Population]]&amp;TrendSheetPrdData[[#This Row],[Cost Basis]]&amp;TrendSheetPrdData[[#This Row],[Period]]&amp;TrendSheetPrdData[[#This Row],[Trend]]</f>
        <v>EMPLOYEEAllowed2016-02-01Office Based MRIs per 1k</v>
      </c>
      <c r="B152" t="s">
        <v>90</v>
      </c>
      <c r="C152" t="s">
        <v>90</v>
      </c>
      <c r="D152" t="s">
        <v>91</v>
      </c>
      <c r="E152" s="1" t="s">
        <v>124</v>
      </c>
      <c r="F152" t="s">
        <v>93</v>
      </c>
      <c r="G152" t="s">
        <v>22</v>
      </c>
      <c r="H152">
        <v>11</v>
      </c>
      <c r="I152">
        <v>4</v>
      </c>
    </row>
    <row r="153" spans="1:9" x14ac:dyDescent="0.25">
      <c r="A153" s="5" t="str">
        <f>TrendSheetPrdData[[#This Row],[Population]]&amp;TrendSheetPrdData[[#This Row],[Cost Basis]]&amp;TrendSheetPrdData[[#This Row],[Period]]&amp;TrendSheetPrdData[[#This Row],[Trend]]</f>
        <v>EMPLOYEEAllowed2016-03-01Office Based MRIs per 1k</v>
      </c>
      <c r="B153" t="s">
        <v>90</v>
      </c>
      <c r="C153" t="s">
        <v>90</v>
      </c>
      <c r="D153" t="s">
        <v>91</v>
      </c>
      <c r="E153" s="1" t="s">
        <v>125</v>
      </c>
      <c r="F153" t="s">
        <v>93</v>
      </c>
      <c r="G153" t="s">
        <v>22</v>
      </c>
      <c r="H153">
        <v>11</v>
      </c>
      <c r="I153">
        <v>5</v>
      </c>
    </row>
    <row r="154" spans="1:9" x14ac:dyDescent="0.25">
      <c r="A154" s="5" t="str">
        <f>TrendSheetPrdData[[#This Row],[Population]]&amp;TrendSheetPrdData[[#This Row],[Cost Basis]]&amp;TrendSheetPrdData[[#This Row],[Period]]&amp;TrendSheetPrdData[[#This Row],[Trend]]</f>
        <v>EMPLOYEEAllowed2016-04-01Office Based MRIs per 1k</v>
      </c>
      <c r="B154" t="s">
        <v>90</v>
      </c>
      <c r="C154" t="s">
        <v>90</v>
      </c>
      <c r="D154" t="s">
        <v>91</v>
      </c>
      <c r="E154" s="1" t="s">
        <v>92</v>
      </c>
      <c r="F154" t="s">
        <v>93</v>
      </c>
      <c r="G154" t="s">
        <v>22</v>
      </c>
      <c r="H154">
        <v>11</v>
      </c>
      <c r="I154">
        <v>4</v>
      </c>
    </row>
    <row r="155" spans="1:9" x14ac:dyDescent="0.25">
      <c r="A155" s="5" t="str">
        <f>TrendSheetPrdData[[#This Row],[Population]]&amp;TrendSheetPrdData[[#This Row],[Cost Basis]]&amp;TrendSheetPrdData[[#This Row],[Period]]&amp;TrendSheetPrdData[[#This Row],[Trend]]</f>
        <v>EMPLOYEEAllowed2016-05-01Office Based MRIs per 1k</v>
      </c>
      <c r="B155" t="s">
        <v>90</v>
      </c>
      <c r="C155" t="s">
        <v>90</v>
      </c>
      <c r="D155" t="s">
        <v>91</v>
      </c>
      <c r="E155" s="1" t="s">
        <v>94</v>
      </c>
      <c r="F155" t="s">
        <v>93</v>
      </c>
      <c r="G155" t="s">
        <v>22</v>
      </c>
      <c r="H155">
        <v>11</v>
      </c>
      <c r="I155">
        <v>1</v>
      </c>
    </row>
    <row r="156" spans="1:9" x14ac:dyDescent="0.25">
      <c r="A156" s="5" t="str">
        <f>TrendSheetPrdData[[#This Row],[Population]]&amp;TrendSheetPrdData[[#This Row],[Cost Basis]]&amp;TrendSheetPrdData[[#This Row],[Period]]&amp;TrendSheetPrdData[[#This Row],[Trend]]</f>
        <v>EMPLOYEEAllowed2016-06-01Office Based MRIs per 1k</v>
      </c>
      <c r="B156" t="s">
        <v>90</v>
      </c>
      <c r="C156" t="s">
        <v>90</v>
      </c>
      <c r="D156" t="s">
        <v>91</v>
      </c>
      <c r="E156" s="1" t="s">
        <v>95</v>
      </c>
      <c r="F156" t="s">
        <v>93</v>
      </c>
      <c r="G156" t="s">
        <v>22</v>
      </c>
      <c r="H156">
        <v>11</v>
      </c>
      <c r="I156">
        <v>0</v>
      </c>
    </row>
    <row r="157" spans="1:9" x14ac:dyDescent="0.25">
      <c r="A157" s="5" t="str">
        <f>TrendSheetPrdData[[#This Row],[Population]]&amp;TrendSheetPrdData[[#This Row],[Cost Basis]]&amp;TrendSheetPrdData[[#This Row],[Period]]&amp;TrendSheetPrdData[[#This Row],[Trend]]</f>
        <v>EMPLOYEEAllowed2016-07-01Office Based MRIs per 1k</v>
      </c>
      <c r="B157" t="s">
        <v>90</v>
      </c>
      <c r="C157" t="s">
        <v>90</v>
      </c>
      <c r="D157" t="s">
        <v>91</v>
      </c>
      <c r="E157" s="1" t="s">
        <v>96</v>
      </c>
      <c r="F157" t="s">
        <v>93</v>
      </c>
      <c r="G157" t="s">
        <v>22</v>
      </c>
      <c r="H157">
        <v>11</v>
      </c>
      <c r="I157">
        <v>0</v>
      </c>
    </row>
    <row r="158" spans="1:9" x14ac:dyDescent="0.25">
      <c r="A158" s="5" t="str">
        <f>TrendSheetPrdData[[#This Row],[Population]]&amp;TrendSheetPrdData[[#This Row],[Cost Basis]]&amp;TrendSheetPrdData[[#This Row],[Period]]&amp;TrendSheetPrdData[[#This Row],[Trend]]</f>
        <v>EMPLOYEEAllowed2016-08-01Office Based MRIs per 1k</v>
      </c>
      <c r="B158" t="s">
        <v>90</v>
      </c>
      <c r="C158" t="s">
        <v>90</v>
      </c>
      <c r="D158" t="s">
        <v>91</v>
      </c>
      <c r="E158" s="1" t="s">
        <v>97</v>
      </c>
      <c r="F158" t="s">
        <v>93</v>
      </c>
      <c r="G158" t="s">
        <v>22</v>
      </c>
      <c r="H158">
        <v>11</v>
      </c>
      <c r="I158">
        <v>4</v>
      </c>
    </row>
    <row r="159" spans="1:9" x14ac:dyDescent="0.25">
      <c r="A159" s="5" t="str">
        <f>TrendSheetPrdData[[#This Row],[Population]]&amp;TrendSheetPrdData[[#This Row],[Cost Basis]]&amp;TrendSheetPrdData[[#This Row],[Period]]&amp;TrendSheetPrdData[[#This Row],[Trend]]</f>
        <v>EMPLOYEEAllowed2016-09-01Office Based MRIs per 1k</v>
      </c>
      <c r="B159" t="s">
        <v>90</v>
      </c>
      <c r="C159" t="s">
        <v>90</v>
      </c>
      <c r="D159" t="s">
        <v>91</v>
      </c>
      <c r="E159" s="1" t="s">
        <v>98</v>
      </c>
      <c r="F159" t="s">
        <v>93</v>
      </c>
      <c r="G159" t="s">
        <v>22</v>
      </c>
      <c r="H159">
        <v>11</v>
      </c>
      <c r="I159">
        <v>3</v>
      </c>
    </row>
    <row r="160" spans="1:9" x14ac:dyDescent="0.25">
      <c r="A160" s="5" t="str">
        <f>TrendSheetPrdData[[#This Row],[Population]]&amp;TrendSheetPrdData[[#This Row],[Cost Basis]]&amp;TrendSheetPrdData[[#This Row],[Period]]&amp;TrendSheetPrdData[[#This Row],[Trend]]</f>
        <v>EMPLOYEEAllowed2016-10-01Office Based MRIs per 1k</v>
      </c>
      <c r="B160" t="s">
        <v>90</v>
      </c>
      <c r="C160" t="s">
        <v>90</v>
      </c>
      <c r="D160" t="s">
        <v>91</v>
      </c>
      <c r="E160" s="1" t="s">
        <v>99</v>
      </c>
      <c r="F160" t="s">
        <v>93</v>
      </c>
      <c r="G160" t="s">
        <v>22</v>
      </c>
      <c r="H160">
        <v>11</v>
      </c>
      <c r="I160">
        <v>1</v>
      </c>
    </row>
    <row r="161" spans="1:9" x14ac:dyDescent="0.25">
      <c r="A161" s="5" t="str">
        <f>TrendSheetPrdData[[#This Row],[Population]]&amp;TrendSheetPrdData[[#This Row],[Cost Basis]]&amp;TrendSheetPrdData[[#This Row],[Period]]&amp;TrendSheetPrdData[[#This Row],[Trend]]</f>
        <v>EMPLOYEEAllowed2016-11-01Office Based MRIs per 1k</v>
      </c>
      <c r="B161" t="s">
        <v>90</v>
      </c>
      <c r="C161" t="s">
        <v>90</v>
      </c>
      <c r="D161" t="s">
        <v>91</v>
      </c>
      <c r="E161" s="1" t="s">
        <v>100</v>
      </c>
      <c r="F161" t="s">
        <v>93</v>
      </c>
      <c r="G161" t="s">
        <v>22</v>
      </c>
      <c r="H161">
        <v>11</v>
      </c>
      <c r="I161">
        <v>3</v>
      </c>
    </row>
    <row r="162" spans="1:9" x14ac:dyDescent="0.25">
      <c r="A162" s="5" t="str">
        <f>TrendSheetPrdData[[#This Row],[Population]]&amp;TrendSheetPrdData[[#This Row],[Cost Basis]]&amp;TrendSheetPrdData[[#This Row],[Period]]&amp;TrendSheetPrdData[[#This Row],[Trend]]</f>
        <v>EMPLOYEEAllowed2016-12-01Office Based MRIs per 1k</v>
      </c>
      <c r="B162" t="s">
        <v>90</v>
      </c>
      <c r="C162" t="s">
        <v>90</v>
      </c>
      <c r="D162" t="s">
        <v>91</v>
      </c>
      <c r="E162" s="1" t="s">
        <v>101</v>
      </c>
      <c r="F162" t="s">
        <v>93</v>
      </c>
      <c r="G162" t="s">
        <v>22</v>
      </c>
      <c r="H162">
        <v>11</v>
      </c>
      <c r="I162">
        <v>1</v>
      </c>
    </row>
    <row r="163" spans="1:9" x14ac:dyDescent="0.25">
      <c r="A163" s="5" t="str">
        <f>TrendSheetPrdData[[#This Row],[Population]]&amp;TrendSheetPrdData[[#This Row],[Cost Basis]]&amp;TrendSheetPrdData[[#This Row],[Period]]&amp;TrendSheetPrdData[[#This Row],[Trend]]</f>
        <v>EMPLOYEEAllowed2017-01-01Office Based MRIs per 1k</v>
      </c>
      <c r="B163" t="s">
        <v>90</v>
      </c>
      <c r="C163" t="s">
        <v>90</v>
      </c>
      <c r="D163" t="s">
        <v>91</v>
      </c>
      <c r="E163" s="1" t="s">
        <v>102</v>
      </c>
      <c r="F163" t="s">
        <v>93</v>
      </c>
      <c r="G163" t="s">
        <v>22</v>
      </c>
      <c r="H163">
        <v>11</v>
      </c>
      <c r="I163">
        <v>3</v>
      </c>
    </row>
    <row r="164" spans="1:9" x14ac:dyDescent="0.25">
      <c r="A164" s="5" t="str">
        <f>TrendSheetPrdData[[#This Row],[Population]]&amp;TrendSheetPrdData[[#This Row],[Cost Basis]]&amp;TrendSheetPrdData[[#This Row],[Period]]&amp;TrendSheetPrdData[[#This Row],[Trend]]</f>
        <v>EMPLOYEEAllowed2017-02-01Office Based MRIs per 1k</v>
      </c>
      <c r="B164" t="s">
        <v>90</v>
      </c>
      <c r="C164" t="s">
        <v>90</v>
      </c>
      <c r="D164" t="s">
        <v>91</v>
      </c>
      <c r="E164" s="1" t="s">
        <v>103</v>
      </c>
      <c r="F164" t="s">
        <v>106</v>
      </c>
      <c r="G164" t="s">
        <v>22</v>
      </c>
      <c r="H164">
        <v>11</v>
      </c>
      <c r="I164">
        <v>4</v>
      </c>
    </row>
    <row r="165" spans="1:9" x14ac:dyDescent="0.25">
      <c r="A165" s="5" t="str">
        <f>TrendSheetPrdData[[#This Row],[Population]]&amp;TrendSheetPrdData[[#This Row],[Cost Basis]]&amp;TrendSheetPrdData[[#This Row],[Period]]&amp;TrendSheetPrdData[[#This Row],[Trend]]</f>
        <v>EMPLOYEEAllowed2017-03-01Office Based MRIs per 1k</v>
      </c>
      <c r="B165" t="s">
        <v>90</v>
      </c>
      <c r="C165" t="s">
        <v>90</v>
      </c>
      <c r="D165" t="s">
        <v>91</v>
      </c>
      <c r="E165" s="1" t="s">
        <v>104</v>
      </c>
      <c r="F165" t="s">
        <v>106</v>
      </c>
      <c r="G165" t="s">
        <v>22</v>
      </c>
      <c r="H165">
        <v>11</v>
      </c>
      <c r="I165">
        <v>1</v>
      </c>
    </row>
    <row r="166" spans="1:9" x14ac:dyDescent="0.25">
      <c r="A166" s="5" t="str">
        <f>TrendSheetPrdData[[#This Row],[Population]]&amp;TrendSheetPrdData[[#This Row],[Cost Basis]]&amp;TrendSheetPrdData[[#This Row],[Period]]&amp;TrendSheetPrdData[[#This Row],[Trend]]</f>
        <v>EMPLOYEEAllowed2017-04-01Office Based MRIs per 1k</v>
      </c>
      <c r="B166" t="s">
        <v>90</v>
      </c>
      <c r="C166" t="s">
        <v>90</v>
      </c>
      <c r="D166" t="s">
        <v>91</v>
      </c>
      <c r="E166" s="1" t="s">
        <v>105</v>
      </c>
      <c r="F166" t="s">
        <v>106</v>
      </c>
      <c r="G166" t="s">
        <v>22</v>
      </c>
      <c r="H166">
        <v>11</v>
      </c>
      <c r="I166">
        <v>2</v>
      </c>
    </row>
    <row r="167" spans="1:9" x14ac:dyDescent="0.25">
      <c r="A167" s="5" t="str">
        <f>TrendSheetPrdData[[#This Row],[Population]]&amp;TrendSheetPrdData[[#This Row],[Cost Basis]]&amp;TrendSheetPrdData[[#This Row],[Period]]&amp;TrendSheetPrdData[[#This Row],[Trend]]</f>
        <v>EMPLOYEEAllowed2016-02-01Office Based CTs per 1k</v>
      </c>
      <c r="B167" t="s">
        <v>90</v>
      </c>
      <c r="C167" t="s">
        <v>90</v>
      </c>
      <c r="D167" t="s">
        <v>91</v>
      </c>
      <c r="E167" s="1" t="s">
        <v>124</v>
      </c>
      <c r="F167" t="s">
        <v>93</v>
      </c>
      <c r="G167" t="s">
        <v>23</v>
      </c>
      <c r="H167">
        <v>12</v>
      </c>
      <c r="I167">
        <v>16</v>
      </c>
    </row>
    <row r="168" spans="1:9" x14ac:dyDescent="0.25">
      <c r="A168" s="5" t="str">
        <f>TrendSheetPrdData[[#This Row],[Population]]&amp;TrendSheetPrdData[[#This Row],[Cost Basis]]&amp;TrendSheetPrdData[[#This Row],[Period]]&amp;TrendSheetPrdData[[#This Row],[Trend]]</f>
        <v>EMPLOYEEAllowed2016-03-01Office Based CTs per 1k</v>
      </c>
      <c r="B168" t="s">
        <v>90</v>
      </c>
      <c r="C168" t="s">
        <v>90</v>
      </c>
      <c r="D168" t="s">
        <v>91</v>
      </c>
      <c r="E168" s="1" t="s">
        <v>125</v>
      </c>
      <c r="F168" t="s">
        <v>93</v>
      </c>
      <c r="G168" t="s">
        <v>23</v>
      </c>
      <c r="H168">
        <v>12</v>
      </c>
      <c r="I168">
        <v>11</v>
      </c>
    </row>
    <row r="169" spans="1:9" x14ac:dyDescent="0.25">
      <c r="A169" s="5" t="str">
        <f>TrendSheetPrdData[[#This Row],[Population]]&amp;TrendSheetPrdData[[#This Row],[Cost Basis]]&amp;TrendSheetPrdData[[#This Row],[Period]]&amp;TrendSheetPrdData[[#This Row],[Trend]]</f>
        <v>EMPLOYEEAllowed2016-04-01Office Based CTs per 1k</v>
      </c>
      <c r="B169" t="s">
        <v>90</v>
      </c>
      <c r="C169" t="s">
        <v>90</v>
      </c>
      <c r="D169" t="s">
        <v>91</v>
      </c>
      <c r="E169" s="1" t="s">
        <v>92</v>
      </c>
      <c r="F169" t="s">
        <v>93</v>
      </c>
      <c r="G169" t="s">
        <v>23</v>
      </c>
      <c r="H169">
        <v>12</v>
      </c>
      <c r="I169">
        <v>8</v>
      </c>
    </row>
    <row r="170" spans="1:9" x14ac:dyDescent="0.25">
      <c r="A170" s="5" t="str">
        <f>TrendSheetPrdData[[#This Row],[Population]]&amp;TrendSheetPrdData[[#This Row],[Cost Basis]]&amp;TrendSheetPrdData[[#This Row],[Period]]&amp;TrendSheetPrdData[[#This Row],[Trend]]</f>
        <v>EMPLOYEEAllowed2016-05-01Office Based CTs per 1k</v>
      </c>
      <c r="B170" t="s">
        <v>90</v>
      </c>
      <c r="C170" t="s">
        <v>90</v>
      </c>
      <c r="D170" t="s">
        <v>91</v>
      </c>
      <c r="E170" s="1" t="s">
        <v>94</v>
      </c>
      <c r="F170" t="s">
        <v>93</v>
      </c>
      <c r="G170" t="s">
        <v>23</v>
      </c>
      <c r="H170">
        <v>12</v>
      </c>
      <c r="I170">
        <v>5</v>
      </c>
    </row>
    <row r="171" spans="1:9" x14ac:dyDescent="0.25">
      <c r="A171" s="5" t="str">
        <f>TrendSheetPrdData[[#This Row],[Population]]&amp;TrendSheetPrdData[[#This Row],[Cost Basis]]&amp;TrendSheetPrdData[[#This Row],[Period]]&amp;TrendSheetPrdData[[#This Row],[Trend]]</f>
        <v>EMPLOYEEAllowed2016-06-01Office Based CTs per 1k</v>
      </c>
      <c r="B171" t="s">
        <v>90</v>
      </c>
      <c r="C171" t="s">
        <v>90</v>
      </c>
      <c r="D171" t="s">
        <v>91</v>
      </c>
      <c r="E171" s="1" t="s">
        <v>95</v>
      </c>
      <c r="F171" t="s">
        <v>93</v>
      </c>
      <c r="G171" t="s">
        <v>23</v>
      </c>
      <c r="H171">
        <v>12</v>
      </c>
      <c r="I171">
        <v>8</v>
      </c>
    </row>
    <row r="172" spans="1:9" x14ac:dyDescent="0.25">
      <c r="A172" s="5" t="str">
        <f>TrendSheetPrdData[[#This Row],[Population]]&amp;TrendSheetPrdData[[#This Row],[Cost Basis]]&amp;TrendSheetPrdData[[#This Row],[Period]]&amp;TrendSheetPrdData[[#This Row],[Trend]]</f>
        <v>EMPLOYEEAllowed2016-07-01Office Based CTs per 1k</v>
      </c>
      <c r="B172" t="s">
        <v>90</v>
      </c>
      <c r="C172" t="s">
        <v>90</v>
      </c>
      <c r="D172" t="s">
        <v>91</v>
      </c>
      <c r="E172" s="1" t="s">
        <v>96</v>
      </c>
      <c r="F172" t="s">
        <v>93</v>
      </c>
      <c r="G172" t="s">
        <v>23</v>
      </c>
      <c r="H172">
        <v>12</v>
      </c>
      <c r="I172">
        <v>7</v>
      </c>
    </row>
    <row r="173" spans="1:9" x14ac:dyDescent="0.25">
      <c r="A173" s="5" t="str">
        <f>TrendSheetPrdData[[#This Row],[Population]]&amp;TrendSheetPrdData[[#This Row],[Cost Basis]]&amp;TrendSheetPrdData[[#This Row],[Period]]&amp;TrendSheetPrdData[[#This Row],[Trend]]</f>
        <v>EMPLOYEEAllowed2016-08-01Office Based CTs per 1k</v>
      </c>
      <c r="B173" t="s">
        <v>90</v>
      </c>
      <c r="C173" t="s">
        <v>90</v>
      </c>
      <c r="D173" t="s">
        <v>91</v>
      </c>
      <c r="E173" s="1" t="s">
        <v>97</v>
      </c>
      <c r="F173" t="s">
        <v>93</v>
      </c>
      <c r="G173" t="s">
        <v>23</v>
      </c>
      <c r="H173">
        <v>12</v>
      </c>
      <c r="I173">
        <v>7</v>
      </c>
    </row>
    <row r="174" spans="1:9" x14ac:dyDescent="0.25">
      <c r="A174" s="5" t="str">
        <f>TrendSheetPrdData[[#This Row],[Population]]&amp;TrendSheetPrdData[[#This Row],[Cost Basis]]&amp;TrendSheetPrdData[[#This Row],[Period]]&amp;TrendSheetPrdData[[#This Row],[Trend]]</f>
        <v>EMPLOYEEAllowed2016-09-01Office Based CTs per 1k</v>
      </c>
      <c r="B174" t="s">
        <v>90</v>
      </c>
      <c r="C174" t="s">
        <v>90</v>
      </c>
      <c r="D174" t="s">
        <v>91</v>
      </c>
      <c r="E174" s="1" t="s">
        <v>98</v>
      </c>
      <c r="F174" t="s">
        <v>93</v>
      </c>
      <c r="G174" t="s">
        <v>23</v>
      </c>
      <c r="H174">
        <v>12</v>
      </c>
      <c r="I174">
        <v>10</v>
      </c>
    </row>
    <row r="175" spans="1:9" x14ac:dyDescent="0.25">
      <c r="A175" s="5" t="str">
        <f>TrendSheetPrdData[[#This Row],[Population]]&amp;TrendSheetPrdData[[#This Row],[Cost Basis]]&amp;TrendSheetPrdData[[#This Row],[Period]]&amp;TrendSheetPrdData[[#This Row],[Trend]]</f>
        <v>EMPLOYEEAllowed2016-10-01Office Based CTs per 1k</v>
      </c>
      <c r="B175" t="s">
        <v>90</v>
      </c>
      <c r="C175" t="s">
        <v>90</v>
      </c>
      <c r="D175" t="s">
        <v>91</v>
      </c>
      <c r="E175" s="1" t="s">
        <v>99</v>
      </c>
      <c r="F175" t="s">
        <v>93</v>
      </c>
      <c r="G175" t="s">
        <v>23</v>
      </c>
      <c r="H175">
        <v>12</v>
      </c>
      <c r="I175">
        <v>14</v>
      </c>
    </row>
    <row r="176" spans="1:9" x14ac:dyDescent="0.25">
      <c r="A176" s="5" t="str">
        <f>TrendSheetPrdData[[#This Row],[Population]]&amp;TrendSheetPrdData[[#This Row],[Cost Basis]]&amp;TrendSheetPrdData[[#This Row],[Period]]&amp;TrendSheetPrdData[[#This Row],[Trend]]</f>
        <v>EMPLOYEEAllowed2016-11-01Office Based CTs per 1k</v>
      </c>
      <c r="B176" t="s">
        <v>90</v>
      </c>
      <c r="C176" t="s">
        <v>90</v>
      </c>
      <c r="D176" t="s">
        <v>91</v>
      </c>
      <c r="E176" s="1" t="s">
        <v>100</v>
      </c>
      <c r="F176" t="s">
        <v>93</v>
      </c>
      <c r="G176" t="s">
        <v>23</v>
      </c>
      <c r="H176">
        <v>12</v>
      </c>
      <c r="I176">
        <v>8</v>
      </c>
    </row>
    <row r="177" spans="1:9" x14ac:dyDescent="0.25">
      <c r="A177" s="5" t="str">
        <f>TrendSheetPrdData[[#This Row],[Population]]&amp;TrendSheetPrdData[[#This Row],[Cost Basis]]&amp;TrendSheetPrdData[[#This Row],[Period]]&amp;TrendSheetPrdData[[#This Row],[Trend]]</f>
        <v>EMPLOYEEAllowed2016-12-01Office Based CTs per 1k</v>
      </c>
      <c r="B177" t="s">
        <v>90</v>
      </c>
      <c r="C177" t="s">
        <v>90</v>
      </c>
      <c r="D177" t="s">
        <v>91</v>
      </c>
      <c r="E177" s="1" t="s">
        <v>101</v>
      </c>
      <c r="F177" t="s">
        <v>93</v>
      </c>
      <c r="G177" t="s">
        <v>23</v>
      </c>
      <c r="H177">
        <v>12</v>
      </c>
      <c r="I177">
        <v>8</v>
      </c>
    </row>
    <row r="178" spans="1:9" x14ac:dyDescent="0.25">
      <c r="A178" s="5" t="str">
        <f>TrendSheetPrdData[[#This Row],[Population]]&amp;TrendSheetPrdData[[#This Row],[Cost Basis]]&amp;TrendSheetPrdData[[#This Row],[Period]]&amp;TrendSheetPrdData[[#This Row],[Trend]]</f>
        <v>EMPLOYEEAllowed2017-01-01Office Based CTs per 1k</v>
      </c>
      <c r="B178" t="s">
        <v>90</v>
      </c>
      <c r="C178" t="s">
        <v>90</v>
      </c>
      <c r="D178" t="s">
        <v>91</v>
      </c>
      <c r="E178" s="1" t="s">
        <v>102</v>
      </c>
      <c r="F178" t="s">
        <v>93</v>
      </c>
      <c r="G178" t="s">
        <v>23</v>
      </c>
      <c r="H178">
        <v>12</v>
      </c>
      <c r="I178">
        <v>6</v>
      </c>
    </row>
    <row r="179" spans="1:9" x14ac:dyDescent="0.25">
      <c r="A179" s="5" t="str">
        <f>TrendSheetPrdData[[#This Row],[Population]]&amp;TrendSheetPrdData[[#This Row],[Cost Basis]]&amp;TrendSheetPrdData[[#This Row],[Period]]&amp;TrendSheetPrdData[[#This Row],[Trend]]</f>
        <v>EMPLOYEEAllowed2017-02-01Office Based CTs per 1k</v>
      </c>
      <c r="B179" t="s">
        <v>90</v>
      </c>
      <c r="C179" t="s">
        <v>90</v>
      </c>
      <c r="D179" t="s">
        <v>91</v>
      </c>
      <c r="E179" s="1" t="s">
        <v>103</v>
      </c>
      <c r="F179" t="s">
        <v>106</v>
      </c>
      <c r="G179" t="s">
        <v>23</v>
      </c>
      <c r="H179">
        <v>12</v>
      </c>
      <c r="I179">
        <v>6</v>
      </c>
    </row>
    <row r="180" spans="1:9" x14ac:dyDescent="0.25">
      <c r="A180" s="5" t="str">
        <f>TrendSheetPrdData[[#This Row],[Population]]&amp;TrendSheetPrdData[[#This Row],[Cost Basis]]&amp;TrendSheetPrdData[[#This Row],[Period]]&amp;TrendSheetPrdData[[#This Row],[Trend]]</f>
        <v>EMPLOYEEAllowed2017-03-01Office Based CTs per 1k</v>
      </c>
      <c r="B180" t="s">
        <v>90</v>
      </c>
      <c r="C180" t="s">
        <v>90</v>
      </c>
      <c r="D180" t="s">
        <v>91</v>
      </c>
      <c r="E180" s="1" t="s">
        <v>104</v>
      </c>
      <c r="F180" t="s">
        <v>106</v>
      </c>
      <c r="G180" t="s">
        <v>23</v>
      </c>
      <c r="H180">
        <v>12</v>
      </c>
      <c r="I180">
        <v>5</v>
      </c>
    </row>
    <row r="181" spans="1:9" x14ac:dyDescent="0.25">
      <c r="A181" s="5" t="str">
        <f>TrendSheetPrdData[[#This Row],[Population]]&amp;TrendSheetPrdData[[#This Row],[Cost Basis]]&amp;TrendSheetPrdData[[#This Row],[Period]]&amp;TrendSheetPrdData[[#This Row],[Trend]]</f>
        <v>EMPLOYEEAllowed2017-04-01Office Based CTs per 1k</v>
      </c>
      <c r="B181" t="s">
        <v>90</v>
      </c>
      <c r="C181" t="s">
        <v>90</v>
      </c>
      <c r="D181" t="s">
        <v>91</v>
      </c>
      <c r="E181" s="1" t="s">
        <v>105</v>
      </c>
      <c r="F181" t="s">
        <v>106</v>
      </c>
      <c r="G181" t="s">
        <v>23</v>
      </c>
      <c r="H181">
        <v>12</v>
      </c>
      <c r="I181">
        <v>4</v>
      </c>
    </row>
    <row r="182" spans="1:9" x14ac:dyDescent="0.25">
      <c r="A182" s="5" t="str">
        <f>TrendSheetPrdData[[#This Row],[Population]]&amp;TrendSheetPrdData[[#This Row],[Cost Basis]]&amp;TrendSheetPrdData[[#This Row],[Period]]&amp;TrendSheetPrdData[[#This Row],[Trend]]</f>
        <v>EMPLOYEEAllowed2016-02-01ED Cost</v>
      </c>
      <c r="B182" t="s">
        <v>90</v>
      </c>
      <c r="C182" t="s">
        <v>90</v>
      </c>
      <c r="D182" t="s">
        <v>91</v>
      </c>
      <c r="E182" s="1" t="s">
        <v>124</v>
      </c>
      <c r="F182" t="s">
        <v>93</v>
      </c>
      <c r="G182" t="s">
        <v>24</v>
      </c>
      <c r="H182">
        <v>13</v>
      </c>
      <c r="I182">
        <v>81914</v>
      </c>
    </row>
    <row r="183" spans="1:9" x14ac:dyDescent="0.25">
      <c r="A183" s="5" t="str">
        <f>TrendSheetPrdData[[#This Row],[Population]]&amp;TrendSheetPrdData[[#This Row],[Cost Basis]]&amp;TrendSheetPrdData[[#This Row],[Period]]&amp;TrendSheetPrdData[[#This Row],[Trend]]</f>
        <v>EMPLOYEEAllowed2016-03-01ED Cost</v>
      </c>
      <c r="B183" t="s">
        <v>90</v>
      </c>
      <c r="C183" t="s">
        <v>90</v>
      </c>
      <c r="D183" t="s">
        <v>91</v>
      </c>
      <c r="E183" s="1" t="s">
        <v>125</v>
      </c>
      <c r="F183" t="s">
        <v>93</v>
      </c>
      <c r="G183" t="s">
        <v>24</v>
      </c>
      <c r="H183">
        <v>13</v>
      </c>
      <c r="I183">
        <v>116301</v>
      </c>
    </row>
    <row r="184" spans="1:9" x14ac:dyDescent="0.25">
      <c r="A184" s="5" t="str">
        <f>TrendSheetPrdData[[#This Row],[Population]]&amp;TrendSheetPrdData[[#This Row],[Cost Basis]]&amp;TrendSheetPrdData[[#This Row],[Period]]&amp;TrendSheetPrdData[[#This Row],[Trend]]</f>
        <v>EMPLOYEEAllowed2016-04-01ED Cost</v>
      </c>
      <c r="B184" t="s">
        <v>90</v>
      </c>
      <c r="C184" t="s">
        <v>90</v>
      </c>
      <c r="D184" t="s">
        <v>91</v>
      </c>
      <c r="E184" s="1" t="s">
        <v>92</v>
      </c>
      <c r="F184" t="s">
        <v>93</v>
      </c>
      <c r="G184" t="s">
        <v>24</v>
      </c>
      <c r="H184">
        <v>13</v>
      </c>
      <c r="I184">
        <v>126450</v>
      </c>
    </row>
    <row r="185" spans="1:9" x14ac:dyDescent="0.25">
      <c r="A185" s="5" t="str">
        <f>TrendSheetPrdData[[#This Row],[Population]]&amp;TrendSheetPrdData[[#This Row],[Cost Basis]]&amp;TrendSheetPrdData[[#This Row],[Period]]&amp;TrendSheetPrdData[[#This Row],[Trend]]</f>
        <v>EMPLOYEEAllowed2016-05-01ED Cost</v>
      </c>
      <c r="B185" t="s">
        <v>90</v>
      </c>
      <c r="C185" t="s">
        <v>90</v>
      </c>
      <c r="D185" t="s">
        <v>91</v>
      </c>
      <c r="E185" s="1" t="s">
        <v>94</v>
      </c>
      <c r="F185" t="s">
        <v>93</v>
      </c>
      <c r="G185" t="s">
        <v>24</v>
      </c>
      <c r="H185">
        <v>13</v>
      </c>
      <c r="I185">
        <v>70585</v>
      </c>
    </row>
    <row r="186" spans="1:9" x14ac:dyDescent="0.25">
      <c r="A186" s="5" t="str">
        <f>TrendSheetPrdData[[#This Row],[Population]]&amp;TrendSheetPrdData[[#This Row],[Cost Basis]]&amp;TrendSheetPrdData[[#This Row],[Period]]&amp;TrendSheetPrdData[[#This Row],[Trend]]</f>
        <v>EMPLOYEEAllowed2016-06-01ED Cost</v>
      </c>
      <c r="B186" t="s">
        <v>90</v>
      </c>
      <c r="C186" t="s">
        <v>90</v>
      </c>
      <c r="D186" t="s">
        <v>91</v>
      </c>
      <c r="E186" s="1" t="s">
        <v>95</v>
      </c>
      <c r="F186" t="s">
        <v>93</v>
      </c>
      <c r="G186" t="s">
        <v>24</v>
      </c>
      <c r="H186">
        <v>13</v>
      </c>
      <c r="I186">
        <v>141774</v>
      </c>
    </row>
    <row r="187" spans="1:9" x14ac:dyDescent="0.25">
      <c r="A187" s="5" t="str">
        <f>TrendSheetPrdData[[#This Row],[Population]]&amp;TrendSheetPrdData[[#This Row],[Cost Basis]]&amp;TrendSheetPrdData[[#This Row],[Period]]&amp;TrendSheetPrdData[[#This Row],[Trend]]</f>
        <v>EMPLOYEEAllowed2016-07-01ED Cost</v>
      </c>
      <c r="B187" t="s">
        <v>90</v>
      </c>
      <c r="C187" t="s">
        <v>90</v>
      </c>
      <c r="D187" t="s">
        <v>91</v>
      </c>
      <c r="E187" s="1" t="s">
        <v>96</v>
      </c>
      <c r="F187" t="s">
        <v>93</v>
      </c>
      <c r="G187" t="s">
        <v>24</v>
      </c>
      <c r="H187">
        <v>13</v>
      </c>
      <c r="I187">
        <v>184421</v>
      </c>
    </row>
    <row r="188" spans="1:9" x14ac:dyDescent="0.25">
      <c r="A188" s="5" t="str">
        <f>TrendSheetPrdData[[#This Row],[Population]]&amp;TrendSheetPrdData[[#This Row],[Cost Basis]]&amp;TrendSheetPrdData[[#This Row],[Period]]&amp;TrendSheetPrdData[[#This Row],[Trend]]</f>
        <v>EMPLOYEEAllowed2016-08-01ED Cost</v>
      </c>
      <c r="B188" t="s">
        <v>90</v>
      </c>
      <c r="C188" t="s">
        <v>90</v>
      </c>
      <c r="D188" t="s">
        <v>91</v>
      </c>
      <c r="E188" s="1" t="s">
        <v>97</v>
      </c>
      <c r="F188" t="s">
        <v>93</v>
      </c>
      <c r="G188" t="s">
        <v>24</v>
      </c>
      <c r="H188">
        <v>13</v>
      </c>
      <c r="I188">
        <v>149222</v>
      </c>
    </row>
    <row r="189" spans="1:9" x14ac:dyDescent="0.25">
      <c r="A189" s="5" t="str">
        <f>TrendSheetPrdData[[#This Row],[Population]]&amp;TrendSheetPrdData[[#This Row],[Cost Basis]]&amp;TrendSheetPrdData[[#This Row],[Period]]&amp;TrendSheetPrdData[[#This Row],[Trend]]</f>
        <v>EMPLOYEEAllowed2016-09-01ED Cost</v>
      </c>
      <c r="B189" t="s">
        <v>90</v>
      </c>
      <c r="C189" t="s">
        <v>90</v>
      </c>
      <c r="D189" t="s">
        <v>91</v>
      </c>
      <c r="E189" s="1" t="s">
        <v>98</v>
      </c>
      <c r="F189" t="s">
        <v>93</v>
      </c>
      <c r="G189" t="s">
        <v>24</v>
      </c>
      <c r="H189">
        <v>13</v>
      </c>
      <c r="I189">
        <v>108138</v>
      </c>
    </row>
    <row r="190" spans="1:9" x14ac:dyDescent="0.25">
      <c r="A190" s="5" t="str">
        <f>TrendSheetPrdData[[#This Row],[Population]]&amp;TrendSheetPrdData[[#This Row],[Cost Basis]]&amp;TrendSheetPrdData[[#This Row],[Period]]&amp;TrendSheetPrdData[[#This Row],[Trend]]</f>
        <v>EMPLOYEEAllowed2016-10-01ED Cost</v>
      </c>
      <c r="B190" t="s">
        <v>90</v>
      </c>
      <c r="C190" t="s">
        <v>90</v>
      </c>
      <c r="D190" t="s">
        <v>91</v>
      </c>
      <c r="E190" s="1" t="s">
        <v>99</v>
      </c>
      <c r="F190" t="s">
        <v>93</v>
      </c>
      <c r="G190" t="s">
        <v>24</v>
      </c>
      <c r="H190">
        <v>13</v>
      </c>
      <c r="I190">
        <v>130330</v>
      </c>
    </row>
    <row r="191" spans="1:9" x14ac:dyDescent="0.25">
      <c r="A191" s="5" t="str">
        <f>TrendSheetPrdData[[#This Row],[Population]]&amp;TrendSheetPrdData[[#This Row],[Cost Basis]]&amp;TrendSheetPrdData[[#This Row],[Period]]&amp;TrendSheetPrdData[[#This Row],[Trend]]</f>
        <v>EMPLOYEEAllowed2016-11-01ED Cost</v>
      </c>
      <c r="B191" t="s">
        <v>90</v>
      </c>
      <c r="C191" t="s">
        <v>90</v>
      </c>
      <c r="D191" t="s">
        <v>91</v>
      </c>
      <c r="E191" s="1" t="s">
        <v>100</v>
      </c>
      <c r="F191" t="s">
        <v>93</v>
      </c>
      <c r="G191" t="s">
        <v>24</v>
      </c>
      <c r="H191">
        <v>13</v>
      </c>
      <c r="I191">
        <v>155374</v>
      </c>
    </row>
    <row r="192" spans="1:9" x14ac:dyDescent="0.25">
      <c r="A192" s="5" t="str">
        <f>TrendSheetPrdData[[#This Row],[Population]]&amp;TrendSheetPrdData[[#This Row],[Cost Basis]]&amp;TrendSheetPrdData[[#This Row],[Period]]&amp;TrendSheetPrdData[[#This Row],[Trend]]</f>
        <v>EMPLOYEEAllowed2016-12-01ED Cost</v>
      </c>
      <c r="B192" t="s">
        <v>90</v>
      </c>
      <c r="C192" t="s">
        <v>90</v>
      </c>
      <c r="D192" t="s">
        <v>91</v>
      </c>
      <c r="E192" s="1" t="s">
        <v>101</v>
      </c>
      <c r="F192" t="s">
        <v>93</v>
      </c>
      <c r="G192" t="s">
        <v>24</v>
      </c>
      <c r="H192">
        <v>13</v>
      </c>
      <c r="I192">
        <v>115867</v>
      </c>
    </row>
    <row r="193" spans="1:9" x14ac:dyDescent="0.25">
      <c r="A193" s="5" t="str">
        <f>TrendSheetPrdData[[#This Row],[Population]]&amp;TrendSheetPrdData[[#This Row],[Cost Basis]]&amp;TrendSheetPrdData[[#This Row],[Period]]&amp;TrendSheetPrdData[[#This Row],[Trend]]</f>
        <v>EMPLOYEEAllowed2017-01-01ED Cost</v>
      </c>
      <c r="B193" t="s">
        <v>90</v>
      </c>
      <c r="C193" t="s">
        <v>90</v>
      </c>
      <c r="D193" t="s">
        <v>91</v>
      </c>
      <c r="E193" s="1" t="s">
        <v>102</v>
      </c>
      <c r="F193" t="s">
        <v>93</v>
      </c>
      <c r="G193" t="s">
        <v>24</v>
      </c>
      <c r="H193">
        <v>13</v>
      </c>
      <c r="I193">
        <v>123788</v>
      </c>
    </row>
    <row r="194" spans="1:9" x14ac:dyDescent="0.25">
      <c r="A194" s="5" t="str">
        <f>TrendSheetPrdData[[#This Row],[Population]]&amp;TrendSheetPrdData[[#This Row],[Cost Basis]]&amp;TrendSheetPrdData[[#This Row],[Period]]&amp;TrendSheetPrdData[[#This Row],[Trend]]</f>
        <v>EMPLOYEEAllowed2017-02-01ED Cost</v>
      </c>
      <c r="B194" t="s">
        <v>90</v>
      </c>
      <c r="C194" t="s">
        <v>90</v>
      </c>
      <c r="D194" t="s">
        <v>91</v>
      </c>
      <c r="E194" s="1" t="s">
        <v>103</v>
      </c>
      <c r="F194" t="s">
        <v>106</v>
      </c>
      <c r="G194" t="s">
        <v>24</v>
      </c>
      <c r="H194">
        <v>13</v>
      </c>
      <c r="I194">
        <v>120841</v>
      </c>
    </row>
    <row r="195" spans="1:9" x14ac:dyDescent="0.25">
      <c r="A195" s="5" t="str">
        <f>TrendSheetPrdData[[#This Row],[Population]]&amp;TrendSheetPrdData[[#This Row],[Cost Basis]]&amp;TrendSheetPrdData[[#This Row],[Period]]&amp;TrendSheetPrdData[[#This Row],[Trend]]</f>
        <v>EMPLOYEEAllowed2017-03-01ED Cost</v>
      </c>
      <c r="B195" t="s">
        <v>90</v>
      </c>
      <c r="C195" t="s">
        <v>90</v>
      </c>
      <c r="D195" t="s">
        <v>91</v>
      </c>
      <c r="E195" s="1" t="s">
        <v>104</v>
      </c>
      <c r="F195" t="s">
        <v>106</v>
      </c>
      <c r="G195" t="s">
        <v>24</v>
      </c>
      <c r="H195">
        <v>13</v>
      </c>
      <c r="I195">
        <v>135230</v>
      </c>
    </row>
    <row r="196" spans="1:9" x14ac:dyDescent="0.25">
      <c r="A196" s="5" t="str">
        <f>TrendSheetPrdData[[#This Row],[Population]]&amp;TrendSheetPrdData[[#This Row],[Cost Basis]]&amp;TrendSheetPrdData[[#This Row],[Period]]&amp;TrendSheetPrdData[[#This Row],[Trend]]</f>
        <v>EMPLOYEEAllowed2017-04-01ED Cost</v>
      </c>
      <c r="B196" t="s">
        <v>90</v>
      </c>
      <c r="C196" t="s">
        <v>90</v>
      </c>
      <c r="D196" t="s">
        <v>91</v>
      </c>
      <c r="E196" s="1" t="s">
        <v>105</v>
      </c>
      <c r="F196" t="s">
        <v>106</v>
      </c>
      <c r="G196" t="s">
        <v>24</v>
      </c>
      <c r="H196">
        <v>13</v>
      </c>
      <c r="I196">
        <v>10064</v>
      </c>
    </row>
    <row r="197" spans="1:9" x14ac:dyDescent="0.25">
      <c r="A197" s="5" t="str">
        <f>TrendSheetPrdData[[#This Row],[Population]]&amp;TrendSheetPrdData[[#This Row],[Cost Basis]]&amp;TrendSheetPrdData[[#This Row],[Period]]&amp;TrendSheetPrdData[[#This Row],[Trend]]</f>
        <v>EMPLOYEEAllowed2016-02-01ED Utilization</v>
      </c>
      <c r="B197" t="s">
        <v>90</v>
      </c>
      <c r="C197" t="s">
        <v>90</v>
      </c>
      <c r="D197" t="s">
        <v>91</v>
      </c>
      <c r="E197" s="1" t="s">
        <v>124</v>
      </c>
      <c r="F197" t="s">
        <v>93</v>
      </c>
      <c r="G197" t="s">
        <v>25</v>
      </c>
      <c r="H197">
        <v>14</v>
      </c>
      <c r="I197">
        <v>122</v>
      </c>
    </row>
    <row r="198" spans="1:9" x14ac:dyDescent="0.25">
      <c r="A198" s="5" t="str">
        <f>TrendSheetPrdData[[#This Row],[Population]]&amp;TrendSheetPrdData[[#This Row],[Cost Basis]]&amp;TrendSheetPrdData[[#This Row],[Period]]&amp;TrendSheetPrdData[[#This Row],[Trend]]</f>
        <v>EMPLOYEEAllowed2016-03-01ED Utilization</v>
      </c>
      <c r="B198" t="s">
        <v>90</v>
      </c>
      <c r="C198" t="s">
        <v>90</v>
      </c>
      <c r="D198" t="s">
        <v>91</v>
      </c>
      <c r="E198" s="1" t="s">
        <v>125</v>
      </c>
      <c r="F198" t="s">
        <v>93</v>
      </c>
      <c r="G198" t="s">
        <v>25</v>
      </c>
      <c r="H198">
        <v>14</v>
      </c>
      <c r="I198">
        <v>167</v>
      </c>
    </row>
    <row r="199" spans="1:9" x14ac:dyDescent="0.25">
      <c r="A199" s="5" t="str">
        <f>TrendSheetPrdData[[#This Row],[Population]]&amp;TrendSheetPrdData[[#This Row],[Cost Basis]]&amp;TrendSheetPrdData[[#This Row],[Period]]&amp;TrendSheetPrdData[[#This Row],[Trend]]</f>
        <v>EMPLOYEEAllowed2016-04-01ED Utilization</v>
      </c>
      <c r="B199" t="s">
        <v>90</v>
      </c>
      <c r="C199" t="s">
        <v>90</v>
      </c>
      <c r="D199" t="s">
        <v>91</v>
      </c>
      <c r="E199" s="1" t="s">
        <v>92</v>
      </c>
      <c r="F199" t="s">
        <v>93</v>
      </c>
      <c r="G199" t="s">
        <v>25</v>
      </c>
      <c r="H199">
        <v>14</v>
      </c>
      <c r="I199">
        <v>144</v>
      </c>
    </row>
    <row r="200" spans="1:9" x14ac:dyDescent="0.25">
      <c r="A200" s="5" t="str">
        <f>TrendSheetPrdData[[#This Row],[Population]]&amp;TrendSheetPrdData[[#This Row],[Cost Basis]]&amp;TrendSheetPrdData[[#This Row],[Period]]&amp;TrendSheetPrdData[[#This Row],[Trend]]</f>
        <v>EMPLOYEEAllowed2016-05-01ED Utilization</v>
      </c>
      <c r="B200" t="s">
        <v>90</v>
      </c>
      <c r="C200" t="s">
        <v>90</v>
      </c>
      <c r="D200" t="s">
        <v>91</v>
      </c>
      <c r="E200" s="1" t="s">
        <v>94</v>
      </c>
      <c r="F200" t="s">
        <v>93</v>
      </c>
      <c r="G200" t="s">
        <v>25</v>
      </c>
      <c r="H200">
        <v>14</v>
      </c>
      <c r="I200">
        <v>125</v>
      </c>
    </row>
    <row r="201" spans="1:9" x14ac:dyDescent="0.25">
      <c r="A201" s="5" t="str">
        <f>TrendSheetPrdData[[#This Row],[Population]]&amp;TrendSheetPrdData[[#This Row],[Cost Basis]]&amp;TrendSheetPrdData[[#This Row],[Period]]&amp;TrendSheetPrdData[[#This Row],[Trend]]</f>
        <v>EMPLOYEEAllowed2016-06-01ED Utilization</v>
      </c>
      <c r="B201" t="s">
        <v>90</v>
      </c>
      <c r="C201" t="s">
        <v>90</v>
      </c>
      <c r="D201" t="s">
        <v>91</v>
      </c>
      <c r="E201" s="1" t="s">
        <v>95</v>
      </c>
      <c r="F201" t="s">
        <v>93</v>
      </c>
      <c r="G201" t="s">
        <v>25</v>
      </c>
      <c r="H201">
        <v>14</v>
      </c>
      <c r="I201">
        <v>156</v>
      </c>
    </row>
    <row r="202" spans="1:9" x14ac:dyDescent="0.25">
      <c r="A202" s="5" t="str">
        <f>TrendSheetPrdData[[#This Row],[Population]]&amp;TrendSheetPrdData[[#This Row],[Cost Basis]]&amp;TrendSheetPrdData[[#This Row],[Period]]&amp;TrendSheetPrdData[[#This Row],[Trend]]</f>
        <v>EMPLOYEEAllowed2016-07-01ED Utilization</v>
      </c>
      <c r="B202" t="s">
        <v>90</v>
      </c>
      <c r="C202" t="s">
        <v>90</v>
      </c>
      <c r="D202" t="s">
        <v>91</v>
      </c>
      <c r="E202" s="1" t="s">
        <v>96</v>
      </c>
      <c r="F202" t="s">
        <v>93</v>
      </c>
      <c r="G202" t="s">
        <v>25</v>
      </c>
      <c r="H202">
        <v>14</v>
      </c>
      <c r="I202">
        <v>209</v>
      </c>
    </row>
    <row r="203" spans="1:9" x14ac:dyDescent="0.25">
      <c r="A203" s="5" t="str">
        <f>TrendSheetPrdData[[#This Row],[Population]]&amp;TrendSheetPrdData[[#This Row],[Cost Basis]]&amp;TrendSheetPrdData[[#This Row],[Period]]&amp;TrendSheetPrdData[[#This Row],[Trend]]</f>
        <v>EMPLOYEEAllowed2016-08-01ED Utilization</v>
      </c>
      <c r="B203" t="s">
        <v>90</v>
      </c>
      <c r="C203" t="s">
        <v>90</v>
      </c>
      <c r="D203" t="s">
        <v>91</v>
      </c>
      <c r="E203" s="1" t="s">
        <v>97</v>
      </c>
      <c r="F203" t="s">
        <v>93</v>
      </c>
      <c r="G203" t="s">
        <v>25</v>
      </c>
      <c r="H203">
        <v>14</v>
      </c>
      <c r="I203">
        <v>169</v>
      </c>
    </row>
    <row r="204" spans="1:9" x14ac:dyDescent="0.25">
      <c r="A204" s="5" t="str">
        <f>TrendSheetPrdData[[#This Row],[Population]]&amp;TrendSheetPrdData[[#This Row],[Cost Basis]]&amp;TrendSheetPrdData[[#This Row],[Period]]&amp;TrendSheetPrdData[[#This Row],[Trend]]</f>
        <v>EMPLOYEEAllowed2016-09-01ED Utilization</v>
      </c>
      <c r="B204" t="s">
        <v>90</v>
      </c>
      <c r="C204" t="s">
        <v>90</v>
      </c>
      <c r="D204" t="s">
        <v>91</v>
      </c>
      <c r="E204" s="1" t="s">
        <v>98</v>
      </c>
      <c r="F204" t="s">
        <v>93</v>
      </c>
      <c r="G204" t="s">
        <v>25</v>
      </c>
      <c r="H204">
        <v>14</v>
      </c>
      <c r="I204">
        <v>145</v>
      </c>
    </row>
    <row r="205" spans="1:9" x14ac:dyDescent="0.25">
      <c r="A205" s="5" t="str">
        <f>TrendSheetPrdData[[#This Row],[Population]]&amp;TrendSheetPrdData[[#This Row],[Cost Basis]]&amp;TrendSheetPrdData[[#This Row],[Period]]&amp;TrendSheetPrdData[[#This Row],[Trend]]</f>
        <v>EMPLOYEEAllowed2016-10-01ED Utilization</v>
      </c>
      <c r="B205" t="s">
        <v>90</v>
      </c>
      <c r="C205" t="s">
        <v>90</v>
      </c>
      <c r="D205" t="s">
        <v>91</v>
      </c>
      <c r="E205" s="1" t="s">
        <v>99</v>
      </c>
      <c r="F205" t="s">
        <v>93</v>
      </c>
      <c r="G205" t="s">
        <v>25</v>
      </c>
      <c r="H205">
        <v>14</v>
      </c>
      <c r="I205">
        <v>191</v>
      </c>
    </row>
    <row r="206" spans="1:9" x14ac:dyDescent="0.25">
      <c r="A206" s="5" t="str">
        <f>TrendSheetPrdData[[#This Row],[Population]]&amp;TrendSheetPrdData[[#This Row],[Cost Basis]]&amp;TrendSheetPrdData[[#This Row],[Period]]&amp;TrendSheetPrdData[[#This Row],[Trend]]</f>
        <v>EMPLOYEEAllowed2016-11-01ED Utilization</v>
      </c>
      <c r="B206" t="s">
        <v>90</v>
      </c>
      <c r="C206" t="s">
        <v>90</v>
      </c>
      <c r="D206" t="s">
        <v>91</v>
      </c>
      <c r="E206" s="1" t="s">
        <v>100</v>
      </c>
      <c r="F206" t="s">
        <v>93</v>
      </c>
      <c r="G206" t="s">
        <v>25</v>
      </c>
      <c r="H206">
        <v>14</v>
      </c>
      <c r="I206">
        <v>186</v>
      </c>
    </row>
    <row r="207" spans="1:9" x14ac:dyDescent="0.25">
      <c r="A207" s="5" t="str">
        <f>TrendSheetPrdData[[#This Row],[Population]]&amp;TrendSheetPrdData[[#This Row],[Cost Basis]]&amp;TrendSheetPrdData[[#This Row],[Period]]&amp;TrendSheetPrdData[[#This Row],[Trend]]</f>
        <v>EMPLOYEEAllowed2016-12-01ED Utilization</v>
      </c>
      <c r="B207" t="s">
        <v>90</v>
      </c>
      <c r="C207" t="s">
        <v>90</v>
      </c>
      <c r="D207" t="s">
        <v>91</v>
      </c>
      <c r="E207" s="1" t="s">
        <v>101</v>
      </c>
      <c r="F207" t="s">
        <v>93</v>
      </c>
      <c r="G207" t="s">
        <v>25</v>
      </c>
      <c r="H207">
        <v>14</v>
      </c>
      <c r="I207">
        <v>146</v>
      </c>
    </row>
    <row r="208" spans="1:9" x14ac:dyDescent="0.25">
      <c r="A208" s="5" t="str">
        <f>TrendSheetPrdData[[#This Row],[Population]]&amp;TrendSheetPrdData[[#This Row],[Cost Basis]]&amp;TrendSheetPrdData[[#This Row],[Period]]&amp;TrendSheetPrdData[[#This Row],[Trend]]</f>
        <v>EMPLOYEEAllowed2017-01-01ED Utilization</v>
      </c>
      <c r="B208" t="s">
        <v>90</v>
      </c>
      <c r="C208" t="s">
        <v>90</v>
      </c>
      <c r="D208" t="s">
        <v>91</v>
      </c>
      <c r="E208" s="1" t="s">
        <v>102</v>
      </c>
      <c r="F208" t="s">
        <v>93</v>
      </c>
      <c r="G208" t="s">
        <v>25</v>
      </c>
      <c r="H208">
        <v>14</v>
      </c>
      <c r="I208">
        <v>150</v>
      </c>
    </row>
    <row r="209" spans="1:9" x14ac:dyDescent="0.25">
      <c r="A209" s="5" t="str">
        <f>TrendSheetPrdData[[#This Row],[Population]]&amp;TrendSheetPrdData[[#This Row],[Cost Basis]]&amp;TrendSheetPrdData[[#This Row],[Period]]&amp;TrendSheetPrdData[[#This Row],[Trend]]</f>
        <v>EMPLOYEEAllowed2017-02-01ED Utilization</v>
      </c>
      <c r="B209" t="s">
        <v>90</v>
      </c>
      <c r="C209" t="s">
        <v>90</v>
      </c>
      <c r="D209" t="s">
        <v>91</v>
      </c>
      <c r="E209" s="1" t="s">
        <v>103</v>
      </c>
      <c r="F209" t="s">
        <v>106</v>
      </c>
      <c r="G209" t="s">
        <v>25</v>
      </c>
      <c r="H209">
        <v>14</v>
      </c>
      <c r="I209">
        <v>142</v>
      </c>
    </row>
    <row r="210" spans="1:9" x14ac:dyDescent="0.25">
      <c r="A210" s="5" t="str">
        <f>TrendSheetPrdData[[#This Row],[Population]]&amp;TrendSheetPrdData[[#This Row],[Cost Basis]]&amp;TrendSheetPrdData[[#This Row],[Period]]&amp;TrendSheetPrdData[[#This Row],[Trend]]</f>
        <v>EMPLOYEEAllowed2017-03-01ED Utilization</v>
      </c>
      <c r="B210" t="s">
        <v>90</v>
      </c>
      <c r="C210" t="s">
        <v>90</v>
      </c>
      <c r="D210" t="s">
        <v>91</v>
      </c>
      <c r="E210" s="1" t="s">
        <v>104</v>
      </c>
      <c r="F210" t="s">
        <v>106</v>
      </c>
      <c r="G210" t="s">
        <v>25</v>
      </c>
      <c r="H210">
        <v>14</v>
      </c>
      <c r="I210">
        <v>167</v>
      </c>
    </row>
    <row r="211" spans="1:9" x14ac:dyDescent="0.25">
      <c r="A211" s="5" t="str">
        <f>TrendSheetPrdData[[#This Row],[Population]]&amp;TrendSheetPrdData[[#This Row],[Cost Basis]]&amp;TrendSheetPrdData[[#This Row],[Period]]&amp;TrendSheetPrdData[[#This Row],[Trend]]</f>
        <v>EMPLOYEEAllowed2017-04-01ED Utilization</v>
      </c>
      <c r="B211" t="s">
        <v>90</v>
      </c>
      <c r="C211" t="s">
        <v>90</v>
      </c>
      <c r="D211" t="s">
        <v>91</v>
      </c>
      <c r="E211" s="1" t="s">
        <v>105</v>
      </c>
      <c r="F211" t="s">
        <v>106</v>
      </c>
      <c r="G211" t="s">
        <v>25</v>
      </c>
      <c r="H211">
        <v>14</v>
      </c>
      <c r="I211">
        <v>11</v>
      </c>
    </row>
    <row r="212" spans="1:9" x14ac:dyDescent="0.25">
      <c r="A212" s="5" t="str">
        <f>TrendSheetPrdData[[#This Row],[Population]]&amp;TrendSheetPrdData[[#This Row],[Cost Basis]]&amp;TrendSheetPrdData[[#This Row],[Period]]&amp;TrendSheetPrdData[[#This Row],[Trend]]</f>
        <v>EMPLOYEEAllowed2016-02-01Drug - Generic Utilization Cost</v>
      </c>
      <c r="B212" t="s">
        <v>90</v>
      </c>
      <c r="C212" t="s">
        <v>90</v>
      </c>
      <c r="D212" t="s">
        <v>91</v>
      </c>
      <c r="E212" s="1" t="s">
        <v>124</v>
      </c>
      <c r="F212" t="s">
        <v>93</v>
      </c>
      <c r="G212" t="s">
        <v>26</v>
      </c>
      <c r="H212">
        <v>15</v>
      </c>
      <c r="I212">
        <v>717037</v>
      </c>
    </row>
    <row r="213" spans="1:9" x14ac:dyDescent="0.25">
      <c r="A213" s="5" t="str">
        <f>TrendSheetPrdData[[#This Row],[Population]]&amp;TrendSheetPrdData[[#This Row],[Cost Basis]]&amp;TrendSheetPrdData[[#This Row],[Period]]&amp;TrendSheetPrdData[[#This Row],[Trend]]</f>
        <v>EMPLOYEEAllowed2016-03-01Drug - Generic Utilization Cost</v>
      </c>
      <c r="B213" t="s">
        <v>90</v>
      </c>
      <c r="C213" t="s">
        <v>90</v>
      </c>
      <c r="D213" t="s">
        <v>91</v>
      </c>
      <c r="E213" s="1" t="s">
        <v>125</v>
      </c>
      <c r="F213" t="s">
        <v>93</v>
      </c>
      <c r="G213" t="s">
        <v>26</v>
      </c>
      <c r="H213">
        <v>15</v>
      </c>
      <c r="I213">
        <v>850424</v>
      </c>
    </row>
    <row r="214" spans="1:9" x14ac:dyDescent="0.25">
      <c r="A214" s="5" t="str">
        <f>TrendSheetPrdData[[#This Row],[Population]]&amp;TrendSheetPrdData[[#This Row],[Cost Basis]]&amp;TrendSheetPrdData[[#This Row],[Period]]&amp;TrendSheetPrdData[[#This Row],[Trend]]</f>
        <v>EMPLOYEEAllowed2016-04-01Drug - Generic Utilization Cost</v>
      </c>
      <c r="B214" t="s">
        <v>90</v>
      </c>
      <c r="C214" t="s">
        <v>90</v>
      </c>
      <c r="D214" t="s">
        <v>91</v>
      </c>
      <c r="E214" s="1" t="s">
        <v>92</v>
      </c>
      <c r="F214" t="s">
        <v>93</v>
      </c>
      <c r="G214" t="s">
        <v>26</v>
      </c>
      <c r="H214">
        <v>15</v>
      </c>
      <c r="I214">
        <v>642191</v>
      </c>
    </row>
    <row r="215" spans="1:9" x14ac:dyDescent="0.25">
      <c r="A215" s="5" t="str">
        <f>TrendSheetPrdData[[#This Row],[Population]]&amp;TrendSheetPrdData[[#This Row],[Cost Basis]]&amp;TrendSheetPrdData[[#This Row],[Period]]&amp;TrendSheetPrdData[[#This Row],[Trend]]</f>
        <v>EMPLOYEEAllowed2016-05-01Drug - Generic Utilization Cost</v>
      </c>
      <c r="B215" t="s">
        <v>90</v>
      </c>
      <c r="C215" t="s">
        <v>90</v>
      </c>
      <c r="D215" t="s">
        <v>91</v>
      </c>
      <c r="E215" s="1" t="s">
        <v>94</v>
      </c>
      <c r="F215" t="s">
        <v>93</v>
      </c>
      <c r="G215" t="s">
        <v>26</v>
      </c>
      <c r="H215">
        <v>15</v>
      </c>
      <c r="I215">
        <v>692167</v>
      </c>
    </row>
    <row r="216" spans="1:9" x14ac:dyDescent="0.25">
      <c r="A216" s="5" t="str">
        <f>TrendSheetPrdData[[#This Row],[Population]]&amp;TrendSheetPrdData[[#This Row],[Cost Basis]]&amp;TrendSheetPrdData[[#This Row],[Period]]&amp;TrendSheetPrdData[[#This Row],[Trend]]</f>
        <v>EMPLOYEEAllowed2016-06-01Drug - Generic Utilization Cost</v>
      </c>
      <c r="B216" t="s">
        <v>90</v>
      </c>
      <c r="C216" t="s">
        <v>90</v>
      </c>
      <c r="D216" t="s">
        <v>91</v>
      </c>
      <c r="E216" s="1" t="s">
        <v>95</v>
      </c>
      <c r="F216" t="s">
        <v>93</v>
      </c>
      <c r="G216" t="s">
        <v>26</v>
      </c>
      <c r="H216">
        <v>15</v>
      </c>
      <c r="I216">
        <v>706411</v>
      </c>
    </row>
    <row r="217" spans="1:9" x14ac:dyDescent="0.25">
      <c r="A217" s="5" t="str">
        <f>TrendSheetPrdData[[#This Row],[Population]]&amp;TrendSheetPrdData[[#This Row],[Cost Basis]]&amp;TrendSheetPrdData[[#This Row],[Period]]&amp;TrendSheetPrdData[[#This Row],[Trend]]</f>
        <v>EMPLOYEEAllowed2016-07-01Drug - Generic Utilization Cost</v>
      </c>
      <c r="B217" t="s">
        <v>90</v>
      </c>
      <c r="C217" t="s">
        <v>90</v>
      </c>
      <c r="D217" t="s">
        <v>91</v>
      </c>
      <c r="E217" s="1" t="s">
        <v>96</v>
      </c>
      <c r="F217" t="s">
        <v>93</v>
      </c>
      <c r="G217" t="s">
        <v>26</v>
      </c>
      <c r="H217">
        <v>15</v>
      </c>
      <c r="I217">
        <v>709798</v>
      </c>
    </row>
    <row r="218" spans="1:9" x14ac:dyDescent="0.25">
      <c r="A218" s="5" t="str">
        <f>TrendSheetPrdData[[#This Row],[Population]]&amp;TrendSheetPrdData[[#This Row],[Cost Basis]]&amp;TrendSheetPrdData[[#This Row],[Period]]&amp;TrendSheetPrdData[[#This Row],[Trend]]</f>
        <v>EMPLOYEEAllowed2016-08-01Drug - Generic Utilization Cost</v>
      </c>
      <c r="B218" t="s">
        <v>90</v>
      </c>
      <c r="C218" t="s">
        <v>90</v>
      </c>
      <c r="D218" t="s">
        <v>91</v>
      </c>
      <c r="E218" s="1" t="s">
        <v>97</v>
      </c>
      <c r="F218" t="s">
        <v>93</v>
      </c>
      <c r="G218" t="s">
        <v>26</v>
      </c>
      <c r="H218">
        <v>15</v>
      </c>
      <c r="I218">
        <v>866234</v>
      </c>
    </row>
    <row r="219" spans="1:9" x14ac:dyDescent="0.25">
      <c r="A219" s="5" t="str">
        <f>TrendSheetPrdData[[#This Row],[Population]]&amp;TrendSheetPrdData[[#This Row],[Cost Basis]]&amp;TrendSheetPrdData[[#This Row],[Period]]&amp;TrendSheetPrdData[[#This Row],[Trend]]</f>
        <v>EMPLOYEEAllowed2016-09-01Drug - Generic Utilization Cost</v>
      </c>
      <c r="B219" t="s">
        <v>90</v>
      </c>
      <c r="C219" t="s">
        <v>90</v>
      </c>
      <c r="D219" t="s">
        <v>91</v>
      </c>
      <c r="E219" s="1" t="s">
        <v>98</v>
      </c>
      <c r="F219" t="s">
        <v>93</v>
      </c>
      <c r="G219" t="s">
        <v>26</v>
      </c>
      <c r="H219">
        <v>15</v>
      </c>
      <c r="I219">
        <v>765733</v>
      </c>
    </row>
    <row r="220" spans="1:9" x14ac:dyDescent="0.25">
      <c r="A220" s="5" t="str">
        <f>TrendSheetPrdData[[#This Row],[Population]]&amp;TrendSheetPrdData[[#This Row],[Cost Basis]]&amp;TrendSheetPrdData[[#This Row],[Period]]&amp;TrendSheetPrdData[[#This Row],[Trend]]</f>
        <v>EMPLOYEEAllowed2016-10-01Drug - Generic Utilization Cost</v>
      </c>
      <c r="B220" t="s">
        <v>90</v>
      </c>
      <c r="C220" t="s">
        <v>90</v>
      </c>
      <c r="D220" t="s">
        <v>91</v>
      </c>
      <c r="E220" s="1" t="s">
        <v>99</v>
      </c>
      <c r="F220" t="s">
        <v>93</v>
      </c>
      <c r="G220" t="s">
        <v>26</v>
      </c>
      <c r="H220">
        <v>15</v>
      </c>
      <c r="I220">
        <v>735579</v>
      </c>
    </row>
    <row r="221" spans="1:9" x14ac:dyDescent="0.25">
      <c r="A221" s="5" t="str">
        <f>TrendSheetPrdData[[#This Row],[Population]]&amp;TrendSheetPrdData[[#This Row],[Cost Basis]]&amp;TrendSheetPrdData[[#This Row],[Period]]&amp;TrendSheetPrdData[[#This Row],[Trend]]</f>
        <v>EMPLOYEEAllowed2016-11-01Drug - Generic Utilization Cost</v>
      </c>
      <c r="B221" t="s">
        <v>90</v>
      </c>
      <c r="C221" t="s">
        <v>90</v>
      </c>
      <c r="D221" t="s">
        <v>91</v>
      </c>
      <c r="E221" s="1" t="s">
        <v>100</v>
      </c>
      <c r="F221" t="s">
        <v>93</v>
      </c>
      <c r="G221" t="s">
        <v>26</v>
      </c>
      <c r="H221">
        <v>15</v>
      </c>
      <c r="I221">
        <v>726488</v>
      </c>
    </row>
    <row r="222" spans="1:9" x14ac:dyDescent="0.25">
      <c r="A222" s="5" t="str">
        <f>TrendSheetPrdData[[#This Row],[Population]]&amp;TrendSheetPrdData[[#This Row],[Cost Basis]]&amp;TrendSheetPrdData[[#This Row],[Period]]&amp;TrendSheetPrdData[[#This Row],[Trend]]</f>
        <v>EMPLOYEEAllowed2016-12-01Drug - Generic Utilization Cost</v>
      </c>
      <c r="B222" t="s">
        <v>90</v>
      </c>
      <c r="C222" t="s">
        <v>90</v>
      </c>
      <c r="D222" t="s">
        <v>91</v>
      </c>
      <c r="E222" s="1" t="s">
        <v>101</v>
      </c>
      <c r="F222" t="s">
        <v>93</v>
      </c>
      <c r="G222" t="s">
        <v>26</v>
      </c>
      <c r="H222">
        <v>15</v>
      </c>
      <c r="I222">
        <v>846841</v>
      </c>
    </row>
    <row r="223" spans="1:9" x14ac:dyDescent="0.25">
      <c r="A223" s="5" t="str">
        <f>TrendSheetPrdData[[#This Row],[Population]]&amp;TrendSheetPrdData[[#This Row],[Cost Basis]]&amp;TrendSheetPrdData[[#This Row],[Period]]&amp;TrendSheetPrdData[[#This Row],[Trend]]</f>
        <v>EMPLOYEEAllowed2017-01-01Drug - Generic Utilization Cost</v>
      </c>
      <c r="B223" t="s">
        <v>90</v>
      </c>
      <c r="C223" t="s">
        <v>90</v>
      </c>
      <c r="D223" t="s">
        <v>91</v>
      </c>
      <c r="E223" s="1" t="s">
        <v>102</v>
      </c>
      <c r="F223" t="s">
        <v>93</v>
      </c>
      <c r="G223" t="s">
        <v>26</v>
      </c>
      <c r="H223">
        <v>15</v>
      </c>
      <c r="I223">
        <v>798925</v>
      </c>
    </row>
    <row r="224" spans="1:9" x14ac:dyDescent="0.25">
      <c r="A224" s="5" t="str">
        <f>TrendSheetPrdData[[#This Row],[Population]]&amp;TrendSheetPrdData[[#This Row],[Cost Basis]]&amp;TrendSheetPrdData[[#This Row],[Period]]&amp;TrendSheetPrdData[[#This Row],[Trend]]</f>
        <v>EMPLOYEEAllowed2017-02-01Drug - Generic Utilization Cost</v>
      </c>
      <c r="B224" t="s">
        <v>90</v>
      </c>
      <c r="C224" t="s">
        <v>90</v>
      </c>
      <c r="D224" t="s">
        <v>91</v>
      </c>
      <c r="E224" s="1" t="s">
        <v>103</v>
      </c>
      <c r="F224" t="s">
        <v>106</v>
      </c>
      <c r="G224" t="s">
        <v>26</v>
      </c>
      <c r="H224">
        <v>15</v>
      </c>
      <c r="I224">
        <v>727705</v>
      </c>
    </row>
    <row r="225" spans="1:9" x14ac:dyDescent="0.25">
      <c r="A225" s="5" t="str">
        <f>TrendSheetPrdData[[#This Row],[Population]]&amp;TrendSheetPrdData[[#This Row],[Cost Basis]]&amp;TrendSheetPrdData[[#This Row],[Period]]&amp;TrendSheetPrdData[[#This Row],[Trend]]</f>
        <v>EMPLOYEEAllowed2017-03-01Drug - Generic Utilization Cost</v>
      </c>
      <c r="B225" t="s">
        <v>90</v>
      </c>
      <c r="C225" t="s">
        <v>90</v>
      </c>
      <c r="D225" t="s">
        <v>91</v>
      </c>
      <c r="E225" s="1" t="s">
        <v>104</v>
      </c>
      <c r="F225" t="s">
        <v>106</v>
      </c>
      <c r="G225" t="s">
        <v>26</v>
      </c>
      <c r="H225">
        <v>15</v>
      </c>
      <c r="I225">
        <v>770673</v>
      </c>
    </row>
    <row r="226" spans="1:9" x14ac:dyDescent="0.25">
      <c r="A226" s="5" t="str">
        <f>TrendSheetPrdData[[#This Row],[Population]]&amp;TrendSheetPrdData[[#This Row],[Cost Basis]]&amp;TrendSheetPrdData[[#This Row],[Period]]&amp;TrendSheetPrdData[[#This Row],[Trend]]</f>
        <v>EMPLOYEEAllowed2017-04-01Drug - Generic Utilization Cost</v>
      </c>
      <c r="B226" t="s">
        <v>90</v>
      </c>
      <c r="C226" t="s">
        <v>90</v>
      </c>
      <c r="D226" t="s">
        <v>91</v>
      </c>
      <c r="E226" s="1" t="s">
        <v>105</v>
      </c>
      <c r="F226" t="s">
        <v>106</v>
      </c>
      <c r="G226" t="s">
        <v>26</v>
      </c>
      <c r="H226">
        <v>15</v>
      </c>
      <c r="I226">
        <v>676938</v>
      </c>
    </row>
    <row r="227" spans="1:9" x14ac:dyDescent="0.25">
      <c r="A227" s="5" t="str">
        <f>TrendSheetPrdData[[#This Row],[Population]]&amp;TrendSheetPrdData[[#This Row],[Cost Basis]]&amp;TrendSheetPrdData[[#This Row],[Period]]&amp;TrendSheetPrdData[[#This Row],[Trend]]</f>
        <v>EMPLOYEEAllowed2016-02-01Drug - Generic Utilization</v>
      </c>
      <c r="B227" t="s">
        <v>90</v>
      </c>
      <c r="C227" t="s">
        <v>90</v>
      </c>
      <c r="D227" t="s">
        <v>91</v>
      </c>
      <c r="E227" s="1" t="s">
        <v>124</v>
      </c>
      <c r="F227" t="s">
        <v>93</v>
      </c>
      <c r="G227" t="s">
        <v>27</v>
      </c>
      <c r="H227">
        <v>16</v>
      </c>
      <c r="I227">
        <v>0.86</v>
      </c>
    </row>
    <row r="228" spans="1:9" x14ac:dyDescent="0.25">
      <c r="A228" s="5" t="str">
        <f>TrendSheetPrdData[[#This Row],[Population]]&amp;TrendSheetPrdData[[#This Row],[Cost Basis]]&amp;TrendSheetPrdData[[#This Row],[Period]]&amp;TrendSheetPrdData[[#This Row],[Trend]]</f>
        <v>EMPLOYEEAllowed2016-03-01Drug - Generic Utilization</v>
      </c>
      <c r="B228" t="s">
        <v>90</v>
      </c>
      <c r="C228" t="s">
        <v>90</v>
      </c>
      <c r="D228" t="s">
        <v>91</v>
      </c>
      <c r="E228" s="1" t="s">
        <v>125</v>
      </c>
      <c r="F228" t="s">
        <v>93</v>
      </c>
      <c r="G228" t="s">
        <v>27</v>
      </c>
      <c r="H228">
        <v>16</v>
      </c>
      <c r="I228">
        <v>0.87</v>
      </c>
    </row>
    <row r="229" spans="1:9" x14ac:dyDescent="0.25">
      <c r="A229" s="5" t="str">
        <f>TrendSheetPrdData[[#This Row],[Population]]&amp;TrendSheetPrdData[[#This Row],[Cost Basis]]&amp;TrendSheetPrdData[[#This Row],[Period]]&amp;TrendSheetPrdData[[#This Row],[Trend]]</f>
        <v>EMPLOYEEAllowed2016-04-01Drug - Generic Utilization</v>
      </c>
      <c r="B229" t="s">
        <v>90</v>
      </c>
      <c r="C229" t="s">
        <v>90</v>
      </c>
      <c r="D229" t="s">
        <v>91</v>
      </c>
      <c r="E229" s="1" t="s">
        <v>92</v>
      </c>
      <c r="F229" t="s">
        <v>93</v>
      </c>
      <c r="G229" t="s">
        <v>27</v>
      </c>
      <c r="H229">
        <v>16</v>
      </c>
      <c r="I229">
        <v>0.87</v>
      </c>
    </row>
    <row r="230" spans="1:9" x14ac:dyDescent="0.25">
      <c r="A230" s="5" t="str">
        <f>TrendSheetPrdData[[#This Row],[Population]]&amp;TrendSheetPrdData[[#This Row],[Cost Basis]]&amp;TrendSheetPrdData[[#This Row],[Period]]&amp;TrendSheetPrdData[[#This Row],[Trend]]</f>
        <v>EMPLOYEEAllowed2016-05-01Drug - Generic Utilization</v>
      </c>
      <c r="B230" t="s">
        <v>90</v>
      </c>
      <c r="C230" t="s">
        <v>90</v>
      </c>
      <c r="D230" t="s">
        <v>91</v>
      </c>
      <c r="E230" s="1" t="s">
        <v>94</v>
      </c>
      <c r="F230" t="s">
        <v>93</v>
      </c>
      <c r="G230" t="s">
        <v>27</v>
      </c>
      <c r="H230">
        <v>16</v>
      </c>
      <c r="I230">
        <v>0.88</v>
      </c>
    </row>
    <row r="231" spans="1:9" x14ac:dyDescent="0.25">
      <c r="A231" s="5" t="str">
        <f>TrendSheetPrdData[[#This Row],[Population]]&amp;TrendSheetPrdData[[#This Row],[Cost Basis]]&amp;TrendSheetPrdData[[#This Row],[Period]]&amp;TrendSheetPrdData[[#This Row],[Trend]]</f>
        <v>EMPLOYEEAllowed2016-06-01Drug - Generic Utilization</v>
      </c>
      <c r="B231" t="s">
        <v>90</v>
      </c>
      <c r="C231" t="s">
        <v>90</v>
      </c>
      <c r="D231" t="s">
        <v>91</v>
      </c>
      <c r="E231" s="1" t="s">
        <v>95</v>
      </c>
      <c r="F231" t="s">
        <v>93</v>
      </c>
      <c r="G231" t="s">
        <v>27</v>
      </c>
      <c r="H231">
        <v>16</v>
      </c>
      <c r="I231">
        <v>0.88</v>
      </c>
    </row>
    <row r="232" spans="1:9" x14ac:dyDescent="0.25">
      <c r="A232" s="5" t="str">
        <f>TrendSheetPrdData[[#This Row],[Population]]&amp;TrendSheetPrdData[[#This Row],[Cost Basis]]&amp;TrendSheetPrdData[[#This Row],[Period]]&amp;TrendSheetPrdData[[#This Row],[Trend]]</f>
        <v>EMPLOYEEAllowed2016-07-01Drug - Generic Utilization</v>
      </c>
      <c r="B232" t="s">
        <v>90</v>
      </c>
      <c r="C232" t="s">
        <v>90</v>
      </c>
      <c r="D232" t="s">
        <v>91</v>
      </c>
      <c r="E232" s="1" t="s">
        <v>96</v>
      </c>
      <c r="F232" t="s">
        <v>93</v>
      </c>
      <c r="G232" t="s">
        <v>27</v>
      </c>
      <c r="H232">
        <v>16</v>
      </c>
      <c r="I232">
        <v>0.87</v>
      </c>
    </row>
    <row r="233" spans="1:9" x14ac:dyDescent="0.25">
      <c r="A233" s="5" t="str">
        <f>TrendSheetPrdData[[#This Row],[Population]]&amp;TrendSheetPrdData[[#This Row],[Cost Basis]]&amp;TrendSheetPrdData[[#This Row],[Period]]&amp;TrendSheetPrdData[[#This Row],[Trend]]</f>
        <v>EMPLOYEEAllowed2016-08-01Drug - Generic Utilization</v>
      </c>
      <c r="B233" t="s">
        <v>90</v>
      </c>
      <c r="C233" t="s">
        <v>90</v>
      </c>
      <c r="D233" t="s">
        <v>91</v>
      </c>
      <c r="E233" s="1" t="s">
        <v>97</v>
      </c>
      <c r="F233" t="s">
        <v>93</v>
      </c>
      <c r="G233" t="s">
        <v>27</v>
      </c>
      <c r="H233">
        <v>16</v>
      </c>
      <c r="I233">
        <v>0.87</v>
      </c>
    </row>
    <row r="234" spans="1:9" x14ac:dyDescent="0.25">
      <c r="A234" s="5" t="str">
        <f>TrendSheetPrdData[[#This Row],[Population]]&amp;TrendSheetPrdData[[#This Row],[Cost Basis]]&amp;TrendSheetPrdData[[#This Row],[Period]]&amp;TrendSheetPrdData[[#This Row],[Trend]]</f>
        <v>EMPLOYEEAllowed2016-09-01Drug - Generic Utilization</v>
      </c>
      <c r="B234" t="s">
        <v>90</v>
      </c>
      <c r="C234" t="s">
        <v>90</v>
      </c>
      <c r="D234" t="s">
        <v>91</v>
      </c>
      <c r="E234" s="1" t="s">
        <v>98</v>
      </c>
      <c r="F234" t="s">
        <v>93</v>
      </c>
      <c r="G234" t="s">
        <v>27</v>
      </c>
      <c r="H234">
        <v>16</v>
      </c>
      <c r="I234">
        <v>0.88</v>
      </c>
    </row>
    <row r="235" spans="1:9" x14ac:dyDescent="0.25">
      <c r="A235" s="5" t="str">
        <f>TrendSheetPrdData[[#This Row],[Population]]&amp;TrendSheetPrdData[[#This Row],[Cost Basis]]&amp;TrendSheetPrdData[[#This Row],[Period]]&amp;TrendSheetPrdData[[#This Row],[Trend]]</f>
        <v>EMPLOYEEAllowed2016-10-01Drug - Generic Utilization</v>
      </c>
      <c r="B235" t="s">
        <v>90</v>
      </c>
      <c r="C235" t="s">
        <v>90</v>
      </c>
      <c r="D235" t="s">
        <v>91</v>
      </c>
      <c r="E235" s="1" t="s">
        <v>99</v>
      </c>
      <c r="F235" t="s">
        <v>93</v>
      </c>
      <c r="G235" t="s">
        <v>27</v>
      </c>
      <c r="H235">
        <v>16</v>
      </c>
      <c r="I235">
        <v>0.88</v>
      </c>
    </row>
    <row r="236" spans="1:9" x14ac:dyDescent="0.25">
      <c r="A236" s="5" t="str">
        <f>TrendSheetPrdData[[#This Row],[Population]]&amp;TrendSheetPrdData[[#This Row],[Cost Basis]]&amp;TrendSheetPrdData[[#This Row],[Period]]&amp;TrendSheetPrdData[[#This Row],[Trend]]</f>
        <v>EMPLOYEEAllowed2016-11-01Drug - Generic Utilization</v>
      </c>
      <c r="B236" t="s">
        <v>90</v>
      </c>
      <c r="C236" t="s">
        <v>90</v>
      </c>
      <c r="D236" t="s">
        <v>91</v>
      </c>
      <c r="E236" s="1" t="s">
        <v>100</v>
      </c>
      <c r="F236" t="s">
        <v>93</v>
      </c>
      <c r="G236" t="s">
        <v>27</v>
      </c>
      <c r="H236">
        <v>16</v>
      </c>
      <c r="I236">
        <v>0.87</v>
      </c>
    </row>
    <row r="237" spans="1:9" x14ac:dyDescent="0.25">
      <c r="A237" s="5" t="str">
        <f>TrendSheetPrdData[[#This Row],[Population]]&amp;TrendSheetPrdData[[#This Row],[Cost Basis]]&amp;TrendSheetPrdData[[#This Row],[Period]]&amp;TrendSheetPrdData[[#This Row],[Trend]]</f>
        <v>EMPLOYEEAllowed2016-12-01Drug - Generic Utilization</v>
      </c>
      <c r="B237" t="s">
        <v>90</v>
      </c>
      <c r="C237" t="s">
        <v>90</v>
      </c>
      <c r="D237" t="s">
        <v>91</v>
      </c>
      <c r="E237" s="1" t="s">
        <v>101</v>
      </c>
      <c r="F237" t="s">
        <v>93</v>
      </c>
      <c r="G237" t="s">
        <v>27</v>
      </c>
      <c r="H237">
        <v>16</v>
      </c>
      <c r="I237">
        <v>0.88</v>
      </c>
    </row>
    <row r="238" spans="1:9" x14ac:dyDescent="0.25">
      <c r="A238" s="5" t="str">
        <f>TrendSheetPrdData[[#This Row],[Population]]&amp;TrendSheetPrdData[[#This Row],[Cost Basis]]&amp;TrendSheetPrdData[[#This Row],[Period]]&amp;TrendSheetPrdData[[#This Row],[Trend]]</f>
        <v>EMPLOYEEAllowed2017-01-01Drug - Generic Utilization</v>
      </c>
      <c r="B238" t="s">
        <v>90</v>
      </c>
      <c r="C238" t="s">
        <v>90</v>
      </c>
      <c r="D238" t="s">
        <v>91</v>
      </c>
      <c r="E238" s="1" t="s">
        <v>102</v>
      </c>
      <c r="F238" t="s">
        <v>93</v>
      </c>
      <c r="G238" t="s">
        <v>27</v>
      </c>
      <c r="H238">
        <v>16</v>
      </c>
      <c r="I238">
        <v>0.88</v>
      </c>
    </row>
    <row r="239" spans="1:9" x14ac:dyDescent="0.25">
      <c r="A239" s="5" t="str">
        <f>TrendSheetPrdData[[#This Row],[Population]]&amp;TrendSheetPrdData[[#This Row],[Cost Basis]]&amp;TrendSheetPrdData[[#This Row],[Period]]&amp;TrendSheetPrdData[[#This Row],[Trend]]</f>
        <v>EMPLOYEEAllowed2017-02-01Drug - Generic Utilization</v>
      </c>
      <c r="B239" t="s">
        <v>90</v>
      </c>
      <c r="C239" t="s">
        <v>90</v>
      </c>
      <c r="D239" t="s">
        <v>91</v>
      </c>
      <c r="E239" s="1" t="s">
        <v>103</v>
      </c>
      <c r="F239" t="s">
        <v>106</v>
      </c>
      <c r="G239" t="s">
        <v>27</v>
      </c>
      <c r="H239">
        <v>16</v>
      </c>
      <c r="I239">
        <v>0.87</v>
      </c>
    </row>
    <row r="240" spans="1:9" x14ac:dyDescent="0.25">
      <c r="A240" s="5" t="str">
        <f>TrendSheetPrdData[[#This Row],[Population]]&amp;TrendSheetPrdData[[#This Row],[Cost Basis]]&amp;TrendSheetPrdData[[#This Row],[Period]]&amp;TrendSheetPrdData[[#This Row],[Trend]]</f>
        <v>EMPLOYEEAllowed2017-03-01Drug - Generic Utilization</v>
      </c>
      <c r="B240" t="s">
        <v>90</v>
      </c>
      <c r="C240" t="s">
        <v>90</v>
      </c>
      <c r="D240" t="s">
        <v>91</v>
      </c>
      <c r="E240" s="1" t="s">
        <v>104</v>
      </c>
      <c r="F240" t="s">
        <v>106</v>
      </c>
      <c r="G240" t="s">
        <v>27</v>
      </c>
      <c r="H240">
        <v>16</v>
      </c>
      <c r="I240">
        <v>0.89</v>
      </c>
    </row>
    <row r="241" spans="1:9" x14ac:dyDescent="0.25">
      <c r="A241" s="5" t="str">
        <f>TrendSheetPrdData[[#This Row],[Population]]&amp;TrendSheetPrdData[[#This Row],[Cost Basis]]&amp;TrendSheetPrdData[[#This Row],[Period]]&amp;TrendSheetPrdData[[#This Row],[Trend]]</f>
        <v>EMPLOYEEAllowed2017-04-01Drug - Generic Utilization</v>
      </c>
      <c r="B241" t="s">
        <v>90</v>
      </c>
      <c r="C241" t="s">
        <v>90</v>
      </c>
      <c r="D241" t="s">
        <v>91</v>
      </c>
      <c r="E241" s="1" t="s">
        <v>105</v>
      </c>
      <c r="F241" t="s">
        <v>106</v>
      </c>
      <c r="G241" t="s">
        <v>27</v>
      </c>
      <c r="H241">
        <v>16</v>
      </c>
      <c r="I241">
        <v>0.89</v>
      </c>
    </row>
    <row r="242" spans="1:9" x14ac:dyDescent="0.25">
      <c r="A242" s="5" t="str">
        <f>TrendSheetPrdData[[#This Row],[Population]]&amp;TrendSheetPrdData[[#This Row],[Cost Basis]]&amp;TrendSheetPrdData[[#This Row],[Period]]&amp;TrendSheetPrdData[[#This Row],[Trend]]</f>
        <v>EMPLOYEEAllowed2016-02-01Chronic Disease Management - Cost</v>
      </c>
      <c r="B242" t="s">
        <v>90</v>
      </c>
      <c r="C242" t="s">
        <v>90</v>
      </c>
      <c r="D242" t="s">
        <v>91</v>
      </c>
      <c r="E242" s="1" t="s">
        <v>124</v>
      </c>
      <c r="F242" t="s">
        <v>93</v>
      </c>
      <c r="G242" t="s">
        <v>28</v>
      </c>
      <c r="H242">
        <v>17</v>
      </c>
      <c r="I242">
        <v>3138886</v>
      </c>
    </row>
    <row r="243" spans="1:9" x14ac:dyDescent="0.25">
      <c r="A243" s="5" t="str">
        <f>TrendSheetPrdData[[#This Row],[Population]]&amp;TrendSheetPrdData[[#This Row],[Cost Basis]]&amp;TrendSheetPrdData[[#This Row],[Period]]&amp;TrendSheetPrdData[[#This Row],[Trend]]</f>
        <v>EMPLOYEEAllowed2016-03-01Chronic Disease Management - Cost</v>
      </c>
      <c r="B243" t="s">
        <v>90</v>
      </c>
      <c r="C243" t="s">
        <v>90</v>
      </c>
      <c r="D243" t="s">
        <v>91</v>
      </c>
      <c r="E243" s="1" t="s">
        <v>125</v>
      </c>
      <c r="F243" t="s">
        <v>93</v>
      </c>
      <c r="G243" t="s">
        <v>28</v>
      </c>
      <c r="H243">
        <v>17</v>
      </c>
      <c r="I243">
        <v>3516088</v>
      </c>
    </row>
    <row r="244" spans="1:9" x14ac:dyDescent="0.25">
      <c r="A244" s="5" t="str">
        <f>TrendSheetPrdData[[#This Row],[Population]]&amp;TrendSheetPrdData[[#This Row],[Cost Basis]]&amp;TrendSheetPrdData[[#This Row],[Period]]&amp;TrendSheetPrdData[[#This Row],[Trend]]</f>
        <v>EMPLOYEEAllowed2016-04-01Chronic Disease Management - Cost</v>
      </c>
      <c r="B244" t="s">
        <v>90</v>
      </c>
      <c r="C244" t="s">
        <v>90</v>
      </c>
      <c r="D244" t="s">
        <v>91</v>
      </c>
      <c r="E244" s="1" t="s">
        <v>92</v>
      </c>
      <c r="F244" t="s">
        <v>93</v>
      </c>
      <c r="G244" t="s">
        <v>28</v>
      </c>
      <c r="H244">
        <v>17</v>
      </c>
      <c r="I244">
        <v>2720015</v>
      </c>
    </row>
    <row r="245" spans="1:9" x14ac:dyDescent="0.25">
      <c r="A245" s="5" t="str">
        <f>TrendSheetPrdData[[#This Row],[Population]]&amp;TrendSheetPrdData[[#This Row],[Cost Basis]]&amp;TrendSheetPrdData[[#This Row],[Period]]&amp;TrendSheetPrdData[[#This Row],[Trend]]</f>
        <v>EMPLOYEEAllowed2016-05-01Chronic Disease Management - Cost</v>
      </c>
      <c r="B245" t="s">
        <v>90</v>
      </c>
      <c r="C245" t="s">
        <v>90</v>
      </c>
      <c r="D245" t="s">
        <v>91</v>
      </c>
      <c r="E245" s="1" t="s">
        <v>94</v>
      </c>
      <c r="F245" t="s">
        <v>93</v>
      </c>
      <c r="G245" t="s">
        <v>28</v>
      </c>
      <c r="H245">
        <v>17</v>
      </c>
      <c r="I245">
        <v>2610543</v>
      </c>
    </row>
    <row r="246" spans="1:9" x14ac:dyDescent="0.25">
      <c r="A246" s="5" t="str">
        <f>TrendSheetPrdData[[#This Row],[Population]]&amp;TrendSheetPrdData[[#This Row],[Cost Basis]]&amp;TrendSheetPrdData[[#This Row],[Period]]&amp;TrendSheetPrdData[[#This Row],[Trend]]</f>
        <v>EMPLOYEEAllowed2016-06-01Chronic Disease Management - Cost</v>
      </c>
      <c r="B246" t="s">
        <v>90</v>
      </c>
      <c r="C246" t="s">
        <v>90</v>
      </c>
      <c r="D246" t="s">
        <v>91</v>
      </c>
      <c r="E246" s="1" t="s">
        <v>95</v>
      </c>
      <c r="F246" t="s">
        <v>93</v>
      </c>
      <c r="G246" t="s">
        <v>28</v>
      </c>
      <c r="H246">
        <v>17</v>
      </c>
      <c r="I246">
        <v>3071280</v>
      </c>
    </row>
    <row r="247" spans="1:9" x14ac:dyDescent="0.25">
      <c r="A247" s="5" t="str">
        <f>TrendSheetPrdData[[#This Row],[Population]]&amp;TrendSheetPrdData[[#This Row],[Cost Basis]]&amp;TrendSheetPrdData[[#This Row],[Period]]&amp;TrendSheetPrdData[[#This Row],[Trend]]</f>
        <v>EMPLOYEEAllowed2016-07-01Chronic Disease Management - Cost</v>
      </c>
      <c r="B247" t="s">
        <v>90</v>
      </c>
      <c r="C247" t="s">
        <v>90</v>
      </c>
      <c r="D247" t="s">
        <v>91</v>
      </c>
      <c r="E247" s="1" t="s">
        <v>96</v>
      </c>
      <c r="F247" t="s">
        <v>93</v>
      </c>
      <c r="G247" t="s">
        <v>28</v>
      </c>
      <c r="H247">
        <v>17</v>
      </c>
      <c r="I247">
        <v>2613902</v>
      </c>
    </row>
    <row r="248" spans="1:9" x14ac:dyDescent="0.25">
      <c r="A248" s="5" t="str">
        <f>TrendSheetPrdData[[#This Row],[Population]]&amp;TrendSheetPrdData[[#This Row],[Cost Basis]]&amp;TrendSheetPrdData[[#This Row],[Period]]&amp;TrendSheetPrdData[[#This Row],[Trend]]</f>
        <v>EMPLOYEEAllowed2016-08-01Chronic Disease Management - Cost</v>
      </c>
      <c r="B248" t="s">
        <v>90</v>
      </c>
      <c r="C248" t="s">
        <v>90</v>
      </c>
      <c r="D248" t="s">
        <v>91</v>
      </c>
      <c r="E248" s="1" t="s">
        <v>97</v>
      </c>
      <c r="F248" t="s">
        <v>93</v>
      </c>
      <c r="G248" t="s">
        <v>28</v>
      </c>
      <c r="H248">
        <v>17</v>
      </c>
      <c r="I248">
        <v>2717143</v>
      </c>
    </row>
    <row r="249" spans="1:9" x14ac:dyDescent="0.25">
      <c r="A249" s="5" t="str">
        <f>TrendSheetPrdData[[#This Row],[Population]]&amp;TrendSheetPrdData[[#This Row],[Cost Basis]]&amp;TrendSheetPrdData[[#This Row],[Period]]&amp;TrendSheetPrdData[[#This Row],[Trend]]</f>
        <v>EMPLOYEEAllowed2016-09-01Chronic Disease Management - Cost</v>
      </c>
      <c r="B249" t="s">
        <v>90</v>
      </c>
      <c r="C249" t="s">
        <v>90</v>
      </c>
      <c r="D249" t="s">
        <v>91</v>
      </c>
      <c r="E249" s="1" t="s">
        <v>98</v>
      </c>
      <c r="F249" t="s">
        <v>93</v>
      </c>
      <c r="G249" t="s">
        <v>28</v>
      </c>
      <c r="H249">
        <v>17</v>
      </c>
      <c r="I249">
        <v>3092771</v>
      </c>
    </row>
    <row r="250" spans="1:9" x14ac:dyDescent="0.25">
      <c r="A250" s="5" t="str">
        <f>TrendSheetPrdData[[#This Row],[Population]]&amp;TrendSheetPrdData[[#This Row],[Cost Basis]]&amp;TrendSheetPrdData[[#This Row],[Period]]&amp;TrendSheetPrdData[[#This Row],[Trend]]</f>
        <v>EMPLOYEEAllowed2016-10-01Chronic Disease Management - Cost</v>
      </c>
      <c r="B250" t="s">
        <v>90</v>
      </c>
      <c r="C250" t="s">
        <v>90</v>
      </c>
      <c r="D250" t="s">
        <v>91</v>
      </c>
      <c r="E250" s="1" t="s">
        <v>99</v>
      </c>
      <c r="F250" t="s">
        <v>93</v>
      </c>
      <c r="G250" t="s">
        <v>28</v>
      </c>
      <c r="H250">
        <v>17</v>
      </c>
      <c r="I250">
        <v>2747052</v>
      </c>
    </row>
    <row r="251" spans="1:9" x14ac:dyDescent="0.25">
      <c r="A251" s="5" t="str">
        <f>TrendSheetPrdData[[#This Row],[Population]]&amp;TrendSheetPrdData[[#This Row],[Cost Basis]]&amp;TrendSheetPrdData[[#This Row],[Period]]&amp;TrendSheetPrdData[[#This Row],[Trend]]</f>
        <v>EMPLOYEEAllowed2016-11-01Chronic Disease Management - Cost</v>
      </c>
      <c r="B251" t="s">
        <v>90</v>
      </c>
      <c r="C251" t="s">
        <v>90</v>
      </c>
      <c r="D251" t="s">
        <v>91</v>
      </c>
      <c r="E251" s="1" t="s">
        <v>100</v>
      </c>
      <c r="F251" t="s">
        <v>93</v>
      </c>
      <c r="G251" t="s">
        <v>28</v>
      </c>
      <c r="H251">
        <v>17</v>
      </c>
      <c r="I251">
        <v>3004870</v>
      </c>
    </row>
    <row r="252" spans="1:9" x14ac:dyDescent="0.25">
      <c r="A252" s="5" t="str">
        <f>TrendSheetPrdData[[#This Row],[Population]]&amp;TrendSheetPrdData[[#This Row],[Cost Basis]]&amp;TrendSheetPrdData[[#This Row],[Period]]&amp;TrendSheetPrdData[[#This Row],[Trend]]</f>
        <v>EMPLOYEEAllowed2016-12-01Chronic Disease Management - Cost</v>
      </c>
      <c r="B252" t="s">
        <v>90</v>
      </c>
      <c r="C252" t="s">
        <v>90</v>
      </c>
      <c r="D252" t="s">
        <v>91</v>
      </c>
      <c r="E252" s="1" t="s">
        <v>101</v>
      </c>
      <c r="F252" t="s">
        <v>93</v>
      </c>
      <c r="G252" t="s">
        <v>28</v>
      </c>
      <c r="H252">
        <v>17</v>
      </c>
      <c r="I252">
        <v>3249473</v>
      </c>
    </row>
    <row r="253" spans="1:9" x14ac:dyDescent="0.25">
      <c r="A253" s="5" t="str">
        <f>TrendSheetPrdData[[#This Row],[Population]]&amp;TrendSheetPrdData[[#This Row],[Cost Basis]]&amp;TrendSheetPrdData[[#This Row],[Period]]&amp;TrendSheetPrdData[[#This Row],[Trend]]</f>
        <v>EMPLOYEEAllowed2017-01-01Chronic Disease Management - Cost</v>
      </c>
      <c r="B253" t="s">
        <v>90</v>
      </c>
      <c r="C253" t="s">
        <v>90</v>
      </c>
      <c r="D253" t="s">
        <v>91</v>
      </c>
      <c r="E253" s="1" t="s">
        <v>102</v>
      </c>
      <c r="F253" t="s">
        <v>93</v>
      </c>
      <c r="G253" t="s">
        <v>28</v>
      </c>
      <c r="H253">
        <v>17</v>
      </c>
      <c r="I253">
        <v>2814876</v>
      </c>
    </row>
    <row r="254" spans="1:9" x14ac:dyDescent="0.25">
      <c r="A254" s="5" t="str">
        <f>TrendSheetPrdData[[#This Row],[Population]]&amp;TrendSheetPrdData[[#This Row],[Cost Basis]]&amp;TrendSheetPrdData[[#This Row],[Period]]&amp;TrendSheetPrdData[[#This Row],[Trend]]</f>
        <v>EMPLOYEEAllowed2017-02-01Chronic Disease Management - Cost</v>
      </c>
      <c r="B254" t="s">
        <v>90</v>
      </c>
      <c r="C254" t="s">
        <v>90</v>
      </c>
      <c r="D254" t="s">
        <v>91</v>
      </c>
      <c r="E254" s="1" t="s">
        <v>103</v>
      </c>
      <c r="F254" t="s">
        <v>106</v>
      </c>
      <c r="G254" t="s">
        <v>28</v>
      </c>
      <c r="H254">
        <v>17</v>
      </c>
      <c r="I254">
        <v>2961439</v>
      </c>
    </row>
    <row r="255" spans="1:9" x14ac:dyDescent="0.25">
      <c r="A255" s="5" t="str">
        <f>TrendSheetPrdData[[#This Row],[Population]]&amp;TrendSheetPrdData[[#This Row],[Cost Basis]]&amp;TrendSheetPrdData[[#This Row],[Period]]&amp;TrendSheetPrdData[[#This Row],[Trend]]</f>
        <v>EMPLOYEEAllowed2017-03-01Chronic Disease Management - Cost</v>
      </c>
      <c r="B255" t="s">
        <v>90</v>
      </c>
      <c r="C255" t="s">
        <v>90</v>
      </c>
      <c r="D255" t="s">
        <v>91</v>
      </c>
      <c r="E255" s="1" t="s">
        <v>104</v>
      </c>
      <c r="F255" t="s">
        <v>106</v>
      </c>
      <c r="G255" t="s">
        <v>28</v>
      </c>
      <c r="H255">
        <v>17</v>
      </c>
      <c r="I255">
        <v>3053306</v>
      </c>
    </row>
    <row r="256" spans="1:9" x14ac:dyDescent="0.25">
      <c r="A256" s="5" t="str">
        <f>TrendSheetPrdData[[#This Row],[Population]]&amp;TrendSheetPrdData[[#This Row],[Cost Basis]]&amp;TrendSheetPrdData[[#This Row],[Period]]&amp;TrendSheetPrdData[[#This Row],[Trend]]</f>
        <v>EMPLOYEEAllowed2017-04-01Chronic Disease Management - Cost</v>
      </c>
      <c r="B256" t="s">
        <v>90</v>
      </c>
      <c r="C256" t="s">
        <v>90</v>
      </c>
      <c r="D256" t="s">
        <v>91</v>
      </c>
      <c r="E256" s="1" t="s">
        <v>105</v>
      </c>
      <c r="F256" t="s">
        <v>106</v>
      </c>
      <c r="G256" t="s">
        <v>28</v>
      </c>
      <c r="H256">
        <v>17</v>
      </c>
      <c r="I256">
        <v>1065971</v>
      </c>
    </row>
    <row r="257" spans="1:9" x14ac:dyDescent="0.25">
      <c r="A257" s="5" t="str">
        <f>TrendSheetPrdData[[#This Row],[Population]]&amp;TrendSheetPrdData[[#This Row],[Cost Basis]]&amp;TrendSheetPrdData[[#This Row],[Period]]&amp;TrendSheetPrdData[[#This Row],[Trend]]</f>
        <v>EMPLOYEEAllowed2016-02-01Chronic Disease Management - Members</v>
      </c>
      <c r="B257" t="s">
        <v>90</v>
      </c>
      <c r="C257" t="s">
        <v>90</v>
      </c>
      <c r="D257" t="s">
        <v>91</v>
      </c>
      <c r="E257" s="1" t="s">
        <v>124</v>
      </c>
      <c r="F257" t="s">
        <v>93</v>
      </c>
      <c r="G257" t="s">
        <v>29</v>
      </c>
      <c r="H257">
        <v>18</v>
      </c>
      <c r="I257">
        <v>292.8</v>
      </c>
    </row>
    <row r="258" spans="1:9" x14ac:dyDescent="0.25">
      <c r="A258" s="5" t="str">
        <f>TrendSheetPrdData[[#This Row],[Population]]&amp;TrendSheetPrdData[[#This Row],[Cost Basis]]&amp;TrendSheetPrdData[[#This Row],[Period]]&amp;TrendSheetPrdData[[#This Row],[Trend]]</f>
        <v>EMPLOYEEAllowed2016-03-01Chronic Disease Management - Members</v>
      </c>
      <c r="B258" t="s">
        <v>90</v>
      </c>
      <c r="C258" t="s">
        <v>90</v>
      </c>
      <c r="D258" t="s">
        <v>91</v>
      </c>
      <c r="E258" s="1" t="s">
        <v>125</v>
      </c>
      <c r="F258" t="s">
        <v>93</v>
      </c>
      <c r="G258" t="s">
        <v>29</v>
      </c>
      <c r="H258">
        <v>18</v>
      </c>
      <c r="I258">
        <v>298.05</v>
      </c>
    </row>
    <row r="259" spans="1:9" x14ac:dyDescent="0.25">
      <c r="A259" s="5" t="str">
        <f>TrendSheetPrdData[[#This Row],[Population]]&amp;TrendSheetPrdData[[#This Row],[Cost Basis]]&amp;TrendSheetPrdData[[#This Row],[Period]]&amp;TrendSheetPrdData[[#This Row],[Trend]]</f>
        <v>EMPLOYEEAllowed2016-04-01Chronic Disease Management - Members</v>
      </c>
      <c r="B259" t="s">
        <v>90</v>
      </c>
      <c r="C259" t="s">
        <v>90</v>
      </c>
      <c r="D259" t="s">
        <v>91</v>
      </c>
      <c r="E259" s="1" t="s">
        <v>92</v>
      </c>
      <c r="F259" t="s">
        <v>93</v>
      </c>
      <c r="G259" t="s">
        <v>29</v>
      </c>
      <c r="H259">
        <v>18</v>
      </c>
      <c r="I259">
        <v>300.63</v>
      </c>
    </row>
    <row r="260" spans="1:9" x14ac:dyDescent="0.25">
      <c r="A260" s="5" t="str">
        <f>TrendSheetPrdData[[#This Row],[Population]]&amp;TrendSheetPrdData[[#This Row],[Cost Basis]]&amp;TrendSheetPrdData[[#This Row],[Period]]&amp;TrendSheetPrdData[[#This Row],[Trend]]</f>
        <v>EMPLOYEEAllowed2016-05-01Chronic Disease Management - Members</v>
      </c>
      <c r="B260" t="s">
        <v>90</v>
      </c>
      <c r="C260" t="s">
        <v>90</v>
      </c>
      <c r="D260" t="s">
        <v>91</v>
      </c>
      <c r="E260" s="1" t="s">
        <v>94</v>
      </c>
      <c r="F260" t="s">
        <v>93</v>
      </c>
      <c r="G260" t="s">
        <v>29</v>
      </c>
      <c r="H260">
        <v>18</v>
      </c>
      <c r="I260">
        <v>304.10000000000002</v>
      </c>
    </row>
    <row r="261" spans="1:9" x14ac:dyDescent="0.25">
      <c r="A261" s="5" t="str">
        <f>TrendSheetPrdData[[#This Row],[Population]]&amp;TrendSheetPrdData[[#This Row],[Cost Basis]]&amp;TrendSheetPrdData[[#This Row],[Period]]&amp;TrendSheetPrdData[[#This Row],[Trend]]</f>
        <v>EMPLOYEEAllowed2016-06-01Chronic Disease Management - Members</v>
      </c>
      <c r="B261" t="s">
        <v>90</v>
      </c>
      <c r="C261" t="s">
        <v>90</v>
      </c>
      <c r="D261" t="s">
        <v>91</v>
      </c>
      <c r="E261" s="1" t="s">
        <v>95</v>
      </c>
      <c r="F261" t="s">
        <v>93</v>
      </c>
      <c r="G261" t="s">
        <v>29</v>
      </c>
      <c r="H261">
        <v>18</v>
      </c>
      <c r="I261">
        <v>306.5</v>
      </c>
    </row>
    <row r="262" spans="1:9" x14ac:dyDescent="0.25">
      <c r="A262" s="5" t="str">
        <f>TrendSheetPrdData[[#This Row],[Population]]&amp;TrendSheetPrdData[[#This Row],[Cost Basis]]&amp;TrendSheetPrdData[[#This Row],[Period]]&amp;TrendSheetPrdData[[#This Row],[Trend]]</f>
        <v>EMPLOYEEAllowed2016-07-01Chronic Disease Management - Members</v>
      </c>
      <c r="B262" t="s">
        <v>90</v>
      </c>
      <c r="C262" t="s">
        <v>90</v>
      </c>
      <c r="D262" t="s">
        <v>91</v>
      </c>
      <c r="E262" s="1" t="s">
        <v>96</v>
      </c>
      <c r="F262" t="s">
        <v>93</v>
      </c>
      <c r="G262" t="s">
        <v>29</v>
      </c>
      <c r="H262">
        <v>18</v>
      </c>
      <c r="I262">
        <v>304.41000000000003</v>
      </c>
    </row>
    <row r="263" spans="1:9" x14ac:dyDescent="0.25">
      <c r="A263" s="5" t="str">
        <f>TrendSheetPrdData[[#This Row],[Population]]&amp;TrendSheetPrdData[[#This Row],[Cost Basis]]&amp;TrendSheetPrdData[[#This Row],[Period]]&amp;TrendSheetPrdData[[#This Row],[Trend]]</f>
        <v>EMPLOYEEAllowed2016-08-01Chronic Disease Management - Members</v>
      </c>
      <c r="B263" t="s">
        <v>90</v>
      </c>
      <c r="C263" t="s">
        <v>90</v>
      </c>
      <c r="D263" t="s">
        <v>91</v>
      </c>
      <c r="E263" s="1" t="s">
        <v>97</v>
      </c>
      <c r="F263" t="s">
        <v>93</v>
      </c>
      <c r="G263" t="s">
        <v>29</v>
      </c>
      <c r="H263">
        <v>18</v>
      </c>
      <c r="I263">
        <v>304.8</v>
      </c>
    </row>
    <row r="264" spans="1:9" x14ac:dyDescent="0.25">
      <c r="A264" s="5" t="str">
        <f>TrendSheetPrdData[[#This Row],[Population]]&amp;TrendSheetPrdData[[#This Row],[Cost Basis]]&amp;TrendSheetPrdData[[#This Row],[Period]]&amp;TrendSheetPrdData[[#This Row],[Trend]]</f>
        <v>EMPLOYEEAllowed2016-09-01Chronic Disease Management - Members</v>
      </c>
      <c r="B264" t="s">
        <v>90</v>
      </c>
      <c r="C264" t="s">
        <v>90</v>
      </c>
      <c r="D264" t="s">
        <v>91</v>
      </c>
      <c r="E264" s="1" t="s">
        <v>98</v>
      </c>
      <c r="F264" t="s">
        <v>93</v>
      </c>
      <c r="G264" t="s">
        <v>29</v>
      </c>
      <c r="H264">
        <v>18</v>
      </c>
      <c r="I264">
        <v>303.58999999999997</v>
      </c>
    </row>
    <row r="265" spans="1:9" x14ac:dyDescent="0.25">
      <c r="A265" s="5" t="str">
        <f>TrendSheetPrdData[[#This Row],[Population]]&amp;TrendSheetPrdData[[#This Row],[Cost Basis]]&amp;TrendSheetPrdData[[#This Row],[Period]]&amp;TrendSheetPrdData[[#This Row],[Trend]]</f>
        <v>EMPLOYEEAllowed2016-10-01Chronic Disease Management - Members</v>
      </c>
      <c r="B265" t="s">
        <v>90</v>
      </c>
      <c r="C265" t="s">
        <v>90</v>
      </c>
      <c r="D265" t="s">
        <v>91</v>
      </c>
      <c r="E265" s="1" t="s">
        <v>99</v>
      </c>
      <c r="F265" t="s">
        <v>93</v>
      </c>
      <c r="G265" t="s">
        <v>29</v>
      </c>
      <c r="H265">
        <v>18</v>
      </c>
      <c r="I265">
        <v>306.32</v>
      </c>
    </row>
    <row r="266" spans="1:9" x14ac:dyDescent="0.25">
      <c r="A266" s="5" t="str">
        <f>TrendSheetPrdData[[#This Row],[Population]]&amp;TrendSheetPrdData[[#This Row],[Cost Basis]]&amp;TrendSheetPrdData[[#This Row],[Period]]&amp;TrendSheetPrdData[[#This Row],[Trend]]</f>
        <v>EMPLOYEEAllowed2016-11-01Chronic Disease Management - Members</v>
      </c>
      <c r="B266" t="s">
        <v>90</v>
      </c>
      <c r="C266" t="s">
        <v>90</v>
      </c>
      <c r="D266" t="s">
        <v>91</v>
      </c>
      <c r="E266" s="1" t="s">
        <v>100</v>
      </c>
      <c r="F266" t="s">
        <v>93</v>
      </c>
      <c r="G266" t="s">
        <v>29</v>
      </c>
      <c r="H266">
        <v>18</v>
      </c>
      <c r="I266">
        <v>305.95999999999998</v>
      </c>
    </row>
    <row r="267" spans="1:9" x14ac:dyDescent="0.25">
      <c r="A267" s="5" t="str">
        <f>TrendSheetPrdData[[#This Row],[Population]]&amp;TrendSheetPrdData[[#This Row],[Cost Basis]]&amp;TrendSheetPrdData[[#This Row],[Period]]&amp;TrendSheetPrdData[[#This Row],[Trend]]</f>
        <v>EMPLOYEEAllowed2016-12-01Chronic Disease Management - Members</v>
      </c>
      <c r="B267" t="s">
        <v>90</v>
      </c>
      <c r="C267" t="s">
        <v>90</v>
      </c>
      <c r="D267" t="s">
        <v>91</v>
      </c>
      <c r="E267" s="1" t="s">
        <v>101</v>
      </c>
      <c r="F267" t="s">
        <v>93</v>
      </c>
      <c r="G267" t="s">
        <v>29</v>
      </c>
      <c r="H267">
        <v>18</v>
      </c>
      <c r="I267">
        <v>306</v>
      </c>
    </row>
    <row r="268" spans="1:9" x14ac:dyDescent="0.25">
      <c r="A268" s="5" t="str">
        <f>TrendSheetPrdData[[#This Row],[Population]]&amp;TrendSheetPrdData[[#This Row],[Cost Basis]]&amp;TrendSheetPrdData[[#This Row],[Period]]&amp;TrendSheetPrdData[[#This Row],[Trend]]</f>
        <v>EMPLOYEEAllowed2017-01-01Chronic Disease Management - Members</v>
      </c>
      <c r="B268" t="s">
        <v>90</v>
      </c>
      <c r="C268" t="s">
        <v>90</v>
      </c>
      <c r="D268" t="s">
        <v>91</v>
      </c>
      <c r="E268" s="1" t="s">
        <v>102</v>
      </c>
      <c r="F268" t="s">
        <v>93</v>
      </c>
      <c r="G268" t="s">
        <v>29</v>
      </c>
      <c r="H268">
        <v>18</v>
      </c>
      <c r="I268">
        <v>299.8</v>
      </c>
    </row>
    <row r="269" spans="1:9" x14ac:dyDescent="0.25">
      <c r="A269" s="5" t="str">
        <f>TrendSheetPrdData[[#This Row],[Population]]&amp;TrendSheetPrdData[[#This Row],[Cost Basis]]&amp;TrendSheetPrdData[[#This Row],[Period]]&amp;TrendSheetPrdData[[#This Row],[Trend]]</f>
        <v>EMPLOYEEAllowed2017-02-01Chronic Disease Management - Members</v>
      </c>
      <c r="B269" t="s">
        <v>90</v>
      </c>
      <c r="C269" t="s">
        <v>90</v>
      </c>
      <c r="D269" t="s">
        <v>91</v>
      </c>
      <c r="E269" s="1" t="s">
        <v>103</v>
      </c>
      <c r="F269" t="s">
        <v>106</v>
      </c>
      <c r="G269" t="s">
        <v>29</v>
      </c>
      <c r="H269">
        <v>18</v>
      </c>
      <c r="I269">
        <v>299.3</v>
      </c>
    </row>
    <row r="270" spans="1:9" x14ac:dyDescent="0.25">
      <c r="A270" s="5" t="str">
        <f>TrendSheetPrdData[[#This Row],[Population]]&amp;TrendSheetPrdData[[#This Row],[Cost Basis]]&amp;TrendSheetPrdData[[#This Row],[Period]]&amp;TrendSheetPrdData[[#This Row],[Trend]]</f>
        <v>EMPLOYEEAllowed2017-03-01Chronic Disease Management - Members</v>
      </c>
      <c r="B270" t="s">
        <v>90</v>
      </c>
      <c r="C270" t="s">
        <v>90</v>
      </c>
      <c r="D270" t="s">
        <v>91</v>
      </c>
      <c r="E270" s="1" t="s">
        <v>104</v>
      </c>
      <c r="F270" t="s">
        <v>106</v>
      </c>
      <c r="G270" t="s">
        <v>29</v>
      </c>
      <c r="H270">
        <v>18</v>
      </c>
      <c r="I270">
        <v>299.82</v>
      </c>
    </row>
    <row r="271" spans="1:9" x14ac:dyDescent="0.25">
      <c r="A271" s="5" t="str">
        <f>TrendSheetPrdData[[#This Row],[Population]]&amp;TrendSheetPrdData[[#This Row],[Cost Basis]]&amp;TrendSheetPrdData[[#This Row],[Period]]&amp;TrendSheetPrdData[[#This Row],[Trend]]</f>
        <v>EMPLOYEEAllowed2017-04-01Chronic Disease Management - Members</v>
      </c>
      <c r="B271" t="s">
        <v>90</v>
      </c>
      <c r="C271" t="s">
        <v>90</v>
      </c>
      <c r="D271" t="s">
        <v>91</v>
      </c>
      <c r="E271" s="1" t="s">
        <v>105</v>
      </c>
      <c r="F271" t="s">
        <v>106</v>
      </c>
      <c r="G271" t="s">
        <v>29</v>
      </c>
      <c r="H271">
        <v>18</v>
      </c>
      <c r="I271">
        <v>291.56</v>
      </c>
    </row>
    <row r="272" spans="1:9" x14ac:dyDescent="0.25">
      <c r="A272" s="5" t="str">
        <f>TrendSheetPrdData[[#This Row],[Population]]&amp;TrendSheetPrdData[[#This Row],[Cost Basis]]&amp;TrendSheetPrdData[[#This Row],[Period]]&amp;TrendSheetPrdData[[#This Row],[Trend]]</f>
        <v>EMPLOYEEAllowed2016-02-01Inpatient Claim Count</v>
      </c>
      <c r="B272" t="s">
        <v>90</v>
      </c>
      <c r="C272" t="s">
        <v>90</v>
      </c>
      <c r="D272" t="s">
        <v>91</v>
      </c>
      <c r="E272" s="1" t="s">
        <v>124</v>
      </c>
      <c r="F272" t="s">
        <v>93</v>
      </c>
      <c r="G272" t="s">
        <v>30</v>
      </c>
      <c r="H272">
        <v>19</v>
      </c>
      <c r="I272">
        <v>747</v>
      </c>
    </row>
    <row r="273" spans="1:9" x14ac:dyDescent="0.25">
      <c r="A273" s="5" t="str">
        <f>TrendSheetPrdData[[#This Row],[Population]]&amp;TrendSheetPrdData[[#This Row],[Cost Basis]]&amp;TrendSheetPrdData[[#This Row],[Period]]&amp;TrendSheetPrdData[[#This Row],[Trend]]</f>
        <v>EMPLOYEEAllowed2016-03-01Inpatient Claim Count</v>
      </c>
      <c r="B273" t="s">
        <v>90</v>
      </c>
      <c r="C273" t="s">
        <v>90</v>
      </c>
      <c r="D273" t="s">
        <v>91</v>
      </c>
      <c r="E273" s="1" t="s">
        <v>125</v>
      </c>
      <c r="F273" t="s">
        <v>93</v>
      </c>
      <c r="G273" t="s">
        <v>30</v>
      </c>
      <c r="H273">
        <v>19</v>
      </c>
      <c r="I273">
        <v>810</v>
      </c>
    </row>
    <row r="274" spans="1:9" x14ac:dyDescent="0.25">
      <c r="A274" s="5" t="str">
        <f>TrendSheetPrdData[[#This Row],[Population]]&amp;TrendSheetPrdData[[#This Row],[Cost Basis]]&amp;TrendSheetPrdData[[#This Row],[Period]]&amp;TrendSheetPrdData[[#This Row],[Trend]]</f>
        <v>EMPLOYEEAllowed2016-04-01Inpatient Claim Count</v>
      </c>
      <c r="B274" t="s">
        <v>90</v>
      </c>
      <c r="C274" t="s">
        <v>90</v>
      </c>
      <c r="D274" t="s">
        <v>91</v>
      </c>
      <c r="E274" s="1" t="s">
        <v>92</v>
      </c>
      <c r="F274" t="s">
        <v>93</v>
      </c>
      <c r="G274" t="s">
        <v>30</v>
      </c>
      <c r="H274">
        <v>19</v>
      </c>
      <c r="I274">
        <v>510</v>
      </c>
    </row>
    <row r="275" spans="1:9" x14ac:dyDescent="0.25">
      <c r="A275" s="5" t="str">
        <f>TrendSheetPrdData[[#This Row],[Population]]&amp;TrendSheetPrdData[[#This Row],[Cost Basis]]&amp;TrendSheetPrdData[[#This Row],[Period]]&amp;TrendSheetPrdData[[#This Row],[Trend]]</f>
        <v>EMPLOYEEAllowed2016-05-01Inpatient Claim Count</v>
      </c>
      <c r="B275" t="s">
        <v>90</v>
      </c>
      <c r="C275" t="s">
        <v>90</v>
      </c>
      <c r="D275" t="s">
        <v>91</v>
      </c>
      <c r="E275" s="1" t="s">
        <v>94</v>
      </c>
      <c r="F275" t="s">
        <v>93</v>
      </c>
      <c r="G275" t="s">
        <v>30</v>
      </c>
      <c r="H275">
        <v>19</v>
      </c>
      <c r="I275">
        <v>505</v>
      </c>
    </row>
    <row r="276" spans="1:9" x14ac:dyDescent="0.25">
      <c r="A276" s="5" t="str">
        <f>TrendSheetPrdData[[#This Row],[Population]]&amp;TrendSheetPrdData[[#This Row],[Cost Basis]]&amp;TrendSheetPrdData[[#This Row],[Period]]&amp;TrendSheetPrdData[[#This Row],[Trend]]</f>
        <v>EMPLOYEEAllowed2016-06-01Inpatient Claim Count</v>
      </c>
      <c r="B276" t="s">
        <v>90</v>
      </c>
      <c r="C276" t="s">
        <v>90</v>
      </c>
      <c r="D276" t="s">
        <v>91</v>
      </c>
      <c r="E276" s="1" t="s">
        <v>95</v>
      </c>
      <c r="F276" t="s">
        <v>93</v>
      </c>
      <c r="G276" t="s">
        <v>30</v>
      </c>
      <c r="H276">
        <v>19</v>
      </c>
      <c r="I276">
        <v>598</v>
      </c>
    </row>
    <row r="277" spans="1:9" x14ac:dyDescent="0.25">
      <c r="A277" s="5" t="str">
        <f>TrendSheetPrdData[[#This Row],[Population]]&amp;TrendSheetPrdData[[#This Row],[Cost Basis]]&amp;TrendSheetPrdData[[#This Row],[Period]]&amp;TrendSheetPrdData[[#This Row],[Trend]]</f>
        <v>EMPLOYEEAllowed2016-07-01Inpatient Claim Count</v>
      </c>
      <c r="B277" t="s">
        <v>90</v>
      </c>
      <c r="C277" t="s">
        <v>90</v>
      </c>
      <c r="D277" t="s">
        <v>91</v>
      </c>
      <c r="E277" s="1" t="s">
        <v>96</v>
      </c>
      <c r="F277" t="s">
        <v>93</v>
      </c>
      <c r="G277" t="s">
        <v>30</v>
      </c>
      <c r="H277">
        <v>19</v>
      </c>
      <c r="I277">
        <v>607</v>
      </c>
    </row>
    <row r="278" spans="1:9" x14ac:dyDescent="0.25">
      <c r="A278" s="5" t="str">
        <f>TrendSheetPrdData[[#This Row],[Population]]&amp;TrendSheetPrdData[[#This Row],[Cost Basis]]&amp;TrendSheetPrdData[[#This Row],[Period]]&amp;TrendSheetPrdData[[#This Row],[Trend]]</f>
        <v>EMPLOYEEAllowed2016-08-01Inpatient Claim Count</v>
      </c>
      <c r="B278" t="s">
        <v>90</v>
      </c>
      <c r="C278" t="s">
        <v>90</v>
      </c>
      <c r="D278" t="s">
        <v>91</v>
      </c>
      <c r="E278" s="1" t="s">
        <v>97</v>
      </c>
      <c r="F278" t="s">
        <v>93</v>
      </c>
      <c r="G278" t="s">
        <v>30</v>
      </c>
      <c r="H278">
        <v>19</v>
      </c>
      <c r="I278">
        <v>407</v>
      </c>
    </row>
    <row r="279" spans="1:9" x14ac:dyDescent="0.25">
      <c r="A279" s="5" t="str">
        <f>TrendSheetPrdData[[#This Row],[Population]]&amp;TrendSheetPrdData[[#This Row],[Cost Basis]]&amp;TrendSheetPrdData[[#This Row],[Period]]&amp;TrendSheetPrdData[[#This Row],[Trend]]</f>
        <v>EMPLOYEEAllowed2016-09-01Inpatient Claim Count</v>
      </c>
      <c r="B279" t="s">
        <v>90</v>
      </c>
      <c r="C279" t="s">
        <v>90</v>
      </c>
      <c r="D279" t="s">
        <v>91</v>
      </c>
      <c r="E279" s="1" t="s">
        <v>98</v>
      </c>
      <c r="F279" t="s">
        <v>93</v>
      </c>
      <c r="G279" t="s">
        <v>30</v>
      </c>
      <c r="H279">
        <v>19</v>
      </c>
      <c r="I279">
        <v>459</v>
      </c>
    </row>
    <row r="280" spans="1:9" x14ac:dyDescent="0.25">
      <c r="A280" s="5" t="str">
        <f>TrendSheetPrdData[[#This Row],[Population]]&amp;TrendSheetPrdData[[#This Row],[Cost Basis]]&amp;TrendSheetPrdData[[#This Row],[Period]]&amp;TrendSheetPrdData[[#This Row],[Trend]]</f>
        <v>EMPLOYEEAllowed2016-10-01Inpatient Claim Count</v>
      </c>
      <c r="B280" t="s">
        <v>90</v>
      </c>
      <c r="C280" t="s">
        <v>90</v>
      </c>
      <c r="D280" t="s">
        <v>91</v>
      </c>
      <c r="E280" s="1" t="s">
        <v>99</v>
      </c>
      <c r="F280" t="s">
        <v>93</v>
      </c>
      <c r="G280" t="s">
        <v>30</v>
      </c>
      <c r="H280">
        <v>19</v>
      </c>
      <c r="I280">
        <v>482</v>
      </c>
    </row>
    <row r="281" spans="1:9" x14ac:dyDescent="0.25">
      <c r="A281" s="5" t="str">
        <f>TrendSheetPrdData[[#This Row],[Population]]&amp;TrendSheetPrdData[[#This Row],[Cost Basis]]&amp;TrendSheetPrdData[[#This Row],[Period]]&amp;TrendSheetPrdData[[#This Row],[Trend]]</f>
        <v>EMPLOYEEAllowed2016-11-01Inpatient Claim Count</v>
      </c>
      <c r="B281" t="s">
        <v>90</v>
      </c>
      <c r="C281" t="s">
        <v>90</v>
      </c>
      <c r="D281" t="s">
        <v>91</v>
      </c>
      <c r="E281" s="1" t="s">
        <v>100</v>
      </c>
      <c r="F281" t="s">
        <v>93</v>
      </c>
      <c r="G281" t="s">
        <v>30</v>
      </c>
      <c r="H281">
        <v>19</v>
      </c>
      <c r="I281">
        <v>396</v>
      </c>
    </row>
    <row r="282" spans="1:9" x14ac:dyDescent="0.25">
      <c r="A282" s="5" t="str">
        <f>TrendSheetPrdData[[#This Row],[Population]]&amp;TrendSheetPrdData[[#This Row],[Cost Basis]]&amp;TrendSheetPrdData[[#This Row],[Period]]&amp;TrendSheetPrdData[[#This Row],[Trend]]</f>
        <v>EMPLOYEEAllowed2016-12-01Inpatient Claim Count</v>
      </c>
      <c r="B282" t="s">
        <v>90</v>
      </c>
      <c r="C282" t="s">
        <v>90</v>
      </c>
      <c r="D282" t="s">
        <v>91</v>
      </c>
      <c r="E282" s="1" t="s">
        <v>101</v>
      </c>
      <c r="F282" t="s">
        <v>93</v>
      </c>
      <c r="G282" t="s">
        <v>30</v>
      </c>
      <c r="H282">
        <v>19</v>
      </c>
      <c r="I282">
        <v>428</v>
      </c>
    </row>
    <row r="283" spans="1:9" x14ac:dyDescent="0.25">
      <c r="A283" s="5" t="str">
        <f>TrendSheetPrdData[[#This Row],[Population]]&amp;TrendSheetPrdData[[#This Row],[Cost Basis]]&amp;TrendSheetPrdData[[#This Row],[Period]]&amp;TrendSheetPrdData[[#This Row],[Trend]]</f>
        <v>EMPLOYEEAllowed2017-01-01Inpatient Claim Count</v>
      </c>
      <c r="B283" t="s">
        <v>90</v>
      </c>
      <c r="C283" t="s">
        <v>90</v>
      </c>
      <c r="D283" t="s">
        <v>91</v>
      </c>
      <c r="E283" s="1" t="s">
        <v>102</v>
      </c>
      <c r="F283" t="s">
        <v>93</v>
      </c>
      <c r="G283" t="s">
        <v>30</v>
      </c>
      <c r="H283">
        <v>19</v>
      </c>
      <c r="I283">
        <v>505</v>
      </c>
    </row>
    <row r="284" spans="1:9" x14ac:dyDescent="0.25">
      <c r="A284" s="5" t="str">
        <f>TrendSheetPrdData[[#This Row],[Population]]&amp;TrendSheetPrdData[[#This Row],[Cost Basis]]&amp;TrendSheetPrdData[[#This Row],[Period]]&amp;TrendSheetPrdData[[#This Row],[Trend]]</f>
        <v>EMPLOYEEAllowed2017-02-01Inpatient Claim Count</v>
      </c>
      <c r="B284" t="s">
        <v>90</v>
      </c>
      <c r="C284" t="s">
        <v>90</v>
      </c>
      <c r="D284" t="s">
        <v>91</v>
      </c>
      <c r="E284" s="1" t="s">
        <v>103</v>
      </c>
      <c r="F284" t="s">
        <v>106</v>
      </c>
      <c r="G284" t="s">
        <v>30</v>
      </c>
      <c r="H284">
        <v>19</v>
      </c>
      <c r="I284">
        <v>519</v>
      </c>
    </row>
    <row r="285" spans="1:9" x14ac:dyDescent="0.25">
      <c r="A285" s="5" t="str">
        <f>TrendSheetPrdData[[#This Row],[Population]]&amp;TrendSheetPrdData[[#This Row],[Cost Basis]]&amp;TrendSheetPrdData[[#This Row],[Period]]&amp;TrendSheetPrdData[[#This Row],[Trend]]</f>
        <v>EMPLOYEEAllowed2017-03-01Inpatient Claim Count</v>
      </c>
      <c r="B285" t="s">
        <v>90</v>
      </c>
      <c r="C285" t="s">
        <v>90</v>
      </c>
      <c r="D285" t="s">
        <v>91</v>
      </c>
      <c r="E285" s="1" t="s">
        <v>104</v>
      </c>
      <c r="F285" t="s">
        <v>106</v>
      </c>
      <c r="G285" t="s">
        <v>30</v>
      </c>
      <c r="H285">
        <v>19</v>
      </c>
      <c r="I285">
        <v>477</v>
      </c>
    </row>
    <row r="286" spans="1:9" x14ac:dyDescent="0.25">
      <c r="A286" s="5" t="str">
        <f>TrendSheetPrdData[[#This Row],[Population]]&amp;TrendSheetPrdData[[#This Row],[Cost Basis]]&amp;TrendSheetPrdData[[#This Row],[Period]]&amp;TrendSheetPrdData[[#This Row],[Trend]]</f>
        <v>EMPLOYEEAllowed2017-04-01Inpatient Claim Count</v>
      </c>
      <c r="B286" t="s">
        <v>90</v>
      </c>
      <c r="C286" t="s">
        <v>90</v>
      </c>
      <c r="D286" t="s">
        <v>91</v>
      </c>
      <c r="E286" s="1" t="s">
        <v>105</v>
      </c>
      <c r="F286" t="s">
        <v>106</v>
      </c>
      <c r="G286" t="s">
        <v>30</v>
      </c>
      <c r="H286">
        <v>19</v>
      </c>
      <c r="I286">
        <v>69</v>
      </c>
    </row>
    <row r="287" spans="1:9" x14ac:dyDescent="0.25">
      <c r="A287" s="5" t="str">
        <f>TrendSheetPrdData[[#This Row],[Population]]&amp;TrendSheetPrdData[[#This Row],[Cost Basis]]&amp;TrendSheetPrdData[[#This Row],[Period]]&amp;TrendSheetPrdData[[#This Row],[Trend]]</f>
        <v>EMPLOYEEAllowed2016-02-01Outpatient Claim Count</v>
      </c>
      <c r="B287" t="s">
        <v>90</v>
      </c>
      <c r="C287" t="s">
        <v>90</v>
      </c>
      <c r="D287" t="s">
        <v>91</v>
      </c>
      <c r="E287" s="1" t="s">
        <v>124</v>
      </c>
      <c r="F287" t="s">
        <v>93</v>
      </c>
      <c r="G287" t="s">
        <v>31</v>
      </c>
      <c r="H287">
        <v>20</v>
      </c>
      <c r="I287">
        <v>7518</v>
      </c>
    </row>
    <row r="288" spans="1:9" x14ac:dyDescent="0.25">
      <c r="A288" s="5" t="str">
        <f>TrendSheetPrdData[[#This Row],[Population]]&amp;TrendSheetPrdData[[#This Row],[Cost Basis]]&amp;TrendSheetPrdData[[#This Row],[Period]]&amp;TrendSheetPrdData[[#This Row],[Trend]]</f>
        <v>EMPLOYEEAllowed2016-03-01Outpatient Claim Count</v>
      </c>
      <c r="B288" t="s">
        <v>90</v>
      </c>
      <c r="C288" t="s">
        <v>90</v>
      </c>
      <c r="D288" t="s">
        <v>91</v>
      </c>
      <c r="E288" s="1" t="s">
        <v>125</v>
      </c>
      <c r="F288" t="s">
        <v>93</v>
      </c>
      <c r="G288" t="s">
        <v>31</v>
      </c>
      <c r="H288">
        <v>20</v>
      </c>
      <c r="I288">
        <v>8142</v>
      </c>
    </row>
    <row r="289" spans="1:9" x14ac:dyDescent="0.25">
      <c r="A289" s="5" t="str">
        <f>TrendSheetPrdData[[#This Row],[Population]]&amp;TrendSheetPrdData[[#This Row],[Cost Basis]]&amp;TrendSheetPrdData[[#This Row],[Period]]&amp;TrendSheetPrdData[[#This Row],[Trend]]</f>
        <v>EMPLOYEEAllowed2016-04-01Outpatient Claim Count</v>
      </c>
      <c r="B289" t="s">
        <v>90</v>
      </c>
      <c r="C289" t="s">
        <v>90</v>
      </c>
      <c r="D289" t="s">
        <v>91</v>
      </c>
      <c r="E289" s="1" t="s">
        <v>92</v>
      </c>
      <c r="F289" t="s">
        <v>93</v>
      </c>
      <c r="G289" t="s">
        <v>31</v>
      </c>
      <c r="H289">
        <v>20</v>
      </c>
      <c r="I289">
        <v>8186</v>
      </c>
    </row>
    <row r="290" spans="1:9" x14ac:dyDescent="0.25">
      <c r="A290" s="5" t="str">
        <f>TrendSheetPrdData[[#This Row],[Population]]&amp;TrendSheetPrdData[[#This Row],[Cost Basis]]&amp;TrendSheetPrdData[[#This Row],[Period]]&amp;TrendSheetPrdData[[#This Row],[Trend]]</f>
        <v>EMPLOYEEAllowed2016-05-01Outpatient Claim Count</v>
      </c>
      <c r="B290" t="s">
        <v>90</v>
      </c>
      <c r="C290" t="s">
        <v>90</v>
      </c>
      <c r="D290" t="s">
        <v>91</v>
      </c>
      <c r="E290" s="1" t="s">
        <v>94</v>
      </c>
      <c r="F290" t="s">
        <v>93</v>
      </c>
      <c r="G290" t="s">
        <v>31</v>
      </c>
      <c r="H290">
        <v>20</v>
      </c>
      <c r="I290">
        <v>6916</v>
      </c>
    </row>
    <row r="291" spans="1:9" x14ac:dyDescent="0.25">
      <c r="A291" s="5" t="str">
        <f>TrendSheetPrdData[[#This Row],[Population]]&amp;TrendSheetPrdData[[#This Row],[Cost Basis]]&amp;TrendSheetPrdData[[#This Row],[Period]]&amp;TrendSheetPrdData[[#This Row],[Trend]]</f>
        <v>EMPLOYEEAllowed2016-06-01Outpatient Claim Count</v>
      </c>
      <c r="B291" t="s">
        <v>90</v>
      </c>
      <c r="C291" t="s">
        <v>90</v>
      </c>
      <c r="D291" t="s">
        <v>91</v>
      </c>
      <c r="E291" s="1" t="s">
        <v>95</v>
      </c>
      <c r="F291" t="s">
        <v>93</v>
      </c>
      <c r="G291" t="s">
        <v>31</v>
      </c>
      <c r="H291">
        <v>20</v>
      </c>
      <c r="I291">
        <v>8339</v>
      </c>
    </row>
    <row r="292" spans="1:9" x14ac:dyDescent="0.25">
      <c r="A292" s="5" t="str">
        <f>TrendSheetPrdData[[#This Row],[Population]]&amp;TrendSheetPrdData[[#This Row],[Cost Basis]]&amp;TrendSheetPrdData[[#This Row],[Period]]&amp;TrendSheetPrdData[[#This Row],[Trend]]</f>
        <v>EMPLOYEEAllowed2016-07-01Outpatient Claim Count</v>
      </c>
      <c r="B292" t="s">
        <v>90</v>
      </c>
      <c r="C292" t="s">
        <v>90</v>
      </c>
      <c r="D292" t="s">
        <v>91</v>
      </c>
      <c r="E292" s="1" t="s">
        <v>96</v>
      </c>
      <c r="F292" t="s">
        <v>93</v>
      </c>
      <c r="G292" t="s">
        <v>31</v>
      </c>
      <c r="H292">
        <v>20</v>
      </c>
      <c r="I292">
        <v>7456</v>
      </c>
    </row>
    <row r="293" spans="1:9" x14ac:dyDescent="0.25">
      <c r="A293" s="5" t="str">
        <f>TrendSheetPrdData[[#This Row],[Population]]&amp;TrendSheetPrdData[[#This Row],[Cost Basis]]&amp;TrendSheetPrdData[[#This Row],[Period]]&amp;TrendSheetPrdData[[#This Row],[Trend]]</f>
        <v>EMPLOYEEAllowed2016-08-01Outpatient Claim Count</v>
      </c>
      <c r="B293" t="s">
        <v>90</v>
      </c>
      <c r="C293" t="s">
        <v>90</v>
      </c>
      <c r="D293" t="s">
        <v>91</v>
      </c>
      <c r="E293" s="1" t="s">
        <v>97</v>
      </c>
      <c r="F293" t="s">
        <v>93</v>
      </c>
      <c r="G293" t="s">
        <v>31</v>
      </c>
      <c r="H293">
        <v>20</v>
      </c>
      <c r="I293">
        <v>8363</v>
      </c>
    </row>
    <row r="294" spans="1:9" x14ac:dyDescent="0.25">
      <c r="A294" s="5" t="str">
        <f>TrendSheetPrdData[[#This Row],[Population]]&amp;TrendSheetPrdData[[#This Row],[Cost Basis]]&amp;TrendSheetPrdData[[#This Row],[Period]]&amp;TrendSheetPrdData[[#This Row],[Trend]]</f>
        <v>EMPLOYEEAllowed2016-09-01Outpatient Claim Count</v>
      </c>
      <c r="B294" t="s">
        <v>90</v>
      </c>
      <c r="C294" t="s">
        <v>90</v>
      </c>
      <c r="D294" t="s">
        <v>91</v>
      </c>
      <c r="E294" s="1" t="s">
        <v>98</v>
      </c>
      <c r="F294" t="s">
        <v>93</v>
      </c>
      <c r="G294" t="s">
        <v>31</v>
      </c>
      <c r="H294">
        <v>20</v>
      </c>
      <c r="I294">
        <v>7670</v>
      </c>
    </row>
    <row r="295" spans="1:9" x14ac:dyDescent="0.25">
      <c r="A295" s="5" t="str">
        <f>TrendSheetPrdData[[#This Row],[Population]]&amp;TrendSheetPrdData[[#This Row],[Cost Basis]]&amp;TrendSheetPrdData[[#This Row],[Period]]&amp;TrendSheetPrdData[[#This Row],[Trend]]</f>
        <v>EMPLOYEEAllowed2016-10-01Outpatient Claim Count</v>
      </c>
      <c r="B295" t="s">
        <v>90</v>
      </c>
      <c r="C295" t="s">
        <v>90</v>
      </c>
      <c r="D295" t="s">
        <v>91</v>
      </c>
      <c r="E295" s="1" t="s">
        <v>99</v>
      </c>
      <c r="F295" t="s">
        <v>93</v>
      </c>
      <c r="G295" t="s">
        <v>31</v>
      </c>
      <c r="H295">
        <v>20</v>
      </c>
      <c r="I295">
        <v>8318</v>
      </c>
    </row>
    <row r="296" spans="1:9" x14ac:dyDescent="0.25">
      <c r="A296" s="5" t="str">
        <f>TrendSheetPrdData[[#This Row],[Population]]&amp;TrendSheetPrdData[[#This Row],[Cost Basis]]&amp;TrendSheetPrdData[[#This Row],[Period]]&amp;TrendSheetPrdData[[#This Row],[Trend]]</f>
        <v>EMPLOYEEAllowed2016-11-01Outpatient Claim Count</v>
      </c>
      <c r="B296" t="s">
        <v>90</v>
      </c>
      <c r="C296" t="s">
        <v>90</v>
      </c>
      <c r="D296" t="s">
        <v>91</v>
      </c>
      <c r="E296" s="1" t="s">
        <v>100</v>
      </c>
      <c r="F296" t="s">
        <v>93</v>
      </c>
      <c r="G296" t="s">
        <v>31</v>
      </c>
      <c r="H296">
        <v>20</v>
      </c>
      <c r="I296">
        <v>8490</v>
      </c>
    </row>
    <row r="297" spans="1:9" x14ac:dyDescent="0.25">
      <c r="A297" s="5" t="str">
        <f>TrendSheetPrdData[[#This Row],[Population]]&amp;TrendSheetPrdData[[#This Row],[Cost Basis]]&amp;TrendSheetPrdData[[#This Row],[Period]]&amp;TrendSheetPrdData[[#This Row],[Trend]]</f>
        <v>EMPLOYEEAllowed2016-12-01Outpatient Claim Count</v>
      </c>
      <c r="B297" t="s">
        <v>90</v>
      </c>
      <c r="C297" t="s">
        <v>90</v>
      </c>
      <c r="D297" t="s">
        <v>91</v>
      </c>
      <c r="E297" s="1" t="s">
        <v>101</v>
      </c>
      <c r="F297" t="s">
        <v>93</v>
      </c>
      <c r="G297" t="s">
        <v>31</v>
      </c>
      <c r="H297">
        <v>20</v>
      </c>
      <c r="I297">
        <v>8473</v>
      </c>
    </row>
    <row r="298" spans="1:9" x14ac:dyDescent="0.25">
      <c r="A298" s="5" t="str">
        <f>TrendSheetPrdData[[#This Row],[Population]]&amp;TrendSheetPrdData[[#This Row],[Cost Basis]]&amp;TrendSheetPrdData[[#This Row],[Period]]&amp;TrendSheetPrdData[[#This Row],[Trend]]</f>
        <v>EMPLOYEEAllowed2017-01-01Outpatient Claim Count</v>
      </c>
      <c r="B298" t="s">
        <v>90</v>
      </c>
      <c r="C298" t="s">
        <v>90</v>
      </c>
      <c r="D298" t="s">
        <v>91</v>
      </c>
      <c r="E298" s="1" t="s">
        <v>102</v>
      </c>
      <c r="F298" t="s">
        <v>93</v>
      </c>
      <c r="G298" t="s">
        <v>31</v>
      </c>
      <c r="H298">
        <v>20</v>
      </c>
      <c r="I298">
        <v>7231</v>
      </c>
    </row>
    <row r="299" spans="1:9" x14ac:dyDescent="0.25">
      <c r="A299" s="5" t="str">
        <f>TrendSheetPrdData[[#This Row],[Population]]&amp;TrendSheetPrdData[[#This Row],[Cost Basis]]&amp;TrendSheetPrdData[[#This Row],[Period]]&amp;TrendSheetPrdData[[#This Row],[Trend]]</f>
        <v>EMPLOYEEAllowed2017-02-01Outpatient Claim Count</v>
      </c>
      <c r="B299" t="s">
        <v>90</v>
      </c>
      <c r="C299" t="s">
        <v>90</v>
      </c>
      <c r="D299" t="s">
        <v>91</v>
      </c>
      <c r="E299" s="1" t="s">
        <v>103</v>
      </c>
      <c r="F299" t="s">
        <v>106</v>
      </c>
      <c r="G299" t="s">
        <v>31</v>
      </c>
      <c r="H299">
        <v>20</v>
      </c>
      <c r="I299">
        <v>7059</v>
      </c>
    </row>
    <row r="300" spans="1:9" x14ac:dyDescent="0.25">
      <c r="A300" s="5" t="str">
        <f>TrendSheetPrdData[[#This Row],[Population]]&amp;TrendSheetPrdData[[#This Row],[Cost Basis]]&amp;TrendSheetPrdData[[#This Row],[Period]]&amp;TrendSheetPrdData[[#This Row],[Trend]]</f>
        <v>EMPLOYEEAllowed2017-03-01Outpatient Claim Count</v>
      </c>
      <c r="B300" t="s">
        <v>90</v>
      </c>
      <c r="C300" t="s">
        <v>90</v>
      </c>
      <c r="D300" t="s">
        <v>91</v>
      </c>
      <c r="E300" s="1" t="s">
        <v>104</v>
      </c>
      <c r="F300" t="s">
        <v>106</v>
      </c>
      <c r="G300" t="s">
        <v>31</v>
      </c>
      <c r="H300">
        <v>20</v>
      </c>
      <c r="I300">
        <v>8762</v>
      </c>
    </row>
    <row r="301" spans="1:9" x14ac:dyDescent="0.25">
      <c r="A301" s="5" t="str">
        <f>TrendSheetPrdData[[#This Row],[Population]]&amp;TrendSheetPrdData[[#This Row],[Cost Basis]]&amp;TrendSheetPrdData[[#This Row],[Period]]&amp;TrendSheetPrdData[[#This Row],[Trend]]</f>
        <v>EMPLOYEEAllowed2017-04-01Outpatient Claim Count</v>
      </c>
      <c r="B301" t="s">
        <v>90</v>
      </c>
      <c r="C301" t="s">
        <v>90</v>
      </c>
      <c r="D301" t="s">
        <v>91</v>
      </c>
      <c r="E301" s="1" t="s">
        <v>105</v>
      </c>
      <c r="F301" t="s">
        <v>106</v>
      </c>
      <c r="G301" t="s">
        <v>31</v>
      </c>
      <c r="H301">
        <v>20</v>
      </c>
      <c r="I301">
        <v>2290</v>
      </c>
    </row>
    <row r="302" spans="1:9" x14ac:dyDescent="0.25">
      <c r="A302" s="5" t="str">
        <f>TrendSheetPrdData[[#This Row],[Population]]&amp;TrendSheetPrdData[[#This Row],[Cost Basis]]&amp;TrendSheetPrdData[[#This Row],[Period]]&amp;TrendSheetPrdData[[#This Row],[Trend]]</f>
        <v>EMPLOYEEAllowed2016-02-01Professional Claim Count</v>
      </c>
      <c r="B302" t="s">
        <v>90</v>
      </c>
      <c r="C302" t="s">
        <v>90</v>
      </c>
      <c r="D302" t="s">
        <v>91</v>
      </c>
      <c r="E302" s="1" t="s">
        <v>124</v>
      </c>
      <c r="F302" t="s">
        <v>93</v>
      </c>
      <c r="G302" t="s">
        <v>32</v>
      </c>
      <c r="H302">
        <v>21</v>
      </c>
      <c r="I302">
        <v>9918</v>
      </c>
    </row>
    <row r="303" spans="1:9" x14ac:dyDescent="0.25">
      <c r="A303" s="5" t="str">
        <f>TrendSheetPrdData[[#This Row],[Population]]&amp;TrendSheetPrdData[[#This Row],[Cost Basis]]&amp;TrendSheetPrdData[[#This Row],[Period]]&amp;TrendSheetPrdData[[#This Row],[Trend]]</f>
        <v>EMPLOYEEAllowed2016-03-01Professional Claim Count</v>
      </c>
      <c r="B303" t="s">
        <v>90</v>
      </c>
      <c r="C303" t="s">
        <v>90</v>
      </c>
      <c r="D303" t="s">
        <v>91</v>
      </c>
      <c r="E303" s="1" t="s">
        <v>125</v>
      </c>
      <c r="F303" t="s">
        <v>93</v>
      </c>
      <c r="G303" t="s">
        <v>32</v>
      </c>
      <c r="H303">
        <v>21</v>
      </c>
      <c r="I303">
        <v>10343</v>
      </c>
    </row>
    <row r="304" spans="1:9" x14ac:dyDescent="0.25">
      <c r="A304" s="5" t="str">
        <f>TrendSheetPrdData[[#This Row],[Population]]&amp;TrendSheetPrdData[[#This Row],[Cost Basis]]&amp;TrendSheetPrdData[[#This Row],[Period]]&amp;TrendSheetPrdData[[#This Row],[Trend]]</f>
        <v>EMPLOYEEAllowed2016-04-01Professional Claim Count</v>
      </c>
      <c r="B304" t="s">
        <v>90</v>
      </c>
      <c r="C304" t="s">
        <v>90</v>
      </c>
      <c r="D304" t="s">
        <v>91</v>
      </c>
      <c r="E304" s="1" t="s">
        <v>92</v>
      </c>
      <c r="F304" t="s">
        <v>93</v>
      </c>
      <c r="G304" t="s">
        <v>32</v>
      </c>
      <c r="H304">
        <v>21</v>
      </c>
      <c r="I304">
        <v>9568</v>
      </c>
    </row>
    <row r="305" spans="1:9" x14ac:dyDescent="0.25">
      <c r="A305" s="5" t="str">
        <f>TrendSheetPrdData[[#This Row],[Population]]&amp;TrendSheetPrdData[[#This Row],[Cost Basis]]&amp;TrendSheetPrdData[[#This Row],[Period]]&amp;TrendSheetPrdData[[#This Row],[Trend]]</f>
        <v>EMPLOYEEAllowed2016-05-01Professional Claim Count</v>
      </c>
      <c r="B305" t="s">
        <v>90</v>
      </c>
      <c r="C305" t="s">
        <v>90</v>
      </c>
      <c r="D305" t="s">
        <v>91</v>
      </c>
      <c r="E305" s="1" t="s">
        <v>94</v>
      </c>
      <c r="F305" t="s">
        <v>93</v>
      </c>
      <c r="G305" t="s">
        <v>32</v>
      </c>
      <c r="H305">
        <v>21</v>
      </c>
      <c r="I305">
        <v>8904</v>
      </c>
    </row>
    <row r="306" spans="1:9" x14ac:dyDescent="0.25">
      <c r="A306" s="5" t="str">
        <f>TrendSheetPrdData[[#This Row],[Population]]&amp;TrendSheetPrdData[[#This Row],[Cost Basis]]&amp;TrendSheetPrdData[[#This Row],[Period]]&amp;TrendSheetPrdData[[#This Row],[Trend]]</f>
        <v>EMPLOYEEAllowed2016-06-01Professional Claim Count</v>
      </c>
      <c r="B306" t="s">
        <v>90</v>
      </c>
      <c r="C306" t="s">
        <v>90</v>
      </c>
      <c r="D306" t="s">
        <v>91</v>
      </c>
      <c r="E306" s="1" t="s">
        <v>95</v>
      </c>
      <c r="F306" t="s">
        <v>93</v>
      </c>
      <c r="G306" t="s">
        <v>32</v>
      </c>
      <c r="H306">
        <v>21</v>
      </c>
      <c r="I306">
        <v>9942</v>
      </c>
    </row>
    <row r="307" spans="1:9" x14ac:dyDescent="0.25">
      <c r="A307" s="5" t="str">
        <f>TrendSheetPrdData[[#This Row],[Population]]&amp;TrendSheetPrdData[[#This Row],[Cost Basis]]&amp;TrendSheetPrdData[[#This Row],[Period]]&amp;TrendSheetPrdData[[#This Row],[Trend]]</f>
        <v>EMPLOYEEAllowed2016-07-01Professional Claim Count</v>
      </c>
      <c r="B307" t="s">
        <v>90</v>
      </c>
      <c r="C307" t="s">
        <v>90</v>
      </c>
      <c r="D307" t="s">
        <v>91</v>
      </c>
      <c r="E307" s="1" t="s">
        <v>96</v>
      </c>
      <c r="F307" t="s">
        <v>93</v>
      </c>
      <c r="G307" t="s">
        <v>32</v>
      </c>
      <c r="H307">
        <v>21</v>
      </c>
      <c r="I307">
        <v>8531</v>
      </c>
    </row>
    <row r="308" spans="1:9" x14ac:dyDescent="0.25">
      <c r="A308" s="5" t="str">
        <f>TrendSheetPrdData[[#This Row],[Population]]&amp;TrendSheetPrdData[[#This Row],[Cost Basis]]&amp;TrendSheetPrdData[[#This Row],[Period]]&amp;TrendSheetPrdData[[#This Row],[Trend]]</f>
        <v>EMPLOYEEAllowed2016-08-01Professional Claim Count</v>
      </c>
      <c r="B308" t="s">
        <v>90</v>
      </c>
      <c r="C308" t="s">
        <v>90</v>
      </c>
      <c r="D308" t="s">
        <v>91</v>
      </c>
      <c r="E308" s="1" t="s">
        <v>97</v>
      </c>
      <c r="F308" t="s">
        <v>93</v>
      </c>
      <c r="G308" t="s">
        <v>32</v>
      </c>
      <c r="H308">
        <v>21</v>
      </c>
      <c r="I308">
        <v>10389</v>
      </c>
    </row>
    <row r="309" spans="1:9" x14ac:dyDescent="0.25">
      <c r="A309" s="5" t="str">
        <f>TrendSheetPrdData[[#This Row],[Population]]&amp;TrendSheetPrdData[[#This Row],[Cost Basis]]&amp;TrendSheetPrdData[[#This Row],[Period]]&amp;TrendSheetPrdData[[#This Row],[Trend]]</f>
        <v>EMPLOYEEAllowed2016-09-01Professional Claim Count</v>
      </c>
      <c r="B309" t="s">
        <v>90</v>
      </c>
      <c r="C309" t="s">
        <v>90</v>
      </c>
      <c r="D309" t="s">
        <v>91</v>
      </c>
      <c r="E309" s="1" t="s">
        <v>98</v>
      </c>
      <c r="F309" t="s">
        <v>93</v>
      </c>
      <c r="G309" t="s">
        <v>32</v>
      </c>
      <c r="H309">
        <v>21</v>
      </c>
      <c r="I309">
        <v>10058</v>
      </c>
    </row>
    <row r="310" spans="1:9" x14ac:dyDescent="0.25">
      <c r="A310" s="5" t="str">
        <f>TrendSheetPrdData[[#This Row],[Population]]&amp;TrendSheetPrdData[[#This Row],[Cost Basis]]&amp;TrendSheetPrdData[[#This Row],[Period]]&amp;TrendSheetPrdData[[#This Row],[Trend]]</f>
        <v>EMPLOYEEAllowed2016-10-01Professional Claim Count</v>
      </c>
      <c r="B310" t="s">
        <v>90</v>
      </c>
      <c r="C310" t="s">
        <v>90</v>
      </c>
      <c r="D310" t="s">
        <v>91</v>
      </c>
      <c r="E310" s="1" t="s">
        <v>99</v>
      </c>
      <c r="F310" t="s">
        <v>93</v>
      </c>
      <c r="G310" t="s">
        <v>32</v>
      </c>
      <c r="H310">
        <v>21</v>
      </c>
      <c r="I310">
        <v>10995</v>
      </c>
    </row>
    <row r="311" spans="1:9" x14ac:dyDescent="0.25">
      <c r="A311" s="5" t="str">
        <f>TrendSheetPrdData[[#This Row],[Population]]&amp;TrendSheetPrdData[[#This Row],[Cost Basis]]&amp;TrendSheetPrdData[[#This Row],[Period]]&amp;TrendSheetPrdData[[#This Row],[Trend]]</f>
        <v>EMPLOYEEAllowed2016-11-01Professional Claim Count</v>
      </c>
      <c r="B311" t="s">
        <v>90</v>
      </c>
      <c r="C311" t="s">
        <v>90</v>
      </c>
      <c r="D311" t="s">
        <v>91</v>
      </c>
      <c r="E311" s="1" t="s">
        <v>100</v>
      </c>
      <c r="F311" t="s">
        <v>93</v>
      </c>
      <c r="G311" t="s">
        <v>32</v>
      </c>
      <c r="H311">
        <v>21</v>
      </c>
      <c r="I311">
        <v>11525</v>
      </c>
    </row>
    <row r="312" spans="1:9" x14ac:dyDescent="0.25">
      <c r="A312" s="5" t="str">
        <f>TrendSheetPrdData[[#This Row],[Population]]&amp;TrendSheetPrdData[[#This Row],[Cost Basis]]&amp;TrendSheetPrdData[[#This Row],[Period]]&amp;TrendSheetPrdData[[#This Row],[Trend]]</f>
        <v>EMPLOYEEAllowed2016-12-01Professional Claim Count</v>
      </c>
      <c r="B312" t="s">
        <v>90</v>
      </c>
      <c r="C312" t="s">
        <v>90</v>
      </c>
      <c r="D312" t="s">
        <v>91</v>
      </c>
      <c r="E312" s="1" t="s">
        <v>101</v>
      </c>
      <c r="F312" t="s">
        <v>93</v>
      </c>
      <c r="G312" t="s">
        <v>32</v>
      </c>
      <c r="H312">
        <v>21</v>
      </c>
      <c r="I312">
        <v>11035</v>
      </c>
    </row>
    <row r="313" spans="1:9" x14ac:dyDescent="0.25">
      <c r="A313" s="5" t="str">
        <f>TrendSheetPrdData[[#This Row],[Population]]&amp;TrendSheetPrdData[[#This Row],[Cost Basis]]&amp;TrendSheetPrdData[[#This Row],[Period]]&amp;TrendSheetPrdData[[#This Row],[Trend]]</f>
        <v>EMPLOYEEAllowed2017-01-01Professional Claim Count</v>
      </c>
      <c r="B313" t="s">
        <v>90</v>
      </c>
      <c r="C313" t="s">
        <v>90</v>
      </c>
      <c r="D313" t="s">
        <v>91</v>
      </c>
      <c r="E313" s="1" t="s">
        <v>102</v>
      </c>
      <c r="F313" t="s">
        <v>93</v>
      </c>
      <c r="G313" t="s">
        <v>32</v>
      </c>
      <c r="H313">
        <v>21</v>
      </c>
      <c r="I313">
        <v>10233</v>
      </c>
    </row>
    <row r="314" spans="1:9" x14ac:dyDescent="0.25">
      <c r="A314" s="5" t="str">
        <f>TrendSheetPrdData[[#This Row],[Population]]&amp;TrendSheetPrdData[[#This Row],[Cost Basis]]&amp;TrendSheetPrdData[[#This Row],[Period]]&amp;TrendSheetPrdData[[#This Row],[Trend]]</f>
        <v>EMPLOYEEAllowed2017-02-01Professional Claim Count</v>
      </c>
      <c r="B314" t="s">
        <v>90</v>
      </c>
      <c r="C314" t="s">
        <v>90</v>
      </c>
      <c r="D314" t="s">
        <v>91</v>
      </c>
      <c r="E314" s="1" t="s">
        <v>103</v>
      </c>
      <c r="F314" t="s">
        <v>106</v>
      </c>
      <c r="G314" t="s">
        <v>32</v>
      </c>
      <c r="H314">
        <v>21</v>
      </c>
      <c r="I314">
        <v>9289</v>
      </c>
    </row>
    <row r="315" spans="1:9" x14ac:dyDescent="0.25">
      <c r="A315" s="5" t="str">
        <f>TrendSheetPrdData[[#This Row],[Population]]&amp;TrendSheetPrdData[[#This Row],[Cost Basis]]&amp;TrendSheetPrdData[[#This Row],[Period]]&amp;TrendSheetPrdData[[#This Row],[Trend]]</f>
        <v>EMPLOYEEAllowed2017-03-01Professional Claim Count</v>
      </c>
      <c r="B315" t="s">
        <v>90</v>
      </c>
      <c r="C315" t="s">
        <v>90</v>
      </c>
      <c r="D315" t="s">
        <v>91</v>
      </c>
      <c r="E315" s="1" t="s">
        <v>104</v>
      </c>
      <c r="F315" t="s">
        <v>106</v>
      </c>
      <c r="G315" t="s">
        <v>32</v>
      </c>
      <c r="H315">
        <v>21</v>
      </c>
      <c r="I315">
        <v>9766</v>
      </c>
    </row>
    <row r="316" spans="1:9" x14ac:dyDescent="0.25">
      <c r="A316" s="5" t="str">
        <f>TrendSheetPrdData[[#This Row],[Population]]&amp;TrendSheetPrdData[[#This Row],[Cost Basis]]&amp;TrendSheetPrdData[[#This Row],[Period]]&amp;TrendSheetPrdData[[#This Row],[Trend]]</f>
        <v>EMPLOYEEAllowed2017-04-01Professional Claim Count</v>
      </c>
      <c r="B316" t="s">
        <v>90</v>
      </c>
      <c r="C316" t="s">
        <v>90</v>
      </c>
      <c r="D316" t="s">
        <v>91</v>
      </c>
      <c r="E316" s="1" t="s">
        <v>105</v>
      </c>
      <c r="F316" t="s">
        <v>106</v>
      </c>
      <c r="G316" t="s">
        <v>32</v>
      </c>
      <c r="H316">
        <v>21</v>
      </c>
      <c r="I316">
        <v>3323</v>
      </c>
    </row>
    <row r="317" spans="1:9" x14ac:dyDescent="0.25">
      <c r="A317" s="5" t="str">
        <f>TrendSheetPrdData[[#This Row],[Population]]&amp;TrendSheetPrdData[[#This Row],[Cost Basis]]&amp;TrendSheetPrdData[[#This Row],[Period]]&amp;TrendSheetPrdData[[#This Row],[Trend]]</f>
        <v>EMPLOYEEAllowed2016-02-01Ancillary Claim Count</v>
      </c>
      <c r="B317" t="s">
        <v>90</v>
      </c>
      <c r="C317" t="s">
        <v>90</v>
      </c>
      <c r="D317" t="s">
        <v>91</v>
      </c>
      <c r="E317" s="1" t="s">
        <v>124</v>
      </c>
      <c r="F317" t="s">
        <v>93</v>
      </c>
      <c r="G317" t="s">
        <v>33</v>
      </c>
      <c r="H317">
        <v>22</v>
      </c>
      <c r="I317">
        <v>690</v>
      </c>
    </row>
    <row r="318" spans="1:9" x14ac:dyDescent="0.25">
      <c r="A318" s="5" t="str">
        <f>TrendSheetPrdData[[#This Row],[Population]]&amp;TrendSheetPrdData[[#This Row],[Cost Basis]]&amp;TrendSheetPrdData[[#This Row],[Period]]&amp;TrendSheetPrdData[[#This Row],[Trend]]</f>
        <v>EMPLOYEEAllowed2016-03-01Ancillary Claim Count</v>
      </c>
      <c r="B318" t="s">
        <v>90</v>
      </c>
      <c r="C318" t="s">
        <v>90</v>
      </c>
      <c r="D318" t="s">
        <v>91</v>
      </c>
      <c r="E318" s="1" t="s">
        <v>125</v>
      </c>
      <c r="F318" t="s">
        <v>93</v>
      </c>
      <c r="G318" t="s">
        <v>33</v>
      </c>
      <c r="H318">
        <v>22</v>
      </c>
      <c r="I318">
        <v>816</v>
      </c>
    </row>
    <row r="319" spans="1:9" x14ac:dyDescent="0.25">
      <c r="A319" s="5" t="str">
        <f>TrendSheetPrdData[[#This Row],[Population]]&amp;TrendSheetPrdData[[#This Row],[Cost Basis]]&amp;TrendSheetPrdData[[#This Row],[Period]]&amp;TrendSheetPrdData[[#This Row],[Trend]]</f>
        <v>EMPLOYEEAllowed2016-04-01Ancillary Claim Count</v>
      </c>
      <c r="B319" t="s">
        <v>90</v>
      </c>
      <c r="C319" t="s">
        <v>90</v>
      </c>
      <c r="D319" t="s">
        <v>91</v>
      </c>
      <c r="E319" s="1" t="s">
        <v>92</v>
      </c>
      <c r="F319" t="s">
        <v>93</v>
      </c>
      <c r="G319" t="s">
        <v>33</v>
      </c>
      <c r="H319">
        <v>22</v>
      </c>
      <c r="I319">
        <v>734</v>
      </c>
    </row>
    <row r="320" spans="1:9" x14ac:dyDescent="0.25">
      <c r="A320" s="5" t="str">
        <f>TrendSheetPrdData[[#This Row],[Population]]&amp;TrendSheetPrdData[[#This Row],[Cost Basis]]&amp;TrendSheetPrdData[[#This Row],[Period]]&amp;TrendSheetPrdData[[#This Row],[Trend]]</f>
        <v>EMPLOYEEAllowed2016-05-01Ancillary Claim Count</v>
      </c>
      <c r="B320" t="s">
        <v>90</v>
      </c>
      <c r="C320" t="s">
        <v>90</v>
      </c>
      <c r="D320" t="s">
        <v>91</v>
      </c>
      <c r="E320" s="1" t="s">
        <v>94</v>
      </c>
      <c r="F320" t="s">
        <v>93</v>
      </c>
      <c r="G320" t="s">
        <v>33</v>
      </c>
      <c r="H320">
        <v>22</v>
      </c>
      <c r="I320">
        <v>706</v>
      </c>
    </row>
    <row r="321" spans="1:9" x14ac:dyDescent="0.25">
      <c r="A321" s="5" t="str">
        <f>TrendSheetPrdData[[#This Row],[Population]]&amp;TrendSheetPrdData[[#This Row],[Cost Basis]]&amp;TrendSheetPrdData[[#This Row],[Period]]&amp;TrendSheetPrdData[[#This Row],[Trend]]</f>
        <v>EMPLOYEEAllowed2016-06-01Ancillary Claim Count</v>
      </c>
      <c r="B321" t="s">
        <v>90</v>
      </c>
      <c r="C321" t="s">
        <v>90</v>
      </c>
      <c r="D321" t="s">
        <v>91</v>
      </c>
      <c r="E321" s="1" t="s">
        <v>95</v>
      </c>
      <c r="F321" t="s">
        <v>93</v>
      </c>
      <c r="G321" t="s">
        <v>33</v>
      </c>
      <c r="H321">
        <v>22</v>
      </c>
      <c r="I321">
        <v>753</v>
      </c>
    </row>
    <row r="322" spans="1:9" x14ac:dyDescent="0.25">
      <c r="A322" s="5" t="str">
        <f>TrendSheetPrdData[[#This Row],[Population]]&amp;TrendSheetPrdData[[#This Row],[Cost Basis]]&amp;TrendSheetPrdData[[#This Row],[Period]]&amp;TrendSheetPrdData[[#This Row],[Trend]]</f>
        <v>EMPLOYEEAllowed2016-07-01Ancillary Claim Count</v>
      </c>
      <c r="B322" t="s">
        <v>90</v>
      </c>
      <c r="C322" t="s">
        <v>90</v>
      </c>
      <c r="D322" t="s">
        <v>91</v>
      </c>
      <c r="E322" s="1" t="s">
        <v>96</v>
      </c>
      <c r="F322" t="s">
        <v>93</v>
      </c>
      <c r="G322" t="s">
        <v>33</v>
      </c>
      <c r="H322">
        <v>22</v>
      </c>
      <c r="I322">
        <v>705</v>
      </c>
    </row>
    <row r="323" spans="1:9" x14ac:dyDescent="0.25">
      <c r="A323" s="5" t="str">
        <f>TrendSheetPrdData[[#This Row],[Population]]&amp;TrendSheetPrdData[[#This Row],[Cost Basis]]&amp;TrendSheetPrdData[[#This Row],[Period]]&amp;TrendSheetPrdData[[#This Row],[Trend]]</f>
        <v>EMPLOYEEAllowed2016-08-01Ancillary Claim Count</v>
      </c>
      <c r="B323" t="s">
        <v>90</v>
      </c>
      <c r="C323" t="s">
        <v>90</v>
      </c>
      <c r="D323" t="s">
        <v>91</v>
      </c>
      <c r="E323" s="1" t="s">
        <v>97</v>
      </c>
      <c r="F323" t="s">
        <v>93</v>
      </c>
      <c r="G323" t="s">
        <v>33</v>
      </c>
      <c r="H323">
        <v>22</v>
      </c>
      <c r="I323">
        <v>815</v>
      </c>
    </row>
    <row r="324" spans="1:9" x14ac:dyDescent="0.25">
      <c r="A324" s="5" t="str">
        <f>TrendSheetPrdData[[#This Row],[Population]]&amp;TrendSheetPrdData[[#This Row],[Cost Basis]]&amp;TrendSheetPrdData[[#This Row],[Period]]&amp;TrendSheetPrdData[[#This Row],[Trend]]</f>
        <v>EMPLOYEEAllowed2016-09-01Ancillary Claim Count</v>
      </c>
      <c r="B324" t="s">
        <v>90</v>
      </c>
      <c r="C324" t="s">
        <v>90</v>
      </c>
      <c r="D324" t="s">
        <v>91</v>
      </c>
      <c r="E324" s="1" t="s">
        <v>98</v>
      </c>
      <c r="F324" t="s">
        <v>93</v>
      </c>
      <c r="G324" t="s">
        <v>33</v>
      </c>
      <c r="H324">
        <v>22</v>
      </c>
      <c r="I324">
        <v>820</v>
      </c>
    </row>
    <row r="325" spans="1:9" x14ac:dyDescent="0.25">
      <c r="A325" s="5" t="str">
        <f>TrendSheetPrdData[[#This Row],[Population]]&amp;TrendSheetPrdData[[#This Row],[Cost Basis]]&amp;TrendSheetPrdData[[#This Row],[Period]]&amp;TrendSheetPrdData[[#This Row],[Trend]]</f>
        <v>EMPLOYEEAllowed2016-10-01Ancillary Claim Count</v>
      </c>
      <c r="B325" t="s">
        <v>90</v>
      </c>
      <c r="C325" t="s">
        <v>90</v>
      </c>
      <c r="D325" t="s">
        <v>91</v>
      </c>
      <c r="E325" s="1" t="s">
        <v>99</v>
      </c>
      <c r="F325" t="s">
        <v>93</v>
      </c>
      <c r="G325" t="s">
        <v>33</v>
      </c>
      <c r="H325">
        <v>22</v>
      </c>
      <c r="I325">
        <v>885</v>
      </c>
    </row>
    <row r="326" spans="1:9" x14ac:dyDescent="0.25">
      <c r="A326" s="5" t="str">
        <f>TrendSheetPrdData[[#This Row],[Population]]&amp;TrendSheetPrdData[[#This Row],[Cost Basis]]&amp;TrendSheetPrdData[[#This Row],[Period]]&amp;TrendSheetPrdData[[#This Row],[Trend]]</f>
        <v>EMPLOYEEAllowed2016-11-01Ancillary Claim Count</v>
      </c>
      <c r="B326" t="s">
        <v>90</v>
      </c>
      <c r="C326" t="s">
        <v>90</v>
      </c>
      <c r="D326" t="s">
        <v>91</v>
      </c>
      <c r="E326" s="1" t="s">
        <v>100</v>
      </c>
      <c r="F326" t="s">
        <v>93</v>
      </c>
      <c r="G326" t="s">
        <v>33</v>
      </c>
      <c r="H326">
        <v>22</v>
      </c>
      <c r="I326">
        <v>876</v>
      </c>
    </row>
    <row r="327" spans="1:9" x14ac:dyDescent="0.25">
      <c r="A327" s="5" t="str">
        <f>TrendSheetPrdData[[#This Row],[Population]]&amp;TrendSheetPrdData[[#This Row],[Cost Basis]]&amp;TrendSheetPrdData[[#This Row],[Period]]&amp;TrendSheetPrdData[[#This Row],[Trend]]</f>
        <v>EMPLOYEEAllowed2016-12-01Ancillary Claim Count</v>
      </c>
      <c r="B327" t="s">
        <v>90</v>
      </c>
      <c r="C327" t="s">
        <v>90</v>
      </c>
      <c r="D327" t="s">
        <v>91</v>
      </c>
      <c r="E327" s="1" t="s">
        <v>101</v>
      </c>
      <c r="F327" t="s">
        <v>93</v>
      </c>
      <c r="G327" t="s">
        <v>33</v>
      </c>
      <c r="H327">
        <v>22</v>
      </c>
      <c r="I327">
        <v>789</v>
      </c>
    </row>
    <row r="328" spans="1:9" x14ac:dyDescent="0.25">
      <c r="A328" s="5" t="str">
        <f>TrendSheetPrdData[[#This Row],[Population]]&amp;TrendSheetPrdData[[#This Row],[Cost Basis]]&amp;TrendSheetPrdData[[#This Row],[Period]]&amp;TrendSheetPrdData[[#This Row],[Trend]]</f>
        <v>EMPLOYEEAllowed2017-01-01Ancillary Claim Count</v>
      </c>
      <c r="B328" t="s">
        <v>90</v>
      </c>
      <c r="C328" t="s">
        <v>90</v>
      </c>
      <c r="D328" t="s">
        <v>91</v>
      </c>
      <c r="E328" s="1" t="s">
        <v>102</v>
      </c>
      <c r="F328" t="s">
        <v>93</v>
      </c>
      <c r="G328" t="s">
        <v>33</v>
      </c>
      <c r="H328">
        <v>22</v>
      </c>
      <c r="I328">
        <v>805</v>
      </c>
    </row>
    <row r="329" spans="1:9" x14ac:dyDescent="0.25">
      <c r="A329" s="5" t="str">
        <f>TrendSheetPrdData[[#This Row],[Population]]&amp;TrendSheetPrdData[[#This Row],[Cost Basis]]&amp;TrendSheetPrdData[[#This Row],[Period]]&amp;TrendSheetPrdData[[#This Row],[Trend]]</f>
        <v>EMPLOYEEAllowed2017-02-01Ancillary Claim Count</v>
      </c>
      <c r="B329" t="s">
        <v>90</v>
      </c>
      <c r="C329" t="s">
        <v>90</v>
      </c>
      <c r="D329" t="s">
        <v>91</v>
      </c>
      <c r="E329" s="1" t="s">
        <v>103</v>
      </c>
      <c r="F329" t="s">
        <v>106</v>
      </c>
      <c r="G329" t="s">
        <v>33</v>
      </c>
      <c r="H329">
        <v>22</v>
      </c>
      <c r="I329">
        <v>874</v>
      </c>
    </row>
    <row r="330" spans="1:9" x14ac:dyDescent="0.25">
      <c r="A330" s="5" t="str">
        <f>TrendSheetPrdData[[#This Row],[Population]]&amp;TrendSheetPrdData[[#This Row],[Cost Basis]]&amp;TrendSheetPrdData[[#This Row],[Period]]&amp;TrendSheetPrdData[[#This Row],[Trend]]</f>
        <v>EMPLOYEEAllowed2017-03-01Ancillary Claim Count</v>
      </c>
      <c r="B330" t="s">
        <v>90</v>
      </c>
      <c r="C330" t="s">
        <v>90</v>
      </c>
      <c r="D330" t="s">
        <v>91</v>
      </c>
      <c r="E330" s="1" t="s">
        <v>104</v>
      </c>
      <c r="F330" t="s">
        <v>106</v>
      </c>
      <c r="G330" t="s">
        <v>33</v>
      </c>
      <c r="H330">
        <v>22</v>
      </c>
      <c r="I330">
        <v>837</v>
      </c>
    </row>
    <row r="331" spans="1:9" x14ac:dyDescent="0.25">
      <c r="A331" s="5" t="str">
        <f>TrendSheetPrdData[[#This Row],[Population]]&amp;TrendSheetPrdData[[#This Row],[Cost Basis]]&amp;TrendSheetPrdData[[#This Row],[Period]]&amp;TrendSheetPrdData[[#This Row],[Trend]]</f>
        <v>EMPLOYEEAllowed2017-04-01Ancillary Claim Count</v>
      </c>
      <c r="B331" t="s">
        <v>90</v>
      </c>
      <c r="C331" t="s">
        <v>90</v>
      </c>
      <c r="D331" t="s">
        <v>91</v>
      </c>
      <c r="E331" s="1" t="s">
        <v>105</v>
      </c>
      <c r="F331" t="s">
        <v>106</v>
      </c>
      <c r="G331" t="s">
        <v>33</v>
      </c>
      <c r="H331">
        <v>22</v>
      </c>
      <c r="I331">
        <v>273</v>
      </c>
    </row>
    <row r="332" spans="1:9" x14ac:dyDescent="0.25">
      <c r="A332" s="5" t="str">
        <f>TrendSheetPrdData[[#This Row],[Population]]&amp;TrendSheetPrdData[[#This Row],[Cost Basis]]&amp;TrendSheetPrdData[[#This Row],[Period]]&amp;TrendSheetPrdData[[#This Row],[Trend]]</f>
        <v>EMPLOYEEAllowed2016-02-01Drug Claim Count</v>
      </c>
      <c r="B332" t="s">
        <v>90</v>
      </c>
      <c r="C332" t="s">
        <v>90</v>
      </c>
      <c r="D332" t="s">
        <v>91</v>
      </c>
      <c r="E332" s="1" t="s">
        <v>124</v>
      </c>
      <c r="F332" t="s">
        <v>93</v>
      </c>
      <c r="G332" t="s">
        <v>34</v>
      </c>
      <c r="H332">
        <v>23</v>
      </c>
      <c r="I332">
        <v>8509</v>
      </c>
    </row>
    <row r="333" spans="1:9" x14ac:dyDescent="0.25">
      <c r="A333" s="5" t="str">
        <f>TrendSheetPrdData[[#This Row],[Population]]&amp;TrendSheetPrdData[[#This Row],[Cost Basis]]&amp;TrendSheetPrdData[[#This Row],[Period]]&amp;TrendSheetPrdData[[#This Row],[Trend]]</f>
        <v>EMPLOYEEAllowed2016-03-01Drug Claim Count</v>
      </c>
      <c r="B333" t="s">
        <v>90</v>
      </c>
      <c r="C333" t="s">
        <v>90</v>
      </c>
      <c r="D333" t="s">
        <v>91</v>
      </c>
      <c r="E333" s="1" t="s">
        <v>125</v>
      </c>
      <c r="F333" t="s">
        <v>93</v>
      </c>
      <c r="G333" t="s">
        <v>34</v>
      </c>
      <c r="H333">
        <v>23</v>
      </c>
      <c r="I333">
        <v>9512</v>
      </c>
    </row>
    <row r="334" spans="1:9" x14ac:dyDescent="0.25">
      <c r="A334" s="5" t="str">
        <f>TrendSheetPrdData[[#This Row],[Population]]&amp;TrendSheetPrdData[[#This Row],[Cost Basis]]&amp;TrendSheetPrdData[[#This Row],[Period]]&amp;TrendSheetPrdData[[#This Row],[Trend]]</f>
        <v>EMPLOYEEAllowed2016-04-01Drug Claim Count</v>
      </c>
      <c r="B334" t="s">
        <v>90</v>
      </c>
      <c r="C334" t="s">
        <v>90</v>
      </c>
      <c r="D334" t="s">
        <v>91</v>
      </c>
      <c r="E334" s="1" t="s">
        <v>92</v>
      </c>
      <c r="F334" t="s">
        <v>93</v>
      </c>
      <c r="G334" t="s">
        <v>34</v>
      </c>
      <c r="H334">
        <v>23</v>
      </c>
      <c r="I334">
        <v>9166</v>
      </c>
    </row>
    <row r="335" spans="1:9" x14ac:dyDescent="0.25">
      <c r="A335" s="5" t="str">
        <f>TrendSheetPrdData[[#This Row],[Population]]&amp;TrendSheetPrdData[[#This Row],[Cost Basis]]&amp;TrendSheetPrdData[[#This Row],[Period]]&amp;TrendSheetPrdData[[#This Row],[Trend]]</f>
        <v>EMPLOYEEAllowed2016-05-01Drug Claim Count</v>
      </c>
      <c r="B335" t="s">
        <v>90</v>
      </c>
      <c r="C335" t="s">
        <v>90</v>
      </c>
      <c r="D335" t="s">
        <v>91</v>
      </c>
      <c r="E335" s="1" t="s">
        <v>94</v>
      </c>
      <c r="F335" t="s">
        <v>93</v>
      </c>
      <c r="G335" t="s">
        <v>34</v>
      </c>
      <c r="H335">
        <v>23</v>
      </c>
      <c r="I335">
        <v>8615</v>
      </c>
    </row>
    <row r="336" spans="1:9" x14ac:dyDescent="0.25">
      <c r="A336" s="5" t="str">
        <f>TrendSheetPrdData[[#This Row],[Population]]&amp;TrendSheetPrdData[[#This Row],[Cost Basis]]&amp;TrendSheetPrdData[[#This Row],[Period]]&amp;TrendSheetPrdData[[#This Row],[Trend]]</f>
        <v>EMPLOYEEAllowed2016-06-01Drug Claim Count</v>
      </c>
      <c r="B336" t="s">
        <v>90</v>
      </c>
      <c r="C336" t="s">
        <v>90</v>
      </c>
      <c r="D336" t="s">
        <v>91</v>
      </c>
      <c r="E336" s="1" t="s">
        <v>95</v>
      </c>
      <c r="F336" t="s">
        <v>93</v>
      </c>
      <c r="G336" t="s">
        <v>34</v>
      </c>
      <c r="H336">
        <v>23</v>
      </c>
      <c r="I336">
        <v>9044</v>
      </c>
    </row>
    <row r="337" spans="1:9" x14ac:dyDescent="0.25">
      <c r="A337" s="5" t="str">
        <f>TrendSheetPrdData[[#This Row],[Population]]&amp;TrendSheetPrdData[[#This Row],[Cost Basis]]&amp;TrendSheetPrdData[[#This Row],[Period]]&amp;TrendSheetPrdData[[#This Row],[Trend]]</f>
        <v>EMPLOYEEAllowed2016-07-01Drug Claim Count</v>
      </c>
      <c r="B337" t="s">
        <v>90</v>
      </c>
      <c r="C337" t="s">
        <v>90</v>
      </c>
      <c r="D337" t="s">
        <v>91</v>
      </c>
      <c r="E337" s="1" t="s">
        <v>96</v>
      </c>
      <c r="F337" t="s">
        <v>93</v>
      </c>
      <c r="G337" t="s">
        <v>34</v>
      </c>
      <c r="H337">
        <v>23</v>
      </c>
      <c r="I337">
        <v>8445</v>
      </c>
    </row>
    <row r="338" spans="1:9" x14ac:dyDescent="0.25">
      <c r="A338" s="5" t="str">
        <f>TrendSheetPrdData[[#This Row],[Population]]&amp;TrendSheetPrdData[[#This Row],[Cost Basis]]&amp;TrendSheetPrdData[[#This Row],[Period]]&amp;TrendSheetPrdData[[#This Row],[Trend]]</f>
        <v>EMPLOYEEAllowed2016-08-01Drug Claim Count</v>
      </c>
      <c r="B338" t="s">
        <v>90</v>
      </c>
      <c r="C338" t="s">
        <v>90</v>
      </c>
      <c r="D338" t="s">
        <v>91</v>
      </c>
      <c r="E338" s="1" t="s">
        <v>97</v>
      </c>
      <c r="F338" t="s">
        <v>93</v>
      </c>
      <c r="G338" t="s">
        <v>34</v>
      </c>
      <c r="H338">
        <v>23</v>
      </c>
      <c r="I338">
        <v>8991</v>
      </c>
    </row>
    <row r="339" spans="1:9" x14ac:dyDescent="0.25">
      <c r="A339" s="5" t="str">
        <f>TrendSheetPrdData[[#This Row],[Population]]&amp;TrendSheetPrdData[[#This Row],[Cost Basis]]&amp;TrendSheetPrdData[[#This Row],[Period]]&amp;TrendSheetPrdData[[#This Row],[Trend]]</f>
        <v>EMPLOYEEAllowed2016-09-01Drug Claim Count</v>
      </c>
      <c r="B339" t="s">
        <v>90</v>
      </c>
      <c r="C339" t="s">
        <v>90</v>
      </c>
      <c r="D339" t="s">
        <v>91</v>
      </c>
      <c r="E339" s="1" t="s">
        <v>98</v>
      </c>
      <c r="F339" t="s">
        <v>93</v>
      </c>
      <c r="G339" t="s">
        <v>34</v>
      </c>
      <c r="H339">
        <v>23</v>
      </c>
      <c r="I339">
        <v>8878</v>
      </c>
    </row>
    <row r="340" spans="1:9" x14ac:dyDescent="0.25">
      <c r="A340" s="5" t="str">
        <f>TrendSheetPrdData[[#This Row],[Population]]&amp;TrendSheetPrdData[[#This Row],[Cost Basis]]&amp;TrendSheetPrdData[[#This Row],[Period]]&amp;TrendSheetPrdData[[#This Row],[Trend]]</f>
        <v>EMPLOYEEAllowed2016-10-01Drug Claim Count</v>
      </c>
      <c r="B340" t="s">
        <v>90</v>
      </c>
      <c r="C340" t="s">
        <v>90</v>
      </c>
      <c r="D340" t="s">
        <v>91</v>
      </c>
      <c r="E340" s="1" t="s">
        <v>99</v>
      </c>
      <c r="F340" t="s">
        <v>93</v>
      </c>
      <c r="G340" t="s">
        <v>34</v>
      </c>
      <c r="H340">
        <v>23</v>
      </c>
      <c r="I340">
        <v>9022</v>
      </c>
    </row>
    <row r="341" spans="1:9" x14ac:dyDescent="0.25">
      <c r="A341" s="5" t="str">
        <f>TrendSheetPrdData[[#This Row],[Population]]&amp;TrendSheetPrdData[[#This Row],[Cost Basis]]&amp;TrendSheetPrdData[[#This Row],[Period]]&amp;TrendSheetPrdData[[#This Row],[Trend]]</f>
        <v>EMPLOYEEAllowed2016-11-01Drug Claim Count</v>
      </c>
      <c r="B341" t="s">
        <v>90</v>
      </c>
      <c r="C341" t="s">
        <v>90</v>
      </c>
      <c r="D341" t="s">
        <v>91</v>
      </c>
      <c r="E341" s="1" t="s">
        <v>100</v>
      </c>
      <c r="F341" t="s">
        <v>93</v>
      </c>
      <c r="G341" t="s">
        <v>34</v>
      </c>
      <c r="H341">
        <v>23</v>
      </c>
      <c r="I341">
        <v>9397</v>
      </c>
    </row>
    <row r="342" spans="1:9" x14ac:dyDescent="0.25">
      <c r="A342" s="5" t="str">
        <f>TrendSheetPrdData[[#This Row],[Population]]&amp;TrendSheetPrdData[[#This Row],[Cost Basis]]&amp;TrendSheetPrdData[[#This Row],[Period]]&amp;TrendSheetPrdData[[#This Row],[Trend]]</f>
        <v>EMPLOYEEAllowed2016-12-01Drug Claim Count</v>
      </c>
      <c r="B342" t="s">
        <v>90</v>
      </c>
      <c r="C342" t="s">
        <v>90</v>
      </c>
      <c r="D342" t="s">
        <v>91</v>
      </c>
      <c r="E342" s="1" t="s">
        <v>101</v>
      </c>
      <c r="F342" t="s">
        <v>93</v>
      </c>
      <c r="G342" t="s">
        <v>34</v>
      </c>
      <c r="H342">
        <v>23</v>
      </c>
      <c r="I342">
        <v>10331</v>
      </c>
    </row>
    <row r="343" spans="1:9" x14ac:dyDescent="0.25">
      <c r="A343" s="5" t="str">
        <f>TrendSheetPrdData[[#This Row],[Population]]&amp;TrendSheetPrdData[[#This Row],[Cost Basis]]&amp;TrendSheetPrdData[[#This Row],[Period]]&amp;TrendSheetPrdData[[#This Row],[Trend]]</f>
        <v>EMPLOYEEAllowed2017-01-01Drug Claim Count</v>
      </c>
      <c r="B343" t="s">
        <v>90</v>
      </c>
      <c r="C343" t="s">
        <v>90</v>
      </c>
      <c r="D343" t="s">
        <v>91</v>
      </c>
      <c r="E343" s="1" t="s">
        <v>102</v>
      </c>
      <c r="F343" t="s">
        <v>93</v>
      </c>
      <c r="G343" t="s">
        <v>34</v>
      </c>
      <c r="H343">
        <v>23</v>
      </c>
      <c r="I343">
        <v>9964</v>
      </c>
    </row>
    <row r="344" spans="1:9" x14ac:dyDescent="0.25">
      <c r="A344" s="5" t="str">
        <f>TrendSheetPrdData[[#This Row],[Population]]&amp;TrendSheetPrdData[[#This Row],[Cost Basis]]&amp;TrendSheetPrdData[[#This Row],[Period]]&amp;TrendSheetPrdData[[#This Row],[Trend]]</f>
        <v>EMPLOYEEAllowed2017-02-01Drug Claim Count</v>
      </c>
      <c r="B344" t="s">
        <v>90</v>
      </c>
      <c r="C344" t="s">
        <v>90</v>
      </c>
      <c r="D344" t="s">
        <v>91</v>
      </c>
      <c r="E344" s="1" t="s">
        <v>103</v>
      </c>
      <c r="F344" t="s">
        <v>106</v>
      </c>
      <c r="G344" t="s">
        <v>34</v>
      </c>
      <c r="H344">
        <v>23</v>
      </c>
      <c r="I344">
        <v>9034</v>
      </c>
    </row>
    <row r="345" spans="1:9" x14ac:dyDescent="0.25">
      <c r="A345" s="5" t="str">
        <f>TrendSheetPrdData[[#This Row],[Population]]&amp;TrendSheetPrdData[[#This Row],[Cost Basis]]&amp;TrendSheetPrdData[[#This Row],[Period]]&amp;TrendSheetPrdData[[#This Row],[Trend]]</f>
        <v>EMPLOYEEAllowed2017-03-01Drug Claim Count</v>
      </c>
      <c r="B345" t="s">
        <v>90</v>
      </c>
      <c r="C345" t="s">
        <v>90</v>
      </c>
      <c r="D345" t="s">
        <v>91</v>
      </c>
      <c r="E345" s="1" t="s">
        <v>104</v>
      </c>
      <c r="F345" t="s">
        <v>106</v>
      </c>
      <c r="G345" t="s">
        <v>34</v>
      </c>
      <c r="H345">
        <v>23</v>
      </c>
      <c r="I345">
        <v>10394</v>
      </c>
    </row>
    <row r="346" spans="1:9" x14ac:dyDescent="0.25">
      <c r="A346" s="5" t="str">
        <f>TrendSheetPrdData[[#This Row],[Population]]&amp;TrendSheetPrdData[[#This Row],[Cost Basis]]&amp;TrendSheetPrdData[[#This Row],[Period]]&amp;TrendSheetPrdData[[#This Row],[Trend]]</f>
        <v>EMPLOYEEAllowed2017-04-01Drug Claim Count</v>
      </c>
      <c r="B346" t="s">
        <v>90</v>
      </c>
      <c r="C346" t="s">
        <v>90</v>
      </c>
      <c r="D346" t="s">
        <v>91</v>
      </c>
      <c r="E346" s="1" t="s">
        <v>105</v>
      </c>
      <c r="F346" t="s">
        <v>106</v>
      </c>
      <c r="G346" t="s">
        <v>34</v>
      </c>
      <c r="H346">
        <v>23</v>
      </c>
      <c r="I346">
        <v>9252</v>
      </c>
    </row>
    <row r="347" spans="1:9" x14ac:dyDescent="0.25">
      <c r="A347" s="5" t="str">
        <f>TrendSheetPrdData[[#This Row],[Population]]&amp;TrendSheetPrdData[[#This Row],[Cost Basis]]&amp;TrendSheetPrdData[[#This Row],[Period]]&amp;TrendSheetPrdData[[#This Row],[Trend]]</f>
        <v>EMPLOYEEPaid2016-02-01Medical PMPM</v>
      </c>
      <c r="B347" t="s">
        <v>90</v>
      </c>
      <c r="C347" t="s">
        <v>90</v>
      </c>
      <c r="D347" t="s">
        <v>78</v>
      </c>
      <c r="E347" s="1" t="s">
        <v>124</v>
      </c>
      <c r="F347" t="s">
        <v>93</v>
      </c>
      <c r="G347" t="s">
        <v>12</v>
      </c>
      <c r="H347">
        <v>1</v>
      </c>
      <c r="I347">
        <v>302.92</v>
      </c>
    </row>
    <row r="348" spans="1:9" x14ac:dyDescent="0.25">
      <c r="A348" s="5" t="str">
        <f>TrendSheetPrdData[[#This Row],[Population]]&amp;TrendSheetPrdData[[#This Row],[Cost Basis]]&amp;TrendSheetPrdData[[#This Row],[Period]]&amp;TrendSheetPrdData[[#This Row],[Trend]]</f>
        <v>EMPLOYEEPaid2016-03-01Medical PMPM</v>
      </c>
      <c r="B348" t="s">
        <v>90</v>
      </c>
      <c r="C348" t="s">
        <v>90</v>
      </c>
      <c r="D348" t="s">
        <v>78</v>
      </c>
      <c r="E348" s="1" t="s">
        <v>125</v>
      </c>
      <c r="F348" t="s">
        <v>93</v>
      </c>
      <c r="G348" t="s">
        <v>12</v>
      </c>
      <c r="H348">
        <v>1</v>
      </c>
      <c r="I348">
        <v>340.35</v>
      </c>
    </row>
    <row r="349" spans="1:9" x14ac:dyDescent="0.25">
      <c r="A349" s="5" t="str">
        <f>TrendSheetPrdData[[#This Row],[Population]]&amp;TrendSheetPrdData[[#This Row],[Cost Basis]]&amp;TrendSheetPrdData[[#This Row],[Period]]&amp;TrendSheetPrdData[[#This Row],[Trend]]</f>
        <v>EMPLOYEEPaid2016-04-01Medical PMPM</v>
      </c>
      <c r="B349" t="s">
        <v>90</v>
      </c>
      <c r="C349" t="s">
        <v>90</v>
      </c>
      <c r="D349" t="s">
        <v>78</v>
      </c>
      <c r="E349" s="1" t="s">
        <v>92</v>
      </c>
      <c r="F349" t="s">
        <v>93</v>
      </c>
      <c r="G349" t="s">
        <v>12</v>
      </c>
      <c r="H349">
        <v>1</v>
      </c>
      <c r="I349">
        <v>274.25</v>
      </c>
    </row>
    <row r="350" spans="1:9" x14ac:dyDescent="0.25">
      <c r="A350" s="5" t="str">
        <f>TrendSheetPrdData[[#This Row],[Population]]&amp;TrendSheetPrdData[[#This Row],[Cost Basis]]&amp;TrendSheetPrdData[[#This Row],[Period]]&amp;TrendSheetPrdData[[#This Row],[Trend]]</f>
        <v>EMPLOYEEPaid2016-05-01Medical PMPM</v>
      </c>
      <c r="B350" t="s">
        <v>90</v>
      </c>
      <c r="C350" t="s">
        <v>90</v>
      </c>
      <c r="D350" t="s">
        <v>78</v>
      </c>
      <c r="E350" s="1" t="s">
        <v>94</v>
      </c>
      <c r="F350" t="s">
        <v>93</v>
      </c>
      <c r="G350" t="s">
        <v>12</v>
      </c>
      <c r="H350">
        <v>1</v>
      </c>
      <c r="I350">
        <v>266.48</v>
      </c>
    </row>
    <row r="351" spans="1:9" x14ac:dyDescent="0.25">
      <c r="A351" s="5" t="str">
        <f>TrendSheetPrdData[[#This Row],[Population]]&amp;TrendSheetPrdData[[#This Row],[Cost Basis]]&amp;TrendSheetPrdData[[#This Row],[Period]]&amp;TrendSheetPrdData[[#This Row],[Trend]]</f>
        <v>EMPLOYEEPaid2016-06-01Medical PMPM</v>
      </c>
      <c r="B351" t="s">
        <v>90</v>
      </c>
      <c r="C351" t="s">
        <v>90</v>
      </c>
      <c r="D351" t="s">
        <v>78</v>
      </c>
      <c r="E351" s="1" t="s">
        <v>95</v>
      </c>
      <c r="F351" t="s">
        <v>93</v>
      </c>
      <c r="G351" t="s">
        <v>12</v>
      </c>
      <c r="H351">
        <v>1</v>
      </c>
      <c r="I351">
        <v>327.72</v>
      </c>
    </row>
    <row r="352" spans="1:9" x14ac:dyDescent="0.25">
      <c r="A352" s="5" t="str">
        <f>TrendSheetPrdData[[#This Row],[Population]]&amp;TrendSheetPrdData[[#This Row],[Cost Basis]]&amp;TrendSheetPrdData[[#This Row],[Period]]&amp;TrendSheetPrdData[[#This Row],[Trend]]</f>
        <v>EMPLOYEEPaid2016-07-01Medical PMPM</v>
      </c>
      <c r="B352" t="s">
        <v>90</v>
      </c>
      <c r="C352" t="s">
        <v>90</v>
      </c>
      <c r="D352" t="s">
        <v>78</v>
      </c>
      <c r="E352" s="1" t="s">
        <v>96</v>
      </c>
      <c r="F352" t="s">
        <v>93</v>
      </c>
      <c r="G352" t="s">
        <v>12</v>
      </c>
      <c r="H352">
        <v>1</v>
      </c>
      <c r="I352">
        <v>279.62</v>
      </c>
    </row>
    <row r="353" spans="1:9" x14ac:dyDescent="0.25">
      <c r="A353" s="5" t="str">
        <f>TrendSheetPrdData[[#This Row],[Population]]&amp;TrendSheetPrdData[[#This Row],[Cost Basis]]&amp;TrendSheetPrdData[[#This Row],[Period]]&amp;TrendSheetPrdData[[#This Row],[Trend]]</f>
        <v>EMPLOYEEPaid2016-08-01Medical PMPM</v>
      </c>
      <c r="B353" t="s">
        <v>90</v>
      </c>
      <c r="C353" t="s">
        <v>90</v>
      </c>
      <c r="D353" t="s">
        <v>78</v>
      </c>
      <c r="E353" s="1" t="s">
        <v>97</v>
      </c>
      <c r="F353" t="s">
        <v>93</v>
      </c>
      <c r="G353" t="s">
        <v>12</v>
      </c>
      <c r="H353">
        <v>1</v>
      </c>
      <c r="I353">
        <v>263.08999999999997</v>
      </c>
    </row>
    <row r="354" spans="1:9" x14ac:dyDescent="0.25">
      <c r="A354" s="5" t="str">
        <f>TrendSheetPrdData[[#This Row],[Population]]&amp;TrendSheetPrdData[[#This Row],[Cost Basis]]&amp;TrendSheetPrdData[[#This Row],[Period]]&amp;TrendSheetPrdData[[#This Row],[Trend]]</f>
        <v>EMPLOYEEPaid2016-09-01Medical PMPM</v>
      </c>
      <c r="B354" t="s">
        <v>90</v>
      </c>
      <c r="C354" t="s">
        <v>90</v>
      </c>
      <c r="D354" t="s">
        <v>78</v>
      </c>
      <c r="E354" s="1" t="s">
        <v>98</v>
      </c>
      <c r="F354" t="s">
        <v>93</v>
      </c>
      <c r="G354" t="s">
        <v>12</v>
      </c>
      <c r="H354">
        <v>1</v>
      </c>
      <c r="I354">
        <v>316.47000000000003</v>
      </c>
    </row>
    <row r="355" spans="1:9" x14ac:dyDescent="0.25">
      <c r="A355" s="5" t="str">
        <f>TrendSheetPrdData[[#This Row],[Population]]&amp;TrendSheetPrdData[[#This Row],[Cost Basis]]&amp;TrendSheetPrdData[[#This Row],[Period]]&amp;TrendSheetPrdData[[#This Row],[Trend]]</f>
        <v>EMPLOYEEPaid2016-10-01Medical PMPM</v>
      </c>
      <c r="B355" t="s">
        <v>90</v>
      </c>
      <c r="C355" t="s">
        <v>90</v>
      </c>
      <c r="D355" t="s">
        <v>78</v>
      </c>
      <c r="E355" s="1" t="s">
        <v>99</v>
      </c>
      <c r="F355" t="s">
        <v>93</v>
      </c>
      <c r="G355" t="s">
        <v>12</v>
      </c>
      <c r="H355">
        <v>1</v>
      </c>
      <c r="I355">
        <v>298.24</v>
      </c>
    </row>
    <row r="356" spans="1:9" x14ac:dyDescent="0.25">
      <c r="A356" s="5" t="str">
        <f>TrendSheetPrdData[[#This Row],[Population]]&amp;TrendSheetPrdData[[#This Row],[Cost Basis]]&amp;TrendSheetPrdData[[#This Row],[Period]]&amp;TrendSheetPrdData[[#This Row],[Trend]]</f>
        <v>EMPLOYEEPaid2016-11-01Medical PMPM</v>
      </c>
      <c r="B356" t="s">
        <v>90</v>
      </c>
      <c r="C356" t="s">
        <v>90</v>
      </c>
      <c r="D356" t="s">
        <v>78</v>
      </c>
      <c r="E356" s="1" t="s">
        <v>100</v>
      </c>
      <c r="F356" t="s">
        <v>93</v>
      </c>
      <c r="G356" t="s">
        <v>12</v>
      </c>
      <c r="H356">
        <v>1</v>
      </c>
      <c r="I356">
        <v>322.48</v>
      </c>
    </row>
    <row r="357" spans="1:9" x14ac:dyDescent="0.25">
      <c r="A357" s="5" t="str">
        <f>TrendSheetPrdData[[#This Row],[Population]]&amp;TrendSheetPrdData[[#This Row],[Cost Basis]]&amp;TrendSheetPrdData[[#This Row],[Period]]&amp;TrendSheetPrdData[[#This Row],[Trend]]</f>
        <v>EMPLOYEEPaid2016-12-01Medical PMPM</v>
      </c>
      <c r="B357" t="s">
        <v>90</v>
      </c>
      <c r="C357" t="s">
        <v>90</v>
      </c>
      <c r="D357" t="s">
        <v>78</v>
      </c>
      <c r="E357" s="1" t="s">
        <v>101</v>
      </c>
      <c r="F357" t="s">
        <v>93</v>
      </c>
      <c r="G357" t="s">
        <v>12</v>
      </c>
      <c r="H357">
        <v>1</v>
      </c>
      <c r="I357">
        <v>334.54</v>
      </c>
    </row>
    <row r="358" spans="1:9" x14ac:dyDescent="0.25">
      <c r="A358" s="5" t="str">
        <f>TrendSheetPrdData[[#This Row],[Population]]&amp;TrendSheetPrdData[[#This Row],[Cost Basis]]&amp;TrendSheetPrdData[[#This Row],[Period]]&amp;TrendSheetPrdData[[#This Row],[Trend]]</f>
        <v>EMPLOYEEPaid2017-01-01Medical PMPM</v>
      </c>
      <c r="B358" t="s">
        <v>90</v>
      </c>
      <c r="C358" t="s">
        <v>90</v>
      </c>
      <c r="D358" t="s">
        <v>78</v>
      </c>
      <c r="E358" s="1" t="s">
        <v>102</v>
      </c>
      <c r="F358" t="s">
        <v>93</v>
      </c>
      <c r="G358" t="s">
        <v>12</v>
      </c>
      <c r="H358">
        <v>1</v>
      </c>
      <c r="I358">
        <v>236.04</v>
      </c>
    </row>
    <row r="359" spans="1:9" x14ac:dyDescent="0.25">
      <c r="A359" s="5" t="str">
        <f>TrendSheetPrdData[[#This Row],[Population]]&amp;TrendSheetPrdData[[#This Row],[Cost Basis]]&amp;TrendSheetPrdData[[#This Row],[Period]]&amp;TrendSheetPrdData[[#This Row],[Trend]]</f>
        <v>EMPLOYEEPaid2017-02-01Medical PMPM</v>
      </c>
      <c r="B359" t="s">
        <v>90</v>
      </c>
      <c r="C359" t="s">
        <v>90</v>
      </c>
      <c r="D359" t="s">
        <v>78</v>
      </c>
      <c r="E359" s="1" t="s">
        <v>103</v>
      </c>
      <c r="F359" t="s">
        <v>106</v>
      </c>
      <c r="G359" t="s">
        <v>12</v>
      </c>
      <c r="H359">
        <v>1</v>
      </c>
      <c r="I359">
        <v>260.02999999999997</v>
      </c>
    </row>
    <row r="360" spans="1:9" x14ac:dyDescent="0.25">
      <c r="A360" s="5" t="str">
        <f>TrendSheetPrdData[[#This Row],[Population]]&amp;TrendSheetPrdData[[#This Row],[Cost Basis]]&amp;TrendSheetPrdData[[#This Row],[Period]]&amp;TrendSheetPrdData[[#This Row],[Trend]]</f>
        <v>EMPLOYEEPaid2017-03-01Medical PMPM</v>
      </c>
      <c r="B360" t="s">
        <v>90</v>
      </c>
      <c r="C360" t="s">
        <v>90</v>
      </c>
      <c r="D360" t="s">
        <v>78</v>
      </c>
      <c r="E360" s="1" t="s">
        <v>104</v>
      </c>
      <c r="F360" t="s">
        <v>106</v>
      </c>
      <c r="G360" t="s">
        <v>12</v>
      </c>
      <c r="H360">
        <v>1</v>
      </c>
      <c r="I360">
        <v>292.33999999999997</v>
      </c>
    </row>
    <row r="361" spans="1:9" x14ac:dyDescent="0.25">
      <c r="A361" s="5" t="str">
        <f>TrendSheetPrdData[[#This Row],[Population]]&amp;TrendSheetPrdData[[#This Row],[Cost Basis]]&amp;TrendSheetPrdData[[#This Row],[Period]]&amp;TrendSheetPrdData[[#This Row],[Trend]]</f>
        <v>EMPLOYEEPaid2017-04-01Medical PMPM</v>
      </c>
      <c r="B361" t="s">
        <v>90</v>
      </c>
      <c r="C361" t="s">
        <v>90</v>
      </c>
      <c r="D361" t="s">
        <v>78</v>
      </c>
      <c r="E361" s="1" t="s">
        <v>105</v>
      </c>
      <c r="F361" t="s">
        <v>106</v>
      </c>
      <c r="G361" t="s">
        <v>12</v>
      </c>
      <c r="H361">
        <v>1</v>
      </c>
      <c r="I361">
        <v>63.97</v>
      </c>
    </row>
    <row r="362" spans="1:9" x14ac:dyDescent="0.25">
      <c r="A362" s="5" t="str">
        <f>TrendSheetPrdData[[#This Row],[Population]]&amp;TrendSheetPrdData[[#This Row],[Cost Basis]]&amp;TrendSheetPrdData[[#This Row],[Period]]&amp;TrendSheetPrdData[[#This Row],[Trend]]</f>
        <v>EMPLOYEEPaid2016-02-01Drug PMPM</v>
      </c>
      <c r="B362" t="s">
        <v>90</v>
      </c>
      <c r="C362" t="s">
        <v>90</v>
      </c>
      <c r="D362" t="s">
        <v>78</v>
      </c>
      <c r="E362" s="1" t="s">
        <v>124</v>
      </c>
      <c r="F362" t="s">
        <v>93</v>
      </c>
      <c r="G362" t="s">
        <v>13</v>
      </c>
      <c r="H362">
        <v>2</v>
      </c>
      <c r="I362">
        <v>69.61</v>
      </c>
    </row>
    <row r="363" spans="1:9" x14ac:dyDescent="0.25">
      <c r="A363" s="5" t="str">
        <f>TrendSheetPrdData[[#This Row],[Population]]&amp;TrendSheetPrdData[[#This Row],[Cost Basis]]&amp;TrendSheetPrdData[[#This Row],[Period]]&amp;TrendSheetPrdData[[#This Row],[Trend]]</f>
        <v>EMPLOYEEPaid2016-03-01Drug PMPM</v>
      </c>
      <c r="B363" t="s">
        <v>90</v>
      </c>
      <c r="C363" t="s">
        <v>90</v>
      </c>
      <c r="D363" t="s">
        <v>78</v>
      </c>
      <c r="E363" s="1" t="s">
        <v>125</v>
      </c>
      <c r="F363" t="s">
        <v>93</v>
      </c>
      <c r="G363" t="s">
        <v>13</v>
      </c>
      <c r="H363">
        <v>2</v>
      </c>
      <c r="I363">
        <v>83.82</v>
      </c>
    </row>
    <row r="364" spans="1:9" x14ac:dyDescent="0.25">
      <c r="A364" s="5" t="str">
        <f>TrendSheetPrdData[[#This Row],[Population]]&amp;TrendSheetPrdData[[#This Row],[Cost Basis]]&amp;TrendSheetPrdData[[#This Row],[Period]]&amp;TrendSheetPrdData[[#This Row],[Trend]]</f>
        <v>EMPLOYEEPaid2016-04-01Drug PMPM</v>
      </c>
      <c r="B364" t="s">
        <v>90</v>
      </c>
      <c r="C364" t="s">
        <v>90</v>
      </c>
      <c r="D364" t="s">
        <v>78</v>
      </c>
      <c r="E364" s="1" t="s">
        <v>92</v>
      </c>
      <c r="F364" t="s">
        <v>93</v>
      </c>
      <c r="G364" t="s">
        <v>13</v>
      </c>
      <c r="H364">
        <v>2</v>
      </c>
      <c r="I364">
        <v>61.99</v>
      </c>
    </row>
    <row r="365" spans="1:9" x14ac:dyDescent="0.25">
      <c r="A365" s="5" t="str">
        <f>TrendSheetPrdData[[#This Row],[Population]]&amp;TrendSheetPrdData[[#This Row],[Cost Basis]]&amp;TrendSheetPrdData[[#This Row],[Period]]&amp;TrendSheetPrdData[[#This Row],[Trend]]</f>
        <v>EMPLOYEEPaid2016-05-01Drug PMPM</v>
      </c>
      <c r="B365" t="s">
        <v>90</v>
      </c>
      <c r="C365" t="s">
        <v>90</v>
      </c>
      <c r="D365" t="s">
        <v>78</v>
      </c>
      <c r="E365" s="1" t="s">
        <v>94</v>
      </c>
      <c r="F365" t="s">
        <v>93</v>
      </c>
      <c r="G365" t="s">
        <v>13</v>
      </c>
      <c r="H365">
        <v>2</v>
      </c>
      <c r="I365">
        <v>68.790000000000006</v>
      </c>
    </row>
    <row r="366" spans="1:9" x14ac:dyDescent="0.25">
      <c r="A366" s="5" t="str">
        <f>TrendSheetPrdData[[#This Row],[Population]]&amp;TrendSheetPrdData[[#This Row],[Cost Basis]]&amp;TrendSheetPrdData[[#This Row],[Period]]&amp;TrendSheetPrdData[[#This Row],[Trend]]</f>
        <v>EMPLOYEEPaid2016-06-01Drug PMPM</v>
      </c>
      <c r="B366" t="s">
        <v>90</v>
      </c>
      <c r="C366" t="s">
        <v>90</v>
      </c>
      <c r="D366" t="s">
        <v>78</v>
      </c>
      <c r="E366" s="1" t="s">
        <v>95</v>
      </c>
      <c r="F366" t="s">
        <v>93</v>
      </c>
      <c r="G366" t="s">
        <v>13</v>
      </c>
      <c r="H366">
        <v>2</v>
      </c>
      <c r="I366">
        <v>69.8</v>
      </c>
    </row>
    <row r="367" spans="1:9" x14ac:dyDescent="0.25">
      <c r="A367" s="5" t="str">
        <f>TrendSheetPrdData[[#This Row],[Population]]&amp;TrendSheetPrdData[[#This Row],[Cost Basis]]&amp;TrendSheetPrdData[[#This Row],[Period]]&amp;TrendSheetPrdData[[#This Row],[Trend]]</f>
        <v>EMPLOYEEPaid2016-07-01Drug PMPM</v>
      </c>
      <c r="B367" t="s">
        <v>90</v>
      </c>
      <c r="C367" t="s">
        <v>90</v>
      </c>
      <c r="D367" t="s">
        <v>78</v>
      </c>
      <c r="E367" s="1" t="s">
        <v>96</v>
      </c>
      <c r="F367" t="s">
        <v>93</v>
      </c>
      <c r="G367" t="s">
        <v>13</v>
      </c>
      <c r="H367">
        <v>2</v>
      </c>
      <c r="I367">
        <v>70.28</v>
      </c>
    </row>
    <row r="368" spans="1:9" x14ac:dyDescent="0.25">
      <c r="A368" s="5" t="str">
        <f>TrendSheetPrdData[[#This Row],[Population]]&amp;TrendSheetPrdData[[#This Row],[Cost Basis]]&amp;TrendSheetPrdData[[#This Row],[Period]]&amp;TrendSheetPrdData[[#This Row],[Trend]]</f>
        <v>EMPLOYEEPaid2016-08-01Drug PMPM</v>
      </c>
      <c r="B368" t="s">
        <v>90</v>
      </c>
      <c r="C368" t="s">
        <v>90</v>
      </c>
      <c r="D368" t="s">
        <v>78</v>
      </c>
      <c r="E368" s="1" t="s">
        <v>97</v>
      </c>
      <c r="F368" t="s">
        <v>93</v>
      </c>
      <c r="G368" t="s">
        <v>13</v>
      </c>
      <c r="H368">
        <v>2</v>
      </c>
      <c r="I368">
        <v>86.79</v>
      </c>
    </row>
    <row r="369" spans="1:9" x14ac:dyDescent="0.25">
      <c r="A369" s="5" t="str">
        <f>TrendSheetPrdData[[#This Row],[Population]]&amp;TrendSheetPrdData[[#This Row],[Cost Basis]]&amp;TrendSheetPrdData[[#This Row],[Period]]&amp;TrendSheetPrdData[[#This Row],[Trend]]</f>
        <v>EMPLOYEEPaid2016-09-01Drug PMPM</v>
      </c>
      <c r="B369" t="s">
        <v>90</v>
      </c>
      <c r="C369" t="s">
        <v>90</v>
      </c>
      <c r="D369" t="s">
        <v>78</v>
      </c>
      <c r="E369" s="1" t="s">
        <v>98</v>
      </c>
      <c r="F369" t="s">
        <v>93</v>
      </c>
      <c r="G369" t="s">
        <v>13</v>
      </c>
      <c r="H369">
        <v>2</v>
      </c>
      <c r="I369">
        <v>74.39</v>
      </c>
    </row>
    <row r="370" spans="1:9" x14ac:dyDescent="0.25">
      <c r="A370" s="5" t="str">
        <f>TrendSheetPrdData[[#This Row],[Population]]&amp;TrendSheetPrdData[[#This Row],[Cost Basis]]&amp;TrendSheetPrdData[[#This Row],[Period]]&amp;TrendSheetPrdData[[#This Row],[Trend]]</f>
        <v>EMPLOYEEPaid2016-10-01Drug PMPM</v>
      </c>
      <c r="B370" t="s">
        <v>90</v>
      </c>
      <c r="C370" t="s">
        <v>90</v>
      </c>
      <c r="D370" t="s">
        <v>78</v>
      </c>
      <c r="E370" s="1" t="s">
        <v>99</v>
      </c>
      <c r="F370" t="s">
        <v>93</v>
      </c>
      <c r="G370" t="s">
        <v>13</v>
      </c>
      <c r="H370">
        <v>2</v>
      </c>
      <c r="I370">
        <v>71.27</v>
      </c>
    </row>
    <row r="371" spans="1:9" x14ac:dyDescent="0.25">
      <c r="A371" s="5" t="str">
        <f>TrendSheetPrdData[[#This Row],[Population]]&amp;TrendSheetPrdData[[#This Row],[Cost Basis]]&amp;TrendSheetPrdData[[#This Row],[Period]]&amp;TrendSheetPrdData[[#This Row],[Trend]]</f>
        <v>EMPLOYEEPaid2016-11-01Drug PMPM</v>
      </c>
      <c r="B371" t="s">
        <v>90</v>
      </c>
      <c r="C371" t="s">
        <v>90</v>
      </c>
      <c r="D371" t="s">
        <v>78</v>
      </c>
      <c r="E371" s="1" t="s">
        <v>100</v>
      </c>
      <c r="F371" t="s">
        <v>93</v>
      </c>
      <c r="G371" t="s">
        <v>13</v>
      </c>
      <c r="H371">
        <v>2</v>
      </c>
      <c r="I371">
        <v>69.41</v>
      </c>
    </row>
    <row r="372" spans="1:9" x14ac:dyDescent="0.25">
      <c r="A372" s="5" t="str">
        <f>TrendSheetPrdData[[#This Row],[Population]]&amp;TrendSheetPrdData[[#This Row],[Cost Basis]]&amp;TrendSheetPrdData[[#This Row],[Period]]&amp;TrendSheetPrdData[[#This Row],[Trend]]</f>
        <v>EMPLOYEEPaid2016-12-01Drug PMPM</v>
      </c>
      <c r="B372" t="s">
        <v>90</v>
      </c>
      <c r="C372" t="s">
        <v>90</v>
      </c>
      <c r="D372" t="s">
        <v>78</v>
      </c>
      <c r="E372" s="1" t="s">
        <v>101</v>
      </c>
      <c r="F372" t="s">
        <v>93</v>
      </c>
      <c r="G372" t="s">
        <v>13</v>
      </c>
      <c r="H372">
        <v>2</v>
      </c>
      <c r="I372">
        <v>81.3</v>
      </c>
    </row>
    <row r="373" spans="1:9" x14ac:dyDescent="0.25">
      <c r="A373" s="5" t="str">
        <f>TrendSheetPrdData[[#This Row],[Population]]&amp;TrendSheetPrdData[[#This Row],[Cost Basis]]&amp;TrendSheetPrdData[[#This Row],[Period]]&amp;TrendSheetPrdData[[#This Row],[Trend]]</f>
        <v>EMPLOYEEPaid2017-01-01Drug PMPM</v>
      </c>
      <c r="B373" t="s">
        <v>90</v>
      </c>
      <c r="C373" t="s">
        <v>90</v>
      </c>
      <c r="D373" t="s">
        <v>78</v>
      </c>
      <c r="E373" s="1" t="s">
        <v>102</v>
      </c>
      <c r="F373" t="s">
        <v>93</v>
      </c>
      <c r="G373" t="s">
        <v>13</v>
      </c>
      <c r="H373">
        <v>2</v>
      </c>
      <c r="I373">
        <v>68.05</v>
      </c>
    </row>
    <row r="374" spans="1:9" x14ac:dyDescent="0.25">
      <c r="A374" s="5" t="str">
        <f>TrendSheetPrdData[[#This Row],[Population]]&amp;TrendSheetPrdData[[#This Row],[Cost Basis]]&amp;TrendSheetPrdData[[#This Row],[Period]]&amp;TrendSheetPrdData[[#This Row],[Trend]]</f>
        <v>EMPLOYEEPaid2017-02-01Drug PMPM</v>
      </c>
      <c r="B374" t="s">
        <v>90</v>
      </c>
      <c r="C374" t="s">
        <v>90</v>
      </c>
      <c r="D374" t="s">
        <v>78</v>
      </c>
      <c r="E374" s="1" t="s">
        <v>103</v>
      </c>
      <c r="F374" t="s">
        <v>106</v>
      </c>
      <c r="G374" t="s">
        <v>13</v>
      </c>
      <c r="H374">
        <v>2</v>
      </c>
      <c r="I374">
        <v>62.72</v>
      </c>
    </row>
    <row r="375" spans="1:9" x14ac:dyDescent="0.25">
      <c r="A375" s="5" t="str">
        <f>TrendSheetPrdData[[#This Row],[Population]]&amp;TrendSheetPrdData[[#This Row],[Cost Basis]]&amp;TrendSheetPrdData[[#This Row],[Period]]&amp;TrendSheetPrdData[[#This Row],[Trend]]</f>
        <v>EMPLOYEEPaid2017-03-01Drug PMPM</v>
      </c>
      <c r="B375" t="s">
        <v>90</v>
      </c>
      <c r="C375" t="s">
        <v>90</v>
      </c>
      <c r="D375" t="s">
        <v>78</v>
      </c>
      <c r="E375" s="1" t="s">
        <v>104</v>
      </c>
      <c r="F375" t="s">
        <v>106</v>
      </c>
      <c r="G375" t="s">
        <v>13</v>
      </c>
      <c r="H375">
        <v>2</v>
      </c>
      <c r="I375">
        <v>67.239999999999995</v>
      </c>
    </row>
    <row r="376" spans="1:9" x14ac:dyDescent="0.25">
      <c r="A376" s="5" t="str">
        <f>TrendSheetPrdData[[#This Row],[Population]]&amp;TrendSheetPrdData[[#This Row],[Cost Basis]]&amp;TrendSheetPrdData[[#This Row],[Period]]&amp;TrendSheetPrdData[[#This Row],[Trend]]</f>
        <v>EMPLOYEEPaid2017-04-01Drug PMPM</v>
      </c>
      <c r="B376" t="s">
        <v>90</v>
      </c>
      <c r="C376" t="s">
        <v>90</v>
      </c>
      <c r="D376" t="s">
        <v>78</v>
      </c>
      <c r="E376" s="1" t="s">
        <v>105</v>
      </c>
      <c r="F376" t="s">
        <v>106</v>
      </c>
      <c r="G376" t="s">
        <v>13</v>
      </c>
      <c r="H376">
        <v>2</v>
      </c>
      <c r="I376">
        <v>60.06</v>
      </c>
    </row>
    <row r="377" spans="1:9" x14ac:dyDescent="0.25">
      <c r="A377" s="5" t="str">
        <f>TrendSheetPrdData[[#This Row],[Population]]&amp;TrendSheetPrdData[[#This Row],[Cost Basis]]&amp;TrendSheetPrdData[[#This Row],[Period]]&amp;TrendSheetPrdData[[#This Row],[Trend]]</f>
        <v>EMPLOYEEPaid2016-02-01Overall PMPM</v>
      </c>
      <c r="B377" t="s">
        <v>90</v>
      </c>
      <c r="C377" t="s">
        <v>90</v>
      </c>
      <c r="D377" t="s">
        <v>78</v>
      </c>
      <c r="E377" s="1" t="s">
        <v>124</v>
      </c>
      <c r="F377" t="s">
        <v>93</v>
      </c>
      <c r="G377" t="s">
        <v>14</v>
      </c>
      <c r="H377">
        <v>3</v>
      </c>
      <c r="I377">
        <v>372.53</v>
      </c>
    </row>
    <row r="378" spans="1:9" x14ac:dyDescent="0.25">
      <c r="A378" s="5" t="str">
        <f>TrendSheetPrdData[[#This Row],[Population]]&amp;TrendSheetPrdData[[#This Row],[Cost Basis]]&amp;TrendSheetPrdData[[#This Row],[Period]]&amp;TrendSheetPrdData[[#This Row],[Trend]]</f>
        <v>EMPLOYEEPaid2016-03-01Overall PMPM</v>
      </c>
      <c r="B378" t="s">
        <v>90</v>
      </c>
      <c r="C378" t="s">
        <v>90</v>
      </c>
      <c r="D378" t="s">
        <v>78</v>
      </c>
      <c r="E378" s="1" t="s">
        <v>125</v>
      </c>
      <c r="F378" t="s">
        <v>93</v>
      </c>
      <c r="G378" t="s">
        <v>14</v>
      </c>
      <c r="H378">
        <v>3</v>
      </c>
      <c r="I378">
        <v>424.17</v>
      </c>
    </row>
    <row r="379" spans="1:9" x14ac:dyDescent="0.25">
      <c r="A379" s="5" t="str">
        <f>TrendSheetPrdData[[#This Row],[Population]]&amp;TrendSheetPrdData[[#This Row],[Cost Basis]]&amp;TrendSheetPrdData[[#This Row],[Period]]&amp;TrendSheetPrdData[[#This Row],[Trend]]</f>
        <v>EMPLOYEEPaid2016-04-01Overall PMPM</v>
      </c>
      <c r="B379" t="s">
        <v>90</v>
      </c>
      <c r="C379" t="s">
        <v>90</v>
      </c>
      <c r="D379" t="s">
        <v>78</v>
      </c>
      <c r="E379" s="1" t="s">
        <v>92</v>
      </c>
      <c r="F379" t="s">
        <v>93</v>
      </c>
      <c r="G379" t="s">
        <v>14</v>
      </c>
      <c r="H379">
        <v>3</v>
      </c>
      <c r="I379">
        <v>336.24</v>
      </c>
    </row>
    <row r="380" spans="1:9" x14ac:dyDescent="0.25">
      <c r="A380" s="5" t="str">
        <f>TrendSheetPrdData[[#This Row],[Population]]&amp;TrendSheetPrdData[[#This Row],[Cost Basis]]&amp;TrendSheetPrdData[[#This Row],[Period]]&amp;TrendSheetPrdData[[#This Row],[Trend]]</f>
        <v>EMPLOYEEPaid2016-05-01Overall PMPM</v>
      </c>
      <c r="B380" t="s">
        <v>90</v>
      </c>
      <c r="C380" t="s">
        <v>90</v>
      </c>
      <c r="D380" t="s">
        <v>78</v>
      </c>
      <c r="E380" s="1" t="s">
        <v>94</v>
      </c>
      <c r="F380" t="s">
        <v>93</v>
      </c>
      <c r="G380" t="s">
        <v>14</v>
      </c>
      <c r="H380">
        <v>3</v>
      </c>
      <c r="I380">
        <v>335.27</v>
      </c>
    </row>
    <row r="381" spans="1:9" x14ac:dyDescent="0.25">
      <c r="A381" s="5" t="str">
        <f>TrendSheetPrdData[[#This Row],[Population]]&amp;TrendSheetPrdData[[#This Row],[Cost Basis]]&amp;TrendSheetPrdData[[#This Row],[Period]]&amp;TrendSheetPrdData[[#This Row],[Trend]]</f>
        <v>EMPLOYEEPaid2016-06-01Overall PMPM</v>
      </c>
      <c r="B381" t="s">
        <v>90</v>
      </c>
      <c r="C381" t="s">
        <v>90</v>
      </c>
      <c r="D381" t="s">
        <v>78</v>
      </c>
      <c r="E381" s="1" t="s">
        <v>95</v>
      </c>
      <c r="F381" t="s">
        <v>93</v>
      </c>
      <c r="G381" t="s">
        <v>14</v>
      </c>
      <c r="H381">
        <v>3</v>
      </c>
      <c r="I381">
        <v>397.52</v>
      </c>
    </row>
    <row r="382" spans="1:9" x14ac:dyDescent="0.25">
      <c r="A382" s="5" t="str">
        <f>TrendSheetPrdData[[#This Row],[Population]]&amp;TrendSheetPrdData[[#This Row],[Cost Basis]]&amp;TrendSheetPrdData[[#This Row],[Period]]&amp;TrendSheetPrdData[[#This Row],[Trend]]</f>
        <v>EMPLOYEEPaid2016-07-01Overall PMPM</v>
      </c>
      <c r="B382" t="s">
        <v>90</v>
      </c>
      <c r="C382" t="s">
        <v>90</v>
      </c>
      <c r="D382" t="s">
        <v>78</v>
      </c>
      <c r="E382" s="1" t="s">
        <v>96</v>
      </c>
      <c r="F382" t="s">
        <v>93</v>
      </c>
      <c r="G382" t="s">
        <v>14</v>
      </c>
      <c r="H382">
        <v>3</v>
      </c>
      <c r="I382">
        <v>349.9</v>
      </c>
    </row>
    <row r="383" spans="1:9" x14ac:dyDescent="0.25">
      <c r="A383" s="5" t="str">
        <f>TrendSheetPrdData[[#This Row],[Population]]&amp;TrendSheetPrdData[[#This Row],[Cost Basis]]&amp;TrendSheetPrdData[[#This Row],[Period]]&amp;TrendSheetPrdData[[#This Row],[Trend]]</f>
        <v>EMPLOYEEPaid2016-08-01Overall PMPM</v>
      </c>
      <c r="B383" t="s">
        <v>90</v>
      </c>
      <c r="C383" t="s">
        <v>90</v>
      </c>
      <c r="D383" t="s">
        <v>78</v>
      </c>
      <c r="E383" s="1" t="s">
        <v>97</v>
      </c>
      <c r="F383" t="s">
        <v>93</v>
      </c>
      <c r="G383" t="s">
        <v>14</v>
      </c>
      <c r="H383">
        <v>3</v>
      </c>
      <c r="I383">
        <v>349.88</v>
      </c>
    </row>
    <row r="384" spans="1:9" x14ac:dyDescent="0.25">
      <c r="A384" s="5" t="str">
        <f>TrendSheetPrdData[[#This Row],[Population]]&amp;TrendSheetPrdData[[#This Row],[Cost Basis]]&amp;TrendSheetPrdData[[#This Row],[Period]]&amp;TrendSheetPrdData[[#This Row],[Trend]]</f>
        <v>EMPLOYEEPaid2016-09-01Overall PMPM</v>
      </c>
      <c r="B384" t="s">
        <v>90</v>
      </c>
      <c r="C384" t="s">
        <v>90</v>
      </c>
      <c r="D384" t="s">
        <v>78</v>
      </c>
      <c r="E384" s="1" t="s">
        <v>98</v>
      </c>
      <c r="F384" t="s">
        <v>93</v>
      </c>
      <c r="G384" t="s">
        <v>14</v>
      </c>
      <c r="H384">
        <v>3</v>
      </c>
      <c r="I384">
        <v>390.86</v>
      </c>
    </row>
    <row r="385" spans="1:9" x14ac:dyDescent="0.25">
      <c r="A385" s="5" t="str">
        <f>TrendSheetPrdData[[#This Row],[Population]]&amp;TrendSheetPrdData[[#This Row],[Cost Basis]]&amp;TrendSheetPrdData[[#This Row],[Period]]&amp;TrendSheetPrdData[[#This Row],[Trend]]</f>
        <v>EMPLOYEEPaid2016-10-01Overall PMPM</v>
      </c>
      <c r="B385" t="s">
        <v>90</v>
      </c>
      <c r="C385" t="s">
        <v>90</v>
      </c>
      <c r="D385" t="s">
        <v>78</v>
      </c>
      <c r="E385" s="1" t="s">
        <v>99</v>
      </c>
      <c r="F385" t="s">
        <v>93</v>
      </c>
      <c r="G385" t="s">
        <v>14</v>
      </c>
      <c r="H385">
        <v>3</v>
      </c>
      <c r="I385">
        <v>369.51</v>
      </c>
    </row>
    <row r="386" spans="1:9" x14ac:dyDescent="0.25">
      <c r="A386" s="5" t="str">
        <f>TrendSheetPrdData[[#This Row],[Population]]&amp;TrendSheetPrdData[[#This Row],[Cost Basis]]&amp;TrendSheetPrdData[[#This Row],[Period]]&amp;TrendSheetPrdData[[#This Row],[Trend]]</f>
        <v>EMPLOYEEPaid2016-11-01Overall PMPM</v>
      </c>
      <c r="B386" t="s">
        <v>90</v>
      </c>
      <c r="C386" t="s">
        <v>90</v>
      </c>
      <c r="D386" t="s">
        <v>78</v>
      </c>
      <c r="E386" s="1" t="s">
        <v>100</v>
      </c>
      <c r="F386" t="s">
        <v>93</v>
      </c>
      <c r="G386" t="s">
        <v>14</v>
      </c>
      <c r="H386">
        <v>3</v>
      </c>
      <c r="I386">
        <v>391.89</v>
      </c>
    </row>
    <row r="387" spans="1:9" x14ac:dyDescent="0.25">
      <c r="A387" s="5" t="str">
        <f>TrendSheetPrdData[[#This Row],[Population]]&amp;TrendSheetPrdData[[#This Row],[Cost Basis]]&amp;TrendSheetPrdData[[#This Row],[Period]]&amp;TrendSheetPrdData[[#This Row],[Trend]]</f>
        <v>EMPLOYEEPaid2016-12-01Overall PMPM</v>
      </c>
      <c r="B387" t="s">
        <v>90</v>
      </c>
      <c r="C387" t="s">
        <v>90</v>
      </c>
      <c r="D387" t="s">
        <v>78</v>
      </c>
      <c r="E387" s="1" t="s">
        <v>101</v>
      </c>
      <c r="F387" t="s">
        <v>93</v>
      </c>
      <c r="G387" t="s">
        <v>14</v>
      </c>
      <c r="H387">
        <v>3</v>
      </c>
      <c r="I387">
        <v>415.84</v>
      </c>
    </row>
    <row r="388" spans="1:9" x14ac:dyDescent="0.25">
      <c r="A388" s="5" t="str">
        <f>TrendSheetPrdData[[#This Row],[Population]]&amp;TrendSheetPrdData[[#This Row],[Cost Basis]]&amp;TrendSheetPrdData[[#This Row],[Period]]&amp;TrendSheetPrdData[[#This Row],[Trend]]</f>
        <v>EMPLOYEEPaid2017-01-01Overall PMPM</v>
      </c>
      <c r="B388" t="s">
        <v>90</v>
      </c>
      <c r="C388" t="s">
        <v>90</v>
      </c>
      <c r="D388" t="s">
        <v>78</v>
      </c>
      <c r="E388" s="1" t="s">
        <v>102</v>
      </c>
      <c r="F388" t="s">
        <v>93</v>
      </c>
      <c r="G388" t="s">
        <v>14</v>
      </c>
      <c r="H388">
        <v>3</v>
      </c>
      <c r="I388">
        <v>304.08999999999997</v>
      </c>
    </row>
    <row r="389" spans="1:9" x14ac:dyDescent="0.25">
      <c r="A389" s="5" t="str">
        <f>TrendSheetPrdData[[#This Row],[Population]]&amp;TrendSheetPrdData[[#This Row],[Cost Basis]]&amp;TrendSheetPrdData[[#This Row],[Period]]&amp;TrendSheetPrdData[[#This Row],[Trend]]</f>
        <v>EMPLOYEEPaid2017-02-01Overall PMPM</v>
      </c>
      <c r="B389" t="s">
        <v>90</v>
      </c>
      <c r="C389" t="s">
        <v>90</v>
      </c>
      <c r="D389" t="s">
        <v>78</v>
      </c>
      <c r="E389" s="1" t="s">
        <v>103</v>
      </c>
      <c r="F389" t="s">
        <v>106</v>
      </c>
      <c r="G389" t="s">
        <v>14</v>
      </c>
      <c r="H389">
        <v>3</v>
      </c>
      <c r="I389">
        <v>322.75</v>
      </c>
    </row>
    <row r="390" spans="1:9" x14ac:dyDescent="0.25">
      <c r="A390" s="5" t="str">
        <f>TrendSheetPrdData[[#This Row],[Population]]&amp;TrendSheetPrdData[[#This Row],[Cost Basis]]&amp;TrendSheetPrdData[[#This Row],[Period]]&amp;TrendSheetPrdData[[#This Row],[Trend]]</f>
        <v>EMPLOYEEPaid2017-03-01Overall PMPM</v>
      </c>
      <c r="B390" t="s">
        <v>90</v>
      </c>
      <c r="C390" t="s">
        <v>90</v>
      </c>
      <c r="D390" t="s">
        <v>78</v>
      </c>
      <c r="E390" s="1" t="s">
        <v>104</v>
      </c>
      <c r="F390" t="s">
        <v>106</v>
      </c>
      <c r="G390" t="s">
        <v>14</v>
      </c>
      <c r="H390">
        <v>3</v>
      </c>
      <c r="I390">
        <v>359.58</v>
      </c>
    </row>
    <row r="391" spans="1:9" x14ac:dyDescent="0.25">
      <c r="A391" s="5" t="str">
        <f>TrendSheetPrdData[[#This Row],[Population]]&amp;TrendSheetPrdData[[#This Row],[Cost Basis]]&amp;TrendSheetPrdData[[#This Row],[Period]]&amp;TrendSheetPrdData[[#This Row],[Trend]]</f>
        <v>EMPLOYEEPaid2017-04-01Overall PMPM</v>
      </c>
      <c r="B391" t="s">
        <v>90</v>
      </c>
      <c r="C391" t="s">
        <v>90</v>
      </c>
      <c r="D391" t="s">
        <v>78</v>
      </c>
      <c r="E391" s="1" t="s">
        <v>105</v>
      </c>
      <c r="F391" t="s">
        <v>106</v>
      </c>
      <c r="G391" t="s">
        <v>14</v>
      </c>
      <c r="H391">
        <v>3</v>
      </c>
      <c r="I391">
        <v>124.03</v>
      </c>
    </row>
    <row r="392" spans="1:9" x14ac:dyDescent="0.25">
      <c r="A392" s="5" t="str">
        <f>TrendSheetPrdData[[#This Row],[Population]]&amp;TrendSheetPrdData[[#This Row],[Cost Basis]]&amp;TrendSheetPrdData[[#This Row],[Period]]&amp;TrendSheetPrdData[[#This Row],[Trend]]</f>
        <v>EMPLOYEEPaid2016-02-01Readmission Cost</v>
      </c>
      <c r="B392" t="s">
        <v>90</v>
      </c>
      <c r="C392" t="s">
        <v>90</v>
      </c>
      <c r="D392" t="s">
        <v>78</v>
      </c>
      <c r="E392" s="1" t="s">
        <v>124</v>
      </c>
      <c r="F392" t="s">
        <v>93</v>
      </c>
      <c r="G392" t="s">
        <v>15</v>
      </c>
      <c r="H392">
        <v>4</v>
      </c>
      <c r="I392">
        <v>129383.26</v>
      </c>
    </row>
    <row r="393" spans="1:9" x14ac:dyDescent="0.25">
      <c r="A393" s="5" t="str">
        <f>TrendSheetPrdData[[#This Row],[Population]]&amp;TrendSheetPrdData[[#This Row],[Cost Basis]]&amp;TrendSheetPrdData[[#This Row],[Period]]&amp;TrendSheetPrdData[[#This Row],[Trend]]</f>
        <v>EMPLOYEEPaid2016-03-01Readmission Cost</v>
      </c>
      <c r="B393" t="s">
        <v>90</v>
      </c>
      <c r="C393" t="s">
        <v>90</v>
      </c>
      <c r="D393" t="s">
        <v>78</v>
      </c>
      <c r="E393" s="1" t="s">
        <v>125</v>
      </c>
      <c r="F393" t="s">
        <v>93</v>
      </c>
      <c r="G393" t="s">
        <v>15</v>
      </c>
      <c r="H393">
        <v>4</v>
      </c>
      <c r="I393">
        <v>48649.66</v>
      </c>
    </row>
    <row r="394" spans="1:9" x14ac:dyDescent="0.25">
      <c r="A394" s="5" t="str">
        <f>TrendSheetPrdData[[#This Row],[Population]]&amp;TrendSheetPrdData[[#This Row],[Cost Basis]]&amp;TrendSheetPrdData[[#This Row],[Period]]&amp;TrendSheetPrdData[[#This Row],[Trend]]</f>
        <v>EMPLOYEEPaid2016-04-01Readmission Cost</v>
      </c>
      <c r="B394" t="s">
        <v>90</v>
      </c>
      <c r="C394" t="s">
        <v>90</v>
      </c>
      <c r="D394" t="s">
        <v>78</v>
      </c>
      <c r="E394" s="1" t="s">
        <v>92</v>
      </c>
      <c r="F394" t="s">
        <v>93</v>
      </c>
      <c r="G394" t="s">
        <v>15</v>
      </c>
      <c r="H394">
        <v>4</v>
      </c>
      <c r="I394">
        <v>34577.120000000003</v>
      </c>
    </row>
    <row r="395" spans="1:9" x14ac:dyDescent="0.25">
      <c r="A395" s="5" t="str">
        <f>TrendSheetPrdData[[#This Row],[Population]]&amp;TrendSheetPrdData[[#This Row],[Cost Basis]]&amp;TrendSheetPrdData[[#This Row],[Period]]&amp;TrendSheetPrdData[[#This Row],[Trend]]</f>
        <v>EMPLOYEEPaid2016-05-01Readmission Cost</v>
      </c>
      <c r="B395" t="s">
        <v>90</v>
      </c>
      <c r="C395" t="s">
        <v>90</v>
      </c>
      <c r="D395" t="s">
        <v>78</v>
      </c>
      <c r="E395" s="1" t="s">
        <v>94</v>
      </c>
      <c r="F395" t="s">
        <v>93</v>
      </c>
      <c r="G395" t="s">
        <v>15</v>
      </c>
      <c r="H395">
        <v>4</v>
      </c>
      <c r="I395">
        <v>264404.24</v>
      </c>
    </row>
    <row r="396" spans="1:9" x14ac:dyDescent="0.25">
      <c r="A396" s="5" t="str">
        <f>TrendSheetPrdData[[#This Row],[Population]]&amp;TrendSheetPrdData[[#This Row],[Cost Basis]]&amp;TrendSheetPrdData[[#This Row],[Period]]&amp;TrendSheetPrdData[[#This Row],[Trend]]</f>
        <v>EMPLOYEEPaid2016-06-01Readmission Cost</v>
      </c>
      <c r="B396" t="s">
        <v>90</v>
      </c>
      <c r="C396" t="s">
        <v>90</v>
      </c>
      <c r="D396" t="s">
        <v>78</v>
      </c>
      <c r="E396" s="1" t="s">
        <v>95</v>
      </c>
      <c r="F396" t="s">
        <v>93</v>
      </c>
      <c r="G396" t="s">
        <v>15</v>
      </c>
      <c r="H396">
        <v>4</v>
      </c>
      <c r="I396">
        <v>22162.14</v>
      </c>
    </row>
    <row r="397" spans="1:9" x14ac:dyDescent="0.25">
      <c r="A397" s="5" t="str">
        <f>TrendSheetPrdData[[#This Row],[Population]]&amp;TrendSheetPrdData[[#This Row],[Cost Basis]]&amp;TrendSheetPrdData[[#This Row],[Period]]&amp;TrendSheetPrdData[[#This Row],[Trend]]</f>
        <v>EMPLOYEEPaid2016-07-01Readmission Cost</v>
      </c>
      <c r="B397" t="s">
        <v>90</v>
      </c>
      <c r="C397" t="s">
        <v>90</v>
      </c>
      <c r="D397" t="s">
        <v>78</v>
      </c>
      <c r="E397" s="1" t="s">
        <v>96</v>
      </c>
      <c r="F397" t="s">
        <v>93</v>
      </c>
      <c r="G397" t="s">
        <v>15</v>
      </c>
      <c r="H397">
        <v>4</v>
      </c>
      <c r="I397">
        <v>1211.49</v>
      </c>
    </row>
    <row r="398" spans="1:9" x14ac:dyDescent="0.25">
      <c r="A398" s="5" t="str">
        <f>TrendSheetPrdData[[#This Row],[Population]]&amp;TrendSheetPrdData[[#This Row],[Cost Basis]]&amp;TrendSheetPrdData[[#This Row],[Period]]&amp;TrendSheetPrdData[[#This Row],[Trend]]</f>
        <v>EMPLOYEEPaid2016-08-01Readmission Cost</v>
      </c>
      <c r="B398" t="s">
        <v>90</v>
      </c>
      <c r="C398" t="s">
        <v>90</v>
      </c>
      <c r="D398" t="s">
        <v>78</v>
      </c>
      <c r="E398" s="1" t="s">
        <v>97</v>
      </c>
      <c r="F398" t="s">
        <v>93</v>
      </c>
      <c r="G398" t="s">
        <v>15</v>
      </c>
      <c r="H398">
        <v>4</v>
      </c>
      <c r="I398">
        <v>0</v>
      </c>
    </row>
    <row r="399" spans="1:9" x14ac:dyDescent="0.25">
      <c r="A399" s="5" t="str">
        <f>TrendSheetPrdData[[#This Row],[Population]]&amp;TrendSheetPrdData[[#This Row],[Cost Basis]]&amp;TrendSheetPrdData[[#This Row],[Period]]&amp;TrendSheetPrdData[[#This Row],[Trend]]</f>
        <v>EMPLOYEEPaid2016-09-01Readmission Cost</v>
      </c>
      <c r="B399" t="s">
        <v>90</v>
      </c>
      <c r="C399" t="s">
        <v>90</v>
      </c>
      <c r="D399" t="s">
        <v>78</v>
      </c>
      <c r="E399" s="1" t="s">
        <v>98</v>
      </c>
      <c r="F399" t="s">
        <v>93</v>
      </c>
      <c r="G399" t="s">
        <v>15</v>
      </c>
      <c r="H399">
        <v>4</v>
      </c>
      <c r="I399">
        <v>115650.42</v>
      </c>
    </row>
    <row r="400" spans="1:9" x14ac:dyDescent="0.25">
      <c r="A400" s="5" t="str">
        <f>TrendSheetPrdData[[#This Row],[Population]]&amp;TrendSheetPrdData[[#This Row],[Cost Basis]]&amp;TrendSheetPrdData[[#This Row],[Period]]&amp;TrendSheetPrdData[[#This Row],[Trend]]</f>
        <v>EMPLOYEEPaid2016-10-01Readmission Cost</v>
      </c>
      <c r="B400" t="s">
        <v>90</v>
      </c>
      <c r="C400" t="s">
        <v>90</v>
      </c>
      <c r="D400" t="s">
        <v>78</v>
      </c>
      <c r="E400" s="1" t="s">
        <v>99</v>
      </c>
      <c r="F400" t="s">
        <v>93</v>
      </c>
      <c r="G400" t="s">
        <v>15</v>
      </c>
      <c r="H400">
        <v>4</v>
      </c>
      <c r="I400">
        <v>46312.09</v>
      </c>
    </row>
    <row r="401" spans="1:9" x14ac:dyDescent="0.25">
      <c r="A401" s="5" t="str">
        <f>TrendSheetPrdData[[#This Row],[Population]]&amp;TrendSheetPrdData[[#This Row],[Cost Basis]]&amp;TrendSheetPrdData[[#This Row],[Period]]&amp;TrendSheetPrdData[[#This Row],[Trend]]</f>
        <v>EMPLOYEEPaid2016-11-01Readmission Cost</v>
      </c>
      <c r="B401" t="s">
        <v>90</v>
      </c>
      <c r="C401" t="s">
        <v>90</v>
      </c>
      <c r="D401" t="s">
        <v>78</v>
      </c>
      <c r="E401" s="1" t="s">
        <v>100</v>
      </c>
      <c r="F401" t="s">
        <v>93</v>
      </c>
      <c r="G401" t="s">
        <v>15</v>
      </c>
      <c r="H401">
        <v>4</v>
      </c>
      <c r="I401">
        <v>106868.22</v>
      </c>
    </row>
    <row r="402" spans="1:9" x14ac:dyDescent="0.25">
      <c r="A402" s="5" t="str">
        <f>TrendSheetPrdData[[#This Row],[Population]]&amp;TrendSheetPrdData[[#This Row],[Cost Basis]]&amp;TrendSheetPrdData[[#This Row],[Period]]&amp;TrendSheetPrdData[[#This Row],[Trend]]</f>
        <v>EMPLOYEEPaid2016-12-01Readmission Cost</v>
      </c>
      <c r="B402" t="s">
        <v>90</v>
      </c>
      <c r="C402" t="s">
        <v>90</v>
      </c>
      <c r="D402" t="s">
        <v>78</v>
      </c>
      <c r="E402" s="1" t="s">
        <v>101</v>
      </c>
      <c r="F402" t="s">
        <v>93</v>
      </c>
      <c r="G402" t="s">
        <v>15</v>
      </c>
      <c r="H402">
        <v>4</v>
      </c>
      <c r="I402">
        <v>30839.81</v>
      </c>
    </row>
    <row r="403" spans="1:9" x14ac:dyDescent="0.25">
      <c r="A403" s="5" t="str">
        <f>TrendSheetPrdData[[#This Row],[Population]]&amp;TrendSheetPrdData[[#This Row],[Cost Basis]]&amp;TrendSheetPrdData[[#This Row],[Period]]&amp;TrendSheetPrdData[[#This Row],[Trend]]</f>
        <v>EMPLOYEEPaid2017-01-01Readmission Cost</v>
      </c>
      <c r="B403" t="s">
        <v>90</v>
      </c>
      <c r="C403" t="s">
        <v>90</v>
      </c>
      <c r="D403" t="s">
        <v>78</v>
      </c>
      <c r="E403" s="1" t="s">
        <v>102</v>
      </c>
      <c r="F403" t="s">
        <v>93</v>
      </c>
      <c r="G403" t="s">
        <v>15</v>
      </c>
      <c r="H403">
        <v>4</v>
      </c>
      <c r="I403">
        <v>11909.89</v>
      </c>
    </row>
    <row r="404" spans="1:9" x14ac:dyDescent="0.25">
      <c r="A404" s="5" t="str">
        <f>TrendSheetPrdData[[#This Row],[Population]]&amp;TrendSheetPrdData[[#This Row],[Cost Basis]]&amp;TrendSheetPrdData[[#This Row],[Period]]&amp;TrendSheetPrdData[[#This Row],[Trend]]</f>
        <v>EMPLOYEEPaid2017-02-01Readmission Cost</v>
      </c>
      <c r="B404" t="s">
        <v>90</v>
      </c>
      <c r="C404" t="s">
        <v>90</v>
      </c>
      <c r="D404" t="s">
        <v>78</v>
      </c>
      <c r="E404" s="1" t="s">
        <v>103</v>
      </c>
      <c r="F404" t="s">
        <v>106</v>
      </c>
      <c r="G404" t="s">
        <v>15</v>
      </c>
      <c r="H404">
        <v>4</v>
      </c>
      <c r="I404">
        <v>7905.91</v>
      </c>
    </row>
    <row r="405" spans="1:9" x14ac:dyDescent="0.25">
      <c r="A405" s="5" t="str">
        <f>TrendSheetPrdData[[#This Row],[Population]]&amp;TrendSheetPrdData[[#This Row],[Cost Basis]]&amp;TrendSheetPrdData[[#This Row],[Period]]&amp;TrendSheetPrdData[[#This Row],[Trend]]</f>
        <v>EMPLOYEEPaid2017-03-01Readmission Cost</v>
      </c>
      <c r="B405" t="s">
        <v>90</v>
      </c>
      <c r="C405" t="s">
        <v>90</v>
      </c>
      <c r="D405" t="s">
        <v>78</v>
      </c>
      <c r="E405" s="1" t="s">
        <v>104</v>
      </c>
      <c r="F405" t="s">
        <v>106</v>
      </c>
      <c r="G405" t="s">
        <v>15</v>
      </c>
      <c r="H405">
        <v>4</v>
      </c>
      <c r="I405">
        <v>8746.42</v>
      </c>
    </row>
    <row r="406" spans="1:9" x14ac:dyDescent="0.25">
      <c r="A406" s="5" t="str">
        <f>TrendSheetPrdData[[#This Row],[Population]]&amp;TrendSheetPrdData[[#This Row],[Cost Basis]]&amp;TrendSheetPrdData[[#This Row],[Period]]&amp;TrendSheetPrdData[[#This Row],[Trend]]</f>
        <v>EMPLOYEEPaid2017-04-01Readmission Cost</v>
      </c>
      <c r="B406" t="s">
        <v>90</v>
      </c>
      <c r="C406" t="s">
        <v>90</v>
      </c>
      <c r="D406" t="s">
        <v>78</v>
      </c>
      <c r="E406" s="1" t="s">
        <v>105</v>
      </c>
      <c r="F406" t="s">
        <v>106</v>
      </c>
      <c r="G406" t="s">
        <v>15</v>
      </c>
      <c r="H406">
        <v>4</v>
      </c>
      <c r="I406">
        <v>0</v>
      </c>
    </row>
    <row r="407" spans="1:9" x14ac:dyDescent="0.25">
      <c r="A407" s="5" t="str">
        <f>TrendSheetPrdData[[#This Row],[Population]]&amp;TrendSheetPrdData[[#This Row],[Cost Basis]]&amp;TrendSheetPrdData[[#This Row],[Period]]&amp;TrendSheetPrdData[[#This Row],[Trend]]</f>
        <v>EMPLOYEEPaid2016-02-01Readmission Quality</v>
      </c>
      <c r="B407" t="s">
        <v>90</v>
      </c>
      <c r="C407" t="s">
        <v>90</v>
      </c>
      <c r="D407" t="s">
        <v>78</v>
      </c>
      <c r="E407" s="1" t="s">
        <v>124</v>
      </c>
      <c r="F407" t="s">
        <v>93</v>
      </c>
      <c r="G407" t="s">
        <v>16</v>
      </c>
      <c r="H407">
        <v>5</v>
      </c>
      <c r="I407">
        <v>2</v>
      </c>
    </row>
    <row r="408" spans="1:9" x14ac:dyDescent="0.25">
      <c r="A408" s="5" t="str">
        <f>TrendSheetPrdData[[#This Row],[Population]]&amp;TrendSheetPrdData[[#This Row],[Cost Basis]]&amp;TrendSheetPrdData[[#This Row],[Period]]&amp;TrendSheetPrdData[[#This Row],[Trend]]</f>
        <v>EMPLOYEEPaid2016-03-01Readmission Quality</v>
      </c>
      <c r="B408" t="s">
        <v>90</v>
      </c>
      <c r="C408" t="s">
        <v>90</v>
      </c>
      <c r="D408" t="s">
        <v>78</v>
      </c>
      <c r="E408" s="1" t="s">
        <v>125</v>
      </c>
      <c r="F408" t="s">
        <v>93</v>
      </c>
      <c r="G408" t="s">
        <v>16</v>
      </c>
      <c r="H408">
        <v>5</v>
      </c>
      <c r="I408">
        <v>3</v>
      </c>
    </row>
    <row r="409" spans="1:9" x14ac:dyDescent="0.25">
      <c r="A409" s="5" t="str">
        <f>TrendSheetPrdData[[#This Row],[Population]]&amp;TrendSheetPrdData[[#This Row],[Cost Basis]]&amp;TrendSheetPrdData[[#This Row],[Period]]&amp;TrendSheetPrdData[[#This Row],[Trend]]</f>
        <v>EMPLOYEEPaid2016-04-01Readmission Quality</v>
      </c>
      <c r="B409" t="s">
        <v>90</v>
      </c>
      <c r="C409" t="s">
        <v>90</v>
      </c>
      <c r="D409" t="s">
        <v>78</v>
      </c>
      <c r="E409" s="1" t="s">
        <v>92</v>
      </c>
      <c r="F409" t="s">
        <v>93</v>
      </c>
      <c r="G409" t="s">
        <v>16</v>
      </c>
      <c r="H409">
        <v>5</v>
      </c>
      <c r="I409">
        <v>1</v>
      </c>
    </row>
    <row r="410" spans="1:9" x14ac:dyDescent="0.25">
      <c r="A410" s="5" t="str">
        <f>TrendSheetPrdData[[#This Row],[Population]]&amp;TrendSheetPrdData[[#This Row],[Cost Basis]]&amp;TrendSheetPrdData[[#This Row],[Period]]&amp;TrendSheetPrdData[[#This Row],[Trend]]</f>
        <v>EMPLOYEEPaid2016-05-01Readmission Quality</v>
      </c>
      <c r="B410" t="s">
        <v>90</v>
      </c>
      <c r="C410" t="s">
        <v>90</v>
      </c>
      <c r="D410" t="s">
        <v>78</v>
      </c>
      <c r="E410" s="1" t="s">
        <v>94</v>
      </c>
      <c r="F410" t="s">
        <v>93</v>
      </c>
      <c r="G410" t="s">
        <v>16</v>
      </c>
      <c r="H410">
        <v>5</v>
      </c>
      <c r="I410">
        <v>2</v>
      </c>
    </row>
    <row r="411" spans="1:9" x14ac:dyDescent="0.25">
      <c r="A411" s="5" t="str">
        <f>TrendSheetPrdData[[#This Row],[Population]]&amp;TrendSheetPrdData[[#This Row],[Cost Basis]]&amp;TrendSheetPrdData[[#This Row],[Period]]&amp;TrendSheetPrdData[[#This Row],[Trend]]</f>
        <v>EMPLOYEEPaid2016-06-01Readmission Quality</v>
      </c>
      <c r="B411" t="s">
        <v>90</v>
      </c>
      <c r="C411" t="s">
        <v>90</v>
      </c>
      <c r="D411" t="s">
        <v>78</v>
      </c>
      <c r="E411" s="1" t="s">
        <v>95</v>
      </c>
      <c r="F411" t="s">
        <v>93</v>
      </c>
      <c r="G411" t="s">
        <v>16</v>
      </c>
      <c r="H411">
        <v>5</v>
      </c>
      <c r="I411">
        <v>1</v>
      </c>
    </row>
    <row r="412" spans="1:9" x14ac:dyDescent="0.25">
      <c r="A412" s="5" t="str">
        <f>TrendSheetPrdData[[#This Row],[Population]]&amp;TrendSheetPrdData[[#This Row],[Cost Basis]]&amp;TrendSheetPrdData[[#This Row],[Period]]&amp;TrendSheetPrdData[[#This Row],[Trend]]</f>
        <v>EMPLOYEEPaid2016-07-01Readmission Quality</v>
      </c>
      <c r="B412" t="s">
        <v>90</v>
      </c>
      <c r="C412" t="s">
        <v>90</v>
      </c>
      <c r="D412" t="s">
        <v>78</v>
      </c>
      <c r="E412" s="1" t="s">
        <v>96</v>
      </c>
      <c r="F412" t="s">
        <v>93</v>
      </c>
      <c r="G412" t="s">
        <v>16</v>
      </c>
      <c r="H412">
        <v>5</v>
      </c>
      <c r="I412">
        <v>1</v>
      </c>
    </row>
    <row r="413" spans="1:9" x14ac:dyDescent="0.25">
      <c r="A413" s="5" t="str">
        <f>TrendSheetPrdData[[#This Row],[Population]]&amp;TrendSheetPrdData[[#This Row],[Cost Basis]]&amp;TrendSheetPrdData[[#This Row],[Period]]&amp;TrendSheetPrdData[[#This Row],[Trend]]</f>
        <v>EMPLOYEEPaid2016-08-01Readmission Quality</v>
      </c>
      <c r="B413" t="s">
        <v>90</v>
      </c>
      <c r="C413" t="s">
        <v>90</v>
      </c>
      <c r="D413" t="s">
        <v>78</v>
      </c>
      <c r="E413" s="1" t="s">
        <v>97</v>
      </c>
      <c r="F413" t="s">
        <v>93</v>
      </c>
      <c r="G413" t="s">
        <v>16</v>
      </c>
      <c r="H413">
        <v>5</v>
      </c>
      <c r="I413">
        <v>0</v>
      </c>
    </row>
    <row r="414" spans="1:9" x14ac:dyDescent="0.25">
      <c r="A414" s="5" t="str">
        <f>TrendSheetPrdData[[#This Row],[Population]]&amp;TrendSheetPrdData[[#This Row],[Cost Basis]]&amp;TrendSheetPrdData[[#This Row],[Period]]&amp;TrendSheetPrdData[[#This Row],[Trend]]</f>
        <v>EMPLOYEEPaid2016-09-01Readmission Quality</v>
      </c>
      <c r="B414" t="s">
        <v>90</v>
      </c>
      <c r="C414" t="s">
        <v>90</v>
      </c>
      <c r="D414" t="s">
        <v>78</v>
      </c>
      <c r="E414" s="1" t="s">
        <v>98</v>
      </c>
      <c r="F414" t="s">
        <v>93</v>
      </c>
      <c r="G414" t="s">
        <v>16</v>
      </c>
      <c r="H414">
        <v>5</v>
      </c>
      <c r="I414">
        <v>4</v>
      </c>
    </row>
    <row r="415" spans="1:9" x14ac:dyDescent="0.25">
      <c r="A415" s="5" t="str">
        <f>TrendSheetPrdData[[#This Row],[Population]]&amp;TrendSheetPrdData[[#This Row],[Cost Basis]]&amp;TrendSheetPrdData[[#This Row],[Period]]&amp;TrendSheetPrdData[[#This Row],[Trend]]</f>
        <v>EMPLOYEEPaid2016-10-01Readmission Quality</v>
      </c>
      <c r="B415" t="s">
        <v>90</v>
      </c>
      <c r="C415" t="s">
        <v>90</v>
      </c>
      <c r="D415" t="s">
        <v>78</v>
      </c>
      <c r="E415" s="1" t="s">
        <v>99</v>
      </c>
      <c r="F415" t="s">
        <v>93</v>
      </c>
      <c r="G415" t="s">
        <v>16</v>
      </c>
      <c r="H415">
        <v>5</v>
      </c>
      <c r="I415">
        <v>5</v>
      </c>
    </row>
    <row r="416" spans="1:9" x14ac:dyDescent="0.25">
      <c r="A416" s="5" t="str">
        <f>TrendSheetPrdData[[#This Row],[Population]]&amp;TrendSheetPrdData[[#This Row],[Cost Basis]]&amp;TrendSheetPrdData[[#This Row],[Period]]&amp;TrendSheetPrdData[[#This Row],[Trend]]</f>
        <v>EMPLOYEEPaid2016-11-01Readmission Quality</v>
      </c>
      <c r="B416" t="s">
        <v>90</v>
      </c>
      <c r="C416" t="s">
        <v>90</v>
      </c>
      <c r="D416" t="s">
        <v>78</v>
      </c>
      <c r="E416" s="1" t="s">
        <v>100</v>
      </c>
      <c r="F416" t="s">
        <v>93</v>
      </c>
      <c r="G416" t="s">
        <v>16</v>
      </c>
      <c r="H416">
        <v>5</v>
      </c>
      <c r="I416">
        <v>1</v>
      </c>
    </row>
    <row r="417" spans="1:9" x14ac:dyDescent="0.25">
      <c r="A417" s="5" t="str">
        <f>TrendSheetPrdData[[#This Row],[Population]]&amp;TrendSheetPrdData[[#This Row],[Cost Basis]]&amp;TrendSheetPrdData[[#This Row],[Period]]&amp;TrendSheetPrdData[[#This Row],[Trend]]</f>
        <v>EMPLOYEEPaid2016-12-01Readmission Quality</v>
      </c>
      <c r="B417" t="s">
        <v>90</v>
      </c>
      <c r="C417" t="s">
        <v>90</v>
      </c>
      <c r="D417" t="s">
        <v>78</v>
      </c>
      <c r="E417" s="1" t="s">
        <v>101</v>
      </c>
      <c r="F417" t="s">
        <v>93</v>
      </c>
      <c r="G417" t="s">
        <v>16</v>
      </c>
      <c r="H417">
        <v>5</v>
      </c>
      <c r="I417">
        <v>4</v>
      </c>
    </row>
    <row r="418" spans="1:9" x14ac:dyDescent="0.25">
      <c r="A418" s="5" t="str">
        <f>TrendSheetPrdData[[#This Row],[Population]]&amp;TrendSheetPrdData[[#This Row],[Cost Basis]]&amp;TrendSheetPrdData[[#This Row],[Period]]&amp;TrendSheetPrdData[[#This Row],[Trend]]</f>
        <v>EMPLOYEEPaid2017-01-01Readmission Quality</v>
      </c>
      <c r="B418" t="s">
        <v>90</v>
      </c>
      <c r="C418" t="s">
        <v>90</v>
      </c>
      <c r="D418" t="s">
        <v>78</v>
      </c>
      <c r="E418" s="1" t="s">
        <v>102</v>
      </c>
      <c r="F418" t="s">
        <v>93</v>
      </c>
      <c r="G418" t="s">
        <v>16</v>
      </c>
      <c r="H418">
        <v>5</v>
      </c>
      <c r="I418">
        <v>1</v>
      </c>
    </row>
    <row r="419" spans="1:9" x14ac:dyDescent="0.25">
      <c r="A419" s="5" t="str">
        <f>TrendSheetPrdData[[#This Row],[Population]]&amp;TrendSheetPrdData[[#This Row],[Cost Basis]]&amp;TrendSheetPrdData[[#This Row],[Period]]&amp;TrendSheetPrdData[[#This Row],[Trend]]</f>
        <v>EMPLOYEEPaid2017-02-01Readmission Quality</v>
      </c>
      <c r="B419" t="s">
        <v>90</v>
      </c>
      <c r="C419" t="s">
        <v>90</v>
      </c>
      <c r="D419" t="s">
        <v>78</v>
      </c>
      <c r="E419" s="1" t="s">
        <v>103</v>
      </c>
      <c r="F419" t="s">
        <v>106</v>
      </c>
      <c r="G419" t="s">
        <v>16</v>
      </c>
      <c r="H419">
        <v>5</v>
      </c>
      <c r="I419">
        <v>2</v>
      </c>
    </row>
    <row r="420" spans="1:9" x14ac:dyDescent="0.25">
      <c r="A420" s="5" t="str">
        <f>TrendSheetPrdData[[#This Row],[Population]]&amp;TrendSheetPrdData[[#This Row],[Cost Basis]]&amp;TrendSheetPrdData[[#This Row],[Period]]&amp;TrendSheetPrdData[[#This Row],[Trend]]</f>
        <v>EMPLOYEEPaid2017-03-01Readmission Quality</v>
      </c>
      <c r="B420" t="s">
        <v>90</v>
      </c>
      <c r="C420" t="s">
        <v>90</v>
      </c>
      <c r="D420" t="s">
        <v>78</v>
      </c>
      <c r="E420" s="1" t="s">
        <v>104</v>
      </c>
      <c r="F420" t="s">
        <v>106</v>
      </c>
      <c r="G420" t="s">
        <v>16</v>
      </c>
      <c r="H420">
        <v>5</v>
      </c>
      <c r="I420">
        <v>1</v>
      </c>
    </row>
    <row r="421" spans="1:9" x14ac:dyDescent="0.25">
      <c r="A421" s="5" t="str">
        <f>TrendSheetPrdData[[#This Row],[Population]]&amp;TrendSheetPrdData[[#This Row],[Cost Basis]]&amp;TrendSheetPrdData[[#This Row],[Period]]&amp;TrendSheetPrdData[[#This Row],[Trend]]</f>
        <v>EMPLOYEEPaid2017-04-01Readmission Quality</v>
      </c>
      <c r="B421" t="s">
        <v>90</v>
      </c>
      <c r="C421" t="s">
        <v>90</v>
      </c>
      <c r="D421" t="s">
        <v>78</v>
      </c>
      <c r="E421" s="1" t="s">
        <v>105</v>
      </c>
      <c r="F421" t="s">
        <v>106</v>
      </c>
      <c r="G421" t="s">
        <v>16</v>
      </c>
      <c r="H421">
        <v>5</v>
      </c>
      <c r="I421">
        <v>0</v>
      </c>
    </row>
    <row r="422" spans="1:9" x14ac:dyDescent="0.25">
      <c r="A422" s="5" t="str">
        <f>TrendSheetPrdData[[#This Row],[Population]]&amp;TrendSheetPrdData[[#This Row],[Cost Basis]]&amp;TrendSheetPrdData[[#This Row],[Period]]&amp;TrendSheetPrdData[[#This Row],[Trend]]</f>
        <v>EMPLOYEEPaid2016-02-01Avoidable Admission Cost</v>
      </c>
      <c r="B422" t="s">
        <v>90</v>
      </c>
      <c r="C422" t="s">
        <v>90</v>
      </c>
      <c r="D422" t="s">
        <v>78</v>
      </c>
      <c r="E422" s="1" t="s">
        <v>124</v>
      </c>
      <c r="F422" t="s">
        <v>93</v>
      </c>
      <c r="G422" t="s">
        <v>17</v>
      </c>
      <c r="H422">
        <v>6</v>
      </c>
      <c r="I422">
        <v>17054.59</v>
      </c>
    </row>
    <row r="423" spans="1:9" x14ac:dyDescent="0.25">
      <c r="A423" s="5" t="str">
        <f>TrendSheetPrdData[[#This Row],[Population]]&amp;TrendSheetPrdData[[#This Row],[Cost Basis]]&amp;TrendSheetPrdData[[#This Row],[Period]]&amp;TrendSheetPrdData[[#This Row],[Trend]]</f>
        <v>EMPLOYEEPaid2016-03-01Avoidable Admission Cost</v>
      </c>
      <c r="B423" t="s">
        <v>90</v>
      </c>
      <c r="C423" t="s">
        <v>90</v>
      </c>
      <c r="D423" t="s">
        <v>78</v>
      </c>
      <c r="E423" s="1" t="s">
        <v>125</v>
      </c>
      <c r="F423" t="s">
        <v>93</v>
      </c>
      <c r="G423" t="s">
        <v>17</v>
      </c>
      <c r="H423">
        <v>6</v>
      </c>
      <c r="I423">
        <v>38419.96</v>
      </c>
    </row>
    <row r="424" spans="1:9" x14ac:dyDescent="0.25">
      <c r="A424" s="5" t="str">
        <f>TrendSheetPrdData[[#This Row],[Population]]&amp;TrendSheetPrdData[[#This Row],[Cost Basis]]&amp;TrendSheetPrdData[[#This Row],[Period]]&amp;TrendSheetPrdData[[#This Row],[Trend]]</f>
        <v>EMPLOYEEPaid2016-04-01Avoidable Admission Cost</v>
      </c>
      <c r="B424" t="s">
        <v>90</v>
      </c>
      <c r="C424" t="s">
        <v>90</v>
      </c>
      <c r="D424" t="s">
        <v>78</v>
      </c>
      <c r="E424" s="1" t="s">
        <v>92</v>
      </c>
      <c r="F424" t="s">
        <v>93</v>
      </c>
      <c r="G424" t="s">
        <v>17</v>
      </c>
      <c r="H424">
        <v>6</v>
      </c>
      <c r="I424">
        <v>30090.83</v>
      </c>
    </row>
    <row r="425" spans="1:9" x14ac:dyDescent="0.25">
      <c r="A425" s="5" t="str">
        <f>TrendSheetPrdData[[#This Row],[Population]]&amp;TrendSheetPrdData[[#This Row],[Cost Basis]]&amp;TrendSheetPrdData[[#This Row],[Period]]&amp;TrendSheetPrdData[[#This Row],[Trend]]</f>
        <v>EMPLOYEEPaid2016-05-01Avoidable Admission Cost</v>
      </c>
      <c r="B425" t="s">
        <v>90</v>
      </c>
      <c r="C425" t="s">
        <v>90</v>
      </c>
      <c r="D425" t="s">
        <v>78</v>
      </c>
      <c r="E425" s="1" t="s">
        <v>94</v>
      </c>
      <c r="F425" t="s">
        <v>93</v>
      </c>
      <c r="G425" t="s">
        <v>17</v>
      </c>
      <c r="H425">
        <v>6</v>
      </c>
      <c r="I425">
        <v>0</v>
      </c>
    </row>
    <row r="426" spans="1:9" x14ac:dyDescent="0.25">
      <c r="A426" s="5" t="str">
        <f>TrendSheetPrdData[[#This Row],[Population]]&amp;TrendSheetPrdData[[#This Row],[Cost Basis]]&amp;TrendSheetPrdData[[#This Row],[Period]]&amp;TrendSheetPrdData[[#This Row],[Trend]]</f>
        <v>EMPLOYEEPaid2016-06-01Avoidable Admission Cost</v>
      </c>
      <c r="B426" t="s">
        <v>90</v>
      </c>
      <c r="C426" t="s">
        <v>90</v>
      </c>
      <c r="D426" t="s">
        <v>78</v>
      </c>
      <c r="E426" s="1" t="s">
        <v>95</v>
      </c>
      <c r="F426" t="s">
        <v>93</v>
      </c>
      <c r="G426" t="s">
        <v>17</v>
      </c>
      <c r="H426">
        <v>6</v>
      </c>
      <c r="I426">
        <v>12501.16</v>
      </c>
    </row>
    <row r="427" spans="1:9" x14ac:dyDescent="0.25">
      <c r="A427" s="5" t="str">
        <f>TrendSheetPrdData[[#This Row],[Population]]&amp;TrendSheetPrdData[[#This Row],[Cost Basis]]&amp;TrendSheetPrdData[[#This Row],[Period]]&amp;TrendSheetPrdData[[#This Row],[Trend]]</f>
        <v>EMPLOYEEPaid2016-07-01Avoidable Admission Cost</v>
      </c>
      <c r="B427" t="s">
        <v>90</v>
      </c>
      <c r="C427" t="s">
        <v>90</v>
      </c>
      <c r="D427" t="s">
        <v>78</v>
      </c>
      <c r="E427" s="1" t="s">
        <v>96</v>
      </c>
      <c r="F427" t="s">
        <v>93</v>
      </c>
      <c r="G427" t="s">
        <v>17</v>
      </c>
      <c r="H427">
        <v>6</v>
      </c>
      <c r="I427">
        <v>0</v>
      </c>
    </row>
    <row r="428" spans="1:9" x14ac:dyDescent="0.25">
      <c r="A428" s="5" t="str">
        <f>TrendSheetPrdData[[#This Row],[Population]]&amp;TrendSheetPrdData[[#This Row],[Cost Basis]]&amp;TrendSheetPrdData[[#This Row],[Period]]&amp;TrendSheetPrdData[[#This Row],[Trend]]</f>
        <v>EMPLOYEEPaid2016-08-01Avoidable Admission Cost</v>
      </c>
      <c r="B428" t="s">
        <v>90</v>
      </c>
      <c r="C428" t="s">
        <v>90</v>
      </c>
      <c r="D428" t="s">
        <v>78</v>
      </c>
      <c r="E428" s="1" t="s">
        <v>97</v>
      </c>
      <c r="F428" t="s">
        <v>93</v>
      </c>
      <c r="G428" t="s">
        <v>17</v>
      </c>
      <c r="H428">
        <v>6</v>
      </c>
      <c r="I428">
        <v>0</v>
      </c>
    </row>
    <row r="429" spans="1:9" x14ac:dyDescent="0.25">
      <c r="A429" s="5" t="str">
        <f>TrendSheetPrdData[[#This Row],[Population]]&amp;TrendSheetPrdData[[#This Row],[Cost Basis]]&amp;TrendSheetPrdData[[#This Row],[Period]]&amp;TrendSheetPrdData[[#This Row],[Trend]]</f>
        <v>EMPLOYEEPaid2016-09-01Avoidable Admission Cost</v>
      </c>
      <c r="B429" t="s">
        <v>90</v>
      </c>
      <c r="C429" t="s">
        <v>90</v>
      </c>
      <c r="D429" t="s">
        <v>78</v>
      </c>
      <c r="E429" s="1" t="s">
        <v>98</v>
      </c>
      <c r="F429" t="s">
        <v>93</v>
      </c>
      <c r="G429" t="s">
        <v>17</v>
      </c>
      <c r="H429">
        <v>6</v>
      </c>
      <c r="I429">
        <v>9709.0400000000009</v>
      </c>
    </row>
    <row r="430" spans="1:9" x14ac:dyDescent="0.25">
      <c r="A430" s="5" t="str">
        <f>TrendSheetPrdData[[#This Row],[Population]]&amp;TrendSheetPrdData[[#This Row],[Cost Basis]]&amp;TrendSheetPrdData[[#This Row],[Period]]&amp;TrendSheetPrdData[[#This Row],[Trend]]</f>
        <v>EMPLOYEEPaid2016-10-01Avoidable Admission Cost</v>
      </c>
      <c r="B430" t="s">
        <v>90</v>
      </c>
      <c r="C430" t="s">
        <v>90</v>
      </c>
      <c r="D430" t="s">
        <v>78</v>
      </c>
      <c r="E430" s="1" t="s">
        <v>99</v>
      </c>
      <c r="F430" t="s">
        <v>93</v>
      </c>
      <c r="G430" t="s">
        <v>17</v>
      </c>
      <c r="H430">
        <v>6</v>
      </c>
      <c r="I430">
        <v>27958.94</v>
      </c>
    </row>
    <row r="431" spans="1:9" x14ac:dyDescent="0.25">
      <c r="A431" s="5" t="str">
        <f>TrendSheetPrdData[[#This Row],[Population]]&amp;TrendSheetPrdData[[#This Row],[Cost Basis]]&amp;TrendSheetPrdData[[#This Row],[Period]]&amp;TrendSheetPrdData[[#This Row],[Trend]]</f>
        <v>EMPLOYEEPaid2016-11-01Avoidable Admission Cost</v>
      </c>
      <c r="B431" t="s">
        <v>90</v>
      </c>
      <c r="C431" t="s">
        <v>90</v>
      </c>
      <c r="D431" t="s">
        <v>78</v>
      </c>
      <c r="E431" s="1" t="s">
        <v>100</v>
      </c>
      <c r="F431" t="s">
        <v>93</v>
      </c>
      <c r="G431" t="s">
        <v>17</v>
      </c>
      <c r="H431">
        <v>6</v>
      </c>
      <c r="I431">
        <v>9324.5300000000007</v>
      </c>
    </row>
    <row r="432" spans="1:9" x14ac:dyDescent="0.25">
      <c r="A432" s="5" t="str">
        <f>TrendSheetPrdData[[#This Row],[Population]]&amp;TrendSheetPrdData[[#This Row],[Cost Basis]]&amp;TrendSheetPrdData[[#This Row],[Period]]&amp;TrendSheetPrdData[[#This Row],[Trend]]</f>
        <v>EMPLOYEEPaid2016-12-01Avoidable Admission Cost</v>
      </c>
      <c r="B432" t="s">
        <v>90</v>
      </c>
      <c r="C432" t="s">
        <v>90</v>
      </c>
      <c r="D432" t="s">
        <v>78</v>
      </c>
      <c r="E432" s="1" t="s">
        <v>101</v>
      </c>
      <c r="F432" t="s">
        <v>93</v>
      </c>
      <c r="G432" t="s">
        <v>17</v>
      </c>
      <c r="H432">
        <v>6</v>
      </c>
      <c r="I432">
        <v>32293.4</v>
      </c>
    </row>
    <row r="433" spans="1:9" x14ac:dyDescent="0.25">
      <c r="A433" s="5" t="str">
        <f>TrendSheetPrdData[[#This Row],[Population]]&amp;TrendSheetPrdData[[#This Row],[Cost Basis]]&amp;TrendSheetPrdData[[#This Row],[Period]]&amp;TrendSheetPrdData[[#This Row],[Trend]]</f>
        <v>EMPLOYEEPaid2017-01-01Avoidable Admission Cost</v>
      </c>
      <c r="B433" t="s">
        <v>90</v>
      </c>
      <c r="C433" t="s">
        <v>90</v>
      </c>
      <c r="D433" t="s">
        <v>78</v>
      </c>
      <c r="E433" s="1" t="s">
        <v>102</v>
      </c>
      <c r="F433" t="s">
        <v>93</v>
      </c>
      <c r="G433" t="s">
        <v>17</v>
      </c>
      <c r="H433">
        <v>6</v>
      </c>
      <c r="I433">
        <v>0</v>
      </c>
    </row>
    <row r="434" spans="1:9" x14ac:dyDescent="0.25">
      <c r="A434" s="5" t="str">
        <f>TrendSheetPrdData[[#This Row],[Population]]&amp;TrendSheetPrdData[[#This Row],[Cost Basis]]&amp;TrendSheetPrdData[[#This Row],[Period]]&amp;TrendSheetPrdData[[#This Row],[Trend]]</f>
        <v>EMPLOYEEPaid2017-02-01Avoidable Admission Cost</v>
      </c>
      <c r="B434" t="s">
        <v>90</v>
      </c>
      <c r="C434" t="s">
        <v>90</v>
      </c>
      <c r="D434" t="s">
        <v>78</v>
      </c>
      <c r="E434" s="1" t="s">
        <v>103</v>
      </c>
      <c r="F434" t="s">
        <v>106</v>
      </c>
      <c r="G434" t="s">
        <v>17</v>
      </c>
      <c r="H434">
        <v>6</v>
      </c>
      <c r="I434">
        <v>158065.82</v>
      </c>
    </row>
    <row r="435" spans="1:9" x14ac:dyDescent="0.25">
      <c r="A435" s="5" t="str">
        <f>TrendSheetPrdData[[#This Row],[Population]]&amp;TrendSheetPrdData[[#This Row],[Cost Basis]]&amp;TrendSheetPrdData[[#This Row],[Period]]&amp;TrendSheetPrdData[[#This Row],[Trend]]</f>
        <v>EMPLOYEEPaid2017-03-01Avoidable Admission Cost</v>
      </c>
      <c r="B435" t="s">
        <v>90</v>
      </c>
      <c r="C435" t="s">
        <v>90</v>
      </c>
      <c r="D435" t="s">
        <v>78</v>
      </c>
      <c r="E435" s="1" t="s">
        <v>104</v>
      </c>
      <c r="F435" t="s">
        <v>106</v>
      </c>
      <c r="G435" t="s">
        <v>17</v>
      </c>
      <c r="H435">
        <v>6</v>
      </c>
      <c r="I435">
        <v>0</v>
      </c>
    </row>
    <row r="436" spans="1:9" x14ac:dyDescent="0.25">
      <c r="A436" s="5" t="str">
        <f>TrendSheetPrdData[[#This Row],[Population]]&amp;TrendSheetPrdData[[#This Row],[Cost Basis]]&amp;TrendSheetPrdData[[#This Row],[Period]]&amp;TrendSheetPrdData[[#This Row],[Trend]]</f>
        <v>EMPLOYEEPaid2017-04-01Avoidable Admission Cost</v>
      </c>
      <c r="B436" t="s">
        <v>90</v>
      </c>
      <c r="C436" t="s">
        <v>90</v>
      </c>
      <c r="D436" t="s">
        <v>78</v>
      </c>
      <c r="E436" s="1" t="s">
        <v>105</v>
      </c>
      <c r="F436" t="s">
        <v>106</v>
      </c>
      <c r="G436" t="s">
        <v>17</v>
      </c>
      <c r="H436">
        <v>6</v>
      </c>
      <c r="I436">
        <v>0</v>
      </c>
    </row>
    <row r="437" spans="1:9" x14ac:dyDescent="0.25">
      <c r="A437" s="5" t="str">
        <f>TrendSheetPrdData[[#This Row],[Population]]&amp;TrendSheetPrdData[[#This Row],[Cost Basis]]&amp;TrendSheetPrdData[[#This Row],[Period]]&amp;TrendSheetPrdData[[#This Row],[Trend]]</f>
        <v>EMPLOYEEPaid2016-02-01Avoidable Admission Quality</v>
      </c>
      <c r="B437" t="s">
        <v>90</v>
      </c>
      <c r="C437" t="s">
        <v>90</v>
      </c>
      <c r="D437" t="s">
        <v>78</v>
      </c>
      <c r="E437" s="1" t="s">
        <v>124</v>
      </c>
      <c r="F437" t="s">
        <v>93</v>
      </c>
      <c r="G437" t="s">
        <v>18</v>
      </c>
      <c r="H437">
        <v>7</v>
      </c>
      <c r="I437">
        <v>2</v>
      </c>
    </row>
    <row r="438" spans="1:9" x14ac:dyDescent="0.25">
      <c r="A438" s="5" t="str">
        <f>TrendSheetPrdData[[#This Row],[Population]]&amp;TrendSheetPrdData[[#This Row],[Cost Basis]]&amp;TrendSheetPrdData[[#This Row],[Period]]&amp;TrendSheetPrdData[[#This Row],[Trend]]</f>
        <v>EMPLOYEEPaid2016-03-01Avoidable Admission Quality</v>
      </c>
      <c r="B438" t="s">
        <v>90</v>
      </c>
      <c r="C438" t="s">
        <v>90</v>
      </c>
      <c r="D438" t="s">
        <v>78</v>
      </c>
      <c r="E438" s="1" t="s">
        <v>125</v>
      </c>
      <c r="F438" t="s">
        <v>93</v>
      </c>
      <c r="G438" t="s">
        <v>18</v>
      </c>
      <c r="H438">
        <v>7</v>
      </c>
      <c r="I438">
        <v>3</v>
      </c>
    </row>
    <row r="439" spans="1:9" x14ac:dyDescent="0.25">
      <c r="A439" s="5" t="str">
        <f>TrendSheetPrdData[[#This Row],[Population]]&amp;TrendSheetPrdData[[#This Row],[Cost Basis]]&amp;TrendSheetPrdData[[#This Row],[Period]]&amp;TrendSheetPrdData[[#This Row],[Trend]]</f>
        <v>EMPLOYEEPaid2016-04-01Avoidable Admission Quality</v>
      </c>
      <c r="B439" t="s">
        <v>90</v>
      </c>
      <c r="C439" t="s">
        <v>90</v>
      </c>
      <c r="D439" t="s">
        <v>78</v>
      </c>
      <c r="E439" s="1" t="s">
        <v>92</v>
      </c>
      <c r="F439" t="s">
        <v>93</v>
      </c>
      <c r="G439" t="s">
        <v>18</v>
      </c>
      <c r="H439">
        <v>7</v>
      </c>
      <c r="I439">
        <v>1</v>
      </c>
    </row>
    <row r="440" spans="1:9" x14ac:dyDescent="0.25">
      <c r="A440" s="5" t="str">
        <f>TrendSheetPrdData[[#This Row],[Population]]&amp;TrendSheetPrdData[[#This Row],[Cost Basis]]&amp;TrendSheetPrdData[[#This Row],[Period]]&amp;TrendSheetPrdData[[#This Row],[Trend]]</f>
        <v>EMPLOYEEPaid2016-05-01Avoidable Admission Quality</v>
      </c>
      <c r="B440" t="s">
        <v>90</v>
      </c>
      <c r="C440" t="s">
        <v>90</v>
      </c>
      <c r="D440" t="s">
        <v>78</v>
      </c>
      <c r="E440" s="1" t="s">
        <v>94</v>
      </c>
      <c r="F440" t="s">
        <v>93</v>
      </c>
      <c r="G440" t="s">
        <v>18</v>
      </c>
      <c r="H440">
        <v>7</v>
      </c>
      <c r="I440">
        <v>0</v>
      </c>
    </row>
    <row r="441" spans="1:9" x14ac:dyDescent="0.25">
      <c r="A441" s="5" t="str">
        <f>TrendSheetPrdData[[#This Row],[Population]]&amp;TrendSheetPrdData[[#This Row],[Cost Basis]]&amp;TrendSheetPrdData[[#This Row],[Period]]&amp;TrendSheetPrdData[[#This Row],[Trend]]</f>
        <v>EMPLOYEEPaid2016-06-01Avoidable Admission Quality</v>
      </c>
      <c r="B441" t="s">
        <v>90</v>
      </c>
      <c r="C441" t="s">
        <v>90</v>
      </c>
      <c r="D441" t="s">
        <v>78</v>
      </c>
      <c r="E441" s="1" t="s">
        <v>95</v>
      </c>
      <c r="F441" t="s">
        <v>93</v>
      </c>
      <c r="G441" t="s">
        <v>18</v>
      </c>
      <c r="H441">
        <v>7</v>
      </c>
      <c r="I441">
        <v>1</v>
      </c>
    </row>
    <row r="442" spans="1:9" x14ac:dyDescent="0.25">
      <c r="A442" s="5" t="str">
        <f>TrendSheetPrdData[[#This Row],[Population]]&amp;TrendSheetPrdData[[#This Row],[Cost Basis]]&amp;TrendSheetPrdData[[#This Row],[Period]]&amp;TrendSheetPrdData[[#This Row],[Trend]]</f>
        <v>EMPLOYEEPaid2016-07-01Avoidable Admission Quality</v>
      </c>
      <c r="B442" t="s">
        <v>90</v>
      </c>
      <c r="C442" t="s">
        <v>90</v>
      </c>
      <c r="D442" t="s">
        <v>78</v>
      </c>
      <c r="E442" s="1" t="s">
        <v>96</v>
      </c>
      <c r="F442" t="s">
        <v>93</v>
      </c>
      <c r="G442" t="s">
        <v>18</v>
      </c>
      <c r="H442">
        <v>7</v>
      </c>
      <c r="I442">
        <v>0</v>
      </c>
    </row>
    <row r="443" spans="1:9" x14ac:dyDescent="0.25">
      <c r="A443" s="5" t="str">
        <f>TrendSheetPrdData[[#This Row],[Population]]&amp;TrendSheetPrdData[[#This Row],[Cost Basis]]&amp;TrendSheetPrdData[[#This Row],[Period]]&amp;TrendSheetPrdData[[#This Row],[Trend]]</f>
        <v>EMPLOYEEPaid2016-08-01Avoidable Admission Quality</v>
      </c>
      <c r="B443" t="s">
        <v>90</v>
      </c>
      <c r="C443" t="s">
        <v>90</v>
      </c>
      <c r="D443" t="s">
        <v>78</v>
      </c>
      <c r="E443" s="1" t="s">
        <v>97</v>
      </c>
      <c r="F443" t="s">
        <v>93</v>
      </c>
      <c r="G443" t="s">
        <v>18</v>
      </c>
      <c r="H443">
        <v>7</v>
      </c>
      <c r="I443">
        <v>0</v>
      </c>
    </row>
    <row r="444" spans="1:9" x14ac:dyDescent="0.25">
      <c r="A444" s="5" t="str">
        <f>TrendSheetPrdData[[#This Row],[Population]]&amp;TrendSheetPrdData[[#This Row],[Cost Basis]]&amp;TrendSheetPrdData[[#This Row],[Period]]&amp;TrendSheetPrdData[[#This Row],[Trend]]</f>
        <v>EMPLOYEEPaid2016-09-01Avoidable Admission Quality</v>
      </c>
      <c r="B444" t="s">
        <v>90</v>
      </c>
      <c r="C444" t="s">
        <v>90</v>
      </c>
      <c r="D444" t="s">
        <v>78</v>
      </c>
      <c r="E444" s="1" t="s">
        <v>98</v>
      </c>
      <c r="F444" t="s">
        <v>93</v>
      </c>
      <c r="G444" t="s">
        <v>18</v>
      </c>
      <c r="H444">
        <v>7</v>
      </c>
      <c r="I444">
        <v>1</v>
      </c>
    </row>
    <row r="445" spans="1:9" x14ac:dyDescent="0.25">
      <c r="A445" s="5" t="str">
        <f>TrendSheetPrdData[[#This Row],[Population]]&amp;TrendSheetPrdData[[#This Row],[Cost Basis]]&amp;TrendSheetPrdData[[#This Row],[Period]]&amp;TrendSheetPrdData[[#This Row],[Trend]]</f>
        <v>EMPLOYEEPaid2016-10-01Avoidable Admission Quality</v>
      </c>
      <c r="B445" t="s">
        <v>90</v>
      </c>
      <c r="C445" t="s">
        <v>90</v>
      </c>
      <c r="D445" t="s">
        <v>78</v>
      </c>
      <c r="E445" s="1" t="s">
        <v>99</v>
      </c>
      <c r="F445" t="s">
        <v>93</v>
      </c>
      <c r="G445" t="s">
        <v>18</v>
      </c>
      <c r="H445">
        <v>7</v>
      </c>
      <c r="I445">
        <v>1</v>
      </c>
    </row>
    <row r="446" spans="1:9" x14ac:dyDescent="0.25">
      <c r="A446" s="5" t="str">
        <f>TrendSheetPrdData[[#This Row],[Population]]&amp;TrendSheetPrdData[[#This Row],[Cost Basis]]&amp;TrendSheetPrdData[[#This Row],[Period]]&amp;TrendSheetPrdData[[#This Row],[Trend]]</f>
        <v>EMPLOYEEPaid2016-11-01Avoidable Admission Quality</v>
      </c>
      <c r="B446" t="s">
        <v>90</v>
      </c>
      <c r="C446" t="s">
        <v>90</v>
      </c>
      <c r="D446" t="s">
        <v>78</v>
      </c>
      <c r="E446" s="1" t="s">
        <v>100</v>
      </c>
      <c r="F446" t="s">
        <v>93</v>
      </c>
      <c r="G446" t="s">
        <v>18</v>
      </c>
      <c r="H446">
        <v>7</v>
      </c>
      <c r="I446">
        <v>1</v>
      </c>
    </row>
    <row r="447" spans="1:9" x14ac:dyDescent="0.25">
      <c r="A447" s="5" t="str">
        <f>TrendSheetPrdData[[#This Row],[Population]]&amp;TrendSheetPrdData[[#This Row],[Cost Basis]]&amp;TrendSheetPrdData[[#This Row],[Period]]&amp;TrendSheetPrdData[[#This Row],[Trend]]</f>
        <v>EMPLOYEEPaid2016-12-01Avoidable Admission Quality</v>
      </c>
      <c r="B447" t="s">
        <v>90</v>
      </c>
      <c r="C447" t="s">
        <v>90</v>
      </c>
      <c r="D447" t="s">
        <v>78</v>
      </c>
      <c r="E447" s="1" t="s">
        <v>101</v>
      </c>
      <c r="F447" t="s">
        <v>93</v>
      </c>
      <c r="G447" t="s">
        <v>18</v>
      </c>
      <c r="H447">
        <v>7</v>
      </c>
      <c r="I447">
        <v>2</v>
      </c>
    </row>
    <row r="448" spans="1:9" x14ac:dyDescent="0.25">
      <c r="A448" s="5" t="str">
        <f>TrendSheetPrdData[[#This Row],[Population]]&amp;TrendSheetPrdData[[#This Row],[Cost Basis]]&amp;TrendSheetPrdData[[#This Row],[Period]]&amp;TrendSheetPrdData[[#This Row],[Trend]]</f>
        <v>EMPLOYEEPaid2017-01-01Avoidable Admission Quality</v>
      </c>
      <c r="B448" t="s">
        <v>90</v>
      </c>
      <c r="C448" t="s">
        <v>90</v>
      </c>
      <c r="D448" t="s">
        <v>78</v>
      </c>
      <c r="E448" s="1" t="s">
        <v>102</v>
      </c>
      <c r="F448" t="s">
        <v>93</v>
      </c>
      <c r="G448" t="s">
        <v>18</v>
      </c>
      <c r="H448">
        <v>7</v>
      </c>
      <c r="I448">
        <v>0</v>
      </c>
    </row>
    <row r="449" spans="1:9" x14ac:dyDescent="0.25">
      <c r="A449" s="5" t="str">
        <f>TrendSheetPrdData[[#This Row],[Population]]&amp;TrendSheetPrdData[[#This Row],[Cost Basis]]&amp;TrendSheetPrdData[[#This Row],[Period]]&amp;TrendSheetPrdData[[#This Row],[Trend]]</f>
        <v>EMPLOYEEPaid2017-02-01Avoidable Admission Quality</v>
      </c>
      <c r="B449" t="s">
        <v>90</v>
      </c>
      <c r="C449" t="s">
        <v>90</v>
      </c>
      <c r="D449" t="s">
        <v>78</v>
      </c>
      <c r="E449" s="1" t="s">
        <v>103</v>
      </c>
      <c r="F449" t="s">
        <v>106</v>
      </c>
      <c r="G449" t="s">
        <v>18</v>
      </c>
      <c r="H449">
        <v>7</v>
      </c>
      <c r="I449">
        <v>2</v>
      </c>
    </row>
    <row r="450" spans="1:9" x14ac:dyDescent="0.25">
      <c r="A450" s="5" t="str">
        <f>TrendSheetPrdData[[#This Row],[Population]]&amp;TrendSheetPrdData[[#This Row],[Cost Basis]]&amp;TrendSheetPrdData[[#This Row],[Period]]&amp;TrendSheetPrdData[[#This Row],[Trend]]</f>
        <v>EMPLOYEEPaid2017-03-01Avoidable Admission Quality</v>
      </c>
      <c r="B450" t="s">
        <v>90</v>
      </c>
      <c r="C450" t="s">
        <v>90</v>
      </c>
      <c r="D450" t="s">
        <v>78</v>
      </c>
      <c r="E450" s="1" t="s">
        <v>104</v>
      </c>
      <c r="F450" t="s">
        <v>106</v>
      </c>
      <c r="G450" t="s">
        <v>18</v>
      </c>
      <c r="H450">
        <v>7</v>
      </c>
      <c r="I450">
        <v>0</v>
      </c>
    </row>
    <row r="451" spans="1:9" x14ac:dyDescent="0.25">
      <c r="A451" s="5" t="str">
        <f>TrendSheetPrdData[[#This Row],[Population]]&amp;TrendSheetPrdData[[#This Row],[Cost Basis]]&amp;TrendSheetPrdData[[#This Row],[Period]]&amp;TrendSheetPrdData[[#This Row],[Trend]]</f>
        <v>EMPLOYEEPaid2017-04-01Avoidable Admission Quality</v>
      </c>
      <c r="B451" t="s">
        <v>90</v>
      </c>
      <c r="C451" t="s">
        <v>90</v>
      </c>
      <c r="D451" t="s">
        <v>78</v>
      </c>
      <c r="E451" s="1" t="s">
        <v>105</v>
      </c>
      <c r="F451" t="s">
        <v>106</v>
      </c>
      <c r="G451" t="s">
        <v>18</v>
      </c>
      <c r="H451">
        <v>7</v>
      </c>
      <c r="I451">
        <v>0</v>
      </c>
    </row>
    <row r="452" spans="1:9" x14ac:dyDescent="0.25">
      <c r="A452" s="5" t="str">
        <f>TrendSheetPrdData[[#This Row],[Population]]&amp;TrendSheetPrdData[[#This Row],[Cost Basis]]&amp;TrendSheetPrdData[[#This Row],[Period]]&amp;TrendSheetPrdData[[#This Row],[Trend]]</f>
        <v>EMPLOYEEPaid2016-02-01Outpatient Imaging Cost</v>
      </c>
      <c r="B452" t="s">
        <v>90</v>
      </c>
      <c r="C452" t="s">
        <v>90</v>
      </c>
      <c r="D452" t="s">
        <v>78</v>
      </c>
      <c r="E452" s="1" t="s">
        <v>124</v>
      </c>
      <c r="F452" t="s">
        <v>93</v>
      </c>
      <c r="G452" t="s">
        <v>19</v>
      </c>
      <c r="H452">
        <v>8</v>
      </c>
      <c r="I452">
        <v>55794.53</v>
      </c>
    </row>
    <row r="453" spans="1:9" x14ac:dyDescent="0.25">
      <c r="A453" s="5" t="str">
        <f>TrendSheetPrdData[[#This Row],[Population]]&amp;TrendSheetPrdData[[#This Row],[Cost Basis]]&amp;TrendSheetPrdData[[#This Row],[Period]]&amp;TrendSheetPrdData[[#This Row],[Trend]]</f>
        <v>EMPLOYEEPaid2016-03-01Outpatient Imaging Cost</v>
      </c>
      <c r="B453" t="s">
        <v>90</v>
      </c>
      <c r="C453" t="s">
        <v>90</v>
      </c>
      <c r="D453" t="s">
        <v>78</v>
      </c>
      <c r="E453" s="1" t="s">
        <v>125</v>
      </c>
      <c r="F453" t="s">
        <v>93</v>
      </c>
      <c r="G453" t="s">
        <v>19</v>
      </c>
      <c r="H453">
        <v>8</v>
      </c>
      <c r="I453">
        <v>50660.85</v>
      </c>
    </row>
    <row r="454" spans="1:9" x14ac:dyDescent="0.25">
      <c r="A454" s="5" t="str">
        <f>TrendSheetPrdData[[#This Row],[Population]]&amp;TrendSheetPrdData[[#This Row],[Cost Basis]]&amp;TrendSheetPrdData[[#This Row],[Period]]&amp;TrendSheetPrdData[[#This Row],[Trend]]</f>
        <v>EMPLOYEEPaid2016-04-01Outpatient Imaging Cost</v>
      </c>
      <c r="B454" t="s">
        <v>90</v>
      </c>
      <c r="C454" t="s">
        <v>90</v>
      </c>
      <c r="D454" t="s">
        <v>78</v>
      </c>
      <c r="E454" s="1" t="s">
        <v>92</v>
      </c>
      <c r="F454" t="s">
        <v>93</v>
      </c>
      <c r="G454" t="s">
        <v>19</v>
      </c>
      <c r="H454">
        <v>8</v>
      </c>
      <c r="I454">
        <v>58718.21</v>
      </c>
    </row>
    <row r="455" spans="1:9" x14ac:dyDescent="0.25">
      <c r="A455" s="5" t="str">
        <f>TrendSheetPrdData[[#This Row],[Population]]&amp;TrendSheetPrdData[[#This Row],[Cost Basis]]&amp;TrendSheetPrdData[[#This Row],[Period]]&amp;TrendSheetPrdData[[#This Row],[Trend]]</f>
        <v>EMPLOYEEPaid2016-05-01Outpatient Imaging Cost</v>
      </c>
      <c r="B455" t="s">
        <v>90</v>
      </c>
      <c r="C455" t="s">
        <v>90</v>
      </c>
      <c r="D455" t="s">
        <v>78</v>
      </c>
      <c r="E455" s="1" t="s">
        <v>94</v>
      </c>
      <c r="F455" t="s">
        <v>93</v>
      </c>
      <c r="G455" t="s">
        <v>19</v>
      </c>
      <c r="H455">
        <v>8</v>
      </c>
      <c r="I455">
        <v>53830.95</v>
      </c>
    </row>
    <row r="456" spans="1:9" x14ac:dyDescent="0.25">
      <c r="A456" s="5" t="str">
        <f>TrendSheetPrdData[[#This Row],[Population]]&amp;TrendSheetPrdData[[#This Row],[Cost Basis]]&amp;TrendSheetPrdData[[#This Row],[Period]]&amp;TrendSheetPrdData[[#This Row],[Trend]]</f>
        <v>EMPLOYEEPaid2016-06-01Outpatient Imaging Cost</v>
      </c>
      <c r="B456" t="s">
        <v>90</v>
      </c>
      <c r="C456" t="s">
        <v>90</v>
      </c>
      <c r="D456" t="s">
        <v>78</v>
      </c>
      <c r="E456" s="1" t="s">
        <v>95</v>
      </c>
      <c r="F456" t="s">
        <v>93</v>
      </c>
      <c r="G456" t="s">
        <v>19</v>
      </c>
      <c r="H456">
        <v>8</v>
      </c>
      <c r="I456">
        <v>45684.71</v>
      </c>
    </row>
    <row r="457" spans="1:9" x14ac:dyDescent="0.25">
      <c r="A457" s="5" t="str">
        <f>TrendSheetPrdData[[#This Row],[Population]]&amp;TrendSheetPrdData[[#This Row],[Cost Basis]]&amp;TrendSheetPrdData[[#This Row],[Period]]&amp;TrendSheetPrdData[[#This Row],[Trend]]</f>
        <v>EMPLOYEEPaid2016-07-01Outpatient Imaging Cost</v>
      </c>
      <c r="B457" t="s">
        <v>90</v>
      </c>
      <c r="C457" t="s">
        <v>90</v>
      </c>
      <c r="D457" t="s">
        <v>78</v>
      </c>
      <c r="E457" s="1" t="s">
        <v>96</v>
      </c>
      <c r="F457" t="s">
        <v>93</v>
      </c>
      <c r="G457" t="s">
        <v>19</v>
      </c>
      <c r="H457">
        <v>8</v>
      </c>
      <c r="I457">
        <v>38034.33</v>
      </c>
    </row>
    <row r="458" spans="1:9" x14ac:dyDescent="0.25">
      <c r="A458" s="5" t="str">
        <f>TrendSheetPrdData[[#This Row],[Population]]&amp;TrendSheetPrdData[[#This Row],[Cost Basis]]&amp;TrendSheetPrdData[[#This Row],[Period]]&amp;TrendSheetPrdData[[#This Row],[Trend]]</f>
        <v>EMPLOYEEPaid2016-08-01Outpatient Imaging Cost</v>
      </c>
      <c r="B458" t="s">
        <v>90</v>
      </c>
      <c r="C458" t="s">
        <v>90</v>
      </c>
      <c r="D458" t="s">
        <v>78</v>
      </c>
      <c r="E458" s="1" t="s">
        <v>97</v>
      </c>
      <c r="F458" t="s">
        <v>93</v>
      </c>
      <c r="G458" t="s">
        <v>19</v>
      </c>
      <c r="H458">
        <v>8</v>
      </c>
      <c r="I458">
        <v>67280.34</v>
      </c>
    </row>
    <row r="459" spans="1:9" x14ac:dyDescent="0.25">
      <c r="A459" s="5" t="str">
        <f>TrendSheetPrdData[[#This Row],[Population]]&amp;TrendSheetPrdData[[#This Row],[Cost Basis]]&amp;TrendSheetPrdData[[#This Row],[Period]]&amp;TrendSheetPrdData[[#This Row],[Trend]]</f>
        <v>EMPLOYEEPaid2016-09-01Outpatient Imaging Cost</v>
      </c>
      <c r="B459" t="s">
        <v>90</v>
      </c>
      <c r="C459" t="s">
        <v>90</v>
      </c>
      <c r="D459" t="s">
        <v>78</v>
      </c>
      <c r="E459" s="1" t="s">
        <v>98</v>
      </c>
      <c r="F459" t="s">
        <v>93</v>
      </c>
      <c r="G459" t="s">
        <v>19</v>
      </c>
      <c r="H459">
        <v>8</v>
      </c>
      <c r="I459">
        <v>47521.87</v>
      </c>
    </row>
    <row r="460" spans="1:9" x14ac:dyDescent="0.25">
      <c r="A460" s="5" t="str">
        <f>TrendSheetPrdData[[#This Row],[Population]]&amp;TrendSheetPrdData[[#This Row],[Cost Basis]]&amp;TrendSheetPrdData[[#This Row],[Period]]&amp;TrendSheetPrdData[[#This Row],[Trend]]</f>
        <v>EMPLOYEEPaid2016-10-01Outpatient Imaging Cost</v>
      </c>
      <c r="B460" t="s">
        <v>90</v>
      </c>
      <c r="C460" t="s">
        <v>90</v>
      </c>
      <c r="D460" t="s">
        <v>78</v>
      </c>
      <c r="E460" s="1" t="s">
        <v>99</v>
      </c>
      <c r="F460" t="s">
        <v>93</v>
      </c>
      <c r="G460" t="s">
        <v>19</v>
      </c>
      <c r="H460">
        <v>8</v>
      </c>
      <c r="I460">
        <v>64634.76</v>
      </c>
    </row>
    <row r="461" spans="1:9" x14ac:dyDescent="0.25">
      <c r="A461" s="5" t="str">
        <f>TrendSheetPrdData[[#This Row],[Population]]&amp;TrendSheetPrdData[[#This Row],[Cost Basis]]&amp;TrendSheetPrdData[[#This Row],[Period]]&amp;TrendSheetPrdData[[#This Row],[Trend]]</f>
        <v>EMPLOYEEPaid2016-11-01Outpatient Imaging Cost</v>
      </c>
      <c r="B461" t="s">
        <v>90</v>
      </c>
      <c r="C461" t="s">
        <v>90</v>
      </c>
      <c r="D461" t="s">
        <v>78</v>
      </c>
      <c r="E461" s="1" t="s">
        <v>100</v>
      </c>
      <c r="F461" t="s">
        <v>93</v>
      </c>
      <c r="G461" t="s">
        <v>19</v>
      </c>
      <c r="H461">
        <v>8</v>
      </c>
      <c r="I461">
        <v>71883.070000000007</v>
      </c>
    </row>
    <row r="462" spans="1:9" x14ac:dyDescent="0.25">
      <c r="A462" s="5" t="str">
        <f>TrendSheetPrdData[[#This Row],[Population]]&amp;TrendSheetPrdData[[#This Row],[Cost Basis]]&amp;TrendSheetPrdData[[#This Row],[Period]]&amp;TrendSheetPrdData[[#This Row],[Trend]]</f>
        <v>EMPLOYEEPaid2016-12-01Outpatient Imaging Cost</v>
      </c>
      <c r="B462" t="s">
        <v>90</v>
      </c>
      <c r="C462" t="s">
        <v>90</v>
      </c>
      <c r="D462" t="s">
        <v>78</v>
      </c>
      <c r="E462" s="1" t="s">
        <v>101</v>
      </c>
      <c r="F462" t="s">
        <v>93</v>
      </c>
      <c r="G462" t="s">
        <v>19</v>
      </c>
      <c r="H462">
        <v>8</v>
      </c>
      <c r="I462">
        <v>88359.22</v>
      </c>
    </row>
    <row r="463" spans="1:9" x14ac:dyDescent="0.25">
      <c r="A463" s="5" t="str">
        <f>TrendSheetPrdData[[#This Row],[Population]]&amp;TrendSheetPrdData[[#This Row],[Cost Basis]]&amp;TrendSheetPrdData[[#This Row],[Period]]&amp;TrendSheetPrdData[[#This Row],[Trend]]</f>
        <v>EMPLOYEEPaid2017-01-01Outpatient Imaging Cost</v>
      </c>
      <c r="B463" t="s">
        <v>90</v>
      </c>
      <c r="C463" t="s">
        <v>90</v>
      </c>
      <c r="D463" t="s">
        <v>78</v>
      </c>
      <c r="E463" s="1" t="s">
        <v>102</v>
      </c>
      <c r="F463" t="s">
        <v>93</v>
      </c>
      <c r="G463" t="s">
        <v>19</v>
      </c>
      <c r="H463">
        <v>8</v>
      </c>
      <c r="I463">
        <v>35704.78</v>
      </c>
    </row>
    <row r="464" spans="1:9" x14ac:dyDescent="0.25">
      <c r="A464" s="5" t="str">
        <f>TrendSheetPrdData[[#This Row],[Population]]&amp;TrendSheetPrdData[[#This Row],[Cost Basis]]&amp;TrendSheetPrdData[[#This Row],[Period]]&amp;TrendSheetPrdData[[#This Row],[Trend]]</f>
        <v>EMPLOYEEPaid2017-02-01Outpatient Imaging Cost</v>
      </c>
      <c r="B464" t="s">
        <v>90</v>
      </c>
      <c r="C464" t="s">
        <v>90</v>
      </c>
      <c r="D464" t="s">
        <v>78</v>
      </c>
      <c r="E464" s="1" t="s">
        <v>103</v>
      </c>
      <c r="F464" t="s">
        <v>106</v>
      </c>
      <c r="G464" t="s">
        <v>19</v>
      </c>
      <c r="H464">
        <v>8</v>
      </c>
      <c r="I464">
        <v>48656</v>
      </c>
    </row>
    <row r="465" spans="1:9" x14ac:dyDescent="0.25">
      <c r="A465" s="5" t="str">
        <f>TrendSheetPrdData[[#This Row],[Population]]&amp;TrendSheetPrdData[[#This Row],[Cost Basis]]&amp;TrendSheetPrdData[[#This Row],[Period]]&amp;TrendSheetPrdData[[#This Row],[Trend]]</f>
        <v>EMPLOYEEPaid2017-03-01Outpatient Imaging Cost</v>
      </c>
      <c r="B465" t="s">
        <v>90</v>
      </c>
      <c r="C465" t="s">
        <v>90</v>
      </c>
      <c r="D465" t="s">
        <v>78</v>
      </c>
      <c r="E465" s="1" t="s">
        <v>104</v>
      </c>
      <c r="F465" t="s">
        <v>106</v>
      </c>
      <c r="G465" t="s">
        <v>19</v>
      </c>
      <c r="H465">
        <v>8</v>
      </c>
      <c r="I465">
        <v>45569.83</v>
      </c>
    </row>
    <row r="466" spans="1:9" x14ac:dyDescent="0.25">
      <c r="A466" s="5" t="str">
        <f>TrendSheetPrdData[[#This Row],[Population]]&amp;TrendSheetPrdData[[#This Row],[Cost Basis]]&amp;TrendSheetPrdData[[#This Row],[Period]]&amp;TrendSheetPrdData[[#This Row],[Trend]]</f>
        <v>EMPLOYEEPaid2017-04-01Outpatient Imaging Cost</v>
      </c>
      <c r="B466" t="s">
        <v>90</v>
      </c>
      <c r="C466" t="s">
        <v>90</v>
      </c>
      <c r="D466" t="s">
        <v>78</v>
      </c>
      <c r="E466" s="1" t="s">
        <v>105</v>
      </c>
      <c r="F466" t="s">
        <v>106</v>
      </c>
      <c r="G466" t="s">
        <v>19</v>
      </c>
      <c r="H466">
        <v>8</v>
      </c>
      <c r="I466">
        <v>13645.62</v>
      </c>
    </row>
    <row r="467" spans="1:9" x14ac:dyDescent="0.25">
      <c r="A467" s="5" t="str">
        <f>TrendSheetPrdData[[#This Row],[Population]]&amp;TrendSheetPrdData[[#This Row],[Cost Basis]]&amp;TrendSheetPrdData[[#This Row],[Period]]&amp;TrendSheetPrdData[[#This Row],[Trend]]</f>
        <v>EMPLOYEEPaid2016-02-01Hospiatl Outpatient MRIs per 1k</v>
      </c>
      <c r="B467" t="s">
        <v>90</v>
      </c>
      <c r="C467" t="s">
        <v>90</v>
      </c>
      <c r="D467" t="s">
        <v>78</v>
      </c>
      <c r="E467" s="1" t="s">
        <v>124</v>
      </c>
      <c r="F467" t="s">
        <v>93</v>
      </c>
      <c r="G467" t="s">
        <v>20</v>
      </c>
      <c r="H467">
        <v>9</v>
      </c>
      <c r="I467">
        <v>54</v>
      </c>
    </row>
    <row r="468" spans="1:9" x14ac:dyDescent="0.25">
      <c r="A468" s="5" t="str">
        <f>TrendSheetPrdData[[#This Row],[Population]]&amp;TrendSheetPrdData[[#This Row],[Cost Basis]]&amp;TrendSheetPrdData[[#This Row],[Period]]&amp;TrendSheetPrdData[[#This Row],[Trend]]</f>
        <v>EMPLOYEEPaid2016-03-01Hospiatl Outpatient MRIs per 1k</v>
      </c>
      <c r="B468" t="s">
        <v>90</v>
      </c>
      <c r="C468" t="s">
        <v>90</v>
      </c>
      <c r="D468" t="s">
        <v>78</v>
      </c>
      <c r="E468" s="1" t="s">
        <v>125</v>
      </c>
      <c r="F468" t="s">
        <v>93</v>
      </c>
      <c r="G468" t="s">
        <v>20</v>
      </c>
      <c r="H468">
        <v>9</v>
      </c>
      <c r="I468">
        <v>48</v>
      </c>
    </row>
    <row r="469" spans="1:9" x14ac:dyDescent="0.25">
      <c r="A469" s="5" t="str">
        <f>TrendSheetPrdData[[#This Row],[Population]]&amp;TrendSheetPrdData[[#This Row],[Cost Basis]]&amp;TrendSheetPrdData[[#This Row],[Period]]&amp;TrendSheetPrdData[[#This Row],[Trend]]</f>
        <v>EMPLOYEEPaid2016-04-01Hospiatl Outpatient MRIs per 1k</v>
      </c>
      <c r="B469" t="s">
        <v>90</v>
      </c>
      <c r="C469" t="s">
        <v>90</v>
      </c>
      <c r="D469" t="s">
        <v>78</v>
      </c>
      <c r="E469" s="1" t="s">
        <v>92</v>
      </c>
      <c r="F469" t="s">
        <v>93</v>
      </c>
      <c r="G469" t="s">
        <v>20</v>
      </c>
      <c r="H469">
        <v>9</v>
      </c>
      <c r="I469">
        <v>36</v>
      </c>
    </row>
    <row r="470" spans="1:9" x14ac:dyDescent="0.25">
      <c r="A470" s="5" t="str">
        <f>TrendSheetPrdData[[#This Row],[Population]]&amp;TrendSheetPrdData[[#This Row],[Cost Basis]]&amp;TrendSheetPrdData[[#This Row],[Period]]&amp;TrendSheetPrdData[[#This Row],[Trend]]</f>
        <v>EMPLOYEEPaid2016-05-01Hospiatl Outpatient MRIs per 1k</v>
      </c>
      <c r="B470" t="s">
        <v>90</v>
      </c>
      <c r="C470" t="s">
        <v>90</v>
      </c>
      <c r="D470" t="s">
        <v>78</v>
      </c>
      <c r="E470" s="1" t="s">
        <v>94</v>
      </c>
      <c r="F470" t="s">
        <v>93</v>
      </c>
      <c r="G470" t="s">
        <v>20</v>
      </c>
      <c r="H470">
        <v>9</v>
      </c>
      <c r="I470">
        <v>38</v>
      </c>
    </row>
    <row r="471" spans="1:9" x14ac:dyDescent="0.25">
      <c r="A471" s="5" t="str">
        <f>TrendSheetPrdData[[#This Row],[Population]]&amp;TrendSheetPrdData[[#This Row],[Cost Basis]]&amp;TrendSheetPrdData[[#This Row],[Period]]&amp;TrendSheetPrdData[[#This Row],[Trend]]</f>
        <v>EMPLOYEEPaid2016-06-01Hospiatl Outpatient MRIs per 1k</v>
      </c>
      <c r="B471" t="s">
        <v>90</v>
      </c>
      <c r="C471" t="s">
        <v>90</v>
      </c>
      <c r="D471" t="s">
        <v>78</v>
      </c>
      <c r="E471" s="1" t="s">
        <v>95</v>
      </c>
      <c r="F471" t="s">
        <v>93</v>
      </c>
      <c r="G471" t="s">
        <v>20</v>
      </c>
      <c r="H471">
        <v>9</v>
      </c>
      <c r="I471">
        <v>32</v>
      </c>
    </row>
    <row r="472" spans="1:9" x14ac:dyDescent="0.25">
      <c r="A472" s="5" t="str">
        <f>TrendSheetPrdData[[#This Row],[Population]]&amp;TrendSheetPrdData[[#This Row],[Cost Basis]]&amp;TrendSheetPrdData[[#This Row],[Period]]&amp;TrendSheetPrdData[[#This Row],[Trend]]</f>
        <v>EMPLOYEEPaid2016-07-01Hospiatl Outpatient MRIs per 1k</v>
      </c>
      <c r="B472" t="s">
        <v>90</v>
      </c>
      <c r="C472" t="s">
        <v>90</v>
      </c>
      <c r="D472" t="s">
        <v>78</v>
      </c>
      <c r="E472" s="1" t="s">
        <v>96</v>
      </c>
      <c r="F472" t="s">
        <v>93</v>
      </c>
      <c r="G472" t="s">
        <v>20</v>
      </c>
      <c r="H472">
        <v>9</v>
      </c>
      <c r="I472">
        <v>32</v>
      </c>
    </row>
    <row r="473" spans="1:9" x14ac:dyDescent="0.25">
      <c r="A473" s="5" t="str">
        <f>TrendSheetPrdData[[#This Row],[Population]]&amp;TrendSheetPrdData[[#This Row],[Cost Basis]]&amp;TrendSheetPrdData[[#This Row],[Period]]&amp;TrendSheetPrdData[[#This Row],[Trend]]</f>
        <v>EMPLOYEEPaid2016-08-01Hospiatl Outpatient MRIs per 1k</v>
      </c>
      <c r="B473" t="s">
        <v>90</v>
      </c>
      <c r="C473" t="s">
        <v>90</v>
      </c>
      <c r="D473" t="s">
        <v>78</v>
      </c>
      <c r="E473" s="1" t="s">
        <v>97</v>
      </c>
      <c r="F473" t="s">
        <v>93</v>
      </c>
      <c r="G473" t="s">
        <v>20</v>
      </c>
      <c r="H473">
        <v>9</v>
      </c>
      <c r="I473">
        <v>60</v>
      </c>
    </row>
    <row r="474" spans="1:9" x14ac:dyDescent="0.25">
      <c r="A474" s="5" t="str">
        <f>TrendSheetPrdData[[#This Row],[Population]]&amp;TrendSheetPrdData[[#This Row],[Cost Basis]]&amp;TrendSheetPrdData[[#This Row],[Period]]&amp;TrendSheetPrdData[[#This Row],[Trend]]</f>
        <v>EMPLOYEEPaid2016-09-01Hospiatl Outpatient MRIs per 1k</v>
      </c>
      <c r="B474" t="s">
        <v>90</v>
      </c>
      <c r="C474" t="s">
        <v>90</v>
      </c>
      <c r="D474" t="s">
        <v>78</v>
      </c>
      <c r="E474" s="1" t="s">
        <v>98</v>
      </c>
      <c r="F474" t="s">
        <v>93</v>
      </c>
      <c r="G474" t="s">
        <v>20</v>
      </c>
      <c r="H474">
        <v>9</v>
      </c>
      <c r="I474">
        <v>33</v>
      </c>
    </row>
    <row r="475" spans="1:9" x14ac:dyDescent="0.25">
      <c r="A475" s="5" t="str">
        <f>TrendSheetPrdData[[#This Row],[Population]]&amp;TrendSheetPrdData[[#This Row],[Cost Basis]]&amp;TrendSheetPrdData[[#This Row],[Period]]&amp;TrendSheetPrdData[[#This Row],[Trend]]</f>
        <v>EMPLOYEEPaid2016-10-01Hospiatl Outpatient MRIs per 1k</v>
      </c>
      <c r="B475" t="s">
        <v>90</v>
      </c>
      <c r="C475" t="s">
        <v>90</v>
      </c>
      <c r="D475" t="s">
        <v>78</v>
      </c>
      <c r="E475" s="1" t="s">
        <v>99</v>
      </c>
      <c r="F475" t="s">
        <v>93</v>
      </c>
      <c r="G475" t="s">
        <v>20</v>
      </c>
      <c r="H475">
        <v>9</v>
      </c>
      <c r="I475">
        <v>49</v>
      </c>
    </row>
    <row r="476" spans="1:9" x14ac:dyDescent="0.25">
      <c r="A476" s="5" t="str">
        <f>TrendSheetPrdData[[#This Row],[Population]]&amp;TrendSheetPrdData[[#This Row],[Cost Basis]]&amp;TrendSheetPrdData[[#This Row],[Period]]&amp;TrendSheetPrdData[[#This Row],[Trend]]</f>
        <v>EMPLOYEEPaid2016-11-01Hospiatl Outpatient MRIs per 1k</v>
      </c>
      <c r="B476" t="s">
        <v>90</v>
      </c>
      <c r="C476" t="s">
        <v>90</v>
      </c>
      <c r="D476" t="s">
        <v>78</v>
      </c>
      <c r="E476" s="1" t="s">
        <v>100</v>
      </c>
      <c r="F476" t="s">
        <v>93</v>
      </c>
      <c r="G476" t="s">
        <v>20</v>
      </c>
      <c r="H476">
        <v>9</v>
      </c>
      <c r="I476">
        <v>39</v>
      </c>
    </row>
    <row r="477" spans="1:9" x14ac:dyDescent="0.25">
      <c r="A477" s="5" t="str">
        <f>TrendSheetPrdData[[#This Row],[Population]]&amp;TrendSheetPrdData[[#This Row],[Cost Basis]]&amp;TrendSheetPrdData[[#This Row],[Period]]&amp;TrendSheetPrdData[[#This Row],[Trend]]</f>
        <v>EMPLOYEEPaid2016-12-01Hospiatl Outpatient MRIs per 1k</v>
      </c>
      <c r="B477" t="s">
        <v>90</v>
      </c>
      <c r="C477" t="s">
        <v>90</v>
      </c>
      <c r="D477" t="s">
        <v>78</v>
      </c>
      <c r="E477" s="1" t="s">
        <v>101</v>
      </c>
      <c r="F477" t="s">
        <v>93</v>
      </c>
      <c r="G477" t="s">
        <v>20</v>
      </c>
      <c r="H477">
        <v>9</v>
      </c>
      <c r="I477">
        <v>74</v>
      </c>
    </row>
    <row r="478" spans="1:9" x14ac:dyDescent="0.25">
      <c r="A478" s="5" t="str">
        <f>TrendSheetPrdData[[#This Row],[Population]]&amp;TrendSheetPrdData[[#This Row],[Cost Basis]]&amp;TrendSheetPrdData[[#This Row],[Period]]&amp;TrendSheetPrdData[[#This Row],[Trend]]</f>
        <v>EMPLOYEEPaid2017-01-01Hospiatl Outpatient MRIs per 1k</v>
      </c>
      <c r="B478" t="s">
        <v>90</v>
      </c>
      <c r="C478" t="s">
        <v>90</v>
      </c>
      <c r="D478" t="s">
        <v>78</v>
      </c>
      <c r="E478" s="1" t="s">
        <v>102</v>
      </c>
      <c r="F478" t="s">
        <v>93</v>
      </c>
      <c r="G478" t="s">
        <v>20</v>
      </c>
      <c r="H478">
        <v>9</v>
      </c>
      <c r="I478">
        <v>35</v>
      </c>
    </row>
    <row r="479" spans="1:9" x14ac:dyDescent="0.25">
      <c r="A479" s="5" t="str">
        <f>TrendSheetPrdData[[#This Row],[Population]]&amp;TrendSheetPrdData[[#This Row],[Cost Basis]]&amp;TrendSheetPrdData[[#This Row],[Period]]&amp;TrendSheetPrdData[[#This Row],[Trend]]</f>
        <v>EMPLOYEEPaid2017-02-01Hospiatl Outpatient MRIs per 1k</v>
      </c>
      <c r="B479" t="s">
        <v>90</v>
      </c>
      <c r="C479" t="s">
        <v>90</v>
      </c>
      <c r="D479" t="s">
        <v>78</v>
      </c>
      <c r="E479" s="1" t="s">
        <v>103</v>
      </c>
      <c r="F479" t="s">
        <v>106</v>
      </c>
      <c r="G479" t="s">
        <v>20</v>
      </c>
      <c r="H479">
        <v>9</v>
      </c>
      <c r="I479">
        <v>43</v>
      </c>
    </row>
    <row r="480" spans="1:9" x14ac:dyDescent="0.25">
      <c r="A480" s="5" t="str">
        <f>TrendSheetPrdData[[#This Row],[Population]]&amp;TrendSheetPrdData[[#This Row],[Cost Basis]]&amp;TrendSheetPrdData[[#This Row],[Period]]&amp;TrendSheetPrdData[[#This Row],[Trend]]</f>
        <v>EMPLOYEEPaid2017-03-01Hospiatl Outpatient MRIs per 1k</v>
      </c>
      <c r="B480" t="s">
        <v>90</v>
      </c>
      <c r="C480" t="s">
        <v>90</v>
      </c>
      <c r="D480" t="s">
        <v>78</v>
      </c>
      <c r="E480" s="1" t="s">
        <v>104</v>
      </c>
      <c r="F480" t="s">
        <v>106</v>
      </c>
      <c r="G480" t="s">
        <v>20</v>
      </c>
      <c r="H480">
        <v>9</v>
      </c>
      <c r="I480">
        <v>47</v>
      </c>
    </row>
    <row r="481" spans="1:9" x14ac:dyDescent="0.25">
      <c r="A481" s="5" t="str">
        <f>TrendSheetPrdData[[#This Row],[Population]]&amp;TrendSheetPrdData[[#This Row],[Cost Basis]]&amp;TrendSheetPrdData[[#This Row],[Period]]&amp;TrendSheetPrdData[[#This Row],[Trend]]</f>
        <v>EMPLOYEEPaid2017-04-01Hospiatl Outpatient MRIs per 1k</v>
      </c>
      <c r="B481" t="s">
        <v>90</v>
      </c>
      <c r="C481" t="s">
        <v>90</v>
      </c>
      <c r="D481" t="s">
        <v>78</v>
      </c>
      <c r="E481" s="1" t="s">
        <v>105</v>
      </c>
      <c r="F481" t="s">
        <v>106</v>
      </c>
      <c r="G481" t="s">
        <v>20</v>
      </c>
      <c r="H481">
        <v>9</v>
      </c>
      <c r="I481">
        <v>10</v>
      </c>
    </row>
    <row r="482" spans="1:9" x14ac:dyDescent="0.25">
      <c r="A482" s="5" t="str">
        <f>TrendSheetPrdData[[#This Row],[Population]]&amp;TrendSheetPrdData[[#This Row],[Cost Basis]]&amp;TrendSheetPrdData[[#This Row],[Period]]&amp;TrendSheetPrdData[[#This Row],[Trend]]</f>
        <v>EMPLOYEEPaid2016-02-01Hospiatl Outpatient CTs per 1k</v>
      </c>
      <c r="B482" t="s">
        <v>90</v>
      </c>
      <c r="C482" t="s">
        <v>90</v>
      </c>
      <c r="D482" t="s">
        <v>78</v>
      </c>
      <c r="E482" s="1" t="s">
        <v>124</v>
      </c>
      <c r="F482" t="s">
        <v>93</v>
      </c>
      <c r="G482" t="s">
        <v>21</v>
      </c>
      <c r="H482">
        <v>10</v>
      </c>
      <c r="I482">
        <v>47</v>
      </c>
    </row>
    <row r="483" spans="1:9" x14ac:dyDescent="0.25">
      <c r="A483" s="5" t="str">
        <f>TrendSheetPrdData[[#This Row],[Population]]&amp;TrendSheetPrdData[[#This Row],[Cost Basis]]&amp;TrendSheetPrdData[[#This Row],[Period]]&amp;TrendSheetPrdData[[#This Row],[Trend]]</f>
        <v>EMPLOYEEPaid2016-03-01Hospiatl Outpatient CTs per 1k</v>
      </c>
      <c r="B483" t="s">
        <v>90</v>
      </c>
      <c r="C483" t="s">
        <v>90</v>
      </c>
      <c r="D483" t="s">
        <v>78</v>
      </c>
      <c r="E483" s="1" t="s">
        <v>125</v>
      </c>
      <c r="F483" t="s">
        <v>93</v>
      </c>
      <c r="G483" t="s">
        <v>21</v>
      </c>
      <c r="H483">
        <v>10</v>
      </c>
      <c r="I483">
        <v>56</v>
      </c>
    </row>
    <row r="484" spans="1:9" x14ac:dyDescent="0.25">
      <c r="A484" s="5" t="str">
        <f>TrendSheetPrdData[[#This Row],[Population]]&amp;TrendSheetPrdData[[#This Row],[Cost Basis]]&amp;TrendSheetPrdData[[#This Row],[Period]]&amp;TrendSheetPrdData[[#This Row],[Trend]]</f>
        <v>EMPLOYEEPaid2016-04-01Hospiatl Outpatient CTs per 1k</v>
      </c>
      <c r="B484" t="s">
        <v>90</v>
      </c>
      <c r="C484" t="s">
        <v>90</v>
      </c>
      <c r="D484" t="s">
        <v>78</v>
      </c>
      <c r="E484" s="1" t="s">
        <v>92</v>
      </c>
      <c r="F484" t="s">
        <v>93</v>
      </c>
      <c r="G484" t="s">
        <v>21</v>
      </c>
      <c r="H484">
        <v>10</v>
      </c>
      <c r="I484">
        <v>71</v>
      </c>
    </row>
    <row r="485" spans="1:9" x14ac:dyDescent="0.25">
      <c r="A485" s="5" t="str">
        <f>TrendSheetPrdData[[#This Row],[Population]]&amp;TrendSheetPrdData[[#This Row],[Cost Basis]]&amp;TrendSheetPrdData[[#This Row],[Period]]&amp;TrendSheetPrdData[[#This Row],[Trend]]</f>
        <v>EMPLOYEEPaid2016-05-01Hospiatl Outpatient CTs per 1k</v>
      </c>
      <c r="B485" t="s">
        <v>90</v>
      </c>
      <c r="C485" t="s">
        <v>90</v>
      </c>
      <c r="D485" t="s">
        <v>78</v>
      </c>
      <c r="E485" s="1" t="s">
        <v>94</v>
      </c>
      <c r="F485" t="s">
        <v>93</v>
      </c>
      <c r="G485" t="s">
        <v>21</v>
      </c>
      <c r="H485">
        <v>10</v>
      </c>
      <c r="I485">
        <v>52</v>
      </c>
    </row>
    <row r="486" spans="1:9" x14ac:dyDescent="0.25">
      <c r="A486" s="5" t="str">
        <f>TrendSheetPrdData[[#This Row],[Population]]&amp;TrendSheetPrdData[[#This Row],[Cost Basis]]&amp;TrendSheetPrdData[[#This Row],[Period]]&amp;TrendSheetPrdData[[#This Row],[Trend]]</f>
        <v>EMPLOYEEPaid2016-06-01Hospiatl Outpatient CTs per 1k</v>
      </c>
      <c r="B486" t="s">
        <v>90</v>
      </c>
      <c r="C486" t="s">
        <v>90</v>
      </c>
      <c r="D486" t="s">
        <v>78</v>
      </c>
      <c r="E486" s="1" t="s">
        <v>95</v>
      </c>
      <c r="F486" t="s">
        <v>93</v>
      </c>
      <c r="G486" t="s">
        <v>21</v>
      </c>
      <c r="H486">
        <v>10</v>
      </c>
      <c r="I486">
        <v>39</v>
      </c>
    </row>
    <row r="487" spans="1:9" x14ac:dyDescent="0.25">
      <c r="A487" s="5" t="str">
        <f>TrendSheetPrdData[[#This Row],[Population]]&amp;TrendSheetPrdData[[#This Row],[Cost Basis]]&amp;TrendSheetPrdData[[#This Row],[Period]]&amp;TrendSheetPrdData[[#This Row],[Trend]]</f>
        <v>EMPLOYEEPaid2016-07-01Hospiatl Outpatient CTs per 1k</v>
      </c>
      <c r="B487" t="s">
        <v>90</v>
      </c>
      <c r="C487" t="s">
        <v>90</v>
      </c>
      <c r="D487" t="s">
        <v>78</v>
      </c>
      <c r="E487" s="1" t="s">
        <v>96</v>
      </c>
      <c r="F487" t="s">
        <v>93</v>
      </c>
      <c r="G487" t="s">
        <v>21</v>
      </c>
      <c r="H487">
        <v>10</v>
      </c>
      <c r="I487">
        <v>34</v>
      </c>
    </row>
    <row r="488" spans="1:9" x14ac:dyDescent="0.25">
      <c r="A488" s="5" t="str">
        <f>TrendSheetPrdData[[#This Row],[Population]]&amp;TrendSheetPrdData[[#This Row],[Cost Basis]]&amp;TrendSheetPrdData[[#This Row],[Period]]&amp;TrendSheetPrdData[[#This Row],[Trend]]</f>
        <v>EMPLOYEEPaid2016-08-01Hospiatl Outpatient CTs per 1k</v>
      </c>
      <c r="B488" t="s">
        <v>90</v>
      </c>
      <c r="C488" t="s">
        <v>90</v>
      </c>
      <c r="D488" t="s">
        <v>78</v>
      </c>
      <c r="E488" s="1" t="s">
        <v>97</v>
      </c>
      <c r="F488" t="s">
        <v>93</v>
      </c>
      <c r="G488" t="s">
        <v>21</v>
      </c>
      <c r="H488">
        <v>10</v>
      </c>
      <c r="I488">
        <v>34</v>
      </c>
    </row>
    <row r="489" spans="1:9" x14ac:dyDescent="0.25">
      <c r="A489" s="5" t="str">
        <f>TrendSheetPrdData[[#This Row],[Population]]&amp;TrendSheetPrdData[[#This Row],[Cost Basis]]&amp;TrendSheetPrdData[[#This Row],[Period]]&amp;TrendSheetPrdData[[#This Row],[Trend]]</f>
        <v>EMPLOYEEPaid2016-09-01Hospiatl Outpatient CTs per 1k</v>
      </c>
      <c r="B489" t="s">
        <v>90</v>
      </c>
      <c r="C489" t="s">
        <v>90</v>
      </c>
      <c r="D489" t="s">
        <v>78</v>
      </c>
      <c r="E489" s="1" t="s">
        <v>98</v>
      </c>
      <c r="F489" t="s">
        <v>93</v>
      </c>
      <c r="G489" t="s">
        <v>21</v>
      </c>
      <c r="H489">
        <v>10</v>
      </c>
      <c r="I489">
        <v>35</v>
      </c>
    </row>
    <row r="490" spans="1:9" x14ac:dyDescent="0.25">
      <c r="A490" s="5" t="str">
        <f>TrendSheetPrdData[[#This Row],[Population]]&amp;TrendSheetPrdData[[#This Row],[Cost Basis]]&amp;TrendSheetPrdData[[#This Row],[Period]]&amp;TrendSheetPrdData[[#This Row],[Trend]]</f>
        <v>EMPLOYEEPaid2016-10-01Hospiatl Outpatient CTs per 1k</v>
      </c>
      <c r="B490" t="s">
        <v>90</v>
      </c>
      <c r="C490" t="s">
        <v>90</v>
      </c>
      <c r="D490" t="s">
        <v>78</v>
      </c>
      <c r="E490" s="1" t="s">
        <v>99</v>
      </c>
      <c r="F490" t="s">
        <v>93</v>
      </c>
      <c r="G490" t="s">
        <v>21</v>
      </c>
      <c r="H490">
        <v>10</v>
      </c>
      <c r="I490">
        <v>33</v>
      </c>
    </row>
    <row r="491" spans="1:9" x14ac:dyDescent="0.25">
      <c r="A491" s="5" t="str">
        <f>TrendSheetPrdData[[#This Row],[Population]]&amp;TrendSheetPrdData[[#This Row],[Cost Basis]]&amp;TrendSheetPrdData[[#This Row],[Period]]&amp;TrendSheetPrdData[[#This Row],[Trend]]</f>
        <v>EMPLOYEEPaid2016-11-01Hospiatl Outpatient CTs per 1k</v>
      </c>
      <c r="B491" t="s">
        <v>90</v>
      </c>
      <c r="C491" t="s">
        <v>90</v>
      </c>
      <c r="D491" t="s">
        <v>78</v>
      </c>
      <c r="E491" s="1" t="s">
        <v>100</v>
      </c>
      <c r="F491" t="s">
        <v>93</v>
      </c>
      <c r="G491" t="s">
        <v>21</v>
      </c>
      <c r="H491">
        <v>10</v>
      </c>
      <c r="I491">
        <v>45</v>
      </c>
    </row>
    <row r="492" spans="1:9" x14ac:dyDescent="0.25">
      <c r="A492" s="5" t="str">
        <f>TrendSheetPrdData[[#This Row],[Population]]&amp;TrendSheetPrdData[[#This Row],[Cost Basis]]&amp;TrendSheetPrdData[[#This Row],[Period]]&amp;TrendSheetPrdData[[#This Row],[Trend]]</f>
        <v>EMPLOYEEPaid2016-12-01Hospiatl Outpatient CTs per 1k</v>
      </c>
      <c r="B492" t="s">
        <v>90</v>
      </c>
      <c r="C492" t="s">
        <v>90</v>
      </c>
      <c r="D492" t="s">
        <v>78</v>
      </c>
      <c r="E492" s="1" t="s">
        <v>101</v>
      </c>
      <c r="F492" t="s">
        <v>93</v>
      </c>
      <c r="G492" t="s">
        <v>21</v>
      </c>
      <c r="H492">
        <v>10</v>
      </c>
      <c r="I492">
        <v>38</v>
      </c>
    </row>
    <row r="493" spans="1:9" x14ac:dyDescent="0.25">
      <c r="A493" s="5" t="str">
        <f>TrendSheetPrdData[[#This Row],[Population]]&amp;TrendSheetPrdData[[#This Row],[Cost Basis]]&amp;TrendSheetPrdData[[#This Row],[Period]]&amp;TrendSheetPrdData[[#This Row],[Trend]]</f>
        <v>EMPLOYEEPaid2017-01-01Hospiatl Outpatient CTs per 1k</v>
      </c>
      <c r="B493" t="s">
        <v>90</v>
      </c>
      <c r="C493" t="s">
        <v>90</v>
      </c>
      <c r="D493" t="s">
        <v>78</v>
      </c>
      <c r="E493" s="1" t="s">
        <v>102</v>
      </c>
      <c r="F493" t="s">
        <v>93</v>
      </c>
      <c r="G493" t="s">
        <v>21</v>
      </c>
      <c r="H493">
        <v>10</v>
      </c>
      <c r="I493">
        <v>40</v>
      </c>
    </row>
    <row r="494" spans="1:9" x14ac:dyDescent="0.25">
      <c r="A494" s="5" t="str">
        <f>TrendSheetPrdData[[#This Row],[Population]]&amp;TrendSheetPrdData[[#This Row],[Cost Basis]]&amp;TrendSheetPrdData[[#This Row],[Period]]&amp;TrendSheetPrdData[[#This Row],[Trend]]</f>
        <v>EMPLOYEEPaid2017-02-01Hospiatl Outpatient CTs per 1k</v>
      </c>
      <c r="B494" t="s">
        <v>90</v>
      </c>
      <c r="C494" t="s">
        <v>90</v>
      </c>
      <c r="D494" t="s">
        <v>78</v>
      </c>
      <c r="E494" s="1" t="s">
        <v>103</v>
      </c>
      <c r="F494" t="s">
        <v>106</v>
      </c>
      <c r="G494" t="s">
        <v>21</v>
      </c>
      <c r="H494">
        <v>10</v>
      </c>
      <c r="I494">
        <v>38</v>
      </c>
    </row>
    <row r="495" spans="1:9" x14ac:dyDescent="0.25">
      <c r="A495" s="5" t="str">
        <f>TrendSheetPrdData[[#This Row],[Population]]&amp;TrendSheetPrdData[[#This Row],[Cost Basis]]&amp;TrendSheetPrdData[[#This Row],[Period]]&amp;TrendSheetPrdData[[#This Row],[Trend]]</f>
        <v>EMPLOYEEPaid2017-03-01Hospiatl Outpatient CTs per 1k</v>
      </c>
      <c r="B495" t="s">
        <v>90</v>
      </c>
      <c r="C495" t="s">
        <v>90</v>
      </c>
      <c r="D495" t="s">
        <v>78</v>
      </c>
      <c r="E495" s="1" t="s">
        <v>104</v>
      </c>
      <c r="F495" t="s">
        <v>106</v>
      </c>
      <c r="G495" t="s">
        <v>21</v>
      </c>
      <c r="H495">
        <v>10</v>
      </c>
      <c r="I495">
        <v>37</v>
      </c>
    </row>
    <row r="496" spans="1:9" x14ac:dyDescent="0.25">
      <c r="A496" s="5" t="str">
        <f>TrendSheetPrdData[[#This Row],[Population]]&amp;TrendSheetPrdData[[#This Row],[Cost Basis]]&amp;TrendSheetPrdData[[#This Row],[Period]]&amp;TrendSheetPrdData[[#This Row],[Trend]]</f>
        <v>EMPLOYEEPaid2017-04-01Hospiatl Outpatient CTs per 1k</v>
      </c>
      <c r="B496" t="s">
        <v>90</v>
      </c>
      <c r="C496" t="s">
        <v>90</v>
      </c>
      <c r="D496" t="s">
        <v>78</v>
      </c>
      <c r="E496" s="1" t="s">
        <v>105</v>
      </c>
      <c r="F496" t="s">
        <v>106</v>
      </c>
      <c r="G496" t="s">
        <v>21</v>
      </c>
      <c r="H496">
        <v>10</v>
      </c>
      <c r="I496">
        <v>14</v>
      </c>
    </row>
    <row r="497" spans="1:9" x14ac:dyDescent="0.25">
      <c r="A497" s="5" t="str">
        <f>TrendSheetPrdData[[#This Row],[Population]]&amp;TrendSheetPrdData[[#This Row],[Cost Basis]]&amp;TrendSheetPrdData[[#This Row],[Period]]&amp;TrendSheetPrdData[[#This Row],[Trend]]</f>
        <v>EMPLOYEEPaid2016-02-01Office Based MRIs per 1k</v>
      </c>
      <c r="B497" t="s">
        <v>90</v>
      </c>
      <c r="C497" t="s">
        <v>90</v>
      </c>
      <c r="D497" t="s">
        <v>78</v>
      </c>
      <c r="E497" s="1" t="s">
        <v>124</v>
      </c>
      <c r="F497" t="s">
        <v>93</v>
      </c>
      <c r="G497" t="s">
        <v>22</v>
      </c>
      <c r="H497">
        <v>11</v>
      </c>
      <c r="I497">
        <v>4</v>
      </c>
    </row>
    <row r="498" spans="1:9" x14ac:dyDescent="0.25">
      <c r="A498" s="5" t="str">
        <f>TrendSheetPrdData[[#This Row],[Population]]&amp;TrendSheetPrdData[[#This Row],[Cost Basis]]&amp;TrendSheetPrdData[[#This Row],[Period]]&amp;TrendSheetPrdData[[#This Row],[Trend]]</f>
        <v>EMPLOYEEPaid2016-03-01Office Based MRIs per 1k</v>
      </c>
      <c r="B498" t="s">
        <v>90</v>
      </c>
      <c r="C498" t="s">
        <v>90</v>
      </c>
      <c r="D498" t="s">
        <v>78</v>
      </c>
      <c r="E498" s="1" t="s">
        <v>125</v>
      </c>
      <c r="F498" t="s">
        <v>93</v>
      </c>
      <c r="G498" t="s">
        <v>22</v>
      </c>
      <c r="H498">
        <v>11</v>
      </c>
      <c r="I498">
        <v>5</v>
      </c>
    </row>
    <row r="499" spans="1:9" x14ac:dyDescent="0.25">
      <c r="A499" s="5" t="str">
        <f>TrendSheetPrdData[[#This Row],[Population]]&amp;TrendSheetPrdData[[#This Row],[Cost Basis]]&amp;TrendSheetPrdData[[#This Row],[Period]]&amp;TrendSheetPrdData[[#This Row],[Trend]]</f>
        <v>EMPLOYEEPaid2016-04-01Office Based MRIs per 1k</v>
      </c>
      <c r="B499" t="s">
        <v>90</v>
      </c>
      <c r="C499" t="s">
        <v>90</v>
      </c>
      <c r="D499" t="s">
        <v>78</v>
      </c>
      <c r="E499" s="1" t="s">
        <v>92</v>
      </c>
      <c r="F499" t="s">
        <v>93</v>
      </c>
      <c r="G499" t="s">
        <v>22</v>
      </c>
      <c r="H499">
        <v>11</v>
      </c>
      <c r="I499">
        <v>4</v>
      </c>
    </row>
    <row r="500" spans="1:9" x14ac:dyDescent="0.25">
      <c r="A500" s="5" t="str">
        <f>TrendSheetPrdData[[#This Row],[Population]]&amp;TrendSheetPrdData[[#This Row],[Cost Basis]]&amp;TrendSheetPrdData[[#This Row],[Period]]&amp;TrendSheetPrdData[[#This Row],[Trend]]</f>
        <v>EMPLOYEEPaid2016-05-01Office Based MRIs per 1k</v>
      </c>
      <c r="B500" t="s">
        <v>90</v>
      </c>
      <c r="C500" t="s">
        <v>90</v>
      </c>
      <c r="D500" t="s">
        <v>78</v>
      </c>
      <c r="E500" s="1" t="s">
        <v>94</v>
      </c>
      <c r="F500" t="s">
        <v>93</v>
      </c>
      <c r="G500" t="s">
        <v>22</v>
      </c>
      <c r="H500">
        <v>11</v>
      </c>
      <c r="I500">
        <v>1</v>
      </c>
    </row>
    <row r="501" spans="1:9" x14ac:dyDescent="0.25">
      <c r="A501" s="5" t="str">
        <f>TrendSheetPrdData[[#This Row],[Population]]&amp;TrendSheetPrdData[[#This Row],[Cost Basis]]&amp;TrendSheetPrdData[[#This Row],[Period]]&amp;TrendSheetPrdData[[#This Row],[Trend]]</f>
        <v>EMPLOYEEPaid2016-06-01Office Based MRIs per 1k</v>
      </c>
      <c r="B501" t="s">
        <v>90</v>
      </c>
      <c r="C501" t="s">
        <v>90</v>
      </c>
      <c r="D501" t="s">
        <v>78</v>
      </c>
      <c r="E501" s="1" t="s">
        <v>95</v>
      </c>
      <c r="F501" t="s">
        <v>93</v>
      </c>
      <c r="G501" t="s">
        <v>22</v>
      </c>
      <c r="H501">
        <v>11</v>
      </c>
      <c r="I501">
        <v>0</v>
      </c>
    </row>
    <row r="502" spans="1:9" x14ac:dyDescent="0.25">
      <c r="A502" s="5" t="str">
        <f>TrendSheetPrdData[[#This Row],[Population]]&amp;TrendSheetPrdData[[#This Row],[Cost Basis]]&amp;TrendSheetPrdData[[#This Row],[Period]]&amp;TrendSheetPrdData[[#This Row],[Trend]]</f>
        <v>EMPLOYEEPaid2016-07-01Office Based MRIs per 1k</v>
      </c>
      <c r="B502" t="s">
        <v>90</v>
      </c>
      <c r="C502" t="s">
        <v>90</v>
      </c>
      <c r="D502" t="s">
        <v>78</v>
      </c>
      <c r="E502" s="1" t="s">
        <v>96</v>
      </c>
      <c r="F502" t="s">
        <v>93</v>
      </c>
      <c r="G502" t="s">
        <v>22</v>
      </c>
      <c r="H502">
        <v>11</v>
      </c>
      <c r="I502">
        <v>0</v>
      </c>
    </row>
    <row r="503" spans="1:9" x14ac:dyDescent="0.25">
      <c r="A503" s="5" t="str">
        <f>TrendSheetPrdData[[#This Row],[Population]]&amp;TrendSheetPrdData[[#This Row],[Cost Basis]]&amp;TrendSheetPrdData[[#This Row],[Period]]&amp;TrendSheetPrdData[[#This Row],[Trend]]</f>
        <v>EMPLOYEEPaid2016-08-01Office Based MRIs per 1k</v>
      </c>
      <c r="B503" t="s">
        <v>90</v>
      </c>
      <c r="C503" t="s">
        <v>90</v>
      </c>
      <c r="D503" t="s">
        <v>78</v>
      </c>
      <c r="E503" s="1" t="s">
        <v>97</v>
      </c>
      <c r="F503" t="s">
        <v>93</v>
      </c>
      <c r="G503" t="s">
        <v>22</v>
      </c>
      <c r="H503">
        <v>11</v>
      </c>
      <c r="I503">
        <v>4</v>
      </c>
    </row>
    <row r="504" spans="1:9" x14ac:dyDescent="0.25">
      <c r="A504" s="5" t="str">
        <f>TrendSheetPrdData[[#This Row],[Population]]&amp;TrendSheetPrdData[[#This Row],[Cost Basis]]&amp;TrendSheetPrdData[[#This Row],[Period]]&amp;TrendSheetPrdData[[#This Row],[Trend]]</f>
        <v>EMPLOYEEPaid2016-09-01Office Based MRIs per 1k</v>
      </c>
      <c r="B504" t="s">
        <v>90</v>
      </c>
      <c r="C504" t="s">
        <v>90</v>
      </c>
      <c r="D504" t="s">
        <v>78</v>
      </c>
      <c r="E504" s="1" t="s">
        <v>98</v>
      </c>
      <c r="F504" t="s">
        <v>93</v>
      </c>
      <c r="G504" t="s">
        <v>22</v>
      </c>
      <c r="H504">
        <v>11</v>
      </c>
      <c r="I504">
        <v>3</v>
      </c>
    </row>
    <row r="505" spans="1:9" x14ac:dyDescent="0.25">
      <c r="A505" s="5" t="str">
        <f>TrendSheetPrdData[[#This Row],[Population]]&amp;TrendSheetPrdData[[#This Row],[Cost Basis]]&amp;TrendSheetPrdData[[#This Row],[Period]]&amp;TrendSheetPrdData[[#This Row],[Trend]]</f>
        <v>EMPLOYEEPaid2016-10-01Office Based MRIs per 1k</v>
      </c>
      <c r="B505" t="s">
        <v>90</v>
      </c>
      <c r="C505" t="s">
        <v>90</v>
      </c>
      <c r="D505" t="s">
        <v>78</v>
      </c>
      <c r="E505" s="1" t="s">
        <v>99</v>
      </c>
      <c r="F505" t="s">
        <v>93</v>
      </c>
      <c r="G505" t="s">
        <v>22</v>
      </c>
      <c r="H505">
        <v>11</v>
      </c>
      <c r="I505">
        <v>1</v>
      </c>
    </row>
    <row r="506" spans="1:9" x14ac:dyDescent="0.25">
      <c r="A506" s="5" t="str">
        <f>TrendSheetPrdData[[#This Row],[Population]]&amp;TrendSheetPrdData[[#This Row],[Cost Basis]]&amp;TrendSheetPrdData[[#This Row],[Period]]&amp;TrendSheetPrdData[[#This Row],[Trend]]</f>
        <v>EMPLOYEEPaid2016-11-01Office Based MRIs per 1k</v>
      </c>
      <c r="B506" t="s">
        <v>90</v>
      </c>
      <c r="C506" t="s">
        <v>90</v>
      </c>
      <c r="D506" t="s">
        <v>78</v>
      </c>
      <c r="E506" s="1" t="s">
        <v>100</v>
      </c>
      <c r="F506" t="s">
        <v>93</v>
      </c>
      <c r="G506" t="s">
        <v>22</v>
      </c>
      <c r="H506">
        <v>11</v>
      </c>
      <c r="I506">
        <v>3</v>
      </c>
    </row>
    <row r="507" spans="1:9" x14ac:dyDescent="0.25">
      <c r="A507" s="5" t="str">
        <f>TrendSheetPrdData[[#This Row],[Population]]&amp;TrendSheetPrdData[[#This Row],[Cost Basis]]&amp;TrendSheetPrdData[[#This Row],[Period]]&amp;TrendSheetPrdData[[#This Row],[Trend]]</f>
        <v>EMPLOYEEPaid2016-12-01Office Based MRIs per 1k</v>
      </c>
      <c r="B507" t="s">
        <v>90</v>
      </c>
      <c r="C507" t="s">
        <v>90</v>
      </c>
      <c r="D507" t="s">
        <v>78</v>
      </c>
      <c r="E507" s="1" t="s">
        <v>101</v>
      </c>
      <c r="F507" t="s">
        <v>93</v>
      </c>
      <c r="G507" t="s">
        <v>22</v>
      </c>
      <c r="H507">
        <v>11</v>
      </c>
      <c r="I507">
        <v>1</v>
      </c>
    </row>
    <row r="508" spans="1:9" x14ac:dyDescent="0.25">
      <c r="A508" s="5" t="str">
        <f>TrendSheetPrdData[[#This Row],[Population]]&amp;TrendSheetPrdData[[#This Row],[Cost Basis]]&amp;TrendSheetPrdData[[#This Row],[Period]]&amp;TrendSheetPrdData[[#This Row],[Trend]]</f>
        <v>EMPLOYEEPaid2017-01-01Office Based MRIs per 1k</v>
      </c>
      <c r="B508" t="s">
        <v>90</v>
      </c>
      <c r="C508" t="s">
        <v>90</v>
      </c>
      <c r="D508" t="s">
        <v>78</v>
      </c>
      <c r="E508" s="1" t="s">
        <v>102</v>
      </c>
      <c r="F508" t="s">
        <v>93</v>
      </c>
      <c r="G508" t="s">
        <v>22</v>
      </c>
      <c r="H508">
        <v>11</v>
      </c>
      <c r="I508">
        <v>3</v>
      </c>
    </row>
    <row r="509" spans="1:9" x14ac:dyDescent="0.25">
      <c r="A509" s="5" t="str">
        <f>TrendSheetPrdData[[#This Row],[Population]]&amp;TrendSheetPrdData[[#This Row],[Cost Basis]]&amp;TrendSheetPrdData[[#This Row],[Period]]&amp;TrendSheetPrdData[[#This Row],[Trend]]</f>
        <v>EMPLOYEEPaid2017-02-01Office Based MRIs per 1k</v>
      </c>
      <c r="B509" t="s">
        <v>90</v>
      </c>
      <c r="C509" t="s">
        <v>90</v>
      </c>
      <c r="D509" t="s">
        <v>78</v>
      </c>
      <c r="E509" s="1" t="s">
        <v>103</v>
      </c>
      <c r="F509" t="s">
        <v>106</v>
      </c>
      <c r="G509" t="s">
        <v>22</v>
      </c>
      <c r="H509">
        <v>11</v>
      </c>
      <c r="I509">
        <v>4</v>
      </c>
    </row>
    <row r="510" spans="1:9" x14ac:dyDescent="0.25">
      <c r="A510" s="5" t="str">
        <f>TrendSheetPrdData[[#This Row],[Population]]&amp;TrendSheetPrdData[[#This Row],[Cost Basis]]&amp;TrendSheetPrdData[[#This Row],[Period]]&amp;TrendSheetPrdData[[#This Row],[Trend]]</f>
        <v>EMPLOYEEPaid2017-03-01Office Based MRIs per 1k</v>
      </c>
      <c r="B510" t="s">
        <v>90</v>
      </c>
      <c r="C510" t="s">
        <v>90</v>
      </c>
      <c r="D510" t="s">
        <v>78</v>
      </c>
      <c r="E510" s="1" t="s">
        <v>104</v>
      </c>
      <c r="F510" t="s">
        <v>106</v>
      </c>
      <c r="G510" t="s">
        <v>22</v>
      </c>
      <c r="H510">
        <v>11</v>
      </c>
      <c r="I510">
        <v>1</v>
      </c>
    </row>
    <row r="511" spans="1:9" x14ac:dyDescent="0.25">
      <c r="A511" s="5" t="str">
        <f>TrendSheetPrdData[[#This Row],[Population]]&amp;TrendSheetPrdData[[#This Row],[Cost Basis]]&amp;TrendSheetPrdData[[#This Row],[Period]]&amp;TrendSheetPrdData[[#This Row],[Trend]]</f>
        <v>EMPLOYEEPaid2017-04-01Office Based MRIs per 1k</v>
      </c>
      <c r="B511" t="s">
        <v>90</v>
      </c>
      <c r="C511" t="s">
        <v>90</v>
      </c>
      <c r="D511" t="s">
        <v>78</v>
      </c>
      <c r="E511" s="1" t="s">
        <v>105</v>
      </c>
      <c r="F511" t="s">
        <v>106</v>
      </c>
      <c r="G511" t="s">
        <v>22</v>
      </c>
      <c r="H511">
        <v>11</v>
      </c>
      <c r="I511">
        <v>2</v>
      </c>
    </row>
    <row r="512" spans="1:9" x14ac:dyDescent="0.25">
      <c r="A512" s="5" t="str">
        <f>TrendSheetPrdData[[#This Row],[Population]]&amp;TrendSheetPrdData[[#This Row],[Cost Basis]]&amp;TrendSheetPrdData[[#This Row],[Period]]&amp;TrendSheetPrdData[[#This Row],[Trend]]</f>
        <v>EMPLOYEEPaid2016-02-01Office Based CTs per 1k</v>
      </c>
      <c r="B512" t="s">
        <v>90</v>
      </c>
      <c r="C512" t="s">
        <v>90</v>
      </c>
      <c r="D512" t="s">
        <v>78</v>
      </c>
      <c r="E512" s="1" t="s">
        <v>124</v>
      </c>
      <c r="F512" t="s">
        <v>93</v>
      </c>
      <c r="G512" t="s">
        <v>23</v>
      </c>
      <c r="H512">
        <v>12</v>
      </c>
      <c r="I512">
        <v>16</v>
      </c>
    </row>
    <row r="513" spans="1:9" x14ac:dyDescent="0.25">
      <c r="A513" s="5" t="str">
        <f>TrendSheetPrdData[[#This Row],[Population]]&amp;TrendSheetPrdData[[#This Row],[Cost Basis]]&amp;TrendSheetPrdData[[#This Row],[Period]]&amp;TrendSheetPrdData[[#This Row],[Trend]]</f>
        <v>EMPLOYEEPaid2016-03-01Office Based CTs per 1k</v>
      </c>
      <c r="B513" t="s">
        <v>90</v>
      </c>
      <c r="C513" t="s">
        <v>90</v>
      </c>
      <c r="D513" t="s">
        <v>78</v>
      </c>
      <c r="E513" s="1" t="s">
        <v>125</v>
      </c>
      <c r="F513" t="s">
        <v>93</v>
      </c>
      <c r="G513" t="s">
        <v>23</v>
      </c>
      <c r="H513">
        <v>12</v>
      </c>
      <c r="I513">
        <v>11</v>
      </c>
    </row>
    <row r="514" spans="1:9" x14ac:dyDescent="0.25">
      <c r="A514" s="5" t="str">
        <f>TrendSheetPrdData[[#This Row],[Population]]&amp;TrendSheetPrdData[[#This Row],[Cost Basis]]&amp;TrendSheetPrdData[[#This Row],[Period]]&amp;TrendSheetPrdData[[#This Row],[Trend]]</f>
        <v>EMPLOYEEPaid2016-04-01Office Based CTs per 1k</v>
      </c>
      <c r="B514" t="s">
        <v>90</v>
      </c>
      <c r="C514" t="s">
        <v>90</v>
      </c>
      <c r="D514" t="s">
        <v>78</v>
      </c>
      <c r="E514" s="1" t="s">
        <v>92</v>
      </c>
      <c r="F514" t="s">
        <v>93</v>
      </c>
      <c r="G514" t="s">
        <v>23</v>
      </c>
      <c r="H514">
        <v>12</v>
      </c>
      <c r="I514">
        <v>8</v>
      </c>
    </row>
    <row r="515" spans="1:9" x14ac:dyDescent="0.25">
      <c r="A515" s="5" t="str">
        <f>TrendSheetPrdData[[#This Row],[Population]]&amp;TrendSheetPrdData[[#This Row],[Cost Basis]]&amp;TrendSheetPrdData[[#This Row],[Period]]&amp;TrendSheetPrdData[[#This Row],[Trend]]</f>
        <v>EMPLOYEEPaid2016-05-01Office Based CTs per 1k</v>
      </c>
      <c r="B515" t="s">
        <v>90</v>
      </c>
      <c r="C515" t="s">
        <v>90</v>
      </c>
      <c r="D515" t="s">
        <v>78</v>
      </c>
      <c r="E515" s="1" t="s">
        <v>94</v>
      </c>
      <c r="F515" t="s">
        <v>93</v>
      </c>
      <c r="G515" t="s">
        <v>23</v>
      </c>
      <c r="H515">
        <v>12</v>
      </c>
      <c r="I515">
        <v>5</v>
      </c>
    </row>
    <row r="516" spans="1:9" x14ac:dyDescent="0.25">
      <c r="A516" s="5" t="str">
        <f>TrendSheetPrdData[[#This Row],[Population]]&amp;TrendSheetPrdData[[#This Row],[Cost Basis]]&amp;TrendSheetPrdData[[#This Row],[Period]]&amp;TrendSheetPrdData[[#This Row],[Trend]]</f>
        <v>EMPLOYEEPaid2016-06-01Office Based CTs per 1k</v>
      </c>
      <c r="B516" t="s">
        <v>90</v>
      </c>
      <c r="C516" t="s">
        <v>90</v>
      </c>
      <c r="D516" t="s">
        <v>78</v>
      </c>
      <c r="E516" s="1" t="s">
        <v>95</v>
      </c>
      <c r="F516" t="s">
        <v>93</v>
      </c>
      <c r="G516" t="s">
        <v>23</v>
      </c>
      <c r="H516">
        <v>12</v>
      </c>
      <c r="I516">
        <v>8</v>
      </c>
    </row>
    <row r="517" spans="1:9" x14ac:dyDescent="0.25">
      <c r="A517" s="5" t="str">
        <f>TrendSheetPrdData[[#This Row],[Population]]&amp;TrendSheetPrdData[[#This Row],[Cost Basis]]&amp;TrendSheetPrdData[[#This Row],[Period]]&amp;TrendSheetPrdData[[#This Row],[Trend]]</f>
        <v>EMPLOYEEPaid2016-07-01Office Based CTs per 1k</v>
      </c>
      <c r="B517" t="s">
        <v>90</v>
      </c>
      <c r="C517" t="s">
        <v>90</v>
      </c>
      <c r="D517" t="s">
        <v>78</v>
      </c>
      <c r="E517" s="1" t="s">
        <v>96</v>
      </c>
      <c r="F517" t="s">
        <v>93</v>
      </c>
      <c r="G517" t="s">
        <v>23</v>
      </c>
      <c r="H517">
        <v>12</v>
      </c>
      <c r="I517">
        <v>7</v>
      </c>
    </row>
    <row r="518" spans="1:9" x14ac:dyDescent="0.25">
      <c r="A518" s="5" t="str">
        <f>TrendSheetPrdData[[#This Row],[Population]]&amp;TrendSheetPrdData[[#This Row],[Cost Basis]]&amp;TrendSheetPrdData[[#This Row],[Period]]&amp;TrendSheetPrdData[[#This Row],[Trend]]</f>
        <v>EMPLOYEEPaid2016-08-01Office Based CTs per 1k</v>
      </c>
      <c r="B518" t="s">
        <v>90</v>
      </c>
      <c r="C518" t="s">
        <v>90</v>
      </c>
      <c r="D518" t="s">
        <v>78</v>
      </c>
      <c r="E518" s="1" t="s">
        <v>97</v>
      </c>
      <c r="F518" t="s">
        <v>93</v>
      </c>
      <c r="G518" t="s">
        <v>23</v>
      </c>
      <c r="H518">
        <v>12</v>
      </c>
      <c r="I518">
        <v>7</v>
      </c>
    </row>
    <row r="519" spans="1:9" x14ac:dyDescent="0.25">
      <c r="A519" s="5" t="str">
        <f>TrendSheetPrdData[[#This Row],[Population]]&amp;TrendSheetPrdData[[#This Row],[Cost Basis]]&amp;TrendSheetPrdData[[#This Row],[Period]]&amp;TrendSheetPrdData[[#This Row],[Trend]]</f>
        <v>EMPLOYEEPaid2016-09-01Office Based CTs per 1k</v>
      </c>
      <c r="B519" t="s">
        <v>90</v>
      </c>
      <c r="C519" t="s">
        <v>90</v>
      </c>
      <c r="D519" t="s">
        <v>78</v>
      </c>
      <c r="E519" s="1" t="s">
        <v>98</v>
      </c>
      <c r="F519" t="s">
        <v>93</v>
      </c>
      <c r="G519" t="s">
        <v>23</v>
      </c>
      <c r="H519">
        <v>12</v>
      </c>
      <c r="I519">
        <v>10</v>
      </c>
    </row>
    <row r="520" spans="1:9" x14ac:dyDescent="0.25">
      <c r="A520" s="5" t="str">
        <f>TrendSheetPrdData[[#This Row],[Population]]&amp;TrendSheetPrdData[[#This Row],[Cost Basis]]&amp;TrendSheetPrdData[[#This Row],[Period]]&amp;TrendSheetPrdData[[#This Row],[Trend]]</f>
        <v>EMPLOYEEPaid2016-10-01Office Based CTs per 1k</v>
      </c>
      <c r="B520" t="s">
        <v>90</v>
      </c>
      <c r="C520" t="s">
        <v>90</v>
      </c>
      <c r="D520" t="s">
        <v>78</v>
      </c>
      <c r="E520" s="1" t="s">
        <v>99</v>
      </c>
      <c r="F520" t="s">
        <v>93</v>
      </c>
      <c r="G520" t="s">
        <v>23</v>
      </c>
      <c r="H520">
        <v>12</v>
      </c>
      <c r="I520">
        <v>14</v>
      </c>
    </row>
    <row r="521" spans="1:9" x14ac:dyDescent="0.25">
      <c r="A521" s="5" t="str">
        <f>TrendSheetPrdData[[#This Row],[Population]]&amp;TrendSheetPrdData[[#This Row],[Cost Basis]]&amp;TrendSheetPrdData[[#This Row],[Period]]&amp;TrendSheetPrdData[[#This Row],[Trend]]</f>
        <v>EMPLOYEEPaid2016-11-01Office Based CTs per 1k</v>
      </c>
      <c r="B521" t="s">
        <v>90</v>
      </c>
      <c r="C521" t="s">
        <v>90</v>
      </c>
      <c r="D521" t="s">
        <v>78</v>
      </c>
      <c r="E521" s="1" t="s">
        <v>100</v>
      </c>
      <c r="F521" t="s">
        <v>93</v>
      </c>
      <c r="G521" t="s">
        <v>23</v>
      </c>
      <c r="H521">
        <v>12</v>
      </c>
      <c r="I521">
        <v>8</v>
      </c>
    </row>
    <row r="522" spans="1:9" x14ac:dyDescent="0.25">
      <c r="A522" s="5" t="str">
        <f>TrendSheetPrdData[[#This Row],[Population]]&amp;TrendSheetPrdData[[#This Row],[Cost Basis]]&amp;TrendSheetPrdData[[#This Row],[Period]]&amp;TrendSheetPrdData[[#This Row],[Trend]]</f>
        <v>EMPLOYEEPaid2016-12-01Office Based CTs per 1k</v>
      </c>
      <c r="B522" t="s">
        <v>90</v>
      </c>
      <c r="C522" t="s">
        <v>90</v>
      </c>
      <c r="D522" t="s">
        <v>78</v>
      </c>
      <c r="E522" s="1" t="s">
        <v>101</v>
      </c>
      <c r="F522" t="s">
        <v>93</v>
      </c>
      <c r="G522" t="s">
        <v>23</v>
      </c>
      <c r="H522">
        <v>12</v>
      </c>
      <c r="I522">
        <v>8</v>
      </c>
    </row>
    <row r="523" spans="1:9" x14ac:dyDescent="0.25">
      <c r="A523" s="5" t="str">
        <f>TrendSheetPrdData[[#This Row],[Population]]&amp;TrendSheetPrdData[[#This Row],[Cost Basis]]&amp;TrendSheetPrdData[[#This Row],[Period]]&amp;TrendSheetPrdData[[#This Row],[Trend]]</f>
        <v>EMPLOYEEPaid2017-01-01Office Based CTs per 1k</v>
      </c>
      <c r="B523" t="s">
        <v>90</v>
      </c>
      <c r="C523" t="s">
        <v>90</v>
      </c>
      <c r="D523" t="s">
        <v>78</v>
      </c>
      <c r="E523" s="1" t="s">
        <v>102</v>
      </c>
      <c r="F523" t="s">
        <v>93</v>
      </c>
      <c r="G523" t="s">
        <v>23</v>
      </c>
      <c r="H523">
        <v>12</v>
      </c>
      <c r="I523">
        <v>6</v>
      </c>
    </row>
    <row r="524" spans="1:9" x14ac:dyDescent="0.25">
      <c r="A524" s="5" t="str">
        <f>TrendSheetPrdData[[#This Row],[Population]]&amp;TrendSheetPrdData[[#This Row],[Cost Basis]]&amp;TrendSheetPrdData[[#This Row],[Period]]&amp;TrendSheetPrdData[[#This Row],[Trend]]</f>
        <v>EMPLOYEEPaid2017-02-01Office Based CTs per 1k</v>
      </c>
      <c r="B524" t="s">
        <v>90</v>
      </c>
      <c r="C524" t="s">
        <v>90</v>
      </c>
      <c r="D524" t="s">
        <v>78</v>
      </c>
      <c r="E524" s="1" t="s">
        <v>103</v>
      </c>
      <c r="F524" t="s">
        <v>106</v>
      </c>
      <c r="G524" t="s">
        <v>23</v>
      </c>
      <c r="H524">
        <v>12</v>
      </c>
      <c r="I524">
        <v>6</v>
      </c>
    </row>
    <row r="525" spans="1:9" x14ac:dyDescent="0.25">
      <c r="A525" s="5" t="str">
        <f>TrendSheetPrdData[[#This Row],[Population]]&amp;TrendSheetPrdData[[#This Row],[Cost Basis]]&amp;TrendSheetPrdData[[#This Row],[Period]]&amp;TrendSheetPrdData[[#This Row],[Trend]]</f>
        <v>EMPLOYEEPaid2017-03-01Office Based CTs per 1k</v>
      </c>
      <c r="B525" t="s">
        <v>90</v>
      </c>
      <c r="C525" t="s">
        <v>90</v>
      </c>
      <c r="D525" t="s">
        <v>78</v>
      </c>
      <c r="E525" s="1" t="s">
        <v>104</v>
      </c>
      <c r="F525" t="s">
        <v>106</v>
      </c>
      <c r="G525" t="s">
        <v>23</v>
      </c>
      <c r="H525">
        <v>12</v>
      </c>
      <c r="I525">
        <v>5</v>
      </c>
    </row>
    <row r="526" spans="1:9" x14ac:dyDescent="0.25">
      <c r="A526" s="5" t="str">
        <f>TrendSheetPrdData[[#This Row],[Population]]&amp;TrendSheetPrdData[[#This Row],[Cost Basis]]&amp;TrendSheetPrdData[[#This Row],[Period]]&amp;TrendSheetPrdData[[#This Row],[Trend]]</f>
        <v>EMPLOYEEPaid2017-04-01Office Based CTs per 1k</v>
      </c>
      <c r="B526" t="s">
        <v>90</v>
      </c>
      <c r="C526" t="s">
        <v>90</v>
      </c>
      <c r="D526" t="s">
        <v>78</v>
      </c>
      <c r="E526" s="1" t="s">
        <v>105</v>
      </c>
      <c r="F526" t="s">
        <v>106</v>
      </c>
      <c r="G526" t="s">
        <v>23</v>
      </c>
      <c r="H526">
        <v>12</v>
      </c>
      <c r="I526">
        <v>4</v>
      </c>
    </row>
    <row r="527" spans="1:9" x14ac:dyDescent="0.25">
      <c r="A527" s="5" t="str">
        <f>TrendSheetPrdData[[#This Row],[Population]]&amp;TrendSheetPrdData[[#This Row],[Cost Basis]]&amp;TrendSheetPrdData[[#This Row],[Period]]&amp;TrendSheetPrdData[[#This Row],[Trend]]</f>
        <v>EMPLOYEEPaid2016-02-01ED Cost</v>
      </c>
      <c r="B527" t="s">
        <v>90</v>
      </c>
      <c r="C527" t="s">
        <v>90</v>
      </c>
      <c r="D527" t="s">
        <v>78</v>
      </c>
      <c r="E527" s="1" t="s">
        <v>124</v>
      </c>
      <c r="F527" t="s">
        <v>93</v>
      </c>
      <c r="G527" t="s">
        <v>24</v>
      </c>
      <c r="H527">
        <v>13</v>
      </c>
      <c r="I527">
        <v>60421</v>
      </c>
    </row>
    <row r="528" spans="1:9" x14ac:dyDescent="0.25">
      <c r="A528" s="5" t="str">
        <f>TrendSheetPrdData[[#This Row],[Population]]&amp;TrendSheetPrdData[[#This Row],[Cost Basis]]&amp;TrendSheetPrdData[[#This Row],[Period]]&amp;TrendSheetPrdData[[#This Row],[Trend]]</f>
        <v>EMPLOYEEPaid2016-03-01ED Cost</v>
      </c>
      <c r="B528" t="s">
        <v>90</v>
      </c>
      <c r="C528" t="s">
        <v>90</v>
      </c>
      <c r="D528" t="s">
        <v>78</v>
      </c>
      <c r="E528" s="1" t="s">
        <v>125</v>
      </c>
      <c r="F528" t="s">
        <v>93</v>
      </c>
      <c r="G528" t="s">
        <v>24</v>
      </c>
      <c r="H528">
        <v>13</v>
      </c>
      <c r="I528">
        <v>91298</v>
      </c>
    </row>
    <row r="529" spans="1:9" x14ac:dyDescent="0.25">
      <c r="A529" s="5" t="str">
        <f>TrendSheetPrdData[[#This Row],[Population]]&amp;TrendSheetPrdData[[#This Row],[Cost Basis]]&amp;TrendSheetPrdData[[#This Row],[Period]]&amp;TrendSheetPrdData[[#This Row],[Trend]]</f>
        <v>EMPLOYEEPaid2016-04-01ED Cost</v>
      </c>
      <c r="B529" t="s">
        <v>90</v>
      </c>
      <c r="C529" t="s">
        <v>90</v>
      </c>
      <c r="D529" t="s">
        <v>78</v>
      </c>
      <c r="E529" s="1" t="s">
        <v>92</v>
      </c>
      <c r="F529" t="s">
        <v>93</v>
      </c>
      <c r="G529" t="s">
        <v>24</v>
      </c>
      <c r="H529">
        <v>13</v>
      </c>
      <c r="I529">
        <v>104399</v>
      </c>
    </row>
    <row r="530" spans="1:9" x14ac:dyDescent="0.25">
      <c r="A530" s="5" t="str">
        <f>TrendSheetPrdData[[#This Row],[Population]]&amp;TrendSheetPrdData[[#This Row],[Cost Basis]]&amp;TrendSheetPrdData[[#This Row],[Period]]&amp;TrendSheetPrdData[[#This Row],[Trend]]</f>
        <v>EMPLOYEEPaid2016-05-01ED Cost</v>
      </c>
      <c r="B530" t="s">
        <v>90</v>
      </c>
      <c r="C530" t="s">
        <v>90</v>
      </c>
      <c r="D530" t="s">
        <v>78</v>
      </c>
      <c r="E530" s="1" t="s">
        <v>94</v>
      </c>
      <c r="F530" t="s">
        <v>93</v>
      </c>
      <c r="G530" t="s">
        <v>24</v>
      </c>
      <c r="H530">
        <v>13</v>
      </c>
      <c r="I530">
        <v>53554</v>
      </c>
    </row>
    <row r="531" spans="1:9" x14ac:dyDescent="0.25">
      <c r="A531" s="5" t="str">
        <f>TrendSheetPrdData[[#This Row],[Population]]&amp;TrendSheetPrdData[[#This Row],[Cost Basis]]&amp;TrendSheetPrdData[[#This Row],[Period]]&amp;TrendSheetPrdData[[#This Row],[Trend]]</f>
        <v>EMPLOYEEPaid2016-06-01ED Cost</v>
      </c>
      <c r="B531" t="s">
        <v>90</v>
      </c>
      <c r="C531" t="s">
        <v>90</v>
      </c>
      <c r="D531" t="s">
        <v>78</v>
      </c>
      <c r="E531" s="1" t="s">
        <v>95</v>
      </c>
      <c r="F531" t="s">
        <v>93</v>
      </c>
      <c r="G531" t="s">
        <v>24</v>
      </c>
      <c r="H531">
        <v>13</v>
      </c>
      <c r="I531">
        <v>116817</v>
      </c>
    </row>
    <row r="532" spans="1:9" x14ac:dyDescent="0.25">
      <c r="A532" s="5" t="str">
        <f>TrendSheetPrdData[[#This Row],[Population]]&amp;TrendSheetPrdData[[#This Row],[Cost Basis]]&amp;TrendSheetPrdData[[#This Row],[Period]]&amp;TrendSheetPrdData[[#This Row],[Trend]]</f>
        <v>EMPLOYEEPaid2016-07-01ED Cost</v>
      </c>
      <c r="B532" t="s">
        <v>90</v>
      </c>
      <c r="C532" t="s">
        <v>90</v>
      </c>
      <c r="D532" t="s">
        <v>78</v>
      </c>
      <c r="E532" s="1" t="s">
        <v>96</v>
      </c>
      <c r="F532" t="s">
        <v>93</v>
      </c>
      <c r="G532" t="s">
        <v>24</v>
      </c>
      <c r="H532">
        <v>13</v>
      </c>
      <c r="I532">
        <v>151320</v>
      </c>
    </row>
    <row r="533" spans="1:9" x14ac:dyDescent="0.25">
      <c r="A533" s="5" t="str">
        <f>TrendSheetPrdData[[#This Row],[Population]]&amp;TrendSheetPrdData[[#This Row],[Cost Basis]]&amp;TrendSheetPrdData[[#This Row],[Period]]&amp;TrendSheetPrdData[[#This Row],[Trend]]</f>
        <v>EMPLOYEEPaid2016-08-01ED Cost</v>
      </c>
      <c r="B533" t="s">
        <v>90</v>
      </c>
      <c r="C533" t="s">
        <v>90</v>
      </c>
      <c r="D533" t="s">
        <v>78</v>
      </c>
      <c r="E533" s="1" t="s">
        <v>97</v>
      </c>
      <c r="F533" t="s">
        <v>93</v>
      </c>
      <c r="G533" t="s">
        <v>24</v>
      </c>
      <c r="H533">
        <v>13</v>
      </c>
      <c r="I533">
        <v>116990</v>
      </c>
    </row>
    <row r="534" spans="1:9" x14ac:dyDescent="0.25">
      <c r="A534" s="5" t="str">
        <f>TrendSheetPrdData[[#This Row],[Population]]&amp;TrendSheetPrdData[[#This Row],[Cost Basis]]&amp;TrendSheetPrdData[[#This Row],[Period]]&amp;TrendSheetPrdData[[#This Row],[Trend]]</f>
        <v>EMPLOYEEPaid2016-09-01ED Cost</v>
      </c>
      <c r="B534" t="s">
        <v>90</v>
      </c>
      <c r="C534" t="s">
        <v>90</v>
      </c>
      <c r="D534" t="s">
        <v>78</v>
      </c>
      <c r="E534" s="1" t="s">
        <v>98</v>
      </c>
      <c r="F534" t="s">
        <v>93</v>
      </c>
      <c r="G534" t="s">
        <v>24</v>
      </c>
      <c r="H534">
        <v>13</v>
      </c>
      <c r="I534">
        <v>93232</v>
      </c>
    </row>
    <row r="535" spans="1:9" x14ac:dyDescent="0.25">
      <c r="A535" s="5" t="str">
        <f>TrendSheetPrdData[[#This Row],[Population]]&amp;TrendSheetPrdData[[#This Row],[Cost Basis]]&amp;TrendSheetPrdData[[#This Row],[Period]]&amp;TrendSheetPrdData[[#This Row],[Trend]]</f>
        <v>EMPLOYEEPaid2016-10-01ED Cost</v>
      </c>
      <c r="B535" t="s">
        <v>90</v>
      </c>
      <c r="C535" t="s">
        <v>90</v>
      </c>
      <c r="D535" t="s">
        <v>78</v>
      </c>
      <c r="E535" s="1" t="s">
        <v>99</v>
      </c>
      <c r="F535" t="s">
        <v>93</v>
      </c>
      <c r="G535" t="s">
        <v>24</v>
      </c>
      <c r="H535">
        <v>13</v>
      </c>
      <c r="I535">
        <v>105556</v>
      </c>
    </row>
    <row r="536" spans="1:9" x14ac:dyDescent="0.25">
      <c r="A536" s="5" t="str">
        <f>TrendSheetPrdData[[#This Row],[Population]]&amp;TrendSheetPrdData[[#This Row],[Cost Basis]]&amp;TrendSheetPrdData[[#This Row],[Period]]&amp;TrendSheetPrdData[[#This Row],[Trend]]</f>
        <v>EMPLOYEEPaid2016-11-01ED Cost</v>
      </c>
      <c r="B536" t="s">
        <v>90</v>
      </c>
      <c r="C536" t="s">
        <v>90</v>
      </c>
      <c r="D536" t="s">
        <v>78</v>
      </c>
      <c r="E536" s="1" t="s">
        <v>100</v>
      </c>
      <c r="F536" t="s">
        <v>93</v>
      </c>
      <c r="G536" t="s">
        <v>24</v>
      </c>
      <c r="H536">
        <v>13</v>
      </c>
      <c r="I536">
        <v>135337</v>
      </c>
    </row>
    <row r="537" spans="1:9" x14ac:dyDescent="0.25">
      <c r="A537" s="5" t="str">
        <f>TrendSheetPrdData[[#This Row],[Population]]&amp;TrendSheetPrdData[[#This Row],[Cost Basis]]&amp;TrendSheetPrdData[[#This Row],[Period]]&amp;TrendSheetPrdData[[#This Row],[Trend]]</f>
        <v>EMPLOYEEPaid2016-12-01ED Cost</v>
      </c>
      <c r="B537" t="s">
        <v>90</v>
      </c>
      <c r="C537" t="s">
        <v>90</v>
      </c>
      <c r="D537" t="s">
        <v>78</v>
      </c>
      <c r="E537" s="1" t="s">
        <v>101</v>
      </c>
      <c r="F537" t="s">
        <v>93</v>
      </c>
      <c r="G537" t="s">
        <v>24</v>
      </c>
      <c r="H537">
        <v>13</v>
      </c>
      <c r="I537">
        <v>100524</v>
      </c>
    </row>
    <row r="538" spans="1:9" x14ac:dyDescent="0.25">
      <c r="A538" s="5" t="str">
        <f>TrendSheetPrdData[[#This Row],[Population]]&amp;TrendSheetPrdData[[#This Row],[Cost Basis]]&amp;TrendSheetPrdData[[#This Row],[Period]]&amp;TrendSheetPrdData[[#This Row],[Trend]]</f>
        <v>EMPLOYEEPaid2017-01-01ED Cost</v>
      </c>
      <c r="B538" t="s">
        <v>90</v>
      </c>
      <c r="C538" t="s">
        <v>90</v>
      </c>
      <c r="D538" t="s">
        <v>78</v>
      </c>
      <c r="E538" s="1" t="s">
        <v>102</v>
      </c>
      <c r="F538" t="s">
        <v>93</v>
      </c>
      <c r="G538" t="s">
        <v>24</v>
      </c>
      <c r="H538">
        <v>13</v>
      </c>
      <c r="I538">
        <v>93266</v>
      </c>
    </row>
    <row r="539" spans="1:9" x14ac:dyDescent="0.25">
      <c r="A539" s="5" t="str">
        <f>TrendSheetPrdData[[#This Row],[Population]]&amp;TrendSheetPrdData[[#This Row],[Cost Basis]]&amp;TrendSheetPrdData[[#This Row],[Period]]&amp;TrendSheetPrdData[[#This Row],[Trend]]</f>
        <v>EMPLOYEEPaid2017-02-01ED Cost</v>
      </c>
      <c r="B539" t="s">
        <v>90</v>
      </c>
      <c r="C539" t="s">
        <v>90</v>
      </c>
      <c r="D539" t="s">
        <v>78</v>
      </c>
      <c r="E539" s="1" t="s">
        <v>103</v>
      </c>
      <c r="F539" t="s">
        <v>106</v>
      </c>
      <c r="G539" t="s">
        <v>24</v>
      </c>
      <c r="H539">
        <v>13</v>
      </c>
      <c r="I539">
        <v>81781</v>
      </c>
    </row>
    <row r="540" spans="1:9" x14ac:dyDescent="0.25">
      <c r="A540" s="5" t="str">
        <f>TrendSheetPrdData[[#This Row],[Population]]&amp;TrendSheetPrdData[[#This Row],[Cost Basis]]&amp;TrendSheetPrdData[[#This Row],[Period]]&amp;TrendSheetPrdData[[#This Row],[Trend]]</f>
        <v>EMPLOYEEPaid2017-03-01ED Cost</v>
      </c>
      <c r="B540" t="s">
        <v>90</v>
      </c>
      <c r="C540" t="s">
        <v>90</v>
      </c>
      <c r="D540" t="s">
        <v>78</v>
      </c>
      <c r="E540" s="1" t="s">
        <v>104</v>
      </c>
      <c r="F540" t="s">
        <v>106</v>
      </c>
      <c r="G540" t="s">
        <v>24</v>
      </c>
      <c r="H540">
        <v>13</v>
      </c>
      <c r="I540">
        <v>106030</v>
      </c>
    </row>
    <row r="541" spans="1:9" x14ac:dyDescent="0.25">
      <c r="A541" s="5" t="str">
        <f>TrendSheetPrdData[[#This Row],[Population]]&amp;TrendSheetPrdData[[#This Row],[Cost Basis]]&amp;TrendSheetPrdData[[#This Row],[Period]]&amp;TrendSheetPrdData[[#This Row],[Trend]]</f>
        <v>EMPLOYEEPaid2017-04-01ED Cost</v>
      </c>
      <c r="B541" t="s">
        <v>90</v>
      </c>
      <c r="C541" t="s">
        <v>90</v>
      </c>
      <c r="D541" t="s">
        <v>78</v>
      </c>
      <c r="E541" s="1" t="s">
        <v>105</v>
      </c>
      <c r="F541" t="s">
        <v>106</v>
      </c>
      <c r="G541" t="s">
        <v>24</v>
      </c>
      <c r="H541">
        <v>13</v>
      </c>
      <c r="I541">
        <v>7076</v>
      </c>
    </row>
    <row r="542" spans="1:9" x14ac:dyDescent="0.25">
      <c r="A542" s="5" t="str">
        <f>TrendSheetPrdData[[#This Row],[Population]]&amp;TrendSheetPrdData[[#This Row],[Cost Basis]]&amp;TrendSheetPrdData[[#This Row],[Period]]&amp;TrendSheetPrdData[[#This Row],[Trend]]</f>
        <v>EMPLOYEEPaid2016-02-01ED Utilization</v>
      </c>
      <c r="B542" t="s">
        <v>90</v>
      </c>
      <c r="C542" t="s">
        <v>90</v>
      </c>
      <c r="D542" t="s">
        <v>78</v>
      </c>
      <c r="E542" s="1" t="s">
        <v>124</v>
      </c>
      <c r="F542" t="s">
        <v>93</v>
      </c>
      <c r="G542" t="s">
        <v>25</v>
      </c>
      <c r="H542">
        <v>14</v>
      </c>
      <c r="I542">
        <v>122</v>
      </c>
    </row>
    <row r="543" spans="1:9" x14ac:dyDescent="0.25">
      <c r="A543" s="5" t="str">
        <f>TrendSheetPrdData[[#This Row],[Population]]&amp;TrendSheetPrdData[[#This Row],[Cost Basis]]&amp;TrendSheetPrdData[[#This Row],[Period]]&amp;TrendSheetPrdData[[#This Row],[Trend]]</f>
        <v>EMPLOYEEPaid2016-03-01ED Utilization</v>
      </c>
      <c r="B543" t="s">
        <v>90</v>
      </c>
      <c r="C543" t="s">
        <v>90</v>
      </c>
      <c r="D543" t="s">
        <v>78</v>
      </c>
      <c r="E543" s="1" t="s">
        <v>125</v>
      </c>
      <c r="F543" t="s">
        <v>93</v>
      </c>
      <c r="G543" t="s">
        <v>25</v>
      </c>
      <c r="H543">
        <v>14</v>
      </c>
      <c r="I543">
        <v>167</v>
      </c>
    </row>
    <row r="544" spans="1:9" x14ac:dyDescent="0.25">
      <c r="A544" s="5" t="str">
        <f>TrendSheetPrdData[[#This Row],[Population]]&amp;TrendSheetPrdData[[#This Row],[Cost Basis]]&amp;TrendSheetPrdData[[#This Row],[Period]]&amp;TrendSheetPrdData[[#This Row],[Trend]]</f>
        <v>EMPLOYEEPaid2016-04-01ED Utilization</v>
      </c>
      <c r="B544" t="s">
        <v>90</v>
      </c>
      <c r="C544" t="s">
        <v>90</v>
      </c>
      <c r="D544" t="s">
        <v>78</v>
      </c>
      <c r="E544" s="1" t="s">
        <v>92</v>
      </c>
      <c r="F544" t="s">
        <v>93</v>
      </c>
      <c r="G544" t="s">
        <v>25</v>
      </c>
      <c r="H544">
        <v>14</v>
      </c>
      <c r="I544">
        <v>144</v>
      </c>
    </row>
    <row r="545" spans="1:9" x14ac:dyDescent="0.25">
      <c r="A545" s="5" t="str">
        <f>TrendSheetPrdData[[#This Row],[Population]]&amp;TrendSheetPrdData[[#This Row],[Cost Basis]]&amp;TrendSheetPrdData[[#This Row],[Period]]&amp;TrendSheetPrdData[[#This Row],[Trend]]</f>
        <v>EMPLOYEEPaid2016-05-01ED Utilization</v>
      </c>
      <c r="B545" t="s">
        <v>90</v>
      </c>
      <c r="C545" t="s">
        <v>90</v>
      </c>
      <c r="D545" t="s">
        <v>78</v>
      </c>
      <c r="E545" s="1" t="s">
        <v>94</v>
      </c>
      <c r="F545" t="s">
        <v>93</v>
      </c>
      <c r="G545" t="s">
        <v>25</v>
      </c>
      <c r="H545">
        <v>14</v>
      </c>
      <c r="I545">
        <v>125</v>
      </c>
    </row>
    <row r="546" spans="1:9" x14ac:dyDescent="0.25">
      <c r="A546" s="5" t="str">
        <f>TrendSheetPrdData[[#This Row],[Population]]&amp;TrendSheetPrdData[[#This Row],[Cost Basis]]&amp;TrendSheetPrdData[[#This Row],[Period]]&amp;TrendSheetPrdData[[#This Row],[Trend]]</f>
        <v>EMPLOYEEPaid2016-06-01ED Utilization</v>
      </c>
      <c r="B546" t="s">
        <v>90</v>
      </c>
      <c r="C546" t="s">
        <v>90</v>
      </c>
      <c r="D546" t="s">
        <v>78</v>
      </c>
      <c r="E546" s="1" t="s">
        <v>95</v>
      </c>
      <c r="F546" t="s">
        <v>93</v>
      </c>
      <c r="G546" t="s">
        <v>25</v>
      </c>
      <c r="H546">
        <v>14</v>
      </c>
      <c r="I546">
        <v>156</v>
      </c>
    </row>
    <row r="547" spans="1:9" x14ac:dyDescent="0.25">
      <c r="A547" s="5" t="str">
        <f>TrendSheetPrdData[[#This Row],[Population]]&amp;TrendSheetPrdData[[#This Row],[Cost Basis]]&amp;TrendSheetPrdData[[#This Row],[Period]]&amp;TrendSheetPrdData[[#This Row],[Trend]]</f>
        <v>EMPLOYEEPaid2016-07-01ED Utilization</v>
      </c>
      <c r="B547" t="s">
        <v>90</v>
      </c>
      <c r="C547" t="s">
        <v>90</v>
      </c>
      <c r="D547" t="s">
        <v>78</v>
      </c>
      <c r="E547" s="1" t="s">
        <v>96</v>
      </c>
      <c r="F547" t="s">
        <v>93</v>
      </c>
      <c r="G547" t="s">
        <v>25</v>
      </c>
      <c r="H547">
        <v>14</v>
      </c>
      <c r="I547">
        <v>209</v>
      </c>
    </row>
    <row r="548" spans="1:9" x14ac:dyDescent="0.25">
      <c r="A548" s="5" t="str">
        <f>TrendSheetPrdData[[#This Row],[Population]]&amp;TrendSheetPrdData[[#This Row],[Cost Basis]]&amp;TrendSheetPrdData[[#This Row],[Period]]&amp;TrendSheetPrdData[[#This Row],[Trend]]</f>
        <v>EMPLOYEEPaid2016-08-01ED Utilization</v>
      </c>
      <c r="B548" t="s">
        <v>90</v>
      </c>
      <c r="C548" t="s">
        <v>90</v>
      </c>
      <c r="D548" t="s">
        <v>78</v>
      </c>
      <c r="E548" s="1" t="s">
        <v>97</v>
      </c>
      <c r="F548" t="s">
        <v>93</v>
      </c>
      <c r="G548" t="s">
        <v>25</v>
      </c>
      <c r="H548">
        <v>14</v>
      </c>
      <c r="I548">
        <v>169</v>
      </c>
    </row>
    <row r="549" spans="1:9" x14ac:dyDescent="0.25">
      <c r="A549" s="5" t="str">
        <f>TrendSheetPrdData[[#This Row],[Population]]&amp;TrendSheetPrdData[[#This Row],[Cost Basis]]&amp;TrendSheetPrdData[[#This Row],[Period]]&amp;TrendSheetPrdData[[#This Row],[Trend]]</f>
        <v>EMPLOYEEPaid2016-09-01ED Utilization</v>
      </c>
      <c r="B549" t="s">
        <v>90</v>
      </c>
      <c r="C549" t="s">
        <v>90</v>
      </c>
      <c r="D549" t="s">
        <v>78</v>
      </c>
      <c r="E549" s="1" t="s">
        <v>98</v>
      </c>
      <c r="F549" t="s">
        <v>93</v>
      </c>
      <c r="G549" t="s">
        <v>25</v>
      </c>
      <c r="H549">
        <v>14</v>
      </c>
      <c r="I549">
        <v>145</v>
      </c>
    </row>
    <row r="550" spans="1:9" x14ac:dyDescent="0.25">
      <c r="A550" s="5" t="str">
        <f>TrendSheetPrdData[[#This Row],[Population]]&amp;TrendSheetPrdData[[#This Row],[Cost Basis]]&amp;TrendSheetPrdData[[#This Row],[Period]]&amp;TrendSheetPrdData[[#This Row],[Trend]]</f>
        <v>EMPLOYEEPaid2016-10-01ED Utilization</v>
      </c>
      <c r="B550" t="s">
        <v>90</v>
      </c>
      <c r="C550" t="s">
        <v>90</v>
      </c>
      <c r="D550" t="s">
        <v>78</v>
      </c>
      <c r="E550" s="1" t="s">
        <v>99</v>
      </c>
      <c r="F550" t="s">
        <v>93</v>
      </c>
      <c r="G550" t="s">
        <v>25</v>
      </c>
      <c r="H550">
        <v>14</v>
      </c>
      <c r="I550">
        <v>191</v>
      </c>
    </row>
    <row r="551" spans="1:9" x14ac:dyDescent="0.25">
      <c r="A551" s="5" t="str">
        <f>TrendSheetPrdData[[#This Row],[Population]]&amp;TrendSheetPrdData[[#This Row],[Cost Basis]]&amp;TrendSheetPrdData[[#This Row],[Period]]&amp;TrendSheetPrdData[[#This Row],[Trend]]</f>
        <v>EMPLOYEEPaid2016-11-01ED Utilization</v>
      </c>
      <c r="B551" t="s">
        <v>90</v>
      </c>
      <c r="C551" t="s">
        <v>90</v>
      </c>
      <c r="D551" t="s">
        <v>78</v>
      </c>
      <c r="E551" s="1" t="s">
        <v>100</v>
      </c>
      <c r="F551" t="s">
        <v>93</v>
      </c>
      <c r="G551" t="s">
        <v>25</v>
      </c>
      <c r="H551">
        <v>14</v>
      </c>
      <c r="I551">
        <v>186</v>
      </c>
    </row>
    <row r="552" spans="1:9" x14ac:dyDescent="0.25">
      <c r="A552" s="5" t="str">
        <f>TrendSheetPrdData[[#This Row],[Population]]&amp;TrendSheetPrdData[[#This Row],[Cost Basis]]&amp;TrendSheetPrdData[[#This Row],[Period]]&amp;TrendSheetPrdData[[#This Row],[Trend]]</f>
        <v>EMPLOYEEPaid2016-12-01ED Utilization</v>
      </c>
      <c r="B552" t="s">
        <v>90</v>
      </c>
      <c r="C552" t="s">
        <v>90</v>
      </c>
      <c r="D552" t="s">
        <v>78</v>
      </c>
      <c r="E552" s="1" t="s">
        <v>101</v>
      </c>
      <c r="F552" t="s">
        <v>93</v>
      </c>
      <c r="G552" t="s">
        <v>25</v>
      </c>
      <c r="H552">
        <v>14</v>
      </c>
      <c r="I552">
        <v>146</v>
      </c>
    </row>
    <row r="553" spans="1:9" x14ac:dyDescent="0.25">
      <c r="A553" s="5" t="str">
        <f>TrendSheetPrdData[[#This Row],[Population]]&amp;TrendSheetPrdData[[#This Row],[Cost Basis]]&amp;TrendSheetPrdData[[#This Row],[Period]]&amp;TrendSheetPrdData[[#This Row],[Trend]]</f>
        <v>EMPLOYEEPaid2017-01-01ED Utilization</v>
      </c>
      <c r="B553" t="s">
        <v>90</v>
      </c>
      <c r="C553" t="s">
        <v>90</v>
      </c>
      <c r="D553" t="s">
        <v>78</v>
      </c>
      <c r="E553" s="1" t="s">
        <v>102</v>
      </c>
      <c r="F553" t="s">
        <v>93</v>
      </c>
      <c r="G553" t="s">
        <v>25</v>
      </c>
      <c r="H553">
        <v>14</v>
      </c>
      <c r="I553">
        <v>150</v>
      </c>
    </row>
    <row r="554" spans="1:9" x14ac:dyDescent="0.25">
      <c r="A554" s="5" t="str">
        <f>TrendSheetPrdData[[#This Row],[Population]]&amp;TrendSheetPrdData[[#This Row],[Cost Basis]]&amp;TrendSheetPrdData[[#This Row],[Period]]&amp;TrendSheetPrdData[[#This Row],[Trend]]</f>
        <v>EMPLOYEEPaid2017-02-01ED Utilization</v>
      </c>
      <c r="B554" t="s">
        <v>90</v>
      </c>
      <c r="C554" t="s">
        <v>90</v>
      </c>
      <c r="D554" t="s">
        <v>78</v>
      </c>
      <c r="E554" s="1" t="s">
        <v>103</v>
      </c>
      <c r="F554" t="s">
        <v>106</v>
      </c>
      <c r="G554" t="s">
        <v>25</v>
      </c>
      <c r="H554">
        <v>14</v>
      </c>
      <c r="I554">
        <v>142</v>
      </c>
    </row>
    <row r="555" spans="1:9" x14ac:dyDescent="0.25">
      <c r="A555" s="5" t="str">
        <f>TrendSheetPrdData[[#This Row],[Population]]&amp;TrendSheetPrdData[[#This Row],[Cost Basis]]&amp;TrendSheetPrdData[[#This Row],[Period]]&amp;TrendSheetPrdData[[#This Row],[Trend]]</f>
        <v>EMPLOYEEPaid2017-03-01ED Utilization</v>
      </c>
      <c r="B555" t="s">
        <v>90</v>
      </c>
      <c r="C555" t="s">
        <v>90</v>
      </c>
      <c r="D555" t="s">
        <v>78</v>
      </c>
      <c r="E555" s="1" t="s">
        <v>104</v>
      </c>
      <c r="F555" t="s">
        <v>106</v>
      </c>
      <c r="G555" t="s">
        <v>25</v>
      </c>
      <c r="H555">
        <v>14</v>
      </c>
      <c r="I555">
        <v>167</v>
      </c>
    </row>
    <row r="556" spans="1:9" x14ac:dyDescent="0.25">
      <c r="A556" s="5" t="str">
        <f>TrendSheetPrdData[[#This Row],[Population]]&amp;TrendSheetPrdData[[#This Row],[Cost Basis]]&amp;TrendSheetPrdData[[#This Row],[Period]]&amp;TrendSheetPrdData[[#This Row],[Trend]]</f>
        <v>EMPLOYEEPaid2017-04-01ED Utilization</v>
      </c>
      <c r="B556" t="s">
        <v>90</v>
      </c>
      <c r="C556" t="s">
        <v>90</v>
      </c>
      <c r="D556" t="s">
        <v>78</v>
      </c>
      <c r="E556" s="1" t="s">
        <v>105</v>
      </c>
      <c r="F556" t="s">
        <v>106</v>
      </c>
      <c r="G556" t="s">
        <v>25</v>
      </c>
      <c r="H556">
        <v>14</v>
      </c>
      <c r="I556">
        <v>11</v>
      </c>
    </row>
    <row r="557" spans="1:9" x14ac:dyDescent="0.25">
      <c r="A557" s="5" t="str">
        <f>TrendSheetPrdData[[#This Row],[Population]]&amp;TrendSheetPrdData[[#This Row],[Cost Basis]]&amp;TrendSheetPrdData[[#This Row],[Period]]&amp;TrendSheetPrdData[[#This Row],[Trend]]</f>
        <v>EMPLOYEEPaid2016-02-01Drug - Generic Utilization Cost</v>
      </c>
      <c r="B557" t="s">
        <v>90</v>
      </c>
      <c r="C557" t="s">
        <v>90</v>
      </c>
      <c r="D557" t="s">
        <v>78</v>
      </c>
      <c r="E557" s="1" t="s">
        <v>124</v>
      </c>
      <c r="F557" t="s">
        <v>93</v>
      </c>
      <c r="G557" t="s">
        <v>26</v>
      </c>
      <c r="H557">
        <v>15</v>
      </c>
      <c r="I557">
        <v>621686</v>
      </c>
    </row>
    <row r="558" spans="1:9" x14ac:dyDescent="0.25">
      <c r="A558" s="5" t="str">
        <f>TrendSheetPrdData[[#This Row],[Population]]&amp;TrendSheetPrdData[[#This Row],[Cost Basis]]&amp;TrendSheetPrdData[[#This Row],[Period]]&amp;TrendSheetPrdData[[#This Row],[Trend]]</f>
        <v>EMPLOYEEPaid2016-03-01Drug - Generic Utilization Cost</v>
      </c>
      <c r="B558" t="s">
        <v>90</v>
      </c>
      <c r="C558" t="s">
        <v>90</v>
      </c>
      <c r="D558" t="s">
        <v>78</v>
      </c>
      <c r="E558" s="1" t="s">
        <v>125</v>
      </c>
      <c r="F558" t="s">
        <v>93</v>
      </c>
      <c r="G558" t="s">
        <v>26</v>
      </c>
      <c r="H558">
        <v>15</v>
      </c>
      <c r="I558">
        <v>753137</v>
      </c>
    </row>
    <row r="559" spans="1:9" x14ac:dyDescent="0.25">
      <c r="A559" s="5" t="str">
        <f>TrendSheetPrdData[[#This Row],[Population]]&amp;TrendSheetPrdData[[#This Row],[Cost Basis]]&amp;TrendSheetPrdData[[#This Row],[Period]]&amp;TrendSheetPrdData[[#This Row],[Trend]]</f>
        <v>EMPLOYEEPaid2016-04-01Drug - Generic Utilization Cost</v>
      </c>
      <c r="B559" t="s">
        <v>90</v>
      </c>
      <c r="C559" t="s">
        <v>90</v>
      </c>
      <c r="D559" t="s">
        <v>78</v>
      </c>
      <c r="E559" s="1" t="s">
        <v>92</v>
      </c>
      <c r="F559" t="s">
        <v>93</v>
      </c>
      <c r="G559" t="s">
        <v>26</v>
      </c>
      <c r="H559">
        <v>15</v>
      </c>
      <c r="I559">
        <v>557389</v>
      </c>
    </row>
    <row r="560" spans="1:9" x14ac:dyDescent="0.25">
      <c r="A560" s="5" t="str">
        <f>TrendSheetPrdData[[#This Row],[Population]]&amp;TrendSheetPrdData[[#This Row],[Cost Basis]]&amp;TrendSheetPrdData[[#This Row],[Period]]&amp;TrendSheetPrdData[[#This Row],[Trend]]</f>
        <v>EMPLOYEEPaid2016-05-01Drug - Generic Utilization Cost</v>
      </c>
      <c r="B560" t="s">
        <v>90</v>
      </c>
      <c r="C560" t="s">
        <v>90</v>
      </c>
      <c r="D560" t="s">
        <v>78</v>
      </c>
      <c r="E560" s="1" t="s">
        <v>94</v>
      </c>
      <c r="F560" t="s">
        <v>93</v>
      </c>
      <c r="G560" t="s">
        <v>26</v>
      </c>
      <c r="H560">
        <v>15</v>
      </c>
      <c r="I560">
        <v>616438</v>
      </c>
    </row>
    <row r="561" spans="1:9" x14ac:dyDescent="0.25">
      <c r="A561" s="5" t="str">
        <f>TrendSheetPrdData[[#This Row],[Population]]&amp;TrendSheetPrdData[[#This Row],[Cost Basis]]&amp;TrendSheetPrdData[[#This Row],[Period]]&amp;TrendSheetPrdData[[#This Row],[Trend]]</f>
        <v>EMPLOYEEPaid2016-06-01Drug - Generic Utilization Cost</v>
      </c>
      <c r="B561" t="s">
        <v>90</v>
      </c>
      <c r="C561" t="s">
        <v>90</v>
      </c>
      <c r="D561" t="s">
        <v>78</v>
      </c>
      <c r="E561" s="1" t="s">
        <v>95</v>
      </c>
      <c r="F561" t="s">
        <v>93</v>
      </c>
      <c r="G561" t="s">
        <v>26</v>
      </c>
      <c r="H561">
        <v>15</v>
      </c>
      <c r="I561">
        <v>628542</v>
      </c>
    </row>
    <row r="562" spans="1:9" x14ac:dyDescent="0.25">
      <c r="A562" s="5" t="str">
        <f>TrendSheetPrdData[[#This Row],[Population]]&amp;TrendSheetPrdData[[#This Row],[Cost Basis]]&amp;TrendSheetPrdData[[#This Row],[Period]]&amp;TrendSheetPrdData[[#This Row],[Trend]]</f>
        <v>EMPLOYEEPaid2016-07-01Drug - Generic Utilization Cost</v>
      </c>
      <c r="B562" t="s">
        <v>90</v>
      </c>
      <c r="C562" t="s">
        <v>90</v>
      </c>
      <c r="D562" t="s">
        <v>78</v>
      </c>
      <c r="E562" s="1" t="s">
        <v>96</v>
      </c>
      <c r="F562" t="s">
        <v>93</v>
      </c>
      <c r="G562" t="s">
        <v>26</v>
      </c>
      <c r="H562">
        <v>15</v>
      </c>
      <c r="I562">
        <v>639054</v>
      </c>
    </row>
    <row r="563" spans="1:9" x14ac:dyDescent="0.25">
      <c r="A563" s="5" t="str">
        <f>TrendSheetPrdData[[#This Row],[Population]]&amp;TrendSheetPrdData[[#This Row],[Cost Basis]]&amp;TrendSheetPrdData[[#This Row],[Period]]&amp;TrendSheetPrdData[[#This Row],[Trend]]</f>
        <v>EMPLOYEEPaid2016-08-01Drug - Generic Utilization Cost</v>
      </c>
      <c r="B563" t="s">
        <v>90</v>
      </c>
      <c r="C563" t="s">
        <v>90</v>
      </c>
      <c r="D563" t="s">
        <v>78</v>
      </c>
      <c r="E563" s="1" t="s">
        <v>97</v>
      </c>
      <c r="F563" t="s">
        <v>93</v>
      </c>
      <c r="G563" t="s">
        <v>26</v>
      </c>
      <c r="H563">
        <v>15</v>
      </c>
      <c r="I563">
        <v>794992</v>
      </c>
    </row>
    <row r="564" spans="1:9" x14ac:dyDescent="0.25">
      <c r="A564" s="5" t="str">
        <f>TrendSheetPrdData[[#This Row],[Population]]&amp;TrendSheetPrdData[[#This Row],[Cost Basis]]&amp;TrendSheetPrdData[[#This Row],[Period]]&amp;TrendSheetPrdData[[#This Row],[Trend]]</f>
        <v>EMPLOYEEPaid2016-09-01Drug - Generic Utilization Cost</v>
      </c>
      <c r="B564" t="s">
        <v>90</v>
      </c>
      <c r="C564" t="s">
        <v>90</v>
      </c>
      <c r="D564" t="s">
        <v>78</v>
      </c>
      <c r="E564" s="1" t="s">
        <v>98</v>
      </c>
      <c r="F564" t="s">
        <v>93</v>
      </c>
      <c r="G564" t="s">
        <v>26</v>
      </c>
      <c r="H564">
        <v>15</v>
      </c>
      <c r="I564">
        <v>694391</v>
      </c>
    </row>
    <row r="565" spans="1:9" x14ac:dyDescent="0.25">
      <c r="A565" s="5" t="str">
        <f>TrendSheetPrdData[[#This Row],[Population]]&amp;TrendSheetPrdData[[#This Row],[Cost Basis]]&amp;TrendSheetPrdData[[#This Row],[Period]]&amp;TrendSheetPrdData[[#This Row],[Trend]]</f>
        <v>EMPLOYEEPaid2016-10-01Drug - Generic Utilization Cost</v>
      </c>
      <c r="B565" t="s">
        <v>90</v>
      </c>
      <c r="C565" t="s">
        <v>90</v>
      </c>
      <c r="D565" t="s">
        <v>78</v>
      </c>
      <c r="E565" s="1" t="s">
        <v>99</v>
      </c>
      <c r="F565" t="s">
        <v>93</v>
      </c>
      <c r="G565" t="s">
        <v>26</v>
      </c>
      <c r="H565">
        <v>15</v>
      </c>
      <c r="I565">
        <v>667522</v>
      </c>
    </row>
    <row r="566" spans="1:9" x14ac:dyDescent="0.25">
      <c r="A566" s="5" t="str">
        <f>TrendSheetPrdData[[#This Row],[Population]]&amp;TrendSheetPrdData[[#This Row],[Cost Basis]]&amp;TrendSheetPrdData[[#This Row],[Period]]&amp;TrendSheetPrdData[[#This Row],[Trend]]</f>
        <v>EMPLOYEEPaid2016-11-01Drug - Generic Utilization Cost</v>
      </c>
      <c r="B566" t="s">
        <v>90</v>
      </c>
      <c r="C566" t="s">
        <v>90</v>
      </c>
      <c r="D566" t="s">
        <v>78</v>
      </c>
      <c r="E566" s="1" t="s">
        <v>100</v>
      </c>
      <c r="F566" t="s">
        <v>93</v>
      </c>
      <c r="G566" t="s">
        <v>26</v>
      </c>
      <c r="H566">
        <v>15</v>
      </c>
      <c r="I566">
        <v>654294</v>
      </c>
    </row>
    <row r="567" spans="1:9" x14ac:dyDescent="0.25">
      <c r="A567" s="5" t="str">
        <f>TrendSheetPrdData[[#This Row],[Population]]&amp;TrendSheetPrdData[[#This Row],[Cost Basis]]&amp;TrendSheetPrdData[[#This Row],[Period]]&amp;TrendSheetPrdData[[#This Row],[Trend]]</f>
        <v>EMPLOYEEPaid2016-12-01Drug - Generic Utilization Cost</v>
      </c>
      <c r="B567" t="s">
        <v>90</v>
      </c>
      <c r="C567" t="s">
        <v>90</v>
      </c>
      <c r="D567" t="s">
        <v>78</v>
      </c>
      <c r="E567" s="1" t="s">
        <v>101</v>
      </c>
      <c r="F567" t="s">
        <v>93</v>
      </c>
      <c r="G567" t="s">
        <v>26</v>
      </c>
      <c r="H567">
        <v>15</v>
      </c>
      <c r="I567">
        <v>769423</v>
      </c>
    </row>
    <row r="568" spans="1:9" x14ac:dyDescent="0.25">
      <c r="A568" s="5" t="str">
        <f>TrendSheetPrdData[[#This Row],[Population]]&amp;TrendSheetPrdData[[#This Row],[Cost Basis]]&amp;TrendSheetPrdData[[#This Row],[Period]]&amp;TrendSheetPrdData[[#This Row],[Trend]]</f>
        <v>EMPLOYEEPaid2017-01-01Drug - Generic Utilization Cost</v>
      </c>
      <c r="B568" t="s">
        <v>90</v>
      </c>
      <c r="C568" t="s">
        <v>90</v>
      </c>
      <c r="D568" t="s">
        <v>78</v>
      </c>
      <c r="E568" s="1" t="s">
        <v>102</v>
      </c>
      <c r="F568" t="s">
        <v>93</v>
      </c>
      <c r="G568" t="s">
        <v>26</v>
      </c>
      <c r="H568">
        <v>15</v>
      </c>
      <c r="I568">
        <v>654190</v>
      </c>
    </row>
    <row r="569" spans="1:9" x14ac:dyDescent="0.25">
      <c r="A569" s="5" t="str">
        <f>TrendSheetPrdData[[#This Row],[Population]]&amp;TrendSheetPrdData[[#This Row],[Cost Basis]]&amp;TrendSheetPrdData[[#This Row],[Period]]&amp;TrendSheetPrdData[[#This Row],[Trend]]</f>
        <v>EMPLOYEEPaid2017-02-01Drug - Generic Utilization Cost</v>
      </c>
      <c r="B569" t="s">
        <v>90</v>
      </c>
      <c r="C569" t="s">
        <v>90</v>
      </c>
      <c r="D569" t="s">
        <v>78</v>
      </c>
      <c r="E569" s="1" t="s">
        <v>103</v>
      </c>
      <c r="F569" t="s">
        <v>106</v>
      </c>
      <c r="G569" t="s">
        <v>26</v>
      </c>
      <c r="H569">
        <v>15</v>
      </c>
      <c r="I569">
        <v>607549</v>
      </c>
    </row>
    <row r="570" spans="1:9" x14ac:dyDescent="0.25">
      <c r="A570" s="5" t="str">
        <f>TrendSheetPrdData[[#This Row],[Population]]&amp;TrendSheetPrdData[[#This Row],[Cost Basis]]&amp;TrendSheetPrdData[[#This Row],[Period]]&amp;TrendSheetPrdData[[#This Row],[Trend]]</f>
        <v>EMPLOYEEPaid2017-03-01Drug - Generic Utilization Cost</v>
      </c>
      <c r="B570" t="s">
        <v>90</v>
      </c>
      <c r="C570" t="s">
        <v>90</v>
      </c>
      <c r="D570" t="s">
        <v>78</v>
      </c>
      <c r="E570" s="1" t="s">
        <v>104</v>
      </c>
      <c r="F570" t="s">
        <v>106</v>
      </c>
      <c r="G570" t="s">
        <v>26</v>
      </c>
      <c r="H570">
        <v>15</v>
      </c>
      <c r="I570">
        <v>655334</v>
      </c>
    </row>
    <row r="571" spans="1:9" x14ac:dyDescent="0.25">
      <c r="A571" s="5" t="str">
        <f>TrendSheetPrdData[[#This Row],[Population]]&amp;TrendSheetPrdData[[#This Row],[Cost Basis]]&amp;TrendSheetPrdData[[#This Row],[Period]]&amp;TrendSheetPrdData[[#This Row],[Trend]]</f>
        <v>EMPLOYEEPaid2017-04-01Drug - Generic Utilization Cost</v>
      </c>
      <c r="B571" t="s">
        <v>90</v>
      </c>
      <c r="C571" t="s">
        <v>90</v>
      </c>
      <c r="D571" t="s">
        <v>78</v>
      </c>
      <c r="E571" s="1" t="s">
        <v>105</v>
      </c>
      <c r="F571" t="s">
        <v>106</v>
      </c>
      <c r="G571" t="s">
        <v>26</v>
      </c>
      <c r="H571">
        <v>15</v>
      </c>
      <c r="I571">
        <v>584602</v>
      </c>
    </row>
    <row r="572" spans="1:9" x14ac:dyDescent="0.25">
      <c r="A572" s="5" t="str">
        <f>TrendSheetPrdData[[#This Row],[Population]]&amp;TrendSheetPrdData[[#This Row],[Cost Basis]]&amp;TrendSheetPrdData[[#This Row],[Period]]&amp;TrendSheetPrdData[[#This Row],[Trend]]</f>
        <v>EMPLOYEEPaid2016-02-01Drug - Generic Utilization</v>
      </c>
      <c r="B572" t="s">
        <v>90</v>
      </c>
      <c r="C572" t="s">
        <v>90</v>
      </c>
      <c r="D572" t="s">
        <v>78</v>
      </c>
      <c r="E572" s="1" t="s">
        <v>124</v>
      </c>
      <c r="F572" t="s">
        <v>93</v>
      </c>
      <c r="G572" t="s">
        <v>27</v>
      </c>
      <c r="H572">
        <v>16</v>
      </c>
      <c r="I572">
        <v>0.86</v>
      </c>
    </row>
    <row r="573" spans="1:9" x14ac:dyDescent="0.25">
      <c r="A573" s="5" t="str">
        <f>TrendSheetPrdData[[#This Row],[Population]]&amp;TrendSheetPrdData[[#This Row],[Cost Basis]]&amp;TrendSheetPrdData[[#This Row],[Period]]&amp;TrendSheetPrdData[[#This Row],[Trend]]</f>
        <v>EMPLOYEEPaid2016-03-01Drug - Generic Utilization</v>
      </c>
      <c r="B573" t="s">
        <v>90</v>
      </c>
      <c r="C573" t="s">
        <v>90</v>
      </c>
      <c r="D573" t="s">
        <v>78</v>
      </c>
      <c r="E573" s="1" t="s">
        <v>125</v>
      </c>
      <c r="F573" t="s">
        <v>93</v>
      </c>
      <c r="G573" t="s">
        <v>27</v>
      </c>
      <c r="H573">
        <v>16</v>
      </c>
      <c r="I573">
        <v>0.87</v>
      </c>
    </row>
    <row r="574" spans="1:9" x14ac:dyDescent="0.25">
      <c r="A574" s="5" t="str">
        <f>TrendSheetPrdData[[#This Row],[Population]]&amp;TrendSheetPrdData[[#This Row],[Cost Basis]]&amp;TrendSheetPrdData[[#This Row],[Period]]&amp;TrendSheetPrdData[[#This Row],[Trend]]</f>
        <v>EMPLOYEEPaid2016-04-01Drug - Generic Utilization</v>
      </c>
      <c r="B574" t="s">
        <v>90</v>
      </c>
      <c r="C574" t="s">
        <v>90</v>
      </c>
      <c r="D574" t="s">
        <v>78</v>
      </c>
      <c r="E574" s="1" t="s">
        <v>92</v>
      </c>
      <c r="F574" t="s">
        <v>93</v>
      </c>
      <c r="G574" t="s">
        <v>27</v>
      </c>
      <c r="H574">
        <v>16</v>
      </c>
      <c r="I574">
        <v>0.87</v>
      </c>
    </row>
    <row r="575" spans="1:9" x14ac:dyDescent="0.25">
      <c r="A575" s="5" t="str">
        <f>TrendSheetPrdData[[#This Row],[Population]]&amp;TrendSheetPrdData[[#This Row],[Cost Basis]]&amp;TrendSheetPrdData[[#This Row],[Period]]&amp;TrendSheetPrdData[[#This Row],[Trend]]</f>
        <v>EMPLOYEEPaid2016-05-01Drug - Generic Utilization</v>
      </c>
      <c r="B575" t="s">
        <v>90</v>
      </c>
      <c r="C575" t="s">
        <v>90</v>
      </c>
      <c r="D575" t="s">
        <v>78</v>
      </c>
      <c r="E575" s="1" t="s">
        <v>94</v>
      </c>
      <c r="F575" t="s">
        <v>93</v>
      </c>
      <c r="G575" t="s">
        <v>27</v>
      </c>
      <c r="H575">
        <v>16</v>
      </c>
      <c r="I575">
        <v>0.88</v>
      </c>
    </row>
    <row r="576" spans="1:9" x14ac:dyDescent="0.25">
      <c r="A576" s="5" t="str">
        <f>TrendSheetPrdData[[#This Row],[Population]]&amp;TrendSheetPrdData[[#This Row],[Cost Basis]]&amp;TrendSheetPrdData[[#This Row],[Period]]&amp;TrendSheetPrdData[[#This Row],[Trend]]</f>
        <v>EMPLOYEEPaid2016-06-01Drug - Generic Utilization</v>
      </c>
      <c r="B576" t="s">
        <v>90</v>
      </c>
      <c r="C576" t="s">
        <v>90</v>
      </c>
      <c r="D576" t="s">
        <v>78</v>
      </c>
      <c r="E576" s="1" t="s">
        <v>95</v>
      </c>
      <c r="F576" t="s">
        <v>93</v>
      </c>
      <c r="G576" t="s">
        <v>27</v>
      </c>
      <c r="H576">
        <v>16</v>
      </c>
      <c r="I576">
        <v>0.88</v>
      </c>
    </row>
    <row r="577" spans="1:9" x14ac:dyDescent="0.25">
      <c r="A577" s="5" t="str">
        <f>TrendSheetPrdData[[#This Row],[Population]]&amp;TrendSheetPrdData[[#This Row],[Cost Basis]]&amp;TrendSheetPrdData[[#This Row],[Period]]&amp;TrendSheetPrdData[[#This Row],[Trend]]</f>
        <v>EMPLOYEEPaid2016-07-01Drug - Generic Utilization</v>
      </c>
      <c r="B577" t="s">
        <v>90</v>
      </c>
      <c r="C577" t="s">
        <v>90</v>
      </c>
      <c r="D577" t="s">
        <v>78</v>
      </c>
      <c r="E577" s="1" t="s">
        <v>96</v>
      </c>
      <c r="F577" t="s">
        <v>93</v>
      </c>
      <c r="G577" t="s">
        <v>27</v>
      </c>
      <c r="H577">
        <v>16</v>
      </c>
      <c r="I577">
        <v>0.87</v>
      </c>
    </row>
    <row r="578" spans="1:9" x14ac:dyDescent="0.25">
      <c r="A578" s="5" t="str">
        <f>TrendSheetPrdData[[#This Row],[Population]]&amp;TrendSheetPrdData[[#This Row],[Cost Basis]]&amp;TrendSheetPrdData[[#This Row],[Period]]&amp;TrendSheetPrdData[[#This Row],[Trend]]</f>
        <v>EMPLOYEEPaid2016-08-01Drug - Generic Utilization</v>
      </c>
      <c r="B578" t="s">
        <v>90</v>
      </c>
      <c r="C578" t="s">
        <v>90</v>
      </c>
      <c r="D578" t="s">
        <v>78</v>
      </c>
      <c r="E578" s="1" t="s">
        <v>97</v>
      </c>
      <c r="F578" t="s">
        <v>93</v>
      </c>
      <c r="G578" t="s">
        <v>27</v>
      </c>
      <c r="H578">
        <v>16</v>
      </c>
      <c r="I578">
        <v>0.87</v>
      </c>
    </row>
    <row r="579" spans="1:9" x14ac:dyDescent="0.25">
      <c r="A579" s="5" t="str">
        <f>TrendSheetPrdData[[#This Row],[Population]]&amp;TrendSheetPrdData[[#This Row],[Cost Basis]]&amp;TrendSheetPrdData[[#This Row],[Period]]&amp;TrendSheetPrdData[[#This Row],[Trend]]</f>
        <v>EMPLOYEEPaid2016-09-01Drug - Generic Utilization</v>
      </c>
      <c r="B579" t="s">
        <v>90</v>
      </c>
      <c r="C579" t="s">
        <v>90</v>
      </c>
      <c r="D579" t="s">
        <v>78</v>
      </c>
      <c r="E579" s="1" t="s">
        <v>98</v>
      </c>
      <c r="F579" t="s">
        <v>93</v>
      </c>
      <c r="G579" t="s">
        <v>27</v>
      </c>
      <c r="H579">
        <v>16</v>
      </c>
      <c r="I579">
        <v>0.88</v>
      </c>
    </row>
    <row r="580" spans="1:9" x14ac:dyDescent="0.25">
      <c r="A580" s="5" t="str">
        <f>TrendSheetPrdData[[#This Row],[Population]]&amp;TrendSheetPrdData[[#This Row],[Cost Basis]]&amp;TrendSheetPrdData[[#This Row],[Period]]&amp;TrendSheetPrdData[[#This Row],[Trend]]</f>
        <v>EMPLOYEEPaid2016-10-01Drug - Generic Utilization</v>
      </c>
      <c r="B580" t="s">
        <v>90</v>
      </c>
      <c r="C580" t="s">
        <v>90</v>
      </c>
      <c r="D580" t="s">
        <v>78</v>
      </c>
      <c r="E580" s="1" t="s">
        <v>99</v>
      </c>
      <c r="F580" t="s">
        <v>93</v>
      </c>
      <c r="G580" t="s">
        <v>27</v>
      </c>
      <c r="H580">
        <v>16</v>
      </c>
      <c r="I580">
        <v>0.88</v>
      </c>
    </row>
    <row r="581" spans="1:9" x14ac:dyDescent="0.25">
      <c r="A581" s="5" t="str">
        <f>TrendSheetPrdData[[#This Row],[Population]]&amp;TrendSheetPrdData[[#This Row],[Cost Basis]]&amp;TrendSheetPrdData[[#This Row],[Period]]&amp;TrendSheetPrdData[[#This Row],[Trend]]</f>
        <v>EMPLOYEEPaid2016-11-01Drug - Generic Utilization</v>
      </c>
      <c r="B581" t="s">
        <v>90</v>
      </c>
      <c r="C581" t="s">
        <v>90</v>
      </c>
      <c r="D581" t="s">
        <v>78</v>
      </c>
      <c r="E581" s="1" t="s">
        <v>100</v>
      </c>
      <c r="F581" t="s">
        <v>93</v>
      </c>
      <c r="G581" t="s">
        <v>27</v>
      </c>
      <c r="H581">
        <v>16</v>
      </c>
      <c r="I581">
        <v>0.87</v>
      </c>
    </row>
    <row r="582" spans="1:9" x14ac:dyDescent="0.25">
      <c r="A582" s="5" t="str">
        <f>TrendSheetPrdData[[#This Row],[Population]]&amp;TrendSheetPrdData[[#This Row],[Cost Basis]]&amp;TrendSheetPrdData[[#This Row],[Period]]&amp;TrendSheetPrdData[[#This Row],[Trend]]</f>
        <v>EMPLOYEEPaid2016-12-01Drug - Generic Utilization</v>
      </c>
      <c r="B582" t="s">
        <v>90</v>
      </c>
      <c r="C582" t="s">
        <v>90</v>
      </c>
      <c r="D582" t="s">
        <v>78</v>
      </c>
      <c r="E582" s="1" t="s">
        <v>101</v>
      </c>
      <c r="F582" t="s">
        <v>93</v>
      </c>
      <c r="G582" t="s">
        <v>27</v>
      </c>
      <c r="H582">
        <v>16</v>
      </c>
      <c r="I582">
        <v>0.88</v>
      </c>
    </row>
    <row r="583" spans="1:9" x14ac:dyDescent="0.25">
      <c r="A583" s="5" t="str">
        <f>TrendSheetPrdData[[#This Row],[Population]]&amp;TrendSheetPrdData[[#This Row],[Cost Basis]]&amp;TrendSheetPrdData[[#This Row],[Period]]&amp;TrendSheetPrdData[[#This Row],[Trend]]</f>
        <v>EMPLOYEEPaid2017-01-01Drug - Generic Utilization</v>
      </c>
      <c r="B583" t="s">
        <v>90</v>
      </c>
      <c r="C583" t="s">
        <v>90</v>
      </c>
      <c r="D583" t="s">
        <v>78</v>
      </c>
      <c r="E583" s="1" t="s">
        <v>102</v>
      </c>
      <c r="F583" t="s">
        <v>93</v>
      </c>
      <c r="G583" t="s">
        <v>27</v>
      </c>
      <c r="H583">
        <v>16</v>
      </c>
      <c r="I583">
        <v>0.88</v>
      </c>
    </row>
    <row r="584" spans="1:9" x14ac:dyDescent="0.25">
      <c r="A584" s="5" t="str">
        <f>TrendSheetPrdData[[#This Row],[Population]]&amp;TrendSheetPrdData[[#This Row],[Cost Basis]]&amp;TrendSheetPrdData[[#This Row],[Period]]&amp;TrendSheetPrdData[[#This Row],[Trend]]</f>
        <v>EMPLOYEEPaid2017-02-01Drug - Generic Utilization</v>
      </c>
      <c r="B584" t="s">
        <v>90</v>
      </c>
      <c r="C584" t="s">
        <v>90</v>
      </c>
      <c r="D584" t="s">
        <v>78</v>
      </c>
      <c r="E584" s="1" t="s">
        <v>103</v>
      </c>
      <c r="F584" t="s">
        <v>106</v>
      </c>
      <c r="G584" t="s">
        <v>27</v>
      </c>
      <c r="H584">
        <v>16</v>
      </c>
      <c r="I584">
        <v>0.87</v>
      </c>
    </row>
    <row r="585" spans="1:9" x14ac:dyDescent="0.25">
      <c r="A585" s="5" t="str">
        <f>TrendSheetPrdData[[#This Row],[Population]]&amp;TrendSheetPrdData[[#This Row],[Cost Basis]]&amp;TrendSheetPrdData[[#This Row],[Period]]&amp;TrendSheetPrdData[[#This Row],[Trend]]</f>
        <v>EMPLOYEEPaid2017-03-01Drug - Generic Utilization</v>
      </c>
      <c r="B585" t="s">
        <v>90</v>
      </c>
      <c r="C585" t="s">
        <v>90</v>
      </c>
      <c r="D585" t="s">
        <v>78</v>
      </c>
      <c r="E585" s="1" t="s">
        <v>104</v>
      </c>
      <c r="F585" t="s">
        <v>106</v>
      </c>
      <c r="G585" t="s">
        <v>27</v>
      </c>
      <c r="H585">
        <v>16</v>
      </c>
      <c r="I585">
        <v>0.89</v>
      </c>
    </row>
    <row r="586" spans="1:9" x14ac:dyDescent="0.25">
      <c r="A586" s="5" t="str">
        <f>TrendSheetPrdData[[#This Row],[Population]]&amp;TrendSheetPrdData[[#This Row],[Cost Basis]]&amp;TrendSheetPrdData[[#This Row],[Period]]&amp;TrendSheetPrdData[[#This Row],[Trend]]</f>
        <v>EMPLOYEEPaid2017-04-01Drug - Generic Utilization</v>
      </c>
      <c r="B586" t="s">
        <v>90</v>
      </c>
      <c r="C586" t="s">
        <v>90</v>
      </c>
      <c r="D586" t="s">
        <v>78</v>
      </c>
      <c r="E586" s="1" t="s">
        <v>105</v>
      </c>
      <c r="F586" t="s">
        <v>106</v>
      </c>
      <c r="G586" t="s">
        <v>27</v>
      </c>
      <c r="H586">
        <v>16</v>
      </c>
      <c r="I586">
        <v>0.89</v>
      </c>
    </row>
    <row r="587" spans="1:9" x14ac:dyDescent="0.25">
      <c r="A587" s="5" t="str">
        <f>TrendSheetPrdData[[#This Row],[Population]]&amp;TrendSheetPrdData[[#This Row],[Cost Basis]]&amp;TrendSheetPrdData[[#This Row],[Period]]&amp;TrendSheetPrdData[[#This Row],[Trend]]</f>
        <v>EMPLOYEEPaid2016-02-01Chronic Disease Management - Cost</v>
      </c>
      <c r="B587" t="s">
        <v>90</v>
      </c>
      <c r="C587" t="s">
        <v>90</v>
      </c>
      <c r="D587" t="s">
        <v>78</v>
      </c>
      <c r="E587" s="1" t="s">
        <v>124</v>
      </c>
      <c r="F587" t="s">
        <v>93</v>
      </c>
      <c r="G587" t="s">
        <v>28</v>
      </c>
      <c r="H587">
        <v>17</v>
      </c>
      <c r="I587">
        <v>2615268</v>
      </c>
    </row>
    <row r="588" spans="1:9" x14ac:dyDescent="0.25">
      <c r="A588" s="5" t="str">
        <f>TrendSheetPrdData[[#This Row],[Population]]&amp;TrendSheetPrdData[[#This Row],[Cost Basis]]&amp;TrendSheetPrdData[[#This Row],[Period]]&amp;TrendSheetPrdData[[#This Row],[Trend]]</f>
        <v>EMPLOYEEPaid2016-03-01Chronic Disease Management - Cost</v>
      </c>
      <c r="B588" t="s">
        <v>90</v>
      </c>
      <c r="C588" t="s">
        <v>90</v>
      </c>
      <c r="D588" t="s">
        <v>78</v>
      </c>
      <c r="E588" s="1" t="s">
        <v>125</v>
      </c>
      <c r="F588" t="s">
        <v>93</v>
      </c>
      <c r="G588" t="s">
        <v>28</v>
      </c>
      <c r="H588">
        <v>17</v>
      </c>
      <c r="I588">
        <v>3044679</v>
      </c>
    </row>
    <row r="589" spans="1:9" x14ac:dyDescent="0.25">
      <c r="A589" s="5" t="str">
        <f>TrendSheetPrdData[[#This Row],[Population]]&amp;TrendSheetPrdData[[#This Row],[Cost Basis]]&amp;TrendSheetPrdData[[#This Row],[Period]]&amp;TrendSheetPrdData[[#This Row],[Trend]]</f>
        <v>EMPLOYEEPaid2016-04-01Chronic Disease Management - Cost</v>
      </c>
      <c r="B589" t="s">
        <v>90</v>
      </c>
      <c r="C589" t="s">
        <v>90</v>
      </c>
      <c r="D589" t="s">
        <v>78</v>
      </c>
      <c r="E589" s="1" t="s">
        <v>92</v>
      </c>
      <c r="F589" t="s">
        <v>93</v>
      </c>
      <c r="G589" t="s">
        <v>28</v>
      </c>
      <c r="H589">
        <v>17</v>
      </c>
      <c r="I589">
        <v>2284418</v>
      </c>
    </row>
    <row r="590" spans="1:9" x14ac:dyDescent="0.25">
      <c r="A590" s="5" t="str">
        <f>TrendSheetPrdData[[#This Row],[Population]]&amp;TrendSheetPrdData[[#This Row],[Cost Basis]]&amp;TrendSheetPrdData[[#This Row],[Period]]&amp;TrendSheetPrdData[[#This Row],[Trend]]</f>
        <v>EMPLOYEEPaid2016-05-01Chronic Disease Management - Cost</v>
      </c>
      <c r="B590" t="s">
        <v>90</v>
      </c>
      <c r="C590" t="s">
        <v>90</v>
      </c>
      <c r="D590" t="s">
        <v>78</v>
      </c>
      <c r="E590" s="1" t="s">
        <v>94</v>
      </c>
      <c r="F590" t="s">
        <v>93</v>
      </c>
      <c r="G590" t="s">
        <v>28</v>
      </c>
      <c r="H590">
        <v>17</v>
      </c>
      <c r="I590">
        <v>2228850</v>
      </c>
    </row>
    <row r="591" spans="1:9" x14ac:dyDescent="0.25">
      <c r="A591" s="5" t="str">
        <f>TrendSheetPrdData[[#This Row],[Population]]&amp;TrendSheetPrdData[[#This Row],[Cost Basis]]&amp;TrendSheetPrdData[[#This Row],[Period]]&amp;TrendSheetPrdData[[#This Row],[Trend]]</f>
        <v>EMPLOYEEPaid2016-06-01Chronic Disease Management - Cost</v>
      </c>
      <c r="B591" t="s">
        <v>90</v>
      </c>
      <c r="C591" t="s">
        <v>90</v>
      </c>
      <c r="D591" t="s">
        <v>78</v>
      </c>
      <c r="E591" s="1" t="s">
        <v>95</v>
      </c>
      <c r="F591" t="s">
        <v>93</v>
      </c>
      <c r="G591" t="s">
        <v>28</v>
      </c>
      <c r="H591">
        <v>17</v>
      </c>
      <c r="I591">
        <v>2648091</v>
      </c>
    </row>
    <row r="592" spans="1:9" x14ac:dyDescent="0.25">
      <c r="A592" s="5" t="str">
        <f>TrendSheetPrdData[[#This Row],[Population]]&amp;TrendSheetPrdData[[#This Row],[Cost Basis]]&amp;TrendSheetPrdData[[#This Row],[Period]]&amp;TrendSheetPrdData[[#This Row],[Trend]]</f>
        <v>EMPLOYEEPaid2016-07-01Chronic Disease Management - Cost</v>
      </c>
      <c r="B592" t="s">
        <v>90</v>
      </c>
      <c r="C592" t="s">
        <v>90</v>
      </c>
      <c r="D592" t="s">
        <v>78</v>
      </c>
      <c r="E592" s="1" t="s">
        <v>96</v>
      </c>
      <c r="F592" t="s">
        <v>93</v>
      </c>
      <c r="G592" t="s">
        <v>28</v>
      </c>
      <c r="H592">
        <v>17</v>
      </c>
      <c r="I592">
        <v>2276191</v>
      </c>
    </row>
    <row r="593" spans="1:9" x14ac:dyDescent="0.25">
      <c r="A593" s="5" t="str">
        <f>TrendSheetPrdData[[#This Row],[Population]]&amp;TrendSheetPrdData[[#This Row],[Cost Basis]]&amp;TrendSheetPrdData[[#This Row],[Period]]&amp;TrendSheetPrdData[[#This Row],[Trend]]</f>
        <v>EMPLOYEEPaid2016-08-01Chronic Disease Management - Cost</v>
      </c>
      <c r="B593" t="s">
        <v>90</v>
      </c>
      <c r="C593" t="s">
        <v>90</v>
      </c>
      <c r="D593" t="s">
        <v>78</v>
      </c>
      <c r="E593" s="1" t="s">
        <v>97</v>
      </c>
      <c r="F593" t="s">
        <v>93</v>
      </c>
      <c r="G593" t="s">
        <v>28</v>
      </c>
      <c r="H593">
        <v>17</v>
      </c>
      <c r="I593">
        <v>2342803</v>
      </c>
    </row>
    <row r="594" spans="1:9" x14ac:dyDescent="0.25">
      <c r="A594" s="5" t="str">
        <f>TrendSheetPrdData[[#This Row],[Population]]&amp;TrendSheetPrdData[[#This Row],[Cost Basis]]&amp;TrendSheetPrdData[[#This Row],[Period]]&amp;TrendSheetPrdData[[#This Row],[Trend]]</f>
        <v>EMPLOYEEPaid2016-09-01Chronic Disease Management - Cost</v>
      </c>
      <c r="B594" t="s">
        <v>90</v>
      </c>
      <c r="C594" t="s">
        <v>90</v>
      </c>
      <c r="D594" t="s">
        <v>78</v>
      </c>
      <c r="E594" s="1" t="s">
        <v>98</v>
      </c>
      <c r="F594" t="s">
        <v>93</v>
      </c>
      <c r="G594" t="s">
        <v>28</v>
      </c>
      <c r="H594">
        <v>17</v>
      </c>
      <c r="I594">
        <v>2799230</v>
      </c>
    </row>
    <row r="595" spans="1:9" x14ac:dyDescent="0.25">
      <c r="A595" s="5" t="str">
        <f>TrendSheetPrdData[[#This Row],[Population]]&amp;TrendSheetPrdData[[#This Row],[Cost Basis]]&amp;TrendSheetPrdData[[#This Row],[Period]]&amp;TrendSheetPrdData[[#This Row],[Trend]]</f>
        <v>EMPLOYEEPaid2016-10-01Chronic Disease Management - Cost</v>
      </c>
      <c r="B595" t="s">
        <v>90</v>
      </c>
      <c r="C595" t="s">
        <v>90</v>
      </c>
      <c r="D595" t="s">
        <v>78</v>
      </c>
      <c r="E595" s="1" t="s">
        <v>99</v>
      </c>
      <c r="F595" t="s">
        <v>93</v>
      </c>
      <c r="G595" t="s">
        <v>28</v>
      </c>
      <c r="H595">
        <v>17</v>
      </c>
      <c r="I595">
        <v>2462057</v>
      </c>
    </row>
    <row r="596" spans="1:9" x14ac:dyDescent="0.25">
      <c r="A596" s="5" t="str">
        <f>TrendSheetPrdData[[#This Row],[Population]]&amp;TrendSheetPrdData[[#This Row],[Cost Basis]]&amp;TrendSheetPrdData[[#This Row],[Period]]&amp;TrendSheetPrdData[[#This Row],[Trend]]</f>
        <v>EMPLOYEEPaid2016-11-01Chronic Disease Management - Cost</v>
      </c>
      <c r="B596" t="s">
        <v>90</v>
      </c>
      <c r="C596" t="s">
        <v>90</v>
      </c>
      <c r="D596" t="s">
        <v>78</v>
      </c>
      <c r="E596" s="1" t="s">
        <v>100</v>
      </c>
      <c r="F596" t="s">
        <v>93</v>
      </c>
      <c r="G596" t="s">
        <v>28</v>
      </c>
      <c r="H596">
        <v>17</v>
      </c>
      <c r="I596">
        <v>2695577</v>
      </c>
    </row>
    <row r="597" spans="1:9" x14ac:dyDescent="0.25">
      <c r="A597" s="5" t="str">
        <f>TrendSheetPrdData[[#This Row],[Population]]&amp;TrendSheetPrdData[[#This Row],[Cost Basis]]&amp;TrendSheetPrdData[[#This Row],[Period]]&amp;TrendSheetPrdData[[#This Row],[Trend]]</f>
        <v>EMPLOYEEPaid2016-12-01Chronic Disease Management - Cost</v>
      </c>
      <c r="B597" t="s">
        <v>90</v>
      </c>
      <c r="C597" t="s">
        <v>90</v>
      </c>
      <c r="D597" t="s">
        <v>78</v>
      </c>
      <c r="E597" s="1" t="s">
        <v>101</v>
      </c>
      <c r="F597" t="s">
        <v>93</v>
      </c>
      <c r="G597" t="s">
        <v>28</v>
      </c>
      <c r="H597">
        <v>17</v>
      </c>
      <c r="I597">
        <v>2899383</v>
      </c>
    </row>
    <row r="598" spans="1:9" x14ac:dyDescent="0.25">
      <c r="A598" s="5" t="str">
        <f>TrendSheetPrdData[[#This Row],[Population]]&amp;TrendSheetPrdData[[#This Row],[Cost Basis]]&amp;TrendSheetPrdData[[#This Row],[Period]]&amp;TrendSheetPrdData[[#This Row],[Trend]]</f>
        <v>EMPLOYEEPaid2017-01-01Chronic Disease Management - Cost</v>
      </c>
      <c r="B598" t="s">
        <v>90</v>
      </c>
      <c r="C598" t="s">
        <v>90</v>
      </c>
      <c r="D598" t="s">
        <v>78</v>
      </c>
      <c r="E598" s="1" t="s">
        <v>102</v>
      </c>
      <c r="F598" t="s">
        <v>93</v>
      </c>
      <c r="G598" t="s">
        <v>28</v>
      </c>
      <c r="H598">
        <v>17</v>
      </c>
      <c r="I598">
        <v>2120033</v>
      </c>
    </row>
    <row r="599" spans="1:9" x14ac:dyDescent="0.25">
      <c r="A599" s="5" t="str">
        <f>TrendSheetPrdData[[#This Row],[Population]]&amp;TrendSheetPrdData[[#This Row],[Cost Basis]]&amp;TrendSheetPrdData[[#This Row],[Period]]&amp;TrendSheetPrdData[[#This Row],[Trend]]</f>
        <v>EMPLOYEEPaid2017-02-01Chronic Disease Management - Cost</v>
      </c>
      <c r="B599" t="s">
        <v>90</v>
      </c>
      <c r="C599" t="s">
        <v>90</v>
      </c>
      <c r="D599" t="s">
        <v>78</v>
      </c>
      <c r="E599" s="1" t="s">
        <v>103</v>
      </c>
      <c r="F599" t="s">
        <v>106</v>
      </c>
      <c r="G599" t="s">
        <v>28</v>
      </c>
      <c r="H599">
        <v>17</v>
      </c>
      <c r="I599">
        <v>2396912</v>
      </c>
    </row>
    <row r="600" spans="1:9" x14ac:dyDescent="0.25">
      <c r="A600" s="5" t="str">
        <f>TrendSheetPrdData[[#This Row],[Population]]&amp;TrendSheetPrdData[[#This Row],[Cost Basis]]&amp;TrendSheetPrdData[[#This Row],[Period]]&amp;TrendSheetPrdData[[#This Row],[Trend]]</f>
        <v>EMPLOYEEPaid2017-03-01Chronic Disease Management - Cost</v>
      </c>
      <c r="B600" t="s">
        <v>90</v>
      </c>
      <c r="C600" t="s">
        <v>90</v>
      </c>
      <c r="D600" t="s">
        <v>78</v>
      </c>
      <c r="E600" s="1" t="s">
        <v>104</v>
      </c>
      <c r="F600" t="s">
        <v>106</v>
      </c>
      <c r="G600" t="s">
        <v>28</v>
      </c>
      <c r="H600">
        <v>17</v>
      </c>
      <c r="I600">
        <v>2516770</v>
      </c>
    </row>
    <row r="601" spans="1:9" x14ac:dyDescent="0.25">
      <c r="A601" s="5" t="str">
        <f>TrendSheetPrdData[[#This Row],[Population]]&amp;TrendSheetPrdData[[#This Row],[Cost Basis]]&amp;TrendSheetPrdData[[#This Row],[Period]]&amp;TrendSheetPrdData[[#This Row],[Trend]]</f>
        <v>EMPLOYEEPaid2017-04-01Chronic Disease Management - Cost</v>
      </c>
      <c r="B601" t="s">
        <v>90</v>
      </c>
      <c r="C601" t="s">
        <v>90</v>
      </c>
      <c r="D601" t="s">
        <v>78</v>
      </c>
      <c r="E601" s="1" t="s">
        <v>105</v>
      </c>
      <c r="F601" t="s">
        <v>106</v>
      </c>
      <c r="G601" t="s">
        <v>28</v>
      </c>
      <c r="H601">
        <v>17</v>
      </c>
      <c r="I601">
        <v>895890</v>
      </c>
    </row>
    <row r="602" spans="1:9" x14ac:dyDescent="0.25">
      <c r="A602" s="5" t="str">
        <f>TrendSheetPrdData[[#This Row],[Population]]&amp;TrendSheetPrdData[[#This Row],[Cost Basis]]&amp;TrendSheetPrdData[[#This Row],[Period]]&amp;TrendSheetPrdData[[#This Row],[Trend]]</f>
        <v>EMPLOYEEPaid2016-02-01Chronic Disease Management - Members</v>
      </c>
      <c r="B602" t="s">
        <v>90</v>
      </c>
      <c r="C602" t="s">
        <v>90</v>
      </c>
      <c r="D602" t="s">
        <v>78</v>
      </c>
      <c r="E602" s="1" t="s">
        <v>124</v>
      </c>
      <c r="F602" t="s">
        <v>93</v>
      </c>
      <c r="G602" t="s">
        <v>29</v>
      </c>
      <c r="H602">
        <v>18</v>
      </c>
      <c r="I602">
        <v>292.8</v>
      </c>
    </row>
    <row r="603" spans="1:9" x14ac:dyDescent="0.25">
      <c r="A603" s="5" t="str">
        <f>TrendSheetPrdData[[#This Row],[Population]]&amp;TrendSheetPrdData[[#This Row],[Cost Basis]]&amp;TrendSheetPrdData[[#This Row],[Period]]&amp;TrendSheetPrdData[[#This Row],[Trend]]</f>
        <v>EMPLOYEEPaid2016-03-01Chronic Disease Management - Members</v>
      </c>
      <c r="B603" t="s">
        <v>90</v>
      </c>
      <c r="C603" t="s">
        <v>90</v>
      </c>
      <c r="D603" t="s">
        <v>78</v>
      </c>
      <c r="E603" s="1" t="s">
        <v>125</v>
      </c>
      <c r="F603" t="s">
        <v>93</v>
      </c>
      <c r="G603" t="s">
        <v>29</v>
      </c>
      <c r="H603">
        <v>18</v>
      </c>
      <c r="I603">
        <v>298.05</v>
      </c>
    </row>
    <row r="604" spans="1:9" x14ac:dyDescent="0.25">
      <c r="A604" s="5" t="str">
        <f>TrendSheetPrdData[[#This Row],[Population]]&amp;TrendSheetPrdData[[#This Row],[Cost Basis]]&amp;TrendSheetPrdData[[#This Row],[Period]]&amp;TrendSheetPrdData[[#This Row],[Trend]]</f>
        <v>EMPLOYEEPaid2016-04-01Chronic Disease Management - Members</v>
      </c>
      <c r="B604" t="s">
        <v>90</v>
      </c>
      <c r="C604" t="s">
        <v>90</v>
      </c>
      <c r="D604" t="s">
        <v>78</v>
      </c>
      <c r="E604" s="1" t="s">
        <v>92</v>
      </c>
      <c r="F604" t="s">
        <v>93</v>
      </c>
      <c r="G604" t="s">
        <v>29</v>
      </c>
      <c r="H604">
        <v>18</v>
      </c>
      <c r="I604">
        <v>300.63</v>
      </c>
    </row>
    <row r="605" spans="1:9" x14ac:dyDescent="0.25">
      <c r="A605" s="5" t="str">
        <f>TrendSheetPrdData[[#This Row],[Population]]&amp;TrendSheetPrdData[[#This Row],[Cost Basis]]&amp;TrendSheetPrdData[[#This Row],[Period]]&amp;TrendSheetPrdData[[#This Row],[Trend]]</f>
        <v>EMPLOYEEPaid2016-05-01Chronic Disease Management - Members</v>
      </c>
      <c r="B605" t="s">
        <v>90</v>
      </c>
      <c r="C605" t="s">
        <v>90</v>
      </c>
      <c r="D605" t="s">
        <v>78</v>
      </c>
      <c r="E605" s="1" t="s">
        <v>94</v>
      </c>
      <c r="F605" t="s">
        <v>93</v>
      </c>
      <c r="G605" t="s">
        <v>29</v>
      </c>
      <c r="H605">
        <v>18</v>
      </c>
      <c r="I605">
        <v>304.10000000000002</v>
      </c>
    </row>
    <row r="606" spans="1:9" x14ac:dyDescent="0.25">
      <c r="A606" s="5" t="str">
        <f>TrendSheetPrdData[[#This Row],[Population]]&amp;TrendSheetPrdData[[#This Row],[Cost Basis]]&amp;TrendSheetPrdData[[#This Row],[Period]]&amp;TrendSheetPrdData[[#This Row],[Trend]]</f>
        <v>EMPLOYEEPaid2016-06-01Chronic Disease Management - Members</v>
      </c>
      <c r="B606" t="s">
        <v>90</v>
      </c>
      <c r="C606" t="s">
        <v>90</v>
      </c>
      <c r="D606" t="s">
        <v>78</v>
      </c>
      <c r="E606" s="1" t="s">
        <v>95</v>
      </c>
      <c r="F606" t="s">
        <v>93</v>
      </c>
      <c r="G606" t="s">
        <v>29</v>
      </c>
      <c r="H606">
        <v>18</v>
      </c>
      <c r="I606">
        <v>306.5</v>
      </c>
    </row>
    <row r="607" spans="1:9" x14ac:dyDescent="0.25">
      <c r="A607" s="5" t="str">
        <f>TrendSheetPrdData[[#This Row],[Population]]&amp;TrendSheetPrdData[[#This Row],[Cost Basis]]&amp;TrendSheetPrdData[[#This Row],[Period]]&amp;TrendSheetPrdData[[#This Row],[Trend]]</f>
        <v>EMPLOYEEPaid2016-07-01Chronic Disease Management - Members</v>
      </c>
      <c r="B607" t="s">
        <v>90</v>
      </c>
      <c r="C607" t="s">
        <v>90</v>
      </c>
      <c r="D607" t="s">
        <v>78</v>
      </c>
      <c r="E607" s="1" t="s">
        <v>96</v>
      </c>
      <c r="F607" t="s">
        <v>93</v>
      </c>
      <c r="G607" t="s">
        <v>29</v>
      </c>
      <c r="H607">
        <v>18</v>
      </c>
      <c r="I607">
        <v>304.41000000000003</v>
      </c>
    </row>
    <row r="608" spans="1:9" x14ac:dyDescent="0.25">
      <c r="A608" s="5" t="str">
        <f>TrendSheetPrdData[[#This Row],[Population]]&amp;TrendSheetPrdData[[#This Row],[Cost Basis]]&amp;TrendSheetPrdData[[#This Row],[Period]]&amp;TrendSheetPrdData[[#This Row],[Trend]]</f>
        <v>EMPLOYEEPaid2016-08-01Chronic Disease Management - Members</v>
      </c>
      <c r="B608" t="s">
        <v>90</v>
      </c>
      <c r="C608" t="s">
        <v>90</v>
      </c>
      <c r="D608" t="s">
        <v>78</v>
      </c>
      <c r="E608" s="1" t="s">
        <v>97</v>
      </c>
      <c r="F608" t="s">
        <v>93</v>
      </c>
      <c r="G608" t="s">
        <v>29</v>
      </c>
      <c r="H608">
        <v>18</v>
      </c>
      <c r="I608">
        <v>304.8</v>
      </c>
    </row>
    <row r="609" spans="1:9" x14ac:dyDescent="0.25">
      <c r="A609" s="5" t="str">
        <f>TrendSheetPrdData[[#This Row],[Population]]&amp;TrendSheetPrdData[[#This Row],[Cost Basis]]&amp;TrendSheetPrdData[[#This Row],[Period]]&amp;TrendSheetPrdData[[#This Row],[Trend]]</f>
        <v>EMPLOYEEPaid2016-09-01Chronic Disease Management - Members</v>
      </c>
      <c r="B609" t="s">
        <v>90</v>
      </c>
      <c r="C609" t="s">
        <v>90</v>
      </c>
      <c r="D609" t="s">
        <v>78</v>
      </c>
      <c r="E609" s="1" t="s">
        <v>98</v>
      </c>
      <c r="F609" t="s">
        <v>93</v>
      </c>
      <c r="G609" t="s">
        <v>29</v>
      </c>
      <c r="H609">
        <v>18</v>
      </c>
      <c r="I609">
        <v>303.58999999999997</v>
      </c>
    </row>
    <row r="610" spans="1:9" x14ac:dyDescent="0.25">
      <c r="A610" s="5" t="str">
        <f>TrendSheetPrdData[[#This Row],[Population]]&amp;TrendSheetPrdData[[#This Row],[Cost Basis]]&amp;TrendSheetPrdData[[#This Row],[Period]]&amp;TrendSheetPrdData[[#This Row],[Trend]]</f>
        <v>EMPLOYEEPaid2016-10-01Chronic Disease Management - Members</v>
      </c>
      <c r="B610" t="s">
        <v>90</v>
      </c>
      <c r="C610" t="s">
        <v>90</v>
      </c>
      <c r="D610" t="s">
        <v>78</v>
      </c>
      <c r="E610" s="1" t="s">
        <v>99</v>
      </c>
      <c r="F610" t="s">
        <v>93</v>
      </c>
      <c r="G610" t="s">
        <v>29</v>
      </c>
      <c r="H610">
        <v>18</v>
      </c>
      <c r="I610">
        <v>306.32</v>
      </c>
    </row>
    <row r="611" spans="1:9" x14ac:dyDescent="0.25">
      <c r="A611" s="5" t="str">
        <f>TrendSheetPrdData[[#This Row],[Population]]&amp;TrendSheetPrdData[[#This Row],[Cost Basis]]&amp;TrendSheetPrdData[[#This Row],[Period]]&amp;TrendSheetPrdData[[#This Row],[Trend]]</f>
        <v>EMPLOYEEPaid2016-11-01Chronic Disease Management - Members</v>
      </c>
      <c r="B611" t="s">
        <v>90</v>
      </c>
      <c r="C611" t="s">
        <v>90</v>
      </c>
      <c r="D611" t="s">
        <v>78</v>
      </c>
      <c r="E611" s="1" t="s">
        <v>100</v>
      </c>
      <c r="F611" t="s">
        <v>93</v>
      </c>
      <c r="G611" t="s">
        <v>29</v>
      </c>
      <c r="H611">
        <v>18</v>
      </c>
      <c r="I611">
        <v>305.95999999999998</v>
      </c>
    </row>
    <row r="612" spans="1:9" x14ac:dyDescent="0.25">
      <c r="A612" s="5" t="str">
        <f>TrendSheetPrdData[[#This Row],[Population]]&amp;TrendSheetPrdData[[#This Row],[Cost Basis]]&amp;TrendSheetPrdData[[#This Row],[Period]]&amp;TrendSheetPrdData[[#This Row],[Trend]]</f>
        <v>EMPLOYEEPaid2016-12-01Chronic Disease Management - Members</v>
      </c>
      <c r="B612" t="s">
        <v>90</v>
      </c>
      <c r="C612" t="s">
        <v>90</v>
      </c>
      <c r="D612" t="s">
        <v>78</v>
      </c>
      <c r="E612" s="1" t="s">
        <v>101</v>
      </c>
      <c r="F612" t="s">
        <v>93</v>
      </c>
      <c r="G612" t="s">
        <v>29</v>
      </c>
      <c r="H612">
        <v>18</v>
      </c>
      <c r="I612">
        <v>306</v>
      </c>
    </row>
    <row r="613" spans="1:9" x14ac:dyDescent="0.25">
      <c r="A613" s="5" t="str">
        <f>TrendSheetPrdData[[#This Row],[Population]]&amp;TrendSheetPrdData[[#This Row],[Cost Basis]]&amp;TrendSheetPrdData[[#This Row],[Period]]&amp;TrendSheetPrdData[[#This Row],[Trend]]</f>
        <v>EMPLOYEEPaid2017-01-01Chronic Disease Management - Members</v>
      </c>
      <c r="B613" t="s">
        <v>90</v>
      </c>
      <c r="C613" t="s">
        <v>90</v>
      </c>
      <c r="D613" t="s">
        <v>78</v>
      </c>
      <c r="E613" s="1" t="s">
        <v>102</v>
      </c>
      <c r="F613" t="s">
        <v>93</v>
      </c>
      <c r="G613" t="s">
        <v>29</v>
      </c>
      <c r="H613">
        <v>18</v>
      </c>
      <c r="I613">
        <v>299.8</v>
      </c>
    </row>
    <row r="614" spans="1:9" x14ac:dyDescent="0.25">
      <c r="A614" s="5" t="str">
        <f>TrendSheetPrdData[[#This Row],[Population]]&amp;TrendSheetPrdData[[#This Row],[Cost Basis]]&amp;TrendSheetPrdData[[#This Row],[Period]]&amp;TrendSheetPrdData[[#This Row],[Trend]]</f>
        <v>EMPLOYEEPaid2017-02-01Chronic Disease Management - Members</v>
      </c>
      <c r="B614" t="s">
        <v>90</v>
      </c>
      <c r="C614" t="s">
        <v>90</v>
      </c>
      <c r="D614" t="s">
        <v>78</v>
      </c>
      <c r="E614" s="1" t="s">
        <v>103</v>
      </c>
      <c r="F614" t="s">
        <v>106</v>
      </c>
      <c r="G614" t="s">
        <v>29</v>
      </c>
      <c r="H614">
        <v>18</v>
      </c>
      <c r="I614">
        <v>299.3</v>
      </c>
    </row>
    <row r="615" spans="1:9" x14ac:dyDescent="0.25">
      <c r="A615" s="5" t="str">
        <f>TrendSheetPrdData[[#This Row],[Population]]&amp;TrendSheetPrdData[[#This Row],[Cost Basis]]&amp;TrendSheetPrdData[[#This Row],[Period]]&amp;TrendSheetPrdData[[#This Row],[Trend]]</f>
        <v>EMPLOYEEPaid2017-03-01Chronic Disease Management - Members</v>
      </c>
      <c r="B615" t="s">
        <v>90</v>
      </c>
      <c r="C615" t="s">
        <v>90</v>
      </c>
      <c r="D615" t="s">
        <v>78</v>
      </c>
      <c r="E615" s="1" t="s">
        <v>104</v>
      </c>
      <c r="F615" t="s">
        <v>106</v>
      </c>
      <c r="G615" t="s">
        <v>29</v>
      </c>
      <c r="H615">
        <v>18</v>
      </c>
      <c r="I615">
        <v>299.82</v>
      </c>
    </row>
    <row r="616" spans="1:9" x14ac:dyDescent="0.25">
      <c r="A616" s="5" t="str">
        <f>TrendSheetPrdData[[#This Row],[Population]]&amp;TrendSheetPrdData[[#This Row],[Cost Basis]]&amp;TrendSheetPrdData[[#This Row],[Period]]&amp;TrendSheetPrdData[[#This Row],[Trend]]</f>
        <v>EMPLOYEEPaid2017-04-01Chronic Disease Management - Members</v>
      </c>
      <c r="B616" t="s">
        <v>90</v>
      </c>
      <c r="C616" t="s">
        <v>90</v>
      </c>
      <c r="D616" t="s">
        <v>78</v>
      </c>
      <c r="E616" s="1" t="s">
        <v>105</v>
      </c>
      <c r="F616" t="s">
        <v>106</v>
      </c>
      <c r="G616" t="s">
        <v>29</v>
      </c>
      <c r="H616">
        <v>18</v>
      </c>
      <c r="I616">
        <v>291.56</v>
      </c>
    </row>
    <row r="617" spans="1:9" x14ac:dyDescent="0.25">
      <c r="A617" s="5" t="str">
        <f>TrendSheetPrdData[[#This Row],[Population]]&amp;TrendSheetPrdData[[#This Row],[Cost Basis]]&amp;TrendSheetPrdData[[#This Row],[Period]]&amp;TrendSheetPrdData[[#This Row],[Trend]]</f>
        <v>EMPLOYEEPaid2016-02-01Inpatient Claim Count</v>
      </c>
      <c r="B617" t="s">
        <v>90</v>
      </c>
      <c r="C617" t="s">
        <v>90</v>
      </c>
      <c r="D617" t="s">
        <v>78</v>
      </c>
      <c r="E617" s="1" t="s">
        <v>124</v>
      </c>
      <c r="F617" t="s">
        <v>93</v>
      </c>
      <c r="G617" t="s">
        <v>30</v>
      </c>
      <c r="H617">
        <v>19</v>
      </c>
      <c r="I617">
        <v>747</v>
      </c>
    </row>
    <row r="618" spans="1:9" x14ac:dyDescent="0.25">
      <c r="A618" s="5" t="str">
        <f>TrendSheetPrdData[[#This Row],[Population]]&amp;TrendSheetPrdData[[#This Row],[Cost Basis]]&amp;TrendSheetPrdData[[#This Row],[Period]]&amp;TrendSheetPrdData[[#This Row],[Trend]]</f>
        <v>EMPLOYEEPaid2016-03-01Inpatient Claim Count</v>
      </c>
      <c r="B618" t="s">
        <v>90</v>
      </c>
      <c r="C618" t="s">
        <v>90</v>
      </c>
      <c r="D618" t="s">
        <v>78</v>
      </c>
      <c r="E618" s="1" t="s">
        <v>125</v>
      </c>
      <c r="F618" t="s">
        <v>93</v>
      </c>
      <c r="G618" t="s">
        <v>30</v>
      </c>
      <c r="H618">
        <v>19</v>
      </c>
      <c r="I618">
        <v>810</v>
      </c>
    </row>
    <row r="619" spans="1:9" x14ac:dyDescent="0.25">
      <c r="A619" s="5" t="str">
        <f>TrendSheetPrdData[[#This Row],[Population]]&amp;TrendSheetPrdData[[#This Row],[Cost Basis]]&amp;TrendSheetPrdData[[#This Row],[Period]]&amp;TrendSheetPrdData[[#This Row],[Trend]]</f>
        <v>EMPLOYEEPaid2016-04-01Inpatient Claim Count</v>
      </c>
      <c r="B619" t="s">
        <v>90</v>
      </c>
      <c r="C619" t="s">
        <v>90</v>
      </c>
      <c r="D619" t="s">
        <v>78</v>
      </c>
      <c r="E619" s="1" t="s">
        <v>92</v>
      </c>
      <c r="F619" t="s">
        <v>93</v>
      </c>
      <c r="G619" t="s">
        <v>30</v>
      </c>
      <c r="H619">
        <v>19</v>
      </c>
      <c r="I619">
        <v>510</v>
      </c>
    </row>
    <row r="620" spans="1:9" x14ac:dyDescent="0.25">
      <c r="A620" s="5" t="str">
        <f>TrendSheetPrdData[[#This Row],[Population]]&amp;TrendSheetPrdData[[#This Row],[Cost Basis]]&amp;TrendSheetPrdData[[#This Row],[Period]]&amp;TrendSheetPrdData[[#This Row],[Trend]]</f>
        <v>EMPLOYEEPaid2016-05-01Inpatient Claim Count</v>
      </c>
      <c r="B620" t="s">
        <v>90</v>
      </c>
      <c r="C620" t="s">
        <v>90</v>
      </c>
      <c r="D620" t="s">
        <v>78</v>
      </c>
      <c r="E620" s="1" t="s">
        <v>94</v>
      </c>
      <c r="F620" t="s">
        <v>93</v>
      </c>
      <c r="G620" t="s">
        <v>30</v>
      </c>
      <c r="H620">
        <v>19</v>
      </c>
      <c r="I620">
        <v>505</v>
      </c>
    </row>
    <row r="621" spans="1:9" x14ac:dyDescent="0.25">
      <c r="A621" s="5" t="str">
        <f>TrendSheetPrdData[[#This Row],[Population]]&amp;TrendSheetPrdData[[#This Row],[Cost Basis]]&amp;TrendSheetPrdData[[#This Row],[Period]]&amp;TrendSheetPrdData[[#This Row],[Trend]]</f>
        <v>EMPLOYEEPaid2016-06-01Inpatient Claim Count</v>
      </c>
      <c r="B621" t="s">
        <v>90</v>
      </c>
      <c r="C621" t="s">
        <v>90</v>
      </c>
      <c r="D621" t="s">
        <v>78</v>
      </c>
      <c r="E621" s="1" t="s">
        <v>95</v>
      </c>
      <c r="F621" t="s">
        <v>93</v>
      </c>
      <c r="G621" t="s">
        <v>30</v>
      </c>
      <c r="H621">
        <v>19</v>
      </c>
      <c r="I621">
        <v>598</v>
      </c>
    </row>
    <row r="622" spans="1:9" x14ac:dyDescent="0.25">
      <c r="A622" s="5" t="str">
        <f>TrendSheetPrdData[[#This Row],[Population]]&amp;TrendSheetPrdData[[#This Row],[Cost Basis]]&amp;TrendSheetPrdData[[#This Row],[Period]]&amp;TrendSheetPrdData[[#This Row],[Trend]]</f>
        <v>EMPLOYEEPaid2016-07-01Inpatient Claim Count</v>
      </c>
      <c r="B622" t="s">
        <v>90</v>
      </c>
      <c r="C622" t="s">
        <v>90</v>
      </c>
      <c r="D622" t="s">
        <v>78</v>
      </c>
      <c r="E622" s="1" t="s">
        <v>96</v>
      </c>
      <c r="F622" t="s">
        <v>93</v>
      </c>
      <c r="G622" t="s">
        <v>30</v>
      </c>
      <c r="H622">
        <v>19</v>
      </c>
      <c r="I622">
        <v>607</v>
      </c>
    </row>
    <row r="623" spans="1:9" x14ac:dyDescent="0.25">
      <c r="A623" s="5" t="str">
        <f>TrendSheetPrdData[[#This Row],[Population]]&amp;TrendSheetPrdData[[#This Row],[Cost Basis]]&amp;TrendSheetPrdData[[#This Row],[Period]]&amp;TrendSheetPrdData[[#This Row],[Trend]]</f>
        <v>EMPLOYEEPaid2016-08-01Inpatient Claim Count</v>
      </c>
      <c r="B623" t="s">
        <v>90</v>
      </c>
      <c r="C623" t="s">
        <v>90</v>
      </c>
      <c r="D623" t="s">
        <v>78</v>
      </c>
      <c r="E623" s="1" t="s">
        <v>97</v>
      </c>
      <c r="F623" t="s">
        <v>93</v>
      </c>
      <c r="G623" t="s">
        <v>30</v>
      </c>
      <c r="H623">
        <v>19</v>
      </c>
      <c r="I623">
        <v>407</v>
      </c>
    </row>
    <row r="624" spans="1:9" x14ac:dyDescent="0.25">
      <c r="A624" s="5" t="str">
        <f>TrendSheetPrdData[[#This Row],[Population]]&amp;TrendSheetPrdData[[#This Row],[Cost Basis]]&amp;TrendSheetPrdData[[#This Row],[Period]]&amp;TrendSheetPrdData[[#This Row],[Trend]]</f>
        <v>EMPLOYEEPaid2016-09-01Inpatient Claim Count</v>
      </c>
      <c r="B624" t="s">
        <v>90</v>
      </c>
      <c r="C624" t="s">
        <v>90</v>
      </c>
      <c r="D624" t="s">
        <v>78</v>
      </c>
      <c r="E624" s="1" t="s">
        <v>98</v>
      </c>
      <c r="F624" t="s">
        <v>93</v>
      </c>
      <c r="G624" t="s">
        <v>30</v>
      </c>
      <c r="H624">
        <v>19</v>
      </c>
      <c r="I624">
        <v>459</v>
      </c>
    </row>
    <row r="625" spans="1:9" x14ac:dyDescent="0.25">
      <c r="A625" s="5" t="str">
        <f>TrendSheetPrdData[[#This Row],[Population]]&amp;TrendSheetPrdData[[#This Row],[Cost Basis]]&amp;TrendSheetPrdData[[#This Row],[Period]]&amp;TrendSheetPrdData[[#This Row],[Trend]]</f>
        <v>EMPLOYEEPaid2016-10-01Inpatient Claim Count</v>
      </c>
      <c r="B625" t="s">
        <v>90</v>
      </c>
      <c r="C625" t="s">
        <v>90</v>
      </c>
      <c r="D625" t="s">
        <v>78</v>
      </c>
      <c r="E625" s="1" t="s">
        <v>99</v>
      </c>
      <c r="F625" t="s">
        <v>93</v>
      </c>
      <c r="G625" t="s">
        <v>30</v>
      </c>
      <c r="H625">
        <v>19</v>
      </c>
      <c r="I625">
        <v>482</v>
      </c>
    </row>
    <row r="626" spans="1:9" x14ac:dyDescent="0.25">
      <c r="A626" s="5" t="str">
        <f>TrendSheetPrdData[[#This Row],[Population]]&amp;TrendSheetPrdData[[#This Row],[Cost Basis]]&amp;TrendSheetPrdData[[#This Row],[Period]]&amp;TrendSheetPrdData[[#This Row],[Trend]]</f>
        <v>EMPLOYEEPaid2016-11-01Inpatient Claim Count</v>
      </c>
      <c r="B626" t="s">
        <v>90</v>
      </c>
      <c r="C626" t="s">
        <v>90</v>
      </c>
      <c r="D626" t="s">
        <v>78</v>
      </c>
      <c r="E626" s="1" t="s">
        <v>100</v>
      </c>
      <c r="F626" t="s">
        <v>93</v>
      </c>
      <c r="G626" t="s">
        <v>30</v>
      </c>
      <c r="H626">
        <v>19</v>
      </c>
      <c r="I626">
        <v>396</v>
      </c>
    </row>
    <row r="627" spans="1:9" x14ac:dyDescent="0.25">
      <c r="A627" s="5" t="str">
        <f>TrendSheetPrdData[[#This Row],[Population]]&amp;TrendSheetPrdData[[#This Row],[Cost Basis]]&amp;TrendSheetPrdData[[#This Row],[Period]]&amp;TrendSheetPrdData[[#This Row],[Trend]]</f>
        <v>EMPLOYEEPaid2016-12-01Inpatient Claim Count</v>
      </c>
      <c r="B627" t="s">
        <v>90</v>
      </c>
      <c r="C627" t="s">
        <v>90</v>
      </c>
      <c r="D627" t="s">
        <v>78</v>
      </c>
      <c r="E627" s="1" t="s">
        <v>101</v>
      </c>
      <c r="F627" t="s">
        <v>93</v>
      </c>
      <c r="G627" t="s">
        <v>30</v>
      </c>
      <c r="H627">
        <v>19</v>
      </c>
      <c r="I627">
        <v>428</v>
      </c>
    </row>
    <row r="628" spans="1:9" x14ac:dyDescent="0.25">
      <c r="A628" s="5" t="str">
        <f>TrendSheetPrdData[[#This Row],[Population]]&amp;TrendSheetPrdData[[#This Row],[Cost Basis]]&amp;TrendSheetPrdData[[#This Row],[Period]]&amp;TrendSheetPrdData[[#This Row],[Trend]]</f>
        <v>EMPLOYEEPaid2017-01-01Inpatient Claim Count</v>
      </c>
      <c r="B628" t="s">
        <v>90</v>
      </c>
      <c r="C628" t="s">
        <v>90</v>
      </c>
      <c r="D628" t="s">
        <v>78</v>
      </c>
      <c r="E628" s="1" t="s">
        <v>102</v>
      </c>
      <c r="F628" t="s">
        <v>93</v>
      </c>
      <c r="G628" t="s">
        <v>30</v>
      </c>
      <c r="H628">
        <v>19</v>
      </c>
      <c r="I628">
        <v>505</v>
      </c>
    </row>
    <row r="629" spans="1:9" x14ac:dyDescent="0.25">
      <c r="A629" s="5" t="str">
        <f>TrendSheetPrdData[[#This Row],[Population]]&amp;TrendSheetPrdData[[#This Row],[Cost Basis]]&amp;TrendSheetPrdData[[#This Row],[Period]]&amp;TrendSheetPrdData[[#This Row],[Trend]]</f>
        <v>EMPLOYEEPaid2017-02-01Inpatient Claim Count</v>
      </c>
      <c r="B629" t="s">
        <v>90</v>
      </c>
      <c r="C629" t="s">
        <v>90</v>
      </c>
      <c r="D629" t="s">
        <v>78</v>
      </c>
      <c r="E629" s="1" t="s">
        <v>103</v>
      </c>
      <c r="F629" t="s">
        <v>106</v>
      </c>
      <c r="G629" t="s">
        <v>30</v>
      </c>
      <c r="H629">
        <v>19</v>
      </c>
      <c r="I629">
        <v>519</v>
      </c>
    </row>
    <row r="630" spans="1:9" x14ac:dyDescent="0.25">
      <c r="A630" s="5" t="str">
        <f>TrendSheetPrdData[[#This Row],[Population]]&amp;TrendSheetPrdData[[#This Row],[Cost Basis]]&amp;TrendSheetPrdData[[#This Row],[Period]]&amp;TrendSheetPrdData[[#This Row],[Trend]]</f>
        <v>EMPLOYEEPaid2017-03-01Inpatient Claim Count</v>
      </c>
      <c r="B630" t="s">
        <v>90</v>
      </c>
      <c r="C630" t="s">
        <v>90</v>
      </c>
      <c r="D630" t="s">
        <v>78</v>
      </c>
      <c r="E630" s="1" t="s">
        <v>104</v>
      </c>
      <c r="F630" t="s">
        <v>106</v>
      </c>
      <c r="G630" t="s">
        <v>30</v>
      </c>
      <c r="H630">
        <v>19</v>
      </c>
      <c r="I630">
        <v>477</v>
      </c>
    </row>
    <row r="631" spans="1:9" x14ac:dyDescent="0.25">
      <c r="A631" s="5" t="str">
        <f>TrendSheetPrdData[[#This Row],[Population]]&amp;TrendSheetPrdData[[#This Row],[Cost Basis]]&amp;TrendSheetPrdData[[#This Row],[Period]]&amp;TrendSheetPrdData[[#This Row],[Trend]]</f>
        <v>EMPLOYEEPaid2017-04-01Inpatient Claim Count</v>
      </c>
      <c r="B631" t="s">
        <v>90</v>
      </c>
      <c r="C631" t="s">
        <v>90</v>
      </c>
      <c r="D631" t="s">
        <v>78</v>
      </c>
      <c r="E631" s="1" t="s">
        <v>105</v>
      </c>
      <c r="F631" t="s">
        <v>106</v>
      </c>
      <c r="G631" t="s">
        <v>30</v>
      </c>
      <c r="H631">
        <v>19</v>
      </c>
      <c r="I631">
        <v>69</v>
      </c>
    </row>
    <row r="632" spans="1:9" x14ac:dyDescent="0.25">
      <c r="A632" s="5" t="str">
        <f>TrendSheetPrdData[[#This Row],[Population]]&amp;TrendSheetPrdData[[#This Row],[Cost Basis]]&amp;TrendSheetPrdData[[#This Row],[Period]]&amp;TrendSheetPrdData[[#This Row],[Trend]]</f>
        <v>EMPLOYEEPaid2016-02-01Outpatient Claim Count</v>
      </c>
      <c r="B632" t="s">
        <v>90</v>
      </c>
      <c r="C632" t="s">
        <v>90</v>
      </c>
      <c r="D632" t="s">
        <v>78</v>
      </c>
      <c r="E632" s="1" t="s">
        <v>124</v>
      </c>
      <c r="F632" t="s">
        <v>93</v>
      </c>
      <c r="G632" t="s">
        <v>31</v>
      </c>
      <c r="H632">
        <v>20</v>
      </c>
      <c r="I632">
        <v>7518</v>
      </c>
    </row>
    <row r="633" spans="1:9" x14ac:dyDescent="0.25">
      <c r="A633" s="5" t="str">
        <f>TrendSheetPrdData[[#This Row],[Population]]&amp;TrendSheetPrdData[[#This Row],[Cost Basis]]&amp;TrendSheetPrdData[[#This Row],[Period]]&amp;TrendSheetPrdData[[#This Row],[Trend]]</f>
        <v>EMPLOYEEPaid2016-03-01Outpatient Claim Count</v>
      </c>
      <c r="B633" t="s">
        <v>90</v>
      </c>
      <c r="C633" t="s">
        <v>90</v>
      </c>
      <c r="D633" t="s">
        <v>78</v>
      </c>
      <c r="E633" s="1" t="s">
        <v>125</v>
      </c>
      <c r="F633" t="s">
        <v>93</v>
      </c>
      <c r="G633" t="s">
        <v>31</v>
      </c>
      <c r="H633">
        <v>20</v>
      </c>
      <c r="I633">
        <v>8142</v>
      </c>
    </row>
    <row r="634" spans="1:9" x14ac:dyDescent="0.25">
      <c r="A634" s="5" t="str">
        <f>TrendSheetPrdData[[#This Row],[Population]]&amp;TrendSheetPrdData[[#This Row],[Cost Basis]]&amp;TrendSheetPrdData[[#This Row],[Period]]&amp;TrendSheetPrdData[[#This Row],[Trend]]</f>
        <v>EMPLOYEEPaid2016-04-01Outpatient Claim Count</v>
      </c>
      <c r="B634" t="s">
        <v>90</v>
      </c>
      <c r="C634" t="s">
        <v>90</v>
      </c>
      <c r="D634" t="s">
        <v>78</v>
      </c>
      <c r="E634" s="1" t="s">
        <v>92</v>
      </c>
      <c r="F634" t="s">
        <v>93</v>
      </c>
      <c r="G634" t="s">
        <v>31</v>
      </c>
      <c r="H634">
        <v>20</v>
      </c>
      <c r="I634">
        <v>8186</v>
      </c>
    </row>
    <row r="635" spans="1:9" x14ac:dyDescent="0.25">
      <c r="A635" s="5" t="str">
        <f>TrendSheetPrdData[[#This Row],[Population]]&amp;TrendSheetPrdData[[#This Row],[Cost Basis]]&amp;TrendSheetPrdData[[#This Row],[Period]]&amp;TrendSheetPrdData[[#This Row],[Trend]]</f>
        <v>EMPLOYEEPaid2016-05-01Outpatient Claim Count</v>
      </c>
      <c r="B635" t="s">
        <v>90</v>
      </c>
      <c r="C635" t="s">
        <v>90</v>
      </c>
      <c r="D635" t="s">
        <v>78</v>
      </c>
      <c r="E635" s="1" t="s">
        <v>94</v>
      </c>
      <c r="F635" t="s">
        <v>93</v>
      </c>
      <c r="G635" t="s">
        <v>31</v>
      </c>
      <c r="H635">
        <v>20</v>
      </c>
      <c r="I635">
        <v>6916</v>
      </c>
    </row>
    <row r="636" spans="1:9" x14ac:dyDescent="0.25">
      <c r="A636" s="5" t="str">
        <f>TrendSheetPrdData[[#This Row],[Population]]&amp;TrendSheetPrdData[[#This Row],[Cost Basis]]&amp;TrendSheetPrdData[[#This Row],[Period]]&amp;TrendSheetPrdData[[#This Row],[Trend]]</f>
        <v>EMPLOYEEPaid2016-06-01Outpatient Claim Count</v>
      </c>
      <c r="B636" t="s">
        <v>90</v>
      </c>
      <c r="C636" t="s">
        <v>90</v>
      </c>
      <c r="D636" t="s">
        <v>78</v>
      </c>
      <c r="E636" s="1" t="s">
        <v>95</v>
      </c>
      <c r="F636" t="s">
        <v>93</v>
      </c>
      <c r="G636" t="s">
        <v>31</v>
      </c>
      <c r="H636">
        <v>20</v>
      </c>
      <c r="I636">
        <v>8339</v>
      </c>
    </row>
    <row r="637" spans="1:9" x14ac:dyDescent="0.25">
      <c r="A637" s="5" t="str">
        <f>TrendSheetPrdData[[#This Row],[Population]]&amp;TrendSheetPrdData[[#This Row],[Cost Basis]]&amp;TrendSheetPrdData[[#This Row],[Period]]&amp;TrendSheetPrdData[[#This Row],[Trend]]</f>
        <v>EMPLOYEEPaid2016-07-01Outpatient Claim Count</v>
      </c>
      <c r="B637" t="s">
        <v>90</v>
      </c>
      <c r="C637" t="s">
        <v>90</v>
      </c>
      <c r="D637" t="s">
        <v>78</v>
      </c>
      <c r="E637" s="1" t="s">
        <v>96</v>
      </c>
      <c r="F637" t="s">
        <v>93</v>
      </c>
      <c r="G637" t="s">
        <v>31</v>
      </c>
      <c r="H637">
        <v>20</v>
      </c>
      <c r="I637">
        <v>7456</v>
      </c>
    </row>
    <row r="638" spans="1:9" x14ac:dyDescent="0.25">
      <c r="A638" s="5" t="str">
        <f>TrendSheetPrdData[[#This Row],[Population]]&amp;TrendSheetPrdData[[#This Row],[Cost Basis]]&amp;TrendSheetPrdData[[#This Row],[Period]]&amp;TrendSheetPrdData[[#This Row],[Trend]]</f>
        <v>EMPLOYEEPaid2016-08-01Outpatient Claim Count</v>
      </c>
      <c r="B638" t="s">
        <v>90</v>
      </c>
      <c r="C638" t="s">
        <v>90</v>
      </c>
      <c r="D638" t="s">
        <v>78</v>
      </c>
      <c r="E638" s="1" t="s">
        <v>97</v>
      </c>
      <c r="F638" t="s">
        <v>93</v>
      </c>
      <c r="G638" t="s">
        <v>31</v>
      </c>
      <c r="H638">
        <v>20</v>
      </c>
      <c r="I638">
        <v>8363</v>
      </c>
    </row>
    <row r="639" spans="1:9" x14ac:dyDescent="0.25">
      <c r="A639" s="5" t="str">
        <f>TrendSheetPrdData[[#This Row],[Population]]&amp;TrendSheetPrdData[[#This Row],[Cost Basis]]&amp;TrendSheetPrdData[[#This Row],[Period]]&amp;TrendSheetPrdData[[#This Row],[Trend]]</f>
        <v>EMPLOYEEPaid2016-09-01Outpatient Claim Count</v>
      </c>
      <c r="B639" t="s">
        <v>90</v>
      </c>
      <c r="C639" t="s">
        <v>90</v>
      </c>
      <c r="D639" t="s">
        <v>78</v>
      </c>
      <c r="E639" s="1" t="s">
        <v>98</v>
      </c>
      <c r="F639" t="s">
        <v>93</v>
      </c>
      <c r="G639" t="s">
        <v>31</v>
      </c>
      <c r="H639">
        <v>20</v>
      </c>
      <c r="I639">
        <v>7670</v>
      </c>
    </row>
    <row r="640" spans="1:9" x14ac:dyDescent="0.25">
      <c r="A640" s="5" t="str">
        <f>TrendSheetPrdData[[#This Row],[Population]]&amp;TrendSheetPrdData[[#This Row],[Cost Basis]]&amp;TrendSheetPrdData[[#This Row],[Period]]&amp;TrendSheetPrdData[[#This Row],[Trend]]</f>
        <v>EMPLOYEEPaid2016-10-01Outpatient Claim Count</v>
      </c>
      <c r="B640" t="s">
        <v>90</v>
      </c>
      <c r="C640" t="s">
        <v>90</v>
      </c>
      <c r="D640" t="s">
        <v>78</v>
      </c>
      <c r="E640" s="1" t="s">
        <v>99</v>
      </c>
      <c r="F640" t="s">
        <v>93</v>
      </c>
      <c r="G640" t="s">
        <v>31</v>
      </c>
      <c r="H640">
        <v>20</v>
      </c>
      <c r="I640">
        <v>8318</v>
      </c>
    </row>
    <row r="641" spans="1:9" x14ac:dyDescent="0.25">
      <c r="A641" s="5" t="str">
        <f>TrendSheetPrdData[[#This Row],[Population]]&amp;TrendSheetPrdData[[#This Row],[Cost Basis]]&amp;TrendSheetPrdData[[#This Row],[Period]]&amp;TrendSheetPrdData[[#This Row],[Trend]]</f>
        <v>EMPLOYEEPaid2016-11-01Outpatient Claim Count</v>
      </c>
      <c r="B641" t="s">
        <v>90</v>
      </c>
      <c r="C641" t="s">
        <v>90</v>
      </c>
      <c r="D641" t="s">
        <v>78</v>
      </c>
      <c r="E641" s="1" t="s">
        <v>100</v>
      </c>
      <c r="F641" t="s">
        <v>93</v>
      </c>
      <c r="G641" t="s">
        <v>31</v>
      </c>
      <c r="H641">
        <v>20</v>
      </c>
      <c r="I641">
        <v>8490</v>
      </c>
    </row>
    <row r="642" spans="1:9" x14ac:dyDescent="0.25">
      <c r="A642" s="5" t="str">
        <f>TrendSheetPrdData[[#This Row],[Population]]&amp;TrendSheetPrdData[[#This Row],[Cost Basis]]&amp;TrendSheetPrdData[[#This Row],[Period]]&amp;TrendSheetPrdData[[#This Row],[Trend]]</f>
        <v>EMPLOYEEPaid2016-12-01Outpatient Claim Count</v>
      </c>
      <c r="B642" t="s">
        <v>90</v>
      </c>
      <c r="C642" t="s">
        <v>90</v>
      </c>
      <c r="D642" t="s">
        <v>78</v>
      </c>
      <c r="E642" s="1" t="s">
        <v>101</v>
      </c>
      <c r="F642" t="s">
        <v>93</v>
      </c>
      <c r="G642" t="s">
        <v>31</v>
      </c>
      <c r="H642">
        <v>20</v>
      </c>
      <c r="I642">
        <v>8473</v>
      </c>
    </row>
    <row r="643" spans="1:9" x14ac:dyDescent="0.25">
      <c r="A643" s="5" t="str">
        <f>TrendSheetPrdData[[#This Row],[Population]]&amp;TrendSheetPrdData[[#This Row],[Cost Basis]]&amp;TrendSheetPrdData[[#This Row],[Period]]&amp;TrendSheetPrdData[[#This Row],[Trend]]</f>
        <v>EMPLOYEEPaid2017-01-01Outpatient Claim Count</v>
      </c>
      <c r="B643" t="s">
        <v>90</v>
      </c>
      <c r="C643" t="s">
        <v>90</v>
      </c>
      <c r="D643" t="s">
        <v>78</v>
      </c>
      <c r="E643" s="1" t="s">
        <v>102</v>
      </c>
      <c r="F643" t="s">
        <v>93</v>
      </c>
      <c r="G643" t="s">
        <v>31</v>
      </c>
      <c r="H643">
        <v>20</v>
      </c>
      <c r="I643">
        <v>7231</v>
      </c>
    </row>
    <row r="644" spans="1:9" x14ac:dyDescent="0.25">
      <c r="A644" s="5" t="str">
        <f>TrendSheetPrdData[[#This Row],[Population]]&amp;TrendSheetPrdData[[#This Row],[Cost Basis]]&amp;TrendSheetPrdData[[#This Row],[Period]]&amp;TrendSheetPrdData[[#This Row],[Trend]]</f>
        <v>EMPLOYEEPaid2017-02-01Outpatient Claim Count</v>
      </c>
      <c r="B644" t="s">
        <v>90</v>
      </c>
      <c r="C644" t="s">
        <v>90</v>
      </c>
      <c r="D644" t="s">
        <v>78</v>
      </c>
      <c r="E644" s="1" t="s">
        <v>103</v>
      </c>
      <c r="F644" t="s">
        <v>106</v>
      </c>
      <c r="G644" t="s">
        <v>31</v>
      </c>
      <c r="H644">
        <v>20</v>
      </c>
      <c r="I644">
        <v>7059</v>
      </c>
    </row>
    <row r="645" spans="1:9" x14ac:dyDescent="0.25">
      <c r="A645" s="5" t="str">
        <f>TrendSheetPrdData[[#This Row],[Population]]&amp;TrendSheetPrdData[[#This Row],[Cost Basis]]&amp;TrendSheetPrdData[[#This Row],[Period]]&amp;TrendSheetPrdData[[#This Row],[Trend]]</f>
        <v>EMPLOYEEPaid2017-03-01Outpatient Claim Count</v>
      </c>
      <c r="B645" t="s">
        <v>90</v>
      </c>
      <c r="C645" t="s">
        <v>90</v>
      </c>
      <c r="D645" t="s">
        <v>78</v>
      </c>
      <c r="E645" s="1" t="s">
        <v>104</v>
      </c>
      <c r="F645" t="s">
        <v>106</v>
      </c>
      <c r="G645" t="s">
        <v>31</v>
      </c>
      <c r="H645">
        <v>20</v>
      </c>
      <c r="I645">
        <v>8762</v>
      </c>
    </row>
    <row r="646" spans="1:9" x14ac:dyDescent="0.25">
      <c r="A646" s="5" t="str">
        <f>TrendSheetPrdData[[#This Row],[Population]]&amp;TrendSheetPrdData[[#This Row],[Cost Basis]]&amp;TrendSheetPrdData[[#This Row],[Period]]&amp;TrendSheetPrdData[[#This Row],[Trend]]</f>
        <v>EMPLOYEEPaid2017-04-01Outpatient Claim Count</v>
      </c>
      <c r="B646" t="s">
        <v>90</v>
      </c>
      <c r="C646" t="s">
        <v>90</v>
      </c>
      <c r="D646" t="s">
        <v>78</v>
      </c>
      <c r="E646" s="1" t="s">
        <v>105</v>
      </c>
      <c r="F646" t="s">
        <v>106</v>
      </c>
      <c r="G646" t="s">
        <v>31</v>
      </c>
      <c r="H646">
        <v>20</v>
      </c>
      <c r="I646">
        <v>2290</v>
      </c>
    </row>
    <row r="647" spans="1:9" x14ac:dyDescent="0.25">
      <c r="A647" s="5" t="str">
        <f>TrendSheetPrdData[[#This Row],[Population]]&amp;TrendSheetPrdData[[#This Row],[Cost Basis]]&amp;TrendSheetPrdData[[#This Row],[Period]]&amp;TrendSheetPrdData[[#This Row],[Trend]]</f>
        <v>EMPLOYEEPaid2016-02-01Professional Claim Count</v>
      </c>
      <c r="B647" t="s">
        <v>90</v>
      </c>
      <c r="C647" t="s">
        <v>90</v>
      </c>
      <c r="D647" t="s">
        <v>78</v>
      </c>
      <c r="E647" s="1" t="s">
        <v>124</v>
      </c>
      <c r="F647" t="s">
        <v>93</v>
      </c>
      <c r="G647" t="s">
        <v>32</v>
      </c>
      <c r="H647">
        <v>21</v>
      </c>
      <c r="I647">
        <v>9918</v>
      </c>
    </row>
    <row r="648" spans="1:9" x14ac:dyDescent="0.25">
      <c r="A648" s="5" t="str">
        <f>TrendSheetPrdData[[#This Row],[Population]]&amp;TrendSheetPrdData[[#This Row],[Cost Basis]]&amp;TrendSheetPrdData[[#This Row],[Period]]&amp;TrendSheetPrdData[[#This Row],[Trend]]</f>
        <v>EMPLOYEEPaid2016-03-01Professional Claim Count</v>
      </c>
      <c r="B648" t="s">
        <v>90</v>
      </c>
      <c r="C648" t="s">
        <v>90</v>
      </c>
      <c r="D648" t="s">
        <v>78</v>
      </c>
      <c r="E648" s="1" t="s">
        <v>125</v>
      </c>
      <c r="F648" t="s">
        <v>93</v>
      </c>
      <c r="G648" t="s">
        <v>32</v>
      </c>
      <c r="H648">
        <v>21</v>
      </c>
      <c r="I648">
        <v>10343</v>
      </c>
    </row>
    <row r="649" spans="1:9" x14ac:dyDescent="0.25">
      <c r="A649" s="5" t="str">
        <f>TrendSheetPrdData[[#This Row],[Population]]&amp;TrendSheetPrdData[[#This Row],[Cost Basis]]&amp;TrendSheetPrdData[[#This Row],[Period]]&amp;TrendSheetPrdData[[#This Row],[Trend]]</f>
        <v>EMPLOYEEPaid2016-04-01Professional Claim Count</v>
      </c>
      <c r="B649" t="s">
        <v>90</v>
      </c>
      <c r="C649" t="s">
        <v>90</v>
      </c>
      <c r="D649" t="s">
        <v>78</v>
      </c>
      <c r="E649" s="1" t="s">
        <v>92</v>
      </c>
      <c r="F649" t="s">
        <v>93</v>
      </c>
      <c r="G649" t="s">
        <v>32</v>
      </c>
      <c r="H649">
        <v>21</v>
      </c>
      <c r="I649">
        <v>9568</v>
      </c>
    </row>
    <row r="650" spans="1:9" x14ac:dyDescent="0.25">
      <c r="A650" s="5" t="str">
        <f>TrendSheetPrdData[[#This Row],[Population]]&amp;TrendSheetPrdData[[#This Row],[Cost Basis]]&amp;TrendSheetPrdData[[#This Row],[Period]]&amp;TrendSheetPrdData[[#This Row],[Trend]]</f>
        <v>EMPLOYEEPaid2016-05-01Professional Claim Count</v>
      </c>
      <c r="B650" t="s">
        <v>90</v>
      </c>
      <c r="C650" t="s">
        <v>90</v>
      </c>
      <c r="D650" t="s">
        <v>78</v>
      </c>
      <c r="E650" s="1" t="s">
        <v>94</v>
      </c>
      <c r="F650" t="s">
        <v>93</v>
      </c>
      <c r="G650" t="s">
        <v>32</v>
      </c>
      <c r="H650">
        <v>21</v>
      </c>
      <c r="I650">
        <v>8904</v>
      </c>
    </row>
    <row r="651" spans="1:9" x14ac:dyDescent="0.25">
      <c r="A651" s="5" t="str">
        <f>TrendSheetPrdData[[#This Row],[Population]]&amp;TrendSheetPrdData[[#This Row],[Cost Basis]]&amp;TrendSheetPrdData[[#This Row],[Period]]&amp;TrendSheetPrdData[[#This Row],[Trend]]</f>
        <v>EMPLOYEEPaid2016-06-01Professional Claim Count</v>
      </c>
      <c r="B651" t="s">
        <v>90</v>
      </c>
      <c r="C651" t="s">
        <v>90</v>
      </c>
      <c r="D651" t="s">
        <v>78</v>
      </c>
      <c r="E651" s="1" t="s">
        <v>95</v>
      </c>
      <c r="F651" t="s">
        <v>93</v>
      </c>
      <c r="G651" t="s">
        <v>32</v>
      </c>
      <c r="H651">
        <v>21</v>
      </c>
      <c r="I651">
        <v>9942</v>
      </c>
    </row>
    <row r="652" spans="1:9" x14ac:dyDescent="0.25">
      <c r="A652" s="5" t="str">
        <f>TrendSheetPrdData[[#This Row],[Population]]&amp;TrendSheetPrdData[[#This Row],[Cost Basis]]&amp;TrendSheetPrdData[[#This Row],[Period]]&amp;TrendSheetPrdData[[#This Row],[Trend]]</f>
        <v>EMPLOYEEPaid2016-07-01Professional Claim Count</v>
      </c>
      <c r="B652" t="s">
        <v>90</v>
      </c>
      <c r="C652" t="s">
        <v>90</v>
      </c>
      <c r="D652" t="s">
        <v>78</v>
      </c>
      <c r="E652" s="1" t="s">
        <v>96</v>
      </c>
      <c r="F652" t="s">
        <v>93</v>
      </c>
      <c r="G652" t="s">
        <v>32</v>
      </c>
      <c r="H652">
        <v>21</v>
      </c>
      <c r="I652">
        <v>8531</v>
      </c>
    </row>
    <row r="653" spans="1:9" x14ac:dyDescent="0.25">
      <c r="A653" s="5" t="str">
        <f>TrendSheetPrdData[[#This Row],[Population]]&amp;TrendSheetPrdData[[#This Row],[Cost Basis]]&amp;TrendSheetPrdData[[#This Row],[Period]]&amp;TrendSheetPrdData[[#This Row],[Trend]]</f>
        <v>EMPLOYEEPaid2016-08-01Professional Claim Count</v>
      </c>
      <c r="B653" t="s">
        <v>90</v>
      </c>
      <c r="C653" t="s">
        <v>90</v>
      </c>
      <c r="D653" t="s">
        <v>78</v>
      </c>
      <c r="E653" s="1" t="s">
        <v>97</v>
      </c>
      <c r="F653" t="s">
        <v>93</v>
      </c>
      <c r="G653" t="s">
        <v>32</v>
      </c>
      <c r="H653">
        <v>21</v>
      </c>
      <c r="I653">
        <v>10389</v>
      </c>
    </row>
    <row r="654" spans="1:9" x14ac:dyDescent="0.25">
      <c r="A654" s="5" t="str">
        <f>TrendSheetPrdData[[#This Row],[Population]]&amp;TrendSheetPrdData[[#This Row],[Cost Basis]]&amp;TrendSheetPrdData[[#This Row],[Period]]&amp;TrendSheetPrdData[[#This Row],[Trend]]</f>
        <v>EMPLOYEEPaid2016-09-01Professional Claim Count</v>
      </c>
      <c r="B654" t="s">
        <v>90</v>
      </c>
      <c r="C654" t="s">
        <v>90</v>
      </c>
      <c r="D654" t="s">
        <v>78</v>
      </c>
      <c r="E654" s="1" t="s">
        <v>98</v>
      </c>
      <c r="F654" t="s">
        <v>93</v>
      </c>
      <c r="G654" t="s">
        <v>32</v>
      </c>
      <c r="H654">
        <v>21</v>
      </c>
      <c r="I654">
        <v>10058</v>
      </c>
    </row>
    <row r="655" spans="1:9" x14ac:dyDescent="0.25">
      <c r="A655" s="5" t="str">
        <f>TrendSheetPrdData[[#This Row],[Population]]&amp;TrendSheetPrdData[[#This Row],[Cost Basis]]&amp;TrendSheetPrdData[[#This Row],[Period]]&amp;TrendSheetPrdData[[#This Row],[Trend]]</f>
        <v>EMPLOYEEPaid2016-10-01Professional Claim Count</v>
      </c>
      <c r="B655" t="s">
        <v>90</v>
      </c>
      <c r="C655" t="s">
        <v>90</v>
      </c>
      <c r="D655" t="s">
        <v>78</v>
      </c>
      <c r="E655" s="1" t="s">
        <v>99</v>
      </c>
      <c r="F655" t="s">
        <v>93</v>
      </c>
      <c r="G655" t="s">
        <v>32</v>
      </c>
      <c r="H655">
        <v>21</v>
      </c>
      <c r="I655">
        <v>10995</v>
      </c>
    </row>
    <row r="656" spans="1:9" x14ac:dyDescent="0.25">
      <c r="A656" s="5" t="str">
        <f>TrendSheetPrdData[[#This Row],[Population]]&amp;TrendSheetPrdData[[#This Row],[Cost Basis]]&amp;TrendSheetPrdData[[#This Row],[Period]]&amp;TrendSheetPrdData[[#This Row],[Trend]]</f>
        <v>EMPLOYEEPaid2016-11-01Professional Claim Count</v>
      </c>
      <c r="B656" t="s">
        <v>90</v>
      </c>
      <c r="C656" t="s">
        <v>90</v>
      </c>
      <c r="D656" t="s">
        <v>78</v>
      </c>
      <c r="E656" s="1" t="s">
        <v>100</v>
      </c>
      <c r="F656" t="s">
        <v>93</v>
      </c>
      <c r="G656" t="s">
        <v>32</v>
      </c>
      <c r="H656">
        <v>21</v>
      </c>
      <c r="I656">
        <v>11525</v>
      </c>
    </row>
    <row r="657" spans="1:9" x14ac:dyDescent="0.25">
      <c r="A657" s="5" t="str">
        <f>TrendSheetPrdData[[#This Row],[Population]]&amp;TrendSheetPrdData[[#This Row],[Cost Basis]]&amp;TrendSheetPrdData[[#This Row],[Period]]&amp;TrendSheetPrdData[[#This Row],[Trend]]</f>
        <v>EMPLOYEEPaid2016-12-01Professional Claim Count</v>
      </c>
      <c r="B657" t="s">
        <v>90</v>
      </c>
      <c r="C657" t="s">
        <v>90</v>
      </c>
      <c r="D657" t="s">
        <v>78</v>
      </c>
      <c r="E657" s="1" t="s">
        <v>101</v>
      </c>
      <c r="F657" t="s">
        <v>93</v>
      </c>
      <c r="G657" t="s">
        <v>32</v>
      </c>
      <c r="H657">
        <v>21</v>
      </c>
      <c r="I657">
        <v>11035</v>
      </c>
    </row>
    <row r="658" spans="1:9" x14ac:dyDescent="0.25">
      <c r="A658" s="5" t="str">
        <f>TrendSheetPrdData[[#This Row],[Population]]&amp;TrendSheetPrdData[[#This Row],[Cost Basis]]&amp;TrendSheetPrdData[[#This Row],[Period]]&amp;TrendSheetPrdData[[#This Row],[Trend]]</f>
        <v>EMPLOYEEPaid2017-01-01Professional Claim Count</v>
      </c>
      <c r="B658" t="s">
        <v>90</v>
      </c>
      <c r="C658" t="s">
        <v>90</v>
      </c>
      <c r="D658" t="s">
        <v>78</v>
      </c>
      <c r="E658" s="1" t="s">
        <v>102</v>
      </c>
      <c r="F658" t="s">
        <v>93</v>
      </c>
      <c r="G658" t="s">
        <v>32</v>
      </c>
      <c r="H658">
        <v>21</v>
      </c>
      <c r="I658">
        <v>10233</v>
      </c>
    </row>
    <row r="659" spans="1:9" x14ac:dyDescent="0.25">
      <c r="A659" s="5" t="str">
        <f>TrendSheetPrdData[[#This Row],[Population]]&amp;TrendSheetPrdData[[#This Row],[Cost Basis]]&amp;TrendSheetPrdData[[#This Row],[Period]]&amp;TrendSheetPrdData[[#This Row],[Trend]]</f>
        <v>EMPLOYEEPaid2017-02-01Professional Claim Count</v>
      </c>
      <c r="B659" t="s">
        <v>90</v>
      </c>
      <c r="C659" t="s">
        <v>90</v>
      </c>
      <c r="D659" t="s">
        <v>78</v>
      </c>
      <c r="E659" s="1" t="s">
        <v>103</v>
      </c>
      <c r="F659" t="s">
        <v>106</v>
      </c>
      <c r="G659" t="s">
        <v>32</v>
      </c>
      <c r="H659">
        <v>21</v>
      </c>
      <c r="I659">
        <v>9289</v>
      </c>
    </row>
    <row r="660" spans="1:9" x14ac:dyDescent="0.25">
      <c r="A660" s="5" t="str">
        <f>TrendSheetPrdData[[#This Row],[Population]]&amp;TrendSheetPrdData[[#This Row],[Cost Basis]]&amp;TrendSheetPrdData[[#This Row],[Period]]&amp;TrendSheetPrdData[[#This Row],[Trend]]</f>
        <v>EMPLOYEEPaid2017-03-01Professional Claim Count</v>
      </c>
      <c r="B660" t="s">
        <v>90</v>
      </c>
      <c r="C660" t="s">
        <v>90</v>
      </c>
      <c r="D660" t="s">
        <v>78</v>
      </c>
      <c r="E660" s="1" t="s">
        <v>104</v>
      </c>
      <c r="F660" t="s">
        <v>106</v>
      </c>
      <c r="G660" t="s">
        <v>32</v>
      </c>
      <c r="H660">
        <v>21</v>
      </c>
      <c r="I660">
        <v>9766</v>
      </c>
    </row>
    <row r="661" spans="1:9" x14ac:dyDescent="0.25">
      <c r="A661" s="5" t="str">
        <f>TrendSheetPrdData[[#This Row],[Population]]&amp;TrendSheetPrdData[[#This Row],[Cost Basis]]&amp;TrendSheetPrdData[[#This Row],[Period]]&amp;TrendSheetPrdData[[#This Row],[Trend]]</f>
        <v>EMPLOYEEPaid2017-04-01Professional Claim Count</v>
      </c>
      <c r="B661" t="s">
        <v>90</v>
      </c>
      <c r="C661" t="s">
        <v>90</v>
      </c>
      <c r="D661" t="s">
        <v>78</v>
      </c>
      <c r="E661" s="1" t="s">
        <v>105</v>
      </c>
      <c r="F661" t="s">
        <v>106</v>
      </c>
      <c r="G661" t="s">
        <v>32</v>
      </c>
      <c r="H661">
        <v>21</v>
      </c>
      <c r="I661">
        <v>3323</v>
      </c>
    </row>
    <row r="662" spans="1:9" x14ac:dyDescent="0.25">
      <c r="A662" s="5" t="str">
        <f>TrendSheetPrdData[[#This Row],[Population]]&amp;TrendSheetPrdData[[#This Row],[Cost Basis]]&amp;TrendSheetPrdData[[#This Row],[Period]]&amp;TrendSheetPrdData[[#This Row],[Trend]]</f>
        <v>EMPLOYEEPaid2016-02-01Ancillary Claim Count</v>
      </c>
      <c r="B662" t="s">
        <v>90</v>
      </c>
      <c r="C662" t="s">
        <v>90</v>
      </c>
      <c r="D662" t="s">
        <v>78</v>
      </c>
      <c r="E662" s="1" t="s">
        <v>124</v>
      </c>
      <c r="F662" t="s">
        <v>93</v>
      </c>
      <c r="G662" t="s">
        <v>33</v>
      </c>
      <c r="H662">
        <v>22</v>
      </c>
      <c r="I662">
        <v>690</v>
      </c>
    </row>
    <row r="663" spans="1:9" x14ac:dyDescent="0.25">
      <c r="A663" s="5" t="str">
        <f>TrendSheetPrdData[[#This Row],[Population]]&amp;TrendSheetPrdData[[#This Row],[Cost Basis]]&amp;TrendSheetPrdData[[#This Row],[Period]]&amp;TrendSheetPrdData[[#This Row],[Trend]]</f>
        <v>EMPLOYEEPaid2016-03-01Ancillary Claim Count</v>
      </c>
      <c r="B663" t="s">
        <v>90</v>
      </c>
      <c r="C663" t="s">
        <v>90</v>
      </c>
      <c r="D663" t="s">
        <v>78</v>
      </c>
      <c r="E663" s="1" t="s">
        <v>125</v>
      </c>
      <c r="F663" t="s">
        <v>93</v>
      </c>
      <c r="G663" t="s">
        <v>33</v>
      </c>
      <c r="H663">
        <v>22</v>
      </c>
      <c r="I663">
        <v>816</v>
      </c>
    </row>
    <row r="664" spans="1:9" x14ac:dyDescent="0.25">
      <c r="A664" s="5" t="str">
        <f>TrendSheetPrdData[[#This Row],[Population]]&amp;TrendSheetPrdData[[#This Row],[Cost Basis]]&amp;TrendSheetPrdData[[#This Row],[Period]]&amp;TrendSheetPrdData[[#This Row],[Trend]]</f>
        <v>EMPLOYEEPaid2016-04-01Ancillary Claim Count</v>
      </c>
      <c r="B664" t="s">
        <v>90</v>
      </c>
      <c r="C664" t="s">
        <v>90</v>
      </c>
      <c r="D664" t="s">
        <v>78</v>
      </c>
      <c r="E664" s="1" t="s">
        <v>92</v>
      </c>
      <c r="F664" t="s">
        <v>93</v>
      </c>
      <c r="G664" t="s">
        <v>33</v>
      </c>
      <c r="H664">
        <v>22</v>
      </c>
      <c r="I664">
        <v>734</v>
      </c>
    </row>
    <row r="665" spans="1:9" x14ac:dyDescent="0.25">
      <c r="A665" s="5" t="str">
        <f>TrendSheetPrdData[[#This Row],[Population]]&amp;TrendSheetPrdData[[#This Row],[Cost Basis]]&amp;TrendSheetPrdData[[#This Row],[Period]]&amp;TrendSheetPrdData[[#This Row],[Trend]]</f>
        <v>EMPLOYEEPaid2016-05-01Ancillary Claim Count</v>
      </c>
      <c r="B665" t="s">
        <v>90</v>
      </c>
      <c r="C665" t="s">
        <v>90</v>
      </c>
      <c r="D665" t="s">
        <v>78</v>
      </c>
      <c r="E665" s="1" t="s">
        <v>94</v>
      </c>
      <c r="F665" t="s">
        <v>93</v>
      </c>
      <c r="G665" t="s">
        <v>33</v>
      </c>
      <c r="H665">
        <v>22</v>
      </c>
      <c r="I665">
        <v>706</v>
      </c>
    </row>
    <row r="666" spans="1:9" x14ac:dyDescent="0.25">
      <c r="A666" s="5" t="str">
        <f>TrendSheetPrdData[[#This Row],[Population]]&amp;TrendSheetPrdData[[#This Row],[Cost Basis]]&amp;TrendSheetPrdData[[#This Row],[Period]]&amp;TrendSheetPrdData[[#This Row],[Trend]]</f>
        <v>EMPLOYEEPaid2016-06-01Ancillary Claim Count</v>
      </c>
      <c r="B666" t="s">
        <v>90</v>
      </c>
      <c r="C666" t="s">
        <v>90</v>
      </c>
      <c r="D666" t="s">
        <v>78</v>
      </c>
      <c r="E666" s="1" t="s">
        <v>95</v>
      </c>
      <c r="F666" t="s">
        <v>93</v>
      </c>
      <c r="G666" t="s">
        <v>33</v>
      </c>
      <c r="H666">
        <v>22</v>
      </c>
      <c r="I666">
        <v>753</v>
      </c>
    </row>
    <row r="667" spans="1:9" x14ac:dyDescent="0.25">
      <c r="A667" s="5" t="str">
        <f>TrendSheetPrdData[[#This Row],[Population]]&amp;TrendSheetPrdData[[#This Row],[Cost Basis]]&amp;TrendSheetPrdData[[#This Row],[Period]]&amp;TrendSheetPrdData[[#This Row],[Trend]]</f>
        <v>EMPLOYEEPaid2016-07-01Ancillary Claim Count</v>
      </c>
      <c r="B667" t="s">
        <v>90</v>
      </c>
      <c r="C667" t="s">
        <v>90</v>
      </c>
      <c r="D667" t="s">
        <v>78</v>
      </c>
      <c r="E667" s="1" t="s">
        <v>96</v>
      </c>
      <c r="F667" t="s">
        <v>93</v>
      </c>
      <c r="G667" t="s">
        <v>33</v>
      </c>
      <c r="H667">
        <v>22</v>
      </c>
      <c r="I667">
        <v>705</v>
      </c>
    </row>
    <row r="668" spans="1:9" x14ac:dyDescent="0.25">
      <c r="A668" s="5" t="str">
        <f>TrendSheetPrdData[[#This Row],[Population]]&amp;TrendSheetPrdData[[#This Row],[Cost Basis]]&amp;TrendSheetPrdData[[#This Row],[Period]]&amp;TrendSheetPrdData[[#This Row],[Trend]]</f>
        <v>EMPLOYEEPaid2016-08-01Ancillary Claim Count</v>
      </c>
      <c r="B668" t="s">
        <v>90</v>
      </c>
      <c r="C668" t="s">
        <v>90</v>
      </c>
      <c r="D668" t="s">
        <v>78</v>
      </c>
      <c r="E668" s="1" t="s">
        <v>97</v>
      </c>
      <c r="F668" t="s">
        <v>93</v>
      </c>
      <c r="G668" t="s">
        <v>33</v>
      </c>
      <c r="H668">
        <v>22</v>
      </c>
      <c r="I668">
        <v>815</v>
      </c>
    </row>
    <row r="669" spans="1:9" x14ac:dyDescent="0.25">
      <c r="A669" s="5" t="str">
        <f>TrendSheetPrdData[[#This Row],[Population]]&amp;TrendSheetPrdData[[#This Row],[Cost Basis]]&amp;TrendSheetPrdData[[#This Row],[Period]]&amp;TrendSheetPrdData[[#This Row],[Trend]]</f>
        <v>EMPLOYEEPaid2016-09-01Ancillary Claim Count</v>
      </c>
      <c r="B669" t="s">
        <v>90</v>
      </c>
      <c r="C669" t="s">
        <v>90</v>
      </c>
      <c r="D669" t="s">
        <v>78</v>
      </c>
      <c r="E669" s="1" t="s">
        <v>98</v>
      </c>
      <c r="F669" t="s">
        <v>93</v>
      </c>
      <c r="G669" t="s">
        <v>33</v>
      </c>
      <c r="H669">
        <v>22</v>
      </c>
      <c r="I669">
        <v>820</v>
      </c>
    </row>
    <row r="670" spans="1:9" x14ac:dyDescent="0.25">
      <c r="A670" s="5" t="str">
        <f>TrendSheetPrdData[[#This Row],[Population]]&amp;TrendSheetPrdData[[#This Row],[Cost Basis]]&amp;TrendSheetPrdData[[#This Row],[Period]]&amp;TrendSheetPrdData[[#This Row],[Trend]]</f>
        <v>EMPLOYEEPaid2016-10-01Ancillary Claim Count</v>
      </c>
      <c r="B670" t="s">
        <v>90</v>
      </c>
      <c r="C670" t="s">
        <v>90</v>
      </c>
      <c r="D670" t="s">
        <v>78</v>
      </c>
      <c r="E670" s="1" t="s">
        <v>99</v>
      </c>
      <c r="F670" t="s">
        <v>93</v>
      </c>
      <c r="G670" t="s">
        <v>33</v>
      </c>
      <c r="H670">
        <v>22</v>
      </c>
      <c r="I670">
        <v>885</v>
      </c>
    </row>
    <row r="671" spans="1:9" x14ac:dyDescent="0.25">
      <c r="A671" s="5" t="str">
        <f>TrendSheetPrdData[[#This Row],[Population]]&amp;TrendSheetPrdData[[#This Row],[Cost Basis]]&amp;TrendSheetPrdData[[#This Row],[Period]]&amp;TrendSheetPrdData[[#This Row],[Trend]]</f>
        <v>EMPLOYEEPaid2016-11-01Ancillary Claim Count</v>
      </c>
      <c r="B671" t="s">
        <v>90</v>
      </c>
      <c r="C671" t="s">
        <v>90</v>
      </c>
      <c r="D671" t="s">
        <v>78</v>
      </c>
      <c r="E671" s="1" t="s">
        <v>100</v>
      </c>
      <c r="F671" t="s">
        <v>93</v>
      </c>
      <c r="G671" t="s">
        <v>33</v>
      </c>
      <c r="H671">
        <v>22</v>
      </c>
      <c r="I671">
        <v>876</v>
      </c>
    </row>
    <row r="672" spans="1:9" x14ac:dyDescent="0.25">
      <c r="A672" s="5" t="str">
        <f>TrendSheetPrdData[[#This Row],[Population]]&amp;TrendSheetPrdData[[#This Row],[Cost Basis]]&amp;TrendSheetPrdData[[#This Row],[Period]]&amp;TrendSheetPrdData[[#This Row],[Trend]]</f>
        <v>EMPLOYEEPaid2016-12-01Ancillary Claim Count</v>
      </c>
      <c r="B672" t="s">
        <v>90</v>
      </c>
      <c r="C672" t="s">
        <v>90</v>
      </c>
      <c r="D672" t="s">
        <v>78</v>
      </c>
      <c r="E672" s="1" t="s">
        <v>101</v>
      </c>
      <c r="F672" t="s">
        <v>93</v>
      </c>
      <c r="G672" t="s">
        <v>33</v>
      </c>
      <c r="H672">
        <v>22</v>
      </c>
      <c r="I672">
        <v>789</v>
      </c>
    </row>
    <row r="673" spans="1:9" x14ac:dyDescent="0.25">
      <c r="A673" s="5" t="str">
        <f>TrendSheetPrdData[[#This Row],[Population]]&amp;TrendSheetPrdData[[#This Row],[Cost Basis]]&amp;TrendSheetPrdData[[#This Row],[Period]]&amp;TrendSheetPrdData[[#This Row],[Trend]]</f>
        <v>EMPLOYEEPaid2017-01-01Ancillary Claim Count</v>
      </c>
      <c r="B673" t="s">
        <v>90</v>
      </c>
      <c r="C673" t="s">
        <v>90</v>
      </c>
      <c r="D673" t="s">
        <v>78</v>
      </c>
      <c r="E673" s="1" t="s">
        <v>102</v>
      </c>
      <c r="F673" t="s">
        <v>93</v>
      </c>
      <c r="G673" t="s">
        <v>33</v>
      </c>
      <c r="H673">
        <v>22</v>
      </c>
      <c r="I673">
        <v>805</v>
      </c>
    </row>
    <row r="674" spans="1:9" x14ac:dyDescent="0.25">
      <c r="A674" s="5" t="str">
        <f>TrendSheetPrdData[[#This Row],[Population]]&amp;TrendSheetPrdData[[#This Row],[Cost Basis]]&amp;TrendSheetPrdData[[#This Row],[Period]]&amp;TrendSheetPrdData[[#This Row],[Trend]]</f>
        <v>EMPLOYEEPaid2017-02-01Ancillary Claim Count</v>
      </c>
      <c r="B674" t="s">
        <v>90</v>
      </c>
      <c r="C674" t="s">
        <v>90</v>
      </c>
      <c r="D674" t="s">
        <v>78</v>
      </c>
      <c r="E674" s="1" t="s">
        <v>103</v>
      </c>
      <c r="F674" t="s">
        <v>106</v>
      </c>
      <c r="G674" t="s">
        <v>33</v>
      </c>
      <c r="H674">
        <v>22</v>
      </c>
      <c r="I674">
        <v>874</v>
      </c>
    </row>
    <row r="675" spans="1:9" x14ac:dyDescent="0.25">
      <c r="A675" s="5" t="str">
        <f>TrendSheetPrdData[[#This Row],[Population]]&amp;TrendSheetPrdData[[#This Row],[Cost Basis]]&amp;TrendSheetPrdData[[#This Row],[Period]]&amp;TrendSheetPrdData[[#This Row],[Trend]]</f>
        <v>EMPLOYEEPaid2017-03-01Ancillary Claim Count</v>
      </c>
      <c r="B675" t="s">
        <v>90</v>
      </c>
      <c r="C675" t="s">
        <v>90</v>
      </c>
      <c r="D675" t="s">
        <v>78</v>
      </c>
      <c r="E675" s="1" t="s">
        <v>104</v>
      </c>
      <c r="F675" t="s">
        <v>106</v>
      </c>
      <c r="G675" t="s">
        <v>33</v>
      </c>
      <c r="H675">
        <v>22</v>
      </c>
      <c r="I675">
        <v>837</v>
      </c>
    </row>
    <row r="676" spans="1:9" x14ac:dyDescent="0.25">
      <c r="A676" s="5" t="str">
        <f>TrendSheetPrdData[[#This Row],[Population]]&amp;TrendSheetPrdData[[#This Row],[Cost Basis]]&amp;TrendSheetPrdData[[#This Row],[Period]]&amp;TrendSheetPrdData[[#This Row],[Trend]]</f>
        <v>EMPLOYEEPaid2017-04-01Ancillary Claim Count</v>
      </c>
      <c r="B676" t="s">
        <v>90</v>
      </c>
      <c r="C676" t="s">
        <v>90</v>
      </c>
      <c r="D676" t="s">
        <v>78</v>
      </c>
      <c r="E676" s="1" t="s">
        <v>105</v>
      </c>
      <c r="F676" t="s">
        <v>106</v>
      </c>
      <c r="G676" t="s">
        <v>33</v>
      </c>
      <c r="H676">
        <v>22</v>
      </c>
      <c r="I676">
        <v>273</v>
      </c>
    </row>
    <row r="677" spans="1:9" x14ac:dyDescent="0.25">
      <c r="A677" s="5" t="str">
        <f>TrendSheetPrdData[[#This Row],[Population]]&amp;TrendSheetPrdData[[#This Row],[Cost Basis]]&amp;TrendSheetPrdData[[#This Row],[Period]]&amp;TrendSheetPrdData[[#This Row],[Trend]]</f>
        <v>EMPLOYEEPaid2016-02-01Drug Claim Count</v>
      </c>
      <c r="B677" t="s">
        <v>90</v>
      </c>
      <c r="C677" t="s">
        <v>90</v>
      </c>
      <c r="D677" t="s">
        <v>78</v>
      </c>
      <c r="E677" s="1" t="s">
        <v>124</v>
      </c>
      <c r="F677" t="s">
        <v>93</v>
      </c>
      <c r="G677" t="s">
        <v>34</v>
      </c>
      <c r="H677">
        <v>23</v>
      </c>
      <c r="I677">
        <v>8509</v>
      </c>
    </row>
    <row r="678" spans="1:9" x14ac:dyDescent="0.25">
      <c r="A678" s="5" t="str">
        <f>TrendSheetPrdData[[#This Row],[Population]]&amp;TrendSheetPrdData[[#This Row],[Cost Basis]]&amp;TrendSheetPrdData[[#This Row],[Period]]&amp;TrendSheetPrdData[[#This Row],[Trend]]</f>
        <v>EMPLOYEEPaid2016-03-01Drug Claim Count</v>
      </c>
      <c r="B678" t="s">
        <v>90</v>
      </c>
      <c r="C678" t="s">
        <v>90</v>
      </c>
      <c r="D678" t="s">
        <v>78</v>
      </c>
      <c r="E678" s="1" t="s">
        <v>125</v>
      </c>
      <c r="F678" t="s">
        <v>93</v>
      </c>
      <c r="G678" t="s">
        <v>34</v>
      </c>
      <c r="H678">
        <v>23</v>
      </c>
      <c r="I678">
        <v>9512</v>
      </c>
    </row>
    <row r="679" spans="1:9" x14ac:dyDescent="0.25">
      <c r="A679" s="5" t="str">
        <f>TrendSheetPrdData[[#This Row],[Population]]&amp;TrendSheetPrdData[[#This Row],[Cost Basis]]&amp;TrendSheetPrdData[[#This Row],[Period]]&amp;TrendSheetPrdData[[#This Row],[Trend]]</f>
        <v>EMPLOYEEPaid2016-04-01Drug Claim Count</v>
      </c>
      <c r="B679" t="s">
        <v>90</v>
      </c>
      <c r="C679" t="s">
        <v>90</v>
      </c>
      <c r="D679" t="s">
        <v>78</v>
      </c>
      <c r="E679" s="1" t="s">
        <v>92</v>
      </c>
      <c r="F679" t="s">
        <v>93</v>
      </c>
      <c r="G679" t="s">
        <v>34</v>
      </c>
      <c r="H679">
        <v>23</v>
      </c>
      <c r="I679">
        <v>9166</v>
      </c>
    </row>
    <row r="680" spans="1:9" x14ac:dyDescent="0.25">
      <c r="A680" s="5" t="str">
        <f>TrendSheetPrdData[[#This Row],[Population]]&amp;TrendSheetPrdData[[#This Row],[Cost Basis]]&amp;TrendSheetPrdData[[#This Row],[Period]]&amp;TrendSheetPrdData[[#This Row],[Trend]]</f>
        <v>EMPLOYEEPaid2016-05-01Drug Claim Count</v>
      </c>
      <c r="B680" t="s">
        <v>90</v>
      </c>
      <c r="C680" t="s">
        <v>90</v>
      </c>
      <c r="D680" t="s">
        <v>78</v>
      </c>
      <c r="E680" s="1" t="s">
        <v>94</v>
      </c>
      <c r="F680" t="s">
        <v>93</v>
      </c>
      <c r="G680" t="s">
        <v>34</v>
      </c>
      <c r="H680">
        <v>23</v>
      </c>
      <c r="I680">
        <v>8615</v>
      </c>
    </row>
    <row r="681" spans="1:9" x14ac:dyDescent="0.25">
      <c r="A681" s="5" t="str">
        <f>TrendSheetPrdData[[#This Row],[Population]]&amp;TrendSheetPrdData[[#This Row],[Cost Basis]]&amp;TrendSheetPrdData[[#This Row],[Period]]&amp;TrendSheetPrdData[[#This Row],[Trend]]</f>
        <v>EMPLOYEEPaid2016-06-01Drug Claim Count</v>
      </c>
      <c r="B681" t="s">
        <v>90</v>
      </c>
      <c r="C681" t="s">
        <v>90</v>
      </c>
      <c r="D681" t="s">
        <v>78</v>
      </c>
      <c r="E681" s="1" t="s">
        <v>95</v>
      </c>
      <c r="F681" t="s">
        <v>93</v>
      </c>
      <c r="G681" t="s">
        <v>34</v>
      </c>
      <c r="H681">
        <v>23</v>
      </c>
      <c r="I681">
        <v>9044</v>
      </c>
    </row>
    <row r="682" spans="1:9" x14ac:dyDescent="0.25">
      <c r="A682" s="5" t="str">
        <f>TrendSheetPrdData[[#This Row],[Population]]&amp;TrendSheetPrdData[[#This Row],[Cost Basis]]&amp;TrendSheetPrdData[[#This Row],[Period]]&amp;TrendSheetPrdData[[#This Row],[Trend]]</f>
        <v>EMPLOYEEPaid2016-07-01Drug Claim Count</v>
      </c>
      <c r="B682" t="s">
        <v>90</v>
      </c>
      <c r="C682" t="s">
        <v>90</v>
      </c>
      <c r="D682" t="s">
        <v>78</v>
      </c>
      <c r="E682" s="1" t="s">
        <v>96</v>
      </c>
      <c r="F682" t="s">
        <v>93</v>
      </c>
      <c r="G682" t="s">
        <v>34</v>
      </c>
      <c r="H682">
        <v>23</v>
      </c>
      <c r="I682">
        <v>8445</v>
      </c>
    </row>
    <row r="683" spans="1:9" x14ac:dyDescent="0.25">
      <c r="A683" s="5" t="str">
        <f>TrendSheetPrdData[[#This Row],[Population]]&amp;TrendSheetPrdData[[#This Row],[Cost Basis]]&amp;TrendSheetPrdData[[#This Row],[Period]]&amp;TrendSheetPrdData[[#This Row],[Trend]]</f>
        <v>EMPLOYEEPaid2016-08-01Drug Claim Count</v>
      </c>
      <c r="B683" t="s">
        <v>90</v>
      </c>
      <c r="C683" t="s">
        <v>90</v>
      </c>
      <c r="D683" t="s">
        <v>78</v>
      </c>
      <c r="E683" s="1" t="s">
        <v>97</v>
      </c>
      <c r="F683" t="s">
        <v>93</v>
      </c>
      <c r="G683" t="s">
        <v>34</v>
      </c>
      <c r="H683">
        <v>23</v>
      </c>
      <c r="I683">
        <v>8991</v>
      </c>
    </row>
    <row r="684" spans="1:9" x14ac:dyDescent="0.25">
      <c r="A684" s="5" t="str">
        <f>TrendSheetPrdData[[#This Row],[Population]]&amp;TrendSheetPrdData[[#This Row],[Cost Basis]]&amp;TrendSheetPrdData[[#This Row],[Period]]&amp;TrendSheetPrdData[[#This Row],[Trend]]</f>
        <v>EMPLOYEEPaid2016-09-01Drug Claim Count</v>
      </c>
      <c r="B684" t="s">
        <v>90</v>
      </c>
      <c r="C684" t="s">
        <v>90</v>
      </c>
      <c r="D684" t="s">
        <v>78</v>
      </c>
      <c r="E684" s="1" t="s">
        <v>98</v>
      </c>
      <c r="F684" t="s">
        <v>93</v>
      </c>
      <c r="G684" t="s">
        <v>34</v>
      </c>
      <c r="H684">
        <v>23</v>
      </c>
      <c r="I684">
        <v>8878</v>
      </c>
    </row>
    <row r="685" spans="1:9" x14ac:dyDescent="0.25">
      <c r="A685" s="5" t="str">
        <f>TrendSheetPrdData[[#This Row],[Population]]&amp;TrendSheetPrdData[[#This Row],[Cost Basis]]&amp;TrendSheetPrdData[[#This Row],[Period]]&amp;TrendSheetPrdData[[#This Row],[Trend]]</f>
        <v>EMPLOYEEPaid2016-10-01Drug Claim Count</v>
      </c>
      <c r="B685" t="s">
        <v>90</v>
      </c>
      <c r="C685" t="s">
        <v>90</v>
      </c>
      <c r="D685" t="s">
        <v>78</v>
      </c>
      <c r="E685" s="1" t="s">
        <v>99</v>
      </c>
      <c r="F685" t="s">
        <v>93</v>
      </c>
      <c r="G685" t="s">
        <v>34</v>
      </c>
      <c r="H685">
        <v>23</v>
      </c>
      <c r="I685">
        <v>9022</v>
      </c>
    </row>
    <row r="686" spans="1:9" x14ac:dyDescent="0.25">
      <c r="A686" s="5" t="str">
        <f>TrendSheetPrdData[[#This Row],[Population]]&amp;TrendSheetPrdData[[#This Row],[Cost Basis]]&amp;TrendSheetPrdData[[#This Row],[Period]]&amp;TrendSheetPrdData[[#This Row],[Trend]]</f>
        <v>EMPLOYEEPaid2016-11-01Drug Claim Count</v>
      </c>
      <c r="B686" t="s">
        <v>90</v>
      </c>
      <c r="C686" t="s">
        <v>90</v>
      </c>
      <c r="D686" t="s">
        <v>78</v>
      </c>
      <c r="E686" s="1" t="s">
        <v>100</v>
      </c>
      <c r="F686" t="s">
        <v>93</v>
      </c>
      <c r="G686" t="s">
        <v>34</v>
      </c>
      <c r="H686">
        <v>23</v>
      </c>
      <c r="I686">
        <v>9397</v>
      </c>
    </row>
    <row r="687" spans="1:9" x14ac:dyDescent="0.25">
      <c r="A687" s="5" t="str">
        <f>TrendSheetPrdData[[#This Row],[Population]]&amp;TrendSheetPrdData[[#This Row],[Cost Basis]]&amp;TrendSheetPrdData[[#This Row],[Period]]&amp;TrendSheetPrdData[[#This Row],[Trend]]</f>
        <v>EMPLOYEEPaid2016-12-01Drug Claim Count</v>
      </c>
      <c r="B687" t="s">
        <v>90</v>
      </c>
      <c r="C687" t="s">
        <v>90</v>
      </c>
      <c r="D687" t="s">
        <v>78</v>
      </c>
      <c r="E687" s="1" t="s">
        <v>101</v>
      </c>
      <c r="F687" t="s">
        <v>93</v>
      </c>
      <c r="G687" t="s">
        <v>34</v>
      </c>
      <c r="H687">
        <v>23</v>
      </c>
      <c r="I687">
        <v>10331</v>
      </c>
    </row>
    <row r="688" spans="1:9" x14ac:dyDescent="0.25">
      <c r="A688" s="5" t="str">
        <f>TrendSheetPrdData[[#This Row],[Population]]&amp;TrendSheetPrdData[[#This Row],[Cost Basis]]&amp;TrendSheetPrdData[[#This Row],[Period]]&amp;TrendSheetPrdData[[#This Row],[Trend]]</f>
        <v>EMPLOYEEPaid2017-01-01Drug Claim Count</v>
      </c>
      <c r="B688" t="s">
        <v>90</v>
      </c>
      <c r="C688" t="s">
        <v>90</v>
      </c>
      <c r="D688" t="s">
        <v>78</v>
      </c>
      <c r="E688" s="1" t="s">
        <v>102</v>
      </c>
      <c r="F688" t="s">
        <v>93</v>
      </c>
      <c r="G688" t="s">
        <v>34</v>
      </c>
      <c r="H688">
        <v>23</v>
      </c>
      <c r="I688">
        <v>9964</v>
      </c>
    </row>
    <row r="689" spans="1:9" x14ac:dyDescent="0.25">
      <c r="A689" s="5" t="str">
        <f>TrendSheetPrdData[[#This Row],[Population]]&amp;TrendSheetPrdData[[#This Row],[Cost Basis]]&amp;TrendSheetPrdData[[#This Row],[Period]]&amp;TrendSheetPrdData[[#This Row],[Trend]]</f>
        <v>EMPLOYEEPaid2017-02-01Drug Claim Count</v>
      </c>
      <c r="B689" t="s">
        <v>90</v>
      </c>
      <c r="C689" t="s">
        <v>90</v>
      </c>
      <c r="D689" t="s">
        <v>78</v>
      </c>
      <c r="E689" s="1" t="s">
        <v>103</v>
      </c>
      <c r="F689" t="s">
        <v>106</v>
      </c>
      <c r="G689" t="s">
        <v>34</v>
      </c>
      <c r="H689">
        <v>23</v>
      </c>
      <c r="I689">
        <v>9034</v>
      </c>
    </row>
    <row r="690" spans="1:9" x14ac:dyDescent="0.25">
      <c r="A690" s="5" t="str">
        <f>TrendSheetPrdData[[#This Row],[Population]]&amp;TrendSheetPrdData[[#This Row],[Cost Basis]]&amp;TrendSheetPrdData[[#This Row],[Period]]&amp;TrendSheetPrdData[[#This Row],[Trend]]</f>
        <v>EMPLOYEEPaid2017-03-01Drug Claim Count</v>
      </c>
      <c r="B690" t="s">
        <v>90</v>
      </c>
      <c r="C690" t="s">
        <v>90</v>
      </c>
      <c r="D690" t="s">
        <v>78</v>
      </c>
      <c r="E690" s="1" t="s">
        <v>104</v>
      </c>
      <c r="F690" t="s">
        <v>106</v>
      </c>
      <c r="G690" t="s">
        <v>34</v>
      </c>
      <c r="H690">
        <v>23</v>
      </c>
      <c r="I690">
        <v>10394</v>
      </c>
    </row>
    <row r="691" spans="1:9" x14ac:dyDescent="0.25">
      <c r="A691" s="5" t="str">
        <f>TrendSheetPrdData[[#This Row],[Population]]&amp;TrendSheetPrdData[[#This Row],[Cost Basis]]&amp;TrendSheetPrdData[[#This Row],[Period]]&amp;TrendSheetPrdData[[#This Row],[Trend]]</f>
        <v>EMPLOYEEPaid2017-04-01Drug Claim Count</v>
      </c>
      <c r="B691" t="s">
        <v>90</v>
      </c>
      <c r="C691" t="s">
        <v>90</v>
      </c>
      <c r="D691" t="s">
        <v>78</v>
      </c>
      <c r="E691" s="1" t="s">
        <v>105</v>
      </c>
      <c r="F691" t="s">
        <v>106</v>
      </c>
      <c r="G691" t="s">
        <v>34</v>
      </c>
      <c r="H691">
        <v>23</v>
      </c>
      <c r="I691">
        <v>9252</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1"/>
  <sheetViews>
    <sheetView workbookViewId="0">
      <selection activeCell="H2" sqref="H2"/>
    </sheetView>
  </sheetViews>
  <sheetFormatPr defaultColWidth="9" defaultRowHeight="15" x14ac:dyDescent="0.25"/>
  <cols>
    <col min="1" max="1" width="28.7109375" bestFit="1" customWidth="1"/>
    <col min="2" max="2" width="28.7109375" customWidth="1"/>
    <col min="3" max="3" width="11.85546875" customWidth="1"/>
    <col min="4" max="4" width="9" customWidth="1"/>
    <col min="5" max="5" width="24.28515625" bestFit="1" customWidth="1"/>
    <col min="6" max="6" width="20.5703125" bestFit="1" customWidth="1"/>
    <col min="7" max="7" width="27.5703125" bestFit="1" customWidth="1"/>
    <col min="8" max="8" width="24" bestFit="1" customWidth="1"/>
  </cols>
  <sheetData>
    <row r="1" spans="1:8" x14ac:dyDescent="0.25">
      <c r="A1" t="s">
        <v>0</v>
      </c>
      <c r="B1" t="s">
        <v>85</v>
      </c>
      <c r="C1" t="s">
        <v>1</v>
      </c>
      <c r="D1" t="s">
        <v>2</v>
      </c>
      <c r="E1" t="s">
        <v>8</v>
      </c>
      <c r="F1" t="s">
        <v>9</v>
      </c>
      <c r="G1" t="s">
        <v>10</v>
      </c>
      <c r="H1" t="s">
        <v>11</v>
      </c>
    </row>
    <row r="2" spans="1:8" x14ac:dyDescent="0.25">
      <c r="A2" t="s">
        <v>90</v>
      </c>
      <c r="B2" t="s">
        <v>90</v>
      </c>
      <c r="C2" t="s">
        <v>91</v>
      </c>
      <c r="D2" s="1" t="s">
        <v>102</v>
      </c>
      <c r="E2">
        <v>4240928.16</v>
      </c>
      <c r="F2">
        <v>4149312.58</v>
      </c>
      <c r="G2">
        <f>VLOOKUP(StgIBNRTrendData[[#This Row],[Population]]&amp;StgIBNRTrendData[[#This Row],[Cost Basis]]&amp;StgIBNRTrendData[[#This Row],[Period]],PrdIBNRTrendData[],6,FALSE)</f>
        <v>4170760.8</v>
      </c>
      <c r="H2">
        <f>VLOOKUP(StgIBNRTrendData[[#This Row],[Population]]&amp;StgIBNRTrendData[[#This Row],[Cost Basis]]&amp;StgIBNRTrendData[[#This Row],[Period]],PrdIBNRTrendData[],7,FALSE)</f>
        <v>4037315.35</v>
      </c>
    </row>
    <row r="3" spans="1:8" x14ac:dyDescent="0.25">
      <c r="A3" t="s">
        <v>90</v>
      </c>
      <c r="B3" t="s">
        <v>90</v>
      </c>
      <c r="C3" t="s">
        <v>91</v>
      </c>
      <c r="D3" s="1" t="s">
        <v>103</v>
      </c>
      <c r="E3">
        <v>8516190.9000000004</v>
      </c>
      <c r="F3">
        <v>8291453.2599999998</v>
      </c>
      <c r="G3" s="5">
        <f>VLOOKUP(StgIBNRTrendData[[#This Row],[Population]]&amp;StgIBNRTrendData[[#This Row],[Cost Basis]]&amp;StgIBNRTrendData[[#This Row],[Period]],PrdIBNRTrendData[],6,FALSE)</f>
        <v>8816707.0700000003</v>
      </c>
      <c r="H3" s="5">
        <f>VLOOKUP(StgIBNRTrendData[[#This Row],[Population]]&amp;StgIBNRTrendData[[#This Row],[Cost Basis]]&amp;StgIBNRTrendData[[#This Row],[Period]],PrdIBNRTrendData[],7,FALSE)</f>
        <v>8111501.9100000001</v>
      </c>
    </row>
    <row r="4" spans="1:8" x14ac:dyDescent="0.25">
      <c r="A4" t="s">
        <v>90</v>
      </c>
      <c r="B4" t="s">
        <v>90</v>
      </c>
      <c r="C4" t="s">
        <v>91</v>
      </c>
      <c r="D4" s="1" t="s">
        <v>104</v>
      </c>
      <c r="E4">
        <v>13269044.17</v>
      </c>
      <c r="F4">
        <v>12995057.890000001</v>
      </c>
      <c r="G4" s="5">
        <f>VLOOKUP(StgIBNRTrendData[[#This Row],[Population]]&amp;StgIBNRTrendData[[#This Row],[Cost Basis]]&amp;StgIBNRTrendData[[#This Row],[Period]],PrdIBNRTrendData[],6,FALSE)</f>
        <v>13544724.49</v>
      </c>
      <c r="H4" s="5">
        <f>VLOOKUP(StgIBNRTrendData[[#This Row],[Population]]&amp;StgIBNRTrendData[[#This Row],[Cost Basis]]&amp;StgIBNRTrendData[[#This Row],[Period]],PrdIBNRTrendData[],7,FALSE)</f>
        <v>12543976.23</v>
      </c>
    </row>
    <row r="5" spans="1:8" x14ac:dyDescent="0.25">
      <c r="A5" t="s">
        <v>90</v>
      </c>
      <c r="B5" t="s">
        <v>90</v>
      </c>
      <c r="C5" t="s">
        <v>91</v>
      </c>
      <c r="D5" s="1" t="s">
        <v>105</v>
      </c>
      <c r="E5">
        <v>17683334.98</v>
      </c>
      <c r="F5">
        <v>16729855.210000001</v>
      </c>
      <c r="G5" s="5">
        <f>VLOOKUP(StgIBNRTrendData[[#This Row],[Population]]&amp;StgIBNRTrendData[[#This Row],[Cost Basis]]&amp;StgIBNRTrendData[[#This Row],[Period]],PrdIBNRTrendData[],6,FALSE)</f>
        <v>18205177.75</v>
      </c>
      <c r="H5" s="5">
        <f>VLOOKUP(StgIBNRTrendData[[#This Row],[Population]]&amp;StgIBNRTrendData[[#This Row],[Cost Basis]]&amp;StgIBNRTrendData[[#This Row],[Period]],PrdIBNRTrendData[],7,FALSE)</f>
        <v>14048691.939999999</v>
      </c>
    </row>
    <row r="6" spans="1:8" x14ac:dyDescent="0.25">
      <c r="A6" t="s">
        <v>90</v>
      </c>
      <c r="B6" t="s">
        <v>90</v>
      </c>
      <c r="C6" t="s">
        <v>91</v>
      </c>
      <c r="D6" s="1" t="s">
        <v>107</v>
      </c>
      <c r="E6">
        <v>22380528.27</v>
      </c>
      <c r="F6">
        <v>18992401.469999999</v>
      </c>
      <c r="G6" s="5" t="e">
        <f>VLOOKUP(StgIBNRTrendData[[#This Row],[Population]]&amp;StgIBNRTrendData[[#This Row],[Cost Basis]]&amp;StgIBNRTrendData[[#This Row],[Period]],PrdIBNRTrendData[],6,FALSE)</f>
        <v>#N/A</v>
      </c>
      <c r="H6" s="5" t="e">
        <f>VLOOKUP(StgIBNRTrendData[[#This Row],[Population]]&amp;StgIBNRTrendData[[#This Row],[Cost Basis]]&amp;StgIBNRTrendData[[#This Row],[Period]],PrdIBNRTrendData[],7,FALSE)</f>
        <v>#N/A</v>
      </c>
    </row>
    <row r="7" spans="1:8" x14ac:dyDescent="0.25">
      <c r="A7" t="s">
        <v>90</v>
      </c>
      <c r="B7" t="s">
        <v>90</v>
      </c>
      <c r="C7" t="s">
        <v>78</v>
      </c>
      <c r="D7" s="1" t="s">
        <v>102</v>
      </c>
      <c r="E7">
        <v>3086185.42</v>
      </c>
      <c r="F7">
        <v>3014904.3</v>
      </c>
      <c r="G7" s="5">
        <f>VLOOKUP(StgIBNRTrendData[[#This Row],[Population]]&amp;StgIBNRTrendData[[#This Row],[Cost Basis]]&amp;StgIBNRTrendData[[#This Row],[Period]],PrdIBNRTrendData[],6,FALSE)</f>
        <v>3022457.37</v>
      </c>
      <c r="H7" s="5">
        <f>VLOOKUP(StgIBNRTrendData[[#This Row],[Population]]&amp;StgIBNRTrendData[[#This Row],[Cost Basis]]&amp;StgIBNRTrendData[[#This Row],[Period]],PrdIBNRTrendData[],7,FALSE)</f>
        <v>2923221.92</v>
      </c>
    </row>
    <row r="8" spans="1:8" x14ac:dyDescent="0.25">
      <c r="A8" t="s">
        <v>90</v>
      </c>
      <c r="B8" t="s">
        <v>90</v>
      </c>
      <c r="C8" t="s">
        <v>78</v>
      </c>
      <c r="D8" s="1" t="s">
        <v>103</v>
      </c>
      <c r="E8">
        <v>6377777.2400000002</v>
      </c>
      <c r="F8">
        <v>6202024.3899999997</v>
      </c>
      <c r="G8" s="5">
        <f>VLOOKUP(StgIBNRTrendData[[#This Row],[Population]]&amp;StgIBNRTrendData[[#This Row],[Cost Basis]]&amp;StgIBNRTrendData[[#This Row],[Period]],PrdIBNRTrendData[],6,FALSE)</f>
        <v>6609941.5300000003</v>
      </c>
      <c r="H8" s="5">
        <f>VLOOKUP(StgIBNRTrendData[[#This Row],[Population]]&amp;StgIBNRTrendData[[#This Row],[Cost Basis]]&amp;StgIBNRTrendData[[#This Row],[Period]],PrdIBNRTrendData[],7,FALSE)</f>
        <v>6049461.6200000001</v>
      </c>
    </row>
    <row r="9" spans="1:8" x14ac:dyDescent="0.25">
      <c r="A9" t="s">
        <v>90</v>
      </c>
      <c r="B9" t="s">
        <v>90</v>
      </c>
      <c r="C9" t="s">
        <v>78</v>
      </c>
      <c r="D9" s="1" t="s">
        <v>104</v>
      </c>
      <c r="E9">
        <v>10138114.66</v>
      </c>
      <c r="F9">
        <v>9917964.9399999995</v>
      </c>
      <c r="G9" s="5">
        <f>VLOOKUP(StgIBNRTrendData[[#This Row],[Population]]&amp;StgIBNRTrendData[[#This Row],[Cost Basis]]&amp;StgIBNRTrendData[[#This Row],[Period]],PrdIBNRTrendData[],6,FALSE)</f>
        <v>10381795.539999999</v>
      </c>
      <c r="H9" s="5">
        <f>VLOOKUP(StgIBNRTrendData[[#This Row],[Population]]&amp;StgIBNRTrendData[[#This Row],[Cost Basis]]&amp;StgIBNRTrendData[[#This Row],[Period]],PrdIBNRTrendData[],7,FALSE)</f>
        <v>9553912.3900000006</v>
      </c>
    </row>
    <row r="10" spans="1:8" x14ac:dyDescent="0.25">
      <c r="A10" t="s">
        <v>90</v>
      </c>
      <c r="B10" t="s">
        <v>90</v>
      </c>
      <c r="C10" t="s">
        <v>78</v>
      </c>
      <c r="D10" s="1" t="s">
        <v>105</v>
      </c>
      <c r="E10">
        <v>13705448.710000001</v>
      </c>
      <c r="F10">
        <v>12902508.470000001</v>
      </c>
      <c r="G10" s="5">
        <f>VLOOKUP(StgIBNRTrendData[[#This Row],[Population]]&amp;StgIBNRTrendData[[#This Row],[Cost Basis]]&amp;StgIBNRTrendData[[#This Row],[Period]],PrdIBNRTrendData[],6,FALSE)</f>
        <v>14049924.75</v>
      </c>
      <c r="H10" s="5">
        <f>VLOOKUP(StgIBNRTrendData[[#This Row],[Population]]&amp;StgIBNRTrendData[[#This Row],[Cost Basis]]&amp;StgIBNRTrendData[[#This Row],[Period]],PrdIBNRTrendData[],7,FALSE)</f>
        <v>10761237.4</v>
      </c>
    </row>
    <row r="11" spans="1:8" x14ac:dyDescent="0.25">
      <c r="A11" t="s">
        <v>90</v>
      </c>
      <c r="B11" t="s">
        <v>90</v>
      </c>
      <c r="C11" t="s">
        <v>78</v>
      </c>
      <c r="D11" s="1" t="s">
        <v>107</v>
      </c>
      <c r="E11">
        <v>17407335.629999999</v>
      </c>
      <c r="F11">
        <v>14773117.51</v>
      </c>
      <c r="G11" s="5" t="e">
        <f>VLOOKUP(StgIBNRTrendData[[#This Row],[Population]]&amp;StgIBNRTrendData[[#This Row],[Cost Basis]]&amp;StgIBNRTrendData[[#This Row],[Period]],PrdIBNRTrendData[],6,FALSE)</f>
        <v>#N/A</v>
      </c>
      <c r="H11" s="5" t="e">
        <f>VLOOKUP(StgIBNRTrendData[[#This Row],[Population]]&amp;StgIBNRTrendData[[#This Row],[Cost Basis]]&amp;StgIBNRTrendData[[#This Row],[Period]],PrdIBNRTrendData[],7,FALSE)</f>
        <v>#N/A</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9"/>
  <sheetViews>
    <sheetView workbookViewId="0"/>
  </sheetViews>
  <sheetFormatPr defaultColWidth="9.28515625" defaultRowHeight="15" x14ac:dyDescent="0.25"/>
  <cols>
    <col min="1" max="1" width="41.5703125" bestFit="1" customWidth="1"/>
    <col min="2" max="2" width="28.7109375" bestFit="1" customWidth="1"/>
    <col min="3" max="3" width="28.7109375" customWidth="1"/>
    <col min="4" max="4" width="11.85546875" customWidth="1"/>
    <col min="5" max="5" width="9" customWidth="1"/>
    <col min="6" max="6" width="16.85546875" customWidth="1"/>
    <col min="7" max="7" width="13.28515625" customWidth="1"/>
  </cols>
  <sheetData>
    <row r="1" spans="1:7" x14ac:dyDescent="0.25">
      <c r="A1" t="s">
        <v>38</v>
      </c>
      <c r="B1" t="s">
        <v>0</v>
      </c>
      <c r="C1" t="s">
        <v>85</v>
      </c>
      <c r="D1" t="s">
        <v>1</v>
      </c>
      <c r="E1" t="s">
        <v>2</v>
      </c>
      <c r="F1" t="s">
        <v>36</v>
      </c>
      <c r="G1" t="s">
        <v>37</v>
      </c>
    </row>
    <row r="2" spans="1:7" x14ac:dyDescent="0.25">
      <c r="A2" t="str">
        <f>PrdIBNRTrendData[[#This Row],[Population]]&amp;PrdIBNRTrendData[[#This Row],[Cost Basis]]&amp;PrdIBNRTrendData[[#This Row],[Period]]</f>
        <v>EMPLOYEEAllowed2017-01-01</v>
      </c>
      <c r="B2" t="s">
        <v>90</v>
      </c>
      <c r="C2" t="s">
        <v>90</v>
      </c>
      <c r="D2" t="s">
        <v>91</v>
      </c>
      <c r="E2" s="1" t="s">
        <v>102</v>
      </c>
      <c r="F2">
        <v>4170760.8</v>
      </c>
      <c r="G2">
        <v>4037315.35</v>
      </c>
    </row>
    <row r="3" spans="1:7" x14ac:dyDescent="0.25">
      <c r="A3" s="5" t="str">
        <f>PrdIBNRTrendData[[#This Row],[Population]]&amp;PrdIBNRTrendData[[#This Row],[Cost Basis]]&amp;PrdIBNRTrendData[[#This Row],[Period]]</f>
        <v>EMPLOYEEAllowed2017-02-01</v>
      </c>
      <c r="B3" t="s">
        <v>90</v>
      </c>
      <c r="C3" t="s">
        <v>90</v>
      </c>
      <c r="D3" t="s">
        <v>91</v>
      </c>
      <c r="E3" s="1" t="s">
        <v>103</v>
      </c>
      <c r="F3">
        <v>8816707.0700000003</v>
      </c>
      <c r="G3">
        <v>8111501.9100000001</v>
      </c>
    </row>
    <row r="4" spans="1:7" x14ac:dyDescent="0.25">
      <c r="A4" s="5" t="str">
        <f>PrdIBNRTrendData[[#This Row],[Population]]&amp;PrdIBNRTrendData[[#This Row],[Cost Basis]]&amp;PrdIBNRTrendData[[#This Row],[Period]]</f>
        <v>EMPLOYEEAllowed2017-03-01</v>
      </c>
      <c r="B4" t="s">
        <v>90</v>
      </c>
      <c r="C4" t="s">
        <v>90</v>
      </c>
      <c r="D4" t="s">
        <v>91</v>
      </c>
      <c r="E4" s="1" t="s">
        <v>104</v>
      </c>
      <c r="F4">
        <v>13544724.49</v>
      </c>
      <c r="G4">
        <v>12543976.23</v>
      </c>
    </row>
    <row r="5" spans="1:7" x14ac:dyDescent="0.25">
      <c r="A5" s="5" t="str">
        <f>PrdIBNRTrendData[[#This Row],[Population]]&amp;PrdIBNRTrendData[[#This Row],[Cost Basis]]&amp;PrdIBNRTrendData[[#This Row],[Period]]</f>
        <v>EMPLOYEEAllowed2017-04-01</v>
      </c>
      <c r="B5" t="s">
        <v>90</v>
      </c>
      <c r="C5" t="s">
        <v>90</v>
      </c>
      <c r="D5" t="s">
        <v>91</v>
      </c>
      <c r="E5" s="1" t="s">
        <v>105</v>
      </c>
      <c r="F5">
        <v>18205177.75</v>
      </c>
      <c r="G5">
        <v>14048691.939999999</v>
      </c>
    </row>
    <row r="6" spans="1:7" x14ac:dyDescent="0.25">
      <c r="A6" s="5" t="str">
        <f>PrdIBNRTrendData[[#This Row],[Population]]&amp;PrdIBNRTrendData[[#This Row],[Cost Basis]]&amp;PrdIBNRTrendData[[#This Row],[Period]]</f>
        <v>EMPLOYEEPaid2017-01-01</v>
      </c>
      <c r="B6" t="s">
        <v>90</v>
      </c>
      <c r="C6" t="s">
        <v>90</v>
      </c>
      <c r="D6" t="s">
        <v>78</v>
      </c>
      <c r="E6" s="1" t="s">
        <v>102</v>
      </c>
      <c r="F6">
        <v>3022457.37</v>
      </c>
      <c r="G6">
        <v>2923221.92</v>
      </c>
    </row>
    <row r="7" spans="1:7" x14ac:dyDescent="0.25">
      <c r="A7" s="5" t="str">
        <f>PrdIBNRTrendData[[#This Row],[Population]]&amp;PrdIBNRTrendData[[#This Row],[Cost Basis]]&amp;PrdIBNRTrendData[[#This Row],[Period]]</f>
        <v>EMPLOYEEPaid2017-02-01</v>
      </c>
      <c r="B7" t="s">
        <v>90</v>
      </c>
      <c r="C7" t="s">
        <v>90</v>
      </c>
      <c r="D7" t="s">
        <v>78</v>
      </c>
      <c r="E7" s="1" t="s">
        <v>103</v>
      </c>
      <c r="F7">
        <v>6609941.5300000003</v>
      </c>
      <c r="G7">
        <v>6049461.6200000001</v>
      </c>
    </row>
    <row r="8" spans="1:7" x14ac:dyDescent="0.25">
      <c r="A8" s="5" t="str">
        <f>PrdIBNRTrendData[[#This Row],[Population]]&amp;PrdIBNRTrendData[[#This Row],[Cost Basis]]&amp;PrdIBNRTrendData[[#This Row],[Period]]</f>
        <v>EMPLOYEEPaid2017-03-01</v>
      </c>
      <c r="B8" t="s">
        <v>90</v>
      </c>
      <c r="C8" t="s">
        <v>90</v>
      </c>
      <c r="D8" t="s">
        <v>78</v>
      </c>
      <c r="E8" s="1" t="s">
        <v>104</v>
      </c>
      <c r="F8">
        <v>10381795.539999999</v>
      </c>
      <c r="G8">
        <v>9553912.3900000006</v>
      </c>
    </row>
    <row r="9" spans="1:7" x14ac:dyDescent="0.25">
      <c r="A9" s="5" t="str">
        <f>PrdIBNRTrendData[[#This Row],[Population]]&amp;PrdIBNRTrendData[[#This Row],[Cost Basis]]&amp;PrdIBNRTrendData[[#This Row],[Period]]</f>
        <v>EMPLOYEEPaid2017-04-01</v>
      </c>
      <c r="B9" t="s">
        <v>90</v>
      </c>
      <c r="C9" t="s">
        <v>90</v>
      </c>
      <c r="D9" t="s">
        <v>78</v>
      </c>
      <c r="E9" s="1" t="s">
        <v>105</v>
      </c>
      <c r="F9">
        <v>14049924.75</v>
      </c>
      <c r="G9">
        <v>10761237.4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6"/>
  <sheetViews>
    <sheetView workbookViewId="0">
      <selection activeCell="A2" sqref="A2"/>
    </sheetView>
  </sheetViews>
  <sheetFormatPr defaultRowHeight="15" x14ac:dyDescent="0.25"/>
  <cols>
    <col min="1" max="1" width="13.140625" customWidth="1"/>
    <col min="2" max="2" width="10.7109375" bestFit="1" customWidth="1"/>
    <col min="3" max="3" width="7.42578125" bestFit="1" customWidth="1"/>
    <col min="4" max="4" width="27.140625" customWidth="1"/>
    <col min="5" max="5" width="23.7109375" customWidth="1"/>
    <col min="6" max="6" width="27.140625" bestFit="1" customWidth="1"/>
    <col min="7" max="7" width="23.7109375" customWidth="1"/>
  </cols>
  <sheetData>
    <row r="1" spans="1:3" x14ac:dyDescent="0.25">
      <c r="A1" s="2" t="s">
        <v>39</v>
      </c>
      <c r="B1" t="s">
        <v>44</v>
      </c>
      <c r="C1" t="s">
        <v>43</v>
      </c>
    </row>
    <row r="2" spans="1:3" x14ac:dyDescent="0.25">
      <c r="A2" s="3" t="s">
        <v>92</v>
      </c>
      <c r="B2" s="5">
        <v>734</v>
      </c>
      <c r="C2" s="5">
        <v>696</v>
      </c>
    </row>
    <row r="3" spans="1:3" x14ac:dyDescent="0.25">
      <c r="A3" s="3" t="s">
        <v>94</v>
      </c>
      <c r="B3" s="5">
        <v>706</v>
      </c>
      <c r="C3" s="5">
        <v>673</v>
      </c>
    </row>
    <row r="4" spans="1:3" x14ac:dyDescent="0.25">
      <c r="A4" s="3" t="s">
        <v>95</v>
      </c>
      <c r="B4" s="5">
        <v>753</v>
      </c>
      <c r="C4" s="5">
        <v>721</v>
      </c>
    </row>
    <row r="5" spans="1:3" x14ac:dyDescent="0.25">
      <c r="A5" s="3" t="s">
        <v>96</v>
      </c>
      <c r="B5" s="5">
        <v>705</v>
      </c>
      <c r="C5" s="5">
        <v>676</v>
      </c>
    </row>
    <row r="6" spans="1:3" x14ac:dyDescent="0.25">
      <c r="A6" s="3" t="s">
        <v>97</v>
      </c>
      <c r="B6" s="5">
        <v>815</v>
      </c>
      <c r="C6" s="5">
        <v>777</v>
      </c>
    </row>
    <row r="7" spans="1:3" x14ac:dyDescent="0.25">
      <c r="A7" s="3" t="s">
        <v>98</v>
      </c>
      <c r="B7" s="5">
        <v>820</v>
      </c>
      <c r="C7" s="5">
        <v>792</v>
      </c>
    </row>
    <row r="8" spans="1:3" x14ac:dyDescent="0.25">
      <c r="A8" s="3" t="s">
        <v>99</v>
      </c>
      <c r="B8" s="5">
        <v>885</v>
      </c>
      <c r="C8" s="5">
        <v>868</v>
      </c>
    </row>
    <row r="9" spans="1:3" x14ac:dyDescent="0.25">
      <c r="A9" s="3" t="s">
        <v>100</v>
      </c>
      <c r="B9" s="5">
        <v>876</v>
      </c>
      <c r="C9" s="5">
        <v>848</v>
      </c>
    </row>
    <row r="10" spans="1:3" x14ac:dyDescent="0.25">
      <c r="A10" s="3" t="s">
        <v>101</v>
      </c>
      <c r="B10" s="5">
        <v>789</v>
      </c>
      <c r="C10" s="5">
        <v>764</v>
      </c>
    </row>
    <row r="11" spans="1:3" x14ac:dyDescent="0.25">
      <c r="A11" s="3" t="s">
        <v>102</v>
      </c>
      <c r="B11" s="5">
        <v>805</v>
      </c>
      <c r="C11" s="5">
        <v>812</v>
      </c>
    </row>
    <row r="12" spans="1:3" x14ac:dyDescent="0.25">
      <c r="A12" s="3" t="s">
        <v>103</v>
      </c>
      <c r="B12" s="5">
        <v>874</v>
      </c>
      <c r="C12" s="5">
        <v>864</v>
      </c>
    </row>
    <row r="13" spans="1:3" x14ac:dyDescent="0.25">
      <c r="A13" s="3" t="s">
        <v>104</v>
      </c>
      <c r="B13" s="5">
        <v>837</v>
      </c>
      <c r="C13" s="5">
        <v>905</v>
      </c>
    </row>
    <row r="14" spans="1:3" x14ac:dyDescent="0.25">
      <c r="A14" s="3" t="s">
        <v>105</v>
      </c>
      <c r="B14" s="5">
        <v>273</v>
      </c>
      <c r="C14" s="5">
        <v>877</v>
      </c>
    </row>
    <row r="15" spans="1:3" x14ac:dyDescent="0.25">
      <c r="A15" s="3" t="s">
        <v>107</v>
      </c>
      <c r="B15" s="5">
        <v>0</v>
      </c>
      <c r="C15" s="5">
        <v>385</v>
      </c>
    </row>
    <row r="16" spans="1:3" x14ac:dyDescent="0.25">
      <c r="A16" s="3" t="s">
        <v>40</v>
      </c>
      <c r="B16" s="5">
        <v>9872</v>
      </c>
      <c r="C16" s="5">
        <v>10658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7"/>
  <sheetViews>
    <sheetView workbookViewId="0">
      <selection activeCell="N1" sqref="N1:P3"/>
    </sheetView>
  </sheetViews>
  <sheetFormatPr defaultRowHeight="15" x14ac:dyDescent="0.25"/>
  <cols>
    <col min="1" max="1" width="13.140625" customWidth="1"/>
    <col min="2" max="3" width="12" bestFit="1" customWidth="1"/>
    <col min="4" max="4" width="8.42578125" customWidth="1"/>
    <col min="5" max="5" width="4.85546875" customWidth="1"/>
    <col min="14" max="14" width="13.140625" bestFit="1" customWidth="1"/>
    <col min="15" max="16" width="12" bestFit="1" customWidth="1"/>
  </cols>
  <sheetData>
    <row r="1" spans="1:16" x14ac:dyDescent="0.25">
      <c r="A1" s="2" t="s">
        <v>39</v>
      </c>
      <c r="B1" t="s">
        <v>77</v>
      </c>
      <c r="C1" t="s">
        <v>78</v>
      </c>
      <c r="N1" s="2" t="s">
        <v>39</v>
      </c>
      <c r="O1" t="s">
        <v>77</v>
      </c>
      <c r="P1" t="s">
        <v>78</v>
      </c>
    </row>
    <row r="2" spans="1:16" x14ac:dyDescent="0.25">
      <c r="A2" s="7" t="s">
        <v>102</v>
      </c>
      <c r="B2" s="5">
        <v>4240928.16</v>
      </c>
      <c r="C2" s="5">
        <v>4149312.58</v>
      </c>
      <c r="N2" s="7" t="s">
        <v>102</v>
      </c>
      <c r="O2" s="5">
        <v>4170760.8</v>
      </c>
      <c r="P2" s="5">
        <v>4037315.35</v>
      </c>
    </row>
    <row r="3" spans="1:16" x14ac:dyDescent="0.25">
      <c r="A3" s="7" t="s">
        <v>103</v>
      </c>
      <c r="B3" s="5">
        <v>8516190.9000000004</v>
      </c>
      <c r="C3" s="5">
        <v>8291453.2599999998</v>
      </c>
      <c r="N3" s="7" t="s">
        <v>103</v>
      </c>
      <c r="O3" s="5">
        <v>8816707.0700000003</v>
      </c>
      <c r="P3" s="5">
        <v>8111501.9100000001</v>
      </c>
    </row>
    <row r="4" spans="1:16" x14ac:dyDescent="0.25">
      <c r="A4" s="7" t="s">
        <v>104</v>
      </c>
      <c r="B4" s="5">
        <v>13269044.17</v>
      </c>
      <c r="C4" s="5">
        <v>12995057.890000001</v>
      </c>
      <c r="N4" s="7" t="s">
        <v>104</v>
      </c>
      <c r="O4" s="5">
        <v>13544724.49</v>
      </c>
      <c r="P4" s="5">
        <v>12543976.23</v>
      </c>
    </row>
    <row r="5" spans="1:16" x14ac:dyDescent="0.25">
      <c r="A5" s="7" t="s">
        <v>105</v>
      </c>
      <c r="B5" s="5">
        <v>17683334.98</v>
      </c>
      <c r="C5" s="5">
        <v>16729855.210000001</v>
      </c>
      <c r="N5" s="7" t="s">
        <v>105</v>
      </c>
      <c r="O5" s="5">
        <v>18205177.75</v>
      </c>
      <c r="P5" s="5">
        <v>14048691.939999999</v>
      </c>
    </row>
    <row r="6" spans="1:16" x14ac:dyDescent="0.25">
      <c r="A6" s="7" t="s">
        <v>107</v>
      </c>
      <c r="B6" s="5">
        <v>22380528.27</v>
      </c>
      <c r="C6" s="5">
        <v>18992401.469999999</v>
      </c>
      <c r="N6" s="7" t="s">
        <v>107</v>
      </c>
      <c r="O6" s="5" t="e">
        <v>#N/A</v>
      </c>
      <c r="P6" s="5" t="e">
        <v>#N/A</v>
      </c>
    </row>
    <row r="7" spans="1:16" x14ac:dyDescent="0.25">
      <c r="A7" s="7" t="s">
        <v>40</v>
      </c>
      <c r="B7" s="5">
        <v>66090026.480000004</v>
      </c>
      <c r="C7" s="5">
        <v>61158080.409999996</v>
      </c>
      <c r="N7" s="7" t="s">
        <v>40</v>
      </c>
      <c r="O7" s="5" t="e">
        <v>#N/A</v>
      </c>
      <c r="P7" s="5" t="e">
        <v>#N/A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13"/>
  <sheetViews>
    <sheetView workbookViewId="0">
      <selection activeCell="A9" sqref="A9"/>
    </sheetView>
  </sheetViews>
  <sheetFormatPr defaultRowHeight="15" x14ac:dyDescent="0.25"/>
  <cols>
    <col min="1" max="1" width="27.85546875" bestFit="1" customWidth="1"/>
    <col min="2" max="2" width="79.5703125" bestFit="1" customWidth="1"/>
  </cols>
  <sheetData>
    <row r="1" spans="1:3" ht="18.75" x14ac:dyDescent="0.3">
      <c r="A1" s="10" t="s">
        <v>46</v>
      </c>
      <c r="B1" s="10"/>
    </row>
    <row r="3" spans="1:3" ht="18.75" x14ac:dyDescent="0.3">
      <c r="A3" s="9" t="s">
        <v>54</v>
      </c>
      <c r="C3" s="10"/>
    </row>
    <row r="5" spans="1:3" x14ac:dyDescent="0.25">
      <c r="A5" s="11" t="s">
        <v>47</v>
      </c>
      <c r="B5" s="11" t="s">
        <v>48</v>
      </c>
    </row>
    <row r="6" spans="1:3" x14ac:dyDescent="0.25">
      <c r="A6" s="8" t="s">
        <v>49</v>
      </c>
      <c r="B6" s="8" t="s">
        <v>53</v>
      </c>
    </row>
    <row r="7" spans="1:3" x14ac:dyDescent="0.25">
      <c r="A7" s="8"/>
      <c r="B7" s="8"/>
    </row>
    <row r="8" spans="1:3" x14ac:dyDescent="0.25">
      <c r="A8" s="8" t="s">
        <v>50</v>
      </c>
      <c r="B8" s="8" t="s">
        <v>51</v>
      </c>
    </row>
    <row r="9" spans="1:3" x14ac:dyDescent="0.25">
      <c r="A9" s="8"/>
      <c r="B9" s="8"/>
    </row>
    <row r="10" spans="1:3" x14ac:dyDescent="0.25">
      <c r="A10" s="8" t="s">
        <v>45</v>
      </c>
      <c r="B10" s="8" t="s">
        <v>52</v>
      </c>
    </row>
    <row r="12" spans="1:3" x14ac:dyDescent="0.25">
      <c r="A12" s="9" t="s">
        <v>55</v>
      </c>
    </row>
    <row r="13" spans="1:3" x14ac:dyDescent="0.25">
      <c r="B13" t="s">
        <v>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S24"/>
  <sheetViews>
    <sheetView showGridLines="0" workbookViewId="0"/>
  </sheetViews>
  <sheetFormatPr defaultRowHeight="15" x14ac:dyDescent="0.25"/>
  <cols>
    <col min="1" max="2" width="9.140625" customWidth="1"/>
    <col min="13" max="13" width="18.42578125" style="13" customWidth="1"/>
  </cols>
  <sheetData>
    <row r="1" spans="1:14" x14ac:dyDescent="0.25">
      <c r="B1" s="9" t="s">
        <v>57</v>
      </c>
      <c r="M1" s="12" t="s">
        <v>58</v>
      </c>
      <c r="N1" s="12" t="s">
        <v>59</v>
      </c>
    </row>
    <row r="2" spans="1:14" x14ac:dyDescent="0.25">
      <c r="L2" s="15"/>
      <c r="M2" s="16"/>
    </row>
    <row r="3" spans="1:14" ht="15" customHeight="1" x14ac:dyDescent="0.25">
      <c r="A3">
        <v>1</v>
      </c>
      <c r="B3" t="s">
        <v>60</v>
      </c>
      <c r="L3" s="15"/>
      <c r="M3" s="16"/>
    </row>
    <row r="4" spans="1:14" x14ac:dyDescent="0.25">
      <c r="A4">
        <v>2</v>
      </c>
      <c r="B4" t="s">
        <v>61</v>
      </c>
      <c r="L4" s="15"/>
      <c r="M4" s="16"/>
    </row>
    <row r="5" spans="1:14" x14ac:dyDescent="0.25">
      <c r="A5">
        <v>3</v>
      </c>
      <c r="B5" t="s">
        <v>62</v>
      </c>
      <c r="L5" s="15"/>
      <c r="M5" s="16"/>
    </row>
    <row r="6" spans="1:14" x14ac:dyDescent="0.25">
      <c r="L6" s="15"/>
      <c r="M6" s="16"/>
    </row>
    <row r="7" spans="1:14" x14ac:dyDescent="0.25">
      <c r="B7" s="9" t="s">
        <v>63</v>
      </c>
      <c r="L7" s="15"/>
      <c r="M7" s="16"/>
    </row>
    <row r="8" spans="1:14" x14ac:dyDescent="0.25">
      <c r="B8" s="9"/>
      <c r="L8" s="15"/>
      <c r="M8" s="16"/>
    </row>
    <row r="9" spans="1:14" x14ac:dyDescent="0.25">
      <c r="A9">
        <v>4</v>
      </c>
      <c r="B9" t="s">
        <v>76</v>
      </c>
      <c r="L9" s="15"/>
      <c r="M9" s="16"/>
    </row>
    <row r="10" spans="1:14" x14ac:dyDescent="0.25">
      <c r="A10">
        <v>5</v>
      </c>
      <c r="B10" t="s">
        <v>75</v>
      </c>
      <c r="L10" s="15"/>
      <c r="M10" s="16"/>
    </row>
    <row r="11" spans="1:14" x14ac:dyDescent="0.25">
      <c r="A11">
        <v>6</v>
      </c>
      <c r="B11" t="s">
        <v>64</v>
      </c>
      <c r="L11" s="15"/>
      <c r="M11" s="16"/>
    </row>
    <row r="12" spans="1:14" x14ac:dyDescent="0.25">
      <c r="A12">
        <v>7</v>
      </c>
      <c r="B12" t="s">
        <v>65</v>
      </c>
      <c r="L12" s="15"/>
      <c r="M12" s="16"/>
    </row>
    <row r="13" spans="1:14" x14ac:dyDescent="0.25">
      <c r="A13">
        <v>8</v>
      </c>
      <c r="B13" t="s">
        <v>66</v>
      </c>
      <c r="L13" s="15"/>
      <c r="M13" s="16"/>
    </row>
    <row r="14" spans="1:14" x14ac:dyDescent="0.25">
      <c r="A14">
        <v>9</v>
      </c>
      <c r="B14" t="s">
        <v>67</v>
      </c>
      <c r="L14" s="15"/>
      <c r="M14" s="16"/>
    </row>
    <row r="15" spans="1:14" x14ac:dyDescent="0.25">
      <c r="A15">
        <v>10</v>
      </c>
      <c r="B15" t="s">
        <v>68</v>
      </c>
      <c r="L15" s="15"/>
      <c r="M15" s="16"/>
    </row>
    <row r="16" spans="1:14" x14ac:dyDescent="0.25">
      <c r="A16">
        <v>11</v>
      </c>
      <c r="B16" t="s">
        <v>69</v>
      </c>
      <c r="L16" s="15"/>
      <c r="M16" s="16"/>
    </row>
    <row r="17" spans="1:19" x14ac:dyDescent="0.25">
      <c r="L17" s="15"/>
      <c r="M17" s="16"/>
    </row>
    <row r="18" spans="1:19" x14ac:dyDescent="0.25">
      <c r="L18" s="15"/>
      <c r="M18" s="16"/>
    </row>
    <row r="19" spans="1:19" x14ac:dyDescent="0.25">
      <c r="B19" s="9" t="s">
        <v>70</v>
      </c>
      <c r="L19" s="15"/>
      <c r="M19" s="16"/>
    </row>
    <row r="20" spans="1:19" x14ac:dyDescent="0.25">
      <c r="L20" s="15"/>
      <c r="M20" s="16"/>
    </row>
    <row r="21" spans="1:19" x14ac:dyDescent="0.25">
      <c r="A21">
        <v>12</v>
      </c>
      <c r="B21" t="s">
        <v>71</v>
      </c>
      <c r="L21" s="15"/>
      <c r="M21" s="16"/>
    </row>
    <row r="22" spans="1:19" x14ac:dyDescent="0.25">
      <c r="B22" s="14" t="s">
        <v>72</v>
      </c>
      <c r="C22" s="15"/>
      <c r="D22" s="15"/>
      <c r="E22" s="15"/>
      <c r="F22" s="15"/>
      <c r="G22" s="15"/>
      <c r="H22" s="15"/>
      <c r="I22" s="15"/>
      <c r="J22" s="15"/>
      <c r="K22" s="15"/>
      <c r="L22" s="15"/>
      <c r="M22" s="15"/>
      <c r="N22" s="15"/>
      <c r="O22" s="15"/>
      <c r="P22" s="15"/>
      <c r="Q22" s="15"/>
      <c r="R22" s="15"/>
      <c r="S22" s="15"/>
    </row>
    <row r="23" spans="1:19" x14ac:dyDescent="0.25">
      <c r="A23">
        <v>13</v>
      </c>
      <c r="B23" t="s">
        <v>73</v>
      </c>
    </row>
    <row r="24" spans="1:19" x14ac:dyDescent="0.25">
      <c r="A24">
        <v>14</v>
      </c>
      <c r="B24" t="s">
        <v>74</v>
      </c>
    </row>
  </sheetData>
  <hyperlinks>
    <hyperlink ref="B22"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Check Box 1">
              <controlPr defaultSize="0" autoFill="0" autoLine="0" autoPict="0">
                <anchor moveWithCells="1">
                  <from>
                    <xdr:col>12</xdr:col>
                    <xdr:colOff>19050</xdr:colOff>
                    <xdr:row>1</xdr:row>
                    <xdr:rowOff>171450</xdr:rowOff>
                  </from>
                  <to>
                    <xdr:col>12</xdr:col>
                    <xdr:colOff>800100</xdr:colOff>
                    <xdr:row>3</xdr:row>
                    <xdr:rowOff>0</xdr:rowOff>
                  </to>
                </anchor>
              </controlPr>
            </control>
          </mc:Choice>
        </mc:AlternateContent>
        <mc:AlternateContent xmlns:mc="http://schemas.openxmlformats.org/markup-compatibility/2006">
          <mc:Choice Requires="x14">
            <control shapeId="13314" r:id="rId6" name="Check Box 2">
              <controlPr defaultSize="0" autoFill="0" autoLine="0" autoPict="0">
                <anchor moveWithCells="1">
                  <from>
                    <xdr:col>12</xdr:col>
                    <xdr:colOff>19050</xdr:colOff>
                    <xdr:row>3</xdr:row>
                    <xdr:rowOff>0</xdr:rowOff>
                  </from>
                  <to>
                    <xdr:col>12</xdr:col>
                    <xdr:colOff>800100</xdr:colOff>
                    <xdr:row>4</xdr:row>
                    <xdr:rowOff>19050</xdr:rowOff>
                  </to>
                </anchor>
              </controlPr>
            </control>
          </mc:Choice>
        </mc:AlternateContent>
        <mc:AlternateContent xmlns:mc="http://schemas.openxmlformats.org/markup-compatibility/2006">
          <mc:Choice Requires="x14">
            <control shapeId="13315" r:id="rId7" name="Check Box 3">
              <controlPr defaultSize="0" autoFill="0" autoLine="0" autoPict="0">
                <anchor moveWithCells="1">
                  <from>
                    <xdr:col>12</xdr:col>
                    <xdr:colOff>19050</xdr:colOff>
                    <xdr:row>4</xdr:row>
                    <xdr:rowOff>0</xdr:rowOff>
                  </from>
                  <to>
                    <xdr:col>12</xdr:col>
                    <xdr:colOff>800100</xdr:colOff>
                    <xdr:row>5</xdr:row>
                    <xdr:rowOff>19050</xdr:rowOff>
                  </to>
                </anchor>
              </controlPr>
            </control>
          </mc:Choice>
        </mc:AlternateContent>
        <mc:AlternateContent xmlns:mc="http://schemas.openxmlformats.org/markup-compatibility/2006">
          <mc:Choice Requires="x14">
            <control shapeId="13316" r:id="rId8" name="Check Box 4">
              <controlPr defaultSize="0" autoFill="0" autoLine="0" autoPict="0">
                <anchor moveWithCells="1">
                  <from>
                    <xdr:col>12</xdr:col>
                    <xdr:colOff>19050</xdr:colOff>
                    <xdr:row>10</xdr:row>
                    <xdr:rowOff>0</xdr:rowOff>
                  </from>
                  <to>
                    <xdr:col>12</xdr:col>
                    <xdr:colOff>800100</xdr:colOff>
                    <xdr:row>11</xdr:row>
                    <xdr:rowOff>19050</xdr:rowOff>
                  </to>
                </anchor>
              </controlPr>
            </control>
          </mc:Choice>
        </mc:AlternateContent>
        <mc:AlternateContent xmlns:mc="http://schemas.openxmlformats.org/markup-compatibility/2006">
          <mc:Choice Requires="x14">
            <control shapeId="13317" r:id="rId9" name="Check Box 5">
              <controlPr defaultSize="0" autoFill="0" autoLine="0" autoPict="0">
                <anchor moveWithCells="1">
                  <from>
                    <xdr:col>12</xdr:col>
                    <xdr:colOff>19050</xdr:colOff>
                    <xdr:row>11</xdr:row>
                    <xdr:rowOff>0</xdr:rowOff>
                  </from>
                  <to>
                    <xdr:col>12</xdr:col>
                    <xdr:colOff>762000</xdr:colOff>
                    <xdr:row>12</xdr:row>
                    <xdr:rowOff>19050</xdr:rowOff>
                  </to>
                </anchor>
              </controlPr>
            </control>
          </mc:Choice>
        </mc:AlternateContent>
        <mc:AlternateContent xmlns:mc="http://schemas.openxmlformats.org/markup-compatibility/2006">
          <mc:Choice Requires="x14">
            <control shapeId="13318" r:id="rId10" name="Check Box 6">
              <controlPr defaultSize="0" autoFill="0" autoLine="0" autoPict="0">
                <anchor moveWithCells="1">
                  <from>
                    <xdr:col>12</xdr:col>
                    <xdr:colOff>19050</xdr:colOff>
                    <xdr:row>12</xdr:row>
                    <xdr:rowOff>0</xdr:rowOff>
                  </from>
                  <to>
                    <xdr:col>12</xdr:col>
                    <xdr:colOff>800100</xdr:colOff>
                    <xdr:row>13</xdr:row>
                    <xdr:rowOff>19050</xdr:rowOff>
                  </to>
                </anchor>
              </controlPr>
            </control>
          </mc:Choice>
        </mc:AlternateContent>
        <mc:AlternateContent xmlns:mc="http://schemas.openxmlformats.org/markup-compatibility/2006">
          <mc:Choice Requires="x14">
            <control shapeId="13319" r:id="rId11" name="Check Box 7">
              <controlPr defaultSize="0" autoFill="0" autoLine="0" autoPict="0">
                <anchor moveWithCells="1">
                  <from>
                    <xdr:col>12</xdr:col>
                    <xdr:colOff>19050</xdr:colOff>
                    <xdr:row>13</xdr:row>
                    <xdr:rowOff>0</xdr:rowOff>
                  </from>
                  <to>
                    <xdr:col>12</xdr:col>
                    <xdr:colOff>800100</xdr:colOff>
                    <xdr:row>14</xdr:row>
                    <xdr:rowOff>19050</xdr:rowOff>
                  </to>
                </anchor>
              </controlPr>
            </control>
          </mc:Choice>
        </mc:AlternateContent>
        <mc:AlternateContent xmlns:mc="http://schemas.openxmlformats.org/markup-compatibility/2006">
          <mc:Choice Requires="x14">
            <control shapeId="13320" r:id="rId12" name="Check Box 8">
              <controlPr defaultSize="0" autoFill="0" autoLine="0" autoPict="0">
                <anchor moveWithCells="1">
                  <from>
                    <xdr:col>12</xdr:col>
                    <xdr:colOff>19050</xdr:colOff>
                    <xdr:row>14</xdr:row>
                    <xdr:rowOff>0</xdr:rowOff>
                  </from>
                  <to>
                    <xdr:col>12</xdr:col>
                    <xdr:colOff>800100</xdr:colOff>
                    <xdr:row>15</xdr:row>
                    <xdr:rowOff>19050</xdr:rowOff>
                  </to>
                </anchor>
              </controlPr>
            </control>
          </mc:Choice>
        </mc:AlternateContent>
        <mc:AlternateContent xmlns:mc="http://schemas.openxmlformats.org/markup-compatibility/2006">
          <mc:Choice Requires="x14">
            <control shapeId="13321" r:id="rId13" name="Check Box 9">
              <controlPr defaultSize="0" autoFill="0" autoLine="0" autoPict="0">
                <anchor moveWithCells="1">
                  <from>
                    <xdr:col>12</xdr:col>
                    <xdr:colOff>19050</xdr:colOff>
                    <xdr:row>15</xdr:row>
                    <xdr:rowOff>0</xdr:rowOff>
                  </from>
                  <to>
                    <xdr:col>12</xdr:col>
                    <xdr:colOff>857250</xdr:colOff>
                    <xdr:row>16</xdr:row>
                    <xdr:rowOff>19050</xdr:rowOff>
                  </to>
                </anchor>
              </controlPr>
            </control>
          </mc:Choice>
        </mc:AlternateContent>
        <mc:AlternateContent xmlns:mc="http://schemas.openxmlformats.org/markup-compatibility/2006">
          <mc:Choice Requires="x14">
            <control shapeId="13322" r:id="rId14" name="Check Box 10">
              <controlPr defaultSize="0" autoFill="0" autoLine="0" autoPict="0">
                <anchor moveWithCells="1">
                  <from>
                    <xdr:col>12</xdr:col>
                    <xdr:colOff>9525</xdr:colOff>
                    <xdr:row>19</xdr:row>
                    <xdr:rowOff>171450</xdr:rowOff>
                  </from>
                  <to>
                    <xdr:col>12</xdr:col>
                    <xdr:colOff>847725</xdr:colOff>
                    <xdr:row>21</xdr:row>
                    <xdr:rowOff>0</xdr:rowOff>
                  </to>
                </anchor>
              </controlPr>
            </control>
          </mc:Choice>
        </mc:AlternateContent>
        <mc:AlternateContent xmlns:mc="http://schemas.openxmlformats.org/markup-compatibility/2006">
          <mc:Choice Requires="x14">
            <control shapeId="13323" r:id="rId15" name="Check Box 11">
              <controlPr defaultSize="0" autoFill="0" autoLine="0" autoPict="0">
                <anchor moveWithCells="1">
                  <from>
                    <xdr:col>12</xdr:col>
                    <xdr:colOff>9525</xdr:colOff>
                    <xdr:row>22</xdr:row>
                    <xdr:rowOff>0</xdr:rowOff>
                  </from>
                  <to>
                    <xdr:col>12</xdr:col>
                    <xdr:colOff>847725</xdr:colOff>
                    <xdr:row>23</xdr:row>
                    <xdr:rowOff>19050</xdr:rowOff>
                  </to>
                </anchor>
              </controlPr>
            </control>
          </mc:Choice>
        </mc:AlternateContent>
        <mc:AlternateContent xmlns:mc="http://schemas.openxmlformats.org/markup-compatibility/2006">
          <mc:Choice Requires="x14">
            <control shapeId="13324" r:id="rId16" name="Check Box 12">
              <controlPr defaultSize="0" autoFill="0" autoLine="0" autoPict="0">
                <anchor moveWithCells="1">
                  <from>
                    <xdr:col>12</xdr:col>
                    <xdr:colOff>9525</xdr:colOff>
                    <xdr:row>23</xdr:row>
                    <xdr:rowOff>0</xdr:rowOff>
                  </from>
                  <to>
                    <xdr:col>12</xdr:col>
                    <xdr:colOff>847725</xdr:colOff>
                    <xdr:row>24</xdr:row>
                    <xdr:rowOff>19050</xdr:rowOff>
                  </to>
                </anchor>
              </controlPr>
            </control>
          </mc:Choice>
        </mc:AlternateContent>
        <mc:AlternateContent xmlns:mc="http://schemas.openxmlformats.org/markup-compatibility/2006">
          <mc:Choice Requires="x14">
            <control shapeId="13326" r:id="rId17" name="Check Box 14">
              <controlPr defaultSize="0" autoFill="0" autoLine="0" autoPict="0">
                <anchor moveWithCells="1">
                  <from>
                    <xdr:col>12</xdr:col>
                    <xdr:colOff>19050</xdr:colOff>
                    <xdr:row>7</xdr:row>
                    <xdr:rowOff>95250</xdr:rowOff>
                  </from>
                  <to>
                    <xdr:col>12</xdr:col>
                    <xdr:colOff>323850</xdr:colOff>
                    <xdr:row>8</xdr:row>
                    <xdr:rowOff>123825</xdr:rowOff>
                  </to>
                </anchor>
              </controlPr>
            </control>
          </mc:Choice>
        </mc:AlternateContent>
        <mc:AlternateContent xmlns:mc="http://schemas.openxmlformats.org/markup-compatibility/2006">
          <mc:Choice Requires="x14">
            <control shapeId="13327" r:id="rId18" name="Check Box 15">
              <controlPr defaultSize="0" autoFill="0" autoLine="0" autoPict="0">
                <anchor moveWithCells="1">
                  <from>
                    <xdr:col>12</xdr:col>
                    <xdr:colOff>19050</xdr:colOff>
                    <xdr:row>8</xdr:row>
                    <xdr:rowOff>57150</xdr:rowOff>
                  </from>
                  <to>
                    <xdr:col>12</xdr:col>
                    <xdr:colOff>323850</xdr:colOff>
                    <xdr:row>9</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E1:F1"/>
  <sheetViews>
    <sheetView workbookViewId="0">
      <selection activeCell="J27" sqref="J27"/>
    </sheetView>
  </sheetViews>
  <sheetFormatPr defaultRowHeight="15" x14ac:dyDescent="0.25"/>
  <sheetData>
    <row r="1" spans="5:6" ht="18.75" x14ac:dyDescent="0.3">
      <c r="E1" s="17" t="s">
        <v>41</v>
      </c>
      <c r="F1" s="17"/>
    </row>
  </sheetData>
  <mergeCells count="1">
    <mergeCell ref="E1:F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end_Sheet">
                <anchor moveWithCells="1" sizeWithCells="1">
                  <from>
                    <xdr:col>11</xdr:col>
                    <xdr:colOff>19050</xdr:colOff>
                    <xdr:row>1</xdr:row>
                    <xdr:rowOff>9525</xdr:rowOff>
                  </from>
                  <to>
                    <xdr:col>14</xdr:col>
                    <xdr:colOff>0</xdr:colOff>
                    <xdr:row>4</xdr:row>
                    <xdr:rowOff>9525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H22"/>
  <sheetViews>
    <sheetView workbookViewId="0">
      <selection activeCell="R13" sqref="R13"/>
    </sheetView>
  </sheetViews>
  <sheetFormatPr defaultRowHeight="15" x14ac:dyDescent="0.25"/>
  <sheetData>
    <row r="1" spans="5:8" ht="18.75" x14ac:dyDescent="0.3">
      <c r="E1" s="6" t="s">
        <v>42</v>
      </c>
      <c r="F1" s="6"/>
      <c r="G1" s="6"/>
      <c r="H1" s="3"/>
    </row>
    <row r="3" spans="5:8" ht="18.75" x14ac:dyDescent="0.3">
      <c r="E3" s="6" t="s">
        <v>43</v>
      </c>
    </row>
    <row r="22" spans="5:7" ht="18.75" x14ac:dyDescent="0.3">
      <c r="E22" s="6" t="s">
        <v>44</v>
      </c>
      <c r="F22" s="6"/>
      <c r="G22" s="6"/>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9"/>
  <sheetViews>
    <sheetView workbookViewId="0">
      <selection activeCell="A4" sqref="A4"/>
    </sheetView>
  </sheetViews>
  <sheetFormatPr defaultRowHeight="15" x14ac:dyDescent="0.25"/>
  <cols>
    <col min="1" max="2" width="13.140625" bestFit="1" customWidth="1"/>
    <col min="3" max="3" width="26.5703125" bestFit="1" customWidth="1"/>
    <col min="4" max="4" width="8.28515625" bestFit="1" customWidth="1"/>
    <col min="5" max="5" width="38.85546875" bestFit="1" customWidth="1"/>
    <col min="6" max="6" width="53" bestFit="1" customWidth="1"/>
    <col min="7" max="7" width="70.28515625" bestFit="1" customWidth="1"/>
    <col min="8" max="8" width="53" bestFit="1" customWidth="1"/>
  </cols>
  <sheetData>
    <row r="1" spans="1:7" ht="18.75" x14ac:dyDescent="0.3">
      <c r="A1" s="17" t="s">
        <v>79</v>
      </c>
      <c r="B1" s="17"/>
      <c r="C1" s="17"/>
    </row>
    <row r="3" spans="1:7" x14ac:dyDescent="0.25">
      <c r="B3" t="s">
        <v>0</v>
      </c>
      <c r="C3" t="s">
        <v>80</v>
      </c>
      <c r="D3" t="s">
        <v>81</v>
      </c>
      <c r="E3" t="s">
        <v>82</v>
      </c>
      <c r="F3" t="s">
        <v>43</v>
      </c>
      <c r="G3" t="s">
        <v>84</v>
      </c>
    </row>
    <row r="4" spans="1:7" x14ac:dyDescent="0.25">
      <c r="B4" s="3" t="s">
        <v>90</v>
      </c>
      <c r="C4" s="3" t="s">
        <v>90</v>
      </c>
      <c r="D4" s="3" t="s">
        <v>108</v>
      </c>
      <c r="E4" s="3" t="s">
        <v>109</v>
      </c>
      <c r="F4" s="3" t="s">
        <v>110</v>
      </c>
      <c r="G4" s="3" t="str">
        <f>VLOOKUP(OtherChecksTable[[#This Row],[Population]]&amp;OtherChecksTable[[#This Row],[Tabs]]&amp;OtherChecksTable[[#This Row],[Checks]],OtherChecksPrdTable[],6,FALSE)</f>
        <v>February-17(87%), March-17(93%), April-17(33%</v>
      </c>
    </row>
    <row r="5" spans="1:7" x14ac:dyDescent="0.25">
      <c r="B5" s="3" t="s">
        <v>90</v>
      </c>
      <c r="C5" s="3" t="s">
        <v>90</v>
      </c>
      <c r="D5" s="3" t="s">
        <v>111</v>
      </c>
      <c r="E5" s="3" t="s">
        <v>112</v>
      </c>
      <c r="F5" s="3" t="s">
        <v>113</v>
      </c>
      <c r="G5" s="18" t="str">
        <f>VLOOKUP(OtherChecksTable[[#This Row],[Population]]&amp;OtherChecksTable[[#This Row],[Tabs]]&amp;OtherChecksTable[[#This Row],[Checks]],OtherChecksPrdTable[],6,FALSE)</f>
        <v>16159</v>
      </c>
    </row>
    <row r="6" spans="1:7" x14ac:dyDescent="0.25">
      <c r="B6" s="3" t="s">
        <v>90</v>
      </c>
      <c r="C6" s="3" t="s">
        <v>90</v>
      </c>
      <c r="D6" s="3" t="s">
        <v>114</v>
      </c>
      <c r="E6" s="3" t="s">
        <v>115</v>
      </c>
      <c r="F6" s="3" t="s">
        <v>116</v>
      </c>
      <c r="G6" s="18" t="str">
        <f>VLOOKUP(OtherChecksTable[[#This Row],[Population]]&amp;OtherChecksTable[[#This Row],[Tabs]]&amp;OtherChecksTable[[#This Row],[Checks]],OtherChecksPrdTable[],6,FALSE)</f>
        <v>1099</v>
      </c>
    </row>
    <row r="7" spans="1:7" x14ac:dyDescent="0.25">
      <c r="B7" s="3" t="s">
        <v>90</v>
      </c>
      <c r="C7" s="3" t="s">
        <v>90</v>
      </c>
      <c r="D7" s="3" t="s">
        <v>114</v>
      </c>
      <c r="E7" s="3" t="s">
        <v>117</v>
      </c>
      <c r="F7" s="3" t="s">
        <v>118</v>
      </c>
      <c r="G7" s="18" t="str">
        <f>VLOOKUP(OtherChecksTable[[#This Row],[Population]]&amp;OtherChecksTable[[#This Row],[Tabs]]&amp;OtherChecksTable[[#This Row],[Checks]],OtherChecksPrdTable[],6,FALSE)</f>
        <v>107</v>
      </c>
    </row>
    <row r="8" spans="1:7" x14ac:dyDescent="0.25">
      <c r="B8" s="3" t="s">
        <v>90</v>
      </c>
      <c r="C8" s="3" t="s">
        <v>90</v>
      </c>
      <c r="D8" s="3" t="s">
        <v>114</v>
      </c>
      <c r="E8" s="3" t="s">
        <v>119</v>
      </c>
      <c r="F8" s="3" t="s">
        <v>120</v>
      </c>
      <c r="G8" s="18" t="str">
        <f>VLOOKUP(OtherChecksTable[[#This Row],[Population]]&amp;OtherChecksTable[[#This Row],[Tabs]]&amp;OtherChecksTable[[#This Row],[Checks]],OtherChecksPrdTable[],6,FALSE)</f>
        <v>1018</v>
      </c>
    </row>
    <row r="9" spans="1:7" x14ac:dyDescent="0.25">
      <c r="B9" s="3" t="s">
        <v>90</v>
      </c>
      <c r="C9" s="3" t="s">
        <v>90</v>
      </c>
      <c r="D9" s="3" t="s">
        <v>121</v>
      </c>
      <c r="E9" s="3" t="s">
        <v>122</v>
      </c>
      <c r="F9" s="3" t="s">
        <v>123</v>
      </c>
      <c r="G9" s="18" t="str">
        <f>VLOOKUP(OtherChecksTable[[#This Row],[Population]]&amp;OtherChecksTable[[#This Row],[Tabs]]&amp;OtherChecksTable[[#This Row],[Checks]],OtherChecksPrdTable[],6,FALSE)</f>
        <v>482</v>
      </c>
    </row>
  </sheetData>
  <mergeCells count="1">
    <mergeCell ref="A1:C1"/>
  </mergeCells>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9"/>
  <sheetViews>
    <sheetView topLeftCell="D1" workbookViewId="0">
      <selection activeCell="G23" sqref="G23"/>
    </sheetView>
  </sheetViews>
  <sheetFormatPr defaultRowHeight="15" x14ac:dyDescent="0.25"/>
  <cols>
    <col min="1" max="1" width="13" customWidth="1"/>
    <col min="2" max="2" width="26.5703125" bestFit="1" customWidth="1"/>
    <col min="3" max="3" width="78.5703125" bestFit="1" customWidth="1"/>
    <col min="4" max="4" width="26.5703125" bestFit="1" customWidth="1"/>
    <col min="5" max="5" width="8.28515625" bestFit="1" customWidth="1"/>
    <col min="6" max="6" width="38.85546875" bestFit="1" customWidth="1"/>
    <col min="7" max="7" width="53" bestFit="1" customWidth="1"/>
  </cols>
  <sheetData>
    <row r="1" spans="1:8" ht="18.75" x14ac:dyDescent="0.3">
      <c r="A1" s="17" t="s">
        <v>79</v>
      </c>
      <c r="B1" s="17"/>
      <c r="C1" s="17"/>
    </row>
    <row r="3" spans="1:8" x14ac:dyDescent="0.25">
      <c r="C3" t="s">
        <v>38</v>
      </c>
      <c r="D3" t="s">
        <v>0</v>
      </c>
      <c r="E3" t="s">
        <v>80</v>
      </c>
      <c r="F3" t="s">
        <v>81</v>
      </c>
      <c r="G3" t="s">
        <v>82</v>
      </c>
      <c r="H3" t="s">
        <v>83</v>
      </c>
    </row>
    <row r="4" spans="1:8" x14ac:dyDescent="0.25">
      <c r="C4" t="str">
        <f>OtherChecksPrdTable[[#This Row],[Population]]&amp;OtherChecksPrdTable[[#This Row],[Tabs]]&amp;OtherChecksPrdTable[[#This Row],[Checks]]</f>
        <v>EMPLOYEEFocusNo of Incomplete Months</v>
      </c>
      <c r="D4" t="s">
        <v>90</v>
      </c>
      <c r="E4" t="s">
        <v>90</v>
      </c>
      <c r="F4" t="s">
        <v>108</v>
      </c>
      <c r="G4" t="s">
        <v>109</v>
      </c>
      <c r="H4" t="s">
        <v>126</v>
      </c>
    </row>
    <row r="5" spans="1:8" x14ac:dyDescent="0.25">
      <c r="C5" s="5" t="str">
        <f>OtherChecksPrdTable[[#This Row],[Population]]&amp;OtherChecksPrdTable[[#This Row],[Tabs]]&amp;OtherChecksPrdTable[[#This Row],[Checks]]</f>
        <v>EMPLOYEEPatientsNo of Patients</v>
      </c>
      <c r="D5" t="s">
        <v>90</v>
      </c>
      <c r="E5" t="s">
        <v>90</v>
      </c>
      <c r="F5" t="s">
        <v>111</v>
      </c>
      <c r="G5" t="s">
        <v>112</v>
      </c>
      <c r="H5" t="s">
        <v>127</v>
      </c>
    </row>
    <row r="6" spans="1:8" x14ac:dyDescent="0.25">
      <c r="C6" s="5" t="str">
        <f>OtherChecksPrdTable[[#This Row],[Population]]&amp;OtherChecksPrdTable[[#This Row],[Tabs]]&amp;OtherChecksPrdTable[[#This Row],[Checks]]</f>
        <v>EMPLOYEEPCPsNo of PCPs</v>
      </c>
      <c r="D6" t="s">
        <v>90</v>
      </c>
      <c r="E6" t="s">
        <v>90</v>
      </c>
      <c r="F6" t="s">
        <v>114</v>
      </c>
      <c r="G6" t="s">
        <v>115</v>
      </c>
      <c r="H6" t="s">
        <v>128</v>
      </c>
    </row>
    <row r="7" spans="1:8" x14ac:dyDescent="0.25">
      <c r="C7" s="5" t="str">
        <f>OtherChecksPrdTable[[#This Row],[Population]]&amp;OtherChecksPrdTable[[#This Row],[Tabs]]&amp;OtherChecksPrdTable[[#This Row],[Checks]]</f>
        <v>EMPLOYEEPCPsPCPs - Not Affiliated with practice</v>
      </c>
      <c r="D7" t="s">
        <v>90</v>
      </c>
      <c r="E7" t="s">
        <v>90</v>
      </c>
      <c r="F7" t="s">
        <v>114</v>
      </c>
      <c r="G7" t="s">
        <v>117</v>
      </c>
      <c r="H7" t="s">
        <v>129</v>
      </c>
    </row>
    <row r="8" spans="1:8" x14ac:dyDescent="0.25">
      <c r="C8" s="5" t="str">
        <f>OtherChecksPrdTable[[#This Row],[Population]]&amp;OtherChecksPrdTable[[#This Row],[Tabs]]&amp;OtherChecksPrdTable[[#This Row],[Checks]]</f>
        <v>EMPLOYEEPCPsPCPs with "Non-Domestic" Network Affiliation</v>
      </c>
      <c r="D8" t="s">
        <v>90</v>
      </c>
      <c r="E8" t="s">
        <v>90</v>
      </c>
      <c r="F8" t="s">
        <v>114</v>
      </c>
      <c r="G8" t="s">
        <v>119</v>
      </c>
      <c r="H8" t="s">
        <v>130</v>
      </c>
    </row>
    <row r="9" spans="1:8" x14ac:dyDescent="0.25">
      <c r="C9" s="5" t="str">
        <f>OtherChecksPrdTable[[#This Row],[Population]]&amp;OtherChecksPrdTable[[#This Row],[Tabs]]&amp;OtherChecksPrdTable[[#This Row],[Checks]]</f>
        <v>EMPLOYEEPracticeNo of Practice</v>
      </c>
      <c r="D9" t="s">
        <v>90</v>
      </c>
      <c r="E9" t="s">
        <v>90</v>
      </c>
      <c r="F9" t="s">
        <v>121</v>
      </c>
      <c r="G9" t="s">
        <v>122</v>
      </c>
      <c r="H9" t="s">
        <v>131</v>
      </c>
    </row>
  </sheetData>
  <mergeCells count="1">
    <mergeCell ref="A1:C1"/>
  </mergeCell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24"/>
  <sheetViews>
    <sheetView workbookViewId="0">
      <selection activeCell="F21" sqref="F21"/>
    </sheetView>
  </sheetViews>
  <sheetFormatPr defaultRowHeight="15" x14ac:dyDescent="0.25"/>
  <cols>
    <col min="1" max="1" width="38.140625" bestFit="1" customWidth="1"/>
  </cols>
  <sheetData>
    <row r="1" spans="1:1" x14ac:dyDescent="0.25">
      <c r="A1" s="4" t="s">
        <v>12</v>
      </c>
    </row>
    <row r="2" spans="1:1" x14ac:dyDescent="0.25">
      <c r="A2" s="4" t="s">
        <v>13</v>
      </c>
    </row>
    <row r="3" spans="1:1" x14ac:dyDescent="0.25">
      <c r="A3" s="4" t="s">
        <v>14</v>
      </c>
    </row>
    <row r="4" spans="1:1" x14ac:dyDescent="0.25">
      <c r="A4" s="4" t="s">
        <v>30</v>
      </c>
    </row>
    <row r="5" spans="1:1" x14ac:dyDescent="0.25">
      <c r="A5" s="4" t="s">
        <v>31</v>
      </c>
    </row>
    <row r="6" spans="1:1" x14ac:dyDescent="0.25">
      <c r="A6" s="4" t="s">
        <v>32</v>
      </c>
    </row>
    <row r="7" spans="1:1" x14ac:dyDescent="0.25">
      <c r="A7" s="4" t="s">
        <v>33</v>
      </c>
    </row>
    <row r="8" spans="1:1" x14ac:dyDescent="0.25">
      <c r="A8" s="4" t="s">
        <v>34</v>
      </c>
    </row>
    <row r="9" spans="1:1" x14ac:dyDescent="0.25">
      <c r="A9" s="4" t="s">
        <v>15</v>
      </c>
    </row>
    <row r="10" spans="1:1" x14ac:dyDescent="0.25">
      <c r="A10" s="4" t="s">
        <v>16</v>
      </c>
    </row>
    <row r="11" spans="1:1" x14ac:dyDescent="0.25">
      <c r="A11" s="4" t="s">
        <v>17</v>
      </c>
    </row>
    <row r="12" spans="1:1" x14ac:dyDescent="0.25">
      <c r="A12" s="4" t="s">
        <v>18</v>
      </c>
    </row>
    <row r="13" spans="1:1" x14ac:dyDescent="0.25">
      <c r="A13" s="4" t="s">
        <v>19</v>
      </c>
    </row>
    <row r="14" spans="1:1" x14ac:dyDescent="0.25">
      <c r="A14" s="4" t="s">
        <v>20</v>
      </c>
    </row>
    <row r="15" spans="1:1" x14ac:dyDescent="0.25">
      <c r="A15" s="4" t="s">
        <v>21</v>
      </c>
    </row>
    <row r="16" spans="1:1" x14ac:dyDescent="0.25">
      <c r="A16" s="4" t="s">
        <v>22</v>
      </c>
    </row>
    <row r="17" spans="1:1" x14ac:dyDescent="0.25">
      <c r="A17" s="4" t="s">
        <v>23</v>
      </c>
    </row>
    <row r="18" spans="1:1" x14ac:dyDescent="0.25">
      <c r="A18" s="4" t="s">
        <v>24</v>
      </c>
    </row>
    <row r="19" spans="1:1" x14ac:dyDescent="0.25">
      <c r="A19" s="4" t="s">
        <v>25</v>
      </c>
    </row>
    <row r="20" spans="1:1" x14ac:dyDescent="0.25">
      <c r="A20" s="4" t="s">
        <v>26</v>
      </c>
    </row>
    <row r="21" spans="1:1" x14ac:dyDescent="0.25">
      <c r="A21" s="4" t="s">
        <v>27</v>
      </c>
    </row>
    <row r="22" spans="1:1" x14ac:dyDescent="0.25">
      <c r="A22" s="4" t="s">
        <v>28</v>
      </c>
    </row>
    <row r="23" spans="1:1" x14ac:dyDescent="0.25">
      <c r="A23" s="4" t="s">
        <v>29</v>
      </c>
    </row>
    <row r="24" spans="1:1" x14ac:dyDescent="0.25">
      <c r="A24"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Threshold</vt:lpstr>
      <vt:lpstr>StgTrendSheetData</vt:lpstr>
      <vt:lpstr>PrdTrendSheetData</vt:lpstr>
      <vt:lpstr>StgIBNRData</vt:lpstr>
      <vt:lpstr>PrdIBNRData</vt:lpstr>
      <vt:lpstr>Trend Sheet Data</vt:lpstr>
      <vt:lpstr>IBNR Trend Sheet Data</vt:lpstr>
      <vt:lpstr>Reference</vt:lpstr>
      <vt:lpstr>QA Check list</vt:lpstr>
      <vt:lpstr>All Trend Sheet</vt:lpstr>
      <vt:lpstr>IBNR Trend Sheet</vt:lpstr>
      <vt:lpstr>Other Checks</vt:lpstr>
      <vt:lpstr>Other Checks Prd</vt:lpstr>
      <vt:lpstr>CustomTrendList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2017-06-23T12:10:37Z</dcterms:modified>
</cp:coreProperties>
</file>