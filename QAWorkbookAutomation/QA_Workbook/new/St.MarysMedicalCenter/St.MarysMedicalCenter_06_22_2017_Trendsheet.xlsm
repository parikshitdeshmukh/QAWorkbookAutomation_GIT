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hidePivotFieldList="1" defaultThemeVersion="124226"/>
  <bookViews>
    <workbookView xWindow="240" yWindow="285" windowWidth="14805" windowHeight="7830" tabRatio="766" activeTab="1"/>
  </bookViews>
  <sheets>
    <sheet name="Threshold" sheetId="18" r:id="rId1"/>
    <sheet name="StgTrendSheetData" sheetId="1" r:id="rId2"/>
    <sheet name="PrdTrendSheetData" sheetId="2" r:id="rId3"/>
    <sheet name="StgIBNRData" sheetId="6" r:id="rId4"/>
    <sheet name="PrdIBNRData" sheetId="7" r:id="rId5"/>
    <sheet name="Trend Sheet Data" sheetId="3" state="hidden" r:id="rId6"/>
    <sheet name="IBNR Trend Sheet Data" sheetId="9" state="hidden" r:id="rId7"/>
    <sheet name="Reference" sheetId="12" r:id="rId8"/>
    <sheet name="QA Check list" sheetId="14" r:id="rId9"/>
    <sheet name="All Trend Sheet" sheetId="4" r:id="rId10"/>
    <sheet name="IBNR Trend Sheet" sheetId="8" r:id="rId11"/>
    <sheet name="Other Checks" sheetId="10" r:id="rId12"/>
    <sheet name="Other Checks Prd" sheetId="16" r:id="rId13"/>
    <sheet name="CustomTrendList" sheetId="5" r:id="rId14"/>
  </sheets>
  <functionGroups builtInGroupCount="17"/>
  <definedNames>
    <definedName name="Slicer_Cost_Basis">#N/A</definedName>
    <definedName name="Slicer_Cost_Basis1">#N/A</definedName>
    <definedName name="Slicer_Display_Name">#N/A</definedName>
    <definedName name="Slicer_Display_Name1">#N/A</definedName>
    <definedName name="Slicer_Trend">#N/A</definedName>
  </definedNames>
  <calcPr calcId="145621"/>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5" i="16" l="1"/>
  <c r="C6" i="16"/>
  <c r="C7" i="16"/>
  <c r="C8" i="16"/>
  <c r="C9" i="16"/>
  <c r="C10" i="16"/>
  <c r="C11" i="16"/>
  <c r="C12" i="16"/>
  <c r="C13" i="16"/>
  <c r="C14" i="16"/>
  <c r="C15" i="16"/>
  <c r="A3" i="7"/>
  <c r="A4" i="7"/>
  <c r="A5" i="7"/>
  <c r="A6" i="7"/>
  <c r="A7" i="7"/>
  <c r="A8" i="7"/>
  <c r="A9" i="7"/>
  <c r="A10" i="7"/>
  <c r="A11" i="7"/>
  <c r="A12" i="7"/>
  <c r="A13" i="7"/>
  <c r="A14" i="7"/>
  <c r="A15" i="7"/>
  <c r="A16" i="7"/>
  <c r="A17" i="7"/>
  <c r="A18" i="7"/>
  <c r="A19" i="7"/>
  <c r="A20" i="7"/>
  <c r="A21" i="7"/>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2" i="18" l="1"/>
  <c r="A2" i="2"/>
  <c r="I1541" i="1" l="1"/>
  <c r="J1541" i="1" s="1"/>
  <c r="M1541" i="1" s="1"/>
  <c r="I1545" i="1"/>
  <c r="J1545" i="1" s="1"/>
  <c r="M1545" i="1" s="1"/>
  <c r="I1549" i="1"/>
  <c r="J1549" i="1" s="1"/>
  <c r="M1549" i="1" s="1"/>
  <c r="I1553" i="1"/>
  <c r="J1553" i="1" s="1"/>
  <c r="M1553" i="1" s="1"/>
  <c r="I1557" i="1"/>
  <c r="J1557" i="1" s="1"/>
  <c r="M1557" i="1" s="1"/>
  <c r="I1561" i="1"/>
  <c r="J1561" i="1" s="1"/>
  <c r="M1561" i="1" s="1"/>
  <c r="I1565" i="1"/>
  <c r="J1565" i="1" s="1"/>
  <c r="M1565" i="1" s="1"/>
  <c r="I1285" i="1"/>
  <c r="J1285" i="1" s="1"/>
  <c r="M1285" i="1" s="1"/>
  <c r="I1289" i="1"/>
  <c r="J1289" i="1" s="1"/>
  <c r="M1289" i="1" s="1"/>
  <c r="I1293" i="1"/>
  <c r="J1293" i="1" s="1"/>
  <c r="M1293" i="1" s="1"/>
  <c r="I1297" i="1"/>
  <c r="J1297" i="1" s="1"/>
  <c r="M1297" i="1" s="1"/>
  <c r="I1301" i="1"/>
  <c r="J1301" i="1" s="1"/>
  <c r="M1301" i="1" s="1"/>
  <c r="I1305" i="1"/>
  <c r="J1305" i="1" s="1"/>
  <c r="M1305" i="1" s="1"/>
  <c r="I1309" i="1"/>
  <c r="J1309" i="1" s="1"/>
  <c r="M1309" i="1" s="1"/>
  <c r="I1313" i="1"/>
  <c r="J1313" i="1" s="1"/>
  <c r="M1313" i="1" s="1"/>
  <c r="I1317" i="1"/>
  <c r="J1317" i="1" s="1"/>
  <c r="M1317" i="1" s="1"/>
  <c r="I1321" i="1"/>
  <c r="J1321" i="1" s="1"/>
  <c r="M1321" i="1" s="1"/>
  <c r="I1325" i="1"/>
  <c r="J1325" i="1" s="1"/>
  <c r="M1325" i="1" s="1"/>
  <c r="I1329" i="1"/>
  <c r="J1329" i="1" s="1"/>
  <c r="M1329" i="1" s="1"/>
  <c r="I1333" i="1"/>
  <c r="J1333" i="1" s="1"/>
  <c r="M1333" i="1" s="1"/>
  <c r="I1337" i="1"/>
  <c r="J1337" i="1" s="1"/>
  <c r="M1337" i="1" s="1"/>
  <c r="I1341" i="1"/>
  <c r="J1341" i="1" s="1"/>
  <c r="M1341" i="1" s="1"/>
  <c r="I1345" i="1"/>
  <c r="J1345" i="1" s="1"/>
  <c r="M1345" i="1" s="1"/>
  <c r="I1349" i="1"/>
  <c r="J1349" i="1" s="1"/>
  <c r="M1349" i="1" s="1"/>
  <c r="I1353" i="1"/>
  <c r="J1353" i="1" s="1"/>
  <c r="M1353" i="1" s="1"/>
  <c r="I1357" i="1"/>
  <c r="J1357" i="1" s="1"/>
  <c r="M1357" i="1" s="1"/>
  <c r="I1361" i="1"/>
  <c r="J1361" i="1" s="1"/>
  <c r="M1361" i="1" s="1"/>
  <c r="I1365" i="1"/>
  <c r="J1365" i="1" s="1"/>
  <c r="M1365" i="1" s="1"/>
  <c r="I1369" i="1"/>
  <c r="J1369" i="1" s="1"/>
  <c r="M1369" i="1" s="1"/>
  <c r="I1373" i="1"/>
  <c r="J1373" i="1" s="1"/>
  <c r="M1373" i="1" s="1"/>
  <c r="I1377" i="1"/>
  <c r="J1377" i="1" s="1"/>
  <c r="M1377" i="1" s="1"/>
  <c r="I1381" i="1"/>
  <c r="J1381" i="1" s="1"/>
  <c r="M1381" i="1" s="1"/>
  <c r="I1385" i="1"/>
  <c r="J1385" i="1" s="1"/>
  <c r="M1385" i="1" s="1"/>
  <c r="I1389" i="1"/>
  <c r="J1389" i="1" s="1"/>
  <c r="M1389" i="1" s="1"/>
  <c r="I1393" i="1"/>
  <c r="J1393" i="1" s="1"/>
  <c r="M1393" i="1" s="1"/>
  <c r="I1397" i="1"/>
  <c r="J1397" i="1" s="1"/>
  <c r="M1397" i="1" s="1"/>
  <c r="I1401" i="1"/>
  <c r="J1401" i="1" s="1"/>
  <c r="M1401" i="1" s="1"/>
  <c r="I1405" i="1"/>
  <c r="J1405" i="1" s="1"/>
  <c r="M1405" i="1" s="1"/>
  <c r="I1409" i="1"/>
  <c r="J1409" i="1" s="1"/>
  <c r="M1409" i="1" s="1"/>
  <c r="I1413" i="1"/>
  <c r="J1413" i="1" s="1"/>
  <c r="M1413" i="1" s="1"/>
  <c r="I1417" i="1"/>
  <c r="J1417" i="1" s="1"/>
  <c r="M1417" i="1" s="1"/>
  <c r="I1421" i="1"/>
  <c r="J1421" i="1" s="1"/>
  <c r="M1421" i="1" s="1"/>
  <c r="I1425" i="1"/>
  <c r="J1425" i="1" s="1"/>
  <c r="M1425" i="1" s="1"/>
  <c r="I1429" i="1"/>
  <c r="J1429" i="1" s="1"/>
  <c r="M1429" i="1" s="1"/>
  <c r="I1433" i="1"/>
  <c r="J1433" i="1" s="1"/>
  <c r="M1433" i="1" s="1"/>
  <c r="I1437" i="1"/>
  <c r="J1437" i="1" s="1"/>
  <c r="M1437" i="1" s="1"/>
  <c r="I1441" i="1"/>
  <c r="J1441" i="1" s="1"/>
  <c r="M1441" i="1" s="1"/>
  <c r="I1445" i="1"/>
  <c r="J1445" i="1" s="1"/>
  <c r="M1445" i="1" s="1"/>
  <c r="I1449" i="1"/>
  <c r="J1449" i="1" s="1"/>
  <c r="M1449" i="1" s="1"/>
  <c r="I1453" i="1"/>
  <c r="J1453" i="1" s="1"/>
  <c r="M1453" i="1" s="1"/>
  <c r="I1457" i="1"/>
  <c r="J1457" i="1" s="1"/>
  <c r="M1457" i="1" s="1"/>
  <c r="I1461" i="1"/>
  <c r="J1461" i="1" s="1"/>
  <c r="M1461" i="1" s="1"/>
  <c r="I1465" i="1"/>
  <c r="J1465" i="1" s="1"/>
  <c r="M1465" i="1" s="1"/>
  <c r="I1469" i="1"/>
  <c r="J1469" i="1" s="1"/>
  <c r="M1469" i="1" s="1"/>
  <c r="I1473" i="1"/>
  <c r="J1473" i="1" s="1"/>
  <c r="M1473" i="1" s="1"/>
  <c r="I1477" i="1"/>
  <c r="J1477" i="1" s="1"/>
  <c r="M1477" i="1" s="1"/>
  <c r="I1481" i="1"/>
  <c r="J1481" i="1" s="1"/>
  <c r="M1481" i="1" s="1"/>
  <c r="I1485" i="1"/>
  <c r="J1485" i="1" s="1"/>
  <c r="M1485" i="1" s="1"/>
  <c r="I1489" i="1"/>
  <c r="J1489" i="1" s="1"/>
  <c r="M1489" i="1" s="1"/>
  <c r="I1493" i="1"/>
  <c r="J1493" i="1" s="1"/>
  <c r="M1493" i="1" s="1"/>
  <c r="I1497" i="1"/>
  <c r="J1497" i="1" s="1"/>
  <c r="M1497" i="1" s="1"/>
  <c r="I1501" i="1"/>
  <c r="J1501" i="1" s="1"/>
  <c r="M1501" i="1" s="1"/>
  <c r="I1505" i="1"/>
  <c r="J1505" i="1" s="1"/>
  <c r="M1505" i="1" s="1"/>
  <c r="I1539" i="1"/>
  <c r="J1539" i="1" s="1"/>
  <c r="M1539" i="1" s="1"/>
  <c r="I1543" i="1"/>
  <c r="J1543" i="1" s="1"/>
  <c r="M1543" i="1" s="1"/>
  <c r="I1547" i="1"/>
  <c r="J1547" i="1" s="1"/>
  <c r="M1547" i="1" s="1"/>
  <c r="I1551" i="1"/>
  <c r="J1551" i="1" s="1"/>
  <c r="M1551" i="1" s="1"/>
  <c r="I1555" i="1"/>
  <c r="J1555" i="1" s="1"/>
  <c r="M1555" i="1" s="1"/>
  <c r="I1559" i="1"/>
  <c r="J1559" i="1" s="1"/>
  <c r="M1559" i="1" s="1"/>
  <c r="I1563" i="1"/>
  <c r="J1563" i="1" s="1"/>
  <c r="M1563" i="1" s="1"/>
  <c r="I1283" i="1"/>
  <c r="J1283" i="1" s="1"/>
  <c r="M1283" i="1" s="1"/>
  <c r="I1287" i="1"/>
  <c r="J1287" i="1" s="1"/>
  <c r="M1287" i="1" s="1"/>
  <c r="I1291" i="1"/>
  <c r="J1291" i="1" s="1"/>
  <c r="M1291" i="1" s="1"/>
  <c r="I1295" i="1"/>
  <c r="J1295" i="1" s="1"/>
  <c r="M1295" i="1" s="1"/>
  <c r="I1299" i="1"/>
  <c r="J1299" i="1" s="1"/>
  <c r="M1299" i="1" s="1"/>
  <c r="I1303" i="1"/>
  <c r="J1303" i="1" s="1"/>
  <c r="M1303" i="1" s="1"/>
  <c r="I1307" i="1"/>
  <c r="J1307" i="1" s="1"/>
  <c r="M1307" i="1" s="1"/>
  <c r="I1311" i="1"/>
  <c r="J1311" i="1" s="1"/>
  <c r="M1311" i="1" s="1"/>
  <c r="I1315" i="1"/>
  <c r="J1315" i="1" s="1"/>
  <c r="M1315" i="1" s="1"/>
  <c r="I1319" i="1"/>
  <c r="J1319" i="1" s="1"/>
  <c r="M1319" i="1" s="1"/>
  <c r="I1323" i="1"/>
  <c r="J1323" i="1" s="1"/>
  <c r="M1323" i="1" s="1"/>
  <c r="I1327" i="1"/>
  <c r="J1327" i="1" s="1"/>
  <c r="M1327" i="1" s="1"/>
  <c r="I1331" i="1"/>
  <c r="J1331" i="1" s="1"/>
  <c r="M1331" i="1" s="1"/>
  <c r="I1335" i="1"/>
  <c r="J1335" i="1" s="1"/>
  <c r="M1335" i="1" s="1"/>
  <c r="I1339" i="1"/>
  <c r="J1339" i="1" s="1"/>
  <c r="M1339" i="1" s="1"/>
  <c r="I1343" i="1"/>
  <c r="J1343" i="1" s="1"/>
  <c r="M1343" i="1" s="1"/>
  <c r="I1347" i="1"/>
  <c r="J1347" i="1" s="1"/>
  <c r="M1347" i="1" s="1"/>
  <c r="I1351" i="1"/>
  <c r="J1351" i="1" s="1"/>
  <c r="M1351" i="1" s="1"/>
  <c r="I1355" i="1"/>
  <c r="J1355" i="1" s="1"/>
  <c r="M1355" i="1" s="1"/>
  <c r="I1359" i="1"/>
  <c r="J1359" i="1" s="1"/>
  <c r="M1359" i="1" s="1"/>
  <c r="I1363" i="1"/>
  <c r="J1363" i="1" s="1"/>
  <c r="M1363" i="1" s="1"/>
  <c r="I1367" i="1"/>
  <c r="J1367" i="1" s="1"/>
  <c r="M1367" i="1" s="1"/>
  <c r="I1371" i="1"/>
  <c r="J1371" i="1" s="1"/>
  <c r="M1371" i="1" s="1"/>
  <c r="I1375" i="1"/>
  <c r="J1375" i="1" s="1"/>
  <c r="M1375" i="1" s="1"/>
  <c r="I1379" i="1"/>
  <c r="J1379" i="1" s="1"/>
  <c r="M1379" i="1" s="1"/>
  <c r="I1383" i="1"/>
  <c r="J1383" i="1" s="1"/>
  <c r="M1383" i="1" s="1"/>
  <c r="I1387" i="1"/>
  <c r="J1387" i="1" s="1"/>
  <c r="M1387" i="1" s="1"/>
  <c r="I1391" i="1"/>
  <c r="J1391" i="1" s="1"/>
  <c r="M1391" i="1" s="1"/>
  <c r="I1395" i="1"/>
  <c r="J1395" i="1" s="1"/>
  <c r="M1395" i="1" s="1"/>
  <c r="I1399" i="1"/>
  <c r="J1399" i="1" s="1"/>
  <c r="M1399" i="1" s="1"/>
  <c r="I1403" i="1"/>
  <c r="J1403" i="1" s="1"/>
  <c r="M1403" i="1" s="1"/>
  <c r="I1407" i="1"/>
  <c r="J1407" i="1" s="1"/>
  <c r="M1407" i="1" s="1"/>
  <c r="I1411" i="1"/>
  <c r="J1411" i="1" s="1"/>
  <c r="M1411" i="1" s="1"/>
  <c r="I1415" i="1"/>
  <c r="J1415" i="1" s="1"/>
  <c r="M1415" i="1" s="1"/>
  <c r="I1419" i="1"/>
  <c r="J1419" i="1" s="1"/>
  <c r="M1419" i="1" s="1"/>
  <c r="I1423" i="1"/>
  <c r="J1423" i="1" s="1"/>
  <c r="M1423" i="1" s="1"/>
  <c r="I1427" i="1"/>
  <c r="J1427" i="1" s="1"/>
  <c r="M1427" i="1" s="1"/>
  <c r="I1431" i="1"/>
  <c r="J1431" i="1" s="1"/>
  <c r="M1431" i="1" s="1"/>
  <c r="I1435" i="1"/>
  <c r="J1435" i="1" s="1"/>
  <c r="M1435" i="1" s="1"/>
  <c r="I1439" i="1"/>
  <c r="J1439" i="1" s="1"/>
  <c r="M1439" i="1" s="1"/>
  <c r="I1443" i="1"/>
  <c r="J1443" i="1" s="1"/>
  <c r="M1443" i="1" s="1"/>
  <c r="I1447" i="1"/>
  <c r="J1447" i="1" s="1"/>
  <c r="M1447" i="1" s="1"/>
  <c r="I1451" i="1"/>
  <c r="J1451" i="1" s="1"/>
  <c r="M1451" i="1" s="1"/>
  <c r="I1455" i="1"/>
  <c r="J1455" i="1" s="1"/>
  <c r="M1455" i="1" s="1"/>
  <c r="I1459" i="1"/>
  <c r="J1459" i="1" s="1"/>
  <c r="M1459" i="1" s="1"/>
  <c r="I1463" i="1"/>
  <c r="J1463" i="1" s="1"/>
  <c r="M1463" i="1" s="1"/>
  <c r="I1467" i="1"/>
  <c r="J1467" i="1" s="1"/>
  <c r="M1467" i="1" s="1"/>
  <c r="I1471" i="1"/>
  <c r="J1471" i="1" s="1"/>
  <c r="M1471" i="1" s="1"/>
  <c r="I1475" i="1"/>
  <c r="J1475" i="1" s="1"/>
  <c r="M1475" i="1" s="1"/>
  <c r="I1479" i="1"/>
  <c r="J1479" i="1" s="1"/>
  <c r="M1479" i="1" s="1"/>
  <c r="I1483" i="1"/>
  <c r="J1483" i="1" s="1"/>
  <c r="M1483" i="1" s="1"/>
  <c r="I1487" i="1"/>
  <c r="J1487" i="1" s="1"/>
  <c r="M1487" i="1" s="1"/>
  <c r="I1491" i="1"/>
  <c r="J1491" i="1" s="1"/>
  <c r="M1491" i="1" s="1"/>
  <c r="I1495" i="1"/>
  <c r="J1495" i="1" s="1"/>
  <c r="M1495" i="1" s="1"/>
  <c r="I1499" i="1"/>
  <c r="J1499" i="1" s="1"/>
  <c r="M1499" i="1" s="1"/>
  <c r="I1503" i="1"/>
  <c r="J1503" i="1" s="1"/>
  <c r="M1503" i="1" s="1"/>
  <c r="I1507" i="1"/>
  <c r="J1507" i="1" s="1"/>
  <c r="M1507" i="1" s="1"/>
  <c r="I1511" i="1"/>
  <c r="J1511" i="1" s="1"/>
  <c r="M1511" i="1" s="1"/>
  <c r="I1515" i="1"/>
  <c r="J1515" i="1" s="1"/>
  <c r="M1515" i="1" s="1"/>
  <c r="I1519" i="1"/>
  <c r="J1519" i="1" s="1"/>
  <c r="M1519" i="1" s="1"/>
  <c r="I1523" i="1"/>
  <c r="J1523" i="1" s="1"/>
  <c r="M1523" i="1" s="1"/>
  <c r="I1527" i="1"/>
  <c r="J1527" i="1" s="1"/>
  <c r="M1527" i="1" s="1"/>
  <c r="I1531" i="1"/>
  <c r="J1531" i="1" s="1"/>
  <c r="M1531" i="1" s="1"/>
  <c r="I1535" i="1"/>
  <c r="J1535" i="1" s="1"/>
  <c r="M1535" i="1" s="1"/>
  <c r="I1544" i="1"/>
  <c r="J1544" i="1" s="1"/>
  <c r="M1544" i="1" s="1"/>
  <c r="I1552" i="1"/>
  <c r="J1552" i="1" s="1"/>
  <c r="M1552" i="1" s="1"/>
  <c r="I1560" i="1"/>
  <c r="J1560" i="1" s="1"/>
  <c r="M1560" i="1" s="1"/>
  <c r="I1284" i="1"/>
  <c r="J1284" i="1" s="1"/>
  <c r="M1284" i="1" s="1"/>
  <c r="I1292" i="1"/>
  <c r="J1292" i="1" s="1"/>
  <c r="M1292" i="1" s="1"/>
  <c r="I1300" i="1"/>
  <c r="J1300" i="1" s="1"/>
  <c r="M1300" i="1" s="1"/>
  <c r="I1308" i="1"/>
  <c r="J1308" i="1" s="1"/>
  <c r="M1308" i="1" s="1"/>
  <c r="I1316" i="1"/>
  <c r="J1316" i="1" s="1"/>
  <c r="M1316" i="1" s="1"/>
  <c r="I1324" i="1"/>
  <c r="J1324" i="1" s="1"/>
  <c r="M1324" i="1" s="1"/>
  <c r="I1332" i="1"/>
  <c r="J1332" i="1" s="1"/>
  <c r="M1332" i="1" s="1"/>
  <c r="I1340" i="1"/>
  <c r="J1340" i="1" s="1"/>
  <c r="M1340" i="1" s="1"/>
  <c r="I1348" i="1"/>
  <c r="J1348" i="1" s="1"/>
  <c r="M1348" i="1" s="1"/>
  <c r="I1356" i="1"/>
  <c r="J1356" i="1" s="1"/>
  <c r="M1356" i="1" s="1"/>
  <c r="I1364" i="1"/>
  <c r="J1364" i="1" s="1"/>
  <c r="M1364" i="1" s="1"/>
  <c r="I1372" i="1"/>
  <c r="J1372" i="1" s="1"/>
  <c r="M1372" i="1" s="1"/>
  <c r="I1380" i="1"/>
  <c r="J1380" i="1" s="1"/>
  <c r="M1380" i="1" s="1"/>
  <c r="I1388" i="1"/>
  <c r="J1388" i="1" s="1"/>
  <c r="M1388" i="1" s="1"/>
  <c r="I1396" i="1"/>
  <c r="J1396" i="1" s="1"/>
  <c r="M1396" i="1" s="1"/>
  <c r="I1404" i="1"/>
  <c r="J1404" i="1" s="1"/>
  <c r="M1404" i="1" s="1"/>
  <c r="I1412" i="1"/>
  <c r="J1412" i="1" s="1"/>
  <c r="M1412" i="1" s="1"/>
  <c r="I1420" i="1"/>
  <c r="J1420" i="1" s="1"/>
  <c r="M1420" i="1" s="1"/>
  <c r="I1428" i="1"/>
  <c r="J1428" i="1" s="1"/>
  <c r="M1428" i="1" s="1"/>
  <c r="I1436" i="1"/>
  <c r="J1436" i="1" s="1"/>
  <c r="M1436" i="1" s="1"/>
  <c r="I1444" i="1"/>
  <c r="J1444" i="1" s="1"/>
  <c r="M1444" i="1" s="1"/>
  <c r="I1452" i="1"/>
  <c r="J1452" i="1" s="1"/>
  <c r="M1452" i="1" s="1"/>
  <c r="I1460" i="1"/>
  <c r="J1460" i="1" s="1"/>
  <c r="M1460" i="1" s="1"/>
  <c r="I1468" i="1"/>
  <c r="J1468" i="1" s="1"/>
  <c r="M1468" i="1" s="1"/>
  <c r="I1476" i="1"/>
  <c r="J1476" i="1" s="1"/>
  <c r="M1476" i="1" s="1"/>
  <c r="I1484" i="1"/>
  <c r="J1484" i="1" s="1"/>
  <c r="M1484" i="1" s="1"/>
  <c r="I1492" i="1"/>
  <c r="J1492" i="1" s="1"/>
  <c r="M1492" i="1" s="1"/>
  <c r="I1500" i="1"/>
  <c r="J1500" i="1" s="1"/>
  <c r="M1500" i="1" s="1"/>
  <c r="I1508" i="1"/>
  <c r="J1508" i="1" s="1"/>
  <c r="M1508" i="1" s="1"/>
  <c r="I1513" i="1"/>
  <c r="J1513" i="1" s="1"/>
  <c r="M1513" i="1" s="1"/>
  <c r="I1518" i="1"/>
  <c r="J1518" i="1" s="1"/>
  <c r="M1518" i="1" s="1"/>
  <c r="I1524" i="1"/>
  <c r="J1524" i="1" s="1"/>
  <c r="M1524" i="1" s="1"/>
  <c r="I1529" i="1"/>
  <c r="J1529" i="1" s="1"/>
  <c r="M1529" i="1" s="1"/>
  <c r="I1534" i="1"/>
  <c r="J1534" i="1" s="1"/>
  <c r="M1534" i="1" s="1"/>
  <c r="I1540" i="1"/>
  <c r="J1540" i="1" s="1"/>
  <c r="M1540" i="1" s="1"/>
  <c r="I1548" i="1"/>
  <c r="J1548" i="1" s="1"/>
  <c r="M1548" i="1" s="1"/>
  <c r="I1556" i="1"/>
  <c r="J1556" i="1" s="1"/>
  <c r="M1556" i="1" s="1"/>
  <c r="I1564" i="1"/>
  <c r="J1564" i="1" s="1"/>
  <c r="M1564" i="1" s="1"/>
  <c r="I1288" i="1"/>
  <c r="J1288" i="1" s="1"/>
  <c r="M1288" i="1" s="1"/>
  <c r="I1296" i="1"/>
  <c r="J1296" i="1" s="1"/>
  <c r="M1296" i="1" s="1"/>
  <c r="I1304" i="1"/>
  <c r="J1304" i="1" s="1"/>
  <c r="M1304" i="1" s="1"/>
  <c r="I1312" i="1"/>
  <c r="J1312" i="1" s="1"/>
  <c r="M1312" i="1" s="1"/>
  <c r="I1320" i="1"/>
  <c r="J1320" i="1" s="1"/>
  <c r="M1320" i="1" s="1"/>
  <c r="I1328" i="1"/>
  <c r="J1328" i="1" s="1"/>
  <c r="M1328" i="1" s="1"/>
  <c r="I1336" i="1"/>
  <c r="J1336" i="1" s="1"/>
  <c r="M1336" i="1" s="1"/>
  <c r="I1344" i="1"/>
  <c r="J1344" i="1" s="1"/>
  <c r="M1344" i="1" s="1"/>
  <c r="I1352" i="1"/>
  <c r="J1352" i="1" s="1"/>
  <c r="M1352" i="1" s="1"/>
  <c r="I1360" i="1"/>
  <c r="J1360" i="1" s="1"/>
  <c r="M1360" i="1" s="1"/>
  <c r="I1368" i="1"/>
  <c r="J1368" i="1" s="1"/>
  <c r="M1368" i="1" s="1"/>
  <c r="I1376" i="1"/>
  <c r="J1376" i="1" s="1"/>
  <c r="M1376" i="1" s="1"/>
  <c r="I1384" i="1"/>
  <c r="J1384" i="1" s="1"/>
  <c r="M1384" i="1" s="1"/>
  <c r="I1392" i="1"/>
  <c r="J1392" i="1" s="1"/>
  <c r="M1392" i="1" s="1"/>
  <c r="I1400" i="1"/>
  <c r="J1400" i="1" s="1"/>
  <c r="M1400" i="1" s="1"/>
  <c r="I1408" i="1"/>
  <c r="J1408" i="1" s="1"/>
  <c r="M1408" i="1" s="1"/>
  <c r="I1416" i="1"/>
  <c r="J1416" i="1" s="1"/>
  <c r="M1416" i="1" s="1"/>
  <c r="I1424" i="1"/>
  <c r="J1424" i="1" s="1"/>
  <c r="M1424" i="1" s="1"/>
  <c r="I1432" i="1"/>
  <c r="J1432" i="1" s="1"/>
  <c r="M1432" i="1" s="1"/>
  <c r="I1440" i="1"/>
  <c r="J1440" i="1" s="1"/>
  <c r="M1440" i="1" s="1"/>
  <c r="I1448" i="1"/>
  <c r="J1448" i="1" s="1"/>
  <c r="M1448" i="1" s="1"/>
  <c r="I1456" i="1"/>
  <c r="J1456" i="1" s="1"/>
  <c r="M1456" i="1" s="1"/>
  <c r="I1464" i="1"/>
  <c r="J1464" i="1" s="1"/>
  <c r="M1464" i="1" s="1"/>
  <c r="I1472" i="1"/>
  <c r="J1472" i="1" s="1"/>
  <c r="M1472" i="1" s="1"/>
  <c r="I1480" i="1"/>
  <c r="J1480" i="1" s="1"/>
  <c r="M1480" i="1" s="1"/>
  <c r="I1488" i="1"/>
  <c r="J1488" i="1" s="1"/>
  <c r="M1488" i="1" s="1"/>
  <c r="I1496" i="1"/>
  <c r="J1496" i="1" s="1"/>
  <c r="M1496" i="1" s="1"/>
  <c r="I1504" i="1"/>
  <c r="J1504" i="1" s="1"/>
  <c r="M1504" i="1" s="1"/>
  <c r="I1510" i="1"/>
  <c r="J1510" i="1" s="1"/>
  <c r="M1510" i="1" s="1"/>
  <c r="I1516" i="1"/>
  <c r="J1516" i="1" s="1"/>
  <c r="M1516" i="1" s="1"/>
  <c r="I1521" i="1"/>
  <c r="J1521" i="1" s="1"/>
  <c r="M1521" i="1" s="1"/>
  <c r="I1526" i="1"/>
  <c r="J1526" i="1" s="1"/>
  <c r="M1526" i="1" s="1"/>
  <c r="I1532" i="1"/>
  <c r="J1532" i="1" s="1"/>
  <c r="M1532" i="1" s="1"/>
  <c r="I1537" i="1"/>
  <c r="J1537" i="1" s="1"/>
  <c r="M1537" i="1" s="1"/>
  <c r="I1550" i="1"/>
  <c r="J1550" i="1" s="1"/>
  <c r="M1550" i="1" s="1"/>
  <c r="I1290" i="1"/>
  <c r="J1290" i="1" s="1"/>
  <c r="M1290" i="1" s="1"/>
  <c r="I1306" i="1"/>
  <c r="J1306" i="1" s="1"/>
  <c r="M1306" i="1" s="1"/>
  <c r="I1322" i="1"/>
  <c r="J1322" i="1" s="1"/>
  <c r="M1322" i="1" s="1"/>
  <c r="I1338" i="1"/>
  <c r="J1338" i="1" s="1"/>
  <c r="M1338" i="1" s="1"/>
  <c r="I1354" i="1"/>
  <c r="J1354" i="1" s="1"/>
  <c r="M1354" i="1" s="1"/>
  <c r="I1370" i="1"/>
  <c r="J1370" i="1" s="1"/>
  <c r="M1370" i="1" s="1"/>
  <c r="I1386" i="1"/>
  <c r="J1386" i="1" s="1"/>
  <c r="M1386" i="1" s="1"/>
  <c r="I1402" i="1"/>
  <c r="J1402" i="1" s="1"/>
  <c r="M1402" i="1" s="1"/>
  <c r="I1418" i="1"/>
  <c r="J1418" i="1" s="1"/>
  <c r="M1418" i="1" s="1"/>
  <c r="I1434" i="1"/>
  <c r="J1434" i="1" s="1"/>
  <c r="M1434" i="1" s="1"/>
  <c r="I1450" i="1"/>
  <c r="J1450" i="1" s="1"/>
  <c r="M1450" i="1" s="1"/>
  <c r="I1466" i="1"/>
  <c r="J1466" i="1" s="1"/>
  <c r="M1466" i="1" s="1"/>
  <c r="I1482" i="1"/>
  <c r="J1482" i="1" s="1"/>
  <c r="M1482" i="1" s="1"/>
  <c r="I1498" i="1"/>
  <c r="J1498" i="1" s="1"/>
  <c r="M1498" i="1" s="1"/>
  <c r="I1512" i="1"/>
  <c r="J1512" i="1" s="1"/>
  <c r="M1512" i="1" s="1"/>
  <c r="I1522" i="1"/>
  <c r="J1522" i="1" s="1"/>
  <c r="M1522" i="1" s="1"/>
  <c r="I1533" i="1"/>
  <c r="J1533" i="1" s="1"/>
  <c r="M1533" i="1" s="1"/>
  <c r="I1027" i="1"/>
  <c r="J1027" i="1" s="1"/>
  <c r="M1027" i="1" s="1"/>
  <c r="I1031" i="1"/>
  <c r="J1031" i="1" s="1"/>
  <c r="M1031" i="1" s="1"/>
  <c r="I1035" i="1"/>
  <c r="J1035" i="1" s="1"/>
  <c r="M1035" i="1" s="1"/>
  <c r="I1039" i="1"/>
  <c r="J1039" i="1" s="1"/>
  <c r="M1039" i="1" s="1"/>
  <c r="I1043" i="1"/>
  <c r="J1043" i="1" s="1"/>
  <c r="M1043" i="1" s="1"/>
  <c r="I1047" i="1"/>
  <c r="J1047" i="1" s="1"/>
  <c r="M1047" i="1" s="1"/>
  <c r="I1051" i="1"/>
  <c r="J1051" i="1" s="1"/>
  <c r="M1051" i="1" s="1"/>
  <c r="I1055" i="1"/>
  <c r="J1055" i="1" s="1"/>
  <c r="M1055" i="1" s="1"/>
  <c r="I1059" i="1"/>
  <c r="J1059" i="1" s="1"/>
  <c r="M1059" i="1" s="1"/>
  <c r="I1063" i="1"/>
  <c r="J1063" i="1" s="1"/>
  <c r="M1063" i="1" s="1"/>
  <c r="I1067" i="1"/>
  <c r="J1067" i="1" s="1"/>
  <c r="M1067" i="1" s="1"/>
  <c r="I1071" i="1"/>
  <c r="J1071" i="1" s="1"/>
  <c r="M1071" i="1" s="1"/>
  <c r="I1075" i="1"/>
  <c r="J1075" i="1" s="1"/>
  <c r="M1075" i="1" s="1"/>
  <c r="I1079" i="1"/>
  <c r="J1079" i="1" s="1"/>
  <c r="M1079" i="1" s="1"/>
  <c r="I1083" i="1"/>
  <c r="J1083" i="1" s="1"/>
  <c r="M1083" i="1" s="1"/>
  <c r="I1087" i="1"/>
  <c r="J1087" i="1" s="1"/>
  <c r="M1087" i="1" s="1"/>
  <c r="I1091" i="1"/>
  <c r="J1091" i="1" s="1"/>
  <c r="M1091" i="1" s="1"/>
  <c r="I1095" i="1"/>
  <c r="J1095" i="1" s="1"/>
  <c r="M1095" i="1" s="1"/>
  <c r="I1099" i="1"/>
  <c r="J1099" i="1" s="1"/>
  <c r="M1099" i="1" s="1"/>
  <c r="I1103" i="1"/>
  <c r="J1103" i="1" s="1"/>
  <c r="M1103" i="1" s="1"/>
  <c r="I1107" i="1"/>
  <c r="J1107" i="1" s="1"/>
  <c r="M1107" i="1" s="1"/>
  <c r="I1111" i="1"/>
  <c r="J1111" i="1" s="1"/>
  <c r="M1111" i="1" s="1"/>
  <c r="I1115" i="1"/>
  <c r="J1115" i="1" s="1"/>
  <c r="M1115" i="1" s="1"/>
  <c r="I1119" i="1"/>
  <c r="J1119" i="1" s="1"/>
  <c r="M1119" i="1" s="1"/>
  <c r="I1123" i="1"/>
  <c r="J1123" i="1" s="1"/>
  <c r="M1123" i="1" s="1"/>
  <c r="I1127" i="1"/>
  <c r="J1127" i="1" s="1"/>
  <c r="M1127" i="1" s="1"/>
  <c r="I1131" i="1"/>
  <c r="J1131" i="1" s="1"/>
  <c r="M1131" i="1" s="1"/>
  <c r="I1135" i="1"/>
  <c r="J1135" i="1" s="1"/>
  <c r="M1135" i="1" s="1"/>
  <c r="I1139" i="1"/>
  <c r="J1139" i="1" s="1"/>
  <c r="M1139" i="1" s="1"/>
  <c r="I1143" i="1"/>
  <c r="J1143" i="1" s="1"/>
  <c r="M1143" i="1" s="1"/>
  <c r="I1147" i="1"/>
  <c r="J1147" i="1" s="1"/>
  <c r="M1147" i="1" s="1"/>
  <c r="I1151" i="1"/>
  <c r="J1151" i="1" s="1"/>
  <c r="M1151" i="1" s="1"/>
  <c r="I1155" i="1"/>
  <c r="J1155" i="1" s="1"/>
  <c r="M1155" i="1" s="1"/>
  <c r="I1159" i="1"/>
  <c r="J1159" i="1" s="1"/>
  <c r="M1159" i="1" s="1"/>
  <c r="I1163" i="1"/>
  <c r="J1163" i="1" s="1"/>
  <c r="M1163" i="1" s="1"/>
  <c r="I1167" i="1"/>
  <c r="J1167" i="1" s="1"/>
  <c r="M1167" i="1" s="1"/>
  <c r="I1171" i="1"/>
  <c r="J1171" i="1" s="1"/>
  <c r="M1171" i="1" s="1"/>
  <c r="I1175" i="1"/>
  <c r="J1175" i="1" s="1"/>
  <c r="M1175" i="1" s="1"/>
  <c r="I1179" i="1"/>
  <c r="J1179" i="1" s="1"/>
  <c r="M1179" i="1" s="1"/>
  <c r="I1183" i="1"/>
  <c r="J1183" i="1" s="1"/>
  <c r="M1183" i="1" s="1"/>
  <c r="I1187" i="1"/>
  <c r="J1187" i="1" s="1"/>
  <c r="M1187" i="1" s="1"/>
  <c r="I1191" i="1"/>
  <c r="J1191" i="1" s="1"/>
  <c r="M1191" i="1" s="1"/>
  <c r="I1195" i="1"/>
  <c r="J1195" i="1" s="1"/>
  <c r="M1195" i="1" s="1"/>
  <c r="I1199" i="1"/>
  <c r="J1199" i="1" s="1"/>
  <c r="M1199" i="1" s="1"/>
  <c r="I1203" i="1"/>
  <c r="J1203" i="1" s="1"/>
  <c r="M1203" i="1" s="1"/>
  <c r="I1207" i="1"/>
  <c r="J1207" i="1" s="1"/>
  <c r="M1207" i="1" s="1"/>
  <c r="I1211" i="1"/>
  <c r="J1211" i="1" s="1"/>
  <c r="M1211" i="1" s="1"/>
  <c r="I1215" i="1"/>
  <c r="J1215" i="1" s="1"/>
  <c r="M1215" i="1" s="1"/>
  <c r="I1219" i="1"/>
  <c r="J1219" i="1" s="1"/>
  <c r="M1219" i="1" s="1"/>
  <c r="I1223" i="1"/>
  <c r="J1223" i="1" s="1"/>
  <c r="M1223" i="1" s="1"/>
  <c r="I1227" i="1"/>
  <c r="J1227" i="1" s="1"/>
  <c r="M1227" i="1" s="1"/>
  <c r="I1231" i="1"/>
  <c r="J1231" i="1" s="1"/>
  <c r="M1231" i="1" s="1"/>
  <c r="I1235" i="1"/>
  <c r="J1235" i="1" s="1"/>
  <c r="M1235" i="1" s="1"/>
  <c r="I1239" i="1"/>
  <c r="J1239" i="1" s="1"/>
  <c r="M1239" i="1" s="1"/>
  <c r="I1243" i="1"/>
  <c r="J1243" i="1" s="1"/>
  <c r="M1243" i="1" s="1"/>
  <c r="I1247" i="1"/>
  <c r="J1247" i="1" s="1"/>
  <c r="M1247" i="1" s="1"/>
  <c r="I1251" i="1"/>
  <c r="J1251" i="1" s="1"/>
  <c r="M1251" i="1" s="1"/>
  <c r="I1255" i="1"/>
  <c r="J1255" i="1" s="1"/>
  <c r="M1255" i="1" s="1"/>
  <c r="I1259" i="1"/>
  <c r="J1259" i="1" s="1"/>
  <c r="M1259" i="1" s="1"/>
  <c r="I1263" i="1"/>
  <c r="J1263" i="1" s="1"/>
  <c r="M1263" i="1" s="1"/>
  <c r="I1267" i="1"/>
  <c r="J1267" i="1" s="1"/>
  <c r="M1267" i="1" s="1"/>
  <c r="I1271" i="1"/>
  <c r="J1271" i="1" s="1"/>
  <c r="M1271" i="1" s="1"/>
  <c r="I1275" i="1"/>
  <c r="J1275" i="1" s="1"/>
  <c r="M1275" i="1" s="1"/>
  <c r="I1279" i="1"/>
  <c r="J1279" i="1" s="1"/>
  <c r="M1279" i="1" s="1"/>
  <c r="I1542" i="1"/>
  <c r="J1542" i="1" s="1"/>
  <c r="M1542" i="1" s="1"/>
  <c r="I1558" i="1"/>
  <c r="J1558" i="1" s="1"/>
  <c r="M1558" i="1" s="1"/>
  <c r="I1282" i="1"/>
  <c r="J1282" i="1" s="1"/>
  <c r="M1282" i="1" s="1"/>
  <c r="I1298" i="1"/>
  <c r="J1298" i="1" s="1"/>
  <c r="M1298" i="1" s="1"/>
  <c r="I1314" i="1"/>
  <c r="J1314" i="1" s="1"/>
  <c r="M1314" i="1" s="1"/>
  <c r="I1330" i="1"/>
  <c r="J1330" i="1" s="1"/>
  <c r="M1330" i="1" s="1"/>
  <c r="I1346" i="1"/>
  <c r="J1346" i="1" s="1"/>
  <c r="M1346" i="1" s="1"/>
  <c r="I1362" i="1"/>
  <c r="J1362" i="1" s="1"/>
  <c r="M1362" i="1" s="1"/>
  <c r="I1378" i="1"/>
  <c r="J1378" i="1" s="1"/>
  <c r="M1378" i="1" s="1"/>
  <c r="I1394" i="1"/>
  <c r="J1394" i="1" s="1"/>
  <c r="M1394" i="1" s="1"/>
  <c r="I1410" i="1"/>
  <c r="J1410" i="1" s="1"/>
  <c r="M1410" i="1" s="1"/>
  <c r="I1426" i="1"/>
  <c r="J1426" i="1" s="1"/>
  <c r="M1426" i="1" s="1"/>
  <c r="I1442" i="1"/>
  <c r="J1442" i="1" s="1"/>
  <c r="M1442" i="1" s="1"/>
  <c r="I1458" i="1"/>
  <c r="J1458" i="1" s="1"/>
  <c r="M1458" i="1" s="1"/>
  <c r="I1474" i="1"/>
  <c r="J1474" i="1" s="1"/>
  <c r="M1474" i="1" s="1"/>
  <c r="I1490" i="1"/>
  <c r="J1490" i="1" s="1"/>
  <c r="M1490" i="1" s="1"/>
  <c r="I1506" i="1"/>
  <c r="J1506" i="1" s="1"/>
  <c r="M1506" i="1" s="1"/>
  <c r="I1517" i="1"/>
  <c r="J1517" i="1" s="1"/>
  <c r="M1517" i="1" s="1"/>
  <c r="I1528" i="1"/>
  <c r="J1528" i="1" s="1"/>
  <c r="M1528" i="1" s="1"/>
  <c r="I1029" i="1"/>
  <c r="J1029" i="1" s="1"/>
  <c r="M1029" i="1" s="1"/>
  <c r="I1033" i="1"/>
  <c r="J1033" i="1" s="1"/>
  <c r="M1033" i="1" s="1"/>
  <c r="I1037" i="1"/>
  <c r="J1037" i="1" s="1"/>
  <c r="M1037" i="1" s="1"/>
  <c r="I1041" i="1"/>
  <c r="J1041" i="1" s="1"/>
  <c r="M1041" i="1" s="1"/>
  <c r="I1045" i="1"/>
  <c r="J1045" i="1" s="1"/>
  <c r="M1045" i="1" s="1"/>
  <c r="I1049" i="1"/>
  <c r="J1049" i="1" s="1"/>
  <c r="M1049" i="1" s="1"/>
  <c r="I1053" i="1"/>
  <c r="J1053" i="1" s="1"/>
  <c r="M1053" i="1" s="1"/>
  <c r="I1057" i="1"/>
  <c r="J1057" i="1" s="1"/>
  <c r="M1057" i="1" s="1"/>
  <c r="I1061" i="1"/>
  <c r="J1061" i="1" s="1"/>
  <c r="M1061" i="1" s="1"/>
  <c r="I1065" i="1"/>
  <c r="J1065" i="1" s="1"/>
  <c r="M1065" i="1" s="1"/>
  <c r="I1069" i="1"/>
  <c r="J1069" i="1" s="1"/>
  <c r="M1069" i="1" s="1"/>
  <c r="I1073" i="1"/>
  <c r="J1073" i="1" s="1"/>
  <c r="M1073" i="1" s="1"/>
  <c r="I1077" i="1"/>
  <c r="J1077" i="1" s="1"/>
  <c r="M1077" i="1" s="1"/>
  <c r="I1081" i="1"/>
  <c r="J1081" i="1" s="1"/>
  <c r="M1081" i="1" s="1"/>
  <c r="I1085" i="1"/>
  <c r="J1085" i="1" s="1"/>
  <c r="M1085" i="1" s="1"/>
  <c r="I1089" i="1"/>
  <c r="J1089" i="1" s="1"/>
  <c r="M1089" i="1" s="1"/>
  <c r="I1093" i="1"/>
  <c r="J1093" i="1" s="1"/>
  <c r="M1093" i="1" s="1"/>
  <c r="I1097" i="1"/>
  <c r="J1097" i="1" s="1"/>
  <c r="M1097" i="1" s="1"/>
  <c r="I1101" i="1"/>
  <c r="J1101" i="1" s="1"/>
  <c r="M1101" i="1" s="1"/>
  <c r="I1105" i="1"/>
  <c r="J1105" i="1" s="1"/>
  <c r="M1105" i="1" s="1"/>
  <c r="I1109" i="1"/>
  <c r="J1109" i="1" s="1"/>
  <c r="M1109" i="1" s="1"/>
  <c r="I1113" i="1"/>
  <c r="J1113" i="1" s="1"/>
  <c r="M1113" i="1" s="1"/>
  <c r="I1117" i="1"/>
  <c r="J1117" i="1" s="1"/>
  <c r="M1117" i="1" s="1"/>
  <c r="I1121" i="1"/>
  <c r="J1121" i="1" s="1"/>
  <c r="M1121" i="1" s="1"/>
  <c r="I1125" i="1"/>
  <c r="J1125" i="1" s="1"/>
  <c r="M1125" i="1" s="1"/>
  <c r="I1129" i="1"/>
  <c r="J1129" i="1" s="1"/>
  <c r="M1129" i="1" s="1"/>
  <c r="I1133" i="1"/>
  <c r="J1133" i="1" s="1"/>
  <c r="M1133" i="1" s="1"/>
  <c r="I1137" i="1"/>
  <c r="J1137" i="1" s="1"/>
  <c r="M1137" i="1" s="1"/>
  <c r="I1141" i="1"/>
  <c r="J1141" i="1" s="1"/>
  <c r="M1141" i="1" s="1"/>
  <c r="I1145" i="1"/>
  <c r="J1145" i="1" s="1"/>
  <c r="M1145" i="1" s="1"/>
  <c r="I1149" i="1"/>
  <c r="J1149" i="1" s="1"/>
  <c r="M1149" i="1" s="1"/>
  <c r="I1153" i="1"/>
  <c r="J1153" i="1" s="1"/>
  <c r="M1153" i="1" s="1"/>
  <c r="I1157" i="1"/>
  <c r="J1157" i="1" s="1"/>
  <c r="M1157" i="1" s="1"/>
  <c r="I1161" i="1"/>
  <c r="J1161" i="1" s="1"/>
  <c r="M1161" i="1" s="1"/>
  <c r="I1165" i="1"/>
  <c r="J1165" i="1" s="1"/>
  <c r="M1165" i="1" s="1"/>
  <c r="I1169" i="1"/>
  <c r="J1169" i="1" s="1"/>
  <c r="M1169" i="1" s="1"/>
  <c r="I1173" i="1"/>
  <c r="J1173" i="1" s="1"/>
  <c r="M1173" i="1" s="1"/>
  <c r="I1177" i="1"/>
  <c r="J1177" i="1" s="1"/>
  <c r="M1177" i="1" s="1"/>
  <c r="I1181" i="1"/>
  <c r="J1181" i="1" s="1"/>
  <c r="M1181" i="1" s="1"/>
  <c r="I1185" i="1"/>
  <c r="J1185" i="1" s="1"/>
  <c r="M1185" i="1" s="1"/>
  <c r="I1189" i="1"/>
  <c r="J1189" i="1" s="1"/>
  <c r="M1189" i="1" s="1"/>
  <c r="I1193" i="1"/>
  <c r="J1193" i="1" s="1"/>
  <c r="M1193" i="1" s="1"/>
  <c r="I1197" i="1"/>
  <c r="J1197" i="1" s="1"/>
  <c r="M1197" i="1" s="1"/>
  <c r="I1201" i="1"/>
  <c r="J1201" i="1" s="1"/>
  <c r="M1201" i="1" s="1"/>
  <c r="I1205" i="1"/>
  <c r="J1205" i="1" s="1"/>
  <c r="M1205" i="1" s="1"/>
  <c r="I1209" i="1"/>
  <c r="J1209" i="1" s="1"/>
  <c r="M1209" i="1" s="1"/>
  <c r="I1213" i="1"/>
  <c r="J1213" i="1" s="1"/>
  <c r="M1213" i="1" s="1"/>
  <c r="I1217" i="1"/>
  <c r="J1217" i="1" s="1"/>
  <c r="M1217" i="1" s="1"/>
  <c r="I1221" i="1"/>
  <c r="J1221" i="1" s="1"/>
  <c r="M1221" i="1" s="1"/>
  <c r="I1225" i="1"/>
  <c r="J1225" i="1" s="1"/>
  <c r="M1225" i="1" s="1"/>
  <c r="I1229" i="1"/>
  <c r="J1229" i="1" s="1"/>
  <c r="M1229" i="1" s="1"/>
  <c r="I1233" i="1"/>
  <c r="J1233" i="1" s="1"/>
  <c r="M1233" i="1" s="1"/>
  <c r="I1237" i="1"/>
  <c r="J1237" i="1" s="1"/>
  <c r="M1237" i="1" s="1"/>
  <c r="I1562" i="1"/>
  <c r="J1562" i="1" s="1"/>
  <c r="M1562" i="1" s="1"/>
  <c r="I1286" i="1"/>
  <c r="J1286" i="1" s="1"/>
  <c r="M1286" i="1" s="1"/>
  <c r="I1318" i="1"/>
  <c r="J1318" i="1" s="1"/>
  <c r="M1318" i="1" s="1"/>
  <c r="I1350" i="1"/>
  <c r="J1350" i="1" s="1"/>
  <c r="M1350" i="1" s="1"/>
  <c r="I1382" i="1"/>
  <c r="J1382" i="1" s="1"/>
  <c r="M1382" i="1" s="1"/>
  <c r="I1414" i="1"/>
  <c r="J1414" i="1" s="1"/>
  <c r="M1414" i="1" s="1"/>
  <c r="I1446" i="1"/>
  <c r="J1446" i="1" s="1"/>
  <c r="M1446" i="1" s="1"/>
  <c r="I1478" i="1"/>
  <c r="J1478" i="1" s="1"/>
  <c r="M1478" i="1" s="1"/>
  <c r="I1509" i="1"/>
  <c r="J1509" i="1" s="1"/>
  <c r="M1509" i="1" s="1"/>
  <c r="I1530" i="1"/>
  <c r="J1530" i="1" s="1"/>
  <c r="M1530" i="1" s="1"/>
  <c r="I1026" i="1"/>
  <c r="J1026" i="1" s="1"/>
  <c r="M1026" i="1" s="1"/>
  <c r="I1034" i="1"/>
  <c r="J1034" i="1" s="1"/>
  <c r="M1034" i="1" s="1"/>
  <c r="I1042" i="1"/>
  <c r="J1042" i="1" s="1"/>
  <c r="M1042" i="1" s="1"/>
  <c r="I1050" i="1"/>
  <c r="J1050" i="1" s="1"/>
  <c r="M1050" i="1" s="1"/>
  <c r="I1058" i="1"/>
  <c r="J1058" i="1" s="1"/>
  <c r="M1058" i="1" s="1"/>
  <c r="I1066" i="1"/>
  <c r="J1066" i="1" s="1"/>
  <c r="M1066" i="1" s="1"/>
  <c r="I1074" i="1"/>
  <c r="J1074" i="1" s="1"/>
  <c r="M1074" i="1" s="1"/>
  <c r="I1082" i="1"/>
  <c r="J1082" i="1" s="1"/>
  <c r="M1082" i="1" s="1"/>
  <c r="I1090" i="1"/>
  <c r="J1090" i="1" s="1"/>
  <c r="M1090" i="1" s="1"/>
  <c r="I1098" i="1"/>
  <c r="J1098" i="1" s="1"/>
  <c r="M1098" i="1" s="1"/>
  <c r="I1106" i="1"/>
  <c r="J1106" i="1" s="1"/>
  <c r="M1106" i="1" s="1"/>
  <c r="I1114" i="1"/>
  <c r="J1114" i="1" s="1"/>
  <c r="M1114" i="1" s="1"/>
  <c r="I1122" i="1"/>
  <c r="J1122" i="1" s="1"/>
  <c r="M1122" i="1" s="1"/>
  <c r="I1130" i="1"/>
  <c r="J1130" i="1" s="1"/>
  <c r="M1130" i="1" s="1"/>
  <c r="I1138" i="1"/>
  <c r="J1138" i="1" s="1"/>
  <c r="M1138" i="1" s="1"/>
  <c r="I1146" i="1"/>
  <c r="J1146" i="1" s="1"/>
  <c r="M1146" i="1" s="1"/>
  <c r="I1154" i="1"/>
  <c r="J1154" i="1" s="1"/>
  <c r="M1154" i="1" s="1"/>
  <c r="I1162" i="1"/>
  <c r="J1162" i="1" s="1"/>
  <c r="M1162" i="1" s="1"/>
  <c r="I1170" i="1"/>
  <c r="J1170" i="1" s="1"/>
  <c r="M1170" i="1" s="1"/>
  <c r="I1178" i="1"/>
  <c r="J1178" i="1" s="1"/>
  <c r="M1178" i="1" s="1"/>
  <c r="I1186" i="1"/>
  <c r="J1186" i="1" s="1"/>
  <c r="M1186" i="1" s="1"/>
  <c r="I1194" i="1"/>
  <c r="J1194" i="1" s="1"/>
  <c r="M1194" i="1" s="1"/>
  <c r="I1202" i="1"/>
  <c r="J1202" i="1" s="1"/>
  <c r="M1202" i="1" s="1"/>
  <c r="I1210" i="1"/>
  <c r="J1210" i="1" s="1"/>
  <c r="M1210" i="1" s="1"/>
  <c r="I1218" i="1"/>
  <c r="J1218" i="1" s="1"/>
  <c r="M1218" i="1" s="1"/>
  <c r="I1226" i="1"/>
  <c r="J1226" i="1" s="1"/>
  <c r="M1226" i="1" s="1"/>
  <c r="I1234" i="1"/>
  <c r="J1234" i="1" s="1"/>
  <c r="M1234" i="1" s="1"/>
  <c r="I1241" i="1"/>
  <c r="J1241" i="1" s="1"/>
  <c r="M1241" i="1" s="1"/>
  <c r="I1246" i="1"/>
  <c r="J1246" i="1" s="1"/>
  <c r="M1246" i="1" s="1"/>
  <c r="I1252" i="1"/>
  <c r="J1252" i="1" s="1"/>
  <c r="M1252" i="1" s="1"/>
  <c r="I1257" i="1"/>
  <c r="J1257" i="1" s="1"/>
  <c r="M1257" i="1" s="1"/>
  <c r="I1262" i="1"/>
  <c r="J1262" i="1" s="1"/>
  <c r="M1262" i="1" s="1"/>
  <c r="I1268" i="1"/>
  <c r="J1268" i="1" s="1"/>
  <c r="M1268" i="1" s="1"/>
  <c r="I1273" i="1"/>
  <c r="J1273" i="1" s="1"/>
  <c r="M1273" i="1" s="1"/>
  <c r="I1278" i="1"/>
  <c r="J1278" i="1" s="1"/>
  <c r="M1278" i="1" s="1"/>
  <c r="I772" i="1"/>
  <c r="J772" i="1" s="1"/>
  <c r="M772" i="1" s="1"/>
  <c r="I776" i="1"/>
  <c r="J776" i="1" s="1"/>
  <c r="M776" i="1" s="1"/>
  <c r="I780" i="1"/>
  <c r="J780" i="1" s="1"/>
  <c r="M780" i="1" s="1"/>
  <c r="I784" i="1"/>
  <c r="J784" i="1" s="1"/>
  <c r="M784" i="1" s="1"/>
  <c r="I788" i="1"/>
  <c r="J788" i="1" s="1"/>
  <c r="M788" i="1" s="1"/>
  <c r="I792" i="1"/>
  <c r="J792" i="1" s="1"/>
  <c r="M792" i="1" s="1"/>
  <c r="I796" i="1"/>
  <c r="J796" i="1" s="1"/>
  <c r="M796" i="1" s="1"/>
  <c r="I800" i="1"/>
  <c r="J800" i="1" s="1"/>
  <c r="M800" i="1" s="1"/>
  <c r="I804" i="1"/>
  <c r="J804" i="1" s="1"/>
  <c r="M804" i="1" s="1"/>
  <c r="I808" i="1"/>
  <c r="J808" i="1" s="1"/>
  <c r="M808" i="1" s="1"/>
  <c r="I812" i="1"/>
  <c r="J812" i="1" s="1"/>
  <c r="M812" i="1" s="1"/>
  <c r="I816" i="1"/>
  <c r="J816" i="1" s="1"/>
  <c r="M816" i="1" s="1"/>
  <c r="I820" i="1"/>
  <c r="J820" i="1" s="1"/>
  <c r="M820" i="1" s="1"/>
  <c r="I824" i="1"/>
  <c r="J824" i="1" s="1"/>
  <c r="M824" i="1" s="1"/>
  <c r="I828" i="1"/>
  <c r="J828" i="1" s="1"/>
  <c r="M828" i="1" s="1"/>
  <c r="I832" i="1"/>
  <c r="J832" i="1" s="1"/>
  <c r="M832" i="1" s="1"/>
  <c r="I836" i="1"/>
  <c r="J836" i="1" s="1"/>
  <c r="M836" i="1" s="1"/>
  <c r="I840" i="1"/>
  <c r="J840" i="1" s="1"/>
  <c r="M840" i="1" s="1"/>
  <c r="I844" i="1"/>
  <c r="J844" i="1" s="1"/>
  <c r="M844" i="1" s="1"/>
  <c r="I848" i="1"/>
  <c r="J848" i="1" s="1"/>
  <c r="M848" i="1" s="1"/>
  <c r="I852" i="1"/>
  <c r="J852" i="1" s="1"/>
  <c r="M852" i="1" s="1"/>
  <c r="I856" i="1"/>
  <c r="J856" i="1" s="1"/>
  <c r="M856" i="1" s="1"/>
  <c r="I860" i="1"/>
  <c r="J860" i="1" s="1"/>
  <c r="M860" i="1" s="1"/>
  <c r="I864" i="1"/>
  <c r="J864" i="1" s="1"/>
  <c r="M864" i="1" s="1"/>
  <c r="I868" i="1"/>
  <c r="J868" i="1" s="1"/>
  <c r="M868" i="1" s="1"/>
  <c r="I872" i="1"/>
  <c r="J872" i="1" s="1"/>
  <c r="M872" i="1" s="1"/>
  <c r="I876" i="1"/>
  <c r="J876" i="1" s="1"/>
  <c r="M876" i="1" s="1"/>
  <c r="I880" i="1"/>
  <c r="J880" i="1" s="1"/>
  <c r="M880" i="1" s="1"/>
  <c r="I884" i="1"/>
  <c r="J884" i="1" s="1"/>
  <c r="M884" i="1" s="1"/>
  <c r="I888" i="1"/>
  <c r="J888" i="1" s="1"/>
  <c r="M888" i="1" s="1"/>
  <c r="I892" i="1"/>
  <c r="J892" i="1" s="1"/>
  <c r="M892" i="1" s="1"/>
  <c r="I896" i="1"/>
  <c r="J896" i="1" s="1"/>
  <c r="M896" i="1" s="1"/>
  <c r="I900" i="1"/>
  <c r="J900" i="1" s="1"/>
  <c r="M900" i="1" s="1"/>
  <c r="I904" i="1"/>
  <c r="J904" i="1" s="1"/>
  <c r="M904" i="1" s="1"/>
  <c r="I908" i="1"/>
  <c r="J908" i="1" s="1"/>
  <c r="M908" i="1" s="1"/>
  <c r="I912" i="1"/>
  <c r="J912" i="1" s="1"/>
  <c r="M912" i="1" s="1"/>
  <c r="I916" i="1"/>
  <c r="J916" i="1" s="1"/>
  <c r="M916" i="1" s="1"/>
  <c r="I920" i="1"/>
  <c r="J920" i="1" s="1"/>
  <c r="M920" i="1" s="1"/>
  <c r="I924" i="1"/>
  <c r="J924" i="1" s="1"/>
  <c r="M924" i="1" s="1"/>
  <c r="I928" i="1"/>
  <c r="J928" i="1" s="1"/>
  <c r="M928" i="1" s="1"/>
  <c r="I932" i="1"/>
  <c r="J932" i="1" s="1"/>
  <c r="M932" i="1" s="1"/>
  <c r="I936" i="1"/>
  <c r="J936" i="1" s="1"/>
  <c r="M936" i="1" s="1"/>
  <c r="I940" i="1"/>
  <c r="J940" i="1" s="1"/>
  <c r="M940" i="1" s="1"/>
  <c r="I944" i="1"/>
  <c r="J944" i="1" s="1"/>
  <c r="M944" i="1" s="1"/>
  <c r="I948" i="1"/>
  <c r="J948" i="1" s="1"/>
  <c r="M948" i="1" s="1"/>
  <c r="I1538" i="1"/>
  <c r="J1538" i="1" s="1"/>
  <c r="M1538" i="1" s="1"/>
  <c r="I1294" i="1"/>
  <c r="J1294" i="1" s="1"/>
  <c r="M1294" i="1" s="1"/>
  <c r="I1326" i="1"/>
  <c r="J1326" i="1" s="1"/>
  <c r="M1326" i="1" s="1"/>
  <c r="I1358" i="1"/>
  <c r="J1358" i="1" s="1"/>
  <c r="M1358" i="1" s="1"/>
  <c r="I1390" i="1"/>
  <c r="J1390" i="1" s="1"/>
  <c r="M1390" i="1" s="1"/>
  <c r="I1422" i="1"/>
  <c r="J1422" i="1" s="1"/>
  <c r="M1422" i="1" s="1"/>
  <c r="I1454" i="1"/>
  <c r="J1454" i="1" s="1"/>
  <c r="M1454" i="1" s="1"/>
  <c r="I1486" i="1"/>
  <c r="J1486" i="1" s="1"/>
  <c r="M1486" i="1" s="1"/>
  <c r="I1514" i="1"/>
  <c r="J1514" i="1" s="1"/>
  <c r="M1514" i="1" s="1"/>
  <c r="I1536" i="1"/>
  <c r="J1536" i="1" s="1"/>
  <c r="M1536" i="1" s="1"/>
  <c r="I1028" i="1"/>
  <c r="J1028" i="1" s="1"/>
  <c r="M1028" i="1" s="1"/>
  <c r="I1036" i="1"/>
  <c r="J1036" i="1" s="1"/>
  <c r="M1036" i="1" s="1"/>
  <c r="I1044" i="1"/>
  <c r="J1044" i="1" s="1"/>
  <c r="M1044" i="1" s="1"/>
  <c r="I1052" i="1"/>
  <c r="J1052" i="1" s="1"/>
  <c r="M1052" i="1" s="1"/>
  <c r="I1060" i="1"/>
  <c r="J1060" i="1" s="1"/>
  <c r="M1060" i="1" s="1"/>
  <c r="I1068" i="1"/>
  <c r="J1068" i="1" s="1"/>
  <c r="M1068" i="1" s="1"/>
  <c r="I1076" i="1"/>
  <c r="J1076" i="1" s="1"/>
  <c r="M1076" i="1" s="1"/>
  <c r="I1084" i="1"/>
  <c r="J1084" i="1" s="1"/>
  <c r="M1084" i="1" s="1"/>
  <c r="I1092" i="1"/>
  <c r="J1092" i="1" s="1"/>
  <c r="M1092" i="1" s="1"/>
  <c r="I1100" i="1"/>
  <c r="J1100" i="1" s="1"/>
  <c r="M1100" i="1" s="1"/>
  <c r="I1108" i="1"/>
  <c r="J1108" i="1" s="1"/>
  <c r="M1108" i="1" s="1"/>
  <c r="I1116" i="1"/>
  <c r="J1116" i="1" s="1"/>
  <c r="M1116" i="1" s="1"/>
  <c r="I1124" i="1"/>
  <c r="J1124" i="1" s="1"/>
  <c r="M1124" i="1" s="1"/>
  <c r="I1132" i="1"/>
  <c r="J1132" i="1" s="1"/>
  <c r="M1132" i="1" s="1"/>
  <c r="I1140" i="1"/>
  <c r="J1140" i="1" s="1"/>
  <c r="M1140" i="1" s="1"/>
  <c r="I1148" i="1"/>
  <c r="J1148" i="1" s="1"/>
  <c r="M1148" i="1" s="1"/>
  <c r="I1156" i="1"/>
  <c r="J1156" i="1" s="1"/>
  <c r="M1156" i="1" s="1"/>
  <c r="I1164" i="1"/>
  <c r="J1164" i="1" s="1"/>
  <c r="M1164" i="1" s="1"/>
  <c r="I1172" i="1"/>
  <c r="J1172" i="1" s="1"/>
  <c r="M1172" i="1" s="1"/>
  <c r="I1180" i="1"/>
  <c r="J1180" i="1" s="1"/>
  <c r="M1180" i="1" s="1"/>
  <c r="I1188" i="1"/>
  <c r="J1188" i="1" s="1"/>
  <c r="M1188" i="1" s="1"/>
  <c r="I1196" i="1"/>
  <c r="J1196" i="1" s="1"/>
  <c r="M1196" i="1" s="1"/>
  <c r="I1204" i="1"/>
  <c r="J1204" i="1" s="1"/>
  <c r="M1204" i="1" s="1"/>
  <c r="I1212" i="1"/>
  <c r="J1212" i="1" s="1"/>
  <c r="M1212" i="1" s="1"/>
  <c r="I1220" i="1"/>
  <c r="J1220" i="1" s="1"/>
  <c r="M1220" i="1" s="1"/>
  <c r="I1228" i="1"/>
  <c r="J1228" i="1" s="1"/>
  <c r="M1228" i="1" s="1"/>
  <c r="I1236" i="1"/>
  <c r="J1236" i="1" s="1"/>
  <c r="M1236" i="1" s="1"/>
  <c r="I1242" i="1"/>
  <c r="J1242" i="1" s="1"/>
  <c r="M1242" i="1" s="1"/>
  <c r="I1248" i="1"/>
  <c r="J1248" i="1" s="1"/>
  <c r="M1248" i="1" s="1"/>
  <c r="I1253" i="1"/>
  <c r="J1253" i="1" s="1"/>
  <c r="M1253" i="1" s="1"/>
  <c r="I1258" i="1"/>
  <c r="J1258" i="1" s="1"/>
  <c r="M1258" i="1" s="1"/>
  <c r="I1264" i="1"/>
  <c r="J1264" i="1" s="1"/>
  <c r="M1264" i="1" s="1"/>
  <c r="I1269" i="1"/>
  <c r="J1269" i="1" s="1"/>
  <c r="M1269" i="1" s="1"/>
  <c r="I1274" i="1"/>
  <c r="J1274" i="1" s="1"/>
  <c r="M1274" i="1" s="1"/>
  <c r="I1280" i="1"/>
  <c r="J1280" i="1" s="1"/>
  <c r="M1280" i="1" s="1"/>
  <c r="I1310" i="1"/>
  <c r="J1310" i="1" s="1"/>
  <c r="M1310" i="1" s="1"/>
  <c r="I1374" i="1"/>
  <c r="J1374" i="1" s="1"/>
  <c r="M1374" i="1" s="1"/>
  <c r="I1438" i="1"/>
  <c r="J1438" i="1" s="1"/>
  <c r="M1438" i="1" s="1"/>
  <c r="I1502" i="1"/>
  <c r="J1502" i="1" s="1"/>
  <c r="M1502" i="1" s="1"/>
  <c r="I1032" i="1"/>
  <c r="J1032" i="1" s="1"/>
  <c r="M1032" i="1" s="1"/>
  <c r="I1048" i="1"/>
  <c r="J1048" i="1" s="1"/>
  <c r="M1048" i="1" s="1"/>
  <c r="I1064" i="1"/>
  <c r="J1064" i="1" s="1"/>
  <c r="M1064" i="1" s="1"/>
  <c r="I1080" i="1"/>
  <c r="J1080" i="1" s="1"/>
  <c r="M1080" i="1" s="1"/>
  <c r="I1096" i="1"/>
  <c r="J1096" i="1" s="1"/>
  <c r="M1096" i="1" s="1"/>
  <c r="I1112" i="1"/>
  <c r="J1112" i="1" s="1"/>
  <c r="M1112" i="1" s="1"/>
  <c r="I1128" i="1"/>
  <c r="J1128" i="1" s="1"/>
  <c r="M1128" i="1" s="1"/>
  <c r="I1144" i="1"/>
  <c r="J1144" i="1" s="1"/>
  <c r="M1144" i="1" s="1"/>
  <c r="I1160" i="1"/>
  <c r="J1160" i="1" s="1"/>
  <c r="M1160" i="1" s="1"/>
  <c r="I1176" i="1"/>
  <c r="J1176" i="1" s="1"/>
  <c r="M1176" i="1" s="1"/>
  <c r="I1192" i="1"/>
  <c r="J1192" i="1" s="1"/>
  <c r="M1192" i="1" s="1"/>
  <c r="I1208" i="1"/>
  <c r="J1208" i="1" s="1"/>
  <c r="M1208" i="1" s="1"/>
  <c r="I1224" i="1"/>
  <c r="J1224" i="1" s="1"/>
  <c r="M1224" i="1" s="1"/>
  <c r="I1240" i="1"/>
  <c r="J1240" i="1" s="1"/>
  <c r="M1240" i="1" s="1"/>
  <c r="I1250" i="1"/>
  <c r="J1250" i="1" s="1"/>
  <c r="M1250" i="1" s="1"/>
  <c r="I1261" i="1"/>
  <c r="J1261" i="1" s="1"/>
  <c r="M1261" i="1" s="1"/>
  <c r="I1272" i="1"/>
  <c r="J1272" i="1" s="1"/>
  <c r="M1272" i="1" s="1"/>
  <c r="I773" i="1"/>
  <c r="J773" i="1" s="1"/>
  <c r="M773" i="1" s="1"/>
  <c r="I778" i="1"/>
  <c r="J778" i="1" s="1"/>
  <c r="M778" i="1" s="1"/>
  <c r="I783" i="1"/>
  <c r="J783" i="1" s="1"/>
  <c r="M783" i="1" s="1"/>
  <c r="I789" i="1"/>
  <c r="J789" i="1" s="1"/>
  <c r="M789" i="1" s="1"/>
  <c r="I794" i="1"/>
  <c r="J794" i="1" s="1"/>
  <c r="M794" i="1" s="1"/>
  <c r="I799" i="1"/>
  <c r="J799" i="1" s="1"/>
  <c r="M799" i="1" s="1"/>
  <c r="I805" i="1"/>
  <c r="J805" i="1" s="1"/>
  <c r="M805" i="1" s="1"/>
  <c r="I810" i="1"/>
  <c r="J810" i="1" s="1"/>
  <c r="M810" i="1" s="1"/>
  <c r="I815" i="1"/>
  <c r="J815" i="1" s="1"/>
  <c r="M815" i="1" s="1"/>
  <c r="I821" i="1"/>
  <c r="J821" i="1" s="1"/>
  <c r="M821" i="1" s="1"/>
  <c r="I826" i="1"/>
  <c r="J826" i="1" s="1"/>
  <c r="M826" i="1" s="1"/>
  <c r="I831" i="1"/>
  <c r="J831" i="1" s="1"/>
  <c r="M831" i="1" s="1"/>
  <c r="I837" i="1"/>
  <c r="J837" i="1" s="1"/>
  <c r="M837" i="1" s="1"/>
  <c r="I842" i="1"/>
  <c r="J842" i="1" s="1"/>
  <c r="M842" i="1" s="1"/>
  <c r="I847" i="1"/>
  <c r="J847" i="1" s="1"/>
  <c r="M847" i="1" s="1"/>
  <c r="I853" i="1"/>
  <c r="J853" i="1" s="1"/>
  <c r="M853" i="1" s="1"/>
  <c r="I858" i="1"/>
  <c r="J858" i="1" s="1"/>
  <c r="M858" i="1" s="1"/>
  <c r="I863" i="1"/>
  <c r="J863" i="1" s="1"/>
  <c r="M863" i="1" s="1"/>
  <c r="I869" i="1"/>
  <c r="J869" i="1" s="1"/>
  <c r="M869" i="1" s="1"/>
  <c r="I874" i="1"/>
  <c r="J874" i="1" s="1"/>
  <c r="M874" i="1" s="1"/>
  <c r="I879" i="1"/>
  <c r="J879" i="1" s="1"/>
  <c r="M879" i="1" s="1"/>
  <c r="I885" i="1"/>
  <c r="J885" i="1" s="1"/>
  <c r="M885" i="1" s="1"/>
  <c r="I890" i="1"/>
  <c r="J890" i="1" s="1"/>
  <c r="M890" i="1" s="1"/>
  <c r="I895" i="1"/>
  <c r="J895" i="1" s="1"/>
  <c r="M895" i="1" s="1"/>
  <c r="I901" i="1"/>
  <c r="J901" i="1" s="1"/>
  <c r="M901" i="1" s="1"/>
  <c r="I906" i="1"/>
  <c r="J906" i="1" s="1"/>
  <c r="M906" i="1" s="1"/>
  <c r="I911" i="1"/>
  <c r="J911" i="1" s="1"/>
  <c r="M911" i="1" s="1"/>
  <c r="I917" i="1"/>
  <c r="J917" i="1" s="1"/>
  <c r="M917" i="1" s="1"/>
  <c r="I922" i="1"/>
  <c r="J922" i="1" s="1"/>
  <c r="M922" i="1" s="1"/>
  <c r="I927" i="1"/>
  <c r="J927" i="1" s="1"/>
  <c r="M927" i="1" s="1"/>
  <c r="I933" i="1"/>
  <c r="J933" i="1" s="1"/>
  <c r="M933" i="1" s="1"/>
  <c r="I1554" i="1"/>
  <c r="J1554" i="1" s="1"/>
  <c r="M1554" i="1" s="1"/>
  <c r="I1342" i="1"/>
  <c r="J1342" i="1" s="1"/>
  <c r="M1342" i="1" s="1"/>
  <c r="I1406" i="1"/>
  <c r="J1406" i="1" s="1"/>
  <c r="M1406" i="1" s="1"/>
  <c r="I1470" i="1"/>
  <c r="J1470" i="1" s="1"/>
  <c r="M1470" i="1" s="1"/>
  <c r="I1525" i="1"/>
  <c r="J1525" i="1" s="1"/>
  <c r="M1525" i="1" s="1"/>
  <c r="I1040" i="1"/>
  <c r="J1040" i="1" s="1"/>
  <c r="M1040" i="1" s="1"/>
  <c r="I1056" i="1"/>
  <c r="J1056" i="1" s="1"/>
  <c r="M1056" i="1" s="1"/>
  <c r="I1072" i="1"/>
  <c r="J1072" i="1" s="1"/>
  <c r="M1072" i="1" s="1"/>
  <c r="I1088" i="1"/>
  <c r="J1088" i="1" s="1"/>
  <c r="M1088" i="1" s="1"/>
  <c r="I1104" i="1"/>
  <c r="J1104" i="1" s="1"/>
  <c r="M1104" i="1" s="1"/>
  <c r="I1120" i="1"/>
  <c r="J1120" i="1" s="1"/>
  <c r="M1120" i="1" s="1"/>
  <c r="I1136" i="1"/>
  <c r="J1136" i="1" s="1"/>
  <c r="M1136" i="1" s="1"/>
  <c r="I1152" i="1"/>
  <c r="J1152" i="1" s="1"/>
  <c r="M1152" i="1" s="1"/>
  <c r="I1168" i="1"/>
  <c r="J1168" i="1" s="1"/>
  <c r="M1168" i="1" s="1"/>
  <c r="I1184" i="1"/>
  <c r="J1184" i="1" s="1"/>
  <c r="M1184" i="1" s="1"/>
  <c r="I1200" i="1"/>
  <c r="J1200" i="1" s="1"/>
  <c r="M1200" i="1" s="1"/>
  <c r="I1216" i="1"/>
  <c r="J1216" i="1" s="1"/>
  <c r="M1216" i="1" s="1"/>
  <c r="I1232" i="1"/>
  <c r="J1232" i="1" s="1"/>
  <c r="M1232" i="1" s="1"/>
  <c r="I1245" i="1"/>
  <c r="J1245" i="1" s="1"/>
  <c r="M1245" i="1" s="1"/>
  <c r="I1256" i="1"/>
  <c r="J1256" i="1" s="1"/>
  <c r="M1256" i="1" s="1"/>
  <c r="I1266" i="1"/>
  <c r="J1266" i="1" s="1"/>
  <c r="M1266" i="1" s="1"/>
  <c r="I1277" i="1"/>
  <c r="J1277" i="1" s="1"/>
  <c r="M1277" i="1" s="1"/>
  <c r="I770" i="1"/>
  <c r="J770" i="1" s="1"/>
  <c r="M770" i="1" s="1"/>
  <c r="I775" i="1"/>
  <c r="J775" i="1" s="1"/>
  <c r="M775" i="1" s="1"/>
  <c r="I781" i="1"/>
  <c r="J781" i="1" s="1"/>
  <c r="M781" i="1" s="1"/>
  <c r="I786" i="1"/>
  <c r="J786" i="1" s="1"/>
  <c r="M786" i="1" s="1"/>
  <c r="I791" i="1"/>
  <c r="J791" i="1" s="1"/>
  <c r="M791" i="1" s="1"/>
  <c r="I797" i="1"/>
  <c r="J797" i="1" s="1"/>
  <c r="M797" i="1" s="1"/>
  <c r="I802" i="1"/>
  <c r="J802" i="1" s="1"/>
  <c r="M802" i="1" s="1"/>
  <c r="I807" i="1"/>
  <c r="J807" i="1" s="1"/>
  <c r="M807" i="1" s="1"/>
  <c r="I813" i="1"/>
  <c r="J813" i="1" s="1"/>
  <c r="M813" i="1" s="1"/>
  <c r="I818" i="1"/>
  <c r="J818" i="1" s="1"/>
  <c r="M818" i="1" s="1"/>
  <c r="I823" i="1"/>
  <c r="J823" i="1" s="1"/>
  <c r="M823" i="1" s="1"/>
  <c r="I829" i="1"/>
  <c r="J829" i="1" s="1"/>
  <c r="M829" i="1" s="1"/>
  <c r="I834" i="1"/>
  <c r="J834" i="1" s="1"/>
  <c r="M834" i="1" s="1"/>
  <c r="I839" i="1"/>
  <c r="J839" i="1" s="1"/>
  <c r="M839" i="1" s="1"/>
  <c r="I845" i="1"/>
  <c r="J845" i="1" s="1"/>
  <c r="M845" i="1" s="1"/>
  <c r="I850" i="1"/>
  <c r="J850" i="1" s="1"/>
  <c r="M850" i="1" s="1"/>
  <c r="I855" i="1"/>
  <c r="J855" i="1" s="1"/>
  <c r="M855" i="1" s="1"/>
  <c r="I861" i="1"/>
  <c r="J861" i="1" s="1"/>
  <c r="M861" i="1" s="1"/>
  <c r="I866" i="1"/>
  <c r="J866" i="1" s="1"/>
  <c r="M866" i="1" s="1"/>
  <c r="I871" i="1"/>
  <c r="J871" i="1" s="1"/>
  <c r="M871" i="1" s="1"/>
  <c r="I877" i="1"/>
  <c r="J877" i="1" s="1"/>
  <c r="M877" i="1" s="1"/>
  <c r="I882" i="1"/>
  <c r="J882" i="1" s="1"/>
  <c r="M882" i="1" s="1"/>
  <c r="I887" i="1"/>
  <c r="J887" i="1" s="1"/>
  <c r="M887" i="1" s="1"/>
  <c r="I893" i="1"/>
  <c r="J893" i="1" s="1"/>
  <c r="M893" i="1" s="1"/>
  <c r="I898" i="1"/>
  <c r="J898" i="1" s="1"/>
  <c r="M898" i="1" s="1"/>
  <c r="I903" i="1"/>
  <c r="J903" i="1" s="1"/>
  <c r="M903" i="1" s="1"/>
  <c r="I909" i="1"/>
  <c r="J909" i="1" s="1"/>
  <c r="M909" i="1" s="1"/>
  <c r="I914" i="1"/>
  <c r="J914" i="1" s="1"/>
  <c r="M914" i="1" s="1"/>
  <c r="I919" i="1"/>
  <c r="J919" i="1" s="1"/>
  <c r="M919" i="1" s="1"/>
  <c r="I925" i="1"/>
  <c r="J925" i="1" s="1"/>
  <c r="M925" i="1" s="1"/>
  <c r="I930" i="1"/>
  <c r="J930" i="1" s="1"/>
  <c r="M930" i="1" s="1"/>
  <c r="I935" i="1"/>
  <c r="J935" i="1" s="1"/>
  <c r="M935" i="1" s="1"/>
  <c r="I941" i="1"/>
  <c r="J941" i="1" s="1"/>
  <c r="M941" i="1" s="1"/>
  <c r="I946" i="1"/>
  <c r="J946" i="1" s="1"/>
  <c r="M946" i="1" s="1"/>
  <c r="I951" i="1"/>
  <c r="J951" i="1" s="1"/>
  <c r="M951" i="1" s="1"/>
  <c r="I955" i="1"/>
  <c r="J955" i="1" s="1"/>
  <c r="M955" i="1" s="1"/>
  <c r="I959" i="1"/>
  <c r="J959" i="1" s="1"/>
  <c r="M959" i="1" s="1"/>
  <c r="I963" i="1"/>
  <c r="J963" i="1" s="1"/>
  <c r="M963" i="1" s="1"/>
  <c r="I967" i="1"/>
  <c r="J967" i="1" s="1"/>
  <c r="M967" i="1" s="1"/>
  <c r="I971" i="1"/>
  <c r="J971" i="1" s="1"/>
  <c r="M971" i="1" s="1"/>
  <c r="I975" i="1"/>
  <c r="J975" i="1" s="1"/>
  <c r="M975" i="1" s="1"/>
  <c r="I979" i="1"/>
  <c r="J979" i="1" s="1"/>
  <c r="M979" i="1" s="1"/>
  <c r="I983" i="1"/>
  <c r="J983" i="1" s="1"/>
  <c r="M983" i="1" s="1"/>
  <c r="I987" i="1"/>
  <c r="J987" i="1" s="1"/>
  <c r="M987" i="1" s="1"/>
  <c r="I991" i="1"/>
  <c r="J991" i="1" s="1"/>
  <c r="M991" i="1" s="1"/>
  <c r="I995" i="1"/>
  <c r="J995" i="1" s="1"/>
  <c r="M995" i="1" s="1"/>
  <c r="I999" i="1"/>
  <c r="J999" i="1" s="1"/>
  <c r="M999" i="1" s="1"/>
  <c r="I1003" i="1"/>
  <c r="J1003" i="1" s="1"/>
  <c r="M1003" i="1" s="1"/>
  <c r="I1302" i="1"/>
  <c r="J1302" i="1" s="1"/>
  <c r="M1302" i="1" s="1"/>
  <c r="I1430" i="1"/>
  <c r="J1430" i="1" s="1"/>
  <c r="M1430" i="1" s="1"/>
  <c r="I1046" i="1"/>
  <c r="J1046" i="1" s="1"/>
  <c r="M1046" i="1" s="1"/>
  <c r="I1078" i="1"/>
  <c r="J1078" i="1" s="1"/>
  <c r="M1078" i="1" s="1"/>
  <c r="I1110" i="1"/>
  <c r="J1110" i="1" s="1"/>
  <c r="M1110" i="1" s="1"/>
  <c r="I1142" i="1"/>
  <c r="J1142" i="1" s="1"/>
  <c r="M1142" i="1" s="1"/>
  <c r="I1174" i="1"/>
  <c r="J1174" i="1" s="1"/>
  <c r="M1174" i="1" s="1"/>
  <c r="I1206" i="1"/>
  <c r="J1206" i="1" s="1"/>
  <c r="M1206" i="1" s="1"/>
  <c r="I1238" i="1"/>
  <c r="J1238" i="1" s="1"/>
  <c r="M1238" i="1" s="1"/>
  <c r="I1260" i="1"/>
  <c r="J1260" i="1" s="1"/>
  <c r="M1260" i="1" s="1"/>
  <c r="I1281" i="1"/>
  <c r="J1281" i="1" s="1"/>
  <c r="M1281" i="1" s="1"/>
  <c r="I777" i="1"/>
  <c r="J777" i="1" s="1"/>
  <c r="M777" i="1" s="1"/>
  <c r="I787" i="1"/>
  <c r="J787" i="1" s="1"/>
  <c r="M787" i="1" s="1"/>
  <c r="I798" i="1"/>
  <c r="J798" i="1" s="1"/>
  <c r="M798" i="1" s="1"/>
  <c r="I809" i="1"/>
  <c r="J809" i="1" s="1"/>
  <c r="M809" i="1" s="1"/>
  <c r="I819" i="1"/>
  <c r="J819" i="1" s="1"/>
  <c r="M819" i="1" s="1"/>
  <c r="I830" i="1"/>
  <c r="J830" i="1" s="1"/>
  <c r="M830" i="1" s="1"/>
  <c r="I841" i="1"/>
  <c r="J841" i="1" s="1"/>
  <c r="M841" i="1" s="1"/>
  <c r="I851" i="1"/>
  <c r="J851" i="1" s="1"/>
  <c r="M851" i="1" s="1"/>
  <c r="I862" i="1"/>
  <c r="J862" i="1" s="1"/>
  <c r="M862" i="1" s="1"/>
  <c r="I873" i="1"/>
  <c r="J873" i="1" s="1"/>
  <c r="M873" i="1" s="1"/>
  <c r="I883" i="1"/>
  <c r="J883" i="1" s="1"/>
  <c r="M883" i="1" s="1"/>
  <c r="I894" i="1"/>
  <c r="J894" i="1" s="1"/>
  <c r="M894" i="1" s="1"/>
  <c r="I905" i="1"/>
  <c r="J905" i="1" s="1"/>
  <c r="M905" i="1" s="1"/>
  <c r="I915" i="1"/>
  <c r="J915" i="1" s="1"/>
  <c r="M915" i="1" s="1"/>
  <c r="I926" i="1"/>
  <c r="J926" i="1" s="1"/>
  <c r="M926" i="1" s="1"/>
  <c r="I937" i="1"/>
  <c r="J937" i="1" s="1"/>
  <c r="M937" i="1" s="1"/>
  <c r="I943" i="1"/>
  <c r="J943" i="1" s="1"/>
  <c r="M943" i="1" s="1"/>
  <c r="I950" i="1"/>
  <c r="J950" i="1" s="1"/>
  <c r="M950" i="1" s="1"/>
  <c r="I956" i="1"/>
  <c r="J956" i="1" s="1"/>
  <c r="M956" i="1" s="1"/>
  <c r="I961" i="1"/>
  <c r="J961" i="1" s="1"/>
  <c r="M961" i="1" s="1"/>
  <c r="I966" i="1"/>
  <c r="J966" i="1" s="1"/>
  <c r="M966" i="1" s="1"/>
  <c r="I972" i="1"/>
  <c r="J972" i="1" s="1"/>
  <c r="M972" i="1" s="1"/>
  <c r="I977" i="1"/>
  <c r="J977" i="1" s="1"/>
  <c r="M977" i="1" s="1"/>
  <c r="I982" i="1"/>
  <c r="J982" i="1" s="1"/>
  <c r="M982" i="1" s="1"/>
  <c r="I988" i="1"/>
  <c r="J988" i="1" s="1"/>
  <c r="M988" i="1" s="1"/>
  <c r="I993" i="1"/>
  <c r="J993" i="1" s="1"/>
  <c r="M993" i="1" s="1"/>
  <c r="I998" i="1"/>
  <c r="J998" i="1" s="1"/>
  <c r="M998" i="1" s="1"/>
  <c r="I1004" i="1"/>
  <c r="J1004" i="1" s="1"/>
  <c r="M1004" i="1" s="1"/>
  <c r="I1008" i="1"/>
  <c r="J1008" i="1" s="1"/>
  <c r="M1008" i="1" s="1"/>
  <c r="I1012" i="1"/>
  <c r="J1012" i="1" s="1"/>
  <c r="M1012" i="1" s="1"/>
  <c r="I1016" i="1"/>
  <c r="J1016" i="1" s="1"/>
  <c r="M1016" i="1" s="1"/>
  <c r="I1020" i="1"/>
  <c r="J1020" i="1" s="1"/>
  <c r="M1020" i="1" s="1"/>
  <c r="I1024" i="1"/>
  <c r="J1024" i="1" s="1"/>
  <c r="M1024" i="1" s="1"/>
  <c r="I516" i="1"/>
  <c r="J516" i="1" s="1"/>
  <c r="M516" i="1" s="1"/>
  <c r="I520" i="1"/>
  <c r="J520" i="1" s="1"/>
  <c r="M520" i="1" s="1"/>
  <c r="I524" i="1"/>
  <c r="J524" i="1" s="1"/>
  <c r="M524" i="1" s="1"/>
  <c r="I528" i="1"/>
  <c r="J528" i="1" s="1"/>
  <c r="M528" i="1" s="1"/>
  <c r="I532" i="1"/>
  <c r="J532" i="1" s="1"/>
  <c r="M532" i="1" s="1"/>
  <c r="I536" i="1"/>
  <c r="J536" i="1" s="1"/>
  <c r="M536" i="1" s="1"/>
  <c r="I540" i="1"/>
  <c r="J540" i="1" s="1"/>
  <c r="M540" i="1" s="1"/>
  <c r="I544" i="1"/>
  <c r="J544" i="1" s="1"/>
  <c r="M544" i="1" s="1"/>
  <c r="I548" i="1"/>
  <c r="J548" i="1" s="1"/>
  <c r="M548" i="1" s="1"/>
  <c r="I552" i="1"/>
  <c r="J552" i="1" s="1"/>
  <c r="M552" i="1" s="1"/>
  <c r="I556" i="1"/>
  <c r="J556" i="1" s="1"/>
  <c r="M556" i="1" s="1"/>
  <c r="I560" i="1"/>
  <c r="J560" i="1" s="1"/>
  <c r="M560" i="1" s="1"/>
  <c r="I564" i="1"/>
  <c r="J564" i="1" s="1"/>
  <c r="M564" i="1" s="1"/>
  <c r="I568" i="1"/>
  <c r="J568" i="1" s="1"/>
  <c r="M568" i="1" s="1"/>
  <c r="I572" i="1"/>
  <c r="J572" i="1" s="1"/>
  <c r="M572" i="1" s="1"/>
  <c r="I576" i="1"/>
  <c r="J576" i="1" s="1"/>
  <c r="M576" i="1" s="1"/>
  <c r="I580" i="1"/>
  <c r="J580" i="1" s="1"/>
  <c r="M580" i="1" s="1"/>
  <c r="I584" i="1"/>
  <c r="J584" i="1" s="1"/>
  <c r="M584" i="1" s="1"/>
  <c r="I588" i="1"/>
  <c r="J588" i="1" s="1"/>
  <c r="M588" i="1" s="1"/>
  <c r="I592" i="1"/>
  <c r="J592" i="1" s="1"/>
  <c r="M592" i="1" s="1"/>
  <c r="I596" i="1"/>
  <c r="J596" i="1" s="1"/>
  <c r="M596" i="1" s="1"/>
  <c r="I600" i="1"/>
  <c r="J600" i="1" s="1"/>
  <c r="M600" i="1" s="1"/>
  <c r="I604" i="1"/>
  <c r="J604" i="1" s="1"/>
  <c r="M604" i="1" s="1"/>
  <c r="I608" i="1"/>
  <c r="J608" i="1" s="1"/>
  <c r="M608" i="1" s="1"/>
  <c r="I612" i="1"/>
  <c r="J612" i="1" s="1"/>
  <c r="M612" i="1" s="1"/>
  <c r="I616" i="1"/>
  <c r="J616" i="1" s="1"/>
  <c r="M616" i="1" s="1"/>
  <c r="I620" i="1"/>
  <c r="J620" i="1" s="1"/>
  <c r="M620" i="1" s="1"/>
  <c r="I624" i="1"/>
  <c r="J624" i="1" s="1"/>
  <c r="M624" i="1" s="1"/>
  <c r="I628" i="1"/>
  <c r="J628" i="1" s="1"/>
  <c r="M628" i="1" s="1"/>
  <c r="I632" i="1"/>
  <c r="J632" i="1" s="1"/>
  <c r="M632" i="1" s="1"/>
  <c r="I636" i="1"/>
  <c r="J636" i="1" s="1"/>
  <c r="M636" i="1" s="1"/>
  <c r="I640" i="1"/>
  <c r="J640" i="1" s="1"/>
  <c r="M640" i="1" s="1"/>
  <c r="I644" i="1"/>
  <c r="J644" i="1" s="1"/>
  <c r="M644" i="1" s="1"/>
  <c r="I648" i="1"/>
  <c r="J648" i="1" s="1"/>
  <c r="M648" i="1" s="1"/>
  <c r="I652" i="1"/>
  <c r="J652" i="1" s="1"/>
  <c r="M652" i="1" s="1"/>
  <c r="I656" i="1"/>
  <c r="J656" i="1" s="1"/>
  <c r="M656" i="1" s="1"/>
  <c r="I660" i="1"/>
  <c r="J660" i="1" s="1"/>
  <c r="M660" i="1" s="1"/>
  <c r="I664" i="1"/>
  <c r="J664" i="1" s="1"/>
  <c r="M664" i="1" s="1"/>
  <c r="I668" i="1"/>
  <c r="J668" i="1" s="1"/>
  <c r="M668" i="1" s="1"/>
  <c r="I672" i="1"/>
  <c r="J672" i="1" s="1"/>
  <c r="M672" i="1" s="1"/>
  <c r="I676" i="1"/>
  <c r="J676" i="1" s="1"/>
  <c r="M676" i="1" s="1"/>
  <c r="I680" i="1"/>
  <c r="J680" i="1" s="1"/>
  <c r="M680" i="1" s="1"/>
  <c r="I684" i="1"/>
  <c r="J684" i="1" s="1"/>
  <c r="M684" i="1" s="1"/>
  <c r="I688" i="1"/>
  <c r="J688" i="1" s="1"/>
  <c r="M688" i="1" s="1"/>
  <c r="I692" i="1"/>
  <c r="J692" i="1" s="1"/>
  <c r="M692" i="1" s="1"/>
  <c r="I696" i="1"/>
  <c r="J696" i="1" s="1"/>
  <c r="M696" i="1" s="1"/>
  <c r="I700" i="1"/>
  <c r="J700" i="1" s="1"/>
  <c r="M700" i="1" s="1"/>
  <c r="I704" i="1"/>
  <c r="J704" i="1" s="1"/>
  <c r="M704" i="1" s="1"/>
  <c r="I708" i="1"/>
  <c r="J708" i="1" s="1"/>
  <c r="M708" i="1" s="1"/>
  <c r="I712" i="1"/>
  <c r="J712" i="1" s="1"/>
  <c r="M712" i="1" s="1"/>
  <c r="I716" i="1"/>
  <c r="J716" i="1" s="1"/>
  <c r="M716" i="1" s="1"/>
  <c r="I720" i="1"/>
  <c r="J720" i="1" s="1"/>
  <c r="M720" i="1" s="1"/>
  <c r="I724" i="1"/>
  <c r="J724" i="1" s="1"/>
  <c r="M724" i="1" s="1"/>
  <c r="I728" i="1"/>
  <c r="J728" i="1" s="1"/>
  <c r="M728" i="1" s="1"/>
  <c r="I732" i="1"/>
  <c r="J732" i="1" s="1"/>
  <c r="M732" i="1" s="1"/>
  <c r="I736" i="1"/>
  <c r="J736" i="1" s="1"/>
  <c r="M736" i="1" s="1"/>
  <c r="I740" i="1"/>
  <c r="J740" i="1" s="1"/>
  <c r="M740" i="1" s="1"/>
  <c r="I744" i="1"/>
  <c r="J744" i="1" s="1"/>
  <c r="M744" i="1" s="1"/>
  <c r="I748" i="1"/>
  <c r="J748" i="1" s="1"/>
  <c r="M748" i="1" s="1"/>
  <c r="I752" i="1"/>
  <c r="J752" i="1" s="1"/>
  <c r="M752" i="1" s="1"/>
  <c r="I756" i="1"/>
  <c r="J756" i="1" s="1"/>
  <c r="M756" i="1" s="1"/>
  <c r="I760" i="1"/>
  <c r="J760" i="1" s="1"/>
  <c r="M760" i="1" s="1"/>
  <c r="I1366" i="1"/>
  <c r="J1366" i="1" s="1"/>
  <c r="M1366" i="1" s="1"/>
  <c r="I1494" i="1"/>
  <c r="J1494" i="1" s="1"/>
  <c r="M1494" i="1" s="1"/>
  <c r="I1030" i="1"/>
  <c r="J1030" i="1" s="1"/>
  <c r="M1030" i="1" s="1"/>
  <c r="I1062" i="1"/>
  <c r="J1062" i="1" s="1"/>
  <c r="M1062" i="1" s="1"/>
  <c r="I1094" i="1"/>
  <c r="J1094" i="1" s="1"/>
  <c r="M1094" i="1" s="1"/>
  <c r="I1126" i="1"/>
  <c r="J1126" i="1" s="1"/>
  <c r="M1126" i="1" s="1"/>
  <c r="I1158" i="1"/>
  <c r="J1158" i="1" s="1"/>
  <c r="M1158" i="1" s="1"/>
  <c r="I1190" i="1"/>
  <c r="J1190" i="1" s="1"/>
  <c r="M1190" i="1" s="1"/>
  <c r="I1222" i="1"/>
  <c r="J1222" i="1" s="1"/>
  <c r="M1222" i="1" s="1"/>
  <c r="I1249" i="1"/>
  <c r="J1249" i="1" s="1"/>
  <c r="M1249" i="1" s="1"/>
  <c r="I1270" i="1"/>
  <c r="J1270" i="1" s="1"/>
  <c r="M1270" i="1" s="1"/>
  <c r="I771" i="1"/>
  <c r="J771" i="1" s="1"/>
  <c r="M771" i="1" s="1"/>
  <c r="I782" i="1"/>
  <c r="J782" i="1" s="1"/>
  <c r="M782" i="1" s="1"/>
  <c r="I793" i="1"/>
  <c r="J793" i="1" s="1"/>
  <c r="M793" i="1" s="1"/>
  <c r="I803" i="1"/>
  <c r="J803" i="1" s="1"/>
  <c r="M803" i="1" s="1"/>
  <c r="I814" i="1"/>
  <c r="J814" i="1" s="1"/>
  <c r="M814" i="1" s="1"/>
  <c r="I825" i="1"/>
  <c r="J825" i="1" s="1"/>
  <c r="M825" i="1" s="1"/>
  <c r="I835" i="1"/>
  <c r="J835" i="1" s="1"/>
  <c r="M835" i="1" s="1"/>
  <c r="I846" i="1"/>
  <c r="J846" i="1" s="1"/>
  <c r="M846" i="1" s="1"/>
  <c r="I857" i="1"/>
  <c r="J857" i="1" s="1"/>
  <c r="M857" i="1" s="1"/>
  <c r="I867" i="1"/>
  <c r="J867" i="1" s="1"/>
  <c r="M867" i="1" s="1"/>
  <c r="I878" i="1"/>
  <c r="J878" i="1" s="1"/>
  <c r="M878" i="1" s="1"/>
  <c r="I889" i="1"/>
  <c r="J889" i="1" s="1"/>
  <c r="M889" i="1" s="1"/>
  <c r="I899" i="1"/>
  <c r="J899" i="1" s="1"/>
  <c r="M899" i="1" s="1"/>
  <c r="I910" i="1"/>
  <c r="J910" i="1" s="1"/>
  <c r="M910" i="1" s="1"/>
  <c r="I921" i="1"/>
  <c r="J921" i="1" s="1"/>
  <c r="M921" i="1" s="1"/>
  <c r="I931" i="1"/>
  <c r="J931" i="1" s="1"/>
  <c r="M931" i="1" s="1"/>
  <c r="I939" i="1"/>
  <c r="J939" i="1" s="1"/>
  <c r="M939" i="1" s="1"/>
  <c r="I947" i="1"/>
  <c r="J947" i="1" s="1"/>
  <c r="M947" i="1" s="1"/>
  <c r="I953" i="1"/>
  <c r="J953" i="1" s="1"/>
  <c r="M953" i="1" s="1"/>
  <c r="I958" i="1"/>
  <c r="J958" i="1" s="1"/>
  <c r="M958" i="1" s="1"/>
  <c r="I964" i="1"/>
  <c r="J964" i="1" s="1"/>
  <c r="M964" i="1" s="1"/>
  <c r="I969" i="1"/>
  <c r="J969" i="1" s="1"/>
  <c r="M969" i="1" s="1"/>
  <c r="I974" i="1"/>
  <c r="J974" i="1" s="1"/>
  <c r="M974" i="1" s="1"/>
  <c r="I980" i="1"/>
  <c r="J980" i="1" s="1"/>
  <c r="M980" i="1" s="1"/>
  <c r="I985" i="1"/>
  <c r="J985" i="1" s="1"/>
  <c r="M985" i="1" s="1"/>
  <c r="I990" i="1"/>
  <c r="J990" i="1" s="1"/>
  <c r="M990" i="1" s="1"/>
  <c r="I996" i="1"/>
  <c r="J996" i="1" s="1"/>
  <c r="M996" i="1" s="1"/>
  <c r="I1001" i="1"/>
  <c r="J1001" i="1" s="1"/>
  <c r="M1001" i="1" s="1"/>
  <c r="I1006" i="1"/>
  <c r="J1006" i="1" s="1"/>
  <c r="M1006" i="1" s="1"/>
  <c r="I1010" i="1"/>
  <c r="J1010" i="1" s="1"/>
  <c r="M1010" i="1" s="1"/>
  <c r="I1014" i="1"/>
  <c r="J1014" i="1" s="1"/>
  <c r="M1014" i="1" s="1"/>
  <c r="I1018" i="1"/>
  <c r="J1018" i="1" s="1"/>
  <c r="M1018" i="1" s="1"/>
  <c r="I1022" i="1"/>
  <c r="J1022" i="1" s="1"/>
  <c r="M1022" i="1" s="1"/>
  <c r="I514" i="1"/>
  <c r="J514" i="1" s="1"/>
  <c r="M514" i="1" s="1"/>
  <c r="I518" i="1"/>
  <c r="J518" i="1" s="1"/>
  <c r="M518" i="1" s="1"/>
  <c r="I522" i="1"/>
  <c r="J522" i="1" s="1"/>
  <c r="M522" i="1" s="1"/>
  <c r="I526" i="1"/>
  <c r="J526" i="1" s="1"/>
  <c r="M526" i="1" s="1"/>
  <c r="I530" i="1"/>
  <c r="J530" i="1" s="1"/>
  <c r="M530" i="1" s="1"/>
  <c r="I534" i="1"/>
  <c r="J534" i="1" s="1"/>
  <c r="M534" i="1" s="1"/>
  <c r="I538" i="1"/>
  <c r="J538" i="1" s="1"/>
  <c r="M538" i="1" s="1"/>
  <c r="I542" i="1"/>
  <c r="J542" i="1" s="1"/>
  <c r="M542" i="1" s="1"/>
  <c r="I546" i="1"/>
  <c r="J546" i="1" s="1"/>
  <c r="M546" i="1" s="1"/>
  <c r="I550" i="1"/>
  <c r="J550" i="1" s="1"/>
  <c r="M550" i="1" s="1"/>
  <c r="I554" i="1"/>
  <c r="J554" i="1" s="1"/>
  <c r="M554" i="1" s="1"/>
  <c r="I558" i="1"/>
  <c r="J558" i="1" s="1"/>
  <c r="M558" i="1" s="1"/>
  <c r="I562" i="1"/>
  <c r="J562" i="1" s="1"/>
  <c r="M562" i="1" s="1"/>
  <c r="I566" i="1"/>
  <c r="J566" i="1" s="1"/>
  <c r="M566" i="1" s="1"/>
  <c r="I570" i="1"/>
  <c r="J570" i="1" s="1"/>
  <c r="M570" i="1" s="1"/>
  <c r="I574" i="1"/>
  <c r="J574" i="1" s="1"/>
  <c r="M574" i="1" s="1"/>
  <c r="I578" i="1"/>
  <c r="J578" i="1" s="1"/>
  <c r="M578" i="1" s="1"/>
  <c r="I582" i="1"/>
  <c r="J582" i="1" s="1"/>
  <c r="M582" i="1" s="1"/>
  <c r="I586" i="1"/>
  <c r="J586" i="1" s="1"/>
  <c r="M586" i="1" s="1"/>
  <c r="I590" i="1"/>
  <c r="J590" i="1" s="1"/>
  <c r="M590" i="1" s="1"/>
  <c r="I594" i="1"/>
  <c r="J594" i="1" s="1"/>
  <c r="M594" i="1" s="1"/>
  <c r="I598" i="1"/>
  <c r="J598" i="1" s="1"/>
  <c r="M598" i="1" s="1"/>
  <c r="I602" i="1"/>
  <c r="J602" i="1" s="1"/>
  <c r="M602" i="1" s="1"/>
  <c r="I606" i="1"/>
  <c r="J606" i="1" s="1"/>
  <c r="M606" i="1" s="1"/>
  <c r="I610" i="1"/>
  <c r="J610" i="1" s="1"/>
  <c r="M610" i="1" s="1"/>
  <c r="I614" i="1"/>
  <c r="J614" i="1" s="1"/>
  <c r="M614" i="1" s="1"/>
  <c r="I618" i="1"/>
  <c r="J618" i="1" s="1"/>
  <c r="M618" i="1" s="1"/>
  <c r="I622" i="1"/>
  <c r="J622" i="1" s="1"/>
  <c r="M622" i="1" s="1"/>
  <c r="I626" i="1"/>
  <c r="J626" i="1" s="1"/>
  <c r="M626" i="1" s="1"/>
  <c r="I630" i="1"/>
  <c r="J630" i="1" s="1"/>
  <c r="M630" i="1" s="1"/>
  <c r="I634" i="1"/>
  <c r="J634" i="1" s="1"/>
  <c r="M634" i="1" s="1"/>
  <c r="I638" i="1"/>
  <c r="J638" i="1" s="1"/>
  <c r="M638" i="1" s="1"/>
  <c r="I642" i="1"/>
  <c r="J642" i="1" s="1"/>
  <c r="M642" i="1" s="1"/>
  <c r="I646" i="1"/>
  <c r="J646" i="1" s="1"/>
  <c r="M646" i="1" s="1"/>
  <c r="I650" i="1"/>
  <c r="J650" i="1" s="1"/>
  <c r="M650" i="1" s="1"/>
  <c r="I654" i="1"/>
  <c r="J654" i="1" s="1"/>
  <c r="M654" i="1" s="1"/>
  <c r="I658" i="1"/>
  <c r="J658" i="1" s="1"/>
  <c r="M658" i="1" s="1"/>
  <c r="I662" i="1"/>
  <c r="J662" i="1" s="1"/>
  <c r="M662" i="1" s="1"/>
  <c r="I666" i="1"/>
  <c r="J666" i="1" s="1"/>
  <c r="M666" i="1" s="1"/>
  <c r="I670" i="1"/>
  <c r="J670" i="1" s="1"/>
  <c r="M670" i="1" s="1"/>
  <c r="I674" i="1"/>
  <c r="J674" i="1" s="1"/>
  <c r="M674" i="1" s="1"/>
  <c r="I678" i="1"/>
  <c r="J678" i="1" s="1"/>
  <c r="M678" i="1" s="1"/>
  <c r="I682" i="1"/>
  <c r="J682" i="1" s="1"/>
  <c r="M682" i="1" s="1"/>
  <c r="I686" i="1"/>
  <c r="J686" i="1" s="1"/>
  <c r="M686" i="1" s="1"/>
  <c r="I690" i="1"/>
  <c r="J690" i="1" s="1"/>
  <c r="M690" i="1" s="1"/>
  <c r="I694" i="1"/>
  <c r="J694" i="1" s="1"/>
  <c r="M694" i="1" s="1"/>
  <c r="I698" i="1"/>
  <c r="J698" i="1" s="1"/>
  <c r="M698" i="1" s="1"/>
  <c r="I702" i="1"/>
  <c r="J702" i="1" s="1"/>
  <c r="M702" i="1" s="1"/>
  <c r="I706" i="1"/>
  <c r="J706" i="1" s="1"/>
  <c r="M706" i="1" s="1"/>
  <c r="I710" i="1"/>
  <c r="J710" i="1" s="1"/>
  <c r="M710" i="1" s="1"/>
  <c r="I714" i="1"/>
  <c r="J714" i="1" s="1"/>
  <c r="M714" i="1" s="1"/>
  <c r="I718" i="1"/>
  <c r="J718" i="1" s="1"/>
  <c r="M718" i="1" s="1"/>
  <c r="I722" i="1"/>
  <c r="J722" i="1" s="1"/>
  <c r="M722" i="1" s="1"/>
  <c r="I726" i="1"/>
  <c r="J726" i="1" s="1"/>
  <c r="M726" i="1" s="1"/>
  <c r="I730" i="1"/>
  <c r="J730" i="1" s="1"/>
  <c r="M730" i="1" s="1"/>
  <c r="I734" i="1"/>
  <c r="J734" i="1" s="1"/>
  <c r="M734" i="1" s="1"/>
  <c r="I738" i="1"/>
  <c r="J738" i="1" s="1"/>
  <c r="M738" i="1" s="1"/>
  <c r="I742" i="1"/>
  <c r="J742" i="1" s="1"/>
  <c r="M742" i="1" s="1"/>
  <c r="I746" i="1"/>
  <c r="J746" i="1" s="1"/>
  <c r="M746" i="1" s="1"/>
  <c r="I750" i="1"/>
  <c r="J750" i="1" s="1"/>
  <c r="M750" i="1" s="1"/>
  <c r="I754" i="1"/>
  <c r="J754" i="1" s="1"/>
  <c r="M754" i="1" s="1"/>
  <c r="I758" i="1"/>
  <c r="J758" i="1" s="1"/>
  <c r="M758" i="1" s="1"/>
  <c r="I762" i="1"/>
  <c r="J762" i="1" s="1"/>
  <c r="M762" i="1" s="1"/>
  <c r="I766" i="1"/>
  <c r="J766" i="1" s="1"/>
  <c r="M766" i="1" s="1"/>
  <c r="I1398" i="1"/>
  <c r="J1398" i="1" s="1"/>
  <c r="M1398" i="1" s="1"/>
  <c r="I1038" i="1"/>
  <c r="J1038" i="1" s="1"/>
  <c r="M1038" i="1" s="1"/>
  <c r="I1102" i="1"/>
  <c r="J1102" i="1" s="1"/>
  <c r="M1102" i="1" s="1"/>
  <c r="I1166" i="1"/>
  <c r="J1166" i="1" s="1"/>
  <c r="M1166" i="1" s="1"/>
  <c r="I1230" i="1"/>
  <c r="J1230" i="1" s="1"/>
  <c r="M1230" i="1" s="1"/>
  <c r="I1276" i="1"/>
  <c r="J1276" i="1" s="1"/>
  <c r="M1276" i="1" s="1"/>
  <c r="I774" i="1"/>
  <c r="J774" i="1" s="1"/>
  <c r="M774" i="1" s="1"/>
  <c r="I795" i="1"/>
  <c r="J795" i="1" s="1"/>
  <c r="M795" i="1" s="1"/>
  <c r="I817" i="1"/>
  <c r="J817" i="1" s="1"/>
  <c r="M817" i="1" s="1"/>
  <c r="I838" i="1"/>
  <c r="J838" i="1" s="1"/>
  <c r="M838" i="1" s="1"/>
  <c r="I859" i="1"/>
  <c r="J859" i="1" s="1"/>
  <c r="M859" i="1" s="1"/>
  <c r="I881" i="1"/>
  <c r="J881" i="1" s="1"/>
  <c r="M881" i="1" s="1"/>
  <c r="I902" i="1"/>
  <c r="J902" i="1" s="1"/>
  <c r="M902" i="1" s="1"/>
  <c r="I923" i="1"/>
  <c r="J923" i="1" s="1"/>
  <c r="M923" i="1" s="1"/>
  <c r="I942" i="1"/>
  <c r="J942" i="1" s="1"/>
  <c r="M942" i="1" s="1"/>
  <c r="I954" i="1"/>
  <c r="J954" i="1" s="1"/>
  <c r="M954" i="1" s="1"/>
  <c r="I965" i="1"/>
  <c r="J965" i="1" s="1"/>
  <c r="M965" i="1" s="1"/>
  <c r="I976" i="1"/>
  <c r="J976" i="1" s="1"/>
  <c r="M976" i="1" s="1"/>
  <c r="I986" i="1"/>
  <c r="J986" i="1" s="1"/>
  <c r="M986" i="1" s="1"/>
  <c r="I997" i="1"/>
  <c r="J997" i="1" s="1"/>
  <c r="M997" i="1" s="1"/>
  <c r="I1007" i="1"/>
  <c r="J1007" i="1" s="1"/>
  <c r="M1007" i="1" s="1"/>
  <c r="I1015" i="1"/>
  <c r="J1015" i="1" s="1"/>
  <c r="M1015" i="1" s="1"/>
  <c r="I1023" i="1"/>
  <c r="J1023" i="1" s="1"/>
  <c r="M1023" i="1" s="1"/>
  <c r="I519" i="1"/>
  <c r="J519" i="1" s="1"/>
  <c r="M519" i="1" s="1"/>
  <c r="I527" i="1"/>
  <c r="J527" i="1" s="1"/>
  <c r="M527" i="1" s="1"/>
  <c r="I535" i="1"/>
  <c r="J535" i="1" s="1"/>
  <c r="M535" i="1" s="1"/>
  <c r="I543" i="1"/>
  <c r="J543" i="1" s="1"/>
  <c r="M543" i="1" s="1"/>
  <c r="I551" i="1"/>
  <c r="J551" i="1" s="1"/>
  <c r="M551" i="1" s="1"/>
  <c r="I559" i="1"/>
  <c r="J559" i="1" s="1"/>
  <c r="M559" i="1" s="1"/>
  <c r="I567" i="1"/>
  <c r="J567" i="1" s="1"/>
  <c r="M567" i="1" s="1"/>
  <c r="I575" i="1"/>
  <c r="J575" i="1" s="1"/>
  <c r="M575" i="1" s="1"/>
  <c r="I583" i="1"/>
  <c r="J583" i="1" s="1"/>
  <c r="M583" i="1" s="1"/>
  <c r="I591" i="1"/>
  <c r="J591" i="1" s="1"/>
  <c r="M591" i="1" s="1"/>
  <c r="I599" i="1"/>
  <c r="J599" i="1" s="1"/>
  <c r="M599" i="1" s="1"/>
  <c r="I607" i="1"/>
  <c r="J607" i="1" s="1"/>
  <c r="M607" i="1" s="1"/>
  <c r="I615" i="1"/>
  <c r="J615" i="1" s="1"/>
  <c r="M615" i="1" s="1"/>
  <c r="I623" i="1"/>
  <c r="J623" i="1" s="1"/>
  <c r="M623" i="1" s="1"/>
  <c r="I631" i="1"/>
  <c r="J631" i="1" s="1"/>
  <c r="M631" i="1" s="1"/>
  <c r="I639" i="1"/>
  <c r="J639" i="1" s="1"/>
  <c r="M639" i="1" s="1"/>
  <c r="I647" i="1"/>
  <c r="J647" i="1" s="1"/>
  <c r="M647" i="1" s="1"/>
  <c r="I655" i="1"/>
  <c r="J655" i="1" s="1"/>
  <c r="M655" i="1" s="1"/>
  <c r="I663" i="1"/>
  <c r="J663" i="1" s="1"/>
  <c r="M663" i="1" s="1"/>
  <c r="I671" i="1"/>
  <c r="J671" i="1" s="1"/>
  <c r="M671" i="1" s="1"/>
  <c r="I679" i="1"/>
  <c r="J679" i="1" s="1"/>
  <c r="M679" i="1" s="1"/>
  <c r="I687" i="1"/>
  <c r="J687" i="1" s="1"/>
  <c r="M687" i="1" s="1"/>
  <c r="I695" i="1"/>
  <c r="J695" i="1" s="1"/>
  <c r="M695" i="1" s="1"/>
  <c r="I703" i="1"/>
  <c r="J703" i="1" s="1"/>
  <c r="M703" i="1" s="1"/>
  <c r="I711" i="1"/>
  <c r="J711" i="1" s="1"/>
  <c r="M711" i="1" s="1"/>
  <c r="I719" i="1"/>
  <c r="J719" i="1" s="1"/>
  <c r="M719" i="1" s="1"/>
  <c r="I727" i="1"/>
  <c r="J727" i="1" s="1"/>
  <c r="M727" i="1" s="1"/>
  <c r="I1546" i="1"/>
  <c r="J1546" i="1" s="1"/>
  <c r="M1546" i="1" s="1"/>
  <c r="I1462" i="1"/>
  <c r="J1462" i="1" s="1"/>
  <c r="M1462" i="1" s="1"/>
  <c r="I1054" i="1"/>
  <c r="J1054" i="1" s="1"/>
  <c r="M1054" i="1" s="1"/>
  <c r="I1118" i="1"/>
  <c r="J1118" i="1" s="1"/>
  <c r="M1118" i="1" s="1"/>
  <c r="I1182" i="1"/>
  <c r="J1182" i="1" s="1"/>
  <c r="M1182" i="1" s="1"/>
  <c r="I1244" i="1"/>
  <c r="J1244" i="1" s="1"/>
  <c r="M1244" i="1" s="1"/>
  <c r="I779" i="1"/>
  <c r="J779" i="1" s="1"/>
  <c r="M779" i="1" s="1"/>
  <c r="I801" i="1"/>
  <c r="J801" i="1" s="1"/>
  <c r="M801" i="1" s="1"/>
  <c r="I822" i="1"/>
  <c r="J822" i="1" s="1"/>
  <c r="M822" i="1" s="1"/>
  <c r="I843" i="1"/>
  <c r="J843" i="1" s="1"/>
  <c r="M843" i="1" s="1"/>
  <c r="I865" i="1"/>
  <c r="J865" i="1" s="1"/>
  <c r="M865" i="1" s="1"/>
  <c r="I886" i="1"/>
  <c r="J886" i="1" s="1"/>
  <c r="M886" i="1" s="1"/>
  <c r="I907" i="1"/>
  <c r="J907" i="1" s="1"/>
  <c r="M907" i="1" s="1"/>
  <c r="I929" i="1"/>
  <c r="J929" i="1" s="1"/>
  <c r="M929" i="1" s="1"/>
  <c r="I945" i="1"/>
  <c r="J945" i="1" s="1"/>
  <c r="M945" i="1" s="1"/>
  <c r="I957" i="1"/>
  <c r="J957" i="1" s="1"/>
  <c r="M957" i="1" s="1"/>
  <c r="I968" i="1"/>
  <c r="J968" i="1" s="1"/>
  <c r="M968" i="1" s="1"/>
  <c r="I978" i="1"/>
  <c r="J978" i="1" s="1"/>
  <c r="M978" i="1" s="1"/>
  <c r="I989" i="1"/>
  <c r="J989" i="1" s="1"/>
  <c r="M989" i="1" s="1"/>
  <c r="I1000" i="1"/>
  <c r="J1000" i="1" s="1"/>
  <c r="M1000" i="1" s="1"/>
  <c r="I1009" i="1"/>
  <c r="J1009" i="1" s="1"/>
  <c r="M1009" i="1" s="1"/>
  <c r="I1017" i="1"/>
  <c r="J1017" i="1" s="1"/>
  <c r="M1017" i="1" s="1"/>
  <c r="I1025" i="1"/>
  <c r="J1025" i="1" s="1"/>
  <c r="M1025" i="1" s="1"/>
  <c r="I521" i="1"/>
  <c r="J521" i="1" s="1"/>
  <c r="M521" i="1" s="1"/>
  <c r="I529" i="1"/>
  <c r="J529" i="1" s="1"/>
  <c r="M529" i="1" s="1"/>
  <c r="I537" i="1"/>
  <c r="J537" i="1" s="1"/>
  <c r="M537" i="1" s="1"/>
  <c r="I545" i="1"/>
  <c r="J545" i="1" s="1"/>
  <c r="M545" i="1" s="1"/>
  <c r="I553" i="1"/>
  <c r="J553" i="1" s="1"/>
  <c r="M553" i="1" s="1"/>
  <c r="I561" i="1"/>
  <c r="J561" i="1" s="1"/>
  <c r="M561" i="1" s="1"/>
  <c r="I569" i="1"/>
  <c r="J569" i="1" s="1"/>
  <c r="M569" i="1" s="1"/>
  <c r="I577" i="1"/>
  <c r="J577" i="1" s="1"/>
  <c r="M577" i="1" s="1"/>
  <c r="I585" i="1"/>
  <c r="J585" i="1" s="1"/>
  <c r="M585" i="1" s="1"/>
  <c r="I593" i="1"/>
  <c r="J593" i="1" s="1"/>
  <c r="M593" i="1" s="1"/>
  <c r="I601" i="1"/>
  <c r="J601" i="1" s="1"/>
  <c r="M601" i="1" s="1"/>
  <c r="I609" i="1"/>
  <c r="J609" i="1" s="1"/>
  <c r="M609" i="1" s="1"/>
  <c r="I617" i="1"/>
  <c r="J617" i="1" s="1"/>
  <c r="M617" i="1" s="1"/>
  <c r="I625" i="1"/>
  <c r="J625" i="1" s="1"/>
  <c r="M625" i="1" s="1"/>
  <c r="I633" i="1"/>
  <c r="J633" i="1" s="1"/>
  <c r="M633" i="1" s="1"/>
  <c r="I641" i="1"/>
  <c r="J641" i="1" s="1"/>
  <c r="M641" i="1" s="1"/>
  <c r="I649" i="1"/>
  <c r="J649" i="1" s="1"/>
  <c r="M649" i="1" s="1"/>
  <c r="I657" i="1"/>
  <c r="J657" i="1" s="1"/>
  <c r="M657" i="1" s="1"/>
  <c r="I665" i="1"/>
  <c r="J665" i="1" s="1"/>
  <c r="M665" i="1" s="1"/>
  <c r="I673" i="1"/>
  <c r="J673" i="1" s="1"/>
  <c r="M673" i="1" s="1"/>
  <c r="I681" i="1"/>
  <c r="J681" i="1" s="1"/>
  <c r="M681" i="1" s="1"/>
  <c r="I689" i="1"/>
  <c r="J689" i="1" s="1"/>
  <c r="M689" i="1" s="1"/>
  <c r="I697" i="1"/>
  <c r="J697" i="1" s="1"/>
  <c r="M697" i="1" s="1"/>
  <c r="I705" i="1"/>
  <c r="J705" i="1" s="1"/>
  <c r="M705" i="1" s="1"/>
  <c r="I713" i="1"/>
  <c r="J713" i="1" s="1"/>
  <c r="M713" i="1" s="1"/>
  <c r="I721" i="1"/>
  <c r="J721" i="1" s="1"/>
  <c r="M721" i="1" s="1"/>
  <c r="I729" i="1"/>
  <c r="J729" i="1" s="1"/>
  <c r="M729" i="1" s="1"/>
  <c r="I737" i="1"/>
  <c r="J737" i="1" s="1"/>
  <c r="M737" i="1" s="1"/>
  <c r="I745" i="1"/>
  <c r="J745" i="1" s="1"/>
  <c r="M745" i="1" s="1"/>
  <c r="I753" i="1"/>
  <c r="J753" i="1" s="1"/>
  <c r="M753" i="1" s="1"/>
  <c r="I761" i="1"/>
  <c r="J761" i="1" s="1"/>
  <c r="M761" i="1" s="1"/>
  <c r="I767" i="1"/>
  <c r="J767" i="1" s="1"/>
  <c r="M767" i="1" s="1"/>
  <c r="I1086" i="1"/>
  <c r="J1086" i="1" s="1"/>
  <c r="M1086" i="1" s="1"/>
  <c r="I1214" i="1"/>
  <c r="J1214" i="1" s="1"/>
  <c r="M1214" i="1" s="1"/>
  <c r="I790" i="1"/>
  <c r="J790" i="1" s="1"/>
  <c r="M790" i="1" s="1"/>
  <c r="I833" i="1"/>
  <c r="J833" i="1" s="1"/>
  <c r="M833" i="1" s="1"/>
  <c r="I875" i="1"/>
  <c r="J875" i="1" s="1"/>
  <c r="M875" i="1" s="1"/>
  <c r="I918" i="1"/>
  <c r="J918" i="1" s="1"/>
  <c r="M918" i="1" s="1"/>
  <c r="I952" i="1"/>
  <c r="J952" i="1" s="1"/>
  <c r="M952" i="1" s="1"/>
  <c r="I973" i="1"/>
  <c r="J973" i="1" s="1"/>
  <c r="M973" i="1" s="1"/>
  <c r="I994" i="1"/>
  <c r="J994" i="1" s="1"/>
  <c r="M994" i="1" s="1"/>
  <c r="I1013" i="1"/>
  <c r="J1013" i="1" s="1"/>
  <c r="M1013" i="1" s="1"/>
  <c r="I1134" i="1"/>
  <c r="J1134" i="1" s="1"/>
  <c r="M1134" i="1" s="1"/>
  <c r="I1254" i="1"/>
  <c r="J1254" i="1" s="1"/>
  <c r="M1254" i="1" s="1"/>
  <c r="I806" i="1"/>
  <c r="J806" i="1" s="1"/>
  <c r="M806" i="1" s="1"/>
  <c r="I849" i="1"/>
  <c r="J849" i="1" s="1"/>
  <c r="M849" i="1" s="1"/>
  <c r="I891" i="1"/>
  <c r="J891" i="1" s="1"/>
  <c r="M891" i="1" s="1"/>
  <c r="I934" i="1"/>
  <c r="J934" i="1" s="1"/>
  <c r="M934" i="1" s="1"/>
  <c r="I960" i="1"/>
  <c r="J960" i="1" s="1"/>
  <c r="M960" i="1" s="1"/>
  <c r="I981" i="1"/>
  <c r="J981" i="1" s="1"/>
  <c r="M981" i="1" s="1"/>
  <c r="I1002" i="1"/>
  <c r="J1002" i="1" s="1"/>
  <c r="M1002" i="1" s="1"/>
  <c r="I1019" i="1"/>
  <c r="J1019" i="1" s="1"/>
  <c r="M1019" i="1" s="1"/>
  <c r="I523" i="1"/>
  <c r="J523" i="1" s="1"/>
  <c r="M523" i="1" s="1"/>
  <c r="I539" i="1"/>
  <c r="J539" i="1" s="1"/>
  <c r="M539" i="1" s="1"/>
  <c r="I555" i="1"/>
  <c r="J555" i="1" s="1"/>
  <c r="M555" i="1" s="1"/>
  <c r="I571" i="1"/>
  <c r="J571" i="1" s="1"/>
  <c r="M571" i="1" s="1"/>
  <c r="I587" i="1"/>
  <c r="J587" i="1" s="1"/>
  <c r="M587" i="1" s="1"/>
  <c r="I603" i="1"/>
  <c r="J603" i="1" s="1"/>
  <c r="M603" i="1" s="1"/>
  <c r="I619" i="1"/>
  <c r="J619" i="1" s="1"/>
  <c r="M619" i="1" s="1"/>
  <c r="I635" i="1"/>
  <c r="J635" i="1" s="1"/>
  <c r="M635" i="1" s="1"/>
  <c r="I651" i="1"/>
  <c r="J651" i="1" s="1"/>
  <c r="M651" i="1" s="1"/>
  <c r="I667" i="1"/>
  <c r="J667" i="1" s="1"/>
  <c r="M667" i="1" s="1"/>
  <c r="I683" i="1"/>
  <c r="J683" i="1" s="1"/>
  <c r="M683" i="1" s="1"/>
  <c r="I699" i="1"/>
  <c r="J699" i="1" s="1"/>
  <c r="M699" i="1" s="1"/>
  <c r="I715" i="1"/>
  <c r="J715" i="1" s="1"/>
  <c r="M715" i="1" s="1"/>
  <c r="I731" i="1"/>
  <c r="J731" i="1" s="1"/>
  <c r="M731" i="1" s="1"/>
  <c r="I741" i="1"/>
  <c r="J741" i="1" s="1"/>
  <c r="M741" i="1" s="1"/>
  <c r="I751" i="1"/>
  <c r="J751" i="1" s="1"/>
  <c r="M751" i="1" s="1"/>
  <c r="I763" i="1"/>
  <c r="J763" i="1" s="1"/>
  <c r="M763" i="1" s="1"/>
  <c r="I769" i="1"/>
  <c r="J769" i="1" s="1"/>
  <c r="M769" i="1" s="1"/>
  <c r="I258" i="1"/>
  <c r="J258" i="1" s="1"/>
  <c r="M258" i="1" s="1"/>
  <c r="I262" i="1"/>
  <c r="J262" i="1" s="1"/>
  <c r="M262" i="1" s="1"/>
  <c r="I266" i="1"/>
  <c r="J266" i="1" s="1"/>
  <c r="M266" i="1" s="1"/>
  <c r="I270" i="1"/>
  <c r="J270" i="1" s="1"/>
  <c r="M270" i="1" s="1"/>
  <c r="I274" i="1"/>
  <c r="J274" i="1" s="1"/>
  <c r="M274" i="1" s="1"/>
  <c r="I278" i="1"/>
  <c r="J278" i="1" s="1"/>
  <c r="M278" i="1" s="1"/>
  <c r="I282" i="1"/>
  <c r="J282" i="1" s="1"/>
  <c r="M282" i="1" s="1"/>
  <c r="I286" i="1"/>
  <c r="J286" i="1" s="1"/>
  <c r="M286" i="1" s="1"/>
  <c r="I290" i="1"/>
  <c r="J290" i="1" s="1"/>
  <c r="M290" i="1" s="1"/>
  <c r="I294" i="1"/>
  <c r="J294" i="1" s="1"/>
  <c r="M294" i="1" s="1"/>
  <c r="I298" i="1"/>
  <c r="J298" i="1" s="1"/>
  <c r="M298" i="1" s="1"/>
  <c r="I302" i="1"/>
  <c r="J302" i="1" s="1"/>
  <c r="M302" i="1" s="1"/>
  <c r="I306" i="1"/>
  <c r="J306" i="1" s="1"/>
  <c r="M306" i="1" s="1"/>
  <c r="I310" i="1"/>
  <c r="J310" i="1" s="1"/>
  <c r="M310" i="1" s="1"/>
  <c r="I314" i="1"/>
  <c r="J314" i="1" s="1"/>
  <c r="M314" i="1" s="1"/>
  <c r="I318" i="1"/>
  <c r="J318" i="1" s="1"/>
  <c r="M318" i="1" s="1"/>
  <c r="I322" i="1"/>
  <c r="J322" i="1" s="1"/>
  <c r="M322" i="1" s="1"/>
  <c r="I326" i="1"/>
  <c r="J326" i="1" s="1"/>
  <c r="M326" i="1" s="1"/>
  <c r="I330" i="1"/>
  <c r="J330" i="1" s="1"/>
  <c r="M330" i="1" s="1"/>
  <c r="I334" i="1"/>
  <c r="J334" i="1" s="1"/>
  <c r="M334" i="1" s="1"/>
  <c r="I338" i="1"/>
  <c r="J338" i="1" s="1"/>
  <c r="M338" i="1" s="1"/>
  <c r="I342" i="1"/>
  <c r="J342" i="1" s="1"/>
  <c r="M342" i="1" s="1"/>
  <c r="I346" i="1"/>
  <c r="J346" i="1" s="1"/>
  <c r="M346" i="1" s="1"/>
  <c r="I350" i="1"/>
  <c r="J350" i="1" s="1"/>
  <c r="M350" i="1" s="1"/>
  <c r="I354" i="1"/>
  <c r="J354" i="1" s="1"/>
  <c r="M354" i="1" s="1"/>
  <c r="I358" i="1"/>
  <c r="J358" i="1" s="1"/>
  <c r="M358" i="1" s="1"/>
  <c r="I362" i="1"/>
  <c r="J362" i="1" s="1"/>
  <c r="M362" i="1" s="1"/>
  <c r="I366" i="1"/>
  <c r="J366" i="1" s="1"/>
  <c r="M366" i="1" s="1"/>
  <c r="I370" i="1"/>
  <c r="J370" i="1" s="1"/>
  <c r="M370" i="1" s="1"/>
  <c r="I374" i="1"/>
  <c r="J374" i="1" s="1"/>
  <c r="M374" i="1" s="1"/>
  <c r="I378" i="1"/>
  <c r="J378" i="1" s="1"/>
  <c r="M378" i="1" s="1"/>
  <c r="I382" i="1"/>
  <c r="J382" i="1" s="1"/>
  <c r="M382" i="1" s="1"/>
  <c r="I386" i="1"/>
  <c r="J386" i="1" s="1"/>
  <c r="M386" i="1" s="1"/>
  <c r="I390" i="1"/>
  <c r="J390" i="1" s="1"/>
  <c r="M390" i="1" s="1"/>
  <c r="I394" i="1"/>
  <c r="J394" i="1" s="1"/>
  <c r="M394" i="1" s="1"/>
  <c r="I398" i="1"/>
  <c r="J398" i="1" s="1"/>
  <c r="M398" i="1" s="1"/>
  <c r="I402" i="1"/>
  <c r="J402" i="1" s="1"/>
  <c r="M402" i="1" s="1"/>
  <c r="I406" i="1"/>
  <c r="J406" i="1" s="1"/>
  <c r="M406" i="1" s="1"/>
  <c r="I410" i="1"/>
  <c r="J410" i="1" s="1"/>
  <c r="M410" i="1" s="1"/>
  <c r="I414" i="1"/>
  <c r="J414" i="1" s="1"/>
  <c r="M414" i="1" s="1"/>
  <c r="I418" i="1"/>
  <c r="J418" i="1" s="1"/>
  <c r="M418" i="1" s="1"/>
  <c r="I422" i="1"/>
  <c r="J422" i="1" s="1"/>
  <c r="M422" i="1" s="1"/>
  <c r="I426" i="1"/>
  <c r="J426" i="1" s="1"/>
  <c r="M426" i="1" s="1"/>
  <c r="I430" i="1"/>
  <c r="J430" i="1" s="1"/>
  <c r="M430" i="1" s="1"/>
  <c r="I434" i="1"/>
  <c r="J434" i="1" s="1"/>
  <c r="M434" i="1" s="1"/>
  <c r="I438" i="1"/>
  <c r="J438" i="1" s="1"/>
  <c r="M438" i="1" s="1"/>
  <c r="I442" i="1"/>
  <c r="J442" i="1" s="1"/>
  <c r="M442" i="1" s="1"/>
  <c r="I446" i="1"/>
  <c r="J446" i="1" s="1"/>
  <c r="M446" i="1" s="1"/>
  <c r="I450" i="1"/>
  <c r="J450" i="1" s="1"/>
  <c r="M450" i="1" s="1"/>
  <c r="I454" i="1"/>
  <c r="J454" i="1" s="1"/>
  <c r="M454" i="1" s="1"/>
  <c r="I458" i="1"/>
  <c r="J458" i="1" s="1"/>
  <c r="M458" i="1" s="1"/>
  <c r="I462" i="1"/>
  <c r="J462" i="1" s="1"/>
  <c r="M462" i="1" s="1"/>
  <c r="I466" i="1"/>
  <c r="J466" i="1" s="1"/>
  <c r="M466" i="1" s="1"/>
  <c r="I470" i="1"/>
  <c r="J470" i="1" s="1"/>
  <c r="M470" i="1" s="1"/>
  <c r="I474" i="1"/>
  <c r="J474" i="1" s="1"/>
  <c r="M474" i="1" s="1"/>
  <c r="I478" i="1"/>
  <c r="J478" i="1" s="1"/>
  <c r="M478" i="1" s="1"/>
  <c r="I482" i="1"/>
  <c r="J482" i="1" s="1"/>
  <c r="M482" i="1" s="1"/>
  <c r="I486" i="1"/>
  <c r="J486" i="1" s="1"/>
  <c r="M486" i="1" s="1"/>
  <c r="I490" i="1"/>
  <c r="J490" i="1" s="1"/>
  <c r="M490" i="1" s="1"/>
  <c r="I494" i="1"/>
  <c r="J494" i="1" s="1"/>
  <c r="M494" i="1" s="1"/>
  <c r="I498" i="1"/>
  <c r="J498" i="1" s="1"/>
  <c r="M498" i="1" s="1"/>
  <c r="I502" i="1"/>
  <c r="J502" i="1" s="1"/>
  <c r="M502" i="1" s="1"/>
  <c r="I506" i="1"/>
  <c r="J506" i="1" s="1"/>
  <c r="M506" i="1" s="1"/>
  <c r="I510" i="1"/>
  <c r="J510" i="1" s="1"/>
  <c r="M510" i="1" s="1"/>
  <c r="I1198" i="1"/>
  <c r="J1198" i="1" s="1"/>
  <c r="M1198" i="1" s="1"/>
  <c r="I785" i="1"/>
  <c r="J785" i="1" s="1"/>
  <c r="M785" i="1" s="1"/>
  <c r="I870" i="1"/>
  <c r="J870" i="1" s="1"/>
  <c r="M870" i="1" s="1"/>
  <c r="I949" i="1"/>
  <c r="J949" i="1" s="1"/>
  <c r="M949" i="1" s="1"/>
  <c r="I992" i="1"/>
  <c r="J992" i="1" s="1"/>
  <c r="M992" i="1" s="1"/>
  <c r="I517" i="1"/>
  <c r="J517" i="1" s="1"/>
  <c r="M517" i="1" s="1"/>
  <c r="I541" i="1"/>
  <c r="J541" i="1" s="1"/>
  <c r="M541" i="1" s="1"/>
  <c r="I563" i="1"/>
  <c r="J563" i="1" s="1"/>
  <c r="M563" i="1" s="1"/>
  <c r="I581" i="1"/>
  <c r="J581" i="1" s="1"/>
  <c r="M581" i="1" s="1"/>
  <c r="I605" i="1"/>
  <c r="J605" i="1" s="1"/>
  <c r="M605" i="1" s="1"/>
  <c r="I627" i="1"/>
  <c r="J627" i="1" s="1"/>
  <c r="M627" i="1" s="1"/>
  <c r="I645" i="1"/>
  <c r="J645" i="1" s="1"/>
  <c r="M645" i="1" s="1"/>
  <c r="I669" i="1"/>
  <c r="J669" i="1" s="1"/>
  <c r="M669" i="1" s="1"/>
  <c r="I691" i="1"/>
  <c r="J691" i="1" s="1"/>
  <c r="M691" i="1" s="1"/>
  <c r="I709" i="1"/>
  <c r="J709" i="1" s="1"/>
  <c r="M709" i="1" s="1"/>
  <c r="I733" i="1"/>
  <c r="J733" i="1" s="1"/>
  <c r="M733" i="1" s="1"/>
  <c r="I747" i="1"/>
  <c r="J747" i="1" s="1"/>
  <c r="M747" i="1" s="1"/>
  <c r="I759" i="1"/>
  <c r="J759" i="1" s="1"/>
  <c r="M759" i="1" s="1"/>
  <c r="I259" i="1"/>
  <c r="J259" i="1" s="1"/>
  <c r="M259" i="1" s="1"/>
  <c r="I264" i="1"/>
  <c r="J264" i="1" s="1"/>
  <c r="M264" i="1" s="1"/>
  <c r="I269" i="1"/>
  <c r="J269" i="1" s="1"/>
  <c r="M269" i="1" s="1"/>
  <c r="I275" i="1"/>
  <c r="J275" i="1" s="1"/>
  <c r="M275" i="1" s="1"/>
  <c r="I280" i="1"/>
  <c r="J280" i="1" s="1"/>
  <c r="M280" i="1" s="1"/>
  <c r="I285" i="1"/>
  <c r="J285" i="1" s="1"/>
  <c r="M285" i="1" s="1"/>
  <c r="I291" i="1"/>
  <c r="J291" i="1" s="1"/>
  <c r="M291" i="1" s="1"/>
  <c r="I296" i="1"/>
  <c r="J296" i="1" s="1"/>
  <c r="M296" i="1" s="1"/>
  <c r="I301" i="1"/>
  <c r="J301" i="1" s="1"/>
  <c r="M301" i="1" s="1"/>
  <c r="I307" i="1"/>
  <c r="J307" i="1" s="1"/>
  <c r="M307" i="1" s="1"/>
  <c r="I312" i="1"/>
  <c r="J312" i="1" s="1"/>
  <c r="M312" i="1" s="1"/>
  <c r="I317" i="1"/>
  <c r="J317" i="1" s="1"/>
  <c r="M317" i="1" s="1"/>
  <c r="I323" i="1"/>
  <c r="J323" i="1" s="1"/>
  <c r="M323" i="1" s="1"/>
  <c r="I328" i="1"/>
  <c r="J328" i="1" s="1"/>
  <c r="M328" i="1" s="1"/>
  <c r="I333" i="1"/>
  <c r="J333" i="1" s="1"/>
  <c r="M333" i="1" s="1"/>
  <c r="I339" i="1"/>
  <c r="J339" i="1" s="1"/>
  <c r="M339" i="1" s="1"/>
  <c r="I344" i="1"/>
  <c r="J344" i="1" s="1"/>
  <c r="M344" i="1" s="1"/>
  <c r="I349" i="1"/>
  <c r="J349" i="1" s="1"/>
  <c r="M349" i="1" s="1"/>
  <c r="I355" i="1"/>
  <c r="J355" i="1" s="1"/>
  <c r="M355" i="1" s="1"/>
  <c r="I360" i="1"/>
  <c r="J360" i="1" s="1"/>
  <c r="M360" i="1" s="1"/>
  <c r="I365" i="1"/>
  <c r="J365" i="1" s="1"/>
  <c r="M365" i="1" s="1"/>
  <c r="I371" i="1"/>
  <c r="J371" i="1" s="1"/>
  <c r="M371" i="1" s="1"/>
  <c r="I376" i="1"/>
  <c r="J376" i="1" s="1"/>
  <c r="M376" i="1" s="1"/>
  <c r="I381" i="1"/>
  <c r="J381" i="1" s="1"/>
  <c r="M381" i="1" s="1"/>
  <c r="I387" i="1"/>
  <c r="J387" i="1" s="1"/>
  <c r="M387" i="1" s="1"/>
  <c r="I392" i="1"/>
  <c r="J392" i="1" s="1"/>
  <c r="M392" i="1" s="1"/>
  <c r="I397" i="1"/>
  <c r="J397" i="1" s="1"/>
  <c r="M397" i="1" s="1"/>
  <c r="I403" i="1"/>
  <c r="J403" i="1" s="1"/>
  <c r="M403" i="1" s="1"/>
  <c r="I408" i="1"/>
  <c r="J408" i="1" s="1"/>
  <c r="M408" i="1" s="1"/>
  <c r="I413" i="1"/>
  <c r="J413" i="1" s="1"/>
  <c r="M413" i="1" s="1"/>
  <c r="I419" i="1"/>
  <c r="J419" i="1" s="1"/>
  <c r="M419" i="1" s="1"/>
  <c r="I424" i="1"/>
  <c r="J424" i="1" s="1"/>
  <c r="M424" i="1" s="1"/>
  <c r="I429" i="1"/>
  <c r="J429" i="1" s="1"/>
  <c r="M429" i="1" s="1"/>
  <c r="I435" i="1"/>
  <c r="J435" i="1" s="1"/>
  <c r="M435" i="1" s="1"/>
  <c r="I440" i="1"/>
  <c r="J440" i="1" s="1"/>
  <c r="M440" i="1" s="1"/>
  <c r="I445" i="1"/>
  <c r="J445" i="1" s="1"/>
  <c r="M445" i="1" s="1"/>
  <c r="I451" i="1"/>
  <c r="J451" i="1" s="1"/>
  <c r="M451" i="1" s="1"/>
  <c r="I456" i="1"/>
  <c r="J456" i="1" s="1"/>
  <c r="M456" i="1" s="1"/>
  <c r="I461" i="1"/>
  <c r="J461" i="1" s="1"/>
  <c r="M461" i="1" s="1"/>
  <c r="I467" i="1"/>
  <c r="J467" i="1" s="1"/>
  <c r="M467" i="1" s="1"/>
  <c r="I472" i="1"/>
  <c r="J472" i="1" s="1"/>
  <c r="M472" i="1" s="1"/>
  <c r="I477" i="1"/>
  <c r="J477" i="1" s="1"/>
  <c r="M477" i="1" s="1"/>
  <c r="I483" i="1"/>
  <c r="J483" i="1" s="1"/>
  <c r="M483" i="1" s="1"/>
  <c r="I488" i="1"/>
  <c r="J488" i="1" s="1"/>
  <c r="M488" i="1" s="1"/>
  <c r="I493" i="1"/>
  <c r="J493" i="1" s="1"/>
  <c r="M493" i="1" s="1"/>
  <c r="I499" i="1"/>
  <c r="J499" i="1" s="1"/>
  <c r="M499" i="1" s="1"/>
  <c r="I504" i="1"/>
  <c r="J504" i="1" s="1"/>
  <c r="M504" i="1" s="1"/>
  <c r="I509" i="1"/>
  <c r="J509" i="1" s="1"/>
  <c r="M509" i="1" s="1"/>
  <c r="I3" i="1"/>
  <c r="J3" i="1" s="1"/>
  <c r="I7" i="1"/>
  <c r="J7" i="1" s="1"/>
  <c r="I11" i="1"/>
  <c r="J11" i="1" s="1"/>
  <c r="I15" i="1"/>
  <c r="J15" i="1" s="1"/>
  <c r="M15" i="1" s="1"/>
  <c r="I19" i="1"/>
  <c r="J19" i="1" s="1"/>
  <c r="I23" i="1"/>
  <c r="J23" i="1" s="1"/>
  <c r="I27" i="1"/>
  <c r="J27" i="1" s="1"/>
  <c r="M27" i="1" s="1"/>
  <c r="I31" i="1"/>
  <c r="J31" i="1" s="1"/>
  <c r="I35" i="1"/>
  <c r="J35" i="1" s="1"/>
  <c r="I39" i="1"/>
  <c r="J39" i="1" s="1"/>
  <c r="M39" i="1" s="1"/>
  <c r="I43" i="1"/>
  <c r="J43" i="1" s="1"/>
  <c r="M43" i="1" s="1"/>
  <c r="I47" i="1"/>
  <c r="J47" i="1" s="1"/>
  <c r="M47" i="1" s="1"/>
  <c r="I51" i="1"/>
  <c r="J51" i="1" s="1"/>
  <c r="M51" i="1" s="1"/>
  <c r="I55" i="1"/>
  <c r="J55" i="1" s="1"/>
  <c r="M55" i="1" s="1"/>
  <c r="I59" i="1"/>
  <c r="J59" i="1" s="1"/>
  <c r="M59" i="1" s="1"/>
  <c r="I63" i="1"/>
  <c r="J63" i="1" s="1"/>
  <c r="M63" i="1" s="1"/>
  <c r="I67" i="1"/>
  <c r="J67" i="1" s="1"/>
  <c r="M67" i="1" s="1"/>
  <c r="I71" i="1"/>
  <c r="J71" i="1" s="1"/>
  <c r="M71" i="1" s="1"/>
  <c r="I75" i="1"/>
  <c r="J75" i="1" s="1"/>
  <c r="M75" i="1" s="1"/>
  <c r="I79" i="1"/>
  <c r="J79" i="1" s="1"/>
  <c r="M79" i="1" s="1"/>
  <c r="I83" i="1"/>
  <c r="J83" i="1" s="1"/>
  <c r="M83" i="1" s="1"/>
  <c r="I87" i="1"/>
  <c r="J87" i="1" s="1"/>
  <c r="M87" i="1" s="1"/>
  <c r="I91" i="1"/>
  <c r="J91" i="1" s="1"/>
  <c r="M91" i="1" s="1"/>
  <c r="I95" i="1"/>
  <c r="J95" i="1" s="1"/>
  <c r="M95" i="1" s="1"/>
  <c r="I99" i="1"/>
  <c r="J99" i="1" s="1"/>
  <c r="M99" i="1" s="1"/>
  <c r="I103" i="1"/>
  <c r="J103" i="1" s="1"/>
  <c r="M103" i="1" s="1"/>
  <c r="I107" i="1"/>
  <c r="J107" i="1" s="1"/>
  <c r="M107" i="1" s="1"/>
  <c r="I111" i="1"/>
  <c r="J111" i="1" s="1"/>
  <c r="M111" i="1" s="1"/>
  <c r="I115" i="1"/>
  <c r="J115" i="1" s="1"/>
  <c r="M115" i="1" s="1"/>
  <c r="I119" i="1"/>
  <c r="J119" i="1" s="1"/>
  <c r="M119" i="1" s="1"/>
  <c r="I123" i="1"/>
  <c r="J123" i="1" s="1"/>
  <c r="M123" i="1" s="1"/>
  <c r="I127" i="1"/>
  <c r="J127" i="1" s="1"/>
  <c r="M127" i="1" s="1"/>
  <c r="I131" i="1"/>
  <c r="J131" i="1" s="1"/>
  <c r="M131" i="1" s="1"/>
  <c r="I135" i="1"/>
  <c r="J135" i="1" s="1"/>
  <c r="M135" i="1" s="1"/>
  <c r="I139" i="1"/>
  <c r="J139" i="1" s="1"/>
  <c r="M139" i="1" s="1"/>
  <c r="I143" i="1"/>
  <c r="J143" i="1" s="1"/>
  <c r="M143" i="1" s="1"/>
  <c r="I147" i="1"/>
  <c r="J147" i="1" s="1"/>
  <c r="M147" i="1" s="1"/>
  <c r="I151" i="1"/>
  <c r="J151" i="1" s="1"/>
  <c r="M151" i="1" s="1"/>
  <c r="I155" i="1"/>
  <c r="J155" i="1" s="1"/>
  <c r="M155" i="1" s="1"/>
  <c r="I159" i="1"/>
  <c r="J159" i="1" s="1"/>
  <c r="M159" i="1" s="1"/>
  <c r="I163" i="1"/>
  <c r="J163" i="1" s="1"/>
  <c r="M163" i="1" s="1"/>
  <c r="I167" i="1"/>
  <c r="J167" i="1" s="1"/>
  <c r="M167" i="1" s="1"/>
  <c r="I171" i="1"/>
  <c r="J171" i="1" s="1"/>
  <c r="M171" i="1" s="1"/>
  <c r="I175" i="1"/>
  <c r="J175" i="1" s="1"/>
  <c r="M175" i="1" s="1"/>
  <c r="I179" i="1"/>
  <c r="J179" i="1" s="1"/>
  <c r="M179" i="1" s="1"/>
  <c r="I183" i="1"/>
  <c r="J183" i="1" s="1"/>
  <c r="M183" i="1" s="1"/>
  <c r="I187" i="1"/>
  <c r="J187" i="1" s="1"/>
  <c r="M187" i="1" s="1"/>
  <c r="I191" i="1"/>
  <c r="J191" i="1" s="1"/>
  <c r="M191" i="1" s="1"/>
  <c r="I195" i="1"/>
  <c r="J195" i="1" s="1"/>
  <c r="M195" i="1" s="1"/>
  <c r="I199" i="1"/>
  <c r="J199" i="1" s="1"/>
  <c r="M199" i="1" s="1"/>
  <c r="I203" i="1"/>
  <c r="J203" i="1" s="1"/>
  <c r="M203" i="1" s="1"/>
  <c r="I207" i="1"/>
  <c r="J207" i="1" s="1"/>
  <c r="M207" i="1" s="1"/>
  <c r="I211" i="1"/>
  <c r="J211" i="1" s="1"/>
  <c r="M211" i="1" s="1"/>
  <c r="I215" i="1"/>
  <c r="J215" i="1" s="1"/>
  <c r="M215" i="1" s="1"/>
  <c r="I219" i="1"/>
  <c r="J219" i="1" s="1"/>
  <c r="M219" i="1" s="1"/>
  <c r="I223" i="1"/>
  <c r="J223" i="1" s="1"/>
  <c r="M223" i="1" s="1"/>
  <c r="I227" i="1"/>
  <c r="J227" i="1" s="1"/>
  <c r="M227" i="1" s="1"/>
  <c r="I231" i="1"/>
  <c r="J231" i="1" s="1"/>
  <c r="M231" i="1" s="1"/>
  <c r="I235" i="1"/>
  <c r="J235" i="1" s="1"/>
  <c r="M235" i="1" s="1"/>
  <c r="I239" i="1"/>
  <c r="J239" i="1" s="1"/>
  <c r="M239" i="1" s="1"/>
  <c r="I1520" i="1"/>
  <c r="J1520" i="1" s="1"/>
  <c r="M1520" i="1" s="1"/>
  <c r="I1070" i="1"/>
  <c r="J1070" i="1" s="1"/>
  <c r="M1070" i="1" s="1"/>
  <c r="I827" i="1"/>
  <c r="J827" i="1" s="1"/>
  <c r="M827" i="1" s="1"/>
  <c r="I913" i="1"/>
  <c r="J913" i="1" s="1"/>
  <c r="M913" i="1" s="1"/>
  <c r="I970" i="1"/>
  <c r="J970" i="1" s="1"/>
  <c r="M970" i="1" s="1"/>
  <c r="I1011" i="1"/>
  <c r="J1011" i="1" s="1"/>
  <c r="M1011" i="1" s="1"/>
  <c r="I531" i="1"/>
  <c r="J531" i="1" s="1"/>
  <c r="M531" i="1" s="1"/>
  <c r="I549" i="1"/>
  <c r="J549" i="1" s="1"/>
  <c r="M549" i="1" s="1"/>
  <c r="I573" i="1"/>
  <c r="J573" i="1" s="1"/>
  <c r="M573" i="1" s="1"/>
  <c r="I595" i="1"/>
  <c r="J595" i="1" s="1"/>
  <c r="M595" i="1" s="1"/>
  <c r="I613" i="1"/>
  <c r="J613" i="1" s="1"/>
  <c r="M613" i="1" s="1"/>
  <c r="I637" i="1"/>
  <c r="J637" i="1" s="1"/>
  <c r="M637" i="1" s="1"/>
  <c r="I659" i="1"/>
  <c r="J659" i="1" s="1"/>
  <c r="M659" i="1" s="1"/>
  <c r="I677" i="1"/>
  <c r="J677" i="1" s="1"/>
  <c r="M677" i="1" s="1"/>
  <c r="I701" i="1"/>
  <c r="J701" i="1" s="1"/>
  <c r="M701" i="1" s="1"/>
  <c r="I723" i="1"/>
  <c r="J723" i="1" s="1"/>
  <c r="M723" i="1" s="1"/>
  <c r="I739" i="1"/>
  <c r="J739" i="1" s="1"/>
  <c r="M739" i="1" s="1"/>
  <c r="I755" i="1"/>
  <c r="J755" i="1" s="1"/>
  <c r="M755" i="1" s="1"/>
  <c r="I765" i="1"/>
  <c r="J765" i="1" s="1"/>
  <c r="M765" i="1" s="1"/>
  <c r="I261" i="1"/>
  <c r="J261" i="1" s="1"/>
  <c r="M261" i="1" s="1"/>
  <c r="I267" i="1"/>
  <c r="J267" i="1" s="1"/>
  <c r="M267" i="1" s="1"/>
  <c r="I272" i="1"/>
  <c r="J272" i="1" s="1"/>
  <c r="M272" i="1" s="1"/>
  <c r="I277" i="1"/>
  <c r="J277" i="1" s="1"/>
  <c r="M277" i="1" s="1"/>
  <c r="I283" i="1"/>
  <c r="J283" i="1" s="1"/>
  <c r="M283" i="1" s="1"/>
  <c r="I288" i="1"/>
  <c r="J288" i="1" s="1"/>
  <c r="M288" i="1" s="1"/>
  <c r="I293" i="1"/>
  <c r="J293" i="1" s="1"/>
  <c r="M293" i="1" s="1"/>
  <c r="I299" i="1"/>
  <c r="J299" i="1" s="1"/>
  <c r="M299" i="1" s="1"/>
  <c r="I304" i="1"/>
  <c r="J304" i="1" s="1"/>
  <c r="M304" i="1" s="1"/>
  <c r="I309" i="1"/>
  <c r="J309" i="1" s="1"/>
  <c r="M309" i="1" s="1"/>
  <c r="I315" i="1"/>
  <c r="J315" i="1" s="1"/>
  <c r="M315" i="1" s="1"/>
  <c r="I320" i="1"/>
  <c r="J320" i="1" s="1"/>
  <c r="M320" i="1" s="1"/>
  <c r="I325" i="1"/>
  <c r="J325" i="1" s="1"/>
  <c r="M325" i="1" s="1"/>
  <c r="I331" i="1"/>
  <c r="J331" i="1" s="1"/>
  <c r="M331" i="1" s="1"/>
  <c r="I336" i="1"/>
  <c r="J336" i="1" s="1"/>
  <c r="M336" i="1" s="1"/>
  <c r="I341" i="1"/>
  <c r="J341" i="1" s="1"/>
  <c r="M341" i="1" s="1"/>
  <c r="I347" i="1"/>
  <c r="J347" i="1" s="1"/>
  <c r="M347" i="1" s="1"/>
  <c r="I352" i="1"/>
  <c r="J352" i="1" s="1"/>
  <c r="M352" i="1" s="1"/>
  <c r="I357" i="1"/>
  <c r="J357" i="1" s="1"/>
  <c r="M357" i="1" s="1"/>
  <c r="I363" i="1"/>
  <c r="J363" i="1" s="1"/>
  <c r="M363" i="1" s="1"/>
  <c r="I368" i="1"/>
  <c r="J368" i="1" s="1"/>
  <c r="M368" i="1" s="1"/>
  <c r="I373" i="1"/>
  <c r="J373" i="1" s="1"/>
  <c r="M373" i="1" s="1"/>
  <c r="I379" i="1"/>
  <c r="J379" i="1" s="1"/>
  <c r="M379" i="1" s="1"/>
  <c r="I384" i="1"/>
  <c r="J384" i="1" s="1"/>
  <c r="M384" i="1" s="1"/>
  <c r="I389" i="1"/>
  <c r="J389" i="1" s="1"/>
  <c r="M389" i="1" s="1"/>
  <c r="I395" i="1"/>
  <c r="J395" i="1" s="1"/>
  <c r="M395" i="1" s="1"/>
  <c r="I400" i="1"/>
  <c r="J400" i="1" s="1"/>
  <c r="M400" i="1" s="1"/>
  <c r="I405" i="1"/>
  <c r="J405" i="1" s="1"/>
  <c r="M405" i="1" s="1"/>
  <c r="I411" i="1"/>
  <c r="J411" i="1" s="1"/>
  <c r="M411" i="1" s="1"/>
  <c r="I416" i="1"/>
  <c r="J416" i="1" s="1"/>
  <c r="M416" i="1" s="1"/>
  <c r="I421" i="1"/>
  <c r="J421" i="1" s="1"/>
  <c r="M421" i="1" s="1"/>
  <c r="I427" i="1"/>
  <c r="J427" i="1" s="1"/>
  <c r="M427" i="1" s="1"/>
  <c r="I432" i="1"/>
  <c r="J432" i="1" s="1"/>
  <c r="M432" i="1" s="1"/>
  <c r="I437" i="1"/>
  <c r="J437" i="1" s="1"/>
  <c r="M437" i="1" s="1"/>
  <c r="I443" i="1"/>
  <c r="J443" i="1" s="1"/>
  <c r="M443" i="1" s="1"/>
  <c r="I448" i="1"/>
  <c r="J448" i="1" s="1"/>
  <c r="M448" i="1" s="1"/>
  <c r="I453" i="1"/>
  <c r="J453" i="1" s="1"/>
  <c r="M453" i="1" s="1"/>
  <c r="I459" i="1"/>
  <c r="J459" i="1" s="1"/>
  <c r="M459" i="1" s="1"/>
  <c r="I464" i="1"/>
  <c r="J464" i="1" s="1"/>
  <c r="M464" i="1" s="1"/>
  <c r="I469" i="1"/>
  <c r="J469" i="1" s="1"/>
  <c r="M469" i="1" s="1"/>
  <c r="I475" i="1"/>
  <c r="J475" i="1" s="1"/>
  <c r="M475" i="1" s="1"/>
  <c r="I480" i="1"/>
  <c r="J480" i="1" s="1"/>
  <c r="M480" i="1" s="1"/>
  <c r="I485" i="1"/>
  <c r="J485" i="1" s="1"/>
  <c r="M485" i="1" s="1"/>
  <c r="I491" i="1"/>
  <c r="J491" i="1" s="1"/>
  <c r="M491" i="1" s="1"/>
  <c r="I496" i="1"/>
  <c r="J496" i="1" s="1"/>
  <c r="M496" i="1" s="1"/>
  <c r="I501" i="1"/>
  <c r="J501" i="1" s="1"/>
  <c r="M501" i="1" s="1"/>
  <c r="I507" i="1"/>
  <c r="J507" i="1" s="1"/>
  <c r="M507" i="1" s="1"/>
  <c r="I512" i="1"/>
  <c r="J512" i="1" s="1"/>
  <c r="M512" i="1" s="1"/>
  <c r="I5" i="1"/>
  <c r="J5" i="1" s="1"/>
  <c r="I9" i="1"/>
  <c r="J9" i="1" s="1"/>
  <c r="I13" i="1"/>
  <c r="J13" i="1" s="1"/>
  <c r="I17" i="1"/>
  <c r="J17" i="1" s="1"/>
  <c r="I21" i="1"/>
  <c r="J21" i="1" s="1"/>
  <c r="I25" i="1"/>
  <c r="J25" i="1" s="1"/>
  <c r="I29" i="1"/>
  <c r="J29" i="1" s="1"/>
  <c r="I33" i="1"/>
  <c r="J33" i="1" s="1"/>
  <c r="I37" i="1"/>
  <c r="J37" i="1" s="1"/>
  <c r="I41" i="1"/>
  <c r="J41" i="1" s="1"/>
  <c r="M41" i="1" s="1"/>
  <c r="I45" i="1"/>
  <c r="J45" i="1" s="1"/>
  <c r="M45" i="1" s="1"/>
  <c r="I49" i="1"/>
  <c r="J49" i="1" s="1"/>
  <c r="M49" i="1" s="1"/>
  <c r="I53" i="1"/>
  <c r="J53" i="1" s="1"/>
  <c r="M53" i="1" s="1"/>
  <c r="I57" i="1"/>
  <c r="J57" i="1" s="1"/>
  <c r="M57" i="1" s="1"/>
  <c r="I61" i="1"/>
  <c r="J61" i="1" s="1"/>
  <c r="M61" i="1" s="1"/>
  <c r="I65" i="1"/>
  <c r="J65" i="1" s="1"/>
  <c r="M65" i="1" s="1"/>
  <c r="I69" i="1"/>
  <c r="J69" i="1" s="1"/>
  <c r="M69" i="1" s="1"/>
  <c r="I73" i="1"/>
  <c r="J73" i="1" s="1"/>
  <c r="M73" i="1" s="1"/>
  <c r="I77" i="1"/>
  <c r="J77" i="1" s="1"/>
  <c r="M77" i="1" s="1"/>
  <c r="I81" i="1"/>
  <c r="J81" i="1" s="1"/>
  <c r="M81" i="1" s="1"/>
  <c r="I85" i="1"/>
  <c r="J85" i="1" s="1"/>
  <c r="M85" i="1" s="1"/>
  <c r="I89" i="1"/>
  <c r="J89" i="1" s="1"/>
  <c r="M89" i="1" s="1"/>
  <c r="I93" i="1"/>
  <c r="J93" i="1" s="1"/>
  <c r="M93" i="1" s="1"/>
  <c r="I97" i="1"/>
  <c r="J97" i="1" s="1"/>
  <c r="M97" i="1" s="1"/>
  <c r="I101" i="1"/>
  <c r="J101" i="1" s="1"/>
  <c r="M101" i="1" s="1"/>
  <c r="I105" i="1"/>
  <c r="J105" i="1" s="1"/>
  <c r="M105" i="1" s="1"/>
  <c r="I109" i="1"/>
  <c r="J109" i="1" s="1"/>
  <c r="M109" i="1" s="1"/>
  <c r="I113" i="1"/>
  <c r="J113" i="1" s="1"/>
  <c r="M113" i="1" s="1"/>
  <c r="I117" i="1"/>
  <c r="J117" i="1" s="1"/>
  <c r="M117" i="1" s="1"/>
  <c r="I121" i="1"/>
  <c r="J121" i="1" s="1"/>
  <c r="M121" i="1" s="1"/>
  <c r="I125" i="1"/>
  <c r="J125" i="1" s="1"/>
  <c r="M125" i="1" s="1"/>
  <c r="I129" i="1"/>
  <c r="J129" i="1" s="1"/>
  <c r="M129" i="1" s="1"/>
  <c r="I133" i="1"/>
  <c r="J133" i="1" s="1"/>
  <c r="M133" i="1" s="1"/>
  <c r="I137" i="1"/>
  <c r="J137" i="1" s="1"/>
  <c r="M137" i="1" s="1"/>
  <c r="I141" i="1"/>
  <c r="J141" i="1" s="1"/>
  <c r="M141" i="1" s="1"/>
  <c r="I145" i="1"/>
  <c r="J145" i="1" s="1"/>
  <c r="M145" i="1" s="1"/>
  <c r="I149" i="1"/>
  <c r="J149" i="1" s="1"/>
  <c r="M149" i="1" s="1"/>
  <c r="I153" i="1"/>
  <c r="J153" i="1" s="1"/>
  <c r="M153" i="1" s="1"/>
  <c r="I157" i="1"/>
  <c r="J157" i="1" s="1"/>
  <c r="M157" i="1" s="1"/>
  <c r="I161" i="1"/>
  <c r="J161" i="1" s="1"/>
  <c r="M161" i="1" s="1"/>
  <c r="I165" i="1"/>
  <c r="J165" i="1" s="1"/>
  <c r="M165" i="1" s="1"/>
  <c r="I169" i="1"/>
  <c r="J169" i="1" s="1"/>
  <c r="M169" i="1" s="1"/>
  <c r="I173" i="1"/>
  <c r="J173" i="1" s="1"/>
  <c r="M173" i="1" s="1"/>
  <c r="I177" i="1"/>
  <c r="J177" i="1" s="1"/>
  <c r="M177" i="1" s="1"/>
  <c r="I181" i="1"/>
  <c r="J181" i="1" s="1"/>
  <c r="M181" i="1" s="1"/>
  <c r="I185" i="1"/>
  <c r="J185" i="1" s="1"/>
  <c r="M185" i="1" s="1"/>
  <c r="I189" i="1"/>
  <c r="J189" i="1" s="1"/>
  <c r="M189" i="1" s="1"/>
  <c r="I193" i="1"/>
  <c r="J193" i="1" s="1"/>
  <c r="M193" i="1" s="1"/>
  <c r="I197" i="1"/>
  <c r="J197" i="1" s="1"/>
  <c r="M197" i="1" s="1"/>
  <c r="I201" i="1"/>
  <c r="J201" i="1" s="1"/>
  <c r="M201" i="1" s="1"/>
  <c r="I205" i="1"/>
  <c r="J205" i="1" s="1"/>
  <c r="M205" i="1" s="1"/>
  <c r="I1150" i="1"/>
  <c r="J1150" i="1" s="1"/>
  <c r="M1150" i="1" s="1"/>
  <c r="I938" i="1"/>
  <c r="J938" i="1" s="1"/>
  <c r="M938" i="1" s="1"/>
  <c r="I1021" i="1"/>
  <c r="J1021" i="1" s="1"/>
  <c r="M1021" i="1" s="1"/>
  <c r="I515" i="1"/>
  <c r="J515" i="1" s="1"/>
  <c r="M515" i="1" s="1"/>
  <c r="I557" i="1"/>
  <c r="J557" i="1" s="1"/>
  <c r="M557" i="1" s="1"/>
  <c r="I597" i="1"/>
  <c r="J597" i="1" s="1"/>
  <c r="M597" i="1" s="1"/>
  <c r="I643" i="1"/>
  <c r="J643" i="1" s="1"/>
  <c r="M643" i="1" s="1"/>
  <c r="I685" i="1"/>
  <c r="J685" i="1" s="1"/>
  <c r="M685" i="1" s="1"/>
  <c r="I725" i="1"/>
  <c r="J725" i="1" s="1"/>
  <c r="M725" i="1" s="1"/>
  <c r="I757" i="1"/>
  <c r="J757" i="1" s="1"/>
  <c r="M757" i="1" s="1"/>
  <c r="I268" i="1"/>
  <c r="J268" i="1" s="1"/>
  <c r="M268" i="1" s="1"/>
  <c r="I279" i="1"/>
  <c r="J279" i="1" s="1"/>
  <c r="M279" i="1" s="1"/>
  <c r="I289" i="1"/>
  <c r="J289" i="1" s="1"/>
  <c r="M289" i="1" s="1"/>
  <c r="I300" i="1"/>
  <c r="J300" i="1" s="1"/>
  <c r="M300" i="1" s="1"/>
  <c r="I311" i="1"/>
  <c r="J311" i="1" s="1"/>
  <c r="M311" i="1" s="1"/>
  <c r="I321" i="1"/>
  <c r="J321" i="1" s="1"/>
  <c r="M321" i="1" s="1"/>
  <c r="I332" i="1"/>
  <c r="J332" i="1" s="1"/>
  <c r="M332" i="1" s="1"/>
  <c r="I343" i="1"/>
  <c r="J343" i="1" s="1"/>
  <c r="M343" i="1" s="1"/>
  <c r="I353" i="1"/>
  <c r="J353" i="1" s="1"/>
  <c r="M353" i="1" s="1"/>
  <c r="I364" i="1"/>
  <c r="J364" i="1" s="1"/>
  <c r="M364" i="1" s="1"/>
  <c r="I375" i="1"/>
  <c r="J375" i="1" s="1"/>
  <c r="M375" i="1" s="1"/>
  <c r="I385" i="1"/>
  <c r="J385" i="1" s="1"/>
  <c r="M385" i="1" s="1"/>
  <c r="I396" i="1"/>
  <c r="J396" i="1" s="1"/>
  <c r="M396" i="1" s="1"/>
  <c r="I407" i="1"/>
  <c r="J407" i="1" s="1"/>
  <c r="M407" i="1" s="1"/>
  <c r="I417" i="1"/>
  <c r="J417" i="1" s="1"/>
  <c r="M417" i="1" s="1"/>
  <c r="I428" i="1"/>
  <c r="J428" i="1" s="1"/>
  <c r="M428" i="1" s="1"/>
  <c r="I439" i="1"/>
  <c r="J439" i="1" s="1"/>
  <c r="M439" i="1" s="1"/>
  <c r="I449" i="1"/>
  <c r="J449" i="1" s="1"/>
  <c r="M449" i="1" s="1"/>
  <c r="I460" i="1"/>
  <c r="J460" i="1" s="1"/>
  <c r="M460" i="1" s="1"/>
  <c r="I471" i="1"/>
  <c r="J471" i="1" s="1"/>
  <c r="M471" i="1" s="1"/>
  <c r="I481" i="1"/>
  <c r="J481" i="1" s="1"/>
  <c r="M481" i="1" s="1"/>
  <c r="I492" i="1"/>
  <c r="J492" i="1" s="1"/>
  <c r="M492" i="1" s="1"/>
  <c r="I503" i="1"/>
  <c r="J503" i="1" s="1"/>
  <c r="M503" i="1" s="1"/>
  <c r="I513" i="1"/>
  <c r="J513" i="1" s="1"/>
  <c r="M513" i="1" s="1"/>
  <c r="I10" i="1"/>
  <c r="J10" i="1" s="1"/>
  <c r="I18" i="1"/>
  <c r="J18" i="1" s="1"/>
  <c r="I26" i="1"/>
  <c r="J26" i="1" s="1"/>
  <c r="M26" i="1" s="1"/>
  <c r="I34" i="1"/>
  <c r="J34" i="1" s="1"/>
  <c r="I42" i="1"/>
  <c r="J42" i="1" s="1"/>
  <c r="M42" i="1" s="1"/>
  <c r="I50" i="1"/>
  <c r="J50" i="1" s="1"/>
  <c r="M50" i="1" s="1"/>
  <c r="I58" i="1"/>
  <c r="J58" i="1" s="1"/>
  <c r="M58" i="1" s="1"/>
  <c r="I66" i="1"/>
  <c r="J66" i="1" s="1"/>
  <c r="M66" i="1" s="1"/>
  <c r="I74" i="1"/>
  <c r="J74" i="1" s="1"/>
  <c r="M74" i="1" s="1"/>
  <c r="I82" i="1"/>
  <c r="J82" i="1" s="1"/>
  <c r="M82" i="1" s="1"/>
  <c r="I90" i="1"/>
  <c r="J90" i="1" s="1"/>
  <c r="M90" i="1" s="1"/>
  <c r="I98" i="1"/>
  <c r="J98" i="1" s="1"/>
  <c r="M98" i="1" s="1"/>
  <c r="I106" i="1"/>
  <c r="J106" i="1" s="1"/>
  <c r="M106" i="1" s="1"/>
  <c r="I114" i="1"/>
  <c r="J114" i="1" s="1"/>
  <c r="M114" i="1" s="1"/>
  <c r="I122" i="1"/>
  <c r="J122" i="1" s="1"/>
  <c r="M122" i="1" s="1"/>
  <c r="I130" i="1"/>
  <c r="J130" i="1" s="1"/>
  <c r="M130" i="1" s="1"/>
  <c r="I138" i="1"/>
  <c r="J138" i="1" s="1"/>
  <c r="M138" i="1" s="1"/>
  <c r="I146" i="1"/>
  <c r="J146" i="1" s="1"/>
  <c r="M146" i="1" s="1"/>
  <c r="I154" i="1"/>
  <c r="J154" i="1" s="1"/>
  <c r="M154" i="1" s="1"/>
  <c r="I162" i="1"/>
  <c r="J162" i="1" s="1"/>
  <c r="M162" i="1" s="1"/>
  <c r="I170" i="1"/>
  <c r="J170" i="1" s="1"/>
  <c r="M170" i="1" s="1"/>
  <c r="I178" i="1"/>
  <c r="J178" i="1" s="1"/>
  <c r="M178" i="1" s="1"/>
  <c r="I186" i="1"/>
  <c r="J186" i="1" s="1"/>
  <c r="M186" i="1" s="1"/>
  <c r="I194" i="1"/>
  <c r="J194" i="1" s="1"/>
  <c r="M194" i="1" s="1"/>
  <c r="I202" i="1"/>
  <c r="J202" i="1" s="1"/>
  <c r="M202" i="1" s="1"/>
  <c r="I209" i="1"/>
  <c r="J209" i="1" s="1"/>
  <c r="M209" i="1" s="1"/>
  <c r="I214" i="1"/>
  <c r="J214" i="1" s="1"/>
  <c r="M214" i="1" s="1"/>
  <c r="I220" i="1"/>
  <c r="J220" i="1" s="1"/>
  <c r="M220" i="1" s="1"/>
  <c r="I225" i="1"/>
  <c r="J225" i="1" s="1"/>
  <c r="M225" i="1" s="1"/>
  <c r="I230" i="1"/>
  <c r="J230" i="1" s="1"/>
  <c r="M230" i="1" s="1"/>
  <c r="I236" i="1"/>
  <c r="J236" i="1" s="1"/>
  <c r="M236" i="1" s="1"/>
  <c r="I241" i="1"/>
  <c r="J241" i="1" s="1"/>
  <c r="M241" i="1" s="1"/>
  <c r="I245" i="1"/>
  <c r="J245" i="1" s="1"/>
  <c r="M245" i="1" s="1"/>
  <c r="I249" i="1"/>
  <c r="J249" i="1" s="1"/>
  <c r="M249" i="1" s="1"/>
  <c r="I253" i="1"/>
  <c r="J253" i="1" s="1"/>
  <c r="M253" i="1" s="1"/>
  <c r="I257" i="1"/>
  <c r="J257" i="1" s="1"/>
  <c r="M257" i="1" s="1"/>
  <c r="I273" i="1"/>
  <c r="J273" i="1" s="1"/>
  <c r="M273" i="1" s="1"/>
  <c r="I295" i="1"/>
  <c r="J295" i="1" s="1"/>
  <c r="M295" i="1" s="1"/>
  <c r="I316" i="1"/>
  <c r="J316" i="1" s="1"/>
  <c r="M316" i="1" s="1"/>
  <c r="I337" i="1"/>
  <c r="J337" i="1" s="1"/>
  <c r="M337" i="1" s="1"/>
  <c r="I359" i="1"/>
  <c r="J359" i="1" s="1"/>
  <c r="M359" i="1" s="1"/>
  <c r="I380" i="1"/>
  <c r="J380" i="1" s="1"/>
  <c r="M380" i="1" s="1"/>
  <c r="I391" i="1"/>
  <c r="J391" i="1" s="1"/>
  <c r="M391" i="1" s="1"/>
  <c r="I412" i="1"/>
  <c r="J412" i="1" s="1"/>
  <c r="M412" i="1" s="1"/>
  <c r="I433" i="1"/>
  <c r="J433" i="1" s="1"/>
  <c r="M433" i="1" s="1"/>
  <c r="I455" i="1"/>
  <c r="J455" i="1" s="1"/>
  <c r="M455" i="1" s="1"/>
  <c r="I476" i="1"/>
  <c r="J476" i="1" s="1"/>
  <c r="M476" i="1" s="1"/>
  <c r="I497" i="1"/>
  <c r="J497" i="1" s="1"/>
  <c r="M497" i="1" s="1"/>
  <c r="I6" i="1"/>
  <c r="J6" i="1" s="1"/>
  <c r="I22" i="1"/>
  <c r="J22" i="1" s="1"/>
  <c r="I38" i="1"/>
  <c r="J38" i="1" s="1"/>
  <c r="M38" i="1" s="1"/>
  <c r="I54" i="1"/>
  <c r="J54" i="1" s="1"/>
  <c r="M54" i="1" s="1"/>
  <c r="I70" i="1"/>
  <c r="J70" i="1" s="1"/>
  <c r="M70" i="1" s="1"/>
  <c r="I86" i="1"/>
  <c r="J86" i="1" s="1"/>
  <c r="M86" i="1" s="1"/>
  <c r="I102" i="1"/>
  <c r="J102" i="1" s="1"/>
  <c r="M102" i="1" s="1"/>
  <c r="I118" i="1"/>
  <c r="J118" i="1" s="1"/>
  <c r="M118" i="1" s="1"/>
  <c r="I134" i="1"/>
  <c r="J134" i="1" s="1"/>
  <c r="M134" i="1" s="1"/>
  <c r="I150" i="1"/>
  <c r="J150" i="1" s="1"/>
  <c r="M150" i="1" s="1"/>
  <c r="I166" i="1"/>
  <c r="J166" i="1" s="1"/>
  <c r="M166" i="1" s="1"/>
  <c r="I182" i="1"/>
  <c r="J182" i="1" s="1"/>
  <c r="M182" i="1" s="1"/>
  <c r="I198" i="1"/>
  <c r="J198" i="1" s="1"/>
  <c r="M198" i="1" s="1"/>
  <c r="I212" i="1"/>
  <c r="J212" i="1" s="1"/>
  <c r="M212" i="1" s="1"/>
  <c r="I222" i="1"/>
  <c r="J222" i="1" s="1"/>
  <c r="M222" i="1" s="1"/>
  <c r="I233" i="1"/>
  <c r="J233" i="1" s="1"/>
  <c r="M233" i="1" s="1"/>
  <c r="I243" i="1"/>
  <c r="J243" i="1" s="1"/>
  <c r="M243" i="1" s="1"/>
  <c r="I251" i="1"/>
  <c r="J251" i="1" s="1"/>
  <c r="M251" i="1" s="1"/>
  <c r="I897" i="1"/>
  <c r="J897" i="1" s="1"/>
  <c r="M897" i="1" s="1"/>
  <c r="I589" i="1"/>
  <c r="J589" i="1" s="1"/>
  <c r="M589" i="1" s="1"/>
  <c r="I675" i="1"/>
  <c r="J675" i="1" s="1"/>
  <c r="M675" i="1" s="1"/>
  <c r="I749" i="1"/>
  <c r="J749" i="1" s="1"/>
  <c r="M749" i="1" s="1"/>
  <c r="I276" i="1"/>
  <c r="J276" i="1" s="1"/>
  <c r="M276" i="1" s="1"/>
  <c r="I297" i="1"/>
  <c r="J297" i="1" s="1"/>
  <c r="M297" i="1" s="1"/>
  <c r="I319" i="1"/>
  <c r="J319" i="1" s="1"/>
  <c r="M319" i="1" s="1"/>
  <c r="I340" i="1"/>
  <c r="J340" i="1" s="1"/>
  <c r="M340" i="1" s="1"/>
  <c r="I361" i="1"/>
  <c r="J361" i="1" s="1"/>
  <c r="M361" i="1" s="1"/>
  <c r="I383" i="1"/>
  <c r="J383" i="1" s="1"/>
  <c r="M383" i="1" s="1"/>
  <c r="I404" i="1"/>
  <c r="J404" i="1" s="1"/>
  <c r="M404" i="1" s="1"/>
  <c r="I425" i="1"/>
  <c r="J425" i="1" s="1"/>
  <c r="M425" i="1" s="1"/>
  <c r="I447" i="1"/>
  <c r="J447" i="1" s="1"/>
  <c r="M447" i="1" s="1"/>
  <c r="I457" i="1"/>
  <c r="J457" i="1" s="1"/>
  <c r="M457" i="1" s="1"/>
  <c r="I479" i="1"/>
  <c r="J479" i="1" s="1"/>
  <c r="M479" i="1" s="1"/>
  <c r="I500" i="1"/>
  <c r="J500" i="1" s="1"/>
  <c r="M500" i="1" s="1"/>
  <c r="I16" i="1"/>
  <c r="J16" i="1" s="1"/>
  <c r="I32" i="1"/>
  <c r="J32" i="1" s="1"/>
  <c r="I48" i="1"/>
  <c r="J48" i="1" s="1"/>
  <c r="M48" i="1" s="1"/>
  <c r="I64" i="1"/>
  <c r="J64" i="1" s="1"/>
  <c r="M64" i="1" s="1"/>
  <c r="I80" i="1"/>
  <c r="J80" i="1" s="1"/>
  <c r="M80" i="1" s="1"/>
  <c r="I96" i="1"/>
  <c r="J96" i="1" s="1"/>
  <c r="M96" i="1" s="1"/>
  <c r="I112" i="1"/>
  <c r="J112" i="1" s="1"/>
  <c r="M112" i="1" s="1"/>
  <c r="I128" i="1"/>
  <c r="J128" i="1" s="1"/>
  <c r="M128" i="1" s="1"/>
  <c r="I144" i="1"/>
  <c r="J144" i="1" s="1"/>
  <c r="M144" i="1" s="1"/>
  <c r="I160" i="1"/>
  <c r="J160" i="1" s="1"/>
  <c r="M160" i="1" s="1"/>
  <c r="I176" i="1"/>
  <c r="J176" i="1" s="1"/>
  <c r="M176" i="1" s="1"/>
  <c r="I192" i="1"/>
  <c r="J192" i="1" s="1"/>
  <c r="M192" i="1" s="1"/>
  <c r="I208" i="1"/>
  <c r="J208" i="1" s="1"/>
  <c r="M208" i="1" s="1"/>
  <c r="I218" i="1"/>
  <c r="J218" i="1" s="1"/>
  <c r="M218" i="1" s="1"/>
  <c r="I229" i="1"/>
  <c r="J229" i="1" s="1"/>
  <c r="M229" i="1" s="1"/>
  <c r="I240" i="1"/>
  <c r="J240" i="1" s="1"/>
  <c r="M240" i="1" s="1"/>
  <c r="I248" i="1"/>
  <c r="J248" i="1" s="1"/>
  <c r="M248" i="1" s="1"/>
  <c r="I256" i="1"/>
  <c r="J256" i="1" s="1"/>
  <c r="M256" i="1" s="1"/>
  <c r="I1334" i="1"/>
  <c r="J1334" i="1" s="1"/>
  <c r="M1334" i="1" s="1"/>
  <c r="I1265" i="1"/>
  <c r="J1265" i="1" s="1"/>
  <c r="M1265" i="1" s="1"/>
  <c r="I811" i="1"/>
  <c r="J811" i="1" s="1"/>
  <c r="M811" i="1" s="1"/>
  <c r="I962" i="1"/>
  <c r="J962" i="1" s="1"/>
  <c r="M962" i="1" s="1"/>
  <c r="I525" i="1"/>
  <c r="J525" i="1" s="1"/>
  <c r="M525" i="1" s="1"/>
  <c r="I565" i="1"/>
  <c r="J565" i="1" s="1"/>
  <c r="M565" i="1" s="1"/>
  <c r="I611" i="1"/>
  <c r="J611" i="1" s="1"/>
  <c r="M611" i="1" s="1"/>
  <c r="I653" i="1"/>
  <c r="J653" i="1" s="1"/>
  <c r="M653" i="1" s="1"/>
  <c r="I693" i="1"/>
  <c r="J693" i="1" s="1"/>
  <c r="M693" i="1" s="1"/>
  <c r="I735" i="1"/>
  <c r="J735" i="1" s="1"/>
  <c r="M735" i="1" s="1"/>
  <c r="I764" i="1"/>
  <c r="J764" i="1" s="1"/>
  <c r="M764" i="1" s="1"/>
  <c r="I260" i="1"/>
  <c r="J260" i="1" s="1"/>
  <c r="M260" i="1" s="1"/>
  <c r="I271" i="1"/>
  <c r="J271" i="1" s="1"/>
  <c r="M271" i="1" s="1"/>
  <c r="I281" i="1"/>
  <c r="J281" i="1" s="1"/>
  <c r="M281" i="1" s="1"/>
  <c r="I292" i="1"/>
  <c r="J292" i="1" s="1"/>
  <c r="M292" i="1" s="1"/>
  <c r="I303" i="1"/>
  <c r="J303" i="1" s="1"/>
  <c r="M303" i="1" s="1"/>
  <c r="I313" i="1"/>
  <c r="J313" i="1" s="1"/>
  <c r="M313" i="1" s="1"/>
  <c r="I324" i="1"/>
  <c r="J324" i="1" s="1"/>
  <c r="M324" i="1" s="1"/>
  <c r="I335" i="1"/>
  <c r="J335" i="1" s="1"/>
  <c r="M335" i="1" s="1"/>
  <c r="I345" i="1"/>
  <c r="J345" i="1" s="1"/>
  <c r="M345" i="1" s="1"/>
  <c r="I356" i="1"/>
  <c r="J356" i="1" s="1"/>
  <c r="M356" i="1" s="1"/>
  <c r="I367" i="1"/>
  <c r="J367" i="1" s="1"/>
  <c r="M367" i="1" s="1"/>
  <c r="I377" i="1"/>
  <c r="J377" i="1" s="1"/>
  <c r="M377" i="1" s="1"/>
  <c r="I388" i="1"/>
  <c r="J388" i="1" s="1"/>
  <c r="M388" i="1" s="1"/>
  <c r="I399" i="1"/>
  <c r="J399" i="1" s="1"/>
  <c r="M399" i="1" s="1"/>
  <c r="I409" i="1"/>
  <c r="J409" i="1" s="1"/>
  <c r="M409" i="1" s="1"/>
  <c r="I420" i="1"/>
  <c r="J420" i="1" s="1"/>
  <c r="M420" i="1" s="1"/>
  <c r="I431" i="1"/>
  <c r="J431" i="1" s="1"/>
  <c r="M431" i="1" s="1"/>
  <c r="I441" i="1"/>
  <c r="J441" i="1" s="1"/>
  <c r="M441" i="1" s="1"/>
  <c r="I452" i="1"/>
  <c r="J452" i="1" s="1"/>
  <c r="M452" i="1" s="1"/>
  <c r="I463" i="1"/>
  <c r="J463" i="1" s="1"/>
  <c r="M463" i="1" s="1"/>
  <c r="I473" i="1"/>
  <c r="J473" i="1" s="1"/>
  <c r="M473" i="1" s="1"/>
  <c r="I484" i="1"/>
  <c r="J484" i="1" s="1"/>
  <c r="M484" i="1" s="1"/>
  <c r="I495" i="1"/>
  <c r="J495" i="1" s="1"/>
  <c r="M495" i="1" s="1"/>
  <c r="I505" i="1"/>
  <c r="J505" i="1" s="1"/>
  <c r="M505" i="1" s="1"/>
  <c r="I4" i="1"/>
  <c r="J4" i="1" s="1"/>
  <c r="I12" i="1"/>
  <c r="J12" i="1" s="1"/>
  <c r="I20" i="1"/>
  <c r="J20" i="1" s="1"/>
  <c r="I28" i="1"/>
  <c r="J28" i="1" s="1"/>
  <c r="I36" i="1"/>
  <c r="J36" i="1" s="1"/>
  <c r="I44" i="1"/>
  <c r="J44" i="1" s="1"/>
  <c r="M44" i="1" s="1"/>
  <c r="I52" i="1"/>
  <c r="J52" i="1" s="1"/>
  <c r="M52" i="1" s="1"/>
  <c r="I60" i="1"/>
  <c r="J60" i="1" s="1"/>
  <c r="M60" i="1" s="1"/>
  <c r="I68" i="1"/>
  <c r="J68" i="1" s="1"/>
  <c r="M68" i="1" s="1"/>
  <c r="I76" i="1"/>
  <c r="J76" i="1" s="1"/>
  <c r="M76" i="1" s="1"/>
  <c r="I84" i="1"/>
  <c r="J84" i="1" s="1"/>
  <c r="M84" i="1" s="1"/>
  <c r="I92" i="1"/>
  <c r="J92" i="1" s="1"/>
  <c r="M92" i="1" s="1"/>
  <c r="I100" i="1"/>
  <c r="J100" i="1" s="1"/>
  <c r="M100" i="1" s="1"/>
  <c r="I108" i="1"/>
  <c r="J108" i="1" s="1"/>
  <c r="M108" i="1" s="1"/>
  <c r="I116" i="1"/>
  <c r="J116" i="1" s="1"/>
  <c r="M116" i="1" s="1"/>
  <c r="I124" i="1"/>
  <c r="J124" i="1" s="1"/>
  <c r="M124" i="1" s="1"/>
  <c r="I132" i="1"/>
  <c r="J132" i="1" s="1"/>
  <c r="M132" i="1" s="1"/>
  <c r="I140" i="1"/>
  <c r="J140" i="1" s="1"/>
  <c r="M140" i="1" s="1"/>
  <c r="I148" i="1"/>
  <c r="J148" i="1" s="1"/>
  <c r="M148" i="1" s="1"/>
  <c r="I156" i="1"/>
  <c r="J156" i="1" s="1"/>
  <c r="M156" i="1" s="1"/>
  <c r="I164" i="1"/>
  <c r="J164" i="1" s="1"/>
  <c r="M164" i="1" s="1"/>
  <c r="I172" i="1"/>
  <c r="J172" i="1" s="1"/>
  <c r="M172" i="1" s="1"/>
  <c r="I180" i="1"/>
  <c r="J180" i="1" s="1"/>
  <c r="M180" i="1" s="1"/>
  <c r="I188" i="1"/>
  <c r="J188" i="1" s="1"/>
  <c r="M188" i="1" s="1"/>
  <c r="I196" i="1"/>
  <c r="J196" i="1" s="1"/>
  <c r="M196" i="1" s="1"/>
  <c r="I204" i="1"/>
  <c r="J204" i="1" s="1"/>
  <c r="M204" i="1" s="1"/>
  <c r="I210" i="1"/>
  <c r="J210" i="1" s="1"/>
  <c r="M210" i="1" s="1"/>
  <c r="I216" i="1"/>
  <c r="J216" i="1" s="1"/>
  <c r="M216" i="1" s="1"/>
  <c r="I221" i="1"/>
  <c r="J221" i="1" s="1"/>
  <c r="M221" i="1" s="1"/>
  <c r="I226" i="1"/>
  <c r="J226" i="1" s="1"/>
  <c r="M226" i="1" s="1"/>
  <c r="I232" i="1"/>
  <c r="J232" i="1" s="1"/>
  <c r="M232" i="1" s="1"/>
  <c r="I237" i="1"/>
  <c r="J237" i="1" s="1"/>
  <c r="M237" i="1" s="1"/>
  <c r="I242" i="1"/>
  <c r="J242" i="1" s="1"/>
  <c r="M242" i="1" s="1"/>
  <c r="I246" i="1"/>
  <c r="J246" i="1" s="1"/>
  <c r="M246" i="1" s="1"/>
  <c r="I250" i="1"/>
  <c r="J250" i="1" s="1"/>
  <c r="M250" i="1" s="1"/>
  <c r="I254" i="1"/>
  <c r="J254" i="1" s="1"/>
  <c r="M254" i="1" s="1"/>
  <c r="I854" i="1"/>
  <c r="J854" i="1" s="1"/>
  <c r="M854" i="1" s="1"/>
  <c r="I984" i="1"/>
  <c r="J984" i="1" s="1"/>
  <c r="M984" i="1" s="1"/>
  <c r="I533" i="1"/>
  <c r="J533" i="1" s="1"/>
  <c r="M533" i="1" s="1"/>
  <c r="I579" i="1"/>
  <c r="J579" i="1" s="1"/>
  <c r="M579" i="1" s="1"/>
  <c r="I621" i="1"/>
  <c r="J621" i="1" s="1"/>
  <c r="M621" i="1" s="1"/>
  <c r="I661" i="1"/>
  <c r="J661" i="1" s="1"/>
  <c r="M661" i="1" s="1"/>
  <c r="I707" i="1"/>
  <c r="J707" i="1" s="1"/>
  <c r="M707" i="1" s="1"/>
  <c r="I743" i="1"/>
  <c r="J743" i="1" s="1"/>
  <c r="M743" i="1" s="1"/>
  <c r="I768" i="1"/>
  <c r="J768" i="1" s="1"/>
  <c r="M768" i="1" s="1"/>
  <c r="I263" i="1"/>
  <c r="J263" i="1" s="1"/>
  <c r="M263" i="1" s="1"/>
  <c r="I284" i="1"/>
  <c r="J284" i="1" s="1"/>
  <c r="M284" i="1" s="1"/>
  <c r="I305" i="1"/>
  <c r="J305" i="1" s="1"/>
  <c r="M305" i="1" s="1"/>
  <c r="I327" i="1"/>
  <c r="J327" i="1" s="1"/>
  <c r="M327" i="1" s="1"/>
  <c r="I348" i="1"/>
  <c r="J348" i="1" s="1"/>
  <c r="M348" i="1" s="1"/>
  <c r="I369" i="1"/>
  <c r="J369" i="1" s="1"/>
  <c r="M369" i="1" s="1"/>
  <c r="I401" i="1"/>
  <c r="J401" i="1" s="1"/>
  <c r="M401" i="1" s="1"/>
  <c r="I423" i="1"/>
  <c r="J423" i="1" s="1"/>
  <c r="M423" i="1" s="1"/>
  <c r="I444" i="1"/>
  <c r="J444" i="1" s="1"/>
  <c r="M444" i="1" s="1"/>
  <c r="I465" i="1"/>
  <c r="J465" i="1" s="1"/>
  <c r="M465" i="1" s="1"/>
  <c r="I487" i="1"/>
  <c r="J487" i="1" s="1"/>
  <c r="M487" i="1" s="1"/>
  <c r="I508" i="1"/>
  <c r="J508" i="1" s="1"/>
  <c r="M508" i="1" s="1"/>
  <c r="I14" i="1"/>
  <c r="J14" i="1" s="1"/>
  <c r="I30" i="1"/>
  <c r="J30" i="1" s="1"/>
  <c r="I46" i="1"/>
  <c r="J46" i="1" s="1"/>
  <c r="M46" i="1" s="1"/>
  <c r="I62" i="1"/>
  <c r="J62" i="1" s="1"/>
  <c r="M62" i="1" s="1"/>
  <c r="I78" i="1"/>
  <c r="J78" i="1" s="1"/>
  <c r="M78" i="1" s="1"/>
  <c r="I94" i="1"/>
  <c r="J94" i="1" s="1"/>
  <c r="M94" i="1" s="1"/>
  <c r="I110" i="1"/>
  <c r="J110" i="1" s="1"/>
  <c r="M110" i="1" s="1"/>
  <c r="I126" i="1"/>
  <c r="J126" i="1" s="1"/>
  <c r="M126" i="1" s="1"/>
  <c r="I142" i="1"/>
  <c r="J142" i="1" s="1"/>
  <c r="M142" i="1" s="1"/>
  <c r="I158" i="1"/>
  <c r="J158" i="1" s="1"/>
  <c r="M158" i="1" s="1"/>
  <c r="I174" i="1"/>
  <c r="J174" i="1" s="1"/>
  <c r="M174" i="1" s="1"/>
  <c r="I190" i="1"/>
  <c r="J190" i="1" s="1"/>
  <c r="M190" i="1" s="1"/>
  <c r="I206" i="1"/>
  <c r="J206" i="1" s="1"/>
  <c r="M206" i="1" s="1"/>
  <c r="I217" i="1"/>
  <c r="J217" i="1" s="1"/>
  <c r="M217" i="1" s="1"/>
  <c r="I228" i="1"/>
  <c r="J228" i="1" s="1"/>
  <c r="M228" i="1" s="1"/>
  <c r="I238" i="1"/>
  <c r="J238" i="1" s="1"/>
  <c r="M238" i="1" s="1"/>
  <c r="I247" i="1"/>
  <c r="J247" i="1" s="1"/>
  <c r="M247" i="1" s="1"/>
  <c r="I255" i="1"/>
  <c r="J255" i="1" s="1"/>
  <c r="M255" i="1" s="1"/>
  <c r="I1005" i="1"/>
  <c r="J1005" i="1" s="1"/>
  <c r="M1005" i="1" s="1"/>
  <c r="I547" i="1"/>
  <c r="J547" i="1" s="1"/>
  <c r="M547" i="1" s="1"/>
  <c r="I629" i="1"/>
  <c r="J629" i="1" s="1"/>
  <c r="M629" i="1" s="1"/>
  <c r="I717" i="1"/>
  <c r="J717" i="1" s="1"/>
  <c r="M717" i="1" s="1"/>
  <c r="I265" i="1"/>
  <c r="J265" i="1" s="1"/>
  <c r="M265" i="1" s="1"/>
  <c r="I287" i="1"/>
  <c r="J287" i="1" s="1"/>
  <c r="M287" i="1" s="1"/>
  <c r="I308" i="1"/>
  <c r="J308" i="1" s="1"/>
  <c r="M308" i="1" s="1"/>
  <c r="I329" i="1"/>
  <c r="J329" i="1" s="1"/>
  <c r="M329" i="1" s="1"/>
  <c r="I351" i="1"/>
  <c r="J351" i="1" s="1"/>
  <c r="M351" i="1" s="1"/>
  <c r="I372" i="1"/>
  <c r="J372" i="1" s="1"/>
  <c r="M372" i="1" s="1"/>
  <c r="I393" i="1"/>
  <c r="J393" i="1" s="1"/>
  <c r="M393" i="1" s="1"/>
  <c r="I415" i="1"/>
  <c r="J415" i="1" s="1"/>
  <c r="M415" i="1" s="1"/>
  <c r="I436" i="1"/>
  <c r="J436" i="1" s="1"/>
  <c r="M436" i="1" s="1"/>
  <c r="I468" i="1"/>
  <c r="J468" i="1" s="1"/>
  <c r="M468" i="1" s="1"/>
  <c r="I489" i="1"/>
  <c r="J489" i="1" s="1"/>
  <c r="M489" i="1" s="1"/>
  <c r="I511" i="1"/>
  <c r="J511" i="1" s="1"/>
  <c r="M511" i="1" s="1"/>
  <c r="I8" i="1"/>
  <c r="J8" i="1" s="1"/>
  <c r="I24" i="1"/>
  <c r="J24" i="1" s="1"/>
  <c r="I40" i="1"/>
  <c r="J40" i="1" s="1"/>
  <c r="M40" i="1" s="1"/>
  <c r="I56" i="1"/>
  <c r="J56" i="1" s="1"/>
  <c r="M56" i="1" s="1"/>
  <c r="I72" i="1"/>
  <c r="J72" i="1" s="1"/>
  <c r="M72" i="1" s="1"/>
  <c r="I88" i="1"/>
  <c r="J88" i="1" s="1"/>
  <c r="M88" i="1" s="1"/>
  <c r="I104" i="1"/>
  <c r="J104" i="1" s="1"/>
  <c r="M104" i="1" s="1"/>
  <c r="I120" i="1"/>
  <c r="J120" i="1" s="1"/>
  <c r="M120" i="1" s="1"/>
  <c r="I136" i="1"/>
  <c r="J136" i="1" s="1"/>
  <c r="M136" i="1" s="1"/>
  <c r="I152" i="1"/>
  <c r="J152" i="1" s="1"/>
  <c r="M152" i="1" s="1"/>
  <c r="I168" i="1"/>
  <c r="J168" i="1" s="1"/>
  <c r="M168" i="1" s="1"/>
  <c r="I184" i="1"/>
  <c r="J184" i="1" s="1"/>
  <c r="M184" i="1" s="1"/>
  <c r="I200" i="1"/>
  <c r="J200" i="1" s="1"/>
  <c r="M200" i="1" s="1"/>
  <c r="I213" i="1"/>
  <c r="J213" i="1" s="1"/>
  <c r="M213" i="1" s="1"/>
  <c r="I224" i="1"/>
  <c r="J224" i="1" s="1"/>
  <c r="M224" i="1" s="1"/>
  <c r="I234" i="1"/>
  <c r="J234" i="1" s="1"/>
  <c r="M234" i="1" s="1"/>
  <c r="I244" i="1"/>
  <c r="J244" i="1" s="1"/>
  <c r="M244" i="1" s="1"/>
  <c r="I252" i="1"/>
  <c r="J252" i="1" s="1"/>
  <c r="M252" i="1" s="1"/>
  <c r="I2" i="1"/>
  <c r="J2" i="1" s="1"/>
  <c r="K1540" i="1"/>
  <c r="K1544" i="1"/>
  <c r="K1548" i="1"/>
  <c r="K1552" i="1"/>
  <c r="K1556" i="1"/>
  <c r="K1560" i="1"/>
  <c r="K1564" i="1"/>
  <c r="L1540" i="1"/>
  <c r="L1544" i="1"/>
  <c r="L1548" i="1"/>
  <c r="L1552" i="1"/>
  <c r="L1556" i="1"/>
  <c r="L1560" i="1"/>
  <c r="L1564" i="1"/>
  <c r="K1282" i="1"/>
  <c r="K1286" i="1"/>
  <c r="K1290" i="1"/>
  <c r="K1294" i="1"/>
  <c r="K1298" i="1"/>
  <c r="K1302" i="1"/>
  <c r="K1306" i="1"/>
  <c r="K1310" i="1"/>
  <c r="K1314" i="1"/>
  <c r="K1318" i="1"/>
  <c r="K1322" i="1"/>
  <c r="K1326" i="1"/>
  <c r="K1330" i="1"/>
  <c r="K1334" i="1"/>
  <c r="K1338" i="1"/>
  <c r="K1342" i="1"/>
  <c r="K1346" i="1"/>
  <c r="K1350" i="1"/>
  <c r="K1354" i="1"/>
  <c r="K1358" i="1"/>
  <c r="K1362" i="1"/>
  <c r="K1366" i="1"/>
  <c r="K1370" i="1"/>
  <c r="K1374" i="1"/>
  <c r="K1378" i="1"/>
  <c r="K1382" i="1"/>
  <c r="K1386" i="1"/>
  <c r="K1390" i="1"/>
  <c r="K1394" i="1"/>
  <c r="K1398" i="1"/>
  <c r="K1402" i="1"/>
  <c r="K1406" i="1"/>
  <c r="K1410" i="1"/>
  <c r="K1414" i="1"/>
  <c r="K1418" i="1"/>
  <c r="K1422" i="1"/>
  <c r="K1426" i="1"/>
  <c r="K1430" i="1"/>
  <c r="K1434" i="1"/>
  <c r="K1438" i="1"/>
  <c r="K1442" i="1"/>
  <c r="K1446" i="1"/>
  <c r="K1450" i="1"/>
  <c r="K1454" i="1"/>
  <c r="K1458" i="1"/>
  <c r="K1462" i="1"/>
  <c r="K1466" i="1"/>
  <c r="K1470" i="1"/>
  <c r="K1474" i="1"/>
  <c r="K1478" i="1"/>
  <c r="K1482" i="1"/>
  <c r="K1486" i="1"/>
  <c r="K1490" i="1"/>
  <c r="K1494" i="1"/>
  <c r="K1498" i="1"/>
  <c r="K1502" i="1"/>
  <c r="K1506" i="1"/>
  <c r="K1510" i="1"/>
  <c r="K1514" i="1"/>
  <c r="K1518" i="1"/>
  <c r="K1522" i="1"/>
  <c r="K1526" i="1"/>
  <c r="K1530" i="1"/>
  <c r="K1534" i="1"/>
  <c r="L1282" i="1"/>
  <c r="L1286" i="1"/>
  <c r="L1290" i="1"/>
  <c r="L1294" i="1"/>
  <c r="L1298" i="1"/>
  <c r="L1302" i="1"/>
  <c r="L1306" i="1"/>
  <c r="K1541" i="1"/>
  <c r="K1545" i="1"/>
  <c r="K1549" i="1"/>
  <c r="K1553" i="1"/>
  <c r="K1557" i="1"/>
  <c r="K1561" i="1"/>
  <c r="K1565" i="1"/>
  <c r="L1541" i="1"/>
  <c r="L1545" i="1"/>
  <c r="L1549" i="1"/>
  <c r="L1553" i="1"/>
  <c r="L1557" i="1"/>
  <c r="L1561" i="1"/>
  <c r="L1565" i="1"/>
  <c r="K1283" i="1"/>
  <c r="K1287" i="1"/>
  <c r="K1291" i="1"/>
  <c r="K1295" i="1"/>
  <c r="K1299" i="1"/>
  <c r="K1303" i="1"/>
  <c r="K1307" i="1"/>
  <c r="K1311" i="1"/>
  <c r="K1315" i="1"/>
  <c r="K1319" i="1"/>
  <c r="K1323" i="1"/>
  <c r="K1327" i="1"/>
  <c r="K1331" i="1"/>
  <c r="K1335" i="1"/>
  <c r="K1339" i="1"/>
  <c r="K1343" i="1"/>
  <c r="K1347" i="1"/>
  <c r="K1351" i="1"/>
  <c r="K1355" i="1"/>
  <c r="K1359" i="1"/>
  <c r="K1363" i="1"/>
  <c r="K1367" i="1"/>
  <c r="K1371" i="1"/>
  <c r="K1375" i="1"/>
  <c r="K1379" i="1"/>
  <c r="K1383" i="1"/>
  <c r="K1387" i="1"/>
  <c r="K1391" i="1"/>
  <c r="K1395" i="1"/>
  <c r="K1399" i="1"/>
  <c r="K1403" i="1"/>
  <c r="K1407" i="1"/>
  <c r="K1411" i="1"/>
  <c r="K1415" i="1"/>
  <c r="K1419" i="1"/>
  <c r="K1423" i="1"/>
  <c r="K1427" i="1"/>
  <c r="K1431" i="1"/>
  <c r="K1435" i="1"/>
  <c r="K1439" i="1"/>
  <c r="K1443" i="1"/>
  <c r="K1447" i="1"/>
  <c r="K1451" i="1"/>
  <c r="K1455" i="1"/>
  <c r="K1459" i="1"/>
  <c r="K1463" i="1"/>
  <c r="K1467" i="1"/>
  <c r="K1471" i="1"/>
  <c r="K1475" i="1"/>
  <c r="K1479" i="1"/>
  <c r="K1483" i="1"/>
  <c r="K1487" i="1"/>
  <c r="K1491" i="1"/>
  <c r="K1495" i="1"/>
  <c r="K1499" i="1"/>
  <c r="K1503" i="1"/>
  <c r="K1507" i="1"/>
  <c r="K1511" i="1"/>
  <c r="K1515" i="1"/>
  <c r="K1519" i="1"/>
  <c r="K1523" i="1"/>
  <c r="K1527" i="1"/>
  <c r="K1542" i="1"/>
  <c r="K1550" i="1"/>
  <c r="K1558" i="1"/>
  <c r="L1538" i="1"/>
  <c r="L1546" i="1"/>
  <c r="L1554" i="1"/>
  <c r="L1562" i="1"/>
  <c r="K1284" i="1"/>
  <c r="K1292" i="1"/>
  <c r="K1300" i="1"/>
  <c r="K1308" i="1"/>
  <c r="K1316" i="1"/>
  <c r="K1324" i="1"/>
  <c r="K1332" i="1"/>
  <c r="K1340" i="1"/>
  <c r="K1348" i="1"/>
  <c r="K1356" i="1"/>
  <c r="K1364" i="1"/>
  <c r="K1372" i="1"/>
  <c r="K1380" i="1"/>
  <c r="K1388" i="1"/>
  <c r="K1396" i="1"/>
  <c r="K1404" i="1"/>
  <c r="K1412" i="1"/>
  <c r="K1420" i="1"/>
  <c r="K1428" i="1"/>
  <c r="K1436" i="1"/>
  <c r="K1444" i="1"/>
  <c r="K1452" i="1"/>
  <c r="K1460" i="1"/>
  <c r="K1468" i="1"/>
  <c r="K1476" i="1"/>
  <c r="K1484" i="1"/>
  <c r="K1492" i="1"/>
  <c r="K1500" i="1"/>
  <c r="K1508" i="1"/>
  <c r="K1516" i="1"/>
  <c r="K1524" i="1"/>
  <c r="K1531" i="1"/>
  <c r="K1536" i="1"/>
  <c r="L1285" i="1"/>
  <c r="L1291" i="1"/>
  <c r="L1296" i="1"/>
  <c r="L1301" i="1"/>
  <c r="L1307" i="1"/>
  <c r="L1311" i="1"/>
  <c r="L1315" i="1"/>
  <c r="L1319" i="1"/>
  <c r="L1323" i="1"/>
  <c r="L1327" i="1"/>
  <c r="L1331" i="1"/>
  <c r="L1335" i="1"/>
  <c r="L1339" i="1"/>
  <c r="L1343" i="1"/>
  <c r="L1347" i="1"/>
  <c r="L1351" i="1"/>
  <c r="L1355" i="1"/>
  <c r="L1359" i="1"/>
  <c r="L1363" i="1"/>
  <c r="L1367" i="1"/>
  <c r="L1371" i="1"/>
  <c r="L1375" i="1"/>
  <c r="L1379" i="1"/>
  <c r="L1383" i="1"/>
  <c r="L1387" i="1"/>
  <c r="L1391" i="1"/>
  <c r="L1395" i="1"/>
  <c r="L1399" i="1"/>
  <c r="L1403" i="1"/>
  <c r="L1407" i="1"/>
  <c r="L1411" i="1"/>
  <c r="L1415" i="1"/>
  <c r="L1419" i="1"/>
  <c r="L1423" i="1"/>
  <c r="L1427" i="1"/>
  <c r="L1431" i="1"/>
  <c r="L1435" i="1"/>
  <c r="L1439" i="1"/>
  <c r="L1443" i="1"/>
  <c r="L1447" i="1"/>
  <c r="K1543" i="1"/>
  <c r="K1551" i="1"/>
  <c r="K1559" i="1"/>
  <c r="L1539" i="1"/>
  <c r="L1547" i="1"/>
  <c r="L1555" i="1"/>
  <c r="L1563" i="1"/>
  <c r="K1285" i="1"/>
  <c r="K1293" i="1"/>
  <c r="K1301" i="1"/>
  <c r="K1309" i="1"/>
  <c r="K1317" i="1"/>
  <c r="K1325" i="1"/>
  <c r="K1333" i="1"/>
  <c r="K1341" i="1"/>
  <c r="K1349" i="1"/>
  <c r="K1357" i="1"/>
  <c r="K1365" i="1"/>
  <c r="K1373" i="1"/>
  <c r="K1381" i="1"/>
  <c r="K1389" i="1"/>
  <c r="K1397" i="1"/>
  <c r="K1405" i="1"/>
  <c r="K1413" i="1"/>
  <c r="K1421" i="1"/>
  <c r="K1429" i="1"/>
  <c r="K1437" i="1"/>
  <c r="K1445" i="1"/>
  <c r="K1453" i="1"/>
  <c r="K1461" i="1"/>
  <c r="K1469" i="1"/>
  <c r="K1477" i="1"/>
  <c r="K1485" i="1"/>
  <c r="K1493" i="1"/>
  <c r="K1501" i="1"/>
  <c r="K1509" i="1"/>
  <c r="K1517" i="1"/>
  <c r="K1525" i="1"/>
  <c r="K1532" i="1"/>
  <c r="K1537" i="1"/>
  <c r="L1287" i="1"/>
  <c r="L1292" i="1"/>
  <c r="L1297" i="1"/>
  <c r="L1303" i="1"/>
  <c r="L1308" i="1"/>
  <c r="L1312" i="1"/>
  <c r="L1316" i="1"/>
  <c r="L1320" i="1"/>
  <c r="L1324" i="1"/>
  <c r="L1328" i="1"/>
  <c r="L1332" i="1"/>
  <c r="L1336" i="1"/>
  <c r="L1340" i="1"/>
  <c r="L1344" i="1"/>
  <c r="L1348" i="1"/>
  <c r="L1352" i="1"/>
  <c r="L1356" i="1"/>
  <c r="L1360" i="1"/>
  <c r="L1364" i="1"/>
  <c r="L1368" i="1"/>
  <c r="L1372" i="1"/>
  <c r="L1376" i="1"/>
  <c r="L1380" i="1"/>
  <c r="L1384" i="1"/>
  <c r="L1388" i="1"/>
  <c r="L1392" i="1"/>
  <c r="L1396" i="1"/>
  <c r="L1400" i="1"/>
  <c r="L1404" i="1"/>
  <c r="L1408" i="1"/>
  <c r="L1412" i="1"/>
  <c r="L1416" i="1"/>
  <c r="L1420" i="1"/>
  <c r="L1424" i="1"/>
  <c r="L1428" i="1"/>
  <c r="L1432" i="1"/>
  <c r="L1436" i="1"/>
  <c r="L1440" i="1"/>
  <c r="L1444" i="1"/>
  <c r="L1448" i="1"/>
  <c r="L1452" i="1"/>
  <c r="L1456" i="1"/>
  <c r="L1460" i="1"/>
  <c r="L1464" i="1"/>
  <c r="L1468" i="1"/>
  <c r="K1546" i="1"/>
  <c r="K1562" i="1"/>
  <c r="L1550" i="1"/>
  <c r="K1296" i="1"/>
  <c r="K1312" i="1"/>
  <c r="K1328" i="1"/>
  <c r="K1344" i="1"/>
  <c r="K1360" i="1"/>
  <c r="K1376" i="1"/>
  <c r="K1392" i="1"/>
  <c r="K1408" i="1"/>
  <c r="K1424" i="1"/>
  <c r="K1440" i="1"/>
  <c r="K1456" i="1"/>
  <c r="K1472" i="1"/>
  <c r="K1488" i="1"/>
  <c r="K1504" i="1"/>
  <c r="K1520" i="1"/>
  <c r="K1533" i="1"/>
  <c r="L1288" i="1"/>
  <c r="L1299" i="1"/>
  <c r="L1309" i="1"/>
  <c r="L1317" i="1"/>
  <c r="L1325" i="1"/>
  <c r="L1333" i="1"/>
  <c r="L1341" i="1"/>
  <c r="L1349" i="1"/>
  <c r="L1357" i="1"/>
  <c r="L1365" i="1"/>
  <c r="L1373" i="1"/>
  <c r="L1381" i="1"/>
  <c r="L1389" i="1"/>
  <c r="L1397" i="1"/>
  <c r="L1405" i="1"/>
  <c r="L1413" i="1"/>
  <c r="L1421" i="1"/>
  <c r="L1429" i="1"/>
  <c r="L1437" i="1"/>
  <c r="L1445" i="1"/>
  <c r="L1451" i="1"/>
  <c r="L1457" i="1"/>
  <c r="L1462" i="1"/>
  <c r="L1467" i="1"/>
  <c r="L1472" i="1"/>
  <c r="L1476" i="1"/>
  <c r="L1480" i="1"/>
  <c r="L1484" i="1"/>
  <c r="L1488" i="1"/>
  <c r="L1492" i="1"/>
  <c r="L1496" i="1"/>
  <c r="L1500" i="1"/>
  <c r="L1504" i="1"/>
  <c r="L1508" i="1"/>
  <c r="L1512" i="1"/>
  <c r="L1516" i="1"/>
  <c r="L1520" i="1"/>
  <c r="L1524" i="1"/>
  <c r="L1528" i="1"/>
  <c r="L1532" i="1"/>
  <c r="L1536" i="1"/>
  <c r="K1027" i="1"/>
  <c r="K1031" i="1"/>
  <c r="K1035" i="1"/>
  <c r="K1039" i="1"/>
  <c r="K1043" i="1"/>
  <c r="K1047" i="1"/>
  <c r="K1051" i="1"/>
  <c r="K1055" i="1"/>
  <c r="K1059" i="1"/>
  <c r="K1063" i="1"/>
  <c r="K1067" i="1"/>
  <c r="K1071" i="1"/>
  <c r="K1075" i="1"/>
  <c r="K1079" i="1"/>
  <c r="K1083" i="1"/>
  <c r="K1087" i="1"/>
  <c r="K1091" i="1"/>
  <c r="K1095" i="1"/>
  <c r="K1099" i="1"/>
  <c r="K1103" i="1"/>
  <c r="K1107" i="1"/>
  <c r="K1111" i="1"/>
  <c r="K1115" i="1"/>
  <c r="K1119" i="1"/>
  <c r="K1123" i="1"/>
  <c r="K1127" i="1"/>
  <c r="K1131" i="1"/>
  <c r="K1135" i="1"/>
  <c r="K1139" i="1"/>
  <c r="K1143" i="1"/>
  <c r="K1147" i="1"/>
  <c r="K1151" i="1"/>
  <c r="K1155" i="1"/>
  <c r="K1159" i="1"/>
  <c r="K1163" i="1"/>
  <c r="K1167" i="1"/>
  <c r="K1171" i="1"/>
  <c r="K1175" i="1"/>
  <c r="K1179" i="1"/>
  <c r="K1183" i="1"/>
  <c r="K1187" i="1"/>
  <c r="K1191" i="1"/>
  <c r="K1195" i="1"/>
  <c r="K1199" i="1"/>
  <c r="K1203" i="1"/>
  <c r="K1207" i="1"/>
  <c r="K1211" i="1"/>
  <c r="K1215" i="1"/>
  <c r="K1219" i="1"/>
  <c r="K1223" i="1"/>
  <c r="K1227" i="1"/>
  <c r="K1231" i="1"/>
  <c r="K1235" i="1"/>
  <c r="K1239" i="1"/>
  <c r="K1243" i="1"/>
  <c r="K1247" i="1"/>
  <c r="K1251" i="1"/>
  <c r="K1255" i="1"/>
  <c r="K1259" i="1"/>
  <c r="K1263" i="1"/>
  <c r="K1267" i="1"/>
  <c r="K1271" i="1"/>
  <c r="K1275" i="1"/>
  <c r="K1279" i="1"/>
  <c r="L1027" i="1"/>
  <c r="L1031" i="1"/>
  <c r="L1035" i="1"/>
  <c r="L1039" i="1"/>
  <c r="L1043" i="1"/>
  <c r="L1047" i="1"/>
  <c r="L1051" i="1"/>
  <c r="L1055" i="1"/>
  <c r="L1059" i="1"/>
  <c r="L1063" i="1"/>
  <c r="L1067" i="1"/>
  <c r="L1071" i="1"/>
  <c r="L1075" i="1"/>
  <c r="L1079" i="1"/>
  <c r="L1083" i="1"/>
  <c r="L1087" i="1"/>
  <c r="L1091" i="1"/>
  <c r="L1095" i="1"/>
  <c r="L1099" i="1"/>
  <c r="L1103" i="1"/>
  <c r="L1107" i="1"/>
  <c r="L1111" i="1"/>
  <c r="L1115" i="1"/>
  <c r="L1119" i="1"/>
  <c r="L1123" i="1"/>
  <c r="K1547" i="1"/>
  <c r="K1563" i="1"/>
  <c r="L1551" i="1"/>
  <c r="K1297" i="1"/>
  <c r="K1313" i="1"/>
  <c r="K1329" i="1"/>
  <c r="K1345" i="1"/>
  <c r="K1361" i="1"/>
  <c r="K1377" i="1"/>
  <c r="K1393" i="1"/>
  <c r="K1409" i="1"/>
  <c r="K1425" i="1"/>
  <c r="K1441" i="1"/>
  <c r="K1457" i="1"/>
  <c r="K1473" i="1"/>
  <c r="K1489" i="1"/>
  <c r="K1505" i="1"/>
  <c r="K1521" i="1"/>
  <c r="K1535" i="1"/>
  <c r="L1289" i="1"/>
  <c r="L1300" i="1"/>
  <c r="L1310" i="1"/>
  <c r="L1318" i="1"/>
  <c r="L1326" i="1"/>
  <c r="L1334" i="1"/>
  <c r="L1342" i="1"/>
  <c r="L1350" i="1"/>
  <c r="L1358" i="1"/>
  <c r="L1366" i="1"/>
  <c r="L1374" i="1"/>
  <c r="L1382" i="1"/>
  <c r="L1390" i="1"/>
  <c r="L1398" i="1"/>
  <c r="L1406" i="1"/>
  <c r="L1414" i="1"/>
  <c r="L1422" i="1"/>
  <c r="L1430" i="1"/>
  <c r="L1438" i="1"/>
  <c r="L1446" i="1"/>
  <c r="L1453" i="1"/>
  <c r="L1458" i="1"/>
  <c r="L1463" i="1"/>
  <c r="L1469" i="1"/>
  <c r="L1473" i="1"/>
  <c r="L1477" i="1"/>
  <c r="L1481" i="1"/>
  <c r="L1485" i="1"/>
  <c r="L1489" i="1"/>
  <c r="L1493" i="1"/>
  <c r="L1497" i="1"/>
  <c r="L1501" i="1"/>
  <c r="L1505" i="1"/>
  <c r="L1509" i="1"/>
  <c r="L1513" i="1"/>
  <c r="L1517" i="1"/>
  <c r="L1521" i="1"/>
  <c r="L1525" i="1"/>
  <c r="L1529" i="1"/>
  <c r="L1533" i="1"/>
  <c r="L1537" i="1"/>
  <c r="K1028" i="1"/>
  <c r="K1032" i="1"/>
  <c r="K1036" i="1"/>
  <c r="K1040" i="1"/>
  <c r="K1044" i="1"/>
  <c r="K1048" i="1"/>
  <c r="K1052" i="1"/>
  <c r="K1056" i="1"/>
  <c r="K1060" i="1"/>
  <c r="K1064" i="1"/>
  <c r="K1068" i="1"/>
  <c r="K1072" i="1"/>
  <c r="K1076" i="1"/>
  <c r="K1080" i="1"/>
  <c r="K1084" i="1"/>
  <c r="K1088" i="1"/>
  <c r="K1092" i="1"/>
  <c r="K1096" i="1"/>
  <c r="K1100" i="1"/>
  <c r="K1104" i="1"/>
  <c r="K1108" i="1"/>
  <c r="K1112" i="1"/>
  <c r="K1116" i="1"/>
  <c r="K1120" i="1"/>
  <c r="K1124" i="1"/>
  <c r="K1128" i="1"/>
  <c r="K1132" i="1"/>
  <c r="K1136" i="1"/>
  <c r="K1140" i="1"/>
  <c r="K1144" i="1"/>
  <c r="K1148" i="1"/>
  <c r="K1152" i="1"/>
  <c r="K1156" i="1"/>
  <c r="K1160" i="1"/>
  <c r="K1164" i="1"/>
  <c r="K1168" i="1"/>
  <c r="K1172" i="1"/>
  <c r="K1176" i="1"/>
  <c r="K1180" i="1"/>
  <c r="K1184" i="1"/>
  <c r="K1188" i="1"/>
  <c r="K1192" i="1"/>
  <c r="K1196" i="1"/>
  <c r="K1200" i="1"/>
  <c r="K1204" i="1"/>
  <c r="K1208" i="1"/>
  <c r="K1212" i="1"/>
  <c r="K1216" i="1"/>
  <c r="K1220" i="1"/>
  <c r="K1224" i="1"/>
  <c r="K1228" i="1"/>
  <c r="K1232" i="1"/>
  <c r="K1236" i="1"/>
  <c r="K1240" i="1"/>
  <c r="K1244" i="1"/>
  <c r="K1248" i="1"/>
  <c r="K1252" i="1"/>
  <c r="K1256" i="1"/>
  <c r="K1260" i="1"/>
  <c r="K1264" i="1"/>
  <c r="K1268" i="1"/>
  <c r="K1272" i="1"/>
  <c r="K1276" i="1"/>
  <c r="K1280" i="1"/>
  <c r="L1028" i="1"/>
  <c r="L1032" i="1"/>
  <c r="L1036" i="1"/>
  <c r="L1040" i="1"/>
  <c r="L1044" i="1"/>
  <c r="L1048" i="1"/>
  <c r="L1052" i="1"/>
  <c r="L1056" i="1"/>
  <c r="L1060" i="1"/>
  <c r="L1064" i="1"/>
  <c r="L1068" i="1"/>
  <c r="L1072" i="1"/>
  <c r="L1076" i="1"/>
  <c r="L1080" i="1"/>
  <c r="L1084" i="1"/>
  <c r="L1088" i="1"/>
  <c r="L1092" i="1"/>
  <c r="L1096" i="1"/>
  <c r="L1100" i="1"/>
  <c r="L1104" i="1"/>
  <c r="L1108" i="1"/>
  <c r="L1112" i="1"/>
  <c r="L1116" i="1"/>
  <c r="L1120" i="1"/>
  <c r="L1124" i="1"/>
  <c r="L1128" i="1"/>
  <c r="L1132" i="1"/>
  <c r="L1136" i="1"/>
  <c r="L1140" i="1"/>
  <c r="L1144" i="1"/>
  <c r="L1148" i="1"/>
  <c r="L1152" i="1"/>
  <c r="L1156" i="1"/>
  <c r="L1160" i="1"/>
  <c r="L1164" i="1"/>
  <c r="L1168" i="1"/>
  <c r="L1172" i="1"/>
  <c r="L1176" i="1"/>
  <c r="L1180" i="1"/>
  <c r="L1184" i="1"/>
  <c r="L1188" i="1"/>
  <c r="L1192" i="1"/>
  <c r="L1196" i="1"/>
  <c r="L1200" i="1"/>
  <c r="L1204" i="1"/>
  <c r="L1208" i="1"/>
  <c r="K1554" i="1"/>
  <c r="L1558" i="1"/>
  <c r="K1288" i="1"/>
  <c r="K1320" i="1"/>
  <c r="K1352" i="1"/>
  <c r="K1384" i="1"/>
  <c r="K1416" i="1"/>
  <c r="K1448" i="1"/>
  <c r="K1480" i="1"/>
  <c r="K1512" i="1"/>
  <c r="L1283" i="1"/>
  <c r="L1304" i="1"/>
  <c r="L1321" i="1"/>
  <c r="L1337" i="1"/>
  <c r="L1353" i="1"/>
  <c r="L1369" i="1"/>
  <c r="L1385" i="1"/>
  <c r="L1401" i="1"/>
  <c r="L1417" i="1"/>
  <c r="L1433" i="1"/>
  <c r="L1449" i="1"/>
  <c r="L1459" i="1"/>
  <c r="L1470" i="1"/>
  <c r="L1478" i="1"/>
  <c r="L1486" i="1"/>
  <c r="L1494" i="1"/>
  <c r="L1502" i="1"/>
  <c r="L1510" i="1"/>
  <c r="L1518" i="1"/>
  <c r="L1526" i="1"/>
  <c r="L1534" i="1"/>
  <c r="K1029" i="1"/>
  <c r="K1037" i="1"/>
  <c r="K1045" i="1"/>
  <c r="K1053" i="1"/>
  <c r="K1061" i="1"/>
  <c r="K1069" i="1"/>
  <c r="K1077" i="1"/>
  <c r="K1085" i="1"/>
  <c r="K1093" i="1"/>
  <c r="K1101" i="1"/>
  <c r="K1109" i="1"/>
  <c r="K1117" i="1"/>
  <c r="K1125" i="1"/>
  <c r="K1133" i="1"/>
  <c r="K1141" i="1"/>
  <c r="K1149" i="1"/>
  <c r="K1157" i="1"/>
  <c r="K1165" i="1"/>
  <c r="K1173" i="1"/>
  <c r="K1181" i="1"/>
  <c r="K1189" i="1"/>
  <c r="K1197" i="1"/>
  <c r="K1205" i="1"/>
  <c r="K1213" i="1"/>
  <c r="K1221" i="1"/>
  <c r="K1229" i="1"/>
  <c r="K1237" i="1"/>
  <c r="K1245" i="1"/>
  <c r="K1253" i="1"/>
  <c r="K1261" i="1"/>
  <c r="K1269" i="1"/>
  <c r="K1277" i="1"/>
  <c r="L1029" i="1"/>
  <c r="L1037" i="1"/>
  <c r="L1045" i="1"/>
  <c r="L1053" i="1"/>
  <c r="L1061" i="1"/>
  <c r="L1069" i="1"/>
  <c r="L1077" i="1"/>
  <c r="L1085" i="1"/>
  <c r="L1093" i="1"/>
  <c r="L1101" i="1"/>
  <c r="L1109" i="1"/>
  <c r="L1117" i="1"/>
  <c r="L1125" i="1"/>
  <c r="L1130" i="1"/>
  <c r="L1135" i="1"/>
  <c r="L1141" i="1"/>
  <c r="L1146" i="1"/>
  <c r="L1151" i="1"/>
  <c r="L1157" i="1"/>
  <c r="L1162" i="1"/>
  <c r="L1167" i="1"/>
  <c r="L1173" i="1"/>
  <c r="L1178" i="1"/>
  <c r="L1183" i="1"/>
  <c r="L1189" i="1"/>
  <c r="L1194" i="1"/>
  <c r="L1199" i="1"/>
  <c r="L1205" i="1"/>
  <c r="L1210" i="1"/>
  <c r="L1214" i="1"/>
  <c r="L1218" i="1"/>
  <c r="L1222" i="1"/>
  <c r="L1226" i="1"/>
  <c r="L1230" i="1"/>
  <c r="L1234" i="1"/>
  <c r="L1238" i="1"/>
  <c r="L1242" i="1"/>
  <c r="L1246" i="1"/>
  <c r="L1250" i="1"/>
  <c r="L1254" i="1"/>
  <c r="L1258" i="1"/>
  <c r="L1262" i="1"/>
  <c r="L1266" i="1"/>
  <c r="L1270" i="1"/>
  <c r="L1274" i="1"/>
  <c r="L1278" i="1"/>
  <c r="K770" i="1"/>
  <c r="K774" i="1"/>
  <c r="K778" i="1"/>
  <c r="K782" i="1"/>
  <c r="K786" i="1"/>
  <c r="K790" i="1"/>
  <c r="K794" i="1"/>
  <c r="K798" i="1"/>
  <c r="K802" i="1"/>
  <c r="K806" i="1"/>
  <c r="K810" i="1"/>
  <c r="K814" i="1"/>
  <c r="K818" i="1"/>
  <c r="K822" i="1"/>
  <c r="K826" i="1"/>
  <c r="K830" i="1"/>
  <c r="K834" i="1"/>
  <c r="K838" i="1"/>
  <c r="K842" i="1"/>
  <c r="K846" i="1"/>
  <c r="K850" i="1"/>
  <c r="K854" i="1"/>
  <c r="K858" i="1"/>
  <c r="K862" i="1"/>
  <c r="K866" i="1"/>
  <c r="K870" i="1"/>
  <c r="K874" i="1"/>
  <c r="K878" i="1"/>
  <c r="K882" i="1"/>
  <c r="K886" i="1"/>
  <c r="K890" i="1"/>
  <c r="K894" i="1"/>
  <c r="K898" i="1"/>
  <c r="K902" i="1"/>
  <c r="K906" i="1"/>
  <c r="K910" i="1"/>
  <c r="K914" i="1"/>
  <c r="K918" i="1"/>
  <c r="K922" i="1"/>
  <c r="K926" i="1"/>
  <c r="K930" i="1"/>
  <c r="K934" i="1"/>
  <c r="K938" i="1"/>
  <c r="K942" i="1"/>
  <c r="K946" i="1"/>
  <c r="K950" i="1"/>
  <c r="K954" i="1"/>
  <c r="K958" i="1"/>
  <c r="K962" i="1"/>
  <c r="K966" i="1"/>
  <c r="K970" i="1"/>
  <c r="K974" i="1"/>
  <c r="K978" i="1"/>
  <c r="K982" i="1"/>
  <c r="K986" i="1"/>
  <c r="K990" i="1"/>
  <c r="K994" i="1"/>
  <c r="K998" i="1"/>
  <c r="K1002" i="1"/>
  <c r="K1006" i="1"/>
  <c r="K1010" i="1"/>
  <c r="K1555" i="1"/>
  <c r="L1559" i="1"/>
  <c r="K1289" i="1"/>
  <c r="K1321" i="1"/>
  <c r="K1353" i="1"/>
  <c r="K1385" i="1"/>
  <c r="K1417" i="1"/>
  <c r="K1449" i="1"/>
  <c r="K1481" i="1"/>
  <c r="K1513" i="1"/>
  <c r="L1284" i="1"/>
  <c r="L1305" i="1"/>
  <c r="L1322" i="1"/>
  <c r="L1338" i="1"/>
  <c r="L1354" i="1"/>
  <c r="L1370" i="1"/>
  <c r="L1386" i="1"/>
  <c r="L1402" i="1"/>
  <c r="L1418" i="1"/>
  <c r="L1434" i="1"/>
  <c r="L1450" i="1"/>
  <c r="L1461" i="1"/>
  <c r="L1471" i="1"/>
  <c r="L1479" i="1"/>
  <c r="L1487" i="1"/>
  <c r="L1495" i="1"/>
  <c r="L1503" i="1"/>
  <c r="L1511" i="1"/>
  <c r="L1519" i="1"/>
  <c r="L1527" i="1"/>
  <c r="L1535" i="1"/>
  <c r="K1030" i="1"/>
  <c r="K1038" i="1"/>
  <c r="K1046" i="1"/>
  <c r="K1054" i="1"/>
  <c r="K1062" i="1"/>
  <c r="K1070" i="1"/>
  <c r="K1078" i="1"/>
  <c r="K1086" i="1"/>
  <c r="K1094" i="1"/>
  <c r="K1102" i="1"/>
  <c r="K1110" i="1"/>
  <c r="K1118" i="1"/>
  <c r="K1126" i="1"/>
  <c r="K1134" i="1"/>
  <c r="K1142" i="1"/>
  <c r="K1150" i="1"/>
  <c r="K1158" i="1"/>
  <c r="K1166" i="1"/>
  <c r="K1174" i="1"/>
  <c r="K1182" i="1"/>
  <c r="K1190" i="1"/>
  <c r="K1198" i="1"/>
  <c r="K1206" i="1"/>
  <c r="K1214" i="1"/>
  <c r="K1222" i="1"/>
  <c r="K1230" i="1"/>
  <c r="K1238" i="1"/>
  <c r="K1246" i="1"/>
  <c r="K1254" i="1"/>
  <c r="K1262" i="1"/>
  <c r="K1270" i="1"/>
  <c r="K1278" i="1"/>
  <c r="L1030" i="1"/>
  <c r="L1038" i="1"/>
  <c r="L1046" i="1"/>
  <c r="L1054" i="1"/>
  <c r="L1062" i="1"/>
  <c r="L1070" i="1"/>
  <c r="L1078" i="1"/>
  <c r="L1086" i="1"/>
  <c r="L1094" i="1"/>
  <c r="L1102" i="1"/>
  <c r="L1110" i="1"/>
  <c r="L1118" i="1"/>
  <c r="L1126" i="1"/>
  <c r="L1131" i="1"/>
  <c r="L1137" i="1"/>
  <c r="L1142" i="1"/>
  <c r="L1147" i="1"/>
  <c r="L1153" i="1"/>
  <c r="L1158" i="1"/>
  <c r="L1163" i="1"/>
  <c r="L1169" i="1"/>
  <c r="L1174" i="1"/>
  <c r="L1179" i="1"/>
  <c r="L1185" i="1"/>
  <c r="L1190" i="1"/>
  <c r="L1195" i="1"/>
  <c r="L1201" i="1"/>
  <c r="L1206" i="1"/>
  <c r="L1211" i="1"/>
  <c r="L1215" i="1"/>
  <c r="L1219" i="1"/>
  <c r="L1223" i="1"/>
  <c r="L1227" i="1"/>
  <c r="L1231" i="1"/>
  <c r="L1235" i="1"/>
  <c r="L1239" i="1"/>
  <c r="L1243" i="1"/>
  <c r="L1247" i="1"/>
  <c r="L1251" i="1"/>
  <c r="L1255" i="1"/>
  <c r="L1259" i="1"/>
  <c r="L1263" i="1"/>
  <c r="L1267" i="1"/>
  <c r="L1271" i="1"/>
  <c r="L1275" i="1"/>
  <c r="L1279" i="1"/>
  <c r="K771" i="1"/>
  <c r="K775" i="1"/>
  <c r="K779" i="1"/>
  <c r="K783" i="1"/>
  <c r="K787" i="1"/>
  <c r="K791" i="1"/>
  <c r="K795" i="1"/>
  <c r="K799" i="1"/>
  <c r="K803" i="1"/>
  <c r="K807" i="1"/>
  <c r="K811" i="1"/>
  <c r="K815" i="1"/>
  <c r="K819" i="1"/>
  <c r="K823" i="1"/>
  <c r="K827" i="1"/>
  <c r="K831" i="1"/>
  <c r="K835" i="1"/>
  <c r="K839" i="1"/>
  <c r="K843" i="1"/>
  <c r="K847" i="1"/>
  <c r="K851" i="1"/>
  <c r="K855" i="1"/>
  <c r="K859" i="1"/>
  <c r="K863" i="1"/>
  <c r="K867" i="1"/>
  <c r="K871" i="1"/>
  <c r="K875" i="1"/>
  <c r="K879" i="1"/>
  <c r="K883" i="1"/>
  <c r="K887" i="1"/>
  <c r="K891" i="1"/>
  <c r="K895" i="1"/>
  <c r="K899" i="1"/>
  <c r="K903" i="1"/>
  <c r="K907" i="1"/>
  <c r="K911" i="1"/>
  <c r="K915" i="1"/>
  <c r="K919" i="1"/>
  <c r="K923" i="1"/>
  <c r="K927" i="1"/>
  <c r="K931" i="1"/>
  <c r="K935" i="1"/>
  <c r="K939" i="1"/>
  <c r="K943" i="1"/>
  <c r="K947" i="1"/>
  <c r="K951" i="1"/>
  <c r="K955" i="1"/>
  <c r="K959" i="1"/>
  <c r="K963" i="1"/>
  <c r="K967" i="1"/>
  <c r="K971" i="1"/>
  <c r="K975" i="1"/>
  <c r="K979" i="1"/>
  <c r="K983" i="1"/>
  <c r="K987" i="1"/>
  <c r="K991" i="1"/>
  <c r="K995" i="1"/>
  <c r="K999" i="1"/>
  <c r="K1003" i="1"/>
  <c r="K1007" i="1"/>
  <c r="K1011" i="1"/>
  <c r="K1015" i="1"/>
  <c r="K1019" i="1"/>
  <c r="K1023" i="1"/>
  <c r="L771" i="1"/>
  <c r="L775" i="1"/>
  <c r="L779" i="1"/>
  <c r="L783" i="1"/>
  <c r="L787" i="1"/>
  <c r="L791" i="1"/>
  <c r="L795" i="1"/>
  <c r="L799" i="1"/>
  <c r="L803" i="1"/>
  <c r="L807" i="1"/>
  <c r="L811" i="1"/>
  <c r="L815" i="1"/>
  <c r="L819" i="1"/>
  <c r="L823" i="1"/>
  <c r="L827" i="1"/>
  <c r="L831" i="1"/>
  <c r="L835" i="1"/>
  <c r="L839" i="1"/>
  <c r="L843" i="1"/>
  <c r="L847" i="1"/>
  <c r="L851" i="1"/>
  <c r="L855" i="1"/>
  <c r="L859" i="1"/>
  <c r="L863" i="1"/>
  <c r="L867" i="1"/>
  <c r="L871" i="1"/>
  <c r="L875" i="1"/>
  <c r="L879" i="1"/>
  <c r="L1542" i="1"/>
  <c r="K1304" i="1"/>
  <c r="K1368" i="1"/>
  <c r="K1432" i="1"/>
  <c r="K1496" i="1"/>
  <c r="L1293" i="1"/>
  <c r="L1329" i="1"/>
  <c r="L1361" i="1"/>
  <c r="L1393" i="1"/>
  <c r="L1425" i="1"/>
  <c r="L1454" i="1"/>
  <c r="L1474" i="1"/>
  <c r="L1490" i="1"/>
  <c r="L1506" i="1"/>
  <c r="L1522" i="1"/>
  <c r="K1041" i="1"/>
  <c r="K1057" i="1"/>
  <c r="K1073" i="1"/>
  <c r="K1089" i="1"/>
  <c r="K1105" i="1"/>
  <c r="K1121" i="1"/>
  <c r="K1137" i="1"/>
  <c r="K1153" i="1"/>
  <c r="K1169" i="1"/>
  <c r="K1185" i="1"/>
  <c r="K1201" i="1"/>
  <c r="K1217" i="1"/>
  <c r="K1233" i="1"/>
  <c r="K1249" i="1"/>
  <c r="K1265" i="1"/>
  <c r="K1281" i="1"/>
  <c r="L1041" i="1"/>
  <c r="L1057" i="1"/>
  <c r="L1073" i="1"/>
  <c r="L1089" i="1"/>
  <c r="L1105" i="1"/>
  <c r="L1121" i="1"/>
  <c r="L1133" i="1"/>
  <c r="L1143" i="1"/>
  <c r="L1154" i="1"/>
  <c r="L1165" i="1"/>
  <c r="L1175" i="1"/>
  <c r="L1186" i="1"/>
  <c r="L1197" i="1"/>
  <c r="L1207" i="1"/>
  <c r="L1216" i="1"/>
  <c r="L1224" i="1"/>
  <c r="L1232" i="1"/>
  <c r="L1240" i="1"/>
  <c r="L1248" i="1"/>
  <c r="L1256" i="1"/>
  <c r="L1264" i="1"/>
  <c r="L1272" i="1"/>
  <c r="L1280" i="1"/>
  <c r="K776" i="1"/>
  <c r="K784" i="1"/>
  <c r="K792" i="1"/>
  <c r="K800" i="1"/>
  <c r="K808" i="1"/>
  <c r="K816" i="1"/>
  <c r="K824" i="1"/>
  <c r="K832" i="1"/>
  <c r="K840" i="1"/>
  <c r="K848" i="1"/>
  <c r="K856" i="1"/>
  <c r="K864" i="1"/>
  <c r="K872" i="1"/>
  <c r="K880" i="1"/>
  <c r="K888" i="1"/>
  <c r="K896" i="1"/>
  <c r="K904" i="1"/>
  <c r="K912" i="1"/>
  <c r="K920" i="1"/>
  <c r="K928" i="1"/>
  <c r="K936" i="1"/>
  <c r="K944" i="1"/>
  <c r="K952" i="1"/>
  <c r="K960" i="1"/>
  <c r="K968" i="1"/>
  <c r="K976" i="1"/>
  <c r="K984" i="1"/>
  <c r="K992" i="1"/>
  <c r="K1000" i="1"/>
  <c r="K1008" i="1"/>
  <c r="K1014" i="1"/>
  <c r="K1020" i="1"/>
  <c r="K1025" i="1"/>
  <c r="L774" i="1"/>
  <c r="L780" i="1"/>
  <c r="L785" i="1"/>
  <c r="L790" i="1"/>
  <c r="L796" i="1"/>
  <c r="L801" i="1"/>
  <c r="L806" i="1"/>
  <c r="L812" i="1"/>
  <c r="L817" i="1"/>
  <c r="L822" i="1"/>
  <c r="L828" i="1"/>
  <c r="L833" i="1"/>
  <c r="L838" i="1"/>
  <c r="L844" i="1"/>
  <c r="L849" i="1"/>
  <c r="L854" i="1"/>
  <c r="L860" i="1"/>
  <c r="L865" i="1"/>
  <c r="L870" i="1"/>
  <c r="L876" i="1"/>
  <c r="L881" i="1"/>
  <c r="L885" i="1"/>
  <c r="L889" i="1"/>
  <c r="L893" i="1"/>
  <c r="L897" i="1"/>
  <c r="L901" i="1"/>
  <c r="L905" i="1"/>
  <c r="L909" i="1"/>
  <c r="L913" i="1"/>
  <c r="L917" i="1"/>
  <c r="L921" i="1"/>
  <c r="L925" i="1"/>
  <c r="L929" i="1"/>
  <c r="L933" i="1"/>
  <c r="L937" i="1"/>
  <c r="L941" i="1"/>
  <c r="L945" i="1"/>
  <c r="L949" i="1"/>
  <c r="L953" i="1"/>
  <c r="L957" i="1"/>
  <c r="L961" i="1"/>
  <c r="L965" i="1"/>
  <c r="L969" i="1"/>
  <c r="L973" i="1"/>
  <c r="L977" i="1"/>
  <c r="L981" i="1"/>
  <c r="L985" i="1"/>
  <c r="L989" i="1"/>
  <c r="L993" i="1"/>
  <c r="L997" i="1"/>
  <c r="L1001" i="1"/>
  <c r="L1005" i="1"/>
  <c r="L1009" i="1"/>
  <c r="L1013" i="1"/>
  <c r="L1017" i="1"/>
  <c r="L1021" i="1"/>
  <c r="L1025" i="1"/>
  <c r="K517" i="1"/>
  <c r="K521" i="1"/>
  <c r="K525" i="1"/>
  <c r="K529" i="1"/>
  <c r="K533" i="1"/>
  <c r="K537" i="1"/>
  <c r="K541" i="1"/>
  <c r="K545" i="1"/>
  <c r="K549" i="1"/>
  <c r="K553" i="1"/>
  <c r="K557" i="1"/>
  <c r="K561" i="1"/>
  <c r="K565" i="1"/>
  <c r="K569" i="1"/>
  <c r="K573" i="1"/>
  <c r="K577" i="1"/>
  <c r="K581" i="1"/>
  <c r="K585" i="1"/>
  <c r="K589" i="1"/>
  <c r="K593" i="1"/>
  <c r="K597" i="1"/>
  <c r="K601" i="1"/>
  <c r="K605" i="1"/>
  <c r="K609" i="1"/>
  <c r="K613" i="1"/>
  <c r="K617" i="1"/>
  <c r="K621" i="1"/>
  <c r="K625" i="1"/>
  <c r="K629" i="1"/>
  <c r="K633" i="1"/>
  <c r="K637" i="1"/>
  <c r="K641" i="1"/>
  <c r="K645" i="1"/>
  <c r="K649" i="1"/>
  <c r="K653" i="1"/>
  <c r="K657" i="1"/>
  <c r="K661" i="1"/>
  <c r="K665" i="1"/>
  <c r="K669" i="1"/>
  <c r="K673" i="1"/>
  <c r="K677" i="1"/>
  <c r="K681" i="1"/>
  <c r="K685" i="1"/>
  <c r="K689" i="1"/>
  <c r="K693" i="1"/>
  <c r="K697" i="1"/>
  <c r="K701" i="1"/>
  <c r="K705" i="1"/>
  <c r="K709" i="1"/>
  <c r="K713" i="1"/>
  <c r="K717" i="1"/>
  <c r="K721" i="1"/>
  <c r="K725" i="1"/>
  <c r="K729" i="1"/>
  <c r="K733" i="1"/>
  <c r="K737" i="1"/>
  <c r="K741" i="1"/>
  <c r="K745" i="1"/>
  <c r="K749" i="1"/>
  <c r="K753" i="1"/>
  <c r="K757" i="1"/>
  <c r="K761" i="1"/>
  <c r="K765" i="1"/>
  <c r="K769" i="1"/>
  <c r="L517" i="1"/>
  <c r="L521" i="1"/>
  <c r="L525" i="1"/>
  <c r="L529" i="1"/>
  <c r="L533" i="1"/>
  <c r="L537" i="1"/>
  <c r="L541" i="1"/>
  <c r="L545" i="1"/>
  <c r="L549" i="1"/>
  <c r="L553" i="1"/>
  <c r="L557" i="1"/>
  <c r="L561" i="1"/>
  <c r="L565" i="1"/>
  <c r="L569" i="1"/>
  <c r="L573" i="1"/>
  <c r="L577" i="1"/>
  <c r="L581" i="1"/>
  <c r="L585" i="1"/>
  <c r="L589" i="1"/>
  <c r="L593" i="1"/>
  <c r="L597" i="1"/>
  <c r="L601" i="1"/>
  <c r="L605" i="1"/>
  <c r="L609" i="1"/>
  <c r="L613" i="1"/>
  <c r="L617" i="1"/>
  <c r="L621" i="1"/>
  <c r="L625" i="1"/>
  <c r="L629" i="1"/>
  <c r="L633" i="1"/>
  <c r="L637" i="1"/>
  <c r="L641" i="1"/>
  <c r="L645" i="1"/>
  <c r="L649" i="1"/>
  <c r="L653" i="1"/>
  <c r="L657" i="1"/>
  <c r="L661" i="1"/>
  <c r="L665" i="1"/>
  <c r="L669" i="1"/>
  <c r="L673" i="1"/>
  <c r="L677" i="1"/>
  <c r="L681" i="1"/>
  <c r="L685" i="1"/>
  <c r="L689" i="1"/>
  <c r="L693" i="1"/>
  <c r="L697" i="1"/>
  <c r="L701" i="1"/>
  <c r="L705" i="1"/>
  <c r="L709" i="1"/>
  <c r="L713" i="1"/>
  <c r="L717" i="1"/>
  <c r="L721" i="1"/>
  <c r="L725" i="1"/>
  <c r="L729" i="1"/>
  <c r="L733" i="1"/>
  <c r="L737" i="1"/>
  <c r="L741" i="1"/>
  <c r="L745" i="1"/>
  <c r="L749" i="1"/>
  <c r="L753" i="1"/>
  <c r="L757" i="1"/>
  <c r="L761" i="1"/>
  <c r="L765" i="1"/>
  <c r="L769" i="1"/>
  <c r="K261" i="1"/>
  <c r="K265" i="1"/>
  <c r="K269" i="1"/>
  <c r="K273" i="1"/>
  <c r="K277" i="1"/>
  <c r="K281" i="1"/>
  <c r="K285" i="1"/>
  <c r="K289" i="1"/>
  <c r="K293" i="1"/>
  <c r="K297" i="1"/>
  <c r="K301" i="1"/>
  <c r="K305" i="1"/>
  <c r="K309" i="1"/>
  <c r="K313" i="1"/>
  <c r="K317" i="1"/>
  <c r="K321" i="1"/>
  <c r="K325" i="1"/>
  <c r="K329" i="1"/>
  <c r="K333" i="1"/>
  <c r="K337" i="1"/>
  <c r="K341" i="1"/>
  <c r="K345" i="1"/>
  <c r="K349" i="1"/>
  <c r="K353" i="1"/>
  <c r="K357" i="1"/>
  <c r="K361" i="1"/>
  <c r="K365" i="1"/>
  <c r="K369" i="1"/>
  <c r="K373" i="1"/>
  <c r="K377" i="1"/>
  <c r="K381" i="1"/>
  <c r="K385" i="1"/>
  <c r="K389" i="1"/>
  <c r="K393" i="1"/>
  <c r="K397" i="1"/>
  <c r="K401" i="1"/>
  <c r="K405" i="1"/>
  <c r="K409" i="1"/>
  <c r="K413" i="1"/>
  <c r="K417" i="1"/>
  <c r="K421" i="1"/>
  <c r="K425" i="1"/>
  <c r="K429" i="1"/>
  <c r="K433" i="1"/>
  <c r="K437" i="1"/>
  <c r="K441" i="1"/>
  <c r="K445" i="1"/>
  <c r="K449" i="1"/>
  <c r="K453" i="1"/>
  <c r="K457" i="1"/>
  <c r="K461" i="1"/>
  <c r="K465" i="1"/>
  <c r="K469" i="1"/>
  <c r="K473" i="1"/>
  <c r="K477" i="1"/>
  <c r="K481" i="1"/>
  <c r="K485" i="1"/>
  <c r="K489" i="1"/>
  <c r="K493" i="1"/>
  <c r="K497" i="1"/>
  <c r="K501" i="1"/>
  <c r="K505" i="1"/>
  <c r="K509" i="1"/>
  <c r="K513" i="1"/>
  <c r="L261" i="1"/>
  <c r="L265" i="1"/>
  <c r="L269" i="1"/>
  <c r="L273" i="1"/>
  <c r="L277" i="1"/>
  <c r="L1543" i="1"/>
  <c r="K1305" i="1"/>
  <c r="K1369" i="1"/>
  <c r="K1433" i="1"/>
  <c r="K1497" i="1"/>
  <c r="L1295" i="1"/>
  <c r="L1330" i="1"/>
  <c r="L1362" i="1"/>
  <c r="L1394" i="1"/>
  <c r="L1426" i="1"/>
  <c r="L1455" i="1"/>
  <c r="L1475" i="1"/>
  <c r="L1491" i="1"/>
  <c r="L1507" i="1"/>
  <c r="L1523" i="1"/>
  <c r="K1026" i="1"/>
  <c r="K1042" i="1"/>
  <c r="K1058" i="1"/>
  <c r="K1074" i="1"/>
  <c r="K1090" i="1"/>
  <c r="K1106" i="1"/>
  <c r="K1122" i="1"/>
  <c r="K1138" i="1"/>
  <c r="K1154" i="1"/>
  <c r="K1170" i="1"/>
  <c r="K1186" i="1"/>
  <c r="K1202" i="1"/>
  <c r="K1218" i="1"/>
  <c r="K1234" i="1"/>
  <c r="K1250" i="1"/>
  <c r="K1266" i="1"/>
  <c r="L1026" i="1"/>
  <c r="L1042" i="1"/>
  <c r="L1058" i="1"/>
  <c r="L1074" i="1"/>
  <c r="L1090" i="1"/>
  <c r="L1106" i="1"/>
  <c r="L1122" i="1"/>
  <c r="L1134" i="1"/>
  <c r="L1145" i="1"/>
  <c r="L1155" i="1"/>
  <c r="L1166" i="1"/>
  <c r="L1177" i="1"/>
  <c r="L1187" i="1"/>
  <c r="L1198" i="1"/>
  <c r="L1209" i="1"/>
  <c r="L1217" i="1"/>
  <c r="L1225" i="1"/>
  <c r="L1233" i="1"/>
  <c r="L1241" i="1"/>
  <c r="L1249" i="1"/>
  <c r="L1257" i="1"/>
  <c r="L1265" i="1"/>
  <c r="L1273" i="1"/>
  <c r="L1281" i="1"/>
  <c r="K777" i="1"/>
  <c r="K785" i="1"/>
  <c r="K793" i="1"/>
  <c r="K801" i="1"/>
  <c r="K809" i="1"/>
  <c r="K817" i="1"/>
  <c r="K825" i="1"/>
  <c r="K833" i="1"/>
  <c r="K841" i="1"/>
  <c r="K849" i="1"/>
  <c r="K857" i="1"/>
  <c r="K865" i="1"/>
  <c r="K873" i="1"/>
  <c r="K881" i="1"/>
  <c r="K889" i="1"/>
  <c r="K897" i="1"/>
  <c r="K905" i="1"/>
  <c r="K913" i="1"/>
  <c r="K921" i="1"/>
  <c r="K929" i="1"/>
  <c r="K937" i="1"/>
  <c r="K945" i="1"/>
  <c r="K953" i="1"/>
  <c r="K961" i="1"/>
  <c r="K969" i="1"/>
  <c r="K977" i="1"/>
  <c r="K985" i="1"/>
  <c r="K993" i="1"/>
  <c r="K1001" i="1"/>
  <c r="K1009" i="1"/>
  <c r="K1016" i="1"/>
  <c r="K1021" i="1"/>
  <c r="L770" i="1"/>
  <c r="L776" i="1"/>
  <c r="L781" i="1"/>
  <c r="L786" i="1"/>
  <c r="L792" i="1"/>
  <c r="L797" i="1"/>
  <c r="L802" i="1"/>
  <c r="L808" i="1"/>
  <c r="L813" i="1"/>
  <c r="L818" i="1"/>
  <c r="L824" i="1"/>
  <c r="L829" i="1"/>
  <c r="L834" i="1"/>
  <c r="L840" i="1"/>
  <c r="L845" i="1"/>
  <c r="L850" i="1"/>
  <c r="L856" i="1"/>
  <c r="L861" i="1"/>
  <c r="L866" i="1"/>
  <c r="L872" i="1"/>
  <c r="L877" i="1"/>
  <c r="L882" i="1"/>
  <c r="L886" i="1"/>
  <c r="L890" i="1"/>
  <c r="L894" i="1"/>
  <c r="L898" i="1"/>
  <c r="L902" i="1"/>
  <c r="L906" i="1"/>
  <c r="L910" i="1"/>
  <c r="L914" i="1"/>
  <c r="L918" i="1"/>
  <c r="L922" i="1"/>
  <c r="L926" i="1"/>
  <c r="L930" i="1"/>
  <c r="L934" i="1"/>
  <c r="L938" i="1"/>
  <c r="L942" i="1"/>
  <c r="L946" i="1"/>
  <c r="L950" i="1"/>
  <c r="L954" i="1"/>
  <c r="L958" i="1"/>
  <c r="L962" i="1"/>
  <c r="L966" i="1"/>
  <c r="L970" i="1"/>
  <c r="L974" i="1"/>
  <c r="L978" i="1"/>
  <c r="L982" i="1"/>
  <c r="L986" i="1"/>
  <c r="L990" i="1"/>
  <c r="L994" i="1"/>
  <c r="L998" i="1"/>
  <c r="L1002" i="1"/>
  <c r="L1006" i="1"/>
  <c r="L1010" i="1"/>
  <c r="L1014" i="1"/>
  <c r="L1018" i="1"/>
  <c r="L1022" i="1"/>
  <c r="K514" i="1"/>
  <c r="K518" i="1"/>
  <c r="K522" i="1"/>
  <c r="K526" i="1"/>
  <c r="K530" i="1"/>
  <c r="K534" i="1"/>
  <c r="K538" i="1"/>
  <c r="K542" i="1"/>
  <c r="K546" i="1"/>
  <c r="K550" i="1"/>
  <c r="K554" i="1"/>
  <c r="K558" i="1"/>
  <c r="K562" i="1"/>
  <c r="K566" i="1"/>
  <c r="K570" i="1"/>
  <c r="K574" i="1"/>
  <c r="K578" i="1"/>
  <c r="K582" i="1"/>
  <c r="K586" i="1"/>
  <c r="K590" i="1"/>
  <c r="K594" i="1"/>
  <c r="K598" i="1"/>
  <c r="K602" i="1"/>
  <c r="K606" i="1"/>
  <c r="K610" i="1"/>
  <c r="K614" i="1"/>
  <c r="K618" i="1"/>
  <c r="K622" i="1"/>
  <c r="K626" i="1"/>
  <c r="K630" i="1"/>
  <c r="K634" i="1"/>
  <c r="K638" i="1"/>
  <c r="K642" i="1"/>
  <c r="K646" i="1"/>
  <c r="K650" i="1"/>
  <c r="K654" i="1"/>
  <c r="K658" i="1"/>
  <c r="K662" i="1"/>
  <c r="K666" i="1"/>
  <c r="K670" i="1"/>
  <c r="K674" i="1"/>
  <c r="K678" i="1"/>
  <c r="K682" i="1"/>
  <c r="K686" i="1"/>
  <c r="K690" i="1"/>
  <c r="K694" i="1"/>
  <c r="K698" i="1"/>
  <c r="K702" i="1"/>
  <c r="K706" i="1"/>
  <c r="K710" i="1"/>
  <c r="K714" i="1"/>
  <c r="K718" i="1"/>
  <c r="K722" i="1"/>
  <c r="K726" i="1"/>
  <c r="K730" i="1"/>
  <c r="K734" i="1"/>
  <c r="K738" i="1"/>
  <c r="K742" i="1"/>
  <c r="K746" i="1"/>
  <c r="K750" i="1"/>
  <c r="K754" i="1"/>
  <c r="K758" i="1"/>
  <c r="K762" i="1"/>
  <c r="K766" i="1"/>
  <c r="L514" i="1"/>
  <c r="L518" i="1"/>
  <c r="L522" i="1"/>
  <c r="L526" i="1"/>
  <c r="L530" i="1"/>
  <c r="L534" i="1"/>
  <c r="L538" i="1"/>
  <c r="L542" i="1"/>
  <c r="L546" i="1"/>
  <c r="L550" i="1"/>
  <c r="L554" i="1"/>
  <c r="L558" i="1"/>
  <c r="L562" i="1"/>
  <c r="L566" i="1"/>
  <c r="L570" i="1"/>
  <c r="L574" i="1"/>
  <c r="L578" i="1"/>
  <c r="L582" i="1"/>
  <c r="L586" i="1"/>
  <c r="L590" i="1"/>
  <c r="L594" i="1"/>
  <c r="L598" i="1"/>
  <c r="L602" i="1"/>
  <c r="L606" i="1"/>
  <c r="L610" i="1"/>
  <c r="L614" i="1"/>
  <c r="L618" i="1"/>
  <c r="L622" i="1"/>
  <c r="L626" i="1"/>
  <c r="L630" i="1"/>
  <c r="L634" i="1"/>
  <c r="L638" i="1"/>
  <c r="L642" i="1"/>
  <c r="L646" i="1"/>
  <c r="L650" i="1"/>
  <c r="L654" i="1"/>
  <c r="L658" i="1"/>
  <c r="L662" i="1"/>
  <c r="L666" i="1"/>
  <c r="L670" i="1"/>
  <c r="L674" i="1"/>
  <c r="L678" i="1"/>
  <c r="L682" i="1"/>
  <c r="L686" i="1"/>
  <c r="L690" i="1"/>
  <c r="L694" i="1"/>
  <c r="L698" i="1"/>
  <c r="L702" i="1"/>
  <c r="L706" i="1"/>
  <c r="L710" i="1"/>
  <c r="L714" i="1"/>
  <c r="L718" i="1"/>
  <c r="L722" i="1"/>
  <c r="L726" i="1"/>
  <c r="L730" i="1"/>
  <c r="L734" i="1"/>
  <c r="L738" i="1"/>
  <c r="L742" i="1"/>
  <c r="L746" i="1"/>
  <c r="L750" i="1"/>
  <c r="L754" i="1"/>
  <c r="L758" i="1"/>
  <c r="L762" i="1"/>
  <c r="L766" i="1"/>
  <c r="K258" i="1"/>
  <c r="K262" i="1"/>
  <c r="K266" i="1"/>
  <c r="K270" i="1"/>
  <c r="K274" i="1"/>
  <c r="K278" i="1"/>
  <c r="K282" i="1"/>
  <c r="K286" i="1"/>
  <c r="K290" i="1"/>
  <c r="K294" i="1"/>
  <c r="K298" i="1"/>
  <c r="K302" i="1"/>
  <c r="K306" i="1"/>
  <c r="K310" i="1"/>
  <c r="K1400" i="1"/>
  <c r="K1528" i="1"/>
  <c r="L1345" i="1"/>
  <c r="L1409" i="1"/>
  <c r="L1465" i="1"/>
  <c r="L1498" i="1"/>
  <c r="L1530" i="1"/>
  <c r="K1034" i="1"/>
  <c r="K1066" i="1"/>
  <c r="K1098" i="1"/>
  <c r="K1130" i="1"/>
  <c r="K1162" i="1"/>
  <c r="K1194" i="1"/>
  <c r="K1226" i="1"/>
  <c r="K1258" i="1"/>
  <c r="L1034" i="1"/>
  <c r="L1066" i="1"/>
  <c r="L1098" i="1"/>
  <c r="L1129" i="1"/>
  <c r="L1150" i="1"/>
  <c r="L1171" i="1"/>
  <c r="L1193" i="1"/>
  <c r="L1213" i="1"/>
  <c r="L1229" i="1"/>
  <c r="L1245" i="1"/>
  <c r="L1261" i="1"/>
  <c r="L1277" i="1"/>
  <c r="K781" i="1"/>
  <c r="K797" i="1"/>
  <c r="K813" i="1"/>
  <c r="K829" i="1"/>
  <c r="K845" i="1"/>
  <c r="K861" i="1"/>
  <c r="K877" i="1"/>
  <c r="K893" i="1"/>
  <c r="K909" i="1"/>
  <c r="K925" i="1"/>
  <c r="K941" i="1"/>
  <c r="K957" i="1"/>
  <c r="K973" i="1"/>
  <c r="K989" i="1"/>
  <c r="K1005" i="1"/>
  <c r="K1018" i="1"/>
  <c r="L773" i="1"/>
  <c r="L784" i="1"/>
  <c r="L794" i="1"/>
  <c r="L805" i="1"/>
  <c r="L816" i="1"/>
  <c r="L826" i="1"/>
  <c r="L837" i="1"/>
  <c r="L848" i="1"/>
  <c r="L858" i="1"/>
  <c r="L869" i="1"/>
  <c r="L880" i="1"/>
  <c r="L888" i="1"/>
  <c r="L896" i="1"/>
  <c r="L904" i="1"/>
  <c r="L912" i="1"/>
  <c r="L920" i="1"/>
  <c r="L928" i="1"/>
  <c r="L936" i="1"/>
  <c r="L944" i="1"/>
  <c r="L952" i="1"/>
  <c r="L960" i="1"/>
  <c r="L968" i="1"/>
  <c r="L976" i="1"/>
  <c r="L984" i="1"/>
  <c r="L992" i="1"/>
  <c r="L1000" i="1"/>
  <c r="L1008" i="1"/>
  <c r="L1016" i="1"/>
  <c r="L1024" i="1"/>
  <c r="K520" i="1"/>
  <c r="K528" i="1"/>
  <c r="K536" i="1"/>
  <c r="K544" i="1"/>
  <c r="K552" i="1"/>
  <c r="K560" i="1"/>
  <c r="K568" i="1"/>
  <c r="K576" i="1"/>
  <c r="K584" i="1"/>
  <c r="K592" i="1"/>
  <c r="K600" i="1"/>
  <c r="K608" i="1"/>
  <c r="K616" i="1"/>
  <c r="K624" i="1"/>
  <c r="K632" i="1"/>
  <c r="K640" i="1"/>
  <c r="K648" i="1"/>
  <c r="K656" i="1"/>
  <c r="K664" i="1"/>
  <c r="K672" i="1"/>
  <c r="K680" i="1"/>
  <c r="K688" i="1"/>
  <c r="K696" i="1"/>
  <c r="K704" i="1"/>
  <c r="K712" i="1"/>
  <c r="K720" i="1"/>
  <c r="K728" i="1"/>
  <c r="K736" i="1"/>
  <c r="K744" i="1"/>
  <c r="K752" i="1"/>
  <c r="K760" i="1"/>
  <c r="K768" i="1"/>
  <c r="L520" i="1"/>
  <c r="L528" i="1"/>
  <c r="L536" i="1"/>
  <c r="L544" i="1"/>
  <c r="L552" i="1"/>
  <c r="L560" i="1"/>
  <c r="L568" i="1"/>
  <c r="L576" i="1"/>
  <c r="L584" i="1"/>
  <c r="L592" i="1"/>
  <c r="L600" i="1"/>
  <c r="L608" i="1"/>
  <c r="L616" i="1"/>
  <c r="L624" i="1"/>
  <c r="L632" i="1"/>
  <c r="L640" i="1"/>
  <c r="L648" i="1"/>
  <c r="L656" i="1"/>
  <c r="L664" i="1"/>
  <c r="L672" i="1"/>
  <c r="L680" i="1"/>
  <c r="L688" i="1"/>
  <c r="L696" i="1"/>
  <c r="L704" i="1"/>
  <c r="L712" i="1"/>
  <c r="L720" i="1"/>
  <c r="L728" i="1"/>
  <c r="L736" i="1"/>
  <c r="L744" i="1"/>
  <c r="L752" i="1"/>
  <c r="L760" i="1"/>
  <c r="L768" i="1"/>
  <c r="K264" i="1"/>
  <c r="K272" i="1"/>
  <c r="K280" i="1"/>
  <c r="K288" i="1"/>
  <c r="K296" i="1"/>
  <c r="K304" i="1"/>
  <c r="K312" i="1"/>
  <c r="K318" i="1"/>
  <c r="K323" i="1"/>
  <c r="K328" i="1"/>
  <c r="K334" i="1"/>
  <c r="K339" i="1"/>
  <c r="K344" i="1"/>
  <c r="K350" i="1"/>
  <c r="K355" i="1"/>
  <c r="K360" i="1"/>
  <c r="K366" i="1"/>
  <c r="K371" i="1"/>
  <c r="K376" i="1"/>
  <c r="K382" i="1"/>
  <c r="K387" i="1"/>
  <c r="K392" i="1"/>
  <c r="K398" i="1"/>
  <c r="K403" i="1"/>
  <c r="K408" i="1"/>
  <c r="K414" i="1"/>
  <c r="K419" i="1"/>
  <c r="K424" i="1"/>
  <c r="K430" i="1"/>
  <c r="K435" i="1"/>
  <c r="K440" i="1"/>
  <c r="K446" i="1"/>
  <c r="K451" i="1"/>
  <c r="K456" i="1"/>
  <c r="K462" i="1"/>
  <c r="K467" i="1"/>
  <c r="K472" i="1"/>
  <c r="K478" i="1"/>
  <c r="K483" i="1"/>
  <c r="K488" i="1"/>
  <c r="K494" i="1"/>
  <c r="K499" i="1"/>
  <c r="K504" i="1"/>
  <c r="K510" i="1"/>
  <c r="L259" i="1"/>
  <c r="L264" i="1"/>
  <c r="L270" i="1"/>
  <c r="L275" i="1"/>
  <c r="L280" i="1"/>
  <c r="L284" i="1"/>
  <c r="L288" i="1"/>
  <c r="L292" i="1"/>
  <c r="L296" i="1"/>
  <c r="L300" i="1"/>
  <c r="L304" i="1"/>
  <c r="L308" i="1"/>
  <c r="L312" i="1"/>
  <c r="L316" i="1"/>
  <c r="L320" i="1"/>
  <c r="L324" i="1"/>
  <c r="L328" i="1"/>
  <c r="L332" i="1"/>
  <c r="L336" i="1"/>
  <c r="L340" i="1"/>
  <c r="L344" i="1"/>
  <c r="L348" i="1"/>
  <c r="L352" i="1"/>
  <c r="L356" i="1"/>
  <c r="L360" i="1"/>
  <c r="L364" i="1"/>
  <c r="L368" i="1"/>
  <c r="L372" i="1"/>
  <c r="L376" i="1"/>
  <c r="L380" i="1"/>
  <c r="L384" i="1"/>
  <c r="L388" i="1"/>
  <c r="L392" i="1"/>
  <c r="L396" i="1"/>
  <c r="L400" i="1"/>
  <c r="L404" i="1"/>
  <c r="L408" i="1"/>
  <c r="L412" i="1"/>
  <c r="L416" i="1"/>
  <c r="L420" i="1"/>
  <c r="L424" i="1"/>
  <c r="L428" i="1"/>
  <c r="L432" i="1"/>
  <c r="L436" i="1"/>
  <c r="L440" i="1"/>
  <c r="L444" i="1"/>
  <c r="L448" i="1"/>
  <c r="L452" i="1"/>
  <c r="L456" i="1"/>
  <c r="L460" i="1"/>
  <c r="L464" i="1"/>
  <c r="L468" i="1"/>
  <c r="L472" i="1"/>
  <c r="L476" i="1"/>
  <c r="L480" i="1"/>
  <c r="L484" i="1"/>
  <c r="L488" i="1"/>
  <c r="L492" i="1"/>
  <c r="L496" i="1"/>
  <c r="L500" i="1"/>
  <c r="L504" i="1"/>
  <c r="L508" i="1"/>
  <c r="L512" i="1"/>
  <c r="K5" i="1"/>
  <c r="K9" i="1"/>
  <c r="K13" i="1"/>
  <c r="K17" i="1"/>
  <c r="K21" i="1"/>
  <c r="K25" i="1"/>
  <c r="K29" i="1"/>
  <c r="K33" i="1"/>
  <c r="K37" i="1"/>
  <c r="K41" i="1"/>
  <c r="K45" i="1"/>
  <c r="K49" i="1"/>
  <c r="K53" i="1"/>
  <c r="K57" i="1"/>
  <c r="K61" i="1"/>
  <c r="K65" i="1"/>
  <c r="K69" i="1"/>
  <c r="K73" i="1"/>
  <c r="K77" i="1"/>
  <c r="K81" i="1"/>
  <c r="K85" i="1"/>
  <c r="K89" i="1"/>
  <c r="K93" i="1"/>
  <c r="K97" i="1"/>
  <c r="K101" i="1"/>
  <c r="K105" i="1"/>
  <c r="K109" i="1"/>
  <c r="K113" i="1"/>
  <c r="K117" i="1"/>
  <c r="K121" i="1"/>
  <c r="K125" i="1"/>
  <c r="K129" i="1"/>
  <c r="K133" i="1"/>
  <c r="K137" i="1"/>
  <c r="K1401" i="1"/>
  <c r="K1529" i="1"/>
  <c r="L1346" i="1"/>
  <c r="L1410" i="1"/>
  <c r="L1466" i="1"/>
  <c r="L1499" i="1"/>
  <c r="L1531" i="1"/>
  <c r="K1049" i="1"/>
  <c r="K1081" i="1"/>
  <c r="K1113" i="1"/>
  <c r="K1145" i="1"/>
  <c r="K1177" i="1"/>
  <c r="K1209" i="1"/>
  <c r="K1241" i="1"/>
  <c r="K1273" i="1"/>
  <c r="L1049" i="1"/>
  <c r="L1081" i="1"/>
  <c r="L1113" i="1"/>
  <c r="L1138" i="1"/>
  <c r="L1159" i="1"/>
  <c r="L1181" i="1"/>
  <c r="L1202" i="1"/>
  <c r="L1220" i="1"/>
  <c r="L1236" i="1"/>
  <c r="L1252" i="1"/>
  <c r="L1268" i="1"/>
  <c r="K772" i="1"/>
  <c r="K788" i="1"/>
  <c r="K804" i="1"/>
  <c r="K820" i="1"/>
  <c r="K836" i="1"/>
  <c r="K852" i="1"/>
  <c r="K868" i="1"/>
  <c r="K884" i="1"/>
  <c r="K900" i="1"/>
  <c r="K916" i="1"/>
  <c r="K932" i="1"/>
  <c r="K948" i="1"/>
  <c r="K964" i="1"/>
  <c r="K980" i="1"/>
  <c r="K996" i="1"/>
  <c r="K1012" i="1"/>
  <c r="K1022" i="1"/>
  <c r="L777" i="1"/>
  <c r="L788" i="1"/>
  <c r="L798" i="1"/>
  <c r="L809" i="1"/>
  <c r="L820" i="1"/>
  <c r="L830" i="1"/>
  <c r="L841" i="1"/>
  <c r="L852" i="1"/>
  <c r="L862" i="1"/>
  <c r="L873" i="1"/>
  <c r="L883" i="1"/>
  <c r="L891" i="1"/>
  <c r="L899" i="1"/>
  <c r="L907" i="1"/>
  <c r="L915" i="1"/>
  <c r="L923" i="1"/>
  <c r="L931" i="1"/>
  <c r="L939" i="1"/>
  <c r="L947" i="1"/>
  <c r="L955" i="1"/>
  <c r="L963" i="1"/>
  <c r="L971" i="1"/>
  <c r="L979" i="1"/>
  <c r="L987" i="1"/>
  <c r="L995" i="1"/>
  <c r="L1003" i="1"/>
  <c r="L1011" i="1"/>
  <c r="L1019" i="1"/>
  <c r="K515" i="1"/>
  <c r="K523" i="1"/>
  <c r="K531" i="1"/>
  <c r="K539" i="1"/>
  <c r="K547" i="1"/>
  <c r="K555" i="1"/>
  <c r="K563" i="1"/>
  <c r="K571" i="1"/>
  <c r="K579" i="1"/>
  <c r="K587" i="1"/>
  <c r="K595" i="1"/>
  <c r="K603" i="1"/>
  <c r="K611" i="1"/>
  <c r="K619" i="1"/>
  <c r="K627" i="1"/>
  <c r="K635" i="1"/>
  <c r="K643" i="1"/>
  <c r="K651" i="1"/>
  <c r="K659" i="1"/>
  <c r="K667" i="1"/>
  <c r="K675" i="1"/>
  <c r="K683" i="1"/>
  <c r="K691" i="1"/>
  <c r="K699" i="1"/>
  <c r="K707" i="1"/>
  <c r="K715" i="1"/>
  <c r="K723" i="1"/>
  <c r="K731" i="1"/>
  <c r="K739" i="1"/>
  <c r="K747" i="1"/>
  <c r="K755" i="1"/>
  <c r="K763" i="1"/>
  <c r="L515" i="1"/>
  <c r="L523" i="1"/>
  <c r="L531" i="1"/>
  <c r="L539" i="1"/>
  <c r="L547" i="1"/>
  <c r="L555" i="1"/>
  <c r="L563" i="1"/>
  <c r="L571" i="1"/>
  <c r="L579" i="1"/>
  <c r="L587" i="1"/>
  <c r="L595" i="1"/>
  <c r="L603" i="1"/>
  <c r="L611" i="1"/>
  <c r="L619" i="1"/>
  <c r="L627" i="1"/>
  <c r="L635" i="1"/>
  <c r="L643" i="1"/>
  <c r="L651" i="1"/>
  <c r="L659" i="1"/>
  <c r="L667" i="1"/>
  <c r="L675" i="1"/>
  <c r="L683" i="1"/>
  <c r="L691" i="1"/>
  <c r="L699" i="1"/>
  <c r="L707" i="1"/>
  <c r="L715" i="1"/>
  <c r="L723" i="1"/>
  <c r="L731" i="1"/>
  <c r="L739" i="1"/>
  <c r="L747" i="1"/>
  <c r="L755" i="1"/>
  <c r="L763" i="1"/>
  <c r="K259" i="1"/>
  <c r="K267" i="1"/>
  <c r="K275" i="1"/>
  <c r="K283" i="1"/>
  <c r="K291" i="1"/>
  <c r="K299" i="1"/>
  <c r="K307" i="1"/>
  <c r="K314" i="1"/>
  <c r="K319" i="1"/>
  <c r="K324" i="1"/>
  <c r="K330" i="1"/>
  <c r="K335" i="1"/>
  <c r="K340" i="1"/>
  <c r="K346" i="1"/>
  <c r="K351" i="1"/>
  <c r="K356" i="1"/>
  <c r="K362" i="1"/>
  <c r="K367" i="1"/>
  <c r="K372" i="1"/>
  <c r="K378" i="1"/>
  <c r="K383" i="1"/>
  <c r="K388" i="1"/>
  <c r="K394" i="1"/>
  <c r="K399" i="1"/>
  <c r="K404" i="1"/>
  <c r="K410" i="1"/>
  <c r="K415" i="1"/>
  <c r="K420" i="1"/>
  <c r="K426" i="1"/>
  <c r="K431" i="1"/>
  <c r="K436" i="1"/>
  <c r="K442" i="1"/>
  <c r="K447" i="1"/>
  <c r="K452" i="1"/>
  <c r="K458" i="1"/>
  <c r="K463" i="1"/>
  <c r="K468" i="1"/>
  <c r="K474" i="1"/>
  <c r="K479" i="1"/>
  <c r="K484" i="1"/>
  <c r="K490" i="1"/>
  <c r="K495" i="1"/>
  <c r="K500" i="1"/>
  <c r="K506" i="1"/>
  <c r="K511" i="1"/>
  <c r="L260" i="1"/>
  <c r="L266" i="1"/>
  <c r="L271" i="1"/>
  <c r="L276" i="1"/>
  <c r="L281" i="1"/>
  <c r="L285" i="1"/>
  <c r="L289" i="1"/>
  <c r="L293" i="1"/>
  <c r="L297" i="1"/>
  <c r="L301" i="1"/>
  <c r="L305" i="1"/>
  <c r="L309" i="1"/>
  <c r="L313" i="1"/>
  <c r="L317" i="1"/>
  <c r="L321" i="1"/>
  <c r="L325" i="1"/>
  <c r="L329" i="1"/>
  <c r="L333" i="1"/>
  <c r="L337" i="1"/>
  <c r="L341" i="1"/>
  <c r="L345" i="1"/>
  <c r="L349" i="1"/>
  <c r="L353" i="1"/>
  <c r="L357" i="1"/>
  <c r="L361" i="1"/>
  <c r="L365" i="1"/>
  <c r="L369" i="1"/>
  <c r="L373" i="1"/>
  <c r="L377" i="1"/>
  <c r="L381" i="1"/>
  <c r="L385" i="1"/>
  <c r="L389" i="1"/>
  <c r="L393" i="1"/>
  <c r="L397" i="1"/>
  <c r="L401" i="1"/>
  <c r="L405" i="1"/>
  <c r="L409" i="1"/>
  <c r="L413" i="1"/>
  <c r="L417" i="1"/>
  <c r="L421" i="1"/>
  <c r="L425" i="1"/>
  <c r="L429" i="1"/>
  <c r="L433" i="1"/>
  <c r="L437" i="1"/>
  <c r="L441" i="1"/>
  <c r="L445" i="1"/>
  <c r="L449" i="1"/>
  <c r="L453" i="1"/>
  <c r="L457" i="1"/>
  <c r="L461" i="1"/>
  <c r="L465" i="1"/>
  <c r="L469" i="1"/>
  <c r="L473" i="1"/>
  <c r="L477" i="1"/>
  <c r="L481" i="1"/>
  <c r="L485" i="1"/>
  <c r="L489" i="1"/>
  <c r="L493" i="1"/>
  <c r="L497" i="1"/>
  <c r="L501" i="1"/>
  <c r="L505" i="1"/>
  <c r="L509" i="1"/>
  <c r="L513" i="1"/>
  <c r="K6" i="1"/>
  <c r="K10" i="1"/>
  <c r="K14" i="1"/>
  <c r="K18" i="1"/>
  <c r="K22" i="1"/>
  <c r="K26" i="1"/>
  <c r="K30" i="1"/>
  <c r="K34" i="1"/>
  <c r="K38" i="1"/>
  <c r="K42" i="1"/>
  <c r="K46" i="1"/>
  <c r="K50" i="1"/>
  <c r="K54" i="1"/>
  <c r="K58" i="1"/>
  <c r="K62" i="1"/>
  <c r="K66" i="1"/>
  <c r="K70" i="1"/>
  <c r="K74" i="1"/>
  <c r="K78" i="1"/>
  <c r="K82" i="1"/>
  <c r="K86" i="1"/>
  <c r="K90" i="1"/>
  <c r="K94" i="1"/>
  <c r="K98" i="1"/>
  <c r="K102" i="1"/>
  <c r="K106" i="1"/>
  <c r="K110" i="1"/>
  <c r="K114" i="1"/>
  <c r="K118" i="1"/>
  <c r="K122" i="1"/>
  <c r="K126" i="1"/>
  <c r="K130" i="1"/>
  <c r="K134" i="1"/>
  <c r="K138" i="1"/>
  <c r="K142" i="1"/>
  <c r="K146" i="1"/>
  <c r="K150" i="1"/>
  <c r="K154" i="1"/>
  <c r="K158" i="1"/>
  <c r="K162" i="1"/>
  <c r="K166" i="1"/>
  <c r="K170" i="1"/>
  <c r="K174" i="1"/>
  <c r="K178" i="1"/>
  <c r="K182" i="1"/>
  <c r="K186" i="1"/>
  <c r="K190" i="1"/>
  <c r="K194" i="1"/>
  <c r="K198" i="1"/>
  <c r="K202" i="1"/>
  <c r="K206" i="1"/>
  <c r="K210" i="1"/>
  <c r="K214" i="1"/>
  <c r="K218" i="1"/>
  <c r="K222" i="1"/>
  <c r="K226" i="1"/>
  <c r="K230" i="1"/>
  <c r="K234" i="1"/>
  <c r="K238" i="1"/>
  <c r="K242" i="1"/>
  <c r="K246" i="1"/>
  <c r="K250" i="1"/>
  <c r="K254" i="1"/>
  <c r="L3" i="1"/>
  <c r="L7" i="1"/>
  <c r="L11" i="1"/>
  <c r="L15" i="1"/>
  <c r="L19" i="1"/>
  <c r="L23" i="1"/>
  <c r="L27" i="1"/>
  <c r="L31" i="1"/>
  <c r="L35" i="1"/>
  <c r="L39" i="1"/>
  <c r="L43" i="1"/>
  <c r="L47" i="1"/>
  <c r="L51" i="1"/>
  <c r="L55" i="1"/>
  <c r="L59" i="1"/>
  <c r="L63" i="1"/>
  <c r="L67" i="1"/>
  <c r="L71" i="1"/>
  <c r="L75" i="1"/>
  <c r="L79" i="1"/>
  <c r="L83" i="1"/>
  <c r="L87" i="1"/>
  <c r="L91" i="1"/>
  <c r="L95" i="1"/>
  <c r="L99" i="1"/>
  <c r="L103" i="1"/>
  <c r="L107" i="1"/>
  <c r="L111" i="1"/>
  <c r="L115" i="1"/>
  <c r="L119" i="1"/>
  <c r="L123" i="1"/>
  <c r="L127" i="1"/>
  <c r="L131" i="1"/>
  <c r="L135" i="1"/>
  <c r="L139" i="1"/>
  <c r="K1464" i="1"/>
  <c r="L1377" i="1"/>
  <c r="L1482" i="1"/>
  <c r="K1082" i="1"/>
  <c r="K1146" i="1"/>
  <c r="K1210" i="1"/>
  <c r="K1274" i="1"/>
  <c r="L1082" i="1"/>
  <c r="L1139" i="1"/>
  <c r="L1182" i="1"/>
  <c r="L1221" i="1"/>
  <c r="L1253" i="1"/>
  <c r="K773" i="1"/>
  <c r="K805" i="1"/>
  <c r="K837" i="1"/>
  <c r="K869" i="1"/>
  <c r="K901" i="1"/>
  <c r="K933" i="1"/>
  <c r="K965" i="1"/>
  <c r="K997" i="1"/>
  <c r="K1024" i="1"/>
  <c r="L789" i="1"/>
  <c r="L810" i="1"/>
  <c r="L832" i="1"/>
  <c r="L853" i="1"/>
  <c r="L874" i="1"/>
  <c r="L892" i="1"/>
  <c r="L908" i="1"/>
  <c r="L924" i="1"/>
  <c r="L940" i="1"/>
  <c r="L956" i="1"/>
  <c r="L972" i="1"/>
  <c r="L988" i="1"/>
  <c r="L1004" i="1"/>
  <c r="L1020" i="1"/>
  <c r="K524" i="1"/>
  <c r="K540" i="1"/>
  <c r="K556" i="1"/>
  <c r="K572" i="1"/>
  <c r="K588" i="1"/>
  <c r="K604" i="1"/>
  <c r="K620" i="1"/>
  <c r="K636" i="1"/>
  <c r="K652" i="1"/>
  <c r="K668" i="1"/>
  <c r="K684" i="1"/>
  <c r="K700" i="1"/>
  <c r="K716" i="1"/>
  <c r="K732" i="1"/>
  <c r="K748" i="1"/>
  <c r="K764" i="1"/>
  <c r="L524" i="1"/>
  <c r="L540" i="1"/>
  <c r="L556" i="1"/>
  <c r="L572" i="1"/>
  <c r="L588" i="1"/>
  <c r="L604" i="1"/>
  <c r="L620" i="1"/>
  <c r="L636" i="1"/>
  <c r="L652" i="1"/>
  <c r="L668" i="1"/>
  <c r="L684" i="1"/>
  <c r="L700" i="1"/>
  <c r="L716" i="1"/>
  <c r="L732" i="1"/>
  <c r="L748" i="1"/>
  <c r="L764" i="1"/>
  <c r="K268" i="1"/>
  <c r="K284" i="1"/>
  <c r="K300" i="1"/>
  <c r="K315" i="1"/>
  <c r="K326" i="1"/>
  <c r="K336" i="1"/>
  <c r="K347" i="1"/>
  <c r="K358" i="1"/>
  <c r="K368" i="1"/>
  <c r="K379" i="1"/>
  <c r="K390" i="1"/>
  <c r="K400" i="1"/>
  <c r="K411" i="1"/>
  <c r="K422" i="1"/>
  <c r="K432" i="1"/>
  <c r="K443" i="1"/>
  <c r="K454" i="1"/>
  <c r="K464" i="1"/>
  <c r="K475" i="1"/>
  <c r="K486" i="1"/>
  <c r="K496" i="1"/>
  <c r="K507" i="1"/>
  <c r="L262" i="1"/>
  <c r="L272" i="1"/>
  <c r="L282" i="1"/>
  <c r="L290" i="1"/>
  <c r="L298" i="1"/>
  <c r="L306" i="1"/>
  <c r="L314" i="1"/>
  <c r="L322" i="1"/>
  <c r="L330" i="1"/>
  <c r="L338" i="1"/>
  <c r="L346" i="1"/>
  <c r="L354" i="1"/>
  <c r="L362" i="1"/>
  <c r="L370" i="1"/>
  <c r="L378" i="1"/>
  <c r="L386" i="1"/>
  <c r="L394" i="1"/>
  <c r="L402" i="1"/>
  <c r="L410" i="1"/>
  <c r="L418" i="1"/>
  <c r="L426" i="1"/>
  <c r="L434" i="1"/>
  <c r="L442" i="1"/>
  <c r="L450" i="1"/>
  <c r="L458" i="1"/>
  <c r="L466" i="1"/>
  <c r="L474" i="1"/>
  <c r="L482" i="1"/>
  <c r="L490" i="1"/>
  <c r="L498" i="1"/>
  <c r="L506" i="1"/>
  <c r="K3" i="1"/>
  <c r="K11" i="1"/>
  <c r="K19" i="1"/>
  <c r="K27" i="1"/>
  <c r="K35" i="1"/>
  <c r="K43" i="1"/>
  <c r="K51" i="1"/>
  <c r="K59" i="1"/>
  <c r="K67" i="1"/>
  <c r="K75" i="1"/>
  <c r="K83" i="1"/>
  <c r="K91" i="1"/>
  <c r="K99" i="1"/>
  <c r="K107" i="1"/>
  <c r="K115" i="1"/>
  <c r="K123" i="1"/>
  <c r="K131" i="1"/>
  <c r="K139" i="1"/>
  <c r="K144" i="1"/>
  <c r="K149" i="1"/>
  <c r="K155" i="1"/>
  <c r="K160" i="1"/>
  <c r="K165" i="1"/>
  <c r="K171" i="1"/>
  <c r="K176" i="1"/>
  <c r="K181" i="1"/>
  <c r="K187" i="1"/>
  <c r="K192" i="1"/>
  <c r="K197" i="1"/>
  <c r="K203" i="1"/>
  <c r="K208" i="1"/>
  <c r="K213" i="1"/>
  <c r="K219" i="1"/>
  <c r="K224" i="1"/>
  <c r="K229" i="1"/>
  <c r="K235" i="1"/>
  <c r="K240" i="1"/>
  <c r="K245" i="1"/>
  <c r="K251" i="1"/>
  <c r="K256" i="1"/>
  <c r="L6" i="1"/>
  <c r="L12" i="1"/>
  <c r="L17" i="1"/>
  <c r="L22" i="1"/>
  <c r="L28" i="1"/>
  <c r="L33" i="1"/>
  <c r="L38" i="1"/>
  <c r="L44" i="1"/>
  <c r="L49" i="1"/>
  <c r="L54" i="1"/>
  <c r="L60" i="1"/>
  <c r="L65" i="1"/>
  <c r="L70" i="1"/>
  <c r="L76" i="1"/>
  <c r="L81" i="1"/>
  <c r="L86" i="1"/>
  <c r="L92" i="1"/>
  <c r="L97" i="1"/>
  <c r="L102" i="1"/>
  <c r="L108" i="1"/>
  <c r="L113" i="1"/>
  <c r="L118" i="1"/>
  <c r="L124" i="1"/>
  <c r="L129" i="1"/>
  <c r="L134" i="1"/>
  <c r="L140" i="1"/>
  <c r="L144" i="1"/>
  <c r="L148" i="1"/>
  <c r="L152" i="1"/>
  <c r="L156" i="1"/>
  <c r="L160" i="1"/>
  <c r="L164" i="1"/>
  <c r="L168" i="1"/>
  <c r="L172" i="1"/>
  <c r="L176" i="1"/>
  <c r="L180" i="1"/>
  <c r="L184" i="1"/>
  <c r="L188" i="1"/>
  <c r="L192" i="1"/>
  <c r="L196" i="1"/>
  <c r="L200" i="1"/>
  <c r="L204" i="1"/>
  <c r="L208" i="1"/>
  <c r="L212" i="1"/>
  <c r="L216" i="1"/>
  <c r="L220" i="1"/>
  <c r="L224" i="1"/>
  <c r="L228" i="1"/>
  <c r="L232" i="1"/>
  <c r="L236" i="1"/>
  <c r="L240" i="1"/>
  <c r="L244" i="1"/>
  <c r="L248" i="1"/>
  <c r="L252" i="1"/>
  <c r="L256" i="1"/>
  <c r="L948" i="1"/>
  <c r="L964" i="1"/>
  <c r="L980" i="1"/>
  <c r="L996" i="1"/>
  <c r="L1012" i="1"/>
  <c r="K516" i="1"/>
  <c r="K532" i="1"/>
  <c r="K548" i="1"/>
  <c r="K564" i="1"/>
  <c r="K580" i="1"/>
  <c r="K596" i="1"/>
  <c r="K612" i="1"/>
  <c r="K628" i="1"/>
  <c r="K644" i="1"/>
  <c r="K243" i="1"/>
  <c r="L84" i="1"/>
  <c r="L100" i="1"/>
  <c r="L110" i="1"/>
  <c r="L121" i="1"/>
  <c r="L132" i="1"/>
  <c r="L142" i="1"/>
  <c r="L150" i="1"/>
  <c r="L158" i="1"/>
  <c r="L166" i="1"/>
  <c r="L174" i="1"/>
  <c r="L182" i="1"/>
  <c r="L190" i="1"/>
  <c r="L198" i="1"/>
  <c r="L206" i="1"/>
  <c r="L214" i="1"/>
  <c r="L222" i="1"/>
  <c r="L226" i="1"/>
  <c r="L234" i="1"/>
  <c r="L242" i="1"/>
  <c r="L250" i="1"/>
  <c r="K1539" i="1"/>
  <c r="L1314" i="1"/>
  <c r="L1442" i="1"/>
  <c r="K1065" i="1"/>
  <c r="K1193" i="1"/>
  <c r="L1065" i="1"/>
  <c r="L1170" i="1"/>
  <c r="L1244" i="1"/>
  <c r="K796" i="1"/>
  <c r="K860" i="1"/>
  <c r="K924" i="1"/>
  <c r="K988" i="1"/>
  <c r="L782" i="1"/>
  <c r="L825" i="1"/>
  <c r="L868" i="1"/>
  <c r="L903" i="1"/>
  <c r="L935" i="1"/>
  <c r="L967" i="1"/>
  <c r="L999" i="1"/>
  <c r="K519" i="1"/>
  <c r="K551" i="1"/>
  <c r="K583" i="1"/>
  <c r="K615" i="1"/>
  <c r="K647" i="1"/>
  <c r="K679" i="1"/>
  <c r="K711" i="1"/>
  <c r="K743" i="1"/>
  <c r="L519" i="1"/>
  <c r="L551" i="1"/>
  <c r="L583" i="1"/>
  <c r="L615" i="1"/>
  <c r="L647" i="1"/>
  <c r="L679" i="1"/>
  <c r="L727" i="1"/>
  <c r="L759" i="1"/>
  <c r="K279" i="1"/>
  <c r="K311" i="1"/>
  <c r="K332" i="1"/>
  <c r="K354" i="1"/>
  <c r="K375" i="1"/>
  <c r="K396" i="1"/>
  <c r="K418" i="1"/>
  <c r="K439" i="1"/>
  <c r="K460" i="1"/>
  <c r="K482" i="1"/>
  <c r="K503" i="1"/>
  <c r="L268" i="1"/>
  <c r="L287" i="1"/>
  <c r="L303" i="1"/>
  <c r="L319" i="1"/>
  <c r="L335" i="1"/>
  <c r="L351" i="1"/>
  <c r="L367" i="1"/>
  <c r="L383" i="1"/>
  <c r="L399" i="1"/>
  <c r="L415" i="1"/>
  <c r="L431" i="1"/>
  <c r="L447" i="1"/>
  <c r="L463" i="1"/>
  <c r="L479" i="1"/>
  <c r="L495" i="1"/>
  <c r="L511" i="1"/>
  <c r="K16" i="1"/>
  <c r="K24" i="1"/>
  <c r="K40" i="1"/>
  <c r="K56" i="1"/>
  <c r="K72" i="1"/>
  <c r="K88" i="1"/>
  <c r="K104" i="1"/>
  <c r="K120" i="1"/>
  <c r="K136" i="1"/>
  <c r="K148" i="1"/>
  <c r="K159" i="1"/>
  <c r="K169" i="1"/>
  <c r="K180" i="1"/>
  <c r="K191" i="1"/>
  <c r="K201" i="1"/>
  <c r="K212" i="1"/>
  <c r="K223" i="1"/>
  <c r="K233" i="1"/>
  <c r="K244" i="1"/>
  <c r="K255" i="1"/>
  <c r="L10" i="1"/>
  <c r="L26" i="1"/>
  <c r="L37" i="1"/>
  <c r="L48" i="1"/>
  <c r="L58" i="1"/>
  <c r="L69" i="1"/>
  <c r="L80" i="1"/>
  <c r="L90" i="1"/>
  <c r="L101" i="1"/>
  <c r="L112" i="1"/>
  <c r="L128" i="1"/>
  <c r="L143" i="1"/>
  <c r="L151" i="1"/>
  <c r="L159" i="1"/>
  <c r="L167" i="1"/>
  <c r="L175" i="1"/>
  <c r="L183" i="1"/>
  <c r="L191" i="1"/>
  <c r="L199" i="1"/>
  <c r="L207" i="1"/>
  <c r="L215" i="1"/>
  <c r="L223" i="1"/>
  <c r="L231" i="1"/>
  <c r="L239" i="1"/>
  <c r="L247" i="1"/>
  <c r="L255" i="1"/>
  <c r="K1465" i="1"/>
  <c r="L1378" i="1"/>
  <c r="L1483" i="1"/>
  <c r="K1033" i="1"/>
  <c r="K1097" i="1"/>
  <c r="K1161" i="1"/>
  <c r="K1225" i="1"/>
  <c r="L1033" i="1"/>
  <c r="L1097" i="1"/>
  <c r="L1149" i="1"/>
  <c r="L1191" i="1"/>
  <c r="L1228" i="1"/>
  <c r="L1260" i="1"/>
  <c r="K780" i="1"/>
  <c r="K812" i="1"/>
  <c r="K844" i="1"/>
  <c r="K876" i="1"/>
  <c r="K908" i="1"/>
  <c r="K940" i="1"/>
  <c r="K972" i="1"/>
  <c r="K1004" i="1"/>
  <c r="L772" i="1"/>
  <c r="L793" i="1"/>
  <c r="L814" i="1"/>
  <c r="L836" i="1"/>
  <c r="L857" i="1"/>
  <c r="L878" i="1"/>
  <c r="L895" i="1"/>
  <c r="L911" i="1"/>
  <c r="L927" i="1"/>
  <c r="L943" i="1"/>
  <c r="L959" i="1"/>
  <c r="L975" i="1"/>
  <c r="L991" i="1"/>
  <c r="L1007" i="1"/>
  <c r="L1023" i="1"/>
  <c r="K527" i="1"/>
  <c r="K543" i="1"/>
  <c r="K559" i="1"/>
  <c r="K575" i="1"/>
  <c r="K591" i="1"/>
  <c r="K607" i="1"/>
  <c r="K623" i="1"/>
  <c r="K639" i="1"/>
  <c r="K655" i="1"/>
  <c r="K671" i="1"/>
  <c r="K687" i="1"/>
  <c r="K703" i="1"/>
  <c r="K719" i="1"/>
  <c r="K735" i="1"/>
  <c r="K751" i="1"/>
  <c r="K767" i="1"/>
  <c r="L527" i="1"/>
  <c r="L543" i="1"/>
  <c r="L559" i="1"/>
  <c r="L575" i="1"/>
  <c r="L591" i="1"/>
  <c r="L607" i="1"/>
  <c r="L623" i="1"/>
  <c r="L639" i="1"/>
  <c r="L655" i="1"/>
  <c r="L671" i="1"/>
  <c r="L687" i="1"/>
  <c r="L703" i="1"/>
  <c r="L719" i="1"/>
  <c r="L735" i="1"/>
  <c r="L751" i="1"/>
  <c r="L767" i="1"/>
  <c r="K271" i="1"/>
  <c r="K287" i="1"/>
  <c r="K303" i="1"/>
  <c r="K316" i="1"/>
  <c r="K327" i="1"/>
  <c r="K338" i="1"/>
  <c r="K348" i="1"/>
  <c r="K359" i="1"/>
  <c r="K370" i="1"/>
  <c r="K380" i="1"/>
  <c r="K391" i="1"/>
  <c r="K402" i="1"/>
  <c r="K412" i="1"/>
  <c r="K423" i="1"/>
  <c r="K434" i="1"/>
  <c r="K444" i="1"/>
  <c r="K455" i="1"/>
  <c r="K466" i="1"/>
  <c r="K476" i="1"/>
  <c r="K487" i="1"/>
  <c r="K498" i="1"/>
  <c r="K508" i="1"/>
  <c r="L263" i="1"/>
  <c r="L274" i="1"/>
  <c r="L283" i="1"/>
  <c r="L291" i="1"/>
  <c r="L299" i="1"/>
  <c r="L307" i="1"/>
  <c r="L315" i="1"/>
  <c r="L323" i="1"/>
  <c r="L331" i="1"/>
  <c r="L339" i="1"/>
  <c r="L347" i="1"/>
  <c r="L355" i="1"/>
  <c r="L363" i="1"/>
  <c r="L371" i="1"/>
  <c r="L379" i="1"/>
  <c r="L387" i="1"/>
  <c r="L395" i="1"/>
  <c r="L403" i="1"/>
  <c r="L411" i="1"/>
  <c r="L419" i="1"/>
  <c r="L427" i="1"/>
  <c r="L435" i="1"/>
  <c r="L443" i="1"/>
  <c r="L451" i="1"/>
  <c r="L459" i="1"/>
  <c r="L467" i="1"/>
  <c r="L475" i="1"/>
  <c r="L483" i="1"/>
  <c r="L491" i="1"/>
  <c r="L499" i="1"/>
  <c r="L507" i="1"/>
  <c r="K4" i="1"/>
  <c r="K12" i="1"/>
  <c r="K20" i="1"/>
  <c r="K28" i="1"/>
  <c r="K36" i="1"/>
  <c r="K44" i="1"/>
  <c r="K52" i="1"/>
  <c r="K60" i="1"/>
  <c r="K68" i="1"/>
  <c r="K76" i="1"/>
  <c r="K84" i="1"/>
  <c r="K92" i="1"/>
  <c r="K100" i="1"/>
  <c r="K108" i="1"/>
  <c r="K116" i="1"/>
  <c r="K124" i="1"/>
  <c r="K132" i="1"/>
  <c r="K140" i="1"/>
  <c r="K145" i="1"/>
  <c r="K151" i="1"/>
  <c r="K156" i="1"/>
  <c r="K161" i="1"/>
  <c r="K167" i="1"/>
  <c r="K172" i="1"/>
  <c r="K177" i="1"/>
  <c r="K183" i="1"/>
  <c r="K188" i="1"/>
  <c r="K193" i="1"/>
  <c r="K199" i="1"/>
  <c r="K204" i="1"/>
  <c r="K209" i="1"/>
  <c r="K215" i="1"/>
  <c r="K220" i="1"/>
  <c r="K225" i="1"/>
  <c r="K231" i="1"/>
  <c r="K236" i="1"/>
  <c r="K241" i="1"/>
  <c r="K247" i="1"/>
  <c r="K252" i="1"/>
  <c r="K257" i="1"/>
  <c r="L8" i="1"/>
  <c r="L13" i="1"/>
  <c r="L18" i="1"/>
  <c r="L24" i="1"/>
  <c r="L29" i="1"/>
  <c r="L34" i="1"/>
  <c r="L40" i="1"/>
  <c r="L45" i="1"/>
  <c r="L50" i="1"/>
  <c r="L56" i="1"/>
  <c r="L61" i="1"/>
  <c r="L66" i="1"/>
  <c r="L72" i="1"/>
  <c r="L77" i="1"/>
  <c r="L82" i="1"/>
  <c r="L88" i="1"/>
  <c r="L93" i="1"/>
  <c r="L98" i="1"/>
  <c r="L104" i="1"/>
  <c r="L109" i="1"/>
  <c r="L114" i="1"/>
  <c r="L120" i="1"/>
  <c r="L125" i="1"/>
  <c r="L130" i="1"/>
  <c r="L136" i="1"/>
  <c r="L141" i="1"/>
  <c r="L145" i="1"/>
  <c r="L149" i="1"/>
  <c r="L153" i="1"/>
  <c r="L157" i="1"/>
  <c r="L161" i="1"/>
  <c r="L165" i="1"/>
  <c r="L169" i="1"/>
  <c r="L173" i="1"/>
  <c r="L177" i="1"/>
  <c r="L181" i="1"/>
  <c r="L185" i="1"/>
  <c r="L189" i="1"/>
  <c r="L193" i="1"/>
  <c r="L197" i="1"/>
  <c r="L201" i="1"/>
  <c r="L205" i="1"/>
  <c r="L209" i="1"/>
  <c r="L213" i="1"/>
  <c r="L217" i="1"/>
  <c r="L221" i="1"/>
  <c r="L225" i="1"/>
  <c r="L229" i="1"/>
  <c r="L233" i="1"/>
  <c r="L237" i="1"/>
  <c r="L241" i="1"/>
  <c r="L245" i="1"/>
  <c r="L249" i="1"/>
  <c r="L253" i="1"/>
  <c r="L257" i="1"/>
  <c r="K1538" i="1"/>
  <c r="K1336" i="1"/>
  <c r="L1313" i="1"/>
  <c r="L1441" i="1"/>
  <c r="L1514" i="1"/>
  <c r="K1050" i="1"/>
  <c r="K1114" i="1"/>
  <c r="K1178" i="1"/>
  <c r="K1242" i="1"/>
  <c r="L1050" i="1"/>
  <c r="L1114" i="1"/>
  <c r="L1161" i="1"/>
  <c r="L1203" i="1"/>
  <c r="L1237" i="1"/>
  <c r="L1269" i="1"/>
  <c r="K789" i="1"/>
  <c r="K821" i="1"/>
  <c r="K853" i="1"/>
  <c r="K885" i="1"/>
  <c r="K917" i="1"/>
  <c r="K949" i="1"/>
  <c r="K981" i="1"/>
  <c r="K1013" i="1"/>
  <c r="L778" i="1"/>
  <c r="L800" i="1"/>
  <c r="L821" i="1"/>
  <c r="L842" i="1"/>
  <c r="L864" i="1"/>
  <c r="L884" i="1"/>
  <c r="L900" i="1"/>
  <c r="L916" i="1"/>
  <c r="L932" i="1"/>
  <c r="K660" i="1"/>
  <c r="K676" i="1"/>
  <c r="K692" i="1"/>
  <c r="K708" i="1"/>
  <c r="K724" i="1"/>
  <c r="K740" i="1"/>
  <c r="K756" i="1"/>
  <c r="L516" i="1"/>
  <c r="L532" i="1"/>
  <c r="L548" i="1"/>
  <c r="L564" i="1"/>
  <c r="L580" i="1"/>
  <c r="L596" i="1"/>
  <c r="L612" i="1"/>
  <c r="L628" i="1"/>
  <c r="L644" i="1"/>
  <c r="L660" i="1"/>
  <c r="L676" i="1"/>
  <c r="L692" i="1"/>
  <c r="L708" i="1"/>
  <c r="L724" i="1"/>
  <c r="L740" i="1"/>
  <c r="L756" i="1"/>
  <c r="K260" i="1"/>
  <c r="K276" i="1"/>
  <c r="K292" i="1"/>
  <c r="K308" i="1"/>
  <c r="K320" i="1"/>
  <c r="K331" i="1"/>
  <c r="K342" i="1"/>
  <c r="K352" i="1"/>
  <c r="K363" i="1"/>
  <c r="K374" i="1"/>
  <c r="K384" i="1"/>
  <c r="K395" i="1"/>
  <c r="K406" i="1"/>
  <c r="K416" i="1"/>
  <c r="K427" i="1"/>
  <c r="K438" i="1"/>
  <c r="K448" i="1"/>
  <c r="K459" i="1"/>
  <c r="K470" i="1"/>
  <c r="K480" i="1"/>
  <c r="K491" i="1"/>
  <c r="K502" i="1"/>
  <c r="K512" i="1"/>
  <c r="L267" i="1"/>
  <c r="L278" i="1"/>
  <c r="L286" i="1"/>
  <c r="L294" i="1"/>
  <c r="L302" i="1"/>
  <c r="L310" i="1"/>
  <c r="L318" i="1"/>
  <c r="L326" i="1"/>
  <c r="L334" i="1"/>
  <c r="L342" i="1"/>
  <c r="L350" i="1"/>
  <c r="L358" i="1"/>
  <c r="L366" i="1"/>
  <c r="L374" i="1"/>
  <c r="L382" i="1"/>
  <c r="L390" i="1"/>
  <c r="L398" i="1"/>
  <c r="L406" i="1"/>
  <c r="L414" i="1"/>
  <c r="L422" i="1"/>
  <c r="L430" i="1"/>
  <c r="L438" i="1"/>
  <c r="L446" i="1"/>
  <c r="L454" i="1"/>
  <c r="L462" i="1"/>
  <c r="L470" i="1"/>
  <c r="L478" i="1"/>
  <c r="L486" i="1"/>
  <c r="L494" i="1"/>
  <c r="L502" i="1"/>
  <c r="L510" i="1"/>
  <c r="K7" i="1"/>
  <c r="K15" i="1"/>
  <c r="K23" i="1"/>
  <c r="K31" i="1"/>
  <c r="K39" i="1"/>
  <c r="K47" i="1"/>
  <c r="K55" i="1"/>
  <c r="K63" i="1"/>
  <c r="K71" i="1"/>
  <c r="K79" i="1"/>
  <c r="K87" i="1"/>
  <c r="K95" i="1"/>
  <c r="K103" i="1"/>
  <c r="K111" i="1"/>
  <c r="K119" i="1"/>
  <c r="K127" i="1"/>
  <c r="K135" i="1"/>
  <c r="K141" i="1"/>
  <c r="K147" i="1"/>
  <c r="K152" i="1"/>
  <c r="K157" i="1"/>
  <c r="K163" i="1"/>
  <c r="K168" i="1"/>
  <c r="K173" i="1"/>
  <c r="K179" i="1"/>
  <c r="K184" i="1"/>
  <c r="K189" i="1"/>
  <c r="K195" i="1"/>
  <c r="K200" i="1"/>
  <c r="K205" i="1"/>
  <c r="K211" i="1"/>
  <c r="K216" i="1"/>
  <c r="K221" i="1"/>
  <c r="K227" i="1"/>
  <c r="K232" i="1"/>
  <c r="K237" i="1"/>
  <c r="K248" i="1"/>
  <c r="K253" i="1"/>
  <c r="L4" i="1"/>
  <c r="L9" i="1"/>
  <c r="L14" i="1"/>
  <c r="L20" i="1"/>
  <c r="L25" i="1"/>
  <c r="L30" i="1"/>
  <c r="L36" i="1"/>
  <c r="L41" i="1"/>
  <c r="L46" i="1"/>
  <c r="L52" i="1"/>
  <c r="L57" i="1"/>
  <c r="L62" i="1"/>
  <c r="L68" i="1"/>
  <c r="L73" i="1"/>
  <c r="L78" i="1"/>
  <c r="L89" i="1"/>
  <c r="L94" i="1"/>
  <c r="L105" i="1"/>
  <c r="L116" i="1"/>
  <c r="L126" i="1"/>
  <c r="L137" i="1"/>
  <c r="L146" i="1"/>
  <c r="L154" i="1"/>
  <c r="L162" i="1"/>
  <c r="L170" i="1"/>
  <c r="L178" i="1"/>
  <c r="L186" i="1"/>
  <c r="L194" i="1"/>
  <c r="L202" i="1"/>
  <c r="L210" i="1"/>
  <c r="L218" i="1"/>
  <c r="L230" i="1"/>
  <c r="L238" i="1"/>
  <c r="L246" i="1"/>
  <c r="L254" i="1"/>
  <c r="K1337" i="1"/>
  <c r="L1515" i="1"/>
  <c r="K1129" i="1"/>
  <c r="K1257" i="1"/>
  <c r="L1127" i="1"/>
  <c r="L1212" i="1"/>
  <c r="L1276" i="1"/>
  <c r="K828" i="1"/>
  <c r="K892" i="1"/>
  <c r="K956" i="1"/>
  <c r="K1017" i="1"/>
  <c r="L804" i="1"/>
  <c r="L846" i="1"/>
  <c r="L887" i="1"/>
  <c r="L919" i="1"/>
  <c r="L951" i="1"/>
  <c r="L983" i="1"/>
  <c r="L1015" i="1"/>
  <c r="K535" i="1"/>
  <c r="K567" i="1"/>
  <c r="K599" i="1"/>
  <c r="K631" i="1"/>
  <c r="K663" i="1"/>
  <c r="K695" i="1"/>
  <c r="K727" i="1"/>
  <c r="K759" i="1"/>
  <c r="L535" i="1"/>
  <c r="L567" i="1"/>
  <c r="L599" i="1"/>
  <c r="L631" i="1"/>
  <c r="L663" i="1"/>
  <c r="L695" i="1"/>
  <c r="L711" i="1"/>
  <c r="L743" i="1"/>
  <c r="K263" i="1"/>
  <c r="K295" i="1"/>
  <c r="K322" i="1"/>
  <c r="K343" i="1"/>
  <c r="K364" i="1"/>
  <c r="K386" i="1"/>
  <c r="K407" i="1"/>
  <c r="K428" i="1"/>
  <c r="K450" i="1"/>
  <c r="K471" i="1"/>
  <c r="K492" i="1"/>
  <c r="L258" i="1"/>
  <c r="L279" i="1"/>
  <c r="L295" i="1"/>
  <c r="L311" i="1"/>
  <c r="L327" i="1"/>
  <c r="L343" i="1"/>
  <c r="L359" i="1"/>
  <c r="L375" i="1"/>
  <c r="L391" i="1"/>
  <c r="L407" i="1"/>
  <c r="L423" i="1"/>
  <c r="L439" i="1"/>
  <c r="L455" i="1"/>
  <c r="L471" i="1"/>
  <c r="L487" i="1"/>
  <c r="L503" i="1"/>
  <c r="K8" i="1"/>
  <c r="K32" i="1"/>
  <c r="K48" i="1"/>
  <c r="K64" i="1"/>
  <c r="K80" i="1"/>
  <c r="K96" i="1"/>
  <c r="K112" i="1"/>
  <c r="K128" i="1"/>
  <c r="K143" i="1"/>
  <c r="K153" i="1"/>
  <c r="K164" i="1"/>
  <c r="K175" i="1"/>
  <c r="K185" i="1"/>
  <c r="K196" i="1"/>
  <c r="K207" i="1"/>
  <c r="K217" i="1"/>
  <c r="K228" i="1"/>
  <c r="K239" i="1"/>
  <c r="K249" i="1"/>
  <c r="L5" i="1"/>
  <c r="L16" i="1"/>
  <c r="L21" i="1"/>
  <c r="L32" i="1"/>
  <c r="L42" i="1"/>
  <c r="L53" i="1"/>
  <c r="L64" i="1"/>
  <c r="L74" i="1"/>
  <c r="L85" i="1"/>
  <c r="L96" i="1"/>
  <c r="L106" i="1"/>
  <c r="L117" i="1"/>
  <c r="L122" i="1"/>
  <c r="L133" i="1"/>
  <c r="L138" i="1"/>
  <c r="L147" i="1"/>
  <c r="L155" i="1"/>
  <c r="L163" i="1"/>
  <c r="L171" i="1"/>
  <c r="L179" i="1"/>
  <c r="L187" i="1"/>
  <c r="L195" i="1"/>
  <c r="L203" i="1"/>
  <c r="L211" i="1"/>
  <c r="L219" i="1"/>
  <c r="L227" i="1"/>
  <c r="L235" i="1"/>
  <c r="L243" i="1"/>
  <c r="L251" i="1"/>
  <c r="K2" i="1"/>
  <c r="L2" i="1"/>
  <c r="C4" i="16"/>
  <c r="G7" i="10" l="1"/>
  <c r="G11" i="10"/>
  <c r="G15" i="10"/>
  <c r="G12" i="10"/>
  <c r="G5" i="10"/>
  <c r="G13" i="10"/>
  <c r="G6" i="10"/>
  <c r="G14" i="10"/>
  <c r="G8" i="10"/>
  <c r="G9" i="10"/>
  <c r="G10" i="10"/>
  <c r="G4" i="10"/>
  <c r="A2" i="7"/>
  <c r="G5" i="6" l="1"/>
  <c r="G9" i="6"/>
  <c r="G13" i="6"/>
  <c r="G17" i="6"/>
  <c r="G21" i="6"/>
  <c r="H6" i="6"/>
  <c r="H10" i="6"/>
  <c r="H14" i="6"/>
  <c r="H18" i="6"/>
  <c r="G19" i="6"/>
  <c r="H8" i="6"/>
  <c r="H16" i="6"/>
  <c r="G8" i="6"/>
  <c r="G16" i="6"/>
  <c r="H5" i="6"/>
  <c r="H13" i="6"/>
  <c r="H21" i="6"/>
  <c r="G6" i="6"/>
  <c r="G10" i="6"/>
  <c r="G14" i="6"/>
  <c r="G18" i="6"/>
  <c r="H3" i="6"/>
  <c r="H7" i="6"/>
  <c r="H11" i="6"/>
  <c r="H15" i="6"/>
  <c r="H19" i="6"/>
  <c r="G3" i="6"/>
  <c r="G7" i="6"/>
  <c r="G11" i="6"/>
  <c r="G15" i="6"/>
  <c r="H4" i="6"/>
  <c r="H12" i="6"/>
  <c r="H20" i="6"/>
  <c r="G4" i="6"/>
  <c r="G12" i="6"/>
  <c r="G20" i="6"/>
  <c r="H9" i="6"/>
  <c r="H17" i="6"/>
  <c r="H2" i="6"/>
  <c r="G2" i="6"/>
</calcChain>
</file>

<file path=xl/sharedStrings.xml><?xml version="1.0" encoding="utf-8"?>
<sst xmlns="http://schemas.openxmlformats.org/spreadsheetml/2006/main" count="19327" uniqueCount="133">
  <si>
    <t>Population</t>
  </si>
  <si>
    <t>Cost Basis</t>
  </si>
  <si>
    <t>Period</t>
  </si>
  <si>
    <t>IsCompleted</t>
  </si>
  <si>
    <t>Trend</t>
  </si>
  <si>
    <t>Trend Order</t>
  </si>
  <si>
    <t>Staging Data</t>
  </si>
  <si>
    <t>Production Data</t>
  </si>
  <si>
    <t>Staging Incurred Claims</t>
  </si>
  <si>
    <t>Staging Paid Claims</t>
  </si>
  <si>
    <t>Production Incurred Claims</t>
  </si>
  <si>
    <t>Production Paid Claims</t>
  </si>
  <si>
    <t>Medical PMPM</t>
  </si>
  <si>
    <t>Drug PMPM</t>
  </si>
  <si>
    <t>Overall PMPM</t>
  </si>
  <si>
    <t>Readmission Cost</t>
  </si>
  <si>
    <t>Readmission Quality</t>
  </si>
  <si>
    <t>Avoidable Admission Cost</t>
  </si>
  <si>
    <t>Avoidable Admission Quality</t>
  </si>
  <si>
    <t>Outpatient Imaging Cost</t>
  </si>
  <si>
    <t>Hospiatl Outpatient MRIs per 1k</t>
  </si>
  <si>
    <t>Hospiatl Outpatient CTs per 1k</t>
  </si>
  <si>
    <t>Office Based MRIs per 1k</t>
  </si>
  <si>
    <t>Office Based CTs per 1k</t>
  </si>
  <si>
    <t>ED Cost</t>
  </si>
  <si>
    <t>ED Utilization</t>
  </si>
  <si>
    <t>Drug - Generic Utilization Cost</t>
  </si>
  <si>
    <t>Drug - Generic Utilization</t>
  </si>
  <si>
    <t>Chronic Disease Management - Cost</t>
  </si>
  <si>
    <t>Chronic Disease Management - Members</t>
  </si>
  <si>
    <t>Inpatient Claim Count</t>
  </si>
  <si>
    <t>Outpatient Claim Count</t>
  </si>
  <si>
    <t>Professional Claim Count</t>
  </si>
  <si>
    <t>Ancillary Claim Count</t>
  </si>
  <si>
    <t>Drug Claim Count</t>
  </si>
  <si>
    <t>Data</t>
  </si>
  <si>
    <t>Incurred Claims</t>
  </si>
  <si>
    <t>Paid Claims</t>
  </si>
  <si>
    <t>Vlookup</t>
  </si>
  <si>
    <t>Row Labels</t>
  </si>
  <si>
    <t>Grand Total</t>
  </si>
  <si>
    <t>All Tabs Trend</t>
  </si>
  <si>
    <t>IBNR Staging vs Production</t>
  </si>
  <si>
    <t>Staging</t>
  </si>
  <si>
    <t>Production</t>
  </si>
  <si>
    <t>Incomplete Months</t>
  </si>
  <si>
    <t>Trend Sheet Reference</t>
  </si>
  <si>
    <t>Tab</t>
  </si>
  <si>
    <t>Description</t>
  </si>
  <si>
    <t>All Trend Sheet</t>
  </si>
  <si>
    <t>IBNR Trend Sheet</t>
  </si>
  <si>
    <t>Here we can test the IBNR trend as we see in the CPRM site</t>
  </si>
  <si>
    <t>This will show the no of incomplete months b/w staging and production</t>
  </si>
  <si>
    <t>This tab is used to test all the trends in the site. Except EBM</t>
  </si>
  <si>
    <t>Test Cases Covered</t>
  </si>
  <si>
    <t>Test Cases Yet to Cover</t>
  </si>
  <si>
    <t>Patients, Physicians, Population Dashboard (Qualtiy and Utilization summary) and EBM</t>
  </si>
  <si>
    <t>File movement</t>
  </si>
  <si>
    <t>Verified</t>
  </si>
  <si>
    <t>Comments</t>
  </si>
  <si>
    <t>Check whether the member files are moved to \\atxentntap-p01a\CDA_Archive\DM\Files</t>
  </si>
  <si>
    <t>Check whether mail is attached to SF ticket when files sent to MM</t>
  </si>
  <si>
    <t>Check whether  all the member files are deleted from the temp folder once files are sent to MM</t>
  </si>
  <si>
    <t>Smoke test</t>
  </si>
  <si>
    <t>Check whether .bak name is addded</t>
  </si>
  <si>
    <t>Check whether current dataload instance is mark completed in DM</t>
  </si>
  <si>
    <t>If 10.3.bak check whether Episodes Explorer is enabled</t>
  </si>
  <si>
    <t>Enable Domestic Steerage for New members (Mandatory)</t>
  </si>
  <si>
    <t>Enable Domestic steerage based on the Domestic Fag information in the Physicians tab for Existing members</t>
  </si>
  <si>
    <t>Check whether Validation mail is attached in the SF after completing Smoke test</t>
  </si>
  <si>
    <t>New Memberorg creation</t>
  </si>
  <si>
    <t>Check whether all steps are performed from the following wiki page</t>
  </si>
  <si>
    <t>https://wiki.advisory.com/login.action;jsessionid=05F1141AFC5C97FD163DFCBE0D2142E0?os_destination=%2Fpages%2Fviewpage.action%3Ftitle%3DCPRM%2BSite%2BBuild%26spaceKey%3DCPRM</t>
  </si>
  <si>
    <t>Check whether Siam is enabled in both Production and Staging</t>
  </si>
  <si>
    <t>Check whether staging and production site are deployed in Site Manager</t>
  </si>
  <si>
    <t>Verify dates are updated in Datamilestones in SAlesforce ticket</t>
  </si>
  <si>
    <t xml:space="preserve">Verify DM instance and SalesForce description are for the same month </t>
  </si>
  <si>
    <t>Incurred</t>
  </si>
  <si>
    <t>Paid</t>
  </si>
  <si>
    <t>Other Checks</t>
  </si>
  <si>
    <t>DisplayName</t>
  </si>
  <si>
    <t>Tabs</t>
  </si>
  <si>
    <t>Checks</t>
  </si>
  <si>
    <t>Results</t>
  </si>
  <si>
    <t>Prodution</t>
  </si>
  <si>
    <t>Display Name</t>
  </si>
  <si>
    <t>Column1</t>
  </si>
  <si>
    <t>Critical</t>
  </si>
  <si>
    <t>Trivial</t>
  </si>
  <si>
    <t>Perc Deviation</t>
  </si>
  <si>
    <t>EMPLOYEES</t>
  </si>
  <si>
    <t>Allowed</t>
  </si>
  <si>
    <t>2016-01-01</t>
  </si>
  <si>
    <t>Y</t>
  </si>
  <si>
    <t>2016-02-01</t>
  </si>
  <si>
    <t>2016-03-01</t>
  </si>
  <si>
    <t>2016-04-01</t>
  </si>
  <si>
    <t>2016-05-01</t>
  </si>
  <si>
    <t>2016-06-01</t>
  </si>
  <si>
    <t>2016-07-01</t>
  </si>
  <si>
    <t>2016-08-01</t>
  </si>
  <si>
    <t>2016-09-01</t>
  </si>
  <si>
    <t>2016-10-01</t>
  </si>
  <si>
    <t>2016-11-01</t>
  </si>
  <si>
    <t>2016-12-01</t>
  </si>
  <si>
    <t>2017-01-01</t>
  </si>
  <si>
    <t>2017-02-01</t>
  </si>
  <si>
    <t>2017-03-01</t>
  </si>
  <si>
    <t>N</t>
  </si>
  <si>
    <t>2017-04-01</t>
  </si>
  <si>
    <t>2017-05-01</t>
  </si>
  <si>
    <t>OTHERS</t>
  </si>
  <si>
    <t>Focus</t>
  </si>
  <si>
    <t>No of Incomplete Months</t>
  </si>
  <si>
    <t>March-17(90%), April-17(90%), May-17(48%</t>
  </si>
  <si>
    <t>Patients</t>
  </si>
  <si>
    <t>No of Patients</t>
  </si>
  <si>
    <t>4825</t>
  </si>
  <si>
    <t>PCPs</t>
  </si>
  <si>
    <t>No of PCPs</t>
  </si>
  <si>
    <t>369</t>
  </si>
  <si>
    <t>PCPs - Not Affiliated with practice</t>
  </si>
  <si>
    <t>55</t>
  </si>
  <si>
    <t>PCPs with "Unknown" Network Affiliation</t>
  </si>
  <si>
    <t>Practice</t>
  </si>
  <si>
    <t>No of Practice</t>
  </si>
  <si>
    <t>186</t>
  </si>
  <si>
    <t>January-17(94%), February-17(92%), March-17(82%), April-17(74%), May-17(39%</t>
  </si>
  <si>
    <t>9489</t>
  </si>
  <si>
    <t>592</t>
  </si>
  <si>
    <t>82</t>
  </si>
  <si>
    <t>303</t>
  </si>
  <si>
    <t>Cautionary</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</si>
</sst>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4"/>
      <color theme="1"/>
      <name val="Calibri"/>
      <family val="2"/>
      <scheme val="minor"/>
    </font>
    <font>
      <b/>
      <sz val="11"/>
      <color theme="1"/>
      <name val="Calibri"/>
      <family val="2"/>
      <scheme val="minor"/>
    </font>
    <font>
      <u/>
      <sz val="11"/>
      <color theme="10"/>
      <name val="Calibri"/>
      <family val="2"/>
      <scheme val="minor"/>
    </font>
    <font>
      <b/>
      <i/>
      <sz val="14"/>
      <color rgb="FF0066CC"/>
      <name val="Calibri"/>
      <family val="2"/>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Font="1" applyAlignment="1">
      <alignment horizontal="left"/>
    </xf>
    <xf numFmtId="0" fontId="0" fillId="0" borderId="0" xfId="0" applyNumberFormat="1"/>
    <xf numFmtId="0" fontId="1" fillId="0" borderId="0" xfId="0" applyFont="1" applyAlignment="1">
      <alignment horizontal="left"/>
    </xf>
    <xf numFmtId="14" fontId="0" fillId="0" borderId="0" xfId="0" applyNumberFormat="1" applyAlignment="1">
      <alignment horizontal="left"/>
    </xf>
    <xf numFmtId="0" fontId="0" fillId="0" borderId="1" xfId="0" applyBorder="1"/>
    <xf numFmtId="0" fontId="2" fillId="0" borderId="0" xfId="0" applyFont="1"/>
    <xf numFmtId="0" fontId="1" fillId="0" borderId="0" xfId="0" applyFont="1"/>
    <xf numFmtId="0" fontId="2" fillId="2" borderId="1" xfId="0" applyFont="1" applyFill="1" applyBorder="1"/>
    <xf numFmtId="0" fontId="2" fillId="0" borderId="0" xfId="0" applyFont="1" applyBorder="1"/>
    <xf numFmtId="0" fontId="0" fillId="0" borderId="0" xfId="0" applyBorder="1"/>
    <xf numFmtId="0" fontId="3" fillId="0" borderId="0" xfId="1" applyAlignment="1"/>
    <xf numFmtId="0" fontId="0" fillId="0" borderId="0" xfId="0" applyAlignment="1"/>
    <xf numFmtId="0" fontId="0" fillId="0" borderId="0" xfId="0" applyBorder="1" applyAlignment="1"/>
    <xf numFmtId="0" fontId="0" fillId="0" borderId="0" xfId="0" applyNumberFormat="1" applyAlignment="1">
      <alignment horizontal="left"/>
    </xf>
    <xf numFmtId="0" fontId="1" fillId="0" borderId="0" xfId="0" applyFont="1" applyAlignment="1">
      <alignment horizontal="left"/>
    </xf>
  </cellXfs>
  <cellStyles count="2">
    <cellStyle name="Hyperlink" xfId="1" builtinId="8"/>
    <cellStyle name="Normal" xfId="0" builtinId="0"/>
  </cellStyles>
  <dxfs count="22">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[St.MarysMedicalCenter_06_22_2017_Trendsheet.xlsm]Trend Sheet Data!PivotTable1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4.8554615692244618E-2"/>
          <c:y val="6.1580100652556043E-2"/>
          <c:w val="0.91900833778620183"/>
          <c:h val="0.83627248428808787"/>
        </c:manualLayout>
      </c:layout>
      <c:lineChart>
        <c:grouping val="standard"/>
        <c:varyColors val="0"/>
        <c:ser>
          <c:idx val="0"/>
          <c:order val="0"/>
          <c:tx>
            <c:strRef>
              <c:f>'Trend Sheet Data'!$B$1</c:f>
              <c:strCache>
                <c:ptCount val="1"/>
                <c:pt idx="0">
                  <c:v>Production</c:v>
                </c:pt>
              </c:strCache>
            </c:strRef>
          </c:tx>
          <c:cat>
            <c:strRef>
              <c:f>'Trend Sheet Data'!$A$2:$A$19</c:f>
              <c:strCache>
                <c:ptCount val="17"/>
                <c:pt idx="0">
                  <c:v>2016-01-01</c:v>
                </c:pt>
                <c:pt idx="1">
                  <c:v>2016-02-01</c:v>
                </c:pt>
                <c:pt idx="2">
                  <c:v>2016-03-01</c:v>
                </c:pt>
                <c:pt idx="3">
                  <c:v>2016-04-01</c:v>
                </c:pt>
                <c:pt idx="4">
                  <c:v>2016-05-01</c:v>
                </c:pt>
                <c:pt idx="5">
                  <c:v>2016-06-01</c:v>
                </c:pt>
                <c:pt idx="6">
                  <c:v>2016-07-01</c:v>
                </c:pt>
                <c:pt idx="7">
                  <c:v>2016-08-01</c:v>
                </c:pt>
                <c:pt idx="8">
                  <c:v>2016-09-01</c:v>
                </c:pt>
                <c:pt idx="9">
                  <c:v>2016-10-01</c:v>
                </c:pt>
                <c:pt idx="10">
                  <c:v>2016-11-01</c:v>
                </c:pt>
                <c:pt idx="11">
                  <c:v>2016-12-01</c:v>
                </c:pt>
                <c:pt idx="12">
                  <c:v>2017-01-01</c:v>
                </c:pt>
                <c:pt idx="13">
                  <c:v>2017-02-01</c:v>
                </c:pt>
                <c:pt idx="14">
                  <c:v>2017-03-01</c:v>
                </c:pt>
                <c:pt idx="15">
                  <c:v>2017-04-01</c:v>
                </c:pt>
                <c:pt idx="16">
                  <c:v>2017-05-01</c:v>
                </c:pt>
              </c:strCache>
            </c:strRef>
          </c:cat>
          <c:val>
            <c:numRef>
              <c:f>'Trend Sheet Data'!$B$2:$B$19</c:f>
              <c:numCache>
                <c:formatCode>General</c:formatCode>
                <c:ptCount val="17"/>
                <c:pt idx="0">
                  <c:v>76</c:v>
                </c:pt>
                <c:pt idx="1">
                  <c:v>84</c:v>
                </c:pt>
                <c:pt idx="2">
                  <c:v>127</c:v>
                </c:pt>
                <c:pt idx="3">
                  <c:v>111</c:v>
                </c:pt>
                <c:pt idx="4">
                  <c:v>119</c:v>
                </c:pt>
                <c:pt idx="5">
                  <c:v>140</c:v>
                </c:pt>
                <c:pt idx="6">
                  <c:v>87</c:v>
                </c:pt>
                <c:pt idx="7">
                  <c:v>123</c:v>
                </c:pt>
                <c:pt idx="8">
                  <c:v>128</c:v>
                </c:pt>
                <c:pt idx="9">
                  <c:v>118</c:v>
                </c:pt>
                <c:pt idx="10">
                  <c:v>114</c:v>
                </c:pt>
                <c:pt idx="11">
                  <c:v>128</c:v>
                </c:pt>
                <c:pt idx="12">
                  <c:v>169</c:v>
                </c:pt>
                <c:pt idx="13">
                  <c:v>106</c:v>
                </c:pt>
                <c:pt idx="14">
                  <c:v>96</c:v>
                </c:pt>
                <c:pt idx="15">
                  <c:v>109</c:v>
                </c:pt>
                <c:pt idx="16">
                  <c:v>72</c:v>
                </c:pt>
              </c:numCache>
            </c:numRef>
          </c:val>
          <c:smooth val="0"/>
        </c:ser>
        <c:ser>
          <c:idx val="1"/>
          <c:order val="1"/>
          <c:tx>
            <c:strRef>
              <c:f>'Trend Sheet Data'!$C$1</c:f>
              <c:strCache>
                <c:ptCount val="1"/>
                <c:pt idx="0">
                  <c:v>Staging</c:v>
                </c:pt>
              </c:strCache>
            </c:strRef>
          </c:tx>
          <c:cat>
            <c:strRef>
              <c:f>'Trend Sheet Data'!$A$2:$A$19</c:f>
              <c:strCache>
                <c:ptCount val="17"/>
                <c:pt idx="0">
                  <c:v>2016-01-01</c:v>
                </c:pt>
                <c:pt idx="1">
                  <c:v>2016-02-01</c:v>
                </c:pt>
                <c:pt idx="2">
                  <c:v>2016-03-01</c:v>
                </c:pt>
                <c:pt idx="3">
                  <c:v>2016-04-01</c:v>
                </c:pt>
                <c:pt idx="4">
                  <c:v>2016-05-01</c:v>
                </c:pt>
                <c:pt idx="5">
                  <c:v>2016-06-01</c:v>
                </c:pt>
                <c:pt idx="6">
                  <c:v>2016-07-01</c:v>
                </c:pt>
                <c:pt idx="7">
                  <c:v>2016-08-01</c:v>
                </c:pt>
                <c:pt idx="8">
                  <c:v>2016-09-01</c:v>
                </c:pt>
                <c:pt idx="9">
                  <c:v>2016-10-01</c:v>
                </c:pt>
                <c:pt idx="10">
                  <c:v>2016-11-01</c:v>
                </c:pt>
                <c:pt idx="11">
                  <c:v>2016-12-01</c:v>
                </c:pt>
                <c:pt idx="12">
                  <c:v>2017-01-01</c:v>
                </c:pt>
                <c:pt idx="13">
                  <c:v>2017-02-01</c:v>
                </c:pt>
                <c:pt idx="14">
                  <c:v>2017-03-01</c:v>
                </c:pt>
                <c:pt idx="15">
                  <c:v>2017-04-01</c:v>
                </c:pt>
                <c:pt idx="16">
                  <c:v>2017-05-01</c:v>
                </c:pt>
              </c:strCache>
            </c:strRef>
          </c:cat>
          <c:val>
            <c:numRef>
              <c:f>'Trend Sheet Data'!$C$2:$C$19</c:f>
              <c:numCache>
                <c:formatCode>General</c:formatCode>
                <c:ptCount val="17"/>
                <c:pt idx="0">
                  <c:v>76</c:v>
                </c:pt>
                <c:pt idx="1">
                  <c:v>84</c:v>
                </c:pt>
                <c:pt idx="2">
                  <c:v>127</c:v>
                </c:pt>
                <c:pt idx="3">
                  <c:v>111</c:v>
                </c:pt>
                <c:pt idx="4">
                  <c:v>119</c:v>
                </c:pt>
                <c:pt idx="5">
                  <c:v>140</c:v>
                </c:pt>
                <c:pt idx="6">
                  <c:v>87</c:v>
                </c:pt>
                <c:pt idx="7">
                  <c:v>123</c:v>
                </c:pt>
                <c:pt idx="8">
                  <c:v>128</c:v>
                </c:pt>
                <c:pt idx="9">
                  <c:v>118</c:v>
                </c:pt>
                <c:pt idx="10">
                  <c:v>114</c:v>
                </c:pt>
                <c:pt idx="11">
                  <c:v>128</c:v>
                </c:pt>
                <c:pt idx="12">
                  <c:v>169</c:v>
                </c:pt>
                <c:pt idx="13">
                  <c:v>106</c:v>
                </c:pt>
                <c:pt idx="14">
                  <c:v>96</c:v>
                </c:pt>
                <c:pt idx="15">
                  <c:v>109</c:v>
                </c:pt>
                <c:pt idx="16">
                  <c:v>72</c:v>
                </c:pt>
              </c:numCache>
            </c:numRef>
          </c:val>
          <c:smooth val="0"/>
        </c:ser>
        <c:dLbls>
          <c:showLegendKey val="0"/>
          <c:showVal val="0"/>
          <c:showCatName val="0"/>
          <c:showSerName val="0"/>
          <c:showPercent val="0"/>
          <c:showBubbleSize val="0"/>
        </c:dLbls>
        <c:marker val="1"/>
        <c:smooth val="0"/>
        <c:axId val="137229312"/>
        <c:axId val="101932352"/>
      </c:lineChart>
      <c:catAx>
        <c:axId val="137229312"/>
        <c:scaling>
          <c:orientation val="minMax"/>
        </c:scaling>
        <c:delete val="0"/>
        <c:axPos val="b"/>
        <c:majorTickMark val="out"/>
        <c:minorTickMark val="none"/>
        <c:tickLblPos val="nextTo"/>
        <c:crossAx val="101932352"/>
        <c:crosses val="autoZero"/>
        <c:auto val="1"/>
        <c:lblAlgn val="ctr"/>
        <c:lblOffset val="100"/>
        <c:noMultiLvlLbl val="0"/>
      </c:catAx>
      <c:valAx>
        <c:axId val="101932352"/>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37229312"/>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65609848064766552"/>
          <c:y val="0"/>
          <c:w val="0.30634283390632511"/>
          <c:h val="5.7760761556181615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[St.MarysMedicalCenter_06_22_2017_Trendsheet.xlsm]IBNR Trend Sheet Data!PivotTable2</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s>
    <c:plotArea>
      <c:layout/>
      <c:lineChart>
        <c:grouping val="standard"/>
        <c:varyColors val="0"/>
        <c:ser>
          <c:idx val="0"/>
          <c:order val="0"/>
          <c:tx>
            <c:strRef>
              <c:f>'IBNR Trend Sheet Data'!$B$1</c:f>
              <c:strCache>
                <c:ptCount val="1"/>
                <c:pt idx="0">
                  <c:v>Incurred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Data'!$B$2:$B$7</c:f>
              <c:numCache>
                <c:formatCode>General</c:formatCode>
                <c:ptCount val="5"/>
                <c:pt idx="0">
                  <c:v>1739245.25</c:v>
                </c:pt>
                <c:pt idx="1">
                  <c:v>3298714.58</c:v>
                </c:pt>
                <c:pt idx="2">
                  <c:v>5061417.7300000004</c:v>
                </c:pt>
                <c:pt idx="3">
                  <c:v>6772211.6200000001</c:v>
                </c:pt>
                <c:pt idx="4">
                  <c:v>8703601.2699999996</c:v>
                </c:pt>
              </c:numCache>
            </c:numRef>
          </c:val>
          <c:smooth val="0"/>
        </c:ser>
        <c:ser>
          <c:idx val="1"/>
          <c:order val="1"/>
          <c:tx>
            <c:strRef>
              <c:f>'IBNR Trend Sheet Data'!$C$1</c:f>
              <c:strCache>
                <c:ptCount val="1"/>
                <c:pt idx="0">
                  <c:v>Paid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Data'!$C$2:$C$7</c:f>
              <c:numCache>
                <c:formatCode>General</c:formatCode>
                <c:ptCount val="5"/>
                <c:pt idx="0">
                  <c:v>1698558.25</c:v>
                </c:pt>
                <c:pt idx="1">
                  <c:v>3196457.07</c:v>
                </c:pt>
                <c:pt idx="2">
                  <c:v>4806144.82</c:v>
                </c:pt>
                <c:pt idx="3">
                  <c:v>6345319.9500000002</c:v>
                </c:pt>
                <c:pt idx="4">
                  <c:v>7279541.6600000001</c:v>
                </c:pt>
              </c:numCache>
            </c:numRef>
          </c:val>
          <c:smooth val="0"/>
        </c:ser>
        <c:dLbls>
          <c:showLegendKey val="0"/>
          <c:showVal val="0"/>
          <c:showCatName val="0"/>
          <c:showSerName val="0"/>
          <c:showPercent val="0"/>
          <c:showBubbleSize val="0"/>
        </c:dLbls>
        <c:marker val="1"/>
        <c:smooth val="0"/>
        <c:axId val="137229824"/>
        <c:axId val="101931200"/>
      </c:lineChart>
      <c:catAx>
        <c:axId val="137229824"/>
        <c:scaling>
          <c:orientation val="minMax"/>
        </c:scaling>
        <c:delete val="0"/>
        <c:axPos val="b"/>
        <c:majorTickMark val="out"/>
        <c:minorTickMark val="none"/>
        <c:tickLblPos val="nextTo"/>
        <c:crossAx val="101931200"/>
        <c:crosses val="autoZero"/>
        <c:auto val="1"/>
        <c:lblAlgn val="ctr"/>
        <c:lblOffset val="100"/>
        <c:noMultiLvlLbl val="0"/>
      </c:catAx>
      <c:valAx>
        <c:axId val="10193120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37229824"/>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1017896842214834"/>
          <c:y val="0"/>
          <c:w val="0.26715814205943805"/>
          <c:h val="5.460165732289059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[St.MarysMedicalCenter_06_22_2017_Trendsheet.xlsm]IBNR Trend Sheet Data!PivotTable3</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5.2668270632837563E-2"/>
          <c:y val="5.9930633670791149E-2"/>
          <c:w val="0.92325765529308845"/>
          <c:h val="0.84065804274465694"/>
        </c:manualLayout>
      </c:layout>
      <c:lineChart>
        <c:grouping val="standard"/>
        <c:varyColors val="0"/>
        <c:ser>
          <c:idx val="0"/>
          <c:order val="0"/>
          <c:tx>
            <c:strRef>
              <c:f>'IBNR Trend Sheet Data'!$O$1</c:f>
              <c:strCache>
                <c:ptCount val="1"/>
                <c:pt idx="0">
                  <c:v>Incurred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Data'!$O$2:$O$7</c:f>
              <c:numCache>
                <c:formatCode>General</c:formatCode>
                <c:ptCount val="5"/>
                <c:pt idx="0">
                  <c:v>1739245.25</c:v>
                </c:pt>
                <c:pt idx="1">
                  <c:v>3298714.58</c:v>
                </c:pt>
                <c:pt idx="2">
                  <c:v>5061417.7300000004</c:v>
                </c:pt>
                <c:pt idx="3">
                  <c:v>6772211.6200000001</c:v>
                </c:pt>
                <c:pt idx="4">
                  <c:v>8703601.2699999996</c:v>
                </c:pt>
              </c:numCache>
            </c:numRef>
          </c:val>
          <c:smooth val="0"/>
        </c:ser>
        <c:ser>
          <c:idx val="1"/>
          <c:order val="1"/>
          <c:tx>
            <c:strRef>
              <c:f>'IBNR Trend Sheet Data'!$P$1</c:f>
              <c:strCache>
                <c:ptCount val="1"/>
                <c:pt idx="0">
                  <c:v>Paid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Data'!$P$2:$P$7</c:f>
              <c:numCache>
                <c:formatCode>General</c:formatCode>
                <c:ptCount val="5"/>
                <c:pt idx="0">
                  <c:v>1698558.25</c:v>
                </c:pt>
                <c:pt idx="1">
                  <c:v>3196457.07</c:v>
                </c:pt>
                <c:pt idx="2">
                  <c:v>4806144.82</c:v>
                </c:pt>
                <c:pt idx="3">
                  <c:v>6345319.9500000002</c:v>
                </c:pt>
                <c:pt idx="4">
                  <c:v>7279541.6600000001</c:v>
                </c:pt>
              </c:numCache>
            </c:numRef>
          </c:val>
          <c:smooth val="0"/>
        </c:ser>
        <c:dLbls>
          <c:showLegendKey val="0"/>
          <c:showVal val="0"/>
          <c:showCatName val="0"/>
          <c:showSerName val="0"/>
          <c:showPercent val="0"/>
          <c:showBubbleSize val="0"/>
        </c:dLbls>
        <c:marker val="1"/>
        <c:smooth val="0"/>
        <c:axId val="73735168"/>
        <c:axId val="138775360"/>
      </c:lineChart>
      <c:catAx>
        <c:axId val="73735168"/>
        <c:scaling>
          <c:orientation val="minMax"/>
        </c:scaling>
        <c:delete val="0"/>
        <c:axPos val="b"/>
        <c:majorTickMark val="out"/>
        <c:minorTickMark val="none"/>
        <c:tickLblPos val="nextTo"/>
        <c:crossAx val="138775360"/>
        <c:crosses val="autoZero"/>
        <c:auto val="1"/>
        <c:lblAlgn val="ctr"/>
        <c:lblOffset val="100"/>
        <c:noMultiLvlLbl val="0"/>
      </c:catAx>
      <c:valAx>
        <c:axId val="13877536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73735168"/>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4729585885097694"/>
          <c:y val="0"/>
          <c:w val="0.2267782152230971"/>
          <c:h val="4.82770903637045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171450</xdr:rowOff>
        </xdr:from>
        <xdr:to>
          <xdr:col>12</xdr:col>
          <xdr:colOff>800100</xdr:colOff>
          <xdr:row>3</xdr:row>
          <xdr:rowOff>0</xdr:rowOff>
        </xdr:to>
        <xdr:sp macro="" textlink="">
          <xdr:nvSpPr>
            <xdr:cNvPr id="13313" name="Check Box 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0</xdr:rowOff>
        </xdr:from>
        <xdr:to>
          <xdr:col>12</xdr:col>
          <xdr:colOff>800100</xdr:colOff>
          <xdr:row>4</xdr:row>
          <xdr:rowOff>19050</xdr:rowOff>
        </xdr:to>
        <xdr:sp macro="" textlink="">
          <xdr:nvSpPr>
            <xdr:cNvPr id="13314" name="Check Box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0</xdr:rowOff>
        </xdr:from>
        <xdr:to>
          <xdr:col>12</xdr:col>
          <xdr:colOff>800100</xdr:colOff>
          <xdr:row>5</xdr:row>
          <xdr:rowOff>19050</xdr:rowOff>
        </xdr:to>
        <xdr:sp macro="" textlink="">
          <xdr:nvSpPr>
            <xdr:cNvPr id="13315" name="Check Box 3" hidden="1">
              <a:extLst>
                <a:ext uri="{63B3BB69-23CF-44E3-9099-C40C66FF867C}">
                  <a14:compatExt spid="_x0000_s13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800100</xdr:colOff>
          <xdr:row>11</xdr:row>
          <xdr:rowOff>19050</xdr:rowOff>
        </xdr:to>
        <xdr:sp macro="" textlink="">
          <xdr:nvSpPr>
            <xdr:cNvPr id="13316" name="Check Box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0</xdr:rowOff>
        </xdr:from>
        <xdr:to>
          <xdr:col>12</xdr:col>
          <xdr:colOff>762000</xdr:colOff>
          <xdr:row>12</xdr:row>
          <xdr:rowOff>19050</xdr:rowOff>
        </xdr:to>
        <xdr:sp macro="" textlink="">
          <xdr:nvSpPr>
            <xdr:cNvPr id="13317" name="Check Box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0</xdr:rowOff>
        </xdr:from>
        <xdr:to>
          <xdr:col>12</xdr:col>
          <xdr:colOff>800100</xdr:colOff>
          <xdr:row>13</xdr:row>
          <xdr:rowOff>19050</xdr:rowOff>
        </xdr:to>
        <xdr:sp macro="" textlink="">
          <xdr:nvSpPr>
            <xdr:cNvPr id="13318" name="Check Box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0</xdr:rowOff>
        </xdr:from>
        <xdr:to>
          <xdr:col>12</xdr:col>
          <xdr:colOff>800100</xdr:colOff>
          <xdr:row>14</xdr:row>
          <xdr:rowOff>19050</xdr:rowOff>
        </xdr:to>
        <xdr:sp macro="" textlink="">
          <xdr:nvSpPr>
            <xdr:cNvPr id="13319" name="Check Box 7"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0</xdr:rowOff>
        </xdr:from>
        <xdr:to>
          <xdr:col>12</xdr:col>
          <xdr:colOff>800100</xdr:colOff>
          <xdr:row>15</xdr:row>
          <xdr:rowOff>19050</xdr:rowOff>
        </xdr:to>
        <xdr:sp macro="" textlink="">
          <xdr:nvSpPr>
            <xdr:cNvPr id="13320" name="Check Box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0</xdr:rowOff>
        </xdr:from>
        <xdr:to>
          <xdr:col>12</xdr:col>
          <xdr:colOff>857250</xdr:colOff>
          <xdr:row>16</xdr:row>
          <xdr:rowOff>19050</xdr:rowOff>
        </xdr:to>
        <xdr:sp macro="" textlink="">
          <xdr:nvSpPr>
            <xdr:cNvPr id="13321" name="Check Box 9" hidden="1">
              <a:extLst>
                <a:ext uri="{63B3BB69-23CF-44E3-9099-C40C66FF867C}">
                  <a14:compatExt spid="_x0000_s13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171450</xdr:rowOff>
        </xdr:from>
        <xdr:to>
          <xdr:col>12</xdr:col>
          <xdr:colOff>847725</xdr:colOff>
          <xdr:row>21</xdr:row>
          <xdr:rowOff>0</xdr:rowOff>
        </xdr:to>
        <xdr:sp macro="" textlink="">
          <xdr:nvSpPr>
            <xdr:cNvPr id="13322" name="Check Box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0</xdr:rowOff>
        </xdr:from>
        <xdr:to>
          <xdr:col>12</xdr:col>
          <xdr:colOff>847725</xdr:colOff>
          <xdr:row>23</xdr:row>
          <xdr:rowOff>19050</xdr:rowOff>
        </xdr:to>
        <xdr:sp macro="" textlink="">
          <xdr:nvSpPr>
            <xdr:cNvPr id="13323" name="Check Box 11" hidden="1">
              <a:extLst>
                <a:ext uri="{63B3BB69-23CF-44E3-9099-C40C66FF867C}">
                  <a14:compatExt spid="_x0000_s13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0</xdr:rowOff>
        </xdr:from>
        <xdr:to>
          <xdr:col>12</xdr:col>
          <xdr:colOff>847725</xdr:colOff>
          <xdr:row>24</xdr:row>
          <xdr:rowOff>19050</xdr:rowOff>
        </xdr:to>
        <xdr:sp macro="" textlink="">
          <xdr:nvSpPr>
            <xdr:cNvPr id="13324" name="Check Box 12"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95250</xdr:rowOff>
        </xdr:from>
        <xdr:to>
          <xdr:col>12</xdr:col>
          <xdr:colOff>323850</xdr:colOff>
          <xdr:row>8</xdr:row>
          <xdr:rowOff>123825</xdr:rowOff>
        </xdr:to>
        <xdr:sp macro="" textlink="">
          <xdr:nvSpPr>
            <xdr:cNvPr id="13326" name="Check Box 14" hidden="1">
              <a:extLst>
                <a:ext uri="{63B3BB69-23CF-44E3-9099-C40C66FF867C}">
                  <a14:compatExt spid="_x0000_s13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8</xdr:row>
          <xdr:rowOff>57150</xdr:rowOff>
        </xdr:from>
        <xdr:to>
          <xdr:col>12</xdr:col>
          <xdr:colOff>323850</xdr:colOff>
          <xdr:row>9</xdr:row>
          <xdr:rowOff>85725</xdr:rowOff>
        </xdr:to>
        <xdr:sp macro="" textlink="">
          <xdr:nvSpPr>
            <xdr:cNvPr id="13327" name="Check Box 15" hidden="1">
              <a:extLst>
                <a:ext uri="{63B3BB69-23CF-44E3-9099-C40C66FF867C}">
                  <a14:compatExt spid="_x0000_s133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590550</xdr:colOff>
      <xdr:row>5</xdr:row>
      <xdr:rowOff>123824</xdr:rowOff>
    </xdr:from>
    <xdr:to>
      <xdr:col>16</xdr:col>
      <xdr:colOff>104775</xdr:colOff>
      <xdr:row>21</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9524</xdr:colOff>
      <xdr:row>11</xdr:row>
      <xdr:rowOff>19051</xdr:rowOff>
    </xdr:from>
    <xdr:to>
      <xdr:col>3</xdr:col>
      <xdr:colOff>581025</xdr:colOff>
      <xdr:row>15</xdr:row>
      <xdr:rowOff>180975</xdr:rowOff>
    </xdr:to>
    <mc:AlternateContent xmlns:mc="http://schemas.openxmlformats.org/markup-compatibility/2006" xmlns:a14="http://schemas.microsoft.com/office/drawing/2010/main">
      <mc:Choice Requires="a14">
        <xdr:graphicFrame macro="">
          <xdr:nvGraphicFramePr>
            <xdr:cNvPr id="4" name="Cost Basis"/>
            <xdr:cNvGraphicFramePr/>
          </xdr:nvGraphicFramePr>
          <xdr:xfrm>
            <a:off x="0" y="0"/>
            <a:ext cx="0" cy="0"/>
          </xdr:xfrm>
          <a:graphic>
            <a:graphicData uri="http://schemas.microsoft.com/office/drawing/2010/slicer">
              <sle:slicer xmlns:sle="http://schemas.microsoft.com/office/drawing/2010/slicer" name="Cost Basis"/>
            </a:graphicData>
          </a:graphic>
        </xdr:graphicFrame>
      </mc:Choice>
      <mc:Fallback xmlns="">
        <xdr:sp macro="" textlink="">
          <xdr:nvSpPr>
            <xdr:cNvPr id="0" name=""/>
            <xdr:cNvSpPr>
              <a:spLocks noTextEdit="1"/>
            </xdr:cNvSpPr>
          </xdr:nvSpPr>
          <xdr:spPr>
            <a:xfrm>
              <a:off x="9524" y="2162176"/>
              <a:ext cx="2400301"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123824</xdr:colOff>
      <xdr:row>0</xdr:row>
      <xdr:rowOff>28574</xdr:rowOff>
    </xdr:from>
    <xdr:to>
      <xdr:col>20</xdr:col>
      <xdr:colOff>38100</xdr:colOff>
      <xdr:row>23</xdr:row>
      <xdr:rowOff>9524</xdr:rowOff>
    </xdr:to>
    <mc:AlternateContent xmlns:mc="http://schemas.openxmlformats.org/markup-compatibility/2006" xmlns:a14="http://schemas.microsoft.com/office/drawing/2010/main">
      <mc:Choice Requires="a14">
        <xdr:graphicFrame macro="">
          <xdr:nvGraphicFramePr>
            <xdr:cNvPr id="5" name="Trend"/>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9877424" y="28574"/>
              <a:ext cx="2352676" cy="4410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19050</xdr:colOff>
          <xdr:row>1</xdr:row>
          <xdr:rowOff>9525</xdr:rowOff>
        </xdr:from>
        <xdr:to>
          <xdr:col>14</xdr:col>
          <xdr:colOff>0</xdr:colOff>
          <xdr:row>4</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66CC"/>
                  </a:solidFill>
                  <a:latin typeface="Calibri"/>
                </a:rPr>
                <a:t>Run Macro</a:t>
              </a:r>
            </a:p>
          </xdr:txBody>
        </xdr:sp>
        <xdr:clientData fPrintsWithSheet="0"/>
      </xdr:twoCellAnchor>
    </mc:Choice>
    <mc:Fallback/>
  </mc:AlternateContent>
  <xdr:twoCellAnchor editAs="oneCell">
    <xdr:from>
      <xdr:col>0</xdr:col>
      <xdr:colOff>1</xdr:colOff>
      <xdr:row>0</xdr:row>
      <xdr:rowOff>19049</xdr:rowOff>
    </xdr:from>
    <xdr:to>
      <xdr:col>3</xdr:col>
      <xdr:colOff>514351</xdr:colOff>
      <xdr:row>10</xdr:row>
      <xdr:rowOff>152399</xdr:rowOff>
    </xdr:to>
    <mc:AlternateContent xmlns:mc="http://schemas.openxmlformats.org/markup-compatibility/2006" xmlns:a14="http://schemas.microsoft.com/office/drawing/2010/main">
      <mc:Choice Requires="a14">
        <xdr:graphicFrame macro="">
          <xdr:nvGraphicFramePr>
            <xdr:cNvPr id="8" name="Population"/>
            <xdr:cNvGraphicFramePr/>
          </xdr:nvGraphicFramePr>
          <xdr:xfrm>
            <a:off x="0" y="0"/>
            <a:ext cx="0" cy="0"/>
          </xdr:xfrm>
          <a:graphic>
            <a:graphicData uri="http://schemas.microsoft.com/office/drawing/2010/slicer">
              <sle:slicer xmlns:sle="http://schemas.microsoft.com/office/drawing/2010/slicer" name="Population"/>
            </a:graphicData>
          </a:graphic>
        </xdr:graphicFrame>
      </mc:Choice>
      <mc:Fallback xmlns="">
        <xdr:sp macro="" textlink="">
          <xdr:nvSpPr>
            <xdr:cNvPr id="0" name=""/>
            <xdr:cNvSpPr>
              <a:spLocks noTextEdit="1"/>
            </xdr:cNvSpPr>
          </xdr:nvSpPr>
          <xdr:spPr>
            <a:xfrm>
              <a:off x="1" y="19049"/>
              <a:ext cx="234315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3</xdr:row>
      <xdr:rowOff>52387</xdr:rowOff>
    </xdr:from>
    <xdr:to>
      <xdr:col>15</xdr:col>
      <xdr:colOff>47625</xdr:colOff>
      <xdr:row>19</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19049</xdr:colOff>
      <xdr:row>13</xdr:row>
      <xdr:rowOff>161924</xdr:rowOff>
    </xdr:from>
    <xdr:to>
      <xdr:col>3</xdr:col>
      <xdr:colOff>600075</xdr:colOff>
      <xdr:row>18</xdr:row>
      <xdr:rowOff>171449</xdr:rowOff>
    </xdr:to>
    <mc:AlternateContent xmlns:mc="http://schemas.openxmlformats.org/markup-compatibility/2006" xmlns:a14="http://schemas.microsoft.com/office/drawing/2010/main">
      <mc:Choice Requires="a14">
        <xdr:graphicFrame macro="">
          <xdr:nvGraphicFramePr>
            <xdr:cNvPr id="4" name="Cost Basis 1"/>
            <xdr:cNvGraphicFramePr/>
          </xdr:nvGraphicFramePr>
          <xdr:xfrm>
            <a:off x="0" y="0"/>
            <a:ext cx="0" cy="0"/>
          </xdr:xfrm>
          <a:graphic>
            <a:graphicData uri="http://schemas.microsoft.com/office/drawing/2010/slicer">
              <sle:slicer xmlns:sle="http://schemas.microsoft.com/office/drawing/2010/slicer" name="Cost Basis 1"/>
            </a:graphicData>
          </a:graphic>
        </xdr:graphicFrame>
      </mc:Choice>
      <mc:Fallback xmlns="">
        <xdr:sp macro="" textlink="">
          <xdr:nvSpPr>
            <xdr:cNvPr id="0" name=""/>
            <xdr:cNvSpPr>
              <a:spLocks noTextEdit="1"/>
            </xdr:cNvSpPr>
          </xdr:nvSpPr>
          <xdr:spPr>
            <a:xfrm>
              <a:off x="19049" y="2733674"/>
              <a:ext cx="24098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23</xdr:row>
      <xdr:rowOff>4762</xdr:rowOff>
    </xdr:from>
    <xdr:to>
      <xdr:col>15</xdr:col>
      <xdr:colOff>161925</xdr:colOff>
      <xdr:row>39</xdr:row>
      <xdr:rowOff>157162</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19049</xdr:colOff>
      <xdr:row>0</xdr:row>
      <xdr:rowOff>19050</xdr:rowOff>
    </xdr:from>
    <xdr:to>
      <xdr:col>3</xdr:col>
      <xdr:colOff>600074</xdr:colOff>
      <xdr:row>13</xdr:row>
      <xdr:rowOff>133350</xdr:rowOff>
    </xdr:to>
    <mc:AlternateContent xmlns:mc="http://schemas.openxmlformats.org/markup-compatibility/2006" xmlns:a14="http://schemas.microsoft.com/office/drawing/2010/main">
      <mc:Choice Requires="a14">
        <xdr:graphicFrame macro="">
          <xdr:nvGraphicFramePr>
            <xdr:cNvPr id="6" name="Population 1"/>
            <xdr:cNvGraphicFramePr/>
          </xdr:nvGraphicFramePr>
          <xdr:xfrm>
            <a:off x="0" y="0"/>
            <a:ext cx="0" cy="0"/>
          </xdr:xfrm>
          <a:graphic>
            <a:graphicData uri="http://schemas.microsoft.com/office/drawing/2010/slicer">
              <sle:slicer xmlns:sle="http://schemas.microsoft.com/office/drawing/2010/slicer" name="Population 1"/>
            </a:graphicData>
          </a:graphic>
        </xdr:graphicFrame>
      </mc:Choice>
      <mc:Fallback xmlns="">
        <xdr:sp macro="" textlink="">
          <xdr:nvSpPr>
            <xdr:cNvPr id="0" name=""/>
            <xdr:cNvSpPr>
              <a:spLocks noTextEdit="1"/>
            </xdr:cNvSpPr>
          </xdr:nvSpPr>
          <xdr:spPr>
            <a:xfrm>
              <a:off x="19049" y="19050"/>
              <a:ext cx="2409825" cy="2686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2908.653128819446" createdVersion="4" refreshedVersion="4" minRefreshableVersion="3" recordCount="1564">
  <cacheSource type="worksheet">
    <worksheetSource name="TrendSheetStgData"/>
  </cacheSource>
  <cacheFields count="13">
    <cacheField name="Population" numFmtId="0">
      <sharedItems/>
    </cacheField>
    <cacheField name="Display Name" numFmtId="0">
      <sharedItems containsBlank="1" count="3">
        <s v="EMPLOYEES"/>
        <s v="OTHERS"/>
        <m u="1"/>
      </sharedItems>
    </cacheField>
    <cacheField name="Cost Basis" numFmtId="0">
      <sharedItems containsBlank="1" count="3">
        <s v="Allowed"/>
        <s v="Paid"/>
        <m u="1"/>
      </sharedItems>
    </cacheField>
    <cacheField name="Period" numFmtId="14">
      <sharedItems containsBlank="1" count="36">
        <s v="2016-01-01"/>
        <s v="2016-02-01"/>
        <s v="2016-03-01"/>
        <s v="2016-04-01"/>
        <s v="2016-05-01"/>
        <s v="2016-06-01"/>
        <s v="2016-07-01"/>
        <s v="2016-08-01"/>
        <s v="2016-09-01"/>
        <s v="2016-10-01"/>
        <s v="2016-11-01"/>
        <s v="2016-12-01"/>
        <s v="2017-01-01"/>
        <s v="2017-02-01"/>
        <s v="2017-03-01"/>
        <s v="2017-04-01"/>
        <s v="2017-05-01"/>
        <m u="1"/>
        <s v="2014-06-01" u="1"/>
        <s v="2015-08-01" u="1"/>
        <s v="2014-07-01" u="1"/>
        <s v="2014-08-01" u="1"/>
        <s v="2014-09-01" u="1"/>
        <s v="2015-01-01" u="1"/>
        <s v="2015-02-01" u="1"/>
        <s v="2014-10-01" u="1"/>
        <s v="2015-03-01" u="1"/>
        <s v="2014-11-01" u="1"/>
        <s v="2015-04-01" u="1"/>
        <s v="2014-12-01" u="1"/>
        <s v="2014-03-01" u="1"/>
        <s v="2015-05-01" u="1"/>
        <s v="2014-04-01" u="1"/>
        <s v="2015-06-01" u="1"/>
        <s v="2014-05-01" u="1"/>
        <s v="2015-07-01" u="1"/>
      </sharedItems>
    </cacheField>
    <cacheField name="IsCompleted" numFmtId="0">
      <sharedItems/>
    </cacheField>
    <cacheField name="Trend" numFmtId="0">
      <sharedItems containsBlank="1" count="25">
        <s v="Medical PMPM"/>
        <s v="Drug PMPM"/>
        <s v="Overall PMPM"/>
        <s v="Readmission Cost"/>
        <s v="Readmission Quality"/>
        <s v="Avoidable Admission Cost"/>
        <s v="Avoidable Admission Quality"/>
        <s v="Outpatient Imaging Cost"/>
        <s v="Hospiatl Outpatient MRIs per 1k"/>
        <s v="Hospiatl Outpatient CTs per 1k"/>
        <s v="Office Based MRIs per 1k"/>
        <s v="Office Based CTs per 1k"/>
        <s v="ED Cost"/>
        <s v="ED Utilization"/>
        <s v="Drug - Generic Utilization Cost"/>
        <s v="Drug - Generic Utilization"/>
        <s v="Chronic Disease Management - Cost"/>
        <s v="Chronic Disease Management - Members"/>
        <s v="Inpatient Claim Count"/>
        <s v="Outpatient Claim Count"/>
        <s v="Professional Claim Count"/>
        <s v="Ancillary Claim Count"/>
        <s v="Drug Claim Count"/>
        <m u="1"/>
        <s v="IBNR" u="1"/>
      </sharedItems>
    </cacheField>
    <cacheField name="Trend Order" numFmtId="0">
      <sharedItems containsSemiMixedTypes="0" containsString="0" containsNumber="1" containsInteger="1" minValue="1" maxValue="23"/>
    </cacheField>
    <cacheField name="Staging Data" numFmtId="0">
      <sharedItems containsSemiMixedTypes="0" containsString="0" containsNumber="1" minValue="0" maxValue="1874862"/>
    </cacheField>
    <cacheField name="Production Data" numFmtId="0">
      <sharedItems containsSemiMixedTypes="0" containsString="0" containsNumber="1" minValue="0" maxValue="1874862"/>
    </cacheField>
    <cacheField name="Perc Deviation" numFmtId="0">
      <sharedItems containsSemiMixedTypes="0" containsString="0" containsNumber="1" containsInteger="1" minValue="0" maxValue="0"/>
    </cacheField>
    <cacheField name="Critical" numFmtId="0">
      <sharedItems containsSemiMixedTypes="0" containsString="0" containsNumber="1" containsInteger="1" minValue="10" maxValue="10"/>
    </cacheField>
    <cacheField name="Trivial" numFmtId="0">
      <sharedItems containsSemiMixedTypes="0" containsString="0" containsNumber="1" containsInteger="1" minValue="5" maxValue="5"/>
    </cacheField>
    <cacheField name="Column1"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08.653128935184" createdVersion="4" refreshedVersion="4" minRefreshableVersion="3" recordCount="20">
  <cacheSource type="worksheet">
    <worksheetSource name="StgIBNRTrendData"/>
  </cacheSource>
  <cacheFields count="8">
    <cacheField name="Population" numFmtId="0">
      <sharedItems/>
    </cacheField>
    <cacheField name="Display Name" numFmtId="0">
      <sharedItems containsBlank="1" count="3">
        <s v="EMPLOYEES"/>
        <s v="OTHERS"/>
        <m u="1"/>
      </sharedItems>
    </cacheField>
    <cacheField name="Cost Basis" numFmtId="0">
      <sharedItems containsBlank="1" count="3">
        <s v="Allowed"/>
        <s v="Paid"/>
        <m u="1"/>
      </sharedItems>
    </cacheField>
    <cacheField name="Period" numFmtId="14">
      <sharedItems containsDate="1" containsMixedTypes="1" minDate="2015-01-01T00:00:00" maxDate="2015-07-02T00:00:00" count="12">
        <s v="2017-01-01"/>
        <s v="2017-02-01"/>
        <s v="2017-03-01"/>
        <s v="2017-04-01"/>
        <s v="2017-05-01"/>
        <d v="2015-03-01T00:00:00" u="1"/>
        <d v="2015-07-01T00:00:00" u="1"/>
        <d v="2015-02-01T00:00:00" u="1"/>
        <d v="2015-06-01T00:00:00" u="1"/>
        <d v="2015-01-01T00:00:00" u="1"/>
        <d v="2015-05-01T00:00:00" u="1"/>
        <d v="2015-04-01T00:00:00" u="1"/>
      </sharedItems>
    </cacheField>
    <cacheField name="Staging Incurred Claims" numFmtId="0">
      <sharedItems containsSemiMixedTypes="0" containsString="0" containsNumber="1" minValue="1217520.42" maxValue="8703601.2699999996"/>
    </cacheField>
    <cacheField name="Staging Paid Claims" numFmtId="0">
      <sharedItems containsSemiMixedTypes="0" containsString="0" containsNumber="1" minValue="1141869.0900000001" maxValue="7279541.6600000001"/>
    </cacheField>
    <cacheField name="Production Incurred Claims" numFmtId="0">
      <sharedItems containsSemiMixedTypes="0" containsString="0" containsNumber="1" minValue="1217520.42" maxValue="8703601.2699999996"/>
    </cacheField>
    <cacheField name="Production Paid Claims" numFmtId="0">
      <sharedItems containsSemiMixedTypes="0" containsString="0" containsNumber="1" minValue="1141869.0900000001" maxValue="7279541.660000000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564">
  <r>
    <s v="EMPLOYEES"/>
    <x v="0"/>
    <x v="0"/>
    <x v="0"/>
    <s v="Y"/>
    <x v="0"/>
    <n v="1"/>
    <n v="538.46"/>
    <n v="538.46"/>
    <n v="0"/>
    <n v="10"/>
    <n v="5"/>
    <s v="PASSED"/>
  </r>
  <r>
    <s v="EMPLOYEES"/>
    <x v="0"/>
    <x v="0"/>
    <x v="1"/>
    <s v="Y"/>
    <x v="0"/>
    <n v="1"/>
    <n v="539.79999999999995"/>
    <n v="539.79999999999995"/>
    <n v="0"/>
    <n v="10"/>
    <n v="5"/>
    <s v="PASSED"/>
  </r>
  <r>
    <s v="EMPLOYEES"/>
    <x v="0"/>
    <x v="0"/>
    <x v="2"/>
    <s v="Y"/>
    <x v="0"/>
    <n v="1"/>
    <n v="532.98"/>
    <n v="532.98"/>
    <n v="0"/>
    <n v="10"/>
    <n v="5"/>
    <s v="PASSED"/>
  </r>
  <r>
    <s v="EMPLOYEES"/>
    <x v="0"/>
    <x v="0"/>
    <x v="3"/>
    <s v="Y"/>
    <x v="0"/>
    <n v="1"/>
    <n v="575.51"/>
    <n v="575.51"/>
    <n v="0"/>
    <n v="10"/>
    <n v="5"/>
    <s v="PASSED"/>
  </r>
  <r>
    <s v="EMPLOYEES"/>
    <x v="0"/>
    <x v="0"/>
    <x v="4"/>
    <s v="Y"/>
    <x v="0"/>
    <n v="1"/>
    <n v="522.49"/>
    <n v="522.49"/>
    <n v="0"/>
    <n v="10"/>
    <n v="5"/>
    <s v="PASSED"/>
  </r>
  <r>
    <s v="EMPLOYEES"/>
    <x v="0"/>
    <x v="0"/>
    <x v="5"/>
    <s v="Y"/>
    <x v="0"/>
    <n v="1"/>
    <n v="495.76"/>
    <n v="495.76"/>
    <n v="0"/>
    <n v="10"/>
    <n v="5"/>
    <s v="PASSED"/>
  </r>
  <r>
    <s v="EMPLOYEES"/>
    <x v="0"/>
    <x v="0"/>
    <x v="6"/>
    <s v="Y"/>
    <x v="0"/>
    <n v="1"/>
    <n v="588.16"/>
    <n v="588.16"/>
    <n v="0"/>
    <n v="10"/>
    <n v="5"/>
    <s v="PASSED"/>
  </r>
  <r>
    <s v="EMPLOYEES"/>
    <x v="0"/>
    <x v="0"/>
    <x v="7"/>
    <s v="Y"/>
    <x v="0"/>
    <n v="1"/>
    <n v="504.5"/>
    <n v="504.5"/>
    <n v="0"/>
    <n v="10"/>
    <n v="5"/>
    <s v="PASSED"/>
  </r>
  <r>
    <s v="EMPLOYEES"/>
    <x v="0"/>
    <x v="0"/>
    <x v="8"/>
    <s v="Y"/>
    <x v="0"/>
    <n v="1"/>
    <n v="506.86"/>
    <n v="506.86"/>
    <n v="0"/>
    <n v="10"/>
    <n v="5"/>
    <s v="PASSED"/>
  </r>
  <r>
    <s v="EMPLOYEES"/>
    <x v="0"/>
    <x v="0"/>
    <x v="9"/>
    <s v="Y"/>
    <x v="0"/>
    <n v="1"/>
    <n v="433.15"/>
    <n v="433.15"/>
    <n v="0"/>
    <n v="10"/>
    <n v="5"/>
    <s v="PASSED"/>
  </r>
  <r>
    <s v="EMPLOYEES"/>
    <x v="0"/>
    <x v="0"/>
    <x v="10"/>
    <s v="Y"/>
    <x v="0"/>
    <n v="1"/>
    <n v="453.16"/>
    <n v="453.16"/>
    <n v="0"/>
    <n v="10"/>
    <n v="5"/>
    <s v="PASSED"/>
  </r>
  <r>
    <s v="EMPLOYEES"/>
    <x v="0"/>
    <x v="0"/>
    <x v="11"/>
    <s v="Y"/>
    <x v="0"/>
    <n v="1"/>
    <n v="555.66999999999996"/>
    <n v="555.66999999999996"/>
    <n v="0"/>
    <n v="10"/>
    <n v="5"/>
    <s v="PASSED"/>
  </r>
  <r>
    <s v="EMPLOYEES"/>
    <x v="0"/>
    <x v="0"/>
    <x v="12"/>
    <s v="Y"/>
    <x v="0"/>
    <n v="1"/>
    <n v="499.57"/>
    <n v="499.57"/>
    <n v="0"/>
    <n v="10"/>
    <n v="5"/>
    <s v="PASSED"/>
  </r>
  <r>
    <s v="EMPLOYEES"/>
    <x v="0"/>
    <x v="0"/>
    <x v="13"/>
    <s v="Y"/>
    <x v="0"/>
    <n v="1"/>
    <n v="407.72"/>
    <n v="407.72"/>
    <n v="0"/>
    <n v="10"/>
    <n v="5"/>
    <s v="PASSED"/>
  </r>
  <r>
    <s v="EMPLOYEES"/>
    <x v="0"/>
    <x v="0"/>
    <x v="14"/>
    <s v="N"/>
    <x v="0"/>
    <n v="1"/>
    <n v="438.88"/>
    <n v="438.88"/>
    <n v="0"/>
    <n v="10"/>
    <n v="5"/>
    <s v="PASSED"/>
  </r>
  <r>
    <s v="EMPLOYEES"/>
    <x v="0"/>
    <x v="0"/>
    <x v="15"/>
    <s v="N"/>
    <x v="0"/>
    <n v="1"/>
    <n v="430.1"/>
    <n v="430.1"/>
    <n v="0"/>
    <n v="10"/>
    <n v="5"/>
    <s v="PASSED"/>
  </r>
  <r>
    <s v="EMPLOYEES"/>
    <x v="0"/>
    <x v="0"/>
    <x v="16"/>
    <s v="N"/>
    <x v="0"/>
    <n v="1"/>
    <n v="235.32"/>
    <n v="235.32"/>
    <n v="0"/>
    <n v="10"/>
    <n v="5"/>
    <s v="PASSED"/>
  </r>
  <r>
    <s v="EMPLOYEES"/>
    <x v="0"/>
    <x v="0"/>
    <x v="0"/>
    <s v="Y"/>
    <x v="1"/>
    <n v="2"/>
    <n v="75.92"/>
    <n v="75.92"/>
    <n v="0"/>
    <n v="10"/>
    <n v="5"/>
    <s v="PASSED"/>
  </r>
  <r>
    <s v="EMPLOYEES"/>
    <x v="0"/>
    <x v="0"/>
    <x v="1"/>
    <s v="Y"/>
    <x v="1"/>
    <n v="2"/>
    <n v="93.51"/>
    <n v="93.51"/>
    <n v="0"/>
    <n v="10"/>
    <n v="5"/>
    <s v="PASSED"/>
  </r>
  <r>
    <s v="EMPLOYEES"/>
    <x v="0"/>
    <x v="0"/>
    <x v="2"/>
    <s v="Y"/>
    <x v="1"/>
    <n v="2"/>
    <n v="82.57"/>
    <n v="82.57"/>
    <n v="0"/>
    <n v="10"/>
    <n v="5"/>
    <s v="PASSED"/>
  </r>
  <r>
    <s v="EMPLOYEES"/>
    <x v="0"/>
    <x v="0"/>
    <x v="3"/>
    <s v="Y"/>
    <x v="1"/>
    <n v="2"/>
    <n v="80.819999999999993"/>
    <n v="80.819999999999993"/>
    <n v="0"/>
    <n v="10"/>
    <n v="5"/>
    <s v="PASSED"/>
  </r>
  <r>
    <s v="EMPLOYEES"/>
    <x v="0"/>
    <x v="0"/>
    <x v="4"/>
    <s v="Y"/>
    <x v="1"/>
    <n v="2"/>
    <n v="87.2"/>
    <n v="87.2"/>
    <n v="0"/>
    <n v="10"/>
    <n v="5"/>
    <s v="PASSED"/>
  </r>
  <r>
    <s v="EMPLOYEES"/>
    <x v="0"/>
    <x v="0"/>
    <x v="5"/>
    <s v="Y"/>
    <x v="1"/>
    <n v="2"/>
    <n v="71.66"/>
    <n v="71.66"/>
    <n v="0"/>
    <n v="10"/>
    <n v="5"/>
    <s v="PASSED"/>
  </r>
  <r>
    <s v="EMPLOYEES"/>
    <x v="0"/>
    <x v="0"/>
    <x v="6"/>
    <s v="Y"/>
    <x v="1"/>
    <n v="2"/>
    <n v="70.59"/>
    <n v="70.59"/>
    <n v="0"/>
    <n v="10"/>
    <n v="5"/>
    <s v="PASSED"/>
  </r>
  <r>
    <s v="EMPLOYEES"/>
    <x v="0"/>
    <x v="0"/>
    <x v="7"/>
    <s v="Y"/>
    <x v="1"/>
    <n v="2"/>
    <n v="100.02"/>
    <n v="100.02"/>
    <n v="0"/>
    <n v="10"/>
    <n v="5"/>
    <s v="PASSED"/>
  </r>
  <r>
    <s v="EMPLOYEES"/>
    <x v="0"/>
    <x v="0"/>
    <x v="8"/>
    <s v="Y"/>
    <x v="1"/>
    <n v="2"/>
    <n v="74.81"/>
    <n v="74.81"/>
    <n v="0"/>
    <n v="10"/>
    <n v="5"/>
    <s v="PASSED"/>
  </r>
  <r>
    <s v="EMPLOYEES"/>
    <x v="0"/>
    <x v="0"/>
    <x v="9"/>
    <s v="Y"/>
    <x v="1"/>
    <n v="2"/>
    <n v="83.68"/>
    <n v="83.68"/>
    <n v="0"/>
    <n v="10"/>
    <n v="5"/>
    <s v="PASSED"/>
  </r>
  <r>
    <s v="EMPLOYEES"/>
    <x v="0"/>
    <x v="0"/>
    <x v="10"/>
    <s v="Y"/>
    <x v="1"/>
    <n v="2"/>
    <n v="113.81"/>
    <n v="113.81"/>
    <n v="0"/>
    <n v="10"/>
    <n v="5"/>
    <s v="PASSED"/>
  </r>
  <r>
    <s v="EMPLOYEES"/>
    <x v="0"/>
    <x v="0"/>
    <x v="11"/>
    <s v="Y"/>
    <x v="1"/>
    <n v="2"/>
    <n v="59.65"/>
    <n v="59.65"/>
    <n v="0"/>
    <n v="10"/>
    <n v="5"/>
    <s v="PASSED"/>
  </r>
  <r>
    <s v="EMPLOYEES"/>
    <x v="0"/>
    <x v="0"/>
    <x v="12"/>
    <s v="Y"/>
    <x v="1"/>
    <n v="2"/>
    <n v="97.25"/>
    <n v="97.25"/>
    <n v="0"/>
    <n v="10"/>
    <n v="5"/>
    <s v="PASSED"/>
  </r>
  <r>
    <s v="EMPLOYEES"/>
    <x v="0"/>
    <x v="0"/>
    <x v="13"/>
    <s v="Y"/>
    <x v="1"/>
    <n v="2"/>
    <n v="111.67"/>
    <n v="111.67"/>
    <n v="0"/>
    <n v="10"/>
    <n v="5"/>
    <s v="PASSED"/>
  </r>
  <r>
    <s v="EMPLOYEES"/>
    <x v="0"/>
    <x v="0"/>
    <x v="14"/>
    <s v="N"/>
    <x v="1"/>
    <n v="2"/>
    <n v="118.68"/>
    <n v="118.68"/>
    <n v="0"/>
    <n v="10"/>
    <n v="5"/>
    <s v="PASSED"/>
  </r>
  <r>
    <s v="EMPLOYEES"/>
    <x v="0"/>
    <x v="0"/>
    <x v="15"/>
    <s v="N"/>
    <x v="1"/>
    <n v="2"/>
    <n v="103.6"/>
    <n v="103.6"/>
    <n v="0"/>
    <n v="10"/>
    <n v="5"/>
    <s v="PASSED"/>
  </r>
  <r>
    <s v="EMPLOYEES"/>
    <x v="0"/>
    <x v="0"/>
    <x v="16"/>
    <s v="N"/>
    <x v="1"/>
    <n v="2"/>
    <n v="87.83"/>
    <n v="87.83"/>
    <n v="0"/>
    <n v="10"/>
    <n v="5"/>
    <s v="PASSED"/>
  </r>
  <r>
    <s v="EMPLOYEES"/>
    <x v="0"/>
    <x v="0"/>
    <x v="0"/>
    <s v="Y"/>
    <x v="2"/>
    <n v="3"/>
    <n v="614.38"/>
    <n v="614.38"/>
    <n v="0"/>
    <n v="10"/>
    <n v="5"/>
    <s v="PASSED"/>
  </r>
  <r>
    <s v="EMPLOYEES"/>
    <x v="0"/>
    <x v="0"/>
    <x v="1"/>
    <s v="Y"/>
    <x v="2"/>
    <n v="3"/>
    <n v="633.30999999999995"/>
    <n v="633.30999999999995"/>
    <n v="0"/>
    <n v="10"/>
    <n v="5"/>
    <s v="PASSED"/>
  </r>
  <r>
    <s v="EMPLOYEES"/>
    <x v="0"/>
    <x v="0"/>
    <x v="2"/>
    <s v="Y"/>
    <x v="2"/>
    <n v="3"/>
    <n v="615.54999999999995"/>
    <n v="615.54999999999995"/>
    <n v="0"/>
    <n v="10"/>
    <n v="5"/>
    <s v="PASSED"/>
  </r>
  <r>
    <s v="EMPLOYEES"/>
    <x v="0"/>
    <x v="0"/>
    <x v="3"/>
    <s v="Y"/>
    <x v="2"/>
    <n v="3"/>
    <n v="656.33"/>
    <n v="656.33"/>
    <n v="0"/>
    <n v="10"/>
    <n v="5"/>
    <s v="PASSED"/>
  </r>
  <r>
    <s v="EMPLOYEES"/>
    <x v="0"/>
    <x v="0"/>
    <x v="4"/>
    <s v="Y"/>
    <x v="2"/>
    <n v="3"/>
    <n v="609.69000000000005"/>
    <n v="609.69000000000005"/>
    <n v="0"/>
    <n v="10"/>
    <n v="5"/>
    <s v="PASSED"/>
  </r>
  <r>
    <s v="EMPLOYEES"/>
    <x v="0"/>
    <x v="0"/>
    <x v="5"/>
    <s v="Y"/>
    <x v="2"/>
    <n v="3"/>
    <n v="567.41999999999996"/>
    <n v="567.41999999999996"/>
    <n v="0"/>
    <n v="10"/>
    <n v="5"/>
    <s v="PASSED"/>
  </r>
  <r>
    <s v="EMPLOYEES"/>
    <x v="0"/>
    <x v="0"/>
    <x v="6"/>
    <s v="Y"/>
    <x v="2"/>
    <n v="3"/>
    <n v="658.75"/>
    <n v="658.75"/>
    <n v="0"/>
    <n v="10"/>
    <n v="5"/>
    <s v="PASSED"/>
  </r>
  <r>
    <s v="EMPLOYEES"/>
    <x v="0"/>
    <x v="0"/>
    <x v="7"/>
    <s v="Y"/>
    <x v="2"/>
    <n v="3"/>
    <n v="604.52"/>
    <n v="604.52"/>
    <n v="0"/>
    <n v="10"/>
    <n v="5"/>
    <s v="PASSED"/>
  </r>
  <r>
    <s v="EMPLOYEES"/>
    <x v="0"/>
    <x v="0"/>
    <x v="8"/>
    <s v="Y"/>
    <x v="2"/>
    <n v="3"/>
    <n v="581.66999999999996"/>
    <n v="581.66999999999996"/>
    <n v="0"/>
    <n v="10"/>
    <n v="5"/>
    <s v="PASSED"/>
  </r>
  <r>
    <s v="EMPLOYEES"/>
    <x v="0"/>
    <x v="0"/>
    <x v="9"/>
    <s v="Y"/>
    <x v="2"/>
    <n v="3"/>
    <n v="516.83000000000004"/>
    <n v="516.83000000000004"/>
    <n v="0"/>
    <n v="10"/>
    <n v="5"/>
    <s v="PASSED"/>
  </r>
  <r>
    <s v="EMPLOYEES"/>
    <x v="0"/>
    <x v="0"/>
    <x v="10"/>
    <s v="Y"/>
    <x v="2"/>
    <n v="3"/>
    <n v="566.97"/>
    <n v="566.97"/>
    <n v="0"/>
    <n v="10"/>
    <n v="5"/>
    <s v="PASSED"/>
  </r>
  <r>
    <s v="EMPLOYEES"/>
    <x v="0"/>
    <x v="0"/>
    <x v="11"/>
    <s v="Y"/>
    <x v="2"/>
    <n v="3"/>
    <n v="615.32000000000005"/>
    <n v="615.32000000000005"/>
    <n v="0"/>
    <n v="10"/>
    <n v="5"/>
    <s v="PASSED"/>
  </r>
  <r>
    <s v="EMPLOYEES"/>
    <x v="0"/>
    <x v="0"/>
    <x v="12"/>
    <s v="Y"/>
    <x v="2"/>
    <n v="3"/>
    <n v="596.82000000000005"/>
    <n v="596.82000000000005"/>
    <n v="0"/>
    <n v="10"/>
    <n v="5"/>
    <s v="PASSED"/>
  </r>
  <r>
    <s v="EMPLOYEES"/>
    <x v="0"/>
    <x v="0"/>
    <x v="13"/>
    <s v="Y"/>
    <x v="2"/>
    <n v="3"/>
    <n v="519.39"/>
    <n v="519.39"/>
    <n v="0"/>
    <n v="10"/>
    <n v="5"/>
    <s v="PASSED"/>
  </r>
  <r>
    <s v="EMPLOYEES"/>
    <x v="0"/>
    <x v="0"/>
    <x v="14"/>
    <s v="N"/>
    <x v="2"/>
    <n v="3"/>
    <n v="557.55999999999995"/>
    <n v="557.55999999999995"/>
    <n v="0"/>
    <n v="10"/>
    <n v="5"/>
    <s v="PASSED"/>
  </r>
  <r>
    <s v="EMPLOYEES"/>
    <x v="0"/>
    <x v="0"/>
    <x v="15"/>
    <s v="N"/>
    <x v="2"/>
    <n v="3"/>
    <n v="533.70000000000005"/>
    <n v="533.70000000000005"/>
    <n v="0"/>
    <n v="10"/>
    <n v="5"/>
    <s v="PASSED"/>
  </r>
  <r>
    <s v="EMPLOYEES"/>
    <x v="0"/>
    <x v="0"/>
    <x v="16"/>
    <s v="N"/>
    <x v="2"/>
    <n v="3"/>
    <n v="323.14999999999998"/>
    <n v="323.14999999999998"/>
    <n v="0"/>
    <n v="10"/>
    <n v="5"/>
    <s v="PASSED"/>
  </r>
  <r>
    <s v="EMPLOYEES"/>
    <x v="0"/>
    <x v="0"/>
    <x v="0"/>
    <s v="Y"/>
    <x v="3"/>
    <n v="4"/>
    <n v="0"/>
    <n v="0"/>
    <n v="0"/>
    <n v="10"/>
    <n v="5"/>
    <s v="PASSED"/>
  </r>
  <r>
    <s v="EMPLOYEES"/>
    <x v="0"/>
    <x v="0"/>
    <x v="1"/>
    <s v="Y"/>
    <x v="3"/>
    <n v="4"/>
    <n v="0"/>
    <n v="0"/>
    <n v="0"/>
    <n v="10"/>
    <n v="5"/>
    <s v="PASSED"/>
  </r>
  <r>
    <s v="EMPLOYEES"/>
    <x v="0"/>
    <x v="0"/>
    <x v="2"/>
    <s v="Y"/>
    <x v="3"/>
    <n v="4"/>
    <n v="0"/>
    <n v="0"/>
    <n v="0"/>
    <n v="10"/>
    <n v="5"/>
    <s v="PASSED"/>
  </r>
  <r>
    <s v="EMPLOYEES"/>
    <x v="0"/>
    <x v="0"/>
    <x v="3"/>
    <s v="Y"/>
    <x v="3"/>
    <n v="4"/>
    <n v="37150.14"/>
    <n v="37150.14"/>
    <n v="0"/>
    <n v="10"/>
    <n v="5"/>
    <s v="PASSED"/>
  </r>
  <r>
    <s v="EMPLOYEES"/>
    <x v="0"/>
    <x v="0"/>
    <x v="4"/>
    <s v="Y"/>
    <x v="3"/>
    <n v="4"/>
    <n v="5508.3"/>
    <n v="5508.3"/>
    <n v="0"/>
    <n v="10"/>
    <n v="5"/>
    <s v="PASSED"/>
  </r>
  <r>
    <s v="EMPLOYEES"/>
    <x v="0"/>
    <x v="0"/>
    <x v="5"/>
    <s v="Y"/>
    <x v="3"/>
    <n v="4"/>
    <n v="0"/>
    <n v="0"/>
    <n v="0"/>
    <n v="10"/>
    <n v="5"/>
    <s v="PASSED"/>
  </r>
  <r>
    <s v="EMPLOYEES"/>
    <x v="0"/>
    <x v="0"/>
    <x v="6"/>
    <s v="Y"/>
    <x v="3"/>
    <n v="4"/>
    <n v="0"/>
    <n v="0"/>
    <n v="0"/>
    <n v="10"/>
    <n v="5"/>
    <s v="PASSED"/>
  </r>
  <r>
    <s v="EMPLOYEES"/>
    <x v="0"/>
    <x v="0"/>
    <x v="7"/>
    <s v="Y"/>
    <x v="3"/>
    <n v="4"/>
    <n v="22432.23"/>
    <n v="22432.23"/>
    <n v="0"/>
    <n v="10"/>
    <n v="5"/>
    <s v="PASSED"/>
  </r>
  <r>
    <s v="EMPLOYEES"/>
    <x v="0"/>
    <x v="0"/>
    <x v="8"/>
    <s v="Y"/>
    <x v="3"/>
    <n v="4"/>
    <n v="17070.05"/>
    <n v="17070.05"/>
    <n v="0"/>
    <n v="10"/>
    <n v="5"/>
    <s v="PASSED"/>
  </r>
  <r>
    <s v="EMPLOYEES"/>
    <x v="0"/>
    <x v="0"/>
    <x v="9"/>
    <s v="Y"/>
    <x v="3"/>
    <n v="4"/>
    <n v="37819.94"/>
    <n v="37819.94"/>
    <n v="0"/>
    <n v="10"/>
    <n v="5"/>
    <s v="PASSED"/>
  </r>
  <r>
    <s v="EMPLOYEES"/>
    <x v="0"/>
    <x v="0"/>
    <x v="10"/>
    <s v="Y"/>
    <x v="3"/>
    <n v="4"/>
    <n v="4256"/>
    <n v="4256"/>
    <n v="0"/>
    <n v="10"/>
    <n v="5"/>
    <s v="PASSED"/>
  </r>
  <r>
    <s v="EMPLOYEES"/>
    <x v="0"/>
    <x v="0"/>
    <x v="11"/>
    <s v="Y"/>
    <x v="3"/>
    <n v="4"/>
    <n v="0"/>
    <n v="0"/>
    <n v="0"/>
    <n v="10"/>
    <n v="5"/>
    <s v="PASSED"/>
  </r>
  <r>
    <s v="EMPLOYEES"/>
    <x v="0"/>
    <x v="0"/>
    <x v="12"/>
    <s v="Y"/>
    <x v="3"/>
    <n v="4"/>
    <n v="0"/>
    <n v="0"/>
    <n v="0"/>
    <n v="10"/>
    <n v="5"/>
    <s v="PASSED"/>
  </r>
  <r>
    <s v="EMPLOYEES"/>
    <x v="0"/>
    <x v="0"/>
    <x v="13"/>
    <s v="Y"/>
    <x v="3"/>
    <n v="4"/>
    <n v="0"/>
    <n v="0"/>
    <n v="0"/>
    <n v="10"/>
    <n v="5"/>
    <s v="PASSED"/>
  </r>
  <r>
    <s v="EMPLOYEES"/>
    <x v="0"/>
    <x v="0"/>
    <x v="14"/>
    <s v="N"/>
    <x v="3"/>
    <n v="4"/>
    <n v="18856.55"/>
    <n v="18856.55"/>
    <n v="0"/>
    <n v="10"/>
    <n v="5"/>
    <s v="PASSED"/>
  </r>
  <r>
    <s v="EMPLOYEES"/>
    <x v="0"/>
    <x v="0"/>
    <x v="15"/>
    <s v="N"/>
    <x v="3"/>
    <n v="4"/>
    <n v="11019.9"/>
    <n v="11019.9"/>
    <n v="0"/>
    <n v="10"/>
    <n v="5"/>
    <s v="PASSED"/>
  </r>
  <r>
    <s v="EMPLOYEES"/>
    <x v="0"/>
    <x v="0"/>
    <x v="16"/>
    <s v="N"/>
    <x v="3"/>
    <n v="4"/>
    <n v="0"/>
    <n v="0"/>
    <n v="0"/>
    <n v="10"/>
    <n v="5"/>
    <s v="PASSED"/>
  </r>
  <r>
    <s v="EMPLOYEES"/>
    <x v="0"/>
    <x v="0"/>
    <x v="0"/>
    <s v="Y"/>
    <x v="4"/>
    <n v="5"/>
    <n v="0"/>
    <n v="0"/>
    <n v="0"/>
    <n v="10"/>
    <n v="5"/>
    <s v="PASSED"/>
  </r>
  <r>
    <s v="EMPLOYEES"/>
    <x v="0"/>
    <x v="0"/>
    <x v="1"/>
    <s v="Y"/>
    <x v="4"/>
    <n v="5"/>
    <n v="0"/>
    <n v="0"/>
    <n v="0"/>
    <n v="10"/>
    <n v="5"/>
    <s v="PASSED"/>
  </r>
  <r>
    <s v="EMPLOYEES"/>
    <x v="0"/>
    <x v="0"/>
    <x v="2"/>
    <s v="Y"/>
    <x v="4"/>
    <n v="5"/>
    <n v="0"/>
    <n v="0"/>
    <n v="0"/>
    <n v="10"/>
    <n v="5"/>
    <s v="PASSED"/>
  </r>
  <r>
    <s v="EMPLOYEES"/>
    <x v="0"/>
    <x v="0"/>
    <x v="3"/>
    <s v="Y"/>
    <x v="4"/>
    <n v="5"/>
    <n v="3"/>
    <n v="3"/>
    <n v="0"/>
    <n v="10"/>
    <n v="5"/>
    <s v="PASSED"/>
  </r>
  <r>
    <s v="EMPLOYEES"/>
    <x v="0"/>
    <x v="0"/>
    <x v="4"/>
    <s v="Y"/>
    <x v="4"/>
    <n v="5"/>
    <n v="1"/>
    <n v="1"/>
    <n v="0"/>
    <n v="10"/>
    <n v="5"/>
    <s v="PASSED"/>
  </r>
  <r>
    <s v="EMPLOYEES"/>
    <x v="0"/>
    <x v="0"/>
    <x v="5"/>
    <s v="Y"/>
    <x v="4"/>
    <n v="5"/>
    <n v="0"/>
    <n v="0"/>
    <n v="0"/>
    <n v="10"/>
    <n v="5"/>
    <s v="PASSED"/>
  </r>
  <r>
    <s v="EMPLOYEES"/>
    <x v="0"/>
    <x v="0"/>
    <x v="6"/>
    <s v="Y"/>
    <x v="4"/>
    <n v="5"/>
    <n v="0"/>
    <n v="0"/>
    <n v="0"/>
    <n v="10"/>
    <n v="5"/>
    <s v="PASSED"/>
  </r>
  <r>
    <s v="EMPLOYEES"/>
    <x v="0"/>
    <x v="0"/>
    <x v="7"/>
    <s v="Y"/>
    <x v="4"/>
    <n v="5"/>
    <n v="2"/>
    <n v="2"/>
    <n v="0"/>
    <n v="10"/>
    <n v="5"/>
    <s v="PASSED"/>
  </r>
  <r>
    <s v="EMPLOYEES"/>
    <x v="0"/>
    <x v="0"/>
    <x v="8"/>
    <s v="Y"/>
    <x v="4"/>
    <n v="5"/>
    <n v="1"/>
    <n v="1"/>
    <n v="0"/>
    <n v="10"/>
    <n v="5"/>
    <s v="PASSED"/>
  </r>
  <r>
    <s v="EMPLOYEES"/>
    <x v="0"/>
    <x v="0"/>
    <x v="9"/>
    <s v="Y"/>
    <x v="4"/>
    <n v="5"/>
    <n v="2"/>
    <n v="2"/>
    <n v="0"/>
    <n v="10"/>
    <n v="5"/>
    <s v="PASSED"/>
  </r>
  <r>
    <s v="EMPLOYEES"/>
    <x v="0"/>
    <x v="0"/>
    <x v="10"/>
    <s v="Y"/>
    <x v="4"/>
    <n v="5"/>
    <n v="1"/>
    <n v="1"/>
    <n v="0"/>
    <n v="10"/>
    <n v="5"/>
    <s v="PASSED"/>
  </r>
  <r>
    <s v="EMPLOYEES"/>
    <x v="0"/>
    <x v="0"/>
    <x v="11"/>
    <s v="Y"/>
    <x v="4"/>
    <n v="5"/>
    <n v="0"/>
    <n v="0"/>
    <n v="0"/>
    <n v="10"/>
    <n v="5"/>
    <s v="PASSED"/>
  </r>
  <r>
    <s v="EMPLOYEES"/>
    <x v="0"/>
    <x v="0"/>
    <x v="12"/>
    <s v="Y"/>
    <x v="4"/>
    <n v="5"/>
    <n v="0"/>
    <n v="0"/>
    <n v="0"/>
    <n v="10"/>
    <n v="5"/>
    <s v="PASSED"/>
  </r>
  <r>
    <s v="EMPLOYEES"/>
    <x v="0"/>
    <x v="0"/>
    <x v="13"/>
    <s v="Y"/>
    <x v="4"/>
    <n v="5"/>
    <n v="0"/>
    <n v="0"/>
    <n v="0"/>
    <n v="10"/>
    <n v="5"/>
    <s v="PASSED"/>
  </r>
  <r>
    <s v="EMPLOYEES"/>
    <x v="0"/>
    <x v="0"/>
    <x v="14"/>
    <s v="N"/>
    <x v="4"/>
    <n v="5"/>
    <n v="1"/>
    <n v="1"/>
    <n v="0"/>
    <n v="10"/>
    <n v="5"/>
    <s v="PASSED"/>
  </r>
  <r>
    <s v="EMPLOYEES"/>
    <x v="0"/>
    <x v="0"/>
    <x v="15"/>
    <s v="N"/>
    <x v="4"/>
    <n v="5"/>
    <n v="1"/>
    <n v="1"/>
    <n v="0"/>
    <n v="10"/>
    <n v="5"/>
    <s v="PASSED"/>
  </r>
  <r>
    <s v="EMPLOYEES"/>
    <x v="0"/>
    <x v="0"/>
    <x v="16"/>
    <s v="N"/>
    <x v="4"/>
    <n v="5"/>
    <n v="0"/>
    <n v="0"/>
    <n v="0"/>
    <n v="10"/>
    <n v="5"/>
    <s v="PASSED"/>
  </r>
  <r>
    <s v="EMPLOYEES"/>
    <x v="0"/>
    <x v="0"/>
    <x v="0"/>
    <s v="Y"/>
    <x v="5"/>
    <n v="6"/>
    <n v="10915.8"/>
    <n v="10915.8"/>
    <n v="0"/>
    <n v="10"/>
    <n v="5"/>
    <s v="PASSED"/>
  </r>
  <r>
    <s v="EMPLOYEES"/>
    <x v="0"/>
    <x v="0"/>
    <x v="1"/>
    <s v="Y"/>
    <x v="5"/>
    <n v="6"/>
    <n v="31391.4"/>
    <n v="31391.4"/>
    <n v="0"/>
    <n v="10"/>
    <n v="5"/>
    <s v="PASSED"/>
  </r>
  <r>
    <s v="EMPLOYEES"/>
    <x v="0"/>
    <x v="0"/>
    <x v="2"/>
    <s v="Y"/>
    <x v="5"/>
    <n v="6"/>
    <n v="0"/>
    <n v="0"/>
    <n v="0"/>
    <n v="10"/>
    <n v="5"/>
    <s v="PASSED"/>
  </r>
  <r>
    <s v="EMPLOYEES"/>
    <x v="0"/>
    <x v="0"/>
    <x v="3"/>
    <s v="Y"/>
    <x v="5"/>
    <n v="6"/>
    <n v="62787.040000000001"/>
    <n v="62787.040000000001"/>
    <n v="0"/>
    <n v="10"/>
    <n v="5"/>
    <s v="PASSED"/>
  </r>
  <r>
    <s v="EMPLOYEES"/>
    <x v="0"/>
    <x v="0"/>
    <x v="4"/>
    <s v="Y"/>
    <x v="5"/>
    <n v="6"/>
    <n v="0"/>
    <n v="0"/>
    <n v="0"/>
    <n v="10"/>
    <n v="5"/>
    <s v="PASSED"/>
  </r>
  <r>
    <s v="EMPLOYEES"/>
    <x v="0"/>
    <x v="0"/>
    <x v="5"/>
    <s v="Y"/>
    <x v="5"/>
    <n v="6"/>
    <n v="6632.12"/>
    <n v="6632.12"/>
    <n v="0"/>
    <n v="10"/>
    <n v="5"/>
    <s v="PASSED"/>
  </r>
  <r>
    <s v="EMPLOYEES"/>
    <x v="0"/>
    <x v="0"/>
    <x v="6"/>
    <s v="Y"/>
    <x v="5"/>
    <n v="6"/>
    <n v="0"/>
    <n v="0"/>
    <n v="0"/>
    <n v="10"/>
    <n v="5"/>
    <s v="PASSED"/>
  </r>
  <r>
    <s v="EMPLOYEES"/>
    <x v="0"/>
    <x v="0"/>
    <x v="7"/>
    <s v="Y"/>
    <x v="5"/>
    <n v="6"/>
    <n v="0"/>
    <n v="0"/>
    <n v="0"/>
    <n v="10"/>
    <n v="5"/>
    <s v="PASSED"/>
  </r>
  <r>
    <s v="EMPLOYEES"/>
    <x v="0"/>
    <x v="0"/>
    <x v="8"/>
    <s v="Y"/>
    <x v="5"/>
    <n v="6"/>
    <n v="36644.15"/>
    <n v="36644.15"/>
    <n v="0"/>
    <n v="10"/>
    <n v="5"/>
    <s v="PASSED"/>
  </r>
  <r>
    <s v="EMPLOYEES"/>
    <x v="0"/>
    <x v="0"/>
    <x v="9"/>
    <s v="Y"/>
    <x v="5"/>
    <n v="6"/>
    <n v="7888.05"/>
    <n v="7888.05"/>
    <n v="0"/>
    <n v="10"/>
    <n v="5"/>
    <s v="PASSED"/>
  </r>
  <r>
    <s v="EMPLOYEES"/>
    <x v="0"/>
    <x v="0"/>
    <x v="10"/>
    <s v="Y"/>
    <x v="5"/>
    <n v="6"/>
    <n v="0"/>
    <n v="0"/>
    <n v="0"/>
    <n v="10"/>
    <n v="5"/>
    <s v="PASSED"/>
  </r>
  <r>
    <s v="EMPLOYEES"/>
    <x v="0"/>
    <x v="0"/>
    <x v="11"/>
    <s v="Y"/>
    <x v="5"/>
    <n v="6"/>
    <n v="7888.05"/>
    <n v="7888.05"/>
    <n v="0"/>
    <n v="10"/>
    <n v="5"/>
    <s v="PASSED"/>
  </r>
  <r>
    <s v="EMPLOYEES"/>
    <x v="0"/>
    <x v="0"/>
    <x v="12"/>
    <s v="Y"/>
    <x v="5"/>
    <n v="6"/>
    <n v="7888.05"/>
    <n v="7888.05"/>
    <n v="0"/>
    <n v="10"/>
    <n v="5"/>
    <s v="PASSED"/>
  </r>
  <r>
    <s v="EMPLOYEES"/>
    <x v="0"/>
    <x v="0"/>
    <x v="13"/>
    <s v="Y"/>
    <x v="5"/>
    <n v="6"/>
    <n v="0"/>
    <n v="0"/>
    <n v="0"/>
    <n v="10"/>
    <n v="5"/>
    <s v="PASSED"/>
  </r>
  <r>
    <s v="EMPLOYEES"/>
    <x v="0"/>
    <x v="0"/>
    <x v="14"/>
    <s v="N"/>
    <x v="5"/>
    <n v="6"/>
    <n v="11627.31"/>
    <n v="11627.31"/>
    <n v="0"/>
    <n v="10"/>
    <n v="5"/>
    <s v="PASSED"/>
  </r>
  <r>
    <s v="EMPLOYEES"/>
    <x v="0"/>
    <x v="0"/>
    <x v="15"/>
    <s v="N"/>
    <x v="5"/>
    <n v="6"/>
    <n v="0"/>
    <n v="0"/>
    <n v="0"/>
    <n v="10"/>
    <n v="5"/>
    <s v="PASSED"/>
  </r>
  <r>
    <s v="EMPLOYEES"/>
    <x v="0"/>
    <x v="0"/>
    <x v="16"/>
    <s v="N"/>
    <x v="5"/>
    <n v="6"/>
    <n v="9739.8799999999992"/>
    <n v="9739.8799999999992"/>
    <n v="0"/>
    <n v="10"/>
    <n v="5"/>
    <s v="PASSED"/>
  </r>
  <r>
    <s v="EMPLOYEES"/>
    <x v="0"/>
    <x v="0"/>
    <x v="0"/>
    <s v="Y"/>
    <x v="6"/>
    <n v="7"/>
    <n v="1"/>
    <n v="1"/>
    <n v="0"/>
    <n v="10"/>
    <n v="5"/>
    <s v="PASSED"/>
  </r>
  <r>
    <s v="EMPLOYEES"/>
    <x v="0"/>
    <x v="0"/>
    <x v="1"/>
    <s v="Y"/>
    <x v="6"/>
    <n v="7"/>
    <n v="1"/>
    <n v="1"/>
    <n v="0"/>
    <n v="10"/>
    <n v="5"/>
    <s v="PASSED"/>
  </r>
  <r>
    <s v="EMPLOYEES"/>
    <x v="0"/>
    <x v="0"/>
    <x v="2"/>
    <s v="Y"/>
    <x v="6"/>
    <n v="7"/>
    <n v="0"/>
    <n v="0"/>
    <n v="0"/>
    <n v="10"/>
    <n v="5"/>
    <s v="PASSED"/>
  </r>
  <r>
    <s v="EMPLOYEES"/>
    <x v="0"/>
    <x v="0"/>
    <x v="3"/>
    <s v="Y"/>
    <x v="6"/>
    <n v="7"/>
    <n v="3"/>
    <n v="3"/>
    <n v="0"/>
    <n v="10"/>
    <n v="5"/>
    <s v="PASSED"/>
  </r>
  <r>
    <s v="EMPLOYEES"/>
    <x v="0"/>
    <x v="0"/>
    <x v="4"/>
    <s v="Y"/>
    <x v="6"/>
    <n v="7"/>
    <n v="0"/>
    <n v="0"/>
    <n v="0"/>
    <n v="10"/>
    <n v="5"/>
    <s v="PASSED"/>
  </r>
  <r>
    <s v="EMPLOYEES"/>
    <x v="0"/>
    <x v="0"/>
    <x v="5"/>
    <s v="Y"/>
    <x v="6"/>
    <n v="7"/>
    <n v="1"/>
    <n v="1"/>
    <n v="0"/>
    <n v="10"/>
    <n v="5"/>
    <s v="PASSED"/>
  </r>
  <r>
    <s v="EMPLOYEES"/>
    <x v="0"/>
    <x v="0"/>
    <x v="6"/>
    <s v="Y"/>
    <x v="6"/>
    <n v="7"/>
    <n v="0"/>
    <n v="0"/>
    <n v="0"/>
    <n v="10"/>
    <n v="5"/>
    <s v="PASSED"/>
  </r>
  <r>
    <s v="EMPLOYEES"/>
    <x v="0"/>
    <x v="0"/>
    <x v="7"/>
    <s v="Y"/>
    <x v="6"/>
    <n v="7"/>
    <n v="0"/>
    <n v="0"/>
    <n v="0"/>
    <n v="10"/>
    <n v="5"/>
    <s v="PASSED"/>
  </r>
  <r>
    <s v="EMPLOYEES"/>
    <x v="0"/>
    <x v="0"/>
    <x v="8"/>
    <s v="Y"/>
    <x v="6"/>
    <n v="7"/>
    <n v="3"/>
    <n v="3"/>
    <n v="0"/>
    <n v="10"/>
    <n v="5"/>
    <s v="PASSED"/>
  </r>
  <r>
    <s v="EMPLOYEES"/>
    <x v="0"/>
    <x v="0"/>
    <x v="9"/>
    <s v="Y"/>
    <x v="6"/>
    <n v="7"/>
    <n v="1"/>
    <n v="1"/>
    <n v="0"/>
    <n v="10"/>
    <n v="5"/>
    <s v="PASSED"/>
  </r>
  <r>
    <s v="EMPLOYEES"/>
    <x v="0"/>
    <x v="0"/>
    <x v="10"/>
    <s v="Y"/>
    <x v="6"/>
    <n v="7"/>
    <n v="0"/>
    <n v="0"/>
    <n v="0"/>
    <n v="10"/>
    <n v="5"/>
    <s v="PASSED"/>
  </r>
  <r>
    <s v="EMPLOYEES"/>
    <x v="0"/>
    <x v="0"/>
    <x v="11"/>
    <s v="Y"/>
    <x v="6"/>
    <n v="7"/>
    <n v="1"/>
    <n v="1"/>
    <n v="0"/>
    <n v="10"/>
    <n v="5"/>
    <s v="PASSED"/>
  </r>
  <r>
    <s v="EMPLOYEES"/>
    <x v="0"/>
    <x v="0"/>
    <x v="12"/>
    <s v="Y"/>
    <x v="6"/>
    <n v="7"/>
    <n v="1"/>
    <n v="1"/>
    <n v="0"/>
    <n v="10"/>
    <n v="5"/>
    <s v="PASSED"/>
  </r>
  <r>
    <s v="EMPLOYEES"/>
    <x v="0"/>
    <x v="0"/>
    <x v="13"/>
    <s v="Y"/>
    <x v="6"/>
    <n v="7"/>
    <n v="0"/>
    <n v="0"/>
    <n v="0"/>
    <n v="10"/>
    <n v="5"/>
    <s v="PASSED"/>
  </r>
  <r>
    <s v="EMPLOYEES"/>
    <x v="0"/>
    <x v="0"/>
    <x v="14"/>
    <s v="N"/>
    <x v="6"/>
    <n v="7"/>
    <n v="1"/>
    <n v="1"/>
    <n v="0"/>
    <n v="10"/>
    <n v="5"/>
    <s v="PASSED"/>
  </r>
  <r>
    <s v="EMPLOYEES"/>
    <x v="0"/>
    <x v="0"/>
    <x v="15"/>
    <s v="N"/>
    <x v="6"/>
    <n v="7"/>
    <n v="0"/>
    <n v="0"/>
    <n v="0"/>
    <n v="10"/>
    <n v="5"/>
    <s v="PASSED"/>
  </r>
  <r>
    <s v="EMPLOYEES"/>
    <x v="0"/>
    <x v="0"/>
    <x v="16"/>
    <s v="N"/>
    <x v="6"/>
    <n v="7"/>
    <n v="1"/>
    <n v="1"/>
    <n v="0"/>
    <n v="10"/>
    <n v="5"/>
    <s v="PASSED"/>
  </r>
  <r>
    <s v="EMPLOYEES"/>
    <x v="0"/>
    <x v="0"/>
    <x v="0"/>
    <s v="Y"/>
    <x v="7"/>
    <n v="8"/>
    <n v="23465.75"/>
    <n v="23465.75"/>
    <n v="0"/>
    <n v="10"/>
    <n v="5"/>
    <s v="PASSED"/>
  </r>
  <r>
    <s v="EMPLOYEES"/>
    <x v="0"/>
    <x v="0"/>
    <x v="1"/>
    <s v="Y"/>
    <x v="7"/>
    <n v="8"/>
    <n v="29063.439999999999"/>
    <n v="29063.439999999999"/>
    <n v="0"/>
    <n v="10"/>
    <n v="5"/>
    <s v="PASSED"/>
  </r>
  <r>
    <s v="EMPLOYEES"/>
    <x v="0"/>
    <x v="0"/>
    <x v="2"/>
    <s v="Y"/>
    <x v="7"/>
    <n v="8"/>
    <n v="48015.38"/>
    <n v="48015.38"/>
    <n v="0"/>
    <n v="10"/>
    <n v="5"/>
    <s v="PASSED"/>
  </r>
  <r>
    <s v="EMPLOYEES"/>
    <x v="0"/>
    <x v="0"/>
    <x v="3"/>
    <s v="Y"/>
    <x v="7"/>
    <n v="8"/>
    <n v="41460.199999999997"/>
    <n v="41460.199999999997"/>
    <n v="0"/>
    <n v="10"/>
    <n v="5"/>
    <s v="PASSED"/>
  </r>
  <r>
    <s v="EMPLOYEES"/>
    <x v="0"/>
    <x v="0"/>
    <x v="4"/>
    <s v="Y"/>
    <x v="7"/>
    <n v="8"/>
    <n v="37665.49"/>
    <n v="37665.49"/>
    <n v="0"/>
    <n v="10"/>
    <n v="5"/>
    <s v="PASSED"/>
  </r>
  <r>
    <s v="EMPLOYEES"/>
    <x v="0"/>
    <x v="0"/>
    <x v="5"/>
    <s v="Y"/>
    <x v="7"/>
    <n v="8"/>
    <n v="40884.769999999997"/>
    <n v="40884.769999999997"/>
    <n v="0"/>
    <n v="10"/>
    <n v="5"/>
    <s v="PASSED"/>
  </r>
  <r>
    <s v="EMPLOYEES"/>
    <x v="0"/>
    <x v="0"/>
    <x v="6"/>
    <s v="Y"/>
    <x v="7"/>
    <n v="8"/>
    <n v="33851.96"/>
    <n v="33851.96"/>
    <n v="0"/>
    <n v="10"/>
    <n v="5"/>
    <s v="PASSED"/>
  </r>
  <r>
    <s v="EMPLOYEES"/>
    <x v="0"/>
    <x v="0"/>
    <x v="7"/>
    <s v="Y"/>
    <x v="7"/>
    <n v="8"/>
    <n v="47794.65"/>
    <n v="47794.65"/>
    <n v="0"/>
    <n v="10"/>
    <n v="5"/>
    <s v="PASSED"/>
  </r>
  <r>
    <s v="EMPLOYEES"/>
    <x v="0"/>
    <x v="0"/>
    <x v="8"/>
    <s v="Y"/>
    <x v="7"/>
    <n v="8"/>
    <n v="41995.69"/>
    <n v="41995.69"/>
    <n v="0"/>
    <n v="10"/>
    <n v="5"/>
    <s v="PASSED"/>
  </r>
  <r>
    <s v="EMPLOYEES"/>
    <x v="0"/>
    <x v="0"/>
    <x v="9"/>
    <s v="Y"/>
    <x v="7"/>
    <n v="8"/>
    <n v="32375.59"/>
    <n v="32375.59"/>
    <n v="0"/>
    <n v="10"/>
    <n v="5"/>
    <s v="PASSED"/>
  </r>
  <r>
    <s v="EMPLOYEES"/>
    <x v="0"/>
    <x v="0"/>
    <x v="10"/>
    <s v="Y"/>
    <x v="7"/>
    <n v="8"/>
    <n v="32133.18"/>
    <n v="32133.18"/>
    <n v="0"/>
    <n v="10"/>
    <n v="5"/>
    <s v="PASSED"/>
  </r>
  <r>
    <s v="EMPLOYEES"/>
    <x v="0"/>
    <x v="0"/>
    <x v="11"/>
    <s v="Y"/>
    <x v="7"/>
    <n v="8"/>
    <n v="40714.5"/>
    <n v="40714.5"/>
    <n v="0"/>
    <n v="10"/>
    <n v="5"/>
    <s v="PASSED"/>
  </r>
  <r>
    <s v="EMPLOYEES"/>
    <x v="0"/>
    <x v="0"/>
    <x v="12"/>
    <s v="Y"/>
    <x v="7"/>
    <n v="8"/>
    <n v="30982.55"/>
    <n v="30982.55"/>
    <n v="0"/>
    <n v="10"/>
    <n v="5"/>
    <s v="PASSED"/>
  </r>
  <r>
    <s v="EMPLOYEES"/>
    <x v="0"/>
    <x v="0"/>
    <x v="13"/>
    <s v="Y"/>
    <x v="7"/>
    <n v="8"/>
    <n v="32518.28"/>
    <n v="32518.28"/>
    <n v="0"/>
    <n v="10"/>
    <n v="5"/>
    <s v="PASSED"/>
  </r>
  <r>
    <s v="EMPLOYEES"/>
    <x v="0"/>
    <x v="0"/>
    <x v="14"/>
    <s v="N"/>
    <x v="7"/>
    <n v="8"/>
    <n v="41450.71"/>
    <n v="41450.71"/>
    <n v="0"/>
    <n v="10"/>
    <n v="5"/>
    <s v="PASSED"/>
  </r>
  <r>
    <s v="EMPLOYEES"/>
    <x v="0"/>
    <x v="0"/>
    <x v="15"/>
    <s v="N"/>
    <x v="7"/>
    <n v="8"/>
    <n v="30359.46"/>
    <n v="30359.46"/>
    <n v="0"/>
    <n v="10"/>
    <n v="5"/>
    <s v="PASSED"/>
  </r>
  <r>
    <s v="EMPLOYEES"/>
    <x v="0"/>
    <x v="0"/>
    <x v="16"/>
    <s v="N"/>
    <x v="7"/>
    <n v="8"/>
    <n v="18131.34"/>
    <n v="18131.34"/>
    <n v="0"/>
    <n v="10"/>
    <n v="5"/>
    <s v="PASSED"/>
  </r>
  <r>
    <s v="EMPLOYEES"/>
    <x v="0"/>
    <x v="0"/>
    <x v="0"/>
    <s v="Y"/>
    <x v="8"/>
    <n v="9"/>
    <n v="32"/>
    <n v="32"/>
    <n v="0"/>
    <n v="10"/>
    <n v="5"/>
    <s v="PASSED"/>
  </r>
  <r>
    <s v="EMPLOYEES"/>
    <x v="0"/>
    <x v="0"/>
    <x v="1"/>
    <s v="Y"/>
    <x v="8"/>
    <n v="9"/>
    <n v="45"/>
    <n v="45"/>
    <n v="0"/>
    <n v="10"/>
    <n v="5"/>
    <s v="PASSED"/>
  </r>
  <r>
    <s v="EMPLOYEES"/>
    <x v="0"/>
    <x v="0"/>
    <x v="2"/>
    <s v="Y"/>
    <x v="8"/>
    <n v="9"/>
    <n v="72"/>
    <n v="72"/>
    <n v="0"/>
    <n v="10"/>
    <n v="5"/>
    <s v="PASSED"/>
  </r>
  <r>
    <s v="EMPLOYEES"/>
    <x v="0"/>
    <x v="0"/>
    <x v="3"/>
    <s v="Y"/>
    <x v="8"/>
    <n v="9"/>
    <n v="49"/>
    <n v="49"/>
    <n v="0"/>
    <n v="10"/>
    <n v="5"/>
    <s v="PASSED"/>
  </r>
  <r>
    <s v="EMPLOYEES"/>
    <x v="0"/>
    <x v="0"/>
    <x v="4"/>
    <s v="Y"/>
    <x v="8"/>
    <n v="9"/>
    <n v="58"/>
    <n v="58"/>
    <n v="0"/>
    <n v="10"/>
    <n v="5"/>
    <s v="PASSED"/>
  </r>
  <r>
    <s v="EMPLOYEES"/>
    <x v="0"/>
    <x v="0"/>
    <x v="5"/>
    <s v="Y"/>
    <x v="8"/>
    <n v="9"/>
    <n v="48"/>
    <n v="48"/>
    <n v="0"/>
    <n v="10"/>
    <n v="5"/>
    <s v="PASSED"/>
  </r>
  <r>
    <s v="EMPLOYEES"/>
    <x v="0"/>
    <x v="0"/>
    <x v="6"/>
    <s v="Y"/>
    <x v="8"/>
    <n v="9"/>
    <n v="57"/>
    <n v="57"/>
    <n v="0"/>
    <n v="10"/>
    <n v="5"/>
    <s v="PASSED"/>
  </r>
  <r>
    <s v="EMPLOYEES"/>
    <x v="0"/>
    <x v="0"/>
    <x v="7"/>
    <s v="Y"/>
    <x v="8"/>
    <n v="9"/>
    <n v="73"/>
    <n v="73"/>
    <n v="0"/>
    <n v="10"/>
    <n v="5"/>
    <s v="PASSED"/>
  </r>
  <r>
    <s v="EMPLOYEES"/>
    <x v="0"/>
    <x v="0"/>
    <x v="8"/>
    <s v="Y"/>
    <x v="8"/>
    <n v="9"/>
    <n v="86"/>
    <n v="86"/>
    <n v="0"/>
    <n v="10"/>
    <n v="5"/>
    <s v="PASSED"/>
  </r>
  <r>
    <s v="EMPLOYEES"/>
    <x v="0"/>
    <x v="0"/>
    <x v="9"/>
    <s v="Y"/>
    <x v="8"/>
    <n v="9"/>
    <n v="39"/>
    <n v="39"/>
    <n v="0"/>
    <n v="10"/>
    <n v="5"/>
    <s v="PASSED"/>
  </r>
  <r>
    <s v="EMPLOYEES"/>
    <x v="0"/>
    <x v="0"/>
    <x v="10"/>
    <s v="Y"/>
    <x v="8"/>
    <n v="9"/>
    <n v="55"/>
    <n v="55"/>
    <n v="0"/>
    <n v="10"/>
    <n v="5"/>
    <s v="PASSED"/>
  </r>
  <r>
    <s v="EMPLOYEES"/>
    <x v="0"/>
    <x v="0"/>
    <x v="11"/>
    <s v="Y"/>
    <x v="8"/>
    <n v="9"/>
    <n v="64"/>
    <n v="64"/>
    <n v="0"/>
    <n v="10"/>
    <n v="5"/>
    <s v="PASSED"/>
  </r>
  <r>
    <s v="EMPLOYEES"/>
    <x v="0"/>
    <x v="0"/>
    <x v="12"/>
    <s v="Y"/>
    <x v="8"/>
    <n v="9"/>
    <n v="38"/>
    <n v="38"/>
    <n v="0"/>
    <n v="10"/>
    <n v="5"/>
    <s v="PASSED"/>
  </r>
  <r>
    <s v="EMPLOYEES"/>
    <x v="0"/>
    <x v="0"/>
    <x v="13"/>
    <s v="Y"/>
    <x v="8"/>
    <n v="9"/>
    <n v="29"/>
    <n v="29"/>
    <n v="0"/>
    <n v="10"/>
    <n v="5"/>
    <s v="PASSED"/>
  </r>
  <r>
    <s v="EMPLOYEES"/>
    <x v="0"/>
    <x v="0"/>
    <x v="14"/>
    <s v="N"/>
    <x v="8"/>
    <n v="9"/>
    <n v="46"/>
    <n v="46"/>
    <n v="0"/>
    <n v="10"/>
    <n v="5"/>
    <s v="PASSED"/>
  </r>
  <r>
    <s v="EMPLOYEES"/>
    <x v="0"/>
    <x v="0"/>
    <x v="15"/>
    <s v="N"/>
    <x v="8"/>
    <n v="9"/>
    <n v="71"/>
    <n v="71"/>
    <n v="0"/>
    <n v="10"/>
    <n v="5"/>
    <s v="PASSED"/>
  </r>
  <r>
    <s v="EMPLOYEES"/>
    <x v="0"/>
    <x v="0"/>
    <x v="16"/>
    <s v="N"/>
    <x v="8"/>
    <n v="9"/>
    <n v="37"/>
    <n v="37"/>
    <n v="0"/>
    <n v="10"/>
    <n v="5"/>
    <s v="PASSED"/>
  </r>
  <r>
    <s v="EMPLOYEES"/>
    <x v="0"/>
    <x v="0"/>
    <x v="0"/>
    <s v="Y"/>
    <x v="9"/>
    <n v="10"/>
    <n v="37"/>
    <n v="37"/>
    <n v="0"/>
    <n v="10"/>
    <n v="5"/>
    <s v="PASSED"/>
  </r>
  <r>
    <s v="EMPLOYEES"/>
    <x v="0"/>
    <x v="0"/>
    <x v="1"/>
    <s v="Y"/>
    <x v="9"/>
    <n v="10"/>
    <n v="50"/>
    <n v="50"/>
    <n v="0"/>
    <n v="10"/>
    <n v="5"/>
    <s v="PASSED"/>
  </r>
  <r>
    <s v="EMPLOYEES"/>
    <x v="0"/>
    <x v="0"/>
    <x v="2"/>
    <s v="Y"/>
    <x v="9"/>
    <n v="10"/>
    <n v="72"/>
    <n v="72"/>
    <n v="0"/>
    <n v="10"/>
    <n v="5"/>
    <s v="PASSED"/>
  </r>
  <r>
    <s v="EMPLOYEES"/>
    <x v="0"/>
    <x v="0"/>
    <x v="3"/>
    <s v="Y"/>
    <x v="9"/>
    <n v="10"/>
    <n v="67"/>
    <n v="67"/>
    <n v="0"/>
    <n v="10"/>
    <n v="5"/>
    <s v="PASSED"/>
  </r>
  <r>
    <s v="EMPLOYEES"/>
    <x v="0"/>
    <x v="0"/>
    <x v="4"/>
    <s v="Y"/>
    <x v="9"/>
    <n v="10"/>
    <n v="54"/>
    <n v="54"/>
    <n v="0"/>
    <n v="10"/>
    <n v="5"/>
    <s v="PASSED"/>
  </r>
  <r>
    <s v="EMPLOYEES"/>
    <x v="0"/>
    <x v="0"/>
    <x v="5"/>
    <s v="Y"/>
    <x v="9"/>
    <n v="10"/>
    <n v="136"/>
    <n v="136"/>
    <n v="0"/>
    <n v="10"/>
    <n v="5"/>
    <s v="PASSED"/>
  </r>
  <r>
    <s v="EMPLOYEES"/>
    <x v="0"/>
    <x v="0"/>
    <x v="6"/>
    <s v="Y"/>
    <x v="9"/>
    <n v="10"/>
    <n v="35"/>
    <n v="35"/>
    <n v="0"/>
    <n v="10"/>
    <n v="5"/>
    <s v="PASSED"/>
  </r>
  <r>
    <s v="EMPLOYEES"/>
    <x v="0"/>
    <x v="0"/>
    <x v="7"/>
    <s v="Y"/>
    <x v="9"/>
    <n v="10"/>
    <n v="73"/>
    <n v="73"/>
    <n v="0"/>
    <n v="10"/>
    <n v="5"/>
    <s v="PASSED"/>
  </r>
  <r>
    <s v="EMPLOYEES"/>
    <x v="0"/>
    <x v="0"/>
    <x v="8"/>
    <s v="Y"/>
    <x v="9"/>
    <n v="10"/>
    <n v="81"/>
    <n v="81"/>
    <n v="0"/>
    <n v="10"/>
    <n v="5"/>
    <s v="PASSED"/>
  </r>
  <r>
    <s v="EMPLOYEES"/>
    <x v="0"/>
    <x v="0"/>
    <x v="9"/>
    <s v="Y"/>
    <x v="9"/>
    <n v="10"/>
    <n v="43"/>
    <n v="43"/>
    <n v="0"/>
    <n v="10"/>
    <n v="5"/>
    <s v="PASSED"/>
  </r>
  <r>
    <s v="EMPLOYEES"/>
    <x v="0"/>
    <x v="0"/>
    <x v="10"/>
    <s v="Y"/>
    <x v="9"/>
    <n v="10"/>
    <n v="43"/>
    <n v="43"/>
    <n v="0"/>
    <n v="10"/>
    <n v="5"/>
    <s v="PASSED"/>
  </r>
  <r>
    <s v="EMPLOYEES"/>
    <x v="0"/>
    <x v="0"/>
    <x v="11"/>
    <s v="Y"/>
    <x v="9"/>
    <n v="10"/>
    <n v="94"/>
    <n v="94"/>
    <n v="0"/>
    <n v="10"/>
    <n v="5"/>
    <s v="PASSED"/>
  </r>
  <r>
    <s v="EMPLOYEES"/>
    <x v="0"/>
    <x v="0"/>
    <x v="12"/>
    <s v="Y"/>
    <x v="9"/>
    <n v="10"/>
    <n v="63"/>
    <n v="63"/>
    <n v="0"/>
    <n v="10"/>
    <n v="5"/>
    <s v="PASSED"/>
  </r>
  <r>
    <s v="EMPLOYEES"/>
    <x v="0"/>
    <x v="0"/>
    <x v="13"/>
    <s v="Y"/>
    <x v="9"/>
    <n v="10"/>
    <n v="54"/>
    <n v="54"/>
    <n v="0"/>
    <n v="10"/>
    <n v="5"/>
    <s v="PASSED"/>
  </r>
  <r>
    <s v="EMPLOYEES"/>
    <x v="0"/>
    <x v="0"/>
    <x v="14"/>
    <s v="N"/>
    <x v="9"/>
    <n v="10"/>
    <n v="62"/>
    <n v="62"/>
    <n v="0"/>
    <n v="10"/>
    <n v="5"/>
    <s v="PASSED"/>
  </r>
  <r>
    <s v="EMPLOYEES"/>
    <x v="0"/>
    <x v="0"/>
    <x v="15"/>
    <s v="N"/>
    <x v="9"/>
    <n v="10"/>
    <n v="29"/>
    <n v="29"/>
    <n v="0"/>
    <n v="10"/>
    <n v="5"/>
    <s v="PASSED"/>
  </r>
  <r>
    <s v="EMPLOYEES"/>
    <x v="0"/>
    <x v="0"/>
    <x v="16"/>
    <s v="N"/>
    <x v="9"/>
    <n v="10"/>
    <n v="21"/>
    <n v="21"/>
    <n v="0"/>
    <n v="10"/>
    <n v="5"/>
    <s v="PASSED"/>
  </r>
  <r>
    <s v="EMPLOYEES"/>
    <x v="0"/>
    <x v="0"/>
    <x v="0"/>
    <s v="Y"/>
    <x v="10"/>
    <n v="11"/>
    <n v="0"/>
    <n v="0"/>
    <n v="0"/>
    <n v="10"/>
    <n v="5"/>
    <s v="PASSED"/>
  </r>
  <r>
    <s v="EMPLOYEES"/>
    <x v="0"/>
    <x v="0"/>
    <x v="1"/>
    <s v="Y"/>
    <x v="10"/>
    <n v="11"/>
    <n v="0"/>
    <n v="0"/>
    <n v="0"/>
    <n v="10"/>
    <n v="5"/>
    <s v="PASSED"/>
  </r>
  <r>
    <s v="EMPLOYEES"/>
    <x v="0"/>
    <x v="0"/>
    <x v="2"/>
    <s v="Y"/>
    <x v="10"/>
    <n v="11"/>
    <n v="0"/>
    <n v="0"/>
    <n v="0"/>
    <n v="10"/>
    <n v="5"/>
    <s v="PASSED"/>
  </r>
  <r>
    <s v="EMPLOYEES"/>
    <x v="0"/>
    <x v="0"/>
    <x v="3"/>
    <s v="Y"/>
    <x v="10"/>
    <n v="11"/>
    <n v="0"/>
    <n v="0"/>
    <n v="0"/>
    <n v="10"/>
    <n v="5"/>
    <s v="PASSED"/>
  </r>
  <r>
    <s v="EMPLOYEES"/>
    <x v="0"/>
    <x v="0"/>
    <x v="4"/>
    <s v="Y"/>
    <x v="10"/>
    <n v="11"/>
    <n v="0"/>
    <n v="0"/>
    <n v="0"/>
    <n v="10"/>
    <n v="5"/>
    <s v="PASSED"/>
  </r>
  <r>
    <s v="EMPLOYEES"/>
    <x v="0"/>
    <x v="0"/>
    <x v="5"/>
    <s v="Y"/>
    <x v="10"/>
    <n v="11"/>
    <n v="0"/>
    <n v="0"/>
    <n v="0"/>
    <n v="10"/>
    <n v="5"/>
    <s v="PASSED"/>
  </r>
  <r>
    <s v="EMPLOYEES"/>
    <x v="0"/>
    <x v="0"/>
    <x v="6"/>
    <s v="Y"/>
    <x v="10"/>
    <n v="11"/>
    <n v="0"/>
    <n v="0"/>
    <n v="0"/>
    <n v="10"/>
    <n v="5"/>
    <s v="PASSED"/>
  </r>
  <r>
    <s v="EMPLOYEES"/>
    <x v="0"/>
    <x v="0"/>
    <x v="7"/>
    <s v="Y"/>
    <x v="10"/>
    <n v="11"/>
    <n v="0"/>
    <n v="0"/>
    <n v="0"/>
    <n v="10"/>
    <n v="5"/>
    <s v="PASSED"/>
  </r>
  <r>
    <s v="EMPLOYEES"/>
    <x v="0"/>
    <x v="0"/>
    <x v="8"/>
    <s v="Y"/>
    <x v="10"/>
    <n v="11"/>
    <n v="0"/>
    <n v="0"/>
    <n v="0"/>
    <n v="10"/>
    <n v="5"/>
    <s v="PASSED"/>
  </r>
  <r>
    <s v="EMPLOYEES"/>
    <x v="0"/>
    <x v="0"/>
    <x v="9"/>
    <s v="Y"/>
    <x v="10"/>
    <n v="11"/>
    <n v="0"/>
    <n v="0"/>
    <n v="0"/>
    <n v="10"/>
    <n v="5"/>
    <s v="PASSED"/>
  </r>
  <r>
    <s v="EMPLOYEES"/>
    <x v="0"/>
    <x v="0"/>
    <x v="10"/>
    <s v="Y"/>
    <x v="10"/>
    <n v="11"/>
    <n v="0"/>
    <n v="0"/>
    <n v="0"/>
    <n v="10"/>
    <n v="5"/>
    <s v="PASSED"/>
  </r>
  <r>
    <s v="EMPLOYEES"/>
    <x v="0"/>
    <x v="0"/>
    <x v="11"/>
    <s v="Y"/>
    <x v="10"/>
    <n v="11"/>
    <n v="0"/>
    <n v="0"/>
    <n v="0"/>
    <n v="10"/>
    <n v="5"/>
    <s v="PASSED"/>
  </r>
  <r>
    <s v="EMPLOYEES"/>
    <x v="0"/>
    <x v="0"/>
    <x v="12"/>
    <s v="Y"/>
    <x v="10"/>
    <n v="11"/>
    <n v="0"/>
    <n v="0"/>
    <n v="0"/>
    <n v="10"/>
    <n v="5"/>
    <s v="PASSED"/>
  </r>
  <r>
    <s v="EMPLOYEES"/>
    <x v="0"/>
    <x v="0"/>
    <x v="13"/>
    <s v="Y"/>
    <x v="10"/>
    <n v="11"/>
    <n v="0"/>
    <n v="0"/>
    <n v="0"/>
    <n v="10"/>
    <n v="5"/>
    <s v="PASSED"/>
  </r>
  <r>
    <s v="EMPLOYEES"/>
    <x v="0"/>
    <x v="0"/>
    <x v="14"/>
    <s v="N"/>
    <x v="10"/>
    <n v="11"/>
    <n v="0"/>
    <n v="0"/>
    <n v="0"/>
    <n v="10"/>
    <n v="5"/>
    <s v="PASSED"/>
  </r>
  <r>
    <s v="EMPLOYEES"/>
    <x v="0"/>
    <x v="0"/>
    <x v="15"/>
    <s v="N"/>
    <x v="10"/>
    <n v="11"/>
    <n v="0"/>
    <n v="0"/>
    <n v="0"/>
    <n v="10"/>
    <n v="5"/>
    <s v="PASSED"/>
  </r>
  <r>
    <s v="EMPLOYEES"/>
    <x v="0"/>
    <x v="0"/>
    <x v="16"/>
    <s v="N"/>
    <x v="10"/>
    <n v="11"/>
    <n v="0"/>
    <n v="0"/>
    <n v="0"/>
    <n v="10"/>
    <n v="5"/>
    <s v="PASSED"/>
  </r>
  <r>
    <s v="EMPLOYEES"/>
    <x v="0"/>
    <x v="0"/>
    <x v="0"/>
    <s v="Y"/>
    <x v="11"/>
    <n v="12"/>
    <n v="0"/>
    <n v="0"/>
    <n v="0"/>
    <n v="10"/>
    <n v="5"/>
    <s v="PASSED"/>
  </r>
  <r>
    <s v="EMPLOYEES"/>
    <x v="0"/>
    <x v="0"/>
    <x v="1"/>
    <s v="Y"/>
    <x v="11"/>
    <n v="12"/>
    <n v="5"/>
    <n v="5"/>
    <n v="0"/>
    <n v="10"/>
    <n v="5"/>
    <s v="PASSED"/>
  </r>
  <r>
    <s v="EMPLOYEES"/>
    <x v="0"/>
    <x v="0"/>
    <x v="2"/>
    <s v="Y"/>
    <x v="11"/>
    <n v="12"/>
    <n v="5"/>
    <n v="5"/>
    <n v="0"/>
    <n v="10"/>
    <n v="5"/>
    <s v="PASSED"/>
  </r>
  <r>
    <s v="EMPLOYEES"/>
    <x v="0"/>
    <x v="0"/>
    <x v="3"/>
    <s v="Y"/>
    <x v="11"/>
    <n v="12"/>
    <n v="9"/>
    <n v="9"/>
    <n v="0"/>
    <n v="10"/>
    <n v="5"/>
    <s v="PASSED"/>
  </r>
  <r>
    <s v="EMPLOYEES"/>
    <x v="0"/>
    <x v="0"/>
    <x v="4"/>
    <s v="Y"/>
    <x v="11"/>
    <n v="12"/>
    <n v="0"/>
    <n v="0"/>
    <n v="0"/>
    <n v="10"/>
    <n v="5"/>
    <s v="PASSED"/>
  </r>
  <r>
    <s v="EMPLOYEES"/>
    <x v="0"/>
    <x v="0"/>
    <x v="5"/>
    <s v="Y"/>
    <x v="11"/>
    <n v="12"/>
    <n v="0"/>
    <n v="0"/>
    <n v="0"/>
    <n v="10"/>
    <n v="5"/>
    <s v="PASSED"/>
  </r>
  <r>
    <s v="EMPLOYEES"/>
    <x v="0"/>
    <x v="0"/>
    <x v="6"/>
    <s v="Y"/>
    <x v="11"/>
    <n v="12"/>
    <n v="0"/>
    <n v="0"/>
    <n v="0"/>
    <n v="10"/>
    <n v="5"/>
    <s v="PASSED"/>
  </r>
  <r>
    <s v="EMPLOYEES"/>
    <x v="0"/>
    <x v="0"/>
    <x v="7"/>
    <s v="Y"/>
    <x v="11"/>
    <n v="12"/>
    <n v="0"/>
    <n v="0"/>
    <n v="0"/>
    <n v="10"/>
    <n v="5"/>
    <s v="PASSED"/>
  </r>
  <r>
    <s v="EMPLOYEES"/>
    <x v="0"/>
    <x v="0"/>
    <x v="8"/>
    <s v="Y"/>
    <x v="11"/>
    <n v="12"/>
    <n v="0"/>
    <n v="0"/>
    <n v="0"/>
    <n v="10"/>
    <n v="5"/>
    <s v="PASSED"/>
  </r>
  <r>
    <s v="EMPLOYEES"/>
    <x v="0"/>
    <x v="0"/>
    <x v="9"/>
    <s v="Y"/>
    <x v="11"/>
    <n v="12"/>
    <n v="0"/>
    <n v="0"/>
    <n v="0"/>
    <n v="10"/>
    <n v="5"/>
    <s v="PASSED"/>
  </r>
  <r>
    <s v="EMPLOYEES"/>
    <x v="0"/>
    <x v="0"/>
    <x v="10"/>
    <s v="Y"/>
    <x v="11"/>
    <n v="12"/>
    <n v="0"/>
    <n v="0"/>
    <n v="0"/>
    <n v="10"/>
    <n v="5"/>
    <s v="PASSED"/>
  </r>
  <r>
    <s v="EMPLOYEES"/>
    <x v="0"/>
    <x v="0"/>
    <x v="11"/>
    <s v="Y"/>
    <x v="11"/>
    <n v="12"/>
    <n v="0"/>
    <n v="0"/>
    <n v="0"/>
    <n v="10"/>
    <n v="5"/>
    <s v="PASSED"/>
  </r>
  <r>
    <s v="EMPLOYEES"/>
    <x v="0"/>
    <x v="0"/>
    <x v="12"/>
    <s v="Y"/>
    <x v="11"/>
    <n v="12"/>
    <n v="0"/>
    <n v="0"/>
    <n v="0"/>
    <n v="10"/>
    <n v="5"/>
    <s v="PASSED"/>
  </r>
  <r>
    <s v="EMPLOYEES"/>
    <x v="0"/>
    <x v="0"/>
    <x v="13"/>
    <s v="Y"/>
    <x v="11"/>
    <n v="12"/>
    <n v="0"/>
    <n v="0"/>
    <n v="0"/>
    <n v="10"/>
    <n v="5"/>
    <s v="PASSED"/>
  </r>
  <r>
    <s v="EMPLOYEES"/>
    <x v="0"/>
    <x v="0"/>
    <x v="14"/>
    <s v="N"/>
    <x v="11"/>
    <n v="12"/>
    <n v="0"/>
    <n v="0"/>
    <n v="0"/>
    <n v="10"/>
    <n v="5"/>
    <s v="PASSED"/>
  </r>
  <r>
    <s v="EMPLOYEES"/>
    <x v="0"/>
    <x v="0"/>
    <x v="15"/>
    <s v="N"/>
    <x v="11"/>
    <n v="12"/>
    <n v="0"/>
    <n v="0"/>
    <n v="0"/>
    <n v="10"/>
    <n v="5"/>
    <s v="PASSED"/>
  </r>
  <r>
    <s v="EMPLOYEES"/>
    <x v="0"/>
    <x v="0"/>
    <x v="16"/>
    <s v="N"/>
    <x v="11"/>
    <n v="12"/>
    <n v="0"/>
    <n v="0"/>
    <n v="0"/>
    <n v="10"/>
    <n v="5"/>
    <s v="PASSED"/>
  </r>
  <r>
    <s v="EMPLOYEES"/>
    <x v="0"/>
    <x v="0"/>
    <x v="0"/>
    <s v="Y"/>
    <x v="12"/>
    <n v="13"/>
    <n v="127602"/>
    <n v="127602"/>
    <n v="0"/>
    <n v="10"/>
    <n v="5"/>
    <s v="PASSED"/>
  </r>
  <r>
    <s v="EMPLOYEES"/>
    <x v="0"/>
    <x v="0"/>
    <x v="1"/>
    <s v="Y"/>
    <x v="12"/>
    <n v="13"/>
    <n v="88976"/>
    <n v="88976"/>
    <n v="0"/>
    <n v="10"/>
    <n v="5"/>
    <s v="PASSED"/>
  </r>
  <r>
    <s v="EMPLOYEES"/>
    <x v="0"/>
    <x v="0"/>
    <x v="2"/>
    <s v="Y"/>
    <x v="12"/>
    <n v="13"/>
    <n v="91366"/>
    <n v="91366"/>
    <n v="0"/>
    <n v="10"/>
    <n v="5"/>
    <s v="PASSED"/>
  </r>
  <r>
    <s v="EMPLOYEES"/>
    <x v="0"/>
    <x v="0"/>
    <x v="3"/>
    <s v="Y"/>
    <x v="12"/>
    <n v="13"/>
    <n v="113524"/>
    <n v="113524"/>
    <n v="0"/>
    <n v="10"/>
    <n v="5"/>
    <s v="PASSED"/>
  </r>
  <r>
    <s v="EMPLOYEES"/>
    <x v="0"/>
    <x v="0"/>
    <x v="4"/>
    <s v="Y"/>
    <x v="12"/>
    <n v="13"/>
    <n v="55847"/>
    <n v="55847"/>
    <n v="0"/>
    <n v="10"/>
    <n v="5"/>
    <s v="PASSED"/>
  </r>
  <r>
    <s v="EMPLOYEES"/>
    <x v="0"/>
    <x v="0"/>
    <x v="5"/>
    <s v="Y"/>
    <x v="12"/>
    <n v="13"/>
    <n v="70561"/>
    <n v="70561"/>
    <n v="0"/>
    <n v="10"/>
    <n v="5"/>
    <s v="PASSED"/>
  </r>
  <r>
    <s v="EMPLOYEES"/>
    <x v="0"/>
    <x v="0"/>
    <x v="6"/>
    <s v="Y"/>
    <x v="12"/>
    <n v="13"/>
    <n v="126002"/>
    <n v="126002"/>
    <n v="0"/>
    <n v="10"/>
    <n v="5"/>
    <s v="PASSED"/>
  </r>
  <r>
    <s v="EMPLOYEES"/>
    <x v="0"/>
    <x v="0"/>
    <x v="7"/>
    <s v="Y"/>
    <x v="12"/>
    <n v="13"/>
    <n v="62469"/>
    <n v="62469"/>
    <n v="0"/>
    <n v="10"/>
    <n v="5"/>
    <s v="PASSED"/>
  </r>
  <r>
    <s v="EMPLOYEES"/>
    <x v="0"/>
    <x v="0"/>
    <x v="8"/>
    <s v="Y"/>
    <x v="12"/>
    <n v="13"/>
    <n v="67990"/>
    <n v="67990"/>
    <n v="0"/>
    <n v="10"/>
    <n v="5"/>
    <s v="PASSED"/>
  </r>
  <r>
    <s v="EMPLOYEES"/>
    <x v="0"/>
    <x v="0"/>
    <x v="9"/>
    <s v="Y"/>
    <x v="12"/>
    <n v="13"/>
    <n v="61532"/>
    <n v="61532"/>
    <n v="0"/>
    <n v="10"/>
    <n v="5"/>
    <s v="PASSED"/>
  </r>
  <r>
    <s v="EMPLOYEES"/>
    <x v="0"/>
    <x v="0"/>
    <x v="10"/>
    <s v="Y"/>
    <x v="12"/>
    <n v="13"/>
    <n v="86858"/>
    <n v="86858"/>
    <n v="0"/>
    <n v="10"/>
    <n v="5"/>
    <s v="PASSED"/>
  </r>
  <r>
    <s v="EMPLOYEES"/>
    <x v="0"/>
    <x v="0"/>
    <x v="11"/>
    <s v="Y"/>
    <x v="12"/>
    <n v="13"/>
    <n v="75212"/>
    <n v="75212"/>
    <n v="0"/>
    <n v="10"/>
    <n v="5"/>
    <s v="PASSED"/>
  </r>
  <r>
    <s v="EMPLOYEES"/>
    <x v="0"/>
    <x v="0"/>
    <x v="12"/>
    <s v="Y"/>
    <x v="12"/>
    <n v="13"/>
    <n v="82690"/>
    <n v="82690"/>
    <n v="0"/>
    <n v="10"/>
    <n v="5"/>
    <s v="PASSED"/>
  </r>
  <r>
    <s v="EMPLOYEES"/>
    <x v="0"/>
    <x v="0"/>
    <x v="13"/>
    <s v="Y"/>
    <x v="12"/>
    <n v="13"/>
    <n v="70924"/>
    <n v="70924"/>
    <n v="0"/>
    <n v="10"/>
    <n v="5"/>
    <s v="PASSED"/>
  </r>
  <r>
    <s v="EMPLOYEES"/>
    <x v="0"/>
    <x v="0"/>
    <x v="14"/>
    <s v="N"/>
    <x v="12"/>
    <n v="13"/>
    <n v="123806"/>
    <n v="123806"/>
    <n v="0"/>
    <n v="10"/>
    <n v="5"/>
    <s v="PASSED"/>
  </r>
  <r>
    <s v="EMPLOYEES"/>
    <x v="0"/>
    <x v="0"/>
    <x v="15"/>
    <s v="N"/>
    <x v="12"/>
    <n v="13"/>
    <n v="66874"/>
    <n v="66874"/>
    <n v="0"/>
    <n v="10"/>
    <n v="5"/>
    <s v="PASSED"/>
  </r>
  <r>
    <s v="EMPLOYEES"/>
    <x v="0"/>
    <x v="0"/>
    <x v="16"/>
    <s v="N"/>
    <x v="12"/>
    <n v="13"/>
    <n v="64171"/>
    <n v="64171"/>
    <n v="0"/>
    <n v="10"/>
    <n v="5"/>
    <s v="PASSED"/>
  </r>
  <r>
    <s v="EMPLOYEES"/>
    <x v="0"/>
    <x v="0"/>
    <x v="0"/>
    <s v="Y"/>
    <x v="13"/>
    <n v="14"/>
    <n v="207"/>
    <n v="207"/>
    <n v="0"/>
    <n v="10"/>
    <n v="5"/>
    <s v="PASSED"/>
  </r>
  <r>
    <s v="EMPLOYEES"/>
    <x v="0"/>
    <x v="0"/>
    <x v="1"/>
    <s v="Y"/>
    <x v="13"/>
    <n v="14"/>
    <n v="172"/>
    <n v="172"/>
    <n v="0"/>
    <n v="10"/>
    <n v="5"/>
    <s v="PASSED"/>
  </r>
  <r>
    <s v="EMPLOYEES"/>
    <x v="0"/>
    <x v="0"/>
    <x v="2"/>
    <s v="Y"/>
    <x v="13"/>
    <n v="14"/>
    <n v="212"/>
    <n v="212"/>
    <n v="0"/>
    <n v="10"/>
    <n v="5"/>
    <s v="PASSED"/>
  </r>
  <r>
    <s v="EMPLOYEES"/>
    <x v="0"/>
    <x v="0"/>
    <x v="3"/>
    <s v="Y"/>
    <x v="13"/>
    <n v="14"/>
    <n v="261"/>
    <n v="261"/>
    <n v="0"/>
    <n v="10"/>
    <n v="5"/>
    <s v="PASSED"/>
  </r>
  <r>
    <s v="EMPLOYEES"/>
    <x v="0"/>
    <x v="0"/>
    <x v="4"/>
    <s v="Y"/>
    <x v="13"/>
    <n v="14"/>
    <n v="156"/>
    <n v="156"/>
    <n v="0"/>
    <n v="10"/>
    <n v="5"/>
    <s v="PASSED"/>
  </r>
  <r>
    <s v="EMPLOYEES"/>
    <x v="0"/>
    <x v="0"/>
    <x v="5"/>
    <s v="Y"/>
    <x v="13"/>
    <n v="14"/>
    <n v="171"/>
    <n v="171"/>
    <n v="0"/>
    <n v="10"/>
    <n v="5"/>
    <s v="PASSED"/>
  </r>
  <r>
    <s v="EMPLOYEES"/>
    <x v="0"/>
    <x v="0"/>
    <x v="6"/>
    <s v="Y"/>
    <x v="13"/>
    <n v="14"/>
    <n v="244"/>
    <n v="244"/>
    <n v="0"/>
    <n v="10"/>
    <n v="5"/>
    <s v="PASSED"/>
  </r>
  <r>
    <s v="EMPLOYEES"/>
    <x v="0"/>
    <x v="0"/>
    <x v="7"/>
    <s v="Y"/>
    <x v="13"/>
    <n v="14"/>
    <n v="160"/>
    <n v="160"/>
    <n v="0"/>
    <n v="10"/>
    <n v="5"/>
    <s v="PASSED"/>
  </r>
  <r>
    <s v="EMPLOYEES"/>
    <x v="0"/>
    <x v="0"/>
    <x v="8"/>
    <s v="Y"/>
    <x v="13"/>
    <n v="14"/>
    <n v="154"/>
    <n v="154"/>
    <n v="0"/>
    <n v="10"/>
    <n v="5"/>
    <s v="PASSED"/>
  </r>
  <r>
    <s v="EMPLOYEES"/>
    <x v="0"/>
    <x v="0"/>
    <x v="9"/>
    <s v="Y"/>
    <x v="13"/>
    <n v="14"/>
    <n v="141"/>
    <n v="141"/>
    <n v="0"/>
    <n v="10"/>
    <n v="5"/>
    <s v="PASSED"/>
  </r>
  <r>
    <s v="EMPLOYEES"/>
    <x v="0"/>
    <x v="0"/>
    <x v="10"/>
    <s v="Y"/>
    <x v="13"/>
    <n v="14"/>
    <n v="192"/>
    <n v="192"/>
    <n v="0"/>
    <n v="10"/>
    <n v="5"/>
    <s v="PASSED"/>
  </r>
  <r>
    <s v="EMPLOYEES"/>
    <x v="0"/>
    <x v="0"/>
    <x v="11"/>
    <s v="Y"/>
    <x v="13"/>
    <n v="14"/>
    <n v="179"/>
    <n v="179"/>
    <n v="0"/>
    <n v="10"/>
    <n v="5"/>
    <s v="PASSED"/>
  </r>
  <r>
    <s v="EMPLOYEES"/>
    <x v="0"/>
    <x v="0"/>
    <x v="12"/>
    <s v="Y"/>
    <x v="13"/>
    <n v="14"/>
    <n v="190"/>
    <n v="190"/>
    <n v="0"/>
    <n v="10"/>
    <n v="5"/>
    <s v="PASSED"/>
  </r>
  <r>
    <s v="EMPLOYEES"/>
    <x v="0"/>
    <x v="0"/>
    <x v="13"/>
    <s v="Y"/>
    <x v="13"/>
    <n v="14"/>
    <n v="187"/>
    <n v="187"/>
    <n v="0"/>
    <n v="10"/>
    <n v="5"/>
    <s v="PASSED"/>
  </r>
  <r>
    <s v="EMPLOYEES"/>
    <x v="0"/>
    <x v="0"/>
    <x v="14"/>
    <s v="N"/>
    <x v="13"/>
    <n v="14"/>
    <n v="262"/>
    <n v="262"/>
    <n v="0"/>
    <n v="10"/>
    <n v="5"/>
    <s v="PASSED"/>
  </r>
  <r>
    <s v="EMPLOYEES"/>
    <x v="0"/>
    <x v="0"/>
    <x v="15"/>
    <s v="N"/>
    <x v="13"/>
    <n v="14"/>
    <n v="150"/>
    <n v="150"/>
    <n v="0"/>
    <n v="10"/>
    <n v="5"/>
    <s v="PASSED"/>
  </r>
  <r>
    <s v="EMPLOYEES"/>
    <x v="0"/>
    <x v="0"/>
    <x v="16"/>
    <s v="N"/>
    <x v="13"/>
    <n v="14"/>
    <n v="141"/>
    <n v="141"/>
    <n v="0"/>
    <n v="10"/>
    <n v="5"/>
    <s v="PASSED"/>
  </r>
  <r>
    <s v="EMPLOYEES"/>
    <x v="0"/>
    <x v="0"/>
    <x v="0"/>
    <s v="Y"/>
    <x v="14"/>
    <n v="15"/>
    <n v="198291"/>
    <n v="198291"/>
    <n v="0"/>
    <n v="10"/>
    <n v="5"/>
    <s v="PASSED"/>
  </r>
  <r>
    <s v="EMPLOYEES"/>
    <x v="0"/>
    <x v="0"/>
    <x v="1"/>
    <s v="Y"/>
    <x v="14"/>
    <n v="15"/>
    <n v="247231"/>
    <n v="247231"/>
    <n v="0"/>
    <n v="10"/>
    <n v="5"/>
    <s v="PASSED"/>
  </r>
  <r>
    <s v="EMPLOYEES"/>
    <x v="0"/>
    <x v="0"/>
    <x v="2"/>
    <s v="Y"/>
    <x v="14"/>
    <n v="15"/>
    <n v="219396"/>
    <n v="219396"/>
    <n v="0"/>
    <n v="10"/>
    <n v="5"/>
    <s v="PASSED"/>
  </r>
  <r>
    <s v="EMPLOYEES"/>
    <x v="0"/>
    <x v="0"/>
    <x v="3"/>
    <s v="Y"/>
    <x v="14"/>
    <n v="15"/>
    <n v="215632"/>
    <n v="215632"/>
    <n v="0"/>
    <n v="10"/>
    <n v="5"/>
    <s v="PASSED"/>
  </r>
  <r>
    <s v="EMPLOYEES"/>
    <x v="0"/>
    <x v="0"/>
    <x v="4"/>
    <s v="Y"/>
    <x v="14"/>
    <n v="15"/>
    <n v="234054"/>
    <n v="234054"/>
    <n v="0"/>
    <n v="10"/>
    <n v="5"/>
    <s v="PASSED"/>
  </r>
  <r>
    <s v="EMPLOYEES"/>
    <x v="0"/>
    <x v="0"/>
    <x v="5"/>
    <s v="Y"/>
    <x v="14"/>
    <n v="15"/>
    <n v="195858"/>
    <n v="195858"/>
    <n v="0"/>
    <n v="10"/>
    <n v="5"/>
    <s v="PASSED"/>
  </r>
  <r>
    <s v="EMPLOYEES"/>
    <x v="0"/>
    <x v="0"/>
    <x v="6"/>
    <s v="Y"/>
    <x v="14"/>
    <n v="15"/>
    <n v="194675"/>
    <n v="194675"/>
    <n v="0"/>
    <n v="10"/>
    <n v="5"/>
    <s v="PASSED"/>
  </r>
  <r>
    <s v="EMPLOYEES"/>
    <x v="0"/>
    <x v="0"/>
    <x v="7"/>
    <s v="Y"/>
    <x v="14"/>
    <n v="15"/>
    <n v="278054"/>
    <n v="278054"/>
    <n v="0"/>
    <n v="10"/>
    <n v="5"/>
    <s v="PASSED"/>
  </r>
  <r>
    <s v="EMPLOYEES"/>
    <x v="0"/>
    <x v="0"/>
    <x v="8"/>
    <s v="Y"/>
    <x v="14"/>
    <n v="15"/>
    <n v="209462"/>
    <n v="209462"/>
    <n v="0"/>
    <n v="10"/>
    <n v="5"/>
    <s v="PASSED"/>
  </r>
  <r>
    <s v="EMPLOYEES"/>
    <x v="0"/>
    <x v="0"/>
    <x v="9"/>
    <s v="Y"/>
    <x v="14"/>
    <n v="15"/>
    <n v="234459"/>
    <n v="234459"/>
    <n v="0"/>
    <n v="10"/>
    <n v="5"/>
    <s v="PASSED"/>
  </r>
  <r>
    <s v="EMPLOYEES"/>
    <x v="0"/>
    <x v="0"/>
    <x v="10"/>
    <s v="Y"/>
    <x v="14"/>
    <n v="15"/>
    <n v="320267"/>
    <n v="320267"/>
    <n v="0"/>
    <n v="10"/>
    <n v="5"/>
    <s v="PASSED"/>
  </r>
  <r>
    <s v="EMPLOYEES"/>
    <x v="0"/>
    <x v="0"/>
    <x v="11"/>
    <s v="Y"/>
    <x v="14"/>
    <n v="15"/>
    <n v="167747"/>
    <n v="167747"/>
    <n v="0"/>
    <n v="10"/>
    <n v="5"/>
    <s v="PASSED"/>
  </r>
  <r>
    <s v="EMPLOYEES"/>
    <x v="0"/>
    <x v="0"/>
    <x v="12"/>
    <s v="Y"/>
    <x v="14"/>
    <n v="15"/>
    <n v="276784"/>
    <n v="276784"/>
    <n v="0"/>
    <n v="10"/>
    <n v="5"/>
    <s v="PASSED"/>
  </r>
  <r>
    <s v="EMPLOYEES"/>
    <x v="0"/>
    <x v="0"/>
    <x v="13"/>
    <s v="Y"/>
    <x v="14"/>
    <n v="15"/>
    <n v="322042"/>
    <n v="322042"/>
    <n v="0"/>
    <n v="10"/>
    <n v="5"/>
    <s v="PASSED"/>
  </r>
  <r>
    <s v="EMPLOYEES"/>
    <x v="0"/>
    <x v="0"/>
    <x v="14"/>
    <s v="N"/>
    <x v="14"/>
    <n v="15"/>
    <n v="342628"/>
    <n v="342628"/>
    <n v="0"/>
    <n v="10"/>
    <n v="5"/>
    <s v="PASSED"/>
  </r>
  <r>
    <s v="EMPLOYEES"/>
    <x v="0"/>
    <x v="0"/>
    <x v="15"/>
    <s v="N"/>
    <x v="14"/>
    <n v="15"/>
    <n v="298781"/>
    <n v="298781"/>
    <n v="0"/>
    <n v="10"/>
    <n v="5"/>
    <s v="PASSED"/>
  </r>
  <r>
    <s v="EMPLOYEES"/>
    <x v="0"/>
    <x v="0"/>
    <x v="16"/>
    <s v="N"/>
    <x v="14"/>
    <n v="15"/>
    <n v="253911"/>
    <n v="253911"/>
    <n v="0"/>
    <n v="10"/>
    <n v="5"/>
    <s v="PASSED"/>
  </r>
  <r>
    <s v="EMPLOYEES"/>
    <x v="0"/>
    <x v="0"/>
    <x v="0"/>
    <s v="Y"/>
    <x v="15"/>
    <n v="16"/>
    <n v="0.87"/>
    <n v="0.87"/>
    <n v="0"/>
    <n v="10"/>
    <n v="5"/>
    <s v="PASSED"/>
  </r>
  <r>
    <s v="EMPLOYEES"/>
    <x v="0"/>
    <x v="0"/>
    <x v="1"/>
    <s v="Y"/>
    <x v="15"/>
    <n v="16"/>
    <n v="0.87"/>
    <n v="0.87"/>
    <n v="0"/>
    <n v="10"/>
    <n v="5"/>
    <s v="PASSED"/>
  </r>
  <r>
    <s v="EMPLOYEES"/>
    <x v="0"/>
    <x v="0"/>
    <x v="2"/>
    <s v="Y"/>
    <x v="15"/>
    <n v="16"/>
    <n v="0.87"/>
    <n v="0.87"/>
    <n v="0"/>
    <n v="10"/>
    <n v="5"/>
    <s v="PASSED"/>
  </r>
  <r>
    <s v="EMPLOYEES"/>
    <x v="0"/>
    <x v="0"/>
    <x v="3"/>
    <s v="Y"/>
    <x v="15"/>
    <n v="16"/>
    <n v="0.86"/>
    <n v="0.86"/>
    <n v="0"/>
    <n v="10"/>
    <n v="5"/>
    <s v="PASSED"/>
  </r>
  <r>
    <s v="EMPLOYEES"/>
    <x v="0"/>
    <x v="0"/>
    <x v="4"/>
    <s v="Y"/>
    <x v="15"/>
    <n v="16"/>
    <n v="0.88"/>
    <n v="0.88"/>
    <n v="0"/>
    <n v="10"/>
    <n v="5"/>
    <s v="PASSED"/>
  </r>
  <r>
    <s v="EMPLOYEES"/>
    <x v="0"/>
    <x v="0"/>
    <x v="5"/>
    <s v="Y"/>
    <x v="15"/>
    <n v="16"/>
    <n v="0.88"/>
    <n v="0.88"/>
    <n v="0"/>
    <n v="10"/>
    <n v="5"/>
    <s v="PASSED"/>
  </r>
  <r>
    <s v="EMPLOYEES"/>
    <x v="0"/>
    <x v="0"/>
    <x v="6"/>
    <s v="Y"/>
    <x v="15"/>
    <n v="16"/>
    <n v="0.87"/>
    <n v="0.87"/>
    <n v="0"/>
    <n v="10"/>
    <n v="5"/>
    <s v="PASSED"/>
  </r>
  <r>
    <s v="EMPLOYEES"/>
    <x v="0"/>
    <x v="0"/>
    <x v="7"/>
    <s v="Y"/>
    <x v="15"/>
    <n v="16"/>
    <n v="0.87"/>
    <n v="0.87"/>
    <n v="0"/>
    <n v="10"/>
    <n v="5"/>
    <s v="PASSED"/>
  </r>
  <r>
    <s v="EMPLOYEES"/>
    <x v="0"/>
    <x v="0"/>
    <x v="8"/>
    <s v="Y"/>
    <x v="15"/>
    <n v="16"/>
    <n v="0.89"/>
    <n v="0.89"/>
    <n v="0"/>
    <n v="10"/>
    <n v="5"/>
    <s v="PASSED"/>
  </r>
  <r>
    <s v="EMPLOYEES"/>
    <x v="0"/>
    <x v="0"/>
    <x v="9"/>
    <s v="Y"/>
    <x v="15"/>
    <n v="16"/>
    <n v="0.89"/>
    <n v="0.89"/>
    <n v="0"/>
    <n v="10"/>
    <n v="5"/>
    <s v="PASSED"/>
  </r>
  <r>
    <s v="EMPLOYEES"/>
    <x v="0"/>
    <x v="0"/>
    <x v="10"/>
    <s v="Y"/>
    <x v="15"/>
    <n v="16"/>
    <n v="0.88"/>
    <n v="0.88"/>
    <n v="0"/>
    <n v="10"/>
    <n v="5"/>
    <s v="PASSED"/>
  </r>
  <r>
    <s v="EMPLOYEES"/>
    <x v="0"/>
    <x v="0"/>
    <x v="11"/>
    <s v="Y"/>
    <x v="15"/>
    <n v="16"/>
    <n v="0.89"/>
    <n v="0.89"/>
    <n v="0"/>
    <n v="10"/>
    <n v="5"/>
    <s v="PASSED"/>
  </r>
  <r>
    <s v="EMPLOYEES"/>
    <x v="0"/>
    <x v="0"/>
    <x v="12"/>
    <s v="Y"/>
    <x v="15"/>
    <n v="16"/>
    <n v="0.88"/>
    <n v="0.88"/>
    <n v="0"/>
    <n v="10"/>
    <n v="5"/>
    <s v="PASSED"/>
  </r>
  <r>
    <s v="EMPLOYEES"/>
    <x v="0"/>
    <x v="0"/>
    <x v="13"/>
    <s v="Y"/>
    <x v="15"/>
    <n v="16"/>
    <n v="0.9"/>
    <n v="0.9"/>
    <n v="0"/>
    <n v="10"/>
    <n v="5"/>
    <s v="PASSED"/>
  </r>
  <r>
    <s v="EMPLOYEES"/>
    <x v="0"/>
    <x v="0"/>
    <x v="14"/>
    <s v="N"/>
    <x v="15"/>
    <n v="16"/>
    <n v="0.89"/>
    <n v="0.89"/>
    <n v="0"/>
    <n v="10"/>
    <n v="5"/>
    <s v="PASSED"/>
  </r>
  <r>
    <s v="EMPLOYEES"/>
    <x v="0"/>
    <x v="0"/>
    <x v="15"/>
    <s v="N"/>
    <x v="15"/>
    <n v="16"/>
    <n v="0.89"/>
    <n v="0.89"/>
    <n v="0"/>
    <n v="10"/>
    <n v="5"/>
    <s v="PASSED"/>
  </r>
  <r>
    <s v="EMPLOYEES"/>
    <x v="0"/>
    <x v="0"/>
    <x v="16"/>
    <s v="N"/>
    <x v="15"/>
    <n v="16"/>
    <n v="0.89"/>
    <n v="0.89"/>
    <n v="0"/>
    <n v="10"/>
    <n v="5"/>
    <s v="PASSED"/>
  </r>
  <r>
    <s v="EMPLOYEES"/>
    <x v="0"/>
    <x v="0"/>
    <x v="0"/>
    <s v="Y"/>
    <x v="16"/>
    <n v="17"/>
    <n v="1245893"/>
    <n v="1245893"/>
    <n v="0"/>
    <n v="10"/>
    <n v="5"/>
    <s v="PASSED"/>
  </r>
  <r>
    <s v="EMPLOYEES"/>
    <x v="0"/>
    <x v="0"/>
    <x v="1"/>
    <s v="Y"/>
    <x v="16"/>
    <n v="17"/>
    <n v="1147946"/>
    <n v="1147946"/>
    <n v="0"/>
    <n v="10"/>
    <n v="5"/>
    <s v="PASSED"/>
  </r>
  <r>
    <s v="EMPLOYEES"/>
    <x v="0"/>
    <x v="0"/>
    <x v="2"/>
    <s v="Y"/>
    <x v="16"/>
    <n v="17"/>
    <n v="1260970"/>
    <n v="1260970"/>
    <n v="0"/>
    <n v="10"/>
    <n v="5"/>
    <s v="PASSED"/>
  </r>
  <r>
    <s v="EMPLOYEES"/>
    <x v="0"/>
    <x v="0"/>
    <x v="3"/>
    <s v="Y"/>
    <x v="16"/>
    <n v="17"/>
    <n v="1462399"/>
    <n v="1462399"/>
    <n v="0"/>
    <n v="10"/>
    <n v="5"/>
    <s v="PASSED"/>
  </r>
  <r>
    <s v="EMPLOYEES"/>
    <x v="0"/>
    <x v="0"/>
    <x v="4"/>
    <s v="Y"/>
    <x v="16"/>
    <n v="17"/>
    <n v="1375233"/>
    <n v="1375233"/>
    <n v="0"/>
    <n v="10"/>
    <n v="5"/>
    <s v="PASSED"/>
  </r>
  <r>
    <s v="EMPLOYEES"/>
    <x v="0"/>
    <x v="0"/>
    <x v="5"/>
    <s v="Y"/>
    <x v="16"/>
    <n v="17"/>
    <n v="1272216"/>
    <n v="1272216"/>
    <n v="0"/>
    <n v="10"/>
    <n v="5"/>
    <s v="PASSED"/>
  </r>
  <r>
    <s v="EMPLOYEES"/>
    <x v="0"/>
    <x v="0"/>
    <x v="6"/>
    <s v="Y"/>
    <x v="16"/>
    <n v="17"/>
    <n v="1416580"/>
    <n v="1416580"/>
    <n v="0"/>
    <n v="10"/>
    <n v="5"/>
    <s v="PASSED"/>
  </r>
  <r>
    <s v="EMPLOYEES"/>
    <x v="0"/>
    <x v="0"/>
    <x v="7"/>
    <s v="Y"/>
    <x v="16"/>
    <n v="17"/>
    <n v="1418733"/>
    <n v="1418733"/>
    <n v="0"/>
    <n v="10"/>
    <n v="5"/>
    <s v="PASSED"/>
  </r>
  <r>
    <s v="EMPLOYEES"/>
    <x v="0"/>
    <x v="0"/>
    <x v="8"/>
    <s v="Y"/>
    <x v="16"/>
    <n v="17"/>
    <n v="1367394"/>
    <n v="1367394"/>
    <n v="0"/>
    <n v="10"/>
    <n v="5"/>
    <s v="PASSED"/>
  </r>
  <r>
    <s v="EMPLOYEES"/>
    <x v="0"/>
    <x v="0"/>
    <x v="9"/>
    <s v="Y"/>
    <x v="16"/>
    <n v="17"/>
    <n v="1211213"/>
    <n v="1211213"/>
    <n v="0"/>
    <n v="10"/>
    <n v="5"/>
    <s v="PASSED"/>
  </r>
  <r>
    <s v="EMPLOYEES"/>
    <x v="0"/>
    <x v="0"/>
    <x v="10"/>
    <s v="Y"/>
    <x v="16"/>
    <n v="17"/>
    <n v="1286114"/>
    <n v="1286114"/>
    <n v="0"/>
    <n v="10"/>
    <n v="5"/>
    <s v="PASSED"/>
  </r>
  <r>
    <s v="EMPLOYEES"/>
    <x v="0"/>
    <x v="0"/>
    <x v="11"/>
    <s v="Y"/>
    <x v="16"/>
    <n v="17"/>
    <n v="1465114"/>
    <n v="1465114"/>
    <n v="0"/>
    <n v="10"/>
    <n v="5"/>
    <s v="PASSED"/>
  </r>
  <r>
    <s v="EMPLOYEES"/>
    <x v="0"/>
    <x v="0"/>
    <x v="12"/>
    <s v="Y"/>
    <x v="16"/>
    <n v="17"/>
    <n v="1398846"/>
    <n v="1398846"/>
    <n v="0"/>
    <n v="10"/>
    <n v="5"/>
    <s v="PASSED"/>
  </r>
  <r>
    <s v="EMPLOYEES"/>
    <x v="0"/>
    <x v="0"/>
    <x v="13"/>
    <s v="Y"/>
    <x v="16"/>
    <n v="17"/>
    <n v="1308201"/>
    <n v="1308201"/>
    <n v="0"/>
    <n v="10"/>
    <n v="5"/>
    <s v="PASSED"/>
  </r>
  <r>
    <s v="EMPLOYEES"/>
    <x v="0"/>
    <x v="0"/>
    <x v="14"/>
    <s v="N"/>
    <x v="16"/>
    <n v="17"/>
    <n v="1353265"/>
    <n v="1353265"/>
    <n v="0"/>
    <n v="10"/>
    <n v="5"/>
    <s v="PASSED"/>
  </r>
  <r>
    <s v="EMPLOYEES"/>
    <x v="0"/>
    <x v="0"/>
    <x v="15"/>
    <s v="N"/>
    <x v="16"/>
    <n v="17"/>
    <n v="1197582"/>
    <n v="1197582"/>
    <n v="0"/>
    <n v="10"/>
    <n v="5"/>
    <s v="PASSED"/>
  </r>
  <r>
    <s v="EMPLOYEES"/>
    <x v="0"/>
    <x v="0"/>
    <x v="16"/>
    <s v="N"/>
    <x v="16"/>
    <n v="17"/>
    <n v="736347"/>
    <n v="736347"/>
    <n v="0"/>
    <n v="10"/>
    <n v="5"/>
    <s v="PASSED"/>
  </r>
  <r>
    <s v="EMPLOYEES"/>
    <x v="0"/>
    <x v="0"/>
    <x v="0"/>
    <s v="Y"/>
    <x v="17"/>
    <n v="18"/>
    <n v="487.37"/>
    <n v="487.37"/>
    <n v="0"/>
    <n v="10"/>
    <n v="5"/>
    <s v="PASSED"/>
  </r>
  <r>
    <s v="EMPLOYEES"/>
    <x v="0"/>
    <x v="0"/>
    <x v="1"/>
    <s v="Y"/>
    <x v="17"/>
    <n v="18"/>
    <n v="487.9"/>
    <n v="487.9"/>
    <n v="0"/>
    <n v="10"/>
    <n v="5"/>
    <s v="PASSED"/>
  </r>
  <r>
    <s v="EMPLOYEES"/>
    <x v="0"/>
    <x v="0"/>
    <x v="2"/>
    <s v="Y"/>
    <x v="17"/>
    <n v="18"/>
    <n v="487.39"/>
    <n v="487.39"/>
    <n v="0"/>
    <n v="10"/>
    <n v="5"/>
    <s v="PASSED"/>
  </r>
  <r>
    <s v="EMPLOYEES"/>
    <x v="0"/>
    <x v="0"/>
    <x v="3"/>
    <s v="Y"/>
    <x v="17"/>
    <n v="18"/>
    <n v="481.63"/>
    <n v="481.63"/>
    <n v="0"/>
    <n v="10"/>
    <n v="5"/>
    <s v="PASSED"/>
  </r>
  <r>
    <s v="EMPLOYEES"/>
    <x v="0"/>
    <x v="0"/>
    <x v="4"/>
    <s v="Y"/>
    <x v="17"/>
    <n v="18"/>
    <n v="481"/>
    <n v="481"/>
    <n v="0"/>
    <n v="10"/>
    <n v="5"/>
    <s v="PASSED"/>
  </r>
  <r>
    <s v="EMPLOYEES"/>
    <x v="0"/>
    <x v="0"/>
    <x v="5"/>
    <s v="Y"/>
    <x v="17"/>
    <n v="18"/>
    <n v="473.84"/>
    <n v="473.84"/>
    <n v="0"/>
    <n v="10"/>
    <n v="5"/>
    <s v="PASSED"/>
  </r>
  <r>
    <s v="EMPLOYEES"/>
    <x v="0"/>
    <x v="0"/>
    <x v="6"/>
    <s v="Y"/>
    <x v="17"/>
    <n v="18"/>
    <n v="473.17"/>
    <n v="473.17"/>
    <n v="0"/>
    <n v="10"/>
    <n v="5"/>
    <s v="PASSED"/>
  </r>
  <r>
    <s v="EMPLOYEES"/>
    <x v="0"/>
    <x v="0"/>
    <x v="7"/>
    <s v="Y"/>
    <x v="17"/>
    <n v="18"/>
    <n v="477.7"/>
    <n v="477.7"/>
    <n v="0"/>
    <n v="10"/>
    <n v="5"/>
    <s v="PASSED"/>
  </r>
  <r>
    <s v="EMPLOYEES"/>
    <x v="0"/>
    <x v="0"/>
    <x v="8"/>
    <s v="Y"/>
    <x v="17"/>
    <n v="18"/>
    <n v="477.14"/>
    <n v="477.14"/>
    <n v="0"/>
    <n v="10"/>
    <n v="5"/>
    <s v="PASSED"/>
  </r>
  <r>
    <s v="EMPLOYEES"/>
    <x v="0"/>
    <x v="0"/>
    <x v="9"/>
    <s v="Y"/>
    <x v="17"/>
    <n v="18"/>
    <n v="478.23"/>
    <n v="478.23"/>
    <n v="0"/>
    <n v="10"/>
    <n v="5"/>
    <s v="PASSED"/>
  </r>
  <r>
    <s v="EMPLOYEES"/>
    <x v="0"/>
    <x v="0"/>
    <x v="10"/>
    <s v="Y"/>
    <x v="17"/>
    <n v="18"/>
    <n v="474.77"/>
    <n v="474.77"/>
    <n v="0"/>
    <n v="10"/>
    <n v="5"/>
    <s v="PASSED"/>
  </r>
  <r>
    <s v="EMPLOYEES"/>
    <x v="0"/>
    <x v="0"/>
    <x v="11"/>
    <s v="Y"/>
    <x v="17"/>
    <n v="18"/>
    <n v="476.17"/>
    <n v="476.17"/>
    <n v="0"/>
    <n v="10"/>
    <n v="5"/>
    <s v="PASSED"/>
  </r>
  <r>
    <s v="EMPLOYEES"/>
    <x v="0"/>
    <x v="0"/>
    <x v="12"/>
    <s v="Y"/>
    <x v="17"/>
    <n v="18"/>
    <n v="478.57"/>
    <n v="478.57"/>
    <n v="0"/>
    <n v="10"/>
    <n v="5"/>
    <s v="PASSED"/>
  </r>
  <r>
    <s v="EMPLOYEES"/>
    <x v="0"/>
    <x v="0"/>
    <x v="13"/>
    <s v="Y"/>
    <x v="17"/>
    <n v="18"/>
    <n v="471.22"/>
    <n v="471.22"/>
    <n v="0"/>
    <n v="10"/>
    <n v="5"/>
    <s v="PASSED"/>
  </r>
  <r>
    <s v="EMPLOYEES"/>
    <x v="0"/>
    <x v="0"/>
    <x v="14"/>
    <s v="N"/>
    <x v="17"/>
    <n v="18"/>
    <n v="466.23"/>
    <n v="466.23"/>
    <n v="0"/>
    <n v="10"/>
    <n v="5"/>
    <s v="PASSED"/>
  </r>
  <r>
    <s v="EMPLOYEES"/>
    <x v="0"/>
    <x v="0"/>
    <x v="15"/>
    <s v="N"/>
    <x v="17"/>
    <n v="18"/>
    <n v="464.29"/>
    <n v="464.29"/>
    <n v="0"/>
    <n v="10"/>
    <n v="5"/>
    <s v="PASSED"/>
  </r>
  <r>
    <s v="EMPLOYEES"/>
    <x v="0"/>
    <x v="0"/>
    <x v="16"/>
    <s v="N"/>
    <x v="17"/>
    <n v="18"/>
    <n v="460.05"/>
    <n v="460.05"/>
    <n v="0"/>
    <n v="10"/>
    <n v="5"/>
    <s v="PASSED"/>
  </r>
  <r>
    <s v="EMPLOYEES"/>
    <x v="0"/>
    <x v="0"/>
    <x v="0"/>
    <s v="Y"/>
    <x v="18"/>
    <n v="19"/>
    <n v="425"/>
    <n v="425"/>
    <n v="0"/>
    <n v="10"/>
    <n v="5"/>
    <s v="PASSED"/>
  </r>
  <r>
    <s v="EMPLOYEES"/>
    <x v="0"/>
    <x v="0"/>
    <x v="1"/>
    <s v="Y"/>
    <x v="18"/>
    <n v="19"/>
    <n v="341"/>
    <n v="341"/>
    <n v="0"/>
    <n v="10"/>
    <n v="5"/>
    <s v="PASSED"/>
  </r>
  <r>
    <s v="EMPLOYEES"/>
    <x v="0"/>
    <x v="0"/>
    <x v="2"/>
    <s v="Y"/>
    <x v="18"/>
    <n v="19"/>
    <n v="234"/>
    <n v="234"/>
    <n v="0"/>
    <n v="10"/>
    <n v="5"/>
    <s v="PASSED"/>
  </r>
  <r>
    <s v="EMPLOYEES"/>
    <x v="0"/>
    <x v="0"/>
    <x v="3"/>
    <s v="Y"/>
    <x v="18"/>
    <n v="19"/>
    <n v="326"/>
    <n v="326"/>
    <n v="0"/>
    <n v="10"/>
    <n v="5"/>
    <s v="PASSED"/>
  </r>
  <r>
    <s v="EMPLOYEES"/>
    <x v="0"/>
    <x v="0"/>
    <x v="4"/>
    <s v="Y"/>
    <x v="18"/>
    <n v="19"/>
    <n v="343"/>
    <n v="343"/>
    <n v="0"/>
    <n v="10"/>
    <n v="5"/>
    <s v="PASSED"/>
  </r>
  <r>
    <s v="EMPLOYEES"/>
    <x v="0"/>
    <x v="0"/>
    <x v="5"/>
    <s v="Y"/>
    <x v="18"/>
    <n v="19"/>
    <n v="212"/>
    <n v="212"/>
    <n v="0"/>
    <n v="10"/>
    <n v="5"/>
    <s v="PASSED"/>
  </r>
  <r>
    <s v="EMPLOYEES"/>
    <x v="0"/>
    <x v="0"/>
    <x v="6"/>
    <s v="Y"/>
    <x v="18"/>
    <n v="19"/>
    <n v="423"/>
    <n v="423"/>
    <n v="0"/>
    <n v="10"/>
    <n v="5"/>
    <s v="PASSED"/>
  </r>
  <r>
    <s v="EMPLOYEES"/>
    <x v="0"/>
    <x v="0"/>
    <x v="7"/>
    <s v="Y"/>
    <x v="18"/>
    <n v="19"/>
    <n v="319"/>
    <n v="319"/>
    <n v="0"/>
    <n v="10"/>
    <n v="5"/>
    <s v="PASSED"/>
  </r>
  <r>
    <s v="EMPLOYEES"/>
    <x v="0"/>
    <x v="0"/>
    <x v="8"/>
    <s v="Y"/>
    <x v="18"/>
    <n v="19"/>
    <n v="317"/>
    <n v="317"/>
    <n v="0"/>
    <n v="10"/>
    <n v="5"/>
    <s v="PASSED"/>
  </r>
  <r>
    <s v="EMPLOYEES"/>
    <x v="0"/>
    <x v="0"/>
    <x v="9"/>
    <s v="Y"/>
    <x v="18"/>
    <n v="19"/>
    <n v="277"/>
    <n v="277"/>
    <n v="0"/>
    <n v="10"/>
    <n v="5"/>
    <s v="PASSED"/>
  </r>
  <r>
    <s v="EMPLOYEES"/>
    <x v="0"/>
    <x v="0"/>
    <x v="10"/>
    <s v="Y"/>
    <x v="18"/>
    <n v="19"/>
    <n v="194"/>
    <n v="194"/>
    <n v="0"/>
    <n v="10"/>
    <n v="5"/>
    <s v="PASSED"/>
  </r>
  <r>
    <s v="EMPLOYEES"/>
    <x v="0"/>
    <x v="0"/>
    <x v="11"/>
    <s v="Y"/>
    <x v="18"/>
    <n v="19"/>
    <n v="261"/>
    <n v="261"/>
    <n v="0"/>
    <n v="10"/>
    <n v="5"/>
    <s v="PASSED"/>
  </r>
  <r>
    <s v="EMPLOYEES"/>
    <x v="0"/>
    <x v="0"/>
    <x v="12"/>
    <s v="Y"/>
    <x v="18"/>
    <n v="19"/>
    <n v="206"/>
    <n v="206"/>
    <n v="0"/>
    <n v="10"/>
    <n v="5"/>
    <s v="PASSED"/>
  </r>
  <r>
    <s v="EMPLOYEES"/>
    <x v="0"/>
    <x v="0"/>
    <x v="13"/>
    <s v="Y"/>
    <x v="18"/>
    <n v="19"/>
    <n v="264"/>
    <n v="264"/>
    <n v="0"/>
    <n v="10"/>
    <n v="5"/>
    <s v="PASSED"/>
  </r>
  <r>
    <s v="EMPLOYEES"/>
    <x v="0"/>
    <x v="0"/>
    <x v="14"/>
    <s v="N"/>
    <x v="18"/>
    <n v="19"/>
    <n v="257"/>
    <n v="257"/>
    <n v="0"/>
    <n v="10"/>
    <n v="5"/>
    <s v="PASSED"/>
  </r>
  <r>
    <s v="EMPLOYEES"/>
    <x v="0"/>
    <x v="0"/>
    <x v="15"/>
    <s v="N"/>
    <x v="18"/>
    <n v="19"/>
    <n v="155"/>
    <n v="155"/>
    <n v="0"/>
    <n v="10"/>
    <n v="5"/>
    <s v="PASSED"/>
  </r>
  <r>
    <s v="EMPLOYEES"/>
    <x v="0"/>
    <x v="0"/>
    <x v="16"/>
    <s v="N"/>
    <x v="18"/>
    <n v="19"/>
    <n v="133"/>
    <n v="133"/>
    <n v="0"/>
    <n v="10"/>
    <n v="5"/>
    <s v="PASSED"/>
  </r>
  <r>
    <s v="EMPLOYEES"/>
    <x v="0"/>
    <x v="0"/>
    <x v="0"/>
    <s v="Y"/>
    <x v="19"/>
    <n v="20"/>
    <n v="3984"/>
    <n v="3984"/>
    <n v="0"/>
    <n v="10"/>
    <n v="5"/>
    <s v="PASSED"/>
  </r>
  <r>
    <s v="EMPLOYEES"/>
    <x v="0"/>
    <x v="0"/>
    <x v="1"/>
    <s v="Y"/>
    <x v="19"/>
    <n v="20"/>
    <n v="3674"/>
    <n v="3674"/>
    <n v="0"/>
    <n v="10"/>
    <n v="5"/>
    <s v="PASSED"/>
  </r>
  <r>
    <s v="EMPLOYEES"/>
    <x v="0"/>
    <x v="0"/>
    <x v="2"/>
    <s v="Y"/>
    <x v="19"/>
    <n v="20"/>
    <n v="3747"/>
    <n v="3747"/>
    <n v="0"/>
    <n v="10"/>
    <n v="5"/>
    <s v="PASSED"/>
  </r>
  <r>
    <s v="EMPLOYEES"/>
    <x v="0"/>
    <x v="0"/>
    <x v="3"/>
    <s v="Y"/>
    <x v="19"/>
    <n v="20"/>
    <n v="3976"/>
    <n v="3976"/>
    <n v="0"/>
    <n v="10"/>
    <n v="5"/>
    <s v="PASSED"/>
  </r>
  <r>
    <s v="EMPLOYEES"/>
    <x v="0"/>
    <x v="0"/>
    <x v="4"/>
    <s v="Y"/>
    <x v="19"/>
    <n v="20"/>
    <n v="3343"/>
    <n v="3343"/>
    <n v="0"/>
    <n v="10"/>
    <n v="5"/>
    <s v="PASSED"/>
  </r>
  <r>
    <s v="EMPLOYEES"/>
    <x v="0"/>
    <x v="0"/>
    <x v="5"/>
    <s v="Y"/>
    <x v="19"/>
    <n v="20"/>
    <n v="3510"/>
    <n v="3510"/>
    <n v="0"/>
    <n v="10"/>
    <n v="5"/>
    <s v="PASSED"/>
  </r>
  <r>
    <s v="EMPLOYEES"/>
    <x v="0"/>
    <x v="0"/>
    <x v="6"/>
    <s v="Y"/>
    <x v="19"/>
    <n v="20"/>
    <n v="2866"/>
    <n v="2866"/>
    <n v="0"/>
    <n v="10"/>
    <n v="5"/>
    <s v="PASSED"/>
  </r>
  <r>
    <s v="EMPLOYEES"/>
    <x v="0"/>
    <x v="0"/>
    <x v="7"/>
    <s v="Y"/>
    <x v="19"/>
    <n v="20"/>
    <n v="3160"/>
    <n v="3160"/>
    <n v="0"/>
    <n v="10"/>
    <n v="5"/>
    <s v="PASSED"/>
  </r>
  <r>
    <s v="EMPLOYEES"/>
    <x v="0"/>
    <x v="0"/>
    <x v="8"/>
    <s v="Y"/>
    <x v="19"/>
    <n v="20"/>
    <n v="2983"/>
    <n v="2983"/>
    <n v="0"/>
    <n v="10"/>
    <n v="5"/>
    <s v="PASSED"/>
  </r>
  <r>
    <s v="EMPLOYEES"/>
    <x v="0"/>
    <x v="0"/>
    <x v="9"/>
    <s v="Y"/>
    <x v="19"/>
    <n v="20"/>
    <n v="3085"/>
    <n v="3085"/>
    <n v="0"/>
    <n v="10"/>
    <n v="5"/>
    <s v="PASSED"/>
  </r>
  <r>
    <s v="EMPLOYEES"/>
    <x v="0"/>
    <x v="0"/>
    <x v="10"/>
    <s v="Y"/>
    <x v="19"/>
    <n v="20"/>
    <n v="3212"/>
    <n v="3212"/>
    <n v="0"/>
    <n v="10"/>
    <n v="5"/>
    <s v="PASSED"/>
  </r>
  <r>
    <s v="EMPLOYEES"/>
    <x v="0"/>
    <x v="0"/>
    <x v="11"/>
    <s v="Y"/>
    <x v="19"/>
    <n v="20"/>
    <n v="3042"/>
    <n v="3042"/>
    <n v="0"/>
    <n v="10"/>
    <n v="5"/>
    <s v="PASSED"/>
  </r>
  <r>
    <s v="EMPLOYEES"/>
    <x v="0"/>
    <x v="0"/>
    <x v="12"/>
    <s v="Y"/>
    <x v="19"/>
    <n v="20"/>
    <n v="3456"/>
    <n v="3456"/>
    <n v="0"/>
    <n v="10"/>
    <n v="5"/>
    <s v="PASSED"/>
  </r>
  <r>
    <s v="EMPLOYEES"/>
    <x v="0"/>
    <x v="0"/>
    <x v="13"/>
    <s v="Y"/>
    <x v="19"/>
    <n v="20"/>
    <n v="3184"/>
    <n v="3184"/>
    <n v="0"/>
    <n v="10"/>
    <n v="5"/>
    <s v="PASSED"/>
  </r>
  <r>
    <s v="EMPLOYEES"/>
    <x v="0"/>
    <x v="0"/>
    <x v="14"/>
    <s v="N"/>
    <x v="19"/>
    <n v="20"/>
    <n v="3451"/>
    <n v="3451"/>
    <n v="0"/>
    <n v="10"/>
    <n v="5"/>
    <s v="PASSED"/>
  </r>
  <r>
    <s v="EMPLOYEES"/>
    <x v="0"/>
    <x v="0"/>
    <x v="15"/>
    <s v="N"/>
    <x v="19"/>
    <n v="20"/>
    <n v="2689"/>
    <n v="2689"/>
    <n v="0"/>
    <n v="10"/>
    <n v="5"/>
    <s v="PASSED"/>
  </r>
  <r>
    <s v="EMPLOYEES"/>
    <x v="0"/>
    <x v="0"/>
    <x v="16"/>
    <s v="N"/>
    <x v="19"/>
    <n v="20"/>
    <n v="1823"/>
    <n v="1823"/>
    <n v="0"/>
    <n v="10"/>
    <n v="5"/>
    <s v="PASSED"/>
  </r>
  <r>
    <s v="EMPLOYEES"/>
    <x v="0"/>
    <x v="0"/>
    <x v="0"/>
    <s v="Y"/>
    <x v="20"/>
    <n v="21"/>
    <n v="3024"/>
    <n v="3024"/>
    <n v="0"/>
    <n v="10"/>
    <n v="5"/>
    <s v="PASSED"/>
  </r>
  <r>
    <s v="EMPLOYEES"/>
    <x v="0"/>
    <x v="0"/>
    <x v="1"/>
    <s v="Y"/>
    <x v="20"/>
    <n v="21"/>
    <n v="3401"/>
    <n v="3401"/>
    <n v="0"/>
    <n v="10"/>
    <n v="5"/>
    <s v="PASSED"/>
  </r>
  <r>
    <s v="EMPLOYEES"/>
    <x v="0"/>
    <x v="0"/>
    <x v="2"/>
    <s v="Y"/>
    <x v="20"/>
    <n v="21"/>
    <n v="3547"/>
    <n v="3547"/>
    <n v="0"/>
    <n v="10"/>
    <n v="5"/>
    <s v="PASSED"/>
  </r>
  <r>
    <s v="EMPLOYEES"/>
    <x v="0"/>
    <x v="0"/>
    <x v="3"/>
    <s v="Y"/>
    <x v="20"/>
    <n v="21"/>
    <n v="3018"/>
    <n v="3018"/>
    <n v="0"/>
    <n v="10"/>
    <n v="5"/>
    <s v="PASSED"/>
  </r>
  <r>
    <s v="EMPLOYEES"/>
    <x v="0"/>
    <x v="0"/>
    <x v="4"/>
    <s v="Y"/>
    <x v="20"/>
    <n v="21"/>
    <n v="2932"/>
    <n v="2932"/>
    <n v="0"/>
    <n v="10"/>
    <n v="5"/>
    <s v="PASSED"/>
  </r>
  <r>
    <s v="EMPLOYEES"/>
    <x v="0"/>
    <x v="0"/>
    <x v="5"/>
    <s v="Y"/>
    <x v="20"/>
    <n v="21"/>
    <n v="2635"/>
    <n v="2635"/>
    <n v="0"/>
    <n v="10"/>
    <n v="5"/>
    <s v="PASSED"/>
  </r>
  <r>
    <s v="EMPLOYEES"/>
    <x v="0"/>
    <x v="0"/>
    <x v="6"/>
    <s v="Y"/>
    <x v="20"/>
    <n v="21"/>
    <n v="2709"/>
    <n v="2709"/>
    <n v="0"/>
    <n v="10"/>
    <n v="5"/>
    <s v="PASSED"/>
  </r>
  <r>
    <s v="EMPLOYEES"/>
    <x v="0"/>
    <x v="0"/>
    <x v="7"/>
    <s v="Y"/>
    <x v="20"/>
    <n v="21"/>
    <n v="3042"/>
    <n v="3042"/>
    <n v="0"/>
    <n v="10"/>
    <n v="5"/>
    <s v="PASSED"/>
  </r>
  <r>
    <s v="EMPLOYEES"/>
    <x v="0"/>
    <x v="0"/>
    <x v="8"/>
    <s v="Y"/>
    <x v="20"/>
    <n v="21"/>
    <n v="2556"/>
    <n v="2556"/>
    <n v="0"/>
    <n v="10"/>
    <n v="5"/>
    <s v="PASSED"/>
  </r>
  <r>
    <s v="EMPLOYEES"/>
    <x v="0"/>
    <x v="0"/>
    <x v="9"/>
    <s v="Y"/>
    <x v="20"/>
    <n v="21"/>
    <n v="2929"/>
    <n v="2929"/>
    <n v="0"/>
    <n v="10"/>
    <n v="5"/>
    <s v="PASSED"/>
  </r>
  <r>
    <s v="EMPLOYEES"/>
    <x v="0"/>
    <x v="0"/>
    <x v="10"/>
    <s v="Y"/>
    <x v="20"/>
    <n v="21"/>
    <n v="2510"/>
    <n v="2510"/>
    <n v="0"/>
    <n v="10"/>
    <n v="5"/>
    <s v="PASSED"/>
  </r>
  <r>
    <s v="EMPLOYEES"/>
    <x v="0"/>
    <x v="0"/>
    <x v="11"/>
    <s v="Y"/>
    <x v="20"/>
    <n v="21"/>
    <n v="2705"/>
    <n v="2705"/>
    <n v="0"/>
    <n v="10"/>
    <n v="5"/>
    <s v="PASSED"/>
  </r>
  <r>
    <s v="EMPLOYEES"/>
    <x v="0"/>
    <x v="0"/>
    <x v="12"/>
    <s v="Y"/>
    <x v="20"/>
    <n v="21"/>
    <n v="2841"/>
    <n v="2841"/>
    <n v="0"/>
    <n v="10"/>
    <n v="5"/>
    <s v="PASSED"/>
  </r>
  <r>
    <s v="EMPLOYEES"/>
    <x v="0"/>
    <x v="0"/>
    <x v="13"/>
    <s v="Y"/>
    <x v="20"/>
    <n v="21"/>
    <n v="2545"/>
    <n v="2545"/>
    <n v="0"/>
    <n v="10"/>
    <n v="5"/>
    <s v="PASSED"/>
  </r>
  <r>
    <s v="EMPLOYEES"/>
    <x v="0"/>
    <x v="0"/>
    <x v="14"/>
    <s v="N"/>
    <x v="20"/>
    <n v="21"/>
    <n v="2795"/>
    <n v="2795"/>
    <n v="0"/>
    <n v="10"/>
    <n v="5"/>
    <s v="PASSED"/>
  </r>
  <r>
    <s v="EMPLOYEES"/>
    <x v="0"/>
    <x v="0"/>
    <x v="15"/>
    <s v="N"/>
    <x v="20"/>
    <n v="21"/>
    <n v="2372"/>
    <n v="2372"/>
    <n v="0"/>
    <n v="10"/>
    <n v="5"/>
    <s v="PASSED"/>
  </r>
  <r>
    <s v="EMPLOYEES"/>
    <x v="0"/>
    <x v="0"/>
    <x v="16"/>
    <s v="N"/>
    <x v="20"/>
    <n v="21"/>
    <n v="1938"/>
    <n v="1938"/>
    <n v="0"/>
    <n v="10"/>
    <n v="5"/>
    <s v="PASSED"/>
  </r>
  <r>
    <s v="EMPLOYEES"/>
    <x v="0"/>
    <x v="0"/>
    <x v="0"/>
    <s v="Y"/>
    <x v="21"/>
    <n v="22"/>
    <n v="76"/>
    <n v="76"/>
    <n v="0"/>
    <n v="10"/>
    <n v="5"/>
    <s v="PASSED"/>
  </r>
  <r>
    <s v="EMPLOYEES"/>
    <x v="0"/>
    <x v="0"/>
    <x v="1"/>
    <s v="Y"/>
    <x v="21"/>
    <n v="22"/>
    <n v="84"/>
    <n v="84"/>
    <n v="0"/>
    <n v="10"/>
    <n v="5"/>
    <s v="PASSED"/>
  </r>
  <r>
    <s v="EMPLOYEES"/>
    <x v="0"/>
    <x v="0"/>
    <x v="2"/>
    <s v="Y"/>
    <x v="21"/>
    <n v="22"/>
    <n v="127"/>
    <n v="127"/>
    <n v="0"/>
    <n v="10"/>
    <n v="5"/>
    <s v="PASSED"/>
  </r>
  <r>
    <s v="EMPLOYEES"/>
    <x v="0"/>
    <x v="0"/>
    <x v="3"/>
    <s v="Y"/>
    <x v="21"/>
    <n v="22"/>
    <n v="111"/>
    <n v="111"/>
    <n v="0"/>
    <n v="10"/>
    <n v="5"/>
    <s v="PASSED"/>
  </r>
  <r>
    <s v="EMPLOYEES"/>
    <x v="0"/>
    <x v="0"/>
    <x v="4"/>
    <s v="Y"/>
    <x v="21"/>
    <n v="22"/>
    <n v="119"/>
    <n v="119"/>
    <n v="0"/>
    <n v="10"/>
    <n v="5"/>
    <s v="PASSED"/>
  </r>
  <r>
    <s v="EMPLOYEES"/>
    <x v="0"/>
    <x v="0"/>
    <x v="5"/>
    <s v="Y"/>
    <x v="21"/>
    <n v="22"/>
    <n v="140"/>
    <n v="140"/>
    <n v="0"/>
    <n v="10"/>
    <n v="5"/>
    <s v="PASSED"/>
  </r>
  <r>
    <s v="EMPLOYEES"/>
    <x v="0"/>
    <x v="0"/>
    <x v="6"/>
    <s v="Y"/>
    <x v="21"/>
    <n v="22"/>
    <n v="87"/>
    <n v="87"/>
    <n v="0"/>
    <n v="10"/>
    <n v="5"/>
    <s v="PASSED"/>
  </r>
  <r>
    <s v="EMPLOYEES"/>
    <x v="0"/>
    <x v="0"/>
    <x v="7"/>
    <s v="Y"/>
    <x v="21"/>
    <n v="22"/>
    <n v="123"/>
    <n v="123"/>
    <n v="0"/>
    <n v="10"/>
    <n v="5"/>
    <s v="PASSED"/>
  </r>
  <r>
    <s v="EMPLOYEES"/>
    <x v="0"/>
    <x v="0"/>
    <x v="8"/>
    <s v="Y"/>
    <x v="21"/>
    <n v="22"/>
    <n v="128"/>
    <n v="128"/>
    <n v="0"/>
    <n v="10"/>
    <n v="5"/>
    <s v="PASSED"/>
  </r>
  <r>
    <s v="EMPLOYEES"/>
    <x v="0"/>
    <x v="0"/>
    <x v="9"/>
    <s v="Y"/>
    <x v="21"/>
    <n v="22"/>
    <n v="118"/>
    <n v="118"/>
    <n v="0"/>
    <n v="10"/>
    <n v="5"/>
    <s v="PASSED"/>
  </r>
  <r>
    <s v="EMPLOYEES"/>
    <x v="0"/>
    <x v="0"/>
    <x v="10"/>
    <s v="Y"/>
    <x v="21"/>
    <n v="22"/>
    <n v="114"/>
    <n v="114"/>
    <n v="0"/>
    <n v="10"/>
    <n v="5"/>
    <s v="PASSED"/>
  </r>
  <r>
    <s v="EMPLOYEES"/>
    <x v="0"/>
    <x v="0"/>
    <x v="11"/>
    <s v="Y"/>
    <x v="21"/>
    <n v="22"/>
    <n v="128"/>
    <n v="128"/>
    <n v="0"/>
    <n v="10"/>
    <n v="5"/>
    <s v="PASSED"/>
  </r>
  <r>
    <s v="EMPLOYEES"/>
    <x v="0"/>
    <x v="0"/>
    <x v="12"/>
    <s v="Y"/>
    <x v="21"/>
    <n v="22"/>
    <n v="169"/>
    <n v="169"/>
    <n v="0"/>
    <n v="10"/>
    <n v="5"/>
    <s v="PASSED"/>
  </r>
  <r>
    <s v="EMPLOYEES"/>
    <x v="0"/>
    <x v="0"/>
    <x v="13"/>
    <s v="Y"/>
    <x v="21"/>
    <n v="22"/>
    <n v="106"/>
    <n v="106"/>
    <n v="0"/>
    <n v="10"/>
    <n v="5"/>
    <s v="PASSED"/>
  </r>
  <r>
    <s v="EMPLOYEES"/>
    <x v="0"/>
    <x v="0"/>
    <x v="14"/>
    <s v="N"/>
    <x v="21"/>
    <n v="22"/>
    <n v="96"/>
    <n v="96"/>
    <n v="0"/>
    <n v="10"/>
    <n v="5"/>
    <s v="PASSED"/>
  </r>
  <r>
    <s v="EMPLOYEES"/>
    <x v="0"/>
    <x v="0"/>
    <x v="15"/>
    <s v="N"/>
    <x v="21"/>
    <n v="22"/>
    <n v="109"/>
    <n v="109"/>
    <n v="0"/>
    <n v="10"/>
    <n v="5"/>
    <s v="PASSED"/>
  </r>
  <r>
    <s v="EMPLOYEES"/>
    <x v="0"/>
    <x v="0"/>
    <x v="16"/>
    <s v="N"/>
    <x v="21"/>
    <n v="22"/>
    <n v="72"/>
    <n v="72"/>
    <n v="0"/>
    <n v="10"/>
    <n v="5"/>
    <s v="PASSED"/>
  </r>
  <r>
    <s v="EMPLOYEES"/>
    <x v="0"/>
    <x v="0"/>
    <x v="0"/>
    <s v="Y"/>
    <x v="22"/>
    <n v="23"/>
    <n v="3248"/>
    <n v="3248"/>
    <n v="0"/>
    <n v="10"/>
    <n v="5"/>
    <s v="PASSED"/>
  </r>
  <r>
    <s v="EMPLOYEES"/>
    <x v="0"/>
    <x v="0"/>
    <x v="1"/>
    <s v="Y"/>
    <x v="22"/>
    <n v="23"/>
    <n v="3397"/>
    <n v="3397"/>
    <n v="0"/>
    <n v="10"/>
    <n v="5"/>
    <s v="PASSED"/>
  </r>
  <r>
    <s v="EMPLOYEES"/>
    <x v="0"/>
    <x v="0"/>
    <x v="2"/>
    <s v="Y"/>
    <x v="22"/>
    <n v="23"/>
    <n v="3437"/>
    <n v="3437"/>
    <n v="0"/>
    <n v="10"/>
    <n v="5"/>
    <s v="PASSED"/>
  </r>
  <r>
    <s v="EMPLOYEES"/>
    <x v="0"/>
    <x v="0"/>
    <x v="3"/>
    <s v="Y"/>
    <x v="22"/>
    <n v="23"/>
    <n v="3333"/>
    <n v="3333"/>
    <n v="0"/>
    <n v="10"/>
    <n v="5"/>
    <s v="PASSED"/>
  </r>
  <r>
    <s v="EMPLOYEES"/>
    <x v="0"/>
    <x v="0"/>
    <x v="4"/>
    <s v="Y"/>
    <x v="22"/>
    <n v="23"/>
    <n v="3344"/>
    <n v="3344"/>
    <n v="0"/>
    <n v="10"/>
    <n v="5"/>
    <s v="PASSED"/>
  </r>
  <r>
    <s v="EMPLOYEES"/>
    <x v="0"/>
    <x v="0"/>
    <x v="5"/>
    <s v="Y"/>
    <x v="22"/>
    <n v="23"/>
    <n v="3135"/>
    <n v="3135"/>
    <n v="0"/>
    <n v="10"/>
    <n v="5"/>
    <s v="PASSED"/>
  </r>
  <r>
    <s v="EMPLOYEES"/>
    <x v="0"/>
    <x v="0"/>
    <x v="6"/>
    <s v="Y"/>
    <x v="22"/>
    <n v="23"/>
    <n v="3206"/>
    <n v="3206"/>
    <n v="0"/>
    <n v="10"/>
    <n v="5"/>
    <s v="PASSED"/>
  </r>
  <r>
    <s v="EMPLOYEES"/>
    <x v="0"/>
    <x v="0"/>
    <x v="7"/>
    <s v="Y"/>
    <x v="22"/>
    <n v="23"/>
    <n v="3490"/>
    <n v="3490"/>
    <n v="0"/>
    <n v="10"/>
    <n v="5"/>
    <s v="PASSED"/>
  </r>
  <r>
    <s v="EMPLOYEES"/>
    <x v="0"/>
    <x v="0"/>
    <x v="8"/>
    <s v="Y"/>
    <x v="22"/>
    <n v="23"/>
    <n v="3290"/>
    <n v="3290"/>
    <n v="0"/>
    <n v="10"/>
    <n v="5"/>
    <s v="PASSED"/>
  </r>
  <r>
    <s v="EMPLOYEES"/>
    <x v="0"/>
    <x v="0"/>
    <x v="9"/>
    <s v="Y"/>
    <x v="22"/>
    <n v="23"/>
    <n v="3417"/>
    <n v="3417"/>
    <n v="0"/>
    <n v="10"/>
    <n v="5"/>
    <s v="PASSED"/>
  </r>
  <r>
    <s v="EMPLOYEES"/>
    <x v="0"/>
    <x v="0"/>
    <x v="10"/>
    <s v="Y"/>
    <x v="22"/>
    <n v="23"/>
    <n v="3435"/>
    <n v="3435"/>
    <n v="0"/>
    <n v="10"/>
    <n v="5"/>
    <s v="PASSED"/>
  </r>
  <r>
    <s v="EMPLOYEES"/>
    <x v="0"/>
    <x v="0"/>
    <x v="11"/>
    <s v="Y"/>
    <x v="22"/>
    <n v="23"/>
    <n v="3460"/>
    <n v="3460"/>
    <n v="0"/>
    <n v="10"/>
    <n v="5"/>
    <s v="PASSED"/>
  </r>
  <r>
    <s v="EMPLOYEES"/>
    <x v="0"/>
    <x v="0"/>
    <x v="12"/>
    <s v="Y"/>
    <x v="22"/>
    <n v="23"/>
    <n v="3898"/>
    <n v="3898"/>
    <n v="0"/>
    <n v="10"/>
    <n v="5"/>
    <s v="PASSED"/>
  </r>
  <r>
    <s v="EMPLOYEES"/>
    <x v="0"/>
    <x v="0"/>
    <x v="13"/>
    <s v="Y"/>
    <x v="22"/>
    <n v="23"/>
    <n v="3409"/>
    <n v="3409"/>
    <n v="0"/>
    <n v="10"/>
    <n v="5"/>
    <s v="PASSED"/>
  </r>
  <r>
    <s v="EMPLOYEES"/>
    <x v="0"/>
    <x v="0"/>
    <x v="14"/>
    <s v="N"/>
    <x v="22"/>
    <n v="23"/>
    <n v="3783"/>
    <n v="3783"/>
    <n v="0"/>
    <n v="10"/>
    <n v="5"/>
    <s v="PASSED"/>
  </r>
  <r>
    <s v="EMPLOYEES"/>
    <x v="0"/>
    <x v="0"/>
    <x v="15"/>
    <s v="N"/>
    <x v="22"/>
    <n v="23"/>
    <n v="3411"/>
    <n v="3411"/>
    <n v="0"/>
    <n v="10"/>
    <n v="5"/>
    <s v="PASSED"/>
  </r>
  <r>
    <s v="EMPLOYEES"/>
    <x v="0"/>
    <x v="0"/>
    <x v="16"/>
    <s v="N"/>
    <x v="22"/>
    <n v="23"/>
    <n v="3090"/>
    <n v="3090"/>
    <n v="0"/>
    <n v="10"/>
    <n v="5"/>
    <s v="PASSED"/>
  </r>
  <r>
    <s v="EMPLOYEES"/>
    <x v="0"/>
    <x v="1"/>
    <x v="0"/>
    <s v="Y"/>
    <x v="0"/>
    <n v="1"/>
    <n v="449.13"/>
    <n v="449.13"/>
    <n v="0"/>
    <n v="10"/>
    <n v="5"/>
    <s v="PASSED"/>
  </r>
  <r>
    <s v="EMPLOYEES"/>
    <x v="0"/>
    <x v="1"/>
    <x v="1"/>
    <s v="Y"/>
    <x v="0"/>
    <n v="1"/>
    <n v="468.46"/>
    <n v="468.46"/>
    <n v="0"/>
    <n v="10"/>
    <n v="5"/>
    <s v="PASSED"/>
  </r>
  <r>
    <s v="EMPLOYEES"/>
    <x v="0"/>
    <x v="1"/>
    <x v="2"/>
    <s v="Y"/>
    <x v="0"/>
    <n v="1"/>
    <n v="455.51"/>
    <n v="455.51"/>
    <n v="0"/>
    <n v="10"/>
    <n v="5"/>
    <s v="PASSED"/>
  </r>
  <r>
    <s v="EMPLOYEES"/>
    <x v="0"/>
    <x v="1"/>
    <x v="3"/>
    <s v="Y"/>
    <x v="0"/>
    <n v="1"/>
    <n v="533.49"/>
    <n v="533.49"/>
    <n v="0"/>
    <n v="10"/>
    <n v="5"/>
    <s v="PASSED"/>
  </r>
  <r>
    <s v="EMPLOYEES"/>
    <x v="0"/>
    <x v="1"/>
    <x v="4"/>
    <s v="Y"/>
    <x v="0"/>
    <n v="1"/>
    <n v="466.93"/>
    <n v="466.93"/>
    <n v="0"/>
    <n v="10"/>
    <n v="5"/>
    <s v="PASSED"/>
  </r>
  <r>
    <s v="EMPLOYEES"/>
    <x v="0"/>
    <x v="1"/>
    <x v="5"/>
    <s v="Y"/>
    <x v="0"/>
    <n v="1"/>
    <n v="437.19"/>
    <n v="437.19"/>
    <n v="0"/>
    <n v="10"/>
    <n v="5"/>
    <s v="PASSED"/>
  </r>
  <r>
    <s v="EMPLOYEES"/>
    <x v="0"/>
    <x v="1"/>
    <x v="6"/>
    <s v="Y"/>
    <x v="0"/>
    <n v="1"/>
    <n v="527.73"/>
    <n v="527.73"/>
    <n v="0"/>
    <n v="10"/>
    <n v="5"/>
    <s v="PASSED"/>
  </r>
  <r>
    <s v="EMPLOYEES"/>
    <x v="0"/>
    <x v="1"/>
    <x v="7"/>
    <s v="Y"/>
    <x v="0"/>
    <n v="1"/>
    <n v="447.7"/>
    <n v="447.7"/>
    <n v="0"/>
    <n v="10"/>
    <n v="5"/>
    <s v="PASSED"/>
  </r>
  <r>
    <s v="EMPLOYEES"/>
    <x v="0"/>
    <x v="1"/>
    <x v="8"/>
    <s v="Y"/>
    <x v="0"/>
    <n v="1"/>
    <n v="447.78"/>
    <n v="447.78"/>
    <n v="0"/>
    <n v="10"/>
    <n v="5"/>
    <s v="PASSED"/>
  </r>
  <r>
    <s v="EMPLOYEES"/>
    <x v="0"/>
    <x v="1"/>
    <x v="9"/>
    <s v="Y"/>
    <x v="0"/>
    <n v="1"/>
    <n v="380.05"/>
    <n v="380.05"/>
    <n v="0"/>
    <n v="10"/>
    <n v="5"/>
    <s v="PASSED"/>
  </r>
  <r>
    <s v="EMPLOYEES"/>
    <x v="0"/>
    <x v="1"/>
    <x v="10"/>
    <s v="Y"/>
    <x v="0"/>
    <n v="1"/>
    <n v="403.44"/>
    <n v="403.44"/>
    <n v="0"/>
    <n v="10"/>
    <n v="5"/>
    <s v="PASSED"/>
  </r>
  <r>
    <s v="EMPLOYEES"/>
    <x v="0"/>
    <x v="1"/>
    <x v="11"/>
    <s v="Y"/>
    <x v="0"/>
    <n v="1"/>
    <n v="501.31"/>
    <n v="501.31"/>
    <n v="0"/>
    <n v="10"/>
    <n v="5"/>
    <s v="PASSED"/>
  </r>
  <r>
    <s v="EMPLOYEES"/>
    <x v="0"/>
    <x v="1"/>
    <x v="12"/>
    <s v="Y"/>
    <x v="0"/>
    <n v="1"/>
    <n v="418.38"/>
    <n v="418.38"/>
    <n v="0"/>
    <n v="10"/>
    <n v="5"/>
    <s v="PASSED"/>
  </r>
  <r>
    <s v="EMPLOYEES"/>
    <x v="0"/>
    <x v="1"/>
    <x v="13"/>
    <s v="Y"/>
    <x v="0"/>
    <n v="1"/>
    <n v="344.48"/>
    <n v="344.48"/>
    <n v="0"/>
    <n v="10"/>
    <n v="5"/>
    <s v="PASSED"/>
  </r>
  <r>
    <s v="EMPLOYEES"/>
    <x v="0"/>
    <x v="1"/>
    <x v="14"/>
    <s v="N"/>
    <x v="0"/>
    <n v="1"/>
    <n v="374.52"/>
    <n v="374.52"/>
    <n v="0"/>
    <n v="10"/>
    <n v="5"/>
    <s v="PASSED"/>
  </r>
  <r>
    <s v="EMPLOYEES"/>
    <x v="0"/>
    <x v="1"/>
    <x v="15"/>
    <s v="N"/>
    <x v="0"/>
    <n v="1"/>
    <n v="375.92"/>
    <n v="375.92"/>
    <n v="0"/>
    <n v="10"/>
    <n v="5"/>
    <s v="PASSED"/>
  </r>
  <r>
    <s v="EMPLOYEES"/>
    <x v="0"/>
    <x v="1"/>
    <x v="16"/>
    <s v="N"/>
    <x v="0"/>
    <n v="1"/>
    <n v="201.44"/>
    <n v="201.44"/>
    <n v="0"/>
    <n v="10"/>
    <n v="5"/>
    <s v="PASSED"/>
  </r>
  <r>
    <s v="EMPLOYEES"/>
    <x v="0"/>
    <x v="1"/>
    <x v="0"/>
    <s v="Y"/>
    <x v="1"/>
    <n v="2"/>
    <n v="59.62"/>
    <n v="59.62"/>
    <n v="0"/>
    <n v="10"/>
    <n v="5"/>
    <s v="PASSED"/>
  </r>
  <r>
    <s v="EMPLOYEES"/>
    <x v="0"/>
    <x v="1"/>
    <x v="1"/>
    <s v="Y"/>
    <x v="1"/>
    <n v="2"/>
    <n v="76.260000000000005"/>
    <n v="76.260000000000005"/>
    <n v="0"/>
    <n v="10"/>
    <n v="5"/>
    <s v="PASSED"/>
  </r>
  <r>
    <s v="EMPLOYEES"/>
    <x v="0"/>
    <x v="1"/>
    <x v="2"/>
    <s v="Y"/>
    <x v="1"/>
    <n v="2"/>
    <n v="64.84"/>
    <n v="64.84"/>
    <n v="0"/>
    <n v="10"/>
    <n v="5"/>
    <s v="PASSED"/>
  </r>
  <r>
    <s v="EMPLOYEES"/>
    <x v="0"/>
    <x v="1"/>
    <x v="3"/>
    <s v="Y"/>
    <x v="1"/>
    <n v="2"/>
    <n v="65.63"/>
    <n v="65.63"/>
    <n v="0"/>
    <n v="10"/>
    <n v="5"/>
    <s v="PASSED"/>
  </r>
  <r>
    <s v="EMPLOYEES"/>
    <x v="0"/>
    <x v="1"/>
    <x v="4"/>
    <s v="Y"/>
    <x v="1"/>
    <n v="2"/>
    <n v="71.069999999999993"/>
    <n v="71.069999999999993"/>
    <n v="0"/>
    <n v="10"/>
    <n v="5"/>
    <s v="PASSED"/>
  </r>
  <r>
    <s v="EMPLOYEES"/>
    <x v="0"/>
    <x v="1"/>
    <x v="5"/>
    <s v="Y"/>
    <x v="1"/>
    <n v="2"/>
    <n v="58.45"/>
    <n v="58.45"/>
    <n v="0"/>
    <n v="10"/>
    <n v="5"/>
    <s v="PASSED"/>
  </r>
  <r>
    <s v="EMPLOYEES"/>
    <x v="0"/>
    <x v="1"/>
    <x v="6"/>
    <s v="Y"/>
    <x v="1"/>
    <n v="2"/>
    <n v="56.77"/>
    <n v="56.77"/>
    <n v="0"/>
    <n v="10"/>
    <n v="5"/>
    <s v="PASSED"/>
  </r>
  <r>
    <s v="EMPLOYEES"/>
    <x v="0"/>
    <x v="1"/>
    <x v="7"/>
    <s v="Y"/>
    <x v="1"/>
    <n v="2"/>
    <n v="83.74"/>
    <n v="83.74"/>
    <n v="0"/>
    <n v="10"/>
    <n v="5"/>
    <s v="PASSED"/>
  </r>
  <r>
    <s v="EMPLOYEES"/>
    <x v="0"/>
    <x v="1"/>
    <x v="8"/>
    <s v="Y"/>
    <x v="1"/>
    <n v="2"/>
    <n v="61.69"/>
    <n v="61.69"/>
    <n v="0"/>
    <n v="10"/>
    <n v="5"/>
    <s v="PASSED"/>
  </r>
  <r>
    <s v="EMPLOYEES"/>
    <x v="0"/>
    <x v="1"/>
    <x v="9"/>
    <s v="Y"/>
    <x v="1"/>
    <n v="2"/>
    <n v="69.349999999999994"/>
    <n v="69.349999999999994"/>
    <n v="0"/>
    <n v="10"/>
    <n v="5"/>
    <s v="PASSED"/>
  </r>
  <r>
    <s v="EMPLOYEES"/>
    <x v="0"/>
    <x v="1"/>
    <x v="10"/>
    <s v="Y"/>
    <x v="1"/>
    <n v="2"/>
    <n v="98.11"/>
    <n v="98.11"/>
    <n v="0"/>
    <n v="10"/>
    <n v="5"/>
    <s v="PASSED"/>
  </r>
  <r>
    <s v="EMPLOYEES"/>
    <x v="0"/>
    <x v="1"/>
    <x v="11"/>
    <s v="Y"/>
    <x v="1"/>
    <n v="2"/>
    <n v="45.92"/>
    <n v="45.92"/>
    <n v="0"/>
    <n v="10"/>
    <n v="5"/>
    <s v="PASSED"/>
  </r>
  <r>
    <s v="EMPLOYEES"/>
    <x v="0"/>
    <x v="1"/>
    <x v="12"/>
    <s v="Y"/>
    <x v="1"/>
    <n v="2"/>
    <n v="80.12"/>
    <n v="80.12"/>
    <n v="0"/>
    <n v="10"/>
    <n v="5"/>
    <s v="PASSED"/>
  </r>
  <r>
    <s v="EMPLOYEES"/>
    <x v="0"/>
    <x v="1"/>
    <x v="13"/>
    <s v="Y"/>
    <x v="1"/>
    <n v="2"/>
    <n v="96.9"/>
    <n v="96.9"/>
    <n v="0"/>
    <n v="10"/>
    <n v="5"/>
    <s v="PASSED"/>
  </r>
  <r>
    <s v="EMPLOYEES"/>
    <x v="0"/>
    <x v="1"/>
    <x v="14"/>
    <s v="N"/>
    <x v="1"/>
    <n v="2"/>
    <n v="102.47"/>
    <n v="102.47"/>
    <n v="0"/>
    <n v="10"/>
    <n v="5"/>
    <s v="PASSED"/>
  </r>
  <r>
    <s v="EMPLOYEES"/>
    <x v="0"/>
    <x v="1"/>
    <x v="15"/>
    <s v="N"/>
    <x v="1"/>
    <n v="2"/>
    <n v="88.83"/>
    <n v="88.83"/>
    <n v="0"/>
    <n v="10"/>
    <n v="5"/>
    <s v="PASSED"/>
  </r>
  <r>
    <s v="EMPLOYEES"/>
    <x v="0"/>
    <x v="1"/>
    <x v="16"/>
    <s v="N"/>
    <x v="1"/>
    <n v="2"/>
    <n v="73.37"/>
    <n v="73.37"/>
    <n v="0"/>
    <n v="10"/>
    <n v="5"/>
    <s v="PASSED"/>
  </r>
  <r>
    <s v="EMPLOYEES"/>
    <x v="0"/>
    <x v="1"/>
    <x v="0"/>
    <s v="Y"/>
    <x v="2"/>
    <n v="3"/>
    <n v="508.75"/>
    <n v="508.75"/>
    <n v="0"/>
    <n v="10"/>
    <n v="5"/>
    <s v="PASSED"/>
  </r>
  <r>
    <s v="EMPLOYEES"/>
    <x v="0"/>
    <x v="1"/>
    <x v="1"/>
    <s v="Y"/>
    <x v="2"/>
    <n v="3"/>
    <n v="544.72"/>
    <n v="544.72"/>
    <n v="0"/>
    <n v="10"/>
    <n v="5"/>
    <s v="PASSED"/>
  </r>
  <r>
    <s v="EMPLOYEES"/>
    <x v="0"/>
    <x v="1"/>
    <x v="2"/>
    <s v="Y"/>
    <x v="2"/>
    <n v="3"/>
    <n v="520.35"/>
    <n v="520.35"/>
    <n v="0"/>
    <n v="10"/>
    <n v="5"/>
    <s v="PASSED"/>
  </r>
  <r>
    <s v="EMPLOYEES"/>
    <x v="0"/>
    <x v="1"/>
    <x v="3"/>
    <s v="Y"/>
    <x v="2"/>
    <n v="3"/>
    <n v="599.12"/>
    <n v="599.12"/>
    <n v="0"/>
    <n v="10"/>
    <n v="5"/>
    <s v="PASSED"/>
  </r>
  <r>
    <s v="EMPLOYEES"/>
    <x v="0"/>
    <x v="1"/>
    <x v="4"/>
    <s v="Y"/>
    <x v="2"/>
    <n v="3"/>
    <n v="538"/>
    <n v="538"/>
    <n v="0"/>
    <n v="10"/>
    <n v="5"/>
    <s v="PASSED"/>
  </r>
  <r>
    <s v="EMPLOYEES"/>
    <x v="0"/>
    <x v="1"/>
    <x v="5"/>
    <s v="Y"/>
    <x v="2"/>
    <n v="3"/>
    <n v="495.64"/>
    <n v="495.64"/>
    <n v="0"/>
    <n v="10"/>
    <n v="5"/>
    <s v="PASSED"/>
  </r>
  <r>
    <s v="EMPLOYEES"/>
    <x v="0"/>
    <x v="1"/>
    <x v="6"/>
    <s v="Y"/>
    <x v="2"/>
    <n v="3"/>
    <n v="584.5"/>
    <n v="584.5"/>
    <n v="0"/>
    <n v="10"/>
    <n v="5"/>
    <s v="PASSED"/>
  </r>
  <r>
    <s v="EMPLOYEES"/>
    <x v="0"/>
    <x v="1"/>
    <x v="7"/>
    <s v="Y"/>
    <x v="2"/>
    <n v="3"/>
    <n v="531.44000000000005"/>
    <n v="531.44000000000005"/>
    <n v="0"/>
    <n v="10"/>
    <n v="5"/>
    <s v="PASSED"/>
  </r>
  <r>
    <s v="EMPLOYEES"/>
    <x v="0"/>
    <x v="1"/>
    <x v="8"/>
    <s v="Y"/>
    <x v="2"/>
    <n v="3"/>
    <n v="509.47"/>
    <n v="509.47"/>
    <n v="0"/>
    <n v="10"/>
    <n v="5"/>
    <s v="PASSED"/>
  </r>
  <r>
    <s v="EMPLOYEES"/>
    <x v="0"/>
    <x v="1"/>
    <x v="9"/>
    <s v="Y"/>
    <x v="2"/>
    <n v="3"/>
    <n v="449.4"/>
    <n v="449.4"/>
    <n v="0"/>
    <n v="10"/>
    <n v="5"/>
    <s v="PASSED"/>
  </r>
  <r>
    <s v="EMPLOYEES"/>
    <x v="0"/>
    <x v="1"/>
    <x v="10"/>
    <s v="Y"/>
    <x v="2"/>
    <n v="3"/>
    <n v="501.55"/>
    <n v="501.55"/>
    <n v="0"/>
    <n v="10"/>
    <n v="5"/>
    <s v="PASSED"/>
  </r>
  <r>
    <s v="EMPLOYEES"/>
    <x v="0"/>
    <x v="1"/>
    <x v="11"/>
    <s v="Y"/>
    <x v="2"/>
    <n v="3"/>
    <n v="547.23"/>
    <n v="547.23"/>
    <n v="0"/>
    <n v="10"/>
    <n v="5"/>
    <s v="PASSED"/>
  </r>
  <r>
    <s v="EMPLOYEES"/>
    <x v="0"/>
    <x v="1"/>
    <x v="12"/>
    <s v="Y"/>
    <x v="2"/>
    <n v="3"/>
    <n v="498.5"/>
    <n v="498.5"/>
    <n v="0"/>
    <n v="10"/>
    <n v="5"/>
    <s v="PASSED"/>
  </r>
  <r>
    <s v="EMPLOYEES"/>
    <x v="0"/>
    <x v="1"/>
    <x v="13"/>
    <s v="Y"/>
    <x v="2"/>
    <n v="3"/>
    <n v="441.38"/>
    <n v="441.38"/>
    <n v="0"/>
    <n v="10"/>
    <n v="5"/>
    <s v="PASSED"/>
  </r>
  <r>
    <s v="EMPLOYEES"/>
    <x v="0"/>
    <x v="1"/>
    <x v="14"/>
    <s v="N"/>
    <x v="2"/>
    <n v="3"/>
    <n v="476.99"/>
    <n v="476.99"/>
    <n v="0"/>
    <n v="10"/>
    <n v="5"/>
    <s v="PASSED"/>
  </r>
  <r>
    <s v="EMPLOYEES"/>
    <x v="0"/>
    <x v="1"/>
    <x v="15"/>
    <s v="N"/>
    <x v="2"/>
    <n v="3"/>
    <n v="464.75"/>
    <n v="464.75"/>
    <n v="0"/>
    <n v="10"/>
    <n v="5"/>
    <s v="PASSED"/>
  </r>
  <r>
    <s v="EMPLOYEES"/>
    <x v="0"/>
    <x v="1"/>
    <x v="16"/>
    <s v="N"/>
    <x v="2"/>
    <n v="3"/>
    <n v="274.81"/>
    <n v="274.81"/>
    <n v="0"/>
    <n v="10"/>
    <n v="5"/>
    <s v="PASSED"/>
  </r>
  <r>
    <s v="EMPLOYEES"/>
    <x v="0"/>
    <x v="1"/>
    <x v="0"/>
    <s v="Y"/>
    <x v="3"/>
    <n v="4"/>
    <n v="0"/>
    <n v="0"/>
    <n v="0"/>
    <n v="10"/>
    <n v="5"/>
    <s v="PASSED"/>
  </r>
  <r>
    <s v="EMPLOYEES"/>
    <x v="0"/>
    <x v="1"/>
    <x v="1"/>
    <s v="Y"/>
    <x v="3"/>
    <n v="4"/>
    <n v="0"/>
    <n v="0"/>
    <n v="0"/>
    <n v="10"/>
    <n v="5"/>
    <s v="PASSED"/>
  </r>
  <r>
    <s v="EMPLOYEES"/>
    <x v="0"/>
    <x v="1"/>
    <x v="2"/>
    <s v="Y"/>
    <x v="3"/>
    <n v="4"/>
    <n v="0"/>
    <n v="0"/>
    <n v="0"/>
    <n v="10"/>
    <n v="5"/>
    <s v="PASSED"/>
  </r>
  <r>
    <s v="EMPLOYEES"/>
    <x v="0"/>
    <x v="1"/>
    <x v="3"/>
    <s v="Y"/>
    <x v="3"/>
    <n v="4"/>
    <n v="38215.160000000003"/>
    <n v="38215.160000000003"/>
    <n v="0"/>
    <n v="10"/>
    <n v="5"/>
    <s v="PASSED"/>
  </r>
  <r>
    <s v="EMPLOYEES"/>
    <x v="0"/>
    <x v="1"/>
    <x v="4"/>
    <s v="Y"/>
    <x v="3"/>
    <n v="4"/>
    <n v="5503.48"/>
    <n v="5503.48"/>
    <n v="0"/>
    <n v="10"/>
    <n v="5"/>
    <s v="PASSED"/>
  </r>
  <r>
    <s v="EMPLOYEES"/>
    <x v="0"/>
    <x v="1"/>
    <x v="5"/>
    <s v="Y"/>
    <x v="3"/>
    <n v="4"/>
    <n v="0"/>
    <n v="0"/>
    <n v="0"/>
    <n v="10"/>
    <n v="5"/>
    <s v="PASSED"/>
  </r>
  <r>
    <s v="EMPLOYEES"/>
    <x v="0"/>
    <x v="1"/>
    <x v="6"/>
    <s v="Y"/>
    <x v="3"/>
    <n v="4"/>
    <n v="0"/>
    <n v="0"/>
    <n v="0"/>
    <n v="10"/>
    <n v="5"/>
    <s v="PASSED"/>
  </r>
  <r>
    <s v="EMPLOYEES"/>
    <x v="0"/>
    <x v="1"/>
    <x v="7"/>
    <s v="Y"/>
    <x v="3"/>
    <n v="4"/>
    <n v="22432.23"/>
    <n v="22432.23"/>
    <n v="0"/>
    <n v="10"/>
    <n v="5"/>
    <s v="PASSED"/>
  </r>
  <r>
    <s v="EMPLOYEES"/>
    <x v="0"/>
    <x v="1"/>
    <x v="8"/>
    <s v="Y"/>
    <x v="3"/>
    <n v="4"/>
    <n v="17070.05"/>
    <n v="17070.05"/>
    <n v="0"/>
    <n v="10"/>
    <n v="5"/>
    <s v="PASSED"/>
  </r>
  <r>
    <s v="EMPLOYEES"/>
    <x v="0"/>
    <x v="1"/>
    <x v="9"/>
    <s v="Y"/>
    <x v="3"/>
    <n v="4"/>
    <n v="37819.94"/>
    <n v="37819.94"/>
    <n v="0"/>
    <n v="10"/>
    <n v="5"/>
    <s v="PASSED"/>
  </r>
  <r>
    <s v="EMPLOYEES"/>
    <x v="0"/>
    <x v="1"/>
    <x v="10"/>
    <s v="Y"/>
    <x v="3"/>
    <n v="4"/>
    <n v="3830.39"/>
    <n v="3830.39"/>
    <n v="0"/>
    <n v="10"/>
    <n v="5"/>
    <s v="PASSED"/>
  </r>
  <r>
    <s v="EMPLOYEES"/>
    <x v="0"/>
    <x v="1"/>
    <x v="11"/>
    <s v="Y"/>
    <x v="3"/>
    <n v="4"/>
    <n v="0"/>
    <n v="0"/>
    <n v="0"/>
    <n v="10"/>
    <n v="5"/>
    <s v="PASSED"/>
  </r>
  <r>
    <s v="EMPLOYEES"/>
    <x v="0"/>
    <x v="1"/>
    <x v="12"/>
    <s v="Y"/>
    <x v="3"/>
    <n v="4"/>
    <n v="0"/>
    <n v="0"/>
    <n v="0"/>
    <n v="10"/>
    <n v="5"/>
    <s v="PASSED"/>
  </r>
  <r>
    <s v="EMPLOYEES"/>
    <x v="0"/>
    <x v="1"/>
    <x v="13"/>
    <s v="Y"/>
    <x v="3"/>
    <n v="4"/>
    <n v="0"/>
    <n v="0"/>
    <n v="0"/>
    <n v="10"/>
    <n v="5"/>
    <s v="PASSED"/>
  </r>
  <r>
    <s v="EMPLOYEES"/>
    <x v="0"/>
    <x v="1"/>
    <x v="14"/>
    <s v="N"/>
    <x v="3"/>
    <n v="4"/>
    <n v="18856.55"/>
    <n v="18856.55"/>
    <n v="0"/>
    <n v="10"/>
    <n v="5"/>
    <s v="PASSED"/>
  </r>
  <r>
    <s v="EMPLOYEES"/>
    <x v="0"/>
    <x v="1"/>
    <x v="15"/>
    <s v="N"/>
    <x v="3"/>
    <n v="4"/>
    <n v="11457.42"/>
    <n v="11457.42"/>
    <n v="0"/>
    <n v="10"/>
    <n v="5"/>
    <s v="PASSED"/>
  </r>
  <r>
    <s v="EMPLOYEES"/>
    <x v="0"/>
    <x v="1"/>
    <x v="16"/>
    <s v="N"/>
    <x v="3"/>
    <n v="4"/>
    <n v="0"/>
    <n v="0"/>
    <n v="0"/>
    <n v="10"/>
    <n v="5"/>
    <s v="PASSED"/>
  </r>
  <r>
    <s v="EMPLOYEES"/>
    <x v="0"/>
    <x v="1"/>
    <x v="0"/>
    <s v="Y"/>
    <x v="4"/>
    <n v="5"/>
    <n v="0"/>
    <n v="0"/>
    <n v="0"/>
    <n v="10"/>
    <n v="5"/>
    <s v="PASSED"/>
  </r>
  <r>
    <s v="EMPLOYEES"/>
    <x v="0"/>
    <x v="1"/>
    <x v="1"/>
    <s v="Y"/>
    <x v="4"/>
    <n v="5"/>
    <n v="0"/>
    <n v="0"/>
    <n v="0"/>
    <n v="10"/>
    <n v="5"/>
    <s v="PASSED"/>
  </r>
  <r>
    <s v="EMPLOYEES"/>
    <x v="0"/>
    <x v="1"/>
    <x v="2"/>
    <s v="Y"/>
    <x v="4"/>
    <n v="5"/>
    <n v="0"/>
    <n v="0"/>
    <n v="0"/>
    <n v="10"/>
    <n v="5"/>
    <s v="PASSED"/>
  </r>
  <r>
    <s v="EMPLOYEES"/>
    <x v="0"/>
    <x v="1"/>
    <x v="3"/>
    <s v="Y"/>
    <x v="4"/>
    <n v="5"/>
    <n v="3"/>
    <n v="3"/>
    <n v="0"/>
    <n v="10"/>
    <n v="5"/>
    <s v="PASSED"/>
  </r>
  <r>
    <s v="EMPLOYEES"/>
    <x v="0"/>
    <x v="1"/>
    <x v="4"/>
    <s v="Y"/>
    <x v="4"/>
    <n v="5"/>
    <n v="1"/>
    <n v="1"/>
    <n v="0"/>
    <n v="10"/>
    <n v="5"/>
    <s v="PASSED"/>
  </r>
  <r>
    <s v="EMPLOYEES"/>
    <x v="0"/>
    <x v="1"/>
    <x v="5"/>
    <s v="Y"/>
    <x v="4"/>
    <n v="5"/>
    <n v="0"/>
    <n v="0"/>
    <n v="0"/>
    <n v="10"/>
    <n v="5"/>
    <s v="PASSED"/>
  </r>
  <r>
    <s v="EMPLOYEES"/>
    <x v="0"/>
    <x v="1"/>
    <x v="6"/>
    <s v="Y"/>
    <x v="4"/>
    <n v="5"/>
    <n v="0"/>
    <n v="0"/>
    <n v="0"/>
    <n v="10"/>
    <n v="5"/>
    <s v="PASSED"/>
  </r>
  <r>
    <s v="EMPLOYEES"/>
    <x v="0"/>
    <x v="1"/>
    <x v="7"/>
    <s v="Y"/>
    <x v="4"/>
    <n v="5"/>
    <n v="2"/>
    <n v="2"/>
    <n v="0"/>
    <n v="10"/>
    <n v="5"/>
    <s v="PASSED"/>
  </r>
  <r>
    <s v="EMPLOYEES"/>
    <x v="0"/>
    <x v="1"/>
    <x v="8"/>
    <s v="Y"/>
    <x v="4"/>
    <n v="5"/>
    <n v="1"/>
    <n v="1"/>
    <n v="0"/>
    <n v="10"/>
    <n v="5"/>
    <s v="PASSED"/>
  </r>
  <r>
    <s v="EMPLOYEES"/>
    <x v="0"/>
    <x v="1"/>
    <x v="9"/>
    <s v="Y"/>
    <x v="4"/>
    <n v="5"/>
    <n v="2"/>
    <n v="2"/>
    <n v="0"/>
    <n v="10"/>
    <n v="5"/>
    <s v="PASSED"/>
  </r>
  <r>
    <s v="EMPLOYEES"/>
    <x v="0"/>
    <x v="1"/>
    <x v="10"/>
    <s v="Y"/>
    <x v="4"/>
    <n v="5"/>
    <n v="1"/>
    <n v="1"/>
    <n v="0"/>
    <n v="10"/>
    <n v="5"/>
    <s v="PASSED"/>
  </r>
  <r>
    <s v="EMPLOYEES"/>
    <x v="0"/>
    <x v="1"/>
    <x v="11"/>
    <s v="Y"/>
    <x v="4"/>
    <n v="5"/>
    <n v="0"/>
    <n v="0"/>
    <n v="0"/>
    <n v="10"/>
    <n v="5"/>
    <s v="PASSED"/>
  </r>
  <r>
    <s v="EMPLOYEES"/>
    <x v="0"/>
    <x v="1"/>
    <x v="12"/>
    <s v="Y"/>
    <x v="4"/>
    <n v="5"/>
    <n v="0"/>
    <n v="0"/>
    <n v="0"/>
    <n v="10"/>
    <n v="5"/>
    <s v="PASSED"/>
  </r>
  <r>
    <s v="EMPLOYEES"/>
    <x v="0"/>
    <x v="1"/>
    <x v="13"/>
    <s v="Y"/>
    <x v="4"/>
    <n v="5"/>
    <n v="0"/>
    <n v="0"/>
    <n v="0"/>
    <n v="10"/>
    <n v="5"/>
    <s v="PASSED"/>
  </r>
  <r>
    <s v="EMPLOYEES"/>
    <x v="0"/>
    <x v="1"/>
    <x v="14"/>
    <s v="N"/>
    <x v="4"/>
    <n v="5"/>
    <n v="1"/>
    <n v="1"/>
    <n v="0"/>
    <n v="10"/>
    <n v="5"/>
    <s v="PASSED"/>
  </r>
  <r>
    <s v="EMPLOYEES"/>
    <x v="0"/>
    <x v="1"/>
    <x v="15"/>
    <s v="N"/>
    <x v="4"/>
    <n v="5"/>
    <n v="1"/>
    <n v="1"/>
    <n v="0"/>
    <n v="10"/>
    <n v="5"/>
    <s v="PASSED"/>
  </r>
  <r>
    <s v="EMPLOYEES"/>
    <x v="0"/>
    <x v="1"/>
    <x v="16"/>
    <s v="N"/>
    <x v="4"/>
    <n v="5"/>
    <n v="0"/>
    <n v="0"/>
    <n v="0"/>
    <n v="10"/>
    <n v="5"/>
    <s v="PASSED"/>
  </r>
  <r>
    <s v="EMPLOYEES"/>
    <x v="0"/>
    <x v="1"/>
    <x v="0"/>
    <s v="Y"/>
    <x v="5"/>
    <n v="6"/>
    <n v="10215.799999999999"/>
    <n v="10215.799999999999"/>
    <n v="0"/>
    <n v="10"/>
    <n v="5"/>
    <s v="PASSED"/>
  </r>
  <r>
    <s v="EMPLOYEES"/>
    <x v="0"/>
    <x v="1"/>
    <x v="1"/>
    <s v="Y"/>
    <x v="5"/>
    <n v="6"/>
    <n v="30761.67"/>
    <n v="30761.67"/>
    <n v="0"/>
    <n v="10"/>
    <n v="5"/>
    <s v="PASSED"/>
  </r>
  <r>
    <s v="EMPLOYEES"/>
    <x v="0"/>
    <x v="1"/>
    <x v="2"/>
    <s v="Y"/>
    <x v="5"/>
    <n v="6"/>
    <n v="0"/>
    <n v="0"/>
    <n v="0"/>
    <n v="10"/>
    <n v="5"/>
    <s v="PASSED"/>
  </r>
  <r>
    <s v="EMPLOYEES"/>
    <x v="0"/>
    <x v="1"/>
    <x v="3"/>
    <s v="Y"/>
    <x v="5"/>
    <n v="6"/>
    <n v="63454.91"/>
    <n v="63454.91"/>
    <n v="0"/>
    <n v="10"/>
    <n v="5"/>
    <s v="PASSED"/>
  </r>
  <r>
    <s v="EMPLOYEES"/>
    <x v="0"/>
    <x v="1"/>
    <x v="4"/>
    <s v="Y"/>
    <x v="5"/>
    <n v="6"/>
    <n v="0"/>
    <n v="0"/>
    <n v="0"/>
    <n v="10"/>
    <n v="5"/>
    <s v="PASSED"/>
  </r>
  <r>
    <s v="EMPLOYEES"/>
    <x v="0"/>
    <x v="1"/>
    <x v="5"/>
    <s v="Y"/>
    <x v="5"/>
    <n v="6"/>
    <n v="5968.92"/>
    <n v="5968.92"/>
    <n v="0"/>
    <n v="10"/>
    <n v="5"/>
    <s v="PASSED"/>
  </r>
  <r>
    <s v="EMPLOYEES"/>
    <x v="0"/>
    <x v="1"/>
    <x v="6"/>
    <s v="Y"/>
    <x v="5"/>
    <n v="6"/>
    <n v="0"/>
    <n v="0"/>
    <n v="0"/>
    <n v="10"/>
    <n v="5"/>
    <s v="PASSED"/>
  </r>
  <r>
    <s v="EMPLOYEES"/>
    <x v="0"/>
    <x v="1"/>
    <x v="7"/>
    <s v="Y"/>
    <x v="5"/>
    <n v="6"/>
    <n v="0"/>
    <n v="0"/>
    <n v="0"/>
    <n v="10"/>
    <n v="5"/>
    <s v="PASSED"/>
  </r>
  <r>
    <s v="EMPLOYEES"/>
    <x v="0"/>
    <x v="1"/>
    <x v="8"/>
    <s v="Y"/>
    <x v="5"/>
    <n v="6"/>
    <n v="35351.68"/>
    <n v="35351.68"/>
    <n v="0"/>
    <n v="10"/>
    <n v="5"/>
    <s v="PASSED"/>
  </r>
  <r>
    <s v="EMPLOYEES"/>
    <x v="0"/>
    <x v="1"/>
    <x v="9"/>
    <s v="Y"/>
    <x v="5"/>
    <n v="6"/>
    <n v="7329.46"/>
    <n v="7329.46"/>
    <n v="0"/>
    <n v="10"/>
    <n v="5"/>
    <s v="PASSED"/>
  </r>
  <r>
    <s v="EMPLOYEES"/>
    <x v="0"/>
    <x v="1"/>
    <x v="10"/>
    <s v="Y"/>
    <x v="5"/>
    <n v="6"/>
    <n v="0"/>
    <n v="0"/>
    <n v="0"/>
    <n v="10"/>
    <n v="5"/>
    <s v="PASSED"/>
  </r>
  <r>
    <s v="EMPLOYEES"/>
    <x v="0"/>
    <x v="1"/>
    <x v="11"/>
    <s v="Y"/>
    <x v="5"/>
    <n v="6"/>
    <n v="7392.68"/>
    <n v="7392.68"/>
    <n v="0"/>
    <n v="10"/>
    <n v="5"/>
    <s v="PASSED"/>
  </r>
  <r>
    <s v="EMPLOYEES"/>
    <x v="0"/>
    <x v="1"/>
    <x v="12"/>
    <s v="Y"/>
    <x v="5"/>
    <n v="6"/>
    <n v="7188.05"/>
    <n v="7188.05"/>
    <n v="0"/>
    <n v="10"/>
    <n v="5"/>
    <s v="PASSED"/>
  </r>
  <r>
    <s v="EMPLOYEES"/>
    <x v="0"/>
    <x v="1"/>
    <x v="13"/>
    <s v="Y"/>
    <x v="5"/>
    <n v="6"/>
    <n v="0"/>
    <n v="0"/>
    <n v="0"/>
    <n v="10"/>
    <n v="5"/>
    <s v="PASSED"/>
  </r>
  <r>
    <s v="EMPLOYEES"/>
    <x v="0"/>
    <x v="1"/>
    <x v="14"/>
    <s v="N"/>
    <x v="5"/>
    <n v="6"/>
    <n v="10927.31"/>
    <n v="10927.31"/>
    <n v="0"/>
    <n v="10"/>
    <n v="5"/>
    <s v="PASSED"/>
  </r>
  <r>
    <s v="EMPLOYEES"/>
    <x v="0"/>
    <x v="1"/>
    <x v="15"/>
    <s v="N"/>
    <x v="5"/>
    <n v="6"/>
    <n v="0"/>
    <n v="0"/>
    <n v="0"/>
    <n v="10"/>
    <n v="5"/>
    <s v="PASSED"/>
  </r>
  <r>
    <s v="EMPLOYEES"/>
    <x v="0"/>
    <x v="1"/>
    <x v="16"/>
    <s v="N"/>
    <x v="5"/>
    <n v="6"/>
    <n v="9039.8799999999992"/>
    <n v="9039.8799999999992"/>
    <n v="0"/>
    <n v="10"/>
    <n v="5"/>
    <s v="PASSED"/>
  </r>
  <r>
    <s v="EMPLOYEES"/>
    <x v="0"/>
    <x v="1"/>
    <x v="0"/>
    <s v="Y"/>
    <x v="6"/>
    <n v="7"/>
    <n v="1"/>
    <n v="1"/>
    <n v="0"/>
    <n v="10"/>
    <n v="5"/>
    <s v="PASSED"/>
  </r>
  <r>
    <s v="EMPLOYEES"/>
    <x v="0"/>
    <x v="1"/>
    <x v="1"/>
    <s v="Y"/>
    <x v="6"/>
    <n v="7"/>
    <n v="1"/>
    <n v="1"/>
    <n v="0"/>
    <n v="10"/>
    <n v="5"/>
    <s v="PASSED"/>
  </r>
  <r>
    <s v="EMPLOYEES"/>
    <x v="0"/>
    <x v="1"/>
    <x v="2"/>
    <s v="Y"/>
    <x v="6"/>
    <n v="7"/>
    <n v="0"/>
    <n v="0"/>
    <n v="0"/>
    <n v="10"/>
    <n v="5"/>
    <s v="PASSED"/>
  </r>
  <r>
    <s v="EMPLOYEES"/>
    <x v="0"/>
    <x v="1"/>
    <x v="3"/>
    <s v="Y"/>
    <x v="6"/>
    <n v="7"/>
    <n v="3"/>
    <n v="3"/>
    <n v="0"/>
    <n v="10"/>
    <n v="5"/>
    <s v="PASSED"/>
  </r>
  <r>
    <s v="EMPLOYEES"/>
    <x v="0"/>
    <x v="1"/>
    <x v="4"/>
    <s v="Y"/>
    <x v="6"/>
    <n v="7"/>
    <n v="0"/>
    <n v="0"/>
    <n v="0"/>
    <n v="10"/>
    <n v="5"/>
    <s v="PASSED"/>
  </r>
  <r>
    <s v="EMPLOYEES"/>
    <x v="0"/>
    <x v="1"/>
    <x v="5"/>
    <s v="Y"/>
    <x v="6"/>
    <n v="7"/>
    <n v="1"/>
    <n v="1"/>
    <n v="0"/>
    <n v="10"/>
    <n v="5"/>
    <s v="PASSED"/>
  </r>
  <r>
    <s v="EMPLOYEES"/>
    <x v="0"/>
    <x v="1"/>
    <x v="6"/>
    <s v="Y"/>
    <x v="6"/>
    <n v="7"/>
    <n v="0"/>
    <n v="0"/>
    <n v="0"/>
    <n v="10"/>
    <n v="5"/>
    <s v="PASSED"/>
  </r>
  <r>
    <s v="EMPLOYEES"/>
    <x v="0"/>
    <x v="1"/>
    <x v="7"/>
    <s v="Y"/>
    <x v="6"/>
    <n v="7"/>
    <n v="0"/>
    <n v="0"/>
    <n v="0"/>
    <n v="10"/>
    <n v="5"/>
    <s v="PASSED"/>
  </r>
  <r>
    <s v="EMPLOYEES"/>
    <x v="0"/>
    <x v="1"/>
    <x v="8"/>
    <s v="Y"/>
    <x v="6"/>
    <n v="7"/>
    <n v="3"/>
    <n v="3"/>
    <n v="0"/>
    <n v="10"/>
    <n v="5"/>
    <s v="PASSED"/>
  </r>
  <r>
    <s v="EMPLOYEES"/>
    <x v="0"/>
    <x v="1"/>
    <x v="9"/>
    <s v="Y"/>
    <x v="6"/>
    <n v="7"/>
    <n v="1"/>
    <n v="1"/>
    <n v="0"/>
    <n v="10"/>
    <n v="5"/>
    <s v="PASSED"/>
  </r>
  <r>
    <s v="EMPLOYEES"/>
    <x v="0"/>
    <x v="1"/>
    <x v="10"/>
    <s v="Y"/>
    <x v="6"/>
    <n v="7"/>
    <n v="0"/>
    <n v="0"/>
    <n v="0"/>
    <n v="10"/>
    <n v="5"/>
    <s v="PASSED"/>
  </r>
  <r>
    <s v="EMPLOYEES"/>
    <x v="0"/>
    <x v="1"/>
    <x v="11"/>
    <s v="Y"/>
    <x v="6"/>
    <n v="7"/>
    <n v="1"/>
    <n v="1"/>
    <n v="0"/>
    <n v="10"/>
    <n v="5"/>
    <s v="PASSED"/>
  </r>
  <r>
    <s v="EMPLOYEES"/>
    <x v="0"/>
    <x v="1"/>
    <x v="12"/>
    <s v="Y"/>
    <x v="6"/>
    <n v="7"/>
    <n v="1"/>
    <n v="1"/>
    <n v="0"/>
    <n v="10"/>
    <n v="5"/>
    <s v="PASSED"/>
  </r>
  <r>
    <s v="EMPLOYEES"/>
    <x v="0"/>
    <x v="1"/>
    <x v="13"/>
    <s v="Y"/>
    <x v="6"/>
    <n v="7"/>
    <n v="0"/>
    <n v="0"/>
    <n v="0"/>
    <n v="10"/>
    <n v="5"/>
    <s v="PASSED"/>
  </r>
  <r>
    <s v="EMPLOYEES"/>
    <x v="0"/>
    <x v="1"/>
    <x v="14"/>
    <s v="N"/>
    <x v="6"/>
    <n v="7"/>
    <n v="1"/>
    <n v="1"/>
    <n v="0"/>
    <n v="10"/>
    <n v="5"/>
    <s v="PASSED"/>
  </r>
  <r>
    <s v="EMPLOYEES"/>
    <x v="0"/>
    <x v="1"/>
    <x v="15"/>
    <s v="N"/>
    <x v="6"/>
    <n v="7"/>
    <n v="0"/>
    <n v="0"/>
    <n v="0"/>
    <n v="10"/>
    <n v="5"/>
    <s v="PASSED"/>
  </r>
  <r>
    <s v="EMPLOYEES"/>
    <x v="0"/>
    <x v="1"/>
    <x v="16"/>
    <s v="N"/>
    <x v="6"/>
    <n v="7"/>
    <n v="1"/>
    <n v="1"/>
    <n v="0"/>
    <n v="10"/>
    <n v="5"/>
    <s v="PASSED"/>
  </r>
  <r>
    <s v="EMPLOYEES"/>
    <x v="0"/>
    <x v="1"/>
    <x v="0"/>
    <s v="Y"/>
    <x v="7"/>
    <n v="8"/>
    <n v="19415.509999999998"/>
    <n v="19415.509999999998"/>
    <n v="0"/>
    <n v="10"/>
    <n v="5"/>
    <s v="PASSED"/>
  </r>
  <r>
    <s v="EMPLOYEES"/>
    <x v="0"/>
    <x v="1"/>
    <x v="1"/>
    <s v="Y"/>
    <x v="7"/>
    <n v="8"/>
    <n v="26087.14"/>
    <n v="26087.14"/>
    <n v="0"/>
    <n v="10"/>
    <n v="5"/>
    <s v="PASSED"/>
  </r>
  <r>
    <s v="EMPLOYEES"/>
    <x v="0"/>
    <x v="1"/>
    <x v="2"/>
    <s v="Y"/>
    <x v="7"/>
    <n v="8"/>
    <n v="42231.95"/>
    <n v="42231.95"/>
    <n v="0"/>
    <n v="10"/>
    <n v="5"/>
    <s v="PASSED"/>
  </r>
  <r>
    <s v="EMPLOYEES"/>
    <x v="0"/>
    <x v="1"/>
    <x v="3"/>
    <s v="Y"/>
    <x v="7"/>
    <n v="8"/>
    <n v="38042.269999999997"/>
    <n v="38042.269999999997"/>
    <n v="0"/>
    <n v="10"/>
    <n v="5"/>
    <s v="PASSED"/>
  </r>
  <r>
    <s v="EMPLOYEES"/>
    <x v="0"/>
    <x v="1"/>
    <x v="4"/>
    <s v="Y"/>
    <x v="7"/>
    <n v="8"/>
    <n v="34888.71"/>
    <n v="34888.71"/>
    <n v="0"/>
    <n v="10"/>
    <n v="5"/>
    <s v="PASSED"/>
  </r>
  <r>
    <s v="EMPLOYEES"/>
    <x v="0"/>
    <x v="1"/>
    <x v="5"/>
    <s v="Y"/>
    <x v="7"/>
    <n v="8"/>
    <n v="38225.019999999997"/>
    <n v="38225.019999999997"/>
    <n v="0"/>
    <n v="10"/>
    <n v="5"/>
    <s v="PASSED"/>
  </r>
  <r>
    <s v="EMPLOYEES"/>
    <x v="0"/>
    <x v="1"/>
    <x v="6"/>
    <s v="Y"/>
    <x v="7"/>
    <n v="8"/>
    <n v="31438.02"/>
    <n v="31438.02"/>
    <n v="0"/>
    <n v="10"/>
    <n v="5"/>
    <s v="PASSED"/>
  </r>
  <r>
    <s v="EMPLOYEES"/>
    <x v="0"/>
    <x v="1"/>
    <x v="7"/>
    <s v="Y"/>
    <x v="7"/>
    <n v="8"/>
    <n v="44517.84"/>
    <n v="44517.84"/>
    <n v="0"/>
    <n v="10"/>
    <n v="5"/>
    <s v="PASSED"/>
  </r>
  <r>
    <s v="EMPLOYEES"/>
    <x v="0"/>
    <x v="1"/>
    <x v="8"/>
    <s v="Y"/>
    <x v="7"/>
    <n v="8"/>
    <n v="38412.1"/>
    <n v="38412.1"/>
    <n v="0"/>
    <n v="10"/>
    <n v="5"/>
    <s v="PASSED"/>
  </r>
  <r>
    <s v="EMPLOYEES"/>
    <x v="0"/>
    <x v="1"/>
    <x v="9"/>
    <s v="Y"/>
    <x v="7"/>
    <n v="8"/>
    <n v="30592.91"/>
    <n v="30592.91"/>
    <n v="0"/>
    <n v="10"/>
    <n v="5"/>
    <s v="PASSED"/>
  </r>
  <r>
    <s v="EMPLOYEES"/>
    <x v="0"/>
    <x v="1"/>
    <x v="10"/>
    <s v="Y"/>
    <x v="7"/>
    <n v="8"/>
    <n v="30043.759999999998"/>
    <n v="30043.759999999998"/>
    <n v="0"/>
    <n v="10"/>
    <n v="5"/>
    <s v="PASSED"/>
  </r>
  <r>
    <s v="EMPLOYEES"/>
    <x v="0"/>
    <x v="1"/>
    <x v="11"/>
    <s v="Y"/>
    <x v="7"/>
    <n v="8"/>
    <n v="38302.339999999997"/>
    <n v="38302.339999999997"/>
    <n v="0"/>
    <n v="10"/>
    <n v="5"/>
    <s v="PASSED"/>
  </r>
  <r>
    <s v="EMPLOYEES"/>
    <x v="0"/>
    <x v="1"/>
    <x v="12"/>
    <s v="Y"/>
    <x v="7"/>
    <n v="8"/>
    <n v="26309.14"/>
    <n v="26309.14"/>
    <n v="0"/>
    <n v="10"/>
    <n v="5"/>
    <s v="PASSED"/>
  </r>
  <r>
    <s v="EMPLOYEES"/>
    <x v="0"/>
    <x v="1"/>
    <x v="13"/>
    <s v="Y"/>
    <x v="7"/>
    <n v="8"/>
    <n v="28688.63"/>
    <n v="28688.63"/>
    <n v="0"/>
    <n v="10"/>
    <n v="5"/>
    <s v="PASSED"/>
  </r>
  <r>
    <s v="EMPLOYEES"/>
    <x v="0"/>
    <x v="1"/>
    <x v="14"/>
    <s v="N"/>
    <x v="7"/>
    <n v="8"/>
    <n v="36813.69"/>
    <n v="36813.69"/>
    <n v="0"/>
    <n v="10"/>
    <n v="5"/>
    <s v="PASSED"/>
  </r>
  <r>
    <s v="EMPLOYEES"/>
    <x v="0"/>
    <x v="1"/>
    <x v="15"/>
    <s v="N"/>
    <x v="7"/>
    <n v="8"/>
    <n v="27408.71"/>
    <n v="27408.71"/>
    <n v="0"/>
    <n v="10"/>
    <n v="5"/>
    <s v="PASSED"/>
  </r>
  <r>
    <s v="EMPLOYEES"/>
    <x v="0"/>
    <x v="1"/>
    <x v="16"/>
    <s v="N"/>
    <x v="7"/>
    <n v="8"/>
    <n v="16095.77"/>
    <n v="16095.77"/>
    <n v="0"/>
    <n v="10"/>
    <n v="5"/>
    <s v="PASSED"/>
  </r>
  <r>
    <s v="EMPLOYEES"/>
    <x v="0"/>
    <x v="1"/>
    <x v="0"/>
    <s v="Y"/>
    <x v="8"/>
    <n v="9"/>
    <n v="32"/>
    <n v="32"/>
    <n v="0"/>
    <n v="10"/>
    <n v="5"/>
    <s v="PASSED"/>
  </r>
  <r>
    <s v="EMPLOYEES"/>
    <x v="0"/>
    <x v="1"/>
    <x v="1"/>
    <s v="Y"/>
    <x v="8"/>
    <n v="9"/>
    <n v="45"/>
    <n v="45"/>
    <n v="0"/>
    <n v="10"/>
    <n v="5"/>
    <s v="PASSED"/>
  </r>
  <r>
    <s v="EMPLOYEES"/>
    <x v="0"/>
    <x v="1"/>
    <x v="2"/>
    <s v="Y"/>
    <x v="8"/>
    <n v="9"/>
    <n v="72"/>
    <n v="72"/>
    <n v="0"/>
    <n v="10"/>
    <n v="5"/>
    <s v="PASSED"/>
  </r>
  <r>
    <s v="EMPLOYEES"/>
    <x v="0"/>
    <x v="1"/>
    <x v="3"/>
    <s v="Y"/>
    <x v="8"/>
    <n v="9"/>
    <n v="49"/>
    <n v="49"/>
    <n v="0"/>
    <n v="10"/>
    <n v="5"/>
    <s v="PASSED"/>
  </r>
  <r>
    <s v="EMPLOYEES"/>
    <x v="0"/>
    <x v="1"/>
    <x v="4"/>
    <s v="Y"/>
    <x v="8"/>
    <n v="9"/>
    <n v="58"/>
    <n v="58"/>
    <n v="0"/>
    <n v="10"/>
    <n v="5"/>
    <s v="PASSED"/>
  </r>
  <r>
    <s v="EMPLOYEES"/>
    <x v="0"/>
    <x v="1"/>
    <x v="5"/>
    <s v="Y"/>
    <x v="8"/>
    <n v="9"/>
    <n v="48"/>
    <n v="48"/>
    <n v="0"/>
    <n v="10"/>
    <n v="5"/>
    <s v="PASSED"/>
  </r>
  <r>
    <s v="EMPLOYEES"/>
    <x v="0"/>
    <x v="1"/>
    <x v="6"/>
    <s v="Y"/>
    <x v="8"/>
    <n v="9"/>
    <n v="57"/>
    <n v="57"/>
    <n v="0"/>
    <n v="10"/>
    <n v="5"/>
    <s v="PASSED"/>
  </r>
  <r>
    <s v="EMPLOYEES"/>
    <x v="0"/>
    <x v="1"/>
    <x v="7"/>
    <s v="Y"/>
    <x v="8"/>
    <n v="9"/>
    <n v="73"/>
    <n v="73"/>
    <n v="0"/>
    <n v="10"/>
    <n v="5"/>
    <s v="PASSED"/>
  </r>
  <r>
    <s v="EMPLOYEES"/>
    <x v="0"/>
    <x v="1"/>
    <x v="8"/>
    <s v="Y"/>
    <x v="8"/>
    <n v="9"/>
    <n v="86"/>
    <n v="86"/>
    <n v="0"/>
    <n v="10"/>
    <n v="5"/>
    <s v="PASSED"/>
  </r>
  <r>
    <s v="EMPLOYEES"/>
    <x v="0"/>
    <x v="1"/>
    <x v="9"/>
    <s v="Y"/>
    <x v="8"/>
    <n v="9"/>
    <n v="39"/>
    <n v="39"/>
    <n v="0"/>
    <n v="10"/>
    <n v="5"/>
    <s v="PASSED"/>
  </r>
  <r>
    <s v="EMPLOYEES"/>
    <x v="0"/>
    <x v="1"/>
    <x v="10"/>
    <s v="Y"/>
    <x v="8"/>
    <n v="9"/>
    <n v="55"/>
    <n v="55"/>
    <n v="0"/>
    <n v="10"/>
    <n v="5"/>
    <s v="PASSED"/>
  </r>
  <r>
    <s v="EMPLOYEES"/>
    <x v="0"/>
    <x v="1"/>
    <x v="11"/>
    <s v="Y"/>
    <x v="8"/>
    <n v="9"/>
    <n v="64"/>
    <n v="64"/>
    <n v="0"/>
    <n v="10"/>
    <n v="5"/>
    <s v="PASSED"/>
  </r>
  <r>
    <s v="EMPLOYEES"/>
    <x v="0"/>
    <x v="1"/>
    <x v="12"/>
    <s v="Y"/>
    <x v="8"/>
    <n v="9"/>
    <n v="38"/>
    <n v="38"/>
    <n v="0"/>
    <n v="10"/>
    <n v="5"/>
    <s v="PASSED"/>
  </r>
  <r>
    <s v="EMPLOYEES"/>
    <x v="0"/>
    <x v="1"/>
    <x v="13"/>
    <s v="Y"/>
    <x v="8"/>
    <n v="9"/>
    <n v="29"/>
    <n v="29"/>
    <n v="0"/>
    <n v="10"/>
    <n v="5"/>
    <s v="PASSED"/>
  </r>
  <r>
    <s v="EMPLOYEES"/>
    <x v="0"/>
    <x v="1"/>
    <x v="14"/>
    <s v="N"/>
    <x v="8"/>
    <n v="9"/>
    <n v="46"/>
    <n v="46"/>
    <n v="0"/>
    <n v="10"/>
    <n v="5"/>
    <s v="PASSED"/>
  </r>
  <r>
    <s v="EMPLOYEES"/>
    <x v="0"/>
    <x v="1"/>
    <x v="15"/>
    <s v="N"/>
    <x v="8"/>
    <n v="9"/>
    <n v="71"/>
    <n v="71"/>
    <n v="0"/>
    <n v="10"/>
    <n v="5"/>
    <s v="PASSED"/>
  </r>
  <r>
    <s v="EMPLOYEES"/>
    <x v="0"/>
    <x v="1"/>
    <x v="16"/>
    <s v="N"/>
    <x v="8"/>
    <n v="9"/>
    <n v="37"/>
    <n v="37"/>
    <n v="0"/>
    <n v="10"/>
    <n v="5"/>
    <s v="PASSED"/>
  </r>
  <r>
    <s v="EMPLOYEES"/>
    <x v="0"/>
    <x v="1"/>
    <x v="0"/>
    <s v="Y"/>
    <x v="9"/>
    <n v="10"/>
    <n v="37"/>
    <n v="37"/>
    <n v="0"/>
    <n v="10"/>
    <n v="5"/>
    <s v="PASSED"/>
  </r>
  <r>
    <s v="EMPLOYEES"/>
    <x v="0"/>
    <x v="1"/>
    <x v="1"/>
    <s v="Y"/>
    <x v="9"/>
    <n v="10"/>
    <n v="50"/>
    <n v="50"/>
    <n v="0"/>
    <n v="10"/>
    <n v="5"/>
    <s v="PASSED"/>
  </r>
  <r>
    <s v="EMPLOYEES"/>
    <x v="0"/>
    <x v="1"/>
    <x v="2"/>
    <s v="Y"/>
    <x v="9"/>
    <n v="10"/>
    <n v="72"/>
    <n v="72"/>
    <n v="0"/>
    <n v="10"/>
    <n v="5"/>
    <s v="PASSED"/>
  </r>
  <r>
    <s v="EMPLOYEES"/>
    <x v="0"/>
    <x v="1"/>
    <x v="3"/>
    <s v="Y"/>
    <x v="9"/>
    <n v="10"/>
    <n v="67"/>
    <n v="67"/>
    <n v="0"/>
    <n v="10"/>
    <n v="5"/>
    <s v="PASSED"/>
  </r>
  <r>
    <s v="EMPLOYEES"/>
    <x v="0"/>
    <x v="1"/>
    <x v="4"/>
    <s v="Y"/>
    <x v="9"/>
    <n v="10"/>
    <n v="54"/>
    <n v="54"/>
    <n v="0"/>
    <n v="10"/>
    <n v="5"/>
    <s v="PASSED"/>
  </r>
  <r>
    <s v="EMPLOYEES"/>
    <x v="0"/>
    <x v="1"/>
    <x v="5"/>
    <s v="Y"/>
    <x v="9"/>
    <n v="10"/>
    <n v="136"/>
    <n v="136"/>
    <n v="0"/>
    <n v="10"/>
    <n v="5"/>
    <s v="PASSED"/>
  </r>
  <r>
    <s v="EMPLOYEES"/>
    <x v="0"/>
    <x v="1"/>
    <x v="6"/>
    <s v="Y"/>
    <x v="9"/>
    <n v="10"/>
    <n v="35"/>
    <n v="35"/>
    <n v="0"/>
    <n v="10"/>
    <n v="5"/>
    <s v="PASSED"/>
  </r>
  <r>
    <s v="EMPLOYEES"/>
    <x v="0"/>
    <x v="1"/>
    <x v="7"/>
    <s v="Y"/>
    <x v="9"/>
    <n v="10"/>
    <n v="73"/>
    <n v="73"/>
    <n v="0"/>
    <n v="10"/>
    <n v="5"/>
    <s v="PASSED"/>
  </r>
  <r>
    <s v="EMPLOYEES"/>
    <x v="0"/>
    <x v="1"/>
    <x v="8"/>
    <s v="Y"/>
    <x v="9"/>
    <n v="10"/>
    <n v="81"/>
    <n v="81"/>
    <n v="0"/>
    <n v="10"/>
    <n v="5"/>
    <s v="PASSED"/>
  </r>
  <r>
    <s v="EMPLOYEES"/>
    <x v="0"/>
    <x v="1"/>
    <x v="9"/>
    <s v="Y"/>
    <x v="9"/>
    <n v="10"/>
    <n v="43"/>
    <n v="43"/>
    <n v="0"/>
    <n v="10"/>
    <n v="5"/>
    <s v="PASSED"/>
  </r>
  <r>
    <s v="EMPLOYEES"/>
    <x v="0"/>
    <x v="1"/>
    <x v="10"/>
    <s v="Y"/>
    <x v="9"/>
    <n v="10"/>
    <n v="43"/>
    <n v="43"/>
    <n v="0"/>
    <n v="10"/>
    <n v="5"/>
    <s v="PASSED"/>
  </r>
  <r>
    <s v="EMPLOYEES"/>
    <x v="0"/>
    <x v="1"/>
    <x v="11"/>
    <s v="Y"/>
    <x v="9"/>
    <n v="10"/>
    <n v="94"/>
    <n v="94"/>
    <n v="0"/>
    <n v="10"/>
    <n v="5"/>
    <s v="PASSED"/>
  </r>
  <r>
    <s v="EMPLOYEES"/>
    <x v="0"/>
    <x v="1"/>
    <x v="12"/>
    <s v="Y"/>
    <x v="9"/>
    <n v="10"/>
    <n v="63"/>
    <n v="63"/>
    <n v="0"/>
    <n v="10"/>
    <n v="5"/>
    <s v="PASSED"/>
  </r>
  <r>
    <s v="EMPLOYEES"/>
    <x v="0"/>
    <x v="1"/>
    <x v="13"/>
    <s v="Y"/>
    <x v="9"/>
    <n v="10"/>
    <n v="54"/>
    <n v="54"/>
    <n v="0"/>
    <n v="10"/>
    <n v="5"/>
    <s v="PASSED"/>
  </r>
  <r>
    <s v="EMPLOYEES"/>
    <x v="0"/>
    <x v="1"/>
    <x v="14"/>
    <s v="N"/>
    <x v="9"/>
    <n v="10"/>
    <n v="62"/>
    <n v="62"/>
    <n v="0"/>
    <n v="10"/>
    <n v="5"/>
    <s v="PASSED"/>
  </r>
  <r>
    <s v="EMPLOYEES"/>
    <x v="0"/>
    <x v="1"/>
    <x v="15"/>
    <s v="N"/>
    <x v="9"/>
    <n v="10"/>
    <n v="29"/>
    <n v="29"/>
    <n v="0"/>
    <n v="10"/>
    <n v="5"/>
    <s v="PASSED"/>
  </r>
  <r>
    <s v="EMPLOYEES"/>
    <x v="0"/>
    <x v="1"/>
    <x v="16"/>
    <s v="N"/>
    <x v="9"/>
    <n v="10"/>
    <n v="21"/>
    <n v="21"/>
    <n v="0"/>
    <n v="10"/>
    <n v="5"/>
    <s v="PASSED"/>
  </r>
  <r>
    <s v="EMPLOYEES"/>
    <x v="0"/>
    <x v="1"/>
    <x v="0"/>
    <s v="Y"/>
    <x v="10"/>
    <n v="11"/>
    <n v="0"/>
    <n v="0"/>
    <n v="0"/>
    <n v="10"/>
    <n v="5"/>
    <s v="PASSED"/>
  </r>
  <r>
    <s v="EMPLOYEES"/>
    <x v="0"/>
    <x v="1"/>
    <x v="1"/>
    <s v="Y"/>
    <x v="10"/>
    <n v="11"/>
    <n v="0"/>
    <n v="0"/>
    <n v="0"/>
    <n v="10"/>
    <n v="5"/>
    <s v="PASSED"/>
  </r>
  <r>
    <s v="EMPLOYEES"/>
    <x v="0"/>
    <x v="1"/>
    <x v="2"/>
    <s v="Y"/>
    <x v="10"/>
    <n v="11"/>
    <n v="0"/>
    <n v="0"/>
    <n v="0"/>
    <n v="10"/>
    <n v="5"/>
    <s v="PASSED"/>
  </r>
  <r>
    <s v="EMPLOYEES"/>
    <x v="0"/>
    <x v="1"/>
    <x v="3"/>
    <s v="Y"/>
    <x v="10"/>
    <n v="11"/>
    <n v="0"/>
    <n v="0"/>
    <n v="0"/>
    <n v="10"/>
    <n v="5"/>
    <s v="PASSED"/>
  </r>
  <r>
    <s v="EMPLOYEES"/>
    <x v="0"/>
    <x v="1"/>
    <x v="4"/>
    <s v="Y"/>
    <x v="10"/>
    <n v="11"/>
    <n v="0"/>
    <n v="0"/>
    <n v="0"/>
    <n v="10"/>
    <n v="5"/>
    <s v="PASSED"/>
  </r>
  <r>
    <s v="EMPLOYEES"/>
    <x v="0"/>
    <x v="1"/>
    <x v="5"/>
    <s v="Y"/>
    <x v="10"/>
    <n v="11"/>
    <n v="0"/>
    <n v="0"/>
    <n v="0"/>
    <n v="10"/>
    <n v="5"/>
    <s v="PASSED"/>
  </r>
  <r>
    <s v="EMPLOYEES"/>
    <x v="0"/>
    <x v="1"/>
    <x v="6"/>
    <s v="Y"/>
    <x v="10"/>
    <n v="11"/>
    <n v="0"/>
    <n v="0"/>
    <n v="0"/>
    <n v="10"/>
    <n v="5"/>
    <s v="PASSED"/>
  </r>
  <r>
    <s v="EMPLOYEES"/>
    <x v="0"/>
    <x v="1"/>
    <x v="7"/>
    <s v="Y"/>
    <x v="10"/>
    <n v="11"/>
    <n v="0"/>
    <n v="0"/>
    <n v="0"/>
    <n v="10"/>
    <n v="5"/>
    <s v="PASSED"/>
  </r>
  <r>
    <s v="EMPLOYEES"/>
    <x v="0"/>
    <x v="1"/>
    <x v="8"/>
    <s v="Y"/>
    <x v="10"/>
    <n v="11"/>
    <n v="0"/>
    <n v="0"/>
    <n v="0"/>
    <n v="10"/>
    <n v="5"/>
    <s v="PASSED"/>
  </r>
  <r>
    <s v="EMPLOYEES"/>
    <x v="0"/>
    <x v="1"/>
    <x v="9"/>
    <s v="Y"/>
    <x v="10"/>
    <n v="11"/>
    <n v="0"/>
    <n v="0"/>
    <n v="0"/>
    <n v="10"/>
    <n v="5"/>
    <s v="PASSED"/>
  </r>
  <r>
    <s v="EMPLOYEES"/>
    <x v="0"/>
    <x v="1"/>
    <x v="10"/>
    <s v="Y"/>
    <x v="10"/>
    <n v="11"/>
    <n v="0"/>
    <n v="0"/>
    <n v="0"/>
    <n v="10"/>
    <n v="5"/>
    <s v="PASSED"/>
  </r>
  <r>
    <s v="EMPLOYEES"/>
    <x v="0"/>
    <x v="1"/>
    <x v="11"/>
    <s v="Y"/>
    <x v="10"/>
    <n v="11"/>
    <n v="0"/>
    <n v="0"/>
    <n v="0"/>
    <n v="10"/>
    <n v="5"/>
    <s v="PASSED"/>
  </r>
  <r>
    <s v="EMPLOYEES"/>
    <x v="0"/>
    <x v="1"/>
    <x v="12"/>
    <s v="Y"/>
    <x v="10"/>
    <n v="11"/>
    <n v="0"/>
    <n v="0"/>
    <n v="0"/>
    <n v="10"/>
    <n v="5"/>
    <s v="PASSED"/>
  </r>
  <r>
    <s v="EMPLOYEES"/>
    <x v="0"/>
    <x v="1"/>
    <x v="13"/>
    <s v="Y"/>
    <x v="10"/>
    <n v="11"/>
    <n v="0"/>
    <n v="0"/>
    <n v="0"/>
    <n v="10"/>
    <n v="5"/>
    <s v="PASSED"/>
  </r>
  <r>
    <s v="EMPLOYEES"/>
    <x v="0"/>
    <x v="1"/>
    <x v="14"/>
    <s v="N"/>
    <x v="10"/>
    <n v="11"/>
    <n v="0"/>
    <n v="0"/>
    <n v="0"/>
    <n v="10"/>
    <n v="5"/>
    <s v="PASSED"/>
  </r>
  <r>
    <s v="EMPLOYEES"/>
    <x v="0"/>
    <x v="1"/>
    <x v="15"/>
    <s v="N"/>
    <x v="10"/>
    <n v="11"/>
    <n v="0"/>
    <n v="0"/>
    <n v="0"/>
    <n v="10"/>
    <n v="5"/>
    <s v="PASSED"/>
  </r>
  <r>
    <s v="EMPLOYEES"/>
    <x v="0"/>
    <x v="1"/>
    <x v="16"/>
    <s v="N"/>
    <x v="10"/>
    <n v="11"/>
    <n v="0"/>
    <n v="0"/>
    <n v="0"/>
    <n v="10"/>
    <n v="5"/>
    <s v="PASSED"/>
  </r>
  <r>
    <s v="EMPLOYEES"/>
    <x v="0"/>
    <x v="1"/>
    <x v="0"/>
    <s v="Y"/>
    <x v="11"/>
    <n v="12"/>
    <n v="0"/>
    <n v="0"/>
    <n v="0"/>
    <n v="10"/>
    <n v="5"/>
    <s v="PASSED"/>
  </r>
  <r>
    <s v="EMPLOYEES"/>
    <x v="0"/>
    <x v="1"/>
    <x v="1"/>
    <s v="Y"/>
    <x v="11"/>
    <n v="12"/>
    <n v="5"/>
    <n v="5"/>
    <n v="0"/>
    <n v="10"/>
    <n v="5"/>
    <s v="PASSED"/>
  </r>
  <r>
    <s v="EMPLOYEES"/>
    <x v="0"/>
    <x v="1"/>
    <x v="2"/>
    <s v="Y"/>
    <x v="11"/>
    <n v="12"/>
    <n v="5"/>
    <n v="5"/>
    <n v="0"/>
    <n v="10"/>
    <n v="5"/>
    <s v="PASSED"/>
  </r>
  <r>
    <s v="EMPLOYEES"/>
    <x v="0"/>
    <x v="1"/>
    <x v="3"/>
    <s v="Y"/>
    <x v="11"/>
    <n v="12"/>
    <n v="9"/>
    <n v="9"/>
    <n v="0"/>
    <n v="10"/>
    <n v="5"/>
    <s v="PASSED"/>
  </r>
  <r>
    <s v="EMPLOYEES"/>
    <x v="0"/>
    <x v="1"/>
    <x v="4"/>
    <s v="Y"/>
    <x v="11"/>
    <n v="12"/>
    <n v="0"/>
    <n v="0"/>
    <n v="0"/>
    <n v="10"/>
    <n v="5"/>
    <s v="PASSED"/>
  </r>
  <r>
    <s v="EMPLOYEES"/>
    <x v="0"/>
    <x v="1"/>
    <x v="5"/>
    <s v="Y"/>
    <x v="11"/>
    <n v="12"/>
    <n v="0"/>
    <n v="0"/>
    <n v="0"/>
    <n v="10"/>
    <n v="5"/>
    <s v="PASSED"/>
  </r>
  <r>
    <s v="EMPLOYEES"/>
    <x v="0"/>
    <x v="1"/>
    <x v="6"/>
    <s v="Y"/>
    <x v="11"/>
    <n v="12"/>
    <n v="0"/>
    <n v="0"/>
    <n v="0"/>
    <n v="10"/>
    <n v="5"/>
    <s v="PASSED"/>
  </r>
  <r>
    <s v="EMPLOYEES"/>
    <x v="0"/>
    <x v="1"/>
    <x v="7"/>
    <s v="Y"/>
    <x v="11"/>
    <n v="12"/>
    <n v="0"/>
    <n v="0"/>
    <n v="0"/>
    <n v="10"/>
    <n v="5"/>
    <s v="PASSED"/>
  </r>
  <r>
    <s v="EMPLOYEES"/>
    <x v="0"/>
    <x v="1"/>
    <x v="8"/>
    <s v="Y"/>
    <x v="11"/>
    <n v="12"/>
    <n v="0"/>
    <n v="0"/>
    <n v="0"/>
    <n v="10"/>
    <n v="5"/>
    <s v="PASSED"/>
  </r>
  <r>
    <s v="EMPLOYEES"/>
    <x v="0"/>
    <x v="1"/>
    <x v="9"/>
    <s v="Y"/>
    <x v="11"/>
    <n v="12"/>
    <n v="0"/>
    <n v="0"/>
    <n v="0"/>
    <n v="10"/>
    <n v="5"/>
    <s v="PASSED"/>
  </r>
  <r>
    <s v="EMPLOYEES"/>
    <x v="0"/>
    <x v="1"/>
    <x v="10"/>
    <s v="Y"/>
    <x v="11"/>
    <n v="12"/>
    <n v="0"/>
    <n v="0"/>
    <n v="0"/>
    <n v="10"/>
    <n v="5"/>
    <s v="PASSED"/>
  </r>
  <r>
    <s v="EMPLOYEES"/>
    <x v="0"/>
    <x v="1"/>
    <x v="11"/>
    <s v="Y"/>
    <x v="11"/>
    <n v="12"/>
    <n v="0"/>
    <n v="0"/>
    <n v="0"/>
    <n v="10"/>
    <n v="5"/>
    <s v="PASSED"/>
  </r>
  <r>
    <s v="EMPLOYEES"/>
    <x v="0"/>
    <x v="1"/>
    <x v="12"/>
    <s v="Y"/>
    <x v="11"/>
    <n v="12"/>
    <n v="0"/>
    <n v="0"/>
    <n v="0"/>
    <n v="10"/>
    <n v="5"/>
    <s v="PASSED"/>
  </r>
  <r>
    <s v="EMPLOYEES"/>
    <x v="0"/>
    <x v="1"/>
    <x v="13"/>
    <s v="Y"/>
    <x v="11"/>
    <n v="12"/>
    <n v="0"/>
    <n v="0"/>
    <n v="0"/>
    <n v="10"/>
    <n v="5"/>
    <s v="PASSED"/>
  </r>
  <r>
    <s v="EMPLOYEES"/>
    <x v="0"/>
    <x v="1"/>
    <x v="14"/>
    <s v="N"/>
    <x v="11"/>
    <n v="12"/>
    <n v="0"/>
    <n v="0"/>
    <n v="0"/>
    <n v="10"/>
    <n v="5"/>
    <s v="PASSED"/>
  </r>
  <r>
    <s v="EMPLOYEES"/>
    <x v="0"/>
    <x v="1"/>
    <x v="15"/>
    <s v="N"/>
    <x v="11"/>
    <n v="12"/>
    <n v="0"/>
    <n v="0"/>
    <n v="0"/>
    <n v="10"/>
    <n v="5"/>
    <s v="PASSED"/>
  </r>
  <r>
    <s v="EMPLOYEES"/>
    <x v="0"/>
    <x v="1"/>
    <x v="16"/>
    <s v="N"/>
    <x v="11"/>
    <n v="12"/>
    <n v="0"/>
    <n v="0"/>
    <n v="0"/>
    <n v="10"/>
    <n v="5"/>
    <s v="PASSED"/>
  </r>
  <r>
    <s v="EMPLOYEES"/>
    <x v="0"/>
    <x v="1"/>
    <x v="0"/>
    <s v="Y"/>
    <x v="12"/>
    <n v="13"/>
    <n v="117506"/>
    <n v="117506"/>
    <n v="0"/>
    <n v="10"/>
    <n v="5"/>
    <s v="PASSED"/>
  </r>
  <r>
    <s v="EMPLOYEES"/>
    <x v="0"/>
    <x v="1"/>
    <x v="1"/>
    <s v="Y"/>
    <x v="12"/>
    <n v="13"/>
    <n v="83381"/>
    <n v="83381"/>
    <n v="0"/>
    <n v="10"/>
    <n v="5"/>
    <s v="PASSED"/>
  </r>
  <r>
    <s v="EMPLOYEES"/>
    <x v="0"/>
    <x v="1"/>
    <x v="2"/>
    <s v="Y"/>
    <x v="12"/>
    <n v="13"/>
    <n v="84357"/>
    <n v="84357"/>
    <n v="0"/>
    <n v="10"/>
    <n v="5"/>
    <s v="PASSED"/>
  </r>
  <r>
    <s v="EMPLOYEES"/>
    <x v="0"/>
    <x v="1"/>
    <x v="3"/>
    <s v="Y"/>
    <x v="12"/>
    <n v="13"/>
    <n v="102313"/>
    <n v="102313"/>
    <n v="0"/>
    <n v="10"/>
    <n v="5"/>
    <s v="PASSED"/>
  </r>
  <r>
    <s v="EMPLOYEES"/>
    <x v="0"/>
    <x v="1"/>
    <x v="4"/>
    <s v="Y"/>
    <x v="12"/>
    <n v="13"/>
    <n v="50376"/>
    <n v="50376"/>
    <n v="0"/>
    <n v="10"/>
    <n v="5"/>
    <s v="PASSED"/>
  </r>
  <r>
    <s v="EMPLOYEES"/>
    <x v="0"/>
    <x v="1"/>
    <x v="5"/>
    <s v="Y"/>
    <x v="12"/>
    <n v="13"/>
    <n v="64747"/>
    <n v="64747"/>
    <n v="0"/>
    <n v="10"/>
    <n v="5"/>
    <s v="PASSED"/>
  </r>
  <r>
    <s v="EMPLOYEES"/>
    <x v="0"/>
    <x v="1"/>
    <x v="6"/>
    <s v="Y"/>
    <x v="12"/>
    <n v="13"/>
    <n v="116827"/>
    <n v="116827"/>
    <n v="0"/>
    <n v="10"/>
    <n v="5"/>
    <s v="PASSED"/>
  </r>
  <r>
    <s v="EMPLOYEES"/>
    <x v="0"/>
    <x v="1"/>
    <x v="7"/>
    <s v="Y"/>
    <x v="12"/>
    <n v="13"/>
    <n v="56786"/>
    <n v="56786"/>
    <n v="0"/>
    <n v="10"/>
    <n v="5"/>
    <s v="PASSED"/>
  </r>
  <r>
    <s v="EMPLOYEES"/>
    <x v="0"/>
    <x v="1"/>
    <x v="8"/>
    <s v="Y"/>
    <x v="12"/>
    <n v="13"/>
    <n v="62601"/>
    <n v="62601"/>
    <n v="0"/>
    <n v="10"/>
    <n v="5"/>
    <s v="PASSED"/>
  </r>
  <r>
    <s v="EMPLOYEES"/>
    <x v="0"/>
    <x v="1"/>
    <x v="9"/>
    <s v="Y"/>
    <x v="12"/>
    <n v="13"/>
    <n v="56553"/>
    <n v="56553"/>
    <n v="0"/>
    <n v="10"/>
    <n v="5"/>
    <s v="PASSED"/>
  </r>
  <r>
    <s v="EMPLOYEES"/>
    <x v="0"/>
    <x v="1"/>
    <x v="10"/>
    <s v="Y"/>
    <x v="12"/>
    <n v="13"/>
    <n v="80193"/>
    <n v="80193"/>
    <n v="0"/>
    <n v="10"/>
    <n v="5"/>
    <s v="PASSED"/>
  </r>
  <r>
    <s v="EMPLOYEES"/>
    <x v="0"/>
    <x v="1"/>
    <x v="11"/>
    <s v="Y"/>
    <x v="12"/>
    <n v="13"/>
    <n v="69133"/>
    <n v="69133"/>
    <n v="0"/>
    <n v="10"/>
    <n v="5"/>
    <s v="PASSED"/>
  </r>
  <r>
    <s v="EMPLOYEES"/>
    <x v="0"/>
    <x v="1"/>
    <x v="12"/>
    <s v="Y"/>
    <x v="12"/>
    <n v="13"/>
    <n v="75022"/>
    <n v="75022"/>
    <n v="0"/>
    <n v="10"/>
    <n v="5"/>
    <s v="PASSED"/>
  </r>
  <r>
    <s v="EMPLOYEES"/>
    <x v="0"/>
    <x v="1"/>
    <x v="13"/>
    <s v="Y"/>
    <x v="12"/>
    <n v="13"/>
    <n v="64292"/>
    <n v="64292"/>
    <n v="0"/>
    <n v="10"/>
    <n v="5"/>
    <s v="PASSED"/>
  </r>
  <r>
    <s v="EMPLOYEES"/>
    <x v="0"/>
    <x v="1"/>
    <x v="14"/>
    <s v="N"/>
    <x v="12"/>
    <n v="13"/>
    <n v="113879"/>
    <n v="113879"/>
    <n v="0"/>
    <n v="10"/>
    <n v="5"/>
    <s v="PASSED"/>
  </r>
  <r>
    <s v="EMPLOYEES"/>
    <x v="0"/>
    <x v="1"/>
    <x v="15"/>
    <s v="N"/>
    <x v="12"/>
    <n v="13"/>
    <n v="60835"/>
    <n v="60835"/>
    <n v="0"/>
    <n v="10"/>
    <n v="5"/>
    <s v="PASSED"/>
  </r>
  <r>
    <s v="EMPLOYEES"/>
    <x v="0"/>
    <x v="1"/>
    <x v="16"/>
    <s v="N"/>
    <x v="12"/>
    <n v="13"/>
    <n v="59139"/>
    <n v="59139"/>
    <n v="0"/>
    <n v="10"/>
    <n v="5"/>
    <s v="PASSED"/>
  </r>
  <r>
    <s v="EMPLOYEES"/>
    <x v="0"/>
    <x v="1"/>
    <x v="0"/>
    <s v="Y"/>
    <x v="13"/>
    <n v="14"/>
    <n v="207"/>
    <n v="207"/>
    <n v="0"/>
    <n v="10"/>
    <n v="5"/>
    <s v="PASSED"/>
  </r>
  <r>
    <s v="EMPLOYEES"/>
    <x v="0"/>
    <x v="1"/>
    <x v="1"/>
    <s v="Y"/>
    <x v="13"/>
    <n v="14"/>
    <n v="172"/>
    <n v="172"/>
    <n v="0"/>
    <n v="10"/>
    <n v="5"/>
    <s v="PASSED"/>
  </r>
  <r>
    <s v="EMPLOYEES"/>
    <x v="0"/>
    <x v="1"/>
    <x v="2"/>
    <s v="Y"/>
    <x v="13"/>
    <n v="14"/>
    <n v="212"/>
    <n v="212"/>
    <n v="0"/>
    <n v="10"/>
    <n v="5"/>
    <s v="PASSED"/>
  </r>
  <r>
    <s v="EMPLOYEES"/>
    <x v="0"/>
    <x v="1"/>
    <x v="3"/>
    <s v="Y"/>
    <x v="13"/>
    <n v="14"/>
    <n v="261"/>
    <n v="261"/>
    <n v="0"/>
    <n v="10"/>
    <n v="5"/>
    <s v="PASSED"/>
  </r>
  <r>
    <s v="EMPLOYEES"/>
    <x v="0"/>
    <x v="1"/>
    <x v="4"/>
    <s v="Y"/>
    <x v="13"/>
    <n v="14"/>
    <n v="156"/>
    <n v="156"/>
    <n v="0"/>
    <n v="10"/>
    <n v="5"/>
    <s v="PASSED"/>
  </r>
  <r>
    <s v="EMPLOYEES"/>
    <x v="0"/>
    <x v="1"/>
    <x v="5"/>
    <s v="Y"/>
    <x v="13"/>
    <n v="14"/>
    <n v="171"/>
    <n v="171"/>
    <n v="0"/>
    <n v="10"/>
    <n v="5"/>
    <s v="PASSED"/>
  </r>
  <r>
    <s v="EMPLOYEES"/>
    <x v="0"/>
    <x v="1"/>
    <x v="6"/>
    <s v="Y"/>
    <x v="13"/>
    <n v="14"/>
    <n v="244"/>
    <n v="244"/>
    <n v="0"/>
    <n v="10"/>
    <n v="5"/>
    <s v="PASSED"/>
  </r>
  <r>
    <s v="EMPLOYEES"/>
    <x v="0"/>
    <x v="1"/>
    <x v="7"/>
    <s v="Y"/>
    <x v="13"/>
    <n v="14"/>
    <n v="160"/>
    <n v="160"/>
    <n v="0"/>
    <n v="10"/>
    <n v="5"/>
    <s v="PASSED"/>
  </r>
  <r>
    <s v="EMPLOYEES"/>
    <x v="0"/>
    <x v="1"/>
    <x v="8"/>
    <s v="Y"/>
    <x v="13"/>
    <n v="14"/>
    <n v="154"/>
    <n v="154"/>
    <n v="0"/>
    <n v="10"/>
    <n v="5"/>
    <s v="PASSED"/>
  </r>
  <r>
    <s v="EMPLOYEES"/>
    <x v="0"/>
    <x v="1"/>
    <x v="9"/>
    <s v="Y"/>
    <x v="13"/>
    <n v="14"/>
    <n v="141"/>
    <n v="141"/>
    <n v="0"/>
    <n v="10"/>
    <n v="5"/>
    <s v="PASSED"/>
  </r>
  <r>
    <s v="EMPLOYEES"/>
    <x v="0"/>
    <x v="1"/>
    <x v="10"/>
    <s v="Y"/>
    <x v="13"/>
    <n v="14"/>
    <n v="192"/>
    <n v="192"/>
    <n v="0"/>
    <n v="10"/>
    <n v="5"/>
    <s v="PASSED"/>
  </r>
  <r>
    <s v="EMPLOYEES"/>
    <x v="0"/>
    <x v="1"/>
    <x v="11"/>
    <s v="Y"/>
    <x v="13"/>
    <n v="14"/>
    <n v="179"/>
    <n v="179"/>
    <n v="0"/>
    <n v="10"/>
    <n v="5"/>
    <s v="PASSED"/>
  </r>
  <r>
    <s v="EMPLOYEES"/>
    <x v="0"/>
    <x v="1"/>
    <x v="12"/>
    <s v="Y"/>
    <x v="13"/>
    <n v="14"/>
    <n v="190"/>
    <n v="190"/>
    <n v="0"/>
    <n v="10"/>
    <n v="5"/>
    <s v="PASSED"/>
  </r>
  <r>
    <s v="EMPLOYEES"/>
    <x v="0"/>
    <x v="1"/>
    <x v="13"/>
    <s v="Y"/>
    <x v="13"/>
    <n v="14"/>
    <n v="187"/>
    <n v="187"/>
    <n v="0"/>
    <n v="10"/>
    <n v="5"/>
    <s v="PASSED"/>
  </r>
  <r>
    <s v="EMPLOYEES"/>
    <x v="0"/>
    <x v="1"/>
    <x v="14"/>
    <s v="N"/>
    <x v="13"/>
    <n v="14"/>
    <n v="262"/>
    <n v="262"/>
    <n v="0"/>
    <n v="10"/>
    <n v="5"/>
    <s v="PASSED"/>
  </r>
  <r>
    <s v="EMPLOYEES"/>
    <x v="0"/>
    <x v="1"/>
    <x v="15"/>
    <s v="N"/>
    <x v="13"/>
    <n v="14"/>
    <n v="150"/>
    <n v="150"/>
    <n v="0"/>
    <n v="10"/>
    <n v="5"/>
    <s v="PASSED"/>
  </r>
  <r>
    <s v="EMPLOYEES"/>
    <x v="0"/>
    <x v="1"/>
    <x v="16"/>
    <s v="N"/>
    <x v="13"/>
    <n v="14"/>
    <n v="141"/>
    <n v="141"/>
    <n v="0"/>
    <n v="10"/>
    <n v="5"/>
    <s v="PASSED"/>
  </r>
  <r>
    <s v="EMPLOYEES"/>
    <x v="0"/>
    <x v="1"/>
    <x v="0"/>
    <s v="Y"/>
    <x v="14"/>
    <n v="15"/>
    <n v="155734"/>
    <n v="155734"/>
    <n v="0"/>
    <n v="10"/>
    <n v="5"/>
    <s v="PASSED"/>
  </r>
  <r>
    <s v="EMPLOYEES"/>
    <x v="0"/>
    <x v="1"/>
    <x v="1"/>
    <s v="Y"/>
    <x v="14"/>
    <n v="15"/>
    <n v="201639"/>
    <n v="201639"/>
    <n v="0"/>
    <n v="10"/>
    <n v="5"/>
    <s v="PASSED"/>
  </r>
  <r>
    <s v="EMPLOYEES"/>
    <x v="0"/>
    <x v="1"/>
    <x v="2"/>
    <s v="Y"/>
    <x v="14"/>
    <n v="15"/>
    <n v="172268"/>
    <n v="172268"/>
    <n v="0"/>
    <n v="10"/>
    <n v="5"/>
    <s v="PASSED"/>
  </r>
  <r>
    <s v="EMPLOYEES"/>
    <x v="0"/>
    <x v="1"/>
    <x v="3"/>
    <s v="Y"/>
    <x v="14"/>
    <n v="15"/>
    <n v="175090"/>
    <n v="175090"/>
    <n v="0"/>
    <n v="10"/>
    <n v="5"/>
    <s v="PASSED"/>
  </r>
  <r>
    <s v="EMPLOYEES"/>
    <x v="0"/>
    <x v="1"/>
    <x v="4"/>
    <s v="Y"/>
    <x v="14"/>
    <n v="15"/>
    <n v="190755"/>
    <n v="190755"/>
    <n v="0"/>
    <n v="10"/>
    <n v="5"/>
    <s v="PASSED"/>
  </r>
  <r>
    <s v="EMPLOYEES"/>
    <x v="0"/>
    <x v="1"/>
    <x v="5"/>
    <s v="Y"/>
    <x v="14"/>
    <n v="15"/>
    <n v="159734"/>
    <n v="159734"/>
    <n v="0"/>
    <n v="10"/>
    <n v="5"/>
    <s v="PASSED"/>
  </r>
  <r>
    <s v="EMPLOYEES"/>
    <x v="0"/>
    <x v="1"/>
    <x v="6"/>
    <s v="Y"/>
    <x v="14"/>
    <n v="15"/>
    <n v="156584"/>
    <n v="156584"/>
    <n v="0"/>
    <n v="10"/>
    <n v="5"/>
    <s v="PASSED"/>
  </r>
  <r>
    <s v="EMPLOYEES"/>
    <x v="0"/>
    <x v="1"/>
    <x v="7"/>
    <s v="Y"/>
    <x v="14"/>
    <n v="15"/>
    <n v="232804"/>
    <n v="232804"/>
    <n v="0"/>
    <n v="10"/>
    <n v="5"/>
    <s v="PASSED"/>
  </r>
  <r>
    <s v="EMPLOYEES"/>
    <x v="0"/>
    <x v="1"/>
    <x v="8"/>
    <s v="Y"/>
    <x v="14"/>
    <n v="15"/>
    <n v="172723"/>
    <n v="172723"/>
    <n v="0"/>
    <n v="10"/>
    <n v="5"/>
    <s v="PASSED"/>
  </r>
  <r>
    <s v="EMPLOYEES"/>
    <x v="0"/>
    <x v="1"/>
    <x v="9"/>
    <s v="Y"/>
    <x v="14"/>
    <n v="15"/>
    <n v="194325"/>
    <n v="194325"/>
    <n v="0"/>
    <n v="10"/>
    <n v="5"/>
    <s v="PASSED"/>
  </r>
  <r>
    <s v="EMPLOYEES"/>
    <x v="0"/>
    <x v="1"/>
    <x v="10"/>
    <s v="Y"/>
    <x v="14"/>
    <n v="15"/>
    <n v="276084"/>
    <n v="276084"/>
    <n v="0"/>
    <n v="10"/>
    <n v="5"/>
    <s v="PASSED"/>
  </r>
  <r>
    <s v="EMPLOYEES"/>
    <x v="0"/>
    <x v="1"/>
    <x v="11"/>
    <s v="Y"/>
    <x v="14"/>
    <n v="15"/>
    <n v="129115"/>
    <n v="129115"/>
    <n v="0"/>
    <n v="10"/>
    <n v="5"/>
    <s v="PASSED"/>
  </r>
  <r>
    <s v="EMPLOYEES"/>
    <x v="0"/>
    <x v="1"/>
    <x v="12"/>
    <s v="Y"/>
    <x v="14"/>
    <n v="15"/>
    <n v="228014"/>
    <n v="228014"/>
    <n v="0"/>
    <n v="10"/>
    <n v="5"/>
    <s v="PASSED"/>
  </r>
  <r>
    <s v="EMPLOYEES"/>
    <x v="0"/>
    <x v="1"/>
    <x v="13"/>
    <s v="Y"/>
    <x v="14"/>
    <n v="15"/>
    <n v="279449"/>
    <n v="279449"/>
    <n v="0"/>
    <n v="10"/>
    <n v="5"/>
    <s v="PASSED"/>
  </r>
  <r>
    <s v="EMPLOYEES"/>
    <x v="0"/>
    <x v="1"/>
    <x v="14"/>
    <s v="N"/>
    <x v="14"/>
    <n v="15"/>
    <n v="295838"/>
    <n v="295838"/>
    <n v="0"/>
    <n v="10"/>
    <n v="5"/>
    <s v="PASSED"/>
  </r>
  <r>
    <s v="EMPLOYEES"/>
    <x v="0"/>
    <x v="1"/>
    <x v="15"/>
    <s v="N"/>
    <x v="14"/>
    <n v="15"/>
    <n v="256173"/>
    <n v="256173"/>
    <n v="0"/>
    <n v="10"/>
    <n v="5"/>
    <s v="PASSED"/>
  </r>
  <r>
    <s v="EMPLOYEES"/>
    <x v="0"/>
    <x v="1"/>
    <x v="16"/>
    <s v="N"/>
    <x v="14"/>
    <n v="15"/>
    <n v="212109"/>
    <n v="212109"/>
    <n v="0"/>
    <n v="10"/>
    <n v="5"/>
    <s v="PASSED"/>
  </r>
  <r>
    <s v="EMPLOYEES"/>
    <x v="0"/>
    <x v="1"/>
    <x v="0"/>
    <s v="Y"/>
    <x v="15"/>
    <n v="16"/>
    <n v="0.87"/>
    <n v="0.87"/>
    <n v="0"/>
    <n v="10"/>
    <n v="5"/>
    <s v="PASSED"/>
  </r>
  <r>
    <s v="EMPLOYEES"/>
    <x v="0"/>
    <x v="1"/>
    <x v="1"/>
    <s v="Y"/>
    <x v="15"/>
    <n v="16"/>
    <n v="0.87"/>
    <n v="0.87"/>
    <n v="0"/>
    <n v="10"/>
    <n v="5"/>
    <s v="PASSED"/>
  </r>
  <r>
    <s v="EMPLOYEES"/>
    <x v="0"/>
    <x v="1"/>
    <x v="2"/>
    <s v="Y"/>
    <x v="15"/>
    <n v="16"/>
    <n v="0.87"/>
    <n v="0.87"/>
    <n v="0"/>
    <n v="10"/>
    <n v="5"/>
    <s v="PASSED"/>
  </r>
  <r>
    <s v="EMPLOYEES"/>
    <x v="0"/>
    <x v="1"/>
    <x v="3"/>
    <s v="Y"/>
    <x v="15"/>
    <n v="16"/>
    <n v="0.86"/>
    <n v="0.86"/>
    <n v="0"/>
    <n v="10"/>
    <n v="5"/>
    <s v="PASSED"/>
  </r>
  <r>
    <s v="EMPLOYEES"/>
    <x v="0"/>
    <x v="1"/>
    <x v="4"/>
    <s v="Y"/>
    <x v="15"/>
    <n v="16"/>
    <n v="0.88"/>
    <n v="0.88"/>
    <n v="0"/>
    <n v="10"/>
    <n v="5"/>
    <s v="PASSED"/>
  </r>
  <r>
    <s v="EMPLOYEES"/>
    <x v="0"/>
    <x v="1"/>
    <x v="5"/>
    <s v="Y"/>
    <x v="15"/>
    <n v="16"/>
    <n v="0.88"/>
    <n v="0.88"/>
    <n v="0"/>
    <n v="10"/>
    <n v="5"/>
    <s v="PASSED"/>
  </r>
  <r>
    <s v="EMPLOYEES"/>
    <x v="0"/>
    <x v="1"/>
    <x v="6"/>
    <s v="Y"/>
    <x v="15"/>
    <n v="16"/>
    <n v="0.87"/>
    <n v="0.87"/>
    <n v="0"/>
    <n v="10"/>
    <n v="5"/>
    <s v="PASSED"/>
  </r>
  <r>
    <s v="EMPLOYEES"/>
    <x v="0"/>
    <x v="1"/>
    <x v="7"/>
    <s v="Y"/>
    <x v="15"/>
    <n v="16"/>
    <n v="0.87"/>
    <n v="0.87"/>
    <n v="0"/>
    <n v="10"/>
    <n v="5"/>
    <s v="PASSED"/>
  </r>
  <r>
    <s v="EMPLOYEES"/>
    <x v="0"/>
    <x v="1"/>
    <x v="8"/>
    <s v="Y"/>
    <x v="15"/>
    <n v="16"/>
    <n v="0.89"/>
    <n v="0.89"/>
    <n v="0"/>
    <n v="10"/>
    <n v="5"/>
    <s v="PASSED"/>
  </r>
  <r>
    <s v="EMPLOYEES"/>
    <x v="0"/>
    <x v="1"/>
    <x v="9"/>
    <s v="Y"/>
    <x v="15"/>
    <n v="16"/>
    <n v="0.89"/>
    <n v="0.89"/>
    <n v="0"/>
    <n v="10"/>
    <n v="5"/>
    <s v="PASSED"/>
  </r>
  <r>
    <s v="EMPLOYEES"/>
    <x v="0"/>
    <x v="1"/>
    <x v="10"/>
    <s v="Y"/>
    <x v="15"/>
    <n v="16"/>
    <n v="0.88"/>
    <n v="0.88"/>
    <n v="0"/>
    <n v="10"/>
    <n v="5"/>
    <s v="PASSED"/>
  </r>
  <r>
    <s v="EMPLOYEES"/>
    <x v="0"/>
    <x v="1"/>
    <x v="11"/>
    <s v="Y"/>
    <x v="15"/>
    <n v="16"/>
    <n v="0.89"/>
    <n v="0.89"/>
    <n v="0"/>
    <n v="10"/>
    <n v="5"/>
    <s v="PASSED"/>
  </r>
  <r>
    <s v="EMPLOYEES"/>
    <x v="0"/>
    <x v="1"/>
    <x v="12"/>
    <s v="Y"/>
    <x v="15"/>
    <n v="16"/>
    <n v="0.88"/>
    <n v="0.88"/>
    <n v="0"/>
    <n v="10"/>
    <n v="5"/>
    <s v="PASSED"/>
  </r>
  <r>
    <s v="EMPLOYEES"/>
    <x v="0"/>
    <x v="1"/>
    <x v="13"/>
    <s v="Y"/>
    <x v="15"/>
    <n v="16"/>
    <n v="0.9"/>
    <n v="0.9"/>
    <n v="0"/>
    <n v="10"/>
    <n v="5"/>
    <s v="PASSED"/>
  </r>
  <r>
    <s v="EMPLOYEES"/>
    <x v="0"/>
    <x v="1"/>
    <x v="14"/>
    <s v="N"/>
    <x v="15"/>
    <n v="16"/>
    <n v="0.89"/>
    <n v="0.89"/>
    <n v="0"/>
    <n v="10"/>
    <n v="5"/>
    <s v="PASSED"/>
  </r>
  <r>
    <s v="EMPLOYEES"/>
    <x v="0"/>
    <x v="1"/>
    <x v="15"/>
    <s v="N"/>
    <x v="15"/>
    <n v="16"/>
    <n v="0.89"/>
    <n v="0.89"/>
    <n v="0"/>
    <n v="10"/>
    <n v="5"/>
    <s v="PASSED"/>
  </r>
  <r>
    <s v="EMPLOYEES"/>
    <x v="0"/>
    <x v="1"/>
    <x v="16"/>
    <s v="N"/>
    <x v="15"/>
    <n v="16"/>
    <n v="0.89"/>
    <n v="0.89"/>
    <n v="0"/>
    <n v="10"/>
    <n v="5"/>
    <s v="PASSED"/>
  </r>
  <r>
    <s v="EMPLOYEES"/>
    <x v="0"/>
    <x v="1"/>
    <x v="0"/>
    <s v="Y"/>
    <x v="16"/>
    <n v="17"/>
    <n v="1045326"/>
    <n v="1045326"/>
    <n v="0"/>
    <n v="10"/>
    <n v="5"/>
    <s v="PASSED"/>
  </r>
  <r>
    <s v="EMPLOYEES"/>
    <x v="0"/>
    <x v="1"/>
    <x v="1"/>
    <s v="Y"/>
    <x v="16"/>
    <n v="17"/>
    <n v="982964"/>
    <n v="982964"/>
    <n v="0"/>
    <n v="10"/>
    <n v="5"/>
    <s v="PASSED"/>
  </r>
  <r>
    <s v="EMPLOYEES"/>
    <x v="0"/>
    <x v="1"/>
    <x v="2"/>
    <s v="Y"/>
    <x v="16"/>
    <n v="17"/>
    <n v="1078201"/>
    <n v="1078201"/>
    <n v="0"/>
    <n v="10"/>
    <n v="5"/>
    <s v="PASSED"/>
  </r>
  <r>
    <s v="EMPLOYEES"/>
    <x v="0"/>
    <x v="1"/>
    <x v="3"/>
    <s v="Y"/>
    <x v="16"/>
    <n v="17"/>
    <n v="1346044"/>
    <n v="1346044"/>
    <n v="0"/>
    <n v="10"/>
    <n v="5"/>
    <s v="PASSED"/>
  </r>
  <r>
    <s v="EMPLOYEES"/>
    <x v="0"/>
    <x v="1"/>
    <x v="4"/>
    <s v="Y"/>
    <x v="16"/>
    <n v="17"/>
    <n v="1228220"/>
    <n v="1228220"/>
    <n v="0"/>
    <n v="10"/>
    <n v="5"/>
    <s v="PASSED"/>
  </r>
  <r>
    <s v="EMPLOYEES"/>
    <x v="0"/>
    <x v="1"/>
    <x v="5"/>
    <s v="Y"/>
    <x v="16"/>
    <n v="17"/>
    <n v="1122928"/>
    <n v="1122928"/>
    <n v="0"/>
    <n v="10"/>
    <n v="5"/>
    <s v="PASSED"/>
  </r>
  <r>
    <s v="EMPLOYEES"/>
    <x v="0"/>
    <x v="1"/>
    <x v="6"/>
    <s v="Y"/>
    <x v="16"/>
    <n v="17"/>
    <n v="1268156"/>
    <n v="1268156"/>
    <n v="0"/>
    <n v="10"/>
    <n v="5"/>
    <s v="PASSED"/>
  </r>
  <r>
    <s v="EMPLOYEES"/>
    <x v="0"/>
    <x v="1"/>
    <x v="7"/>
    <s v="Y"/>
    <x v="16"/>
    <n v="17"/>
    <n v="1260094"/>
    <n v="1260094"/>
    <n v="0"/>
    <n v="10"/>
    <n v="5"/>
    <s v="PASSED"/>
  </r>
  <r>
    <s v="EMPLOYEES"/>
    <x v="0"/>
    <x v="1"/>
    <x v="8"/>
    <s v="Y"/>
    <x v="16"/>
    <n v="17"/>
    <n v="1210499"/>
    <n v="1210499"/>
    <n v="0"/>
    <n v="10"/>
    <n v="5"/>
    <s v="PASSED"/>
  </r>
  <r>
    <s v="EMPLOYEES"/>
    <x v="0"/>
    <x v="1"/>
    <x v="9"/>
    <s v="Y"/>
    <x v="16"/>
    <n v="17"/>
    <n v="1069856"/>
    <n v="1069856"/>
    <n v="0"/>
    <n v="10"/>
    <n v="5"/>
    <s v="PASSED"/>
  </r>
  <r>
    <s v="EMPLOYEES"/>
    <x v="0"/>
    <x v="1"/>
    <x v="10"/>
    <s v="Y"/>
    <x v="16"/>
    <n v="17"/>
    <n v="1148468"/>
    <n v="1148468"/>
    <n v="0"/>
    <n v="10"/>
    <n v="5"/>
    <s v="PASSED"/>
  </r>
  <r>
    <s v="EMPLOYEES"/>
    <x v="0"/>
    <x v="1"/>
    <x v="11"/>
    <s v="Y"/>
    <x v="16"/>
    <n v="17"/>
    <n v="1314372"/>
    <n v="1314372"/>
    <n v="0"/>
    <n v="10"/>
    <n v="5"/>
    <s v="PASSED"/>
  </r>
  <r>
    <s v="EMPLOYEES"/>
    <x v="0"/>
    <x v="1"/>
    <x v="12"/>
    <s v="Y"/>
    <x v="16"/>
    <n v="17"/>
    <n v="1184649"/>
    <n v="1184649"/>
    <n v="0"/>
    <n v="10"/>
    <n v="5"/>
    <s v="PASSED"/>
  </r>
  <r>
    <s v="EMPLOYEES"/>
    <x v="0"/>
    <x v="1"/>
    <x v="13"/>
    <s v="Y"/>
    <x v="16"/>
    <n v="17"/>
    <n v="1122861"/>
    <n v="1122861"/>
    <n v="0"/>
    <n v="10"/>
    <n v="5"/>
    <s v="PASSED"/>
  </r>
  <r>
    <s v="EMPLOYEES"/>
    <x v="0"/>
    <x v="1"/>
    <x v="14"/>
    <s v="N"/>
    <x v="16"/>
    <n v="17"/>
    <n v="1170832"/>
    <n v="1170832"/>
    <n v="0"/>
    <n v="10"/>
    <n v="5"/>
    <s v="PASSED"/>
  </r>
  <r>
    <s v="EMPLOYEES"/>
    <x v="0"/>
    <x v="1"/>
    <x v="15"/>
    <s v="N"/>
    <x v="16"/>
    <n v="17"/>
    <n v="1046287"/>
    <n v="1046287"/>
    <n v="0"/>
    <n v="10"/>
    <n v="5"/>
    <s v="PASSED"/>
  </r>
  <r>
    <s v="EMPLOYEES"/>
    <x v="0"/>
    <x v="1"/>
    <x v="16"/>
    <s v="N"/>
    <x v="16"/>
    <n v="17"/>
    <n v="631934"/>
    <n v="631934"/>
    <n v="0"/>
    <n v="10"/>
    <n v="5"/>
    <s v="PASSED"/>
  </r>
  <r>
    <s v="EMPLOYEES"/>
    <x v="0"/>
    <x v="1"/>
    <x v="0"/>
    <s v="Y"/>
    <x v="17"/>
    <n v="18"/>
    <n v="487.37"/>
    <n v="487.37"/>
    <n v="0"/>
    <n v="10"/>
    <n v="5"/>
    <s v="PASSED"/>
  </r>
  <r>
    <s v="EMPLOYEES"/>
    <x v="0"/>
    <x v="1"/>
    <x v="1"/>
    <s v="Y"/>
    <x v="17"/>
    <n v="18"/>
    <n v="487.9"/>
    <n v="487.9"/>
    <n v="0"/>
    <n v="10"/>
    <n v="5"/>
    <s v="PASSED"/>
  </r>
  <r>
    <s v="EMPLOYEES"/>
    <x v="0"/>
    <x v="1"/>
    <x v="2"/>
    <s v="Y"/>
    <x v="17"/>
    <n v="18"/>
    <n v="487.39"/>
    <n v="487.39"/>
    <n v="0"/>
    <n v="10"/>
    <n v="5"/>
    <s v="PASSED"/>
  </r>
  <r>
    <s v="EMPLOYEES"/>
    <x v="0"/>
    <x v="1"/>
    <x v="3"/>
    <s v="Y"/>
    <x v="17"/>
    <n v="18"/>
    <n v="481.63"/>
    <n v="481.63"/>
    <n v="0"/>
    <n v="10"/>
    <n v="5"/>
    <s v="PASSED"/>
  </r>
  <r>
    <s v="EMPLOYEES"/>
    <x v="0"/>
    <x v="1"/>
    <x v="4"/>
    <s v="Y"/>
    <x v="17"/>
    <n v="18"/>
    <n v="481"/>
    <n v="481"/>
    <n v="0"/>
    <n v="10"/>
    <n v="5"/>
    <s v="PASSED"/>
  </r>
  <r>
    <s v="EMPLOYEES"/>
    <x v="0"/>
    <x v="1"/>
    <x v="5"/>
    <s v="Y"/>
    <x v="17"/>
    <n v="18"/>
    <n v="473.84"/>
    <n v="473.84"/>
    <n v="0"/>
    <n v="10"/>
    <n v="5"/>
    <s v="PASSED"/>
  </r>
  <r>
    <s v="EMPLOYEES"/>
    <x v="0"/>
    <x v="1"/>
    <x v="6"/>
    <s v="Y"/>
    <x v="17"/>
    <n v="18"/>
    <n v="473.17"/>
    <n v="473.17"/>
    <n v="0"/>
    <n v="10"/>
    <n v="5"/>
    <s v="PASSED"/>
  </r>
  <r>
    <s v="EMPLOYEES"/>
    <x v="0"/>
    <x v="1"/>
    <x v="7"/>
    <s v="Y"/>
    <x v="17"/>
    <n v="18"/>
    <n v="477.7"/>
    <n v="477.7"/>
    <n v="0"/>
    <n v="10"/>
    <n v="5"/>
    <s v="PASSED"/>
  </r>
  <r>
    <s v="EMPLOYEES"/>
    <x v="0"/>
    <x v="1"/>
    <x v="8"/>
    <s v="Y"/>
    <x v="17"/>
    <n v="18"/>
    <n v="477.14"/>
    <n v="477.14"/>
    <n v="0"/>
    <n v="10"/>
    <n v="5"/>
    <s v="PASSED"/>
  </r>
  <r>
    <s v="EMPLOYEES"/>
    <x v="0"/>
    <x v="1"/>
    <x v="9"/>
    <s v="Y"/>
    <x v="17"/>
    <n v="18"/>
    <n v="478.23"/>
    <n v="478.23"/>
    <n v="0"/>
    <n v="10"/>
    <n v="5"/>
    <s v="PASSED"/>
  </r>
  <r>
    <s v="EMPLOYEES"/>
    <x v="0"/>
    <x v="1"/>
    <x v="10"/>
    <s v="Y"/>
    <x v="17"/>
    <n v="18"/>
    <n v="474.77"/>
    <n v="474.77"/>
    <n v="0"/>
    <n v="10"/>
    <n v="5"/>
    <s v="PASSED"/>
  </r>
  <r>
    <s v="EMPLOYEES"/>
    <x v="0"/>
    <x v="1"/>
    <x v="11"/>
    <s v="Y"/>
    <x v="17"/>
    <n v="18"/>
    <n v="476.17"/>
    <n v="476.17"/>
    <n v="0"/>
    <n v="10"/>
    <n v="5"/>
    <s v="PASSED"/>
  </r>
  <r>
    <s v="EMPLOYEES"/>
    <x v="0"/>
    <x v="1"/>
    <x v="12"/>
    <s v="Y"/>
    <x v="17"/>
    <n v="18"/>
    <n v="478.57"/>
    <n v="478.57"/>
    <n v="0"/>
    <n v="10"/>
    <n v="5"/>
    <s v="PASSED"/>
  </r>
  <r>
    <s v="EMPLOYEES"/>
    <x v="0"/>
    <x v="1"/>
    <x v="13"/>
    <s v="Y"/>
    <x v="17"/>
    <n v="18"/>
    <n v="471.22"/>
    <n v="471.22"/>
    <n v="0"/>
    <n v="10"/>
    <n v="5"/>
    <s v="PASSED"/>
  </r>
  <r>
    <s v="EMPLOYEES"/>
    <x v="0"/>
    <x v="1"/>
    <x v="14"/>
    <s v="N"/>
    <x v="17"/>
    <n v="18"/>
    <n v="466.23"/>
    <n v="466.23"/>
    <n v="0"/>
    <n v="10"/>
    <n v="5"/>
    <s v="PASSED"/>
  </r>
  <r>
    <s v="EMPLOYEES"/>
    <x v="0"/>
    <x v="1"/>
    <x v="15"/>
    <s v="N"/>
    <x v="17"/>
    <n v="18"/>
    <n v="464.29"/>
    <n v="464.29"/>
    <n v="0"/>
    <n v="10"/>
    <n v="5"/>
    <s v="PASSED"/>
  </r>
  <r>
    <s v="EMPLOYEES"/>
    <x v="0"/>
    <x v="1"/>
    <x v="16"/>
    <s v="N"/>
    <x v="17"/>
    <n v="18"/>
    <n v="460.05"/>
    <n v="460.05"/>
    <n v="0"/>
    <n v="10"/>
    <n v="5"/>
    <s v="PASSED"/>
  </r>
  <r>
    <s v="EMPLOYEES"/>
    <x v="0"/>
    <x v="1"/>
    <x v="0"/>
    <s v="Y"/>
    <x v="18"/>
    <n v="19"/>
    <n v="425"/>
    <n v="425"/>
    <n v="0"/>
    <n v="10"/>
    <n v="5"/>
    <s v="PASSED"/>
  </r>
  <r>
    <s v="EMPLOYEES"/>
    <x v="0"/>
    <x v="1"/>
    <x v="1"/>
    <s v="Y"/>
    <x v="18"/>
    <n v="19"/>
    <n v="341"/>
    <n v="341"/>
    <n v="0"/>
    <n v="10"/>
    <n v="5"/>
    <s v="PASSED"/>
  </r>
  <r>
    <s v="EMPLOYEES"/>
    <x v="0"/>
    <x v="1"/>
    <x v="2"/>
    <s v="Y"/>
    <x v="18"/>
    <n v="19"/>
    <n v="234"/>
    <n v="234"/>
    <n v="0"/>
    <n v="10"/>
    <n v="5"/>
    <s v="PASSED"/>
  </r>
  <r>
    <s v="EMPLOYEES"/>
    <x v="0"/>
    <x v="1"/>
    <x v="3"/>
    <s v="Y"/>
    <x v="18"/>
    <n v="19"/>
    <n v="326"/>
    <n v="326"/>
    <n v="0"/>
    <n v="10"/>
    <n v="5"/>
    <s v="PASSED"/>
  </r>
  <r>
    <s v="EMPLOYEES"/>
    <x v="0"/>
    <x v="1"/>
    <x v="4"/>
    <s v="Y"/>
    <x v="18"/>
    <n v="19"/>
    <n v="343"/>
    <n v="343"/>
    <n v="0"/>
    <n v="10"/>
    <n v="5"/>
    <s v="PASSED"/>
  </r>
  <r>
    <s v="EMPLOYEES"/>
    <x v="0"/>
    <x v="1"/>
    <x v="5"/>
    <s v="Y"/>
    <x v="18"/>
    <n v="19"/>
    <n v="212"/>
    <n v="212"/>
    <n v="0"/>
    <n v="10"/>
    <n v="5"/>
    <s v="PASSED"/>
  </r>
  <r>
    <s v="EMPLOYEES"/>
    <x v="0"/>
    <x v="1"/>
    <x v="6"/>
    <s v="Y"/>
    <x v="18"/>
    <n v="19"/>
    <n v="423"/>
    <n v="423"/>
    <n v="0"/>
    <n v="10"/>
    <n v="5"/>
    <s v="PASSED"/>
  </r>
  <r>
    <s v="EMPLOYEES"/>
    <x v="0"/>
    <x v="1"/>
    <x v="7"/>
    <s v="Y"/>
    <x v="18"/>
    <n v="19"/>
    <n v="319"/>
    <n v="319"/>
    <n v="0"/>
    <n v="10"/>
    <n v="5"/>
    <s v="PASSED"/>
  </r>
  <r>
    <s v="EMPLOYEES"/>
    <x v="0"/>
    <x v="1"/>
    <x v="8"/>
    <s v="Y"/>
    <x v="18"/>
    <n v="19"/>
    <n v="317"/>
    <n v="317"/>
    <n v="0"/>
    <n v="10"/>
    <n v="5"/>
    <s v="PASSED"/>
  </r>
  <r>
    <s v="EMPLOYEES"/>
    <x v="0"/>
    <x v="1"/>
    <x v="9"/>
    <s v="Y"/>
    <x v="18"/>
    <n v="19"/>
    <n v="277"/>
    <n v="277"/>
    <n v="0"/>
    <n v="10"/>
    <n v="5"/>
    <s v="PASSED"/>
  </r>
  <r>
    <s v="EMPLOYEES"/>
    <x v="0"/>
    <x v="1"/>
    <x v="10"/>
    <s v="Y"/>
    <x v="18"/>
    <n v="19"/>
    <n v="194"/>
    <n v="194"/>
    <n v="0"/>
    <n v="10"/>
    <n v="5"/>
    <s v="PASSED"/>
  </r>
  <r>
    <s v="EMPLOYEES"/>
    <x v="0"/>
    <x v="1"/>
    <x v="11"/>
    <s v="Y"/>
    <x v="18"/>
    <n v="19"/>
    <n v="261"/>
    <n v="261"/>
    <n v="0"/>
    <n v="10"/>
    <n v="5"/>
    <s v="PASSED"/>
  </r>
  <r>
    <s v="EMPLOYEES"/>
    <x v="0"/>
    <x v="1"/>
    <x v="12"/>
    <s v="Y"/>
    <x v="18"/>
    <n v="19"/>
    <n v="206"/>
    <n v="206"/>
    <n v="0"/>
    <n v="10"/>
    <n v="5"/>
    <s v="PASSED"/>
  </r>
  <r>
    <s v="EMPLOYEES"/>
    <x v="0"/>
    <x v="1"/>
    <x v="13"/>
    <s v="Y"/>
    <x v="18"/>
    <n v="19"/>
    <n v="264"/>
    <n v="264"/>
    <n v="0"/>
    <n v="10"/>
    <n v="5"/>
    <s v="PASSED"/>
  </r>
  <r>
    <s v="EMPLOYEES"/>
    <x v="0"/>
    <x v="1"/>
    <x v="14"/>
    <s v="N"/>
    <x v="18"/>
    <n v="19"/>
    <n v="257"/>
    <n v="257"/>
    <n v="0"/>
    <n v="10"/>
    <n v="5"/>
    <s v="PASSED"/>
  </r>
  <r>
    <s v="EMPLOYEES"/>
    <x v="0"/>
    <x v="1"/>
    <x v="15"/>
    <s v="N"/>
    <x v="18"/>
    <n v="19"/>
    <n v="155"/>
    <n v="155"/>
    <n v="0"/>
    <n v="10"/>
    <n v="5"/>
    <s v="PASSED"/>
  </r>
  <r>
    <s v="EMPLOYEES"/>
    <x v="0"/>
    <x v="1"/>
    <x v="16"/>
    <s v="N"/>
    <x v="18"/>
    <n v="19"/>
    <n v="133"/>
    <n v="133"/>
    <n v="0"/>
    <n v="10"/>
    <n v="5"/>
    <s v="PASSED"/>
  </r>
  <r>
    <s v="EMPLOYEES"/>
    <x v="0"/>
    <x v="1"/>
    <x v="0"/>
    <s v="Y"/>
    <x v="19"/>
    <n v="20"/>
    <n v="3984"/>
    <n v="3984"/>
    <n v="0"/>
    <n v="10"/>
    <n v="5"/>
    <s v="PASSED"/>
  </r>
  <r>
    <s v="EMPLOYEES"/>
    <x v="0"/>
    <x v="1"/>
    <x v="1"/>
    <s v="Y"/>
    <x v="19"/>
    <n v="20"/>
    <n v="3674"/>
    <n v="3674"/>
    <n v="0"/>
    <n v="10"/>
    <n v="5"/>
    <s v="PASSED"/>
  </r>
  <r>
    <s v="EMPLOYEES"/>
    <x v="0"/>
    <x v="1"/>
    <x v="2"/>
    <s v="Y"/>
    <x v="19"/>
    <n v="20"/>
    <n v="3747"/>
    <n v="3747"/>
    <n v="0"/>
    <n v="10"/>
    <n v="5"/>
    <s v="PASSED"/>
  </r>
  <r>
    <s v="EMPLOYEES"/>
    <x v="0"/>
    <x v="1"/>
    <x v="3"/>
    <s v="Y"/>
    <x v="19"/>
    <n v="20"/>
    <n v="3976"/>
    <n v="3976"/>
    <n v="0"/>
    <n v="10"/>
    <n v="5"/>
    <s v="PASSED"/>
  </r>
  <r>
    <s v="EMPLOYEES"/>
    <x v="0"/>
    <x v="1"/>
    <x v="4"/>
    <s v="Y"/>
    <x v="19"/>
    <n v="20"/>
    <n v="3343"/>
    <n v="3343"/>
    <n v="0"/>
    <n v="10"/>
    <n v="5"/>
    <s v="PASSED"/>
  </r>
  <r>
    <s v="EMPLOYEES"/>
    <x v="0"/>
    <x v="1"/>
    <x v="5"/>
    <s v="Y"/>
    <x v="19"/>
    <n v="20"/>
    <n v="3510"/>
    <n v="3510"/>
    <n v="0"/>
    <n v="10"/>
    <n v="5"/>
    <s v="PASSED"/>
  </r>
  <r>
    <s v="EMPLOYEES"/>
    <x v="0"/>
    <x v="1"/>
    <x v="6"/>
    <s v="Y"/>
    <x v="19"/>
    <n v="20"/>
    <n v="2866"/>
    <n v="2866"/>
    <n v="0"/>
    <n v="10"/>
    <n v="5"/>
    <s v="PASSED"/>
  </r>
  <r>
    <s v="EMPLOYEES"/>
    <x v="0"/>
    <x v="1"/>
    <x v="7"/>
    <s v="Y"/>
    <x v="19"/>
    <n v="20"/>
    <n v="3160"/>
    <n v="3160"/>
    <n v="0"/>
    <n v="10"/>
    <n v="5"/>
    <s v="PASSED"/>
  </r>
  <r>
    <s v="EMPLOYEES"/>
    <x v="0"/>
    <x v="1"/>
    <x v="8"/>
    <s v="Y"/>
    <x v="19"/>
    <n v="20"/>
    <n v="2983"/>
    <n v="2983"/>
    <n v="0"/>
    <n v="10"/>
    <n v="5"/>
    <s v="PASSED"/>
  </r>
  <r>
    <s v="EMPLOYEES"/>
    <x v="0"/>
    <x v="1"/>
    <x v="9"/>
    <s v="Y"/>
    <x v="19"/>
    <n v="20"/>
    <n v="3085"/>
    <n v="3085"/>
    <n v="0"/>
    <n v="10"/>
    <n v="5"/>
    <s v="PASSED"/>
  </r>
  <r>
    <s v="EMPLOYEES"/>
    <x v="0"/>
    <x v="1"/>
    <x v="10"/>
    <s v="Y"/>
    <x v="19"/>
    <n v="20"/>
    <n v="3212"/>
    <n v="3212"/>
    <n v="0"/>
    <n v="10"/>
    <n v="5"/>
    <s v="PASSED"/>
  </r>
  <r>
    <s v="EMPLOYEES"/>
    <x v="0"/>
    <x v="1"/>
    <x v="11"/>
    <s v="Y"/>
    <x v="19"/>
    <n v="20"/>
    <n v="3042"/>
    <n v="3042"/>
    <n v="0"/>
    <n v="10"/>
    <n v="5"/>
    <s v="PASSED"/>
  </r>
  <r>
    <s v="EMPLOYEES"/>
    <x v="0"/>
    <x v="1"/>
    <x v="12"/>
    <s v="Y"/>
    <x v="19"/>
    <n v="20"/>
    <n v="3456"/>
    <n v="3456"/>
    <n v="0"/>
    <n v="10"/>
    <n v="5"/>
    <s v="PASSED"/>
  </r>
  <r>
    <s v="EMPLOYEES"/>
    <x v="0"/>
    <x v="1"/>
    <x v="13"/>
    <s v="Y"/>
    <x v="19"/>
    <n v="20"/>
    <n v="3184"/>
    <n v="3184"/>
    <n v="0"/>
    <n v="10"/>
    <n v="5"/>
    <s v="PASSED"/>
  </r>
  <r>
    <s v="EMPLOYEES"/>
    <x v="0"/>
    <x v="1"/>
    <x v="14"/>
    <s v="N"/>
    <x v="19"/>
    <n v="20"/>
    <n v="3451"/>
    <n v="3451"/>
    <n v="0"/>
    <n v="10"/>
    <n v="5"/>
    <s v="PASSED"/>
  </r>
  <r>
    <s v="EMPLOYEES"/>
    <x v="0"/>
    <x v="1"/>
    <x v="15"/>
    <s v="N"/>
    <x v="19"/>
    <n v="20"/>
    <n v="2689"/>
    <n v="2689"/>
    <n v="0"/>
    <n v="10"/>
    <n v="5"/>
    <s v="PASSED"/>
  </r>
  <r>
    <s v="EMPLOYEES"/>
    <x v="0"/>
    <x v="1"/>
    <x v="16"/>
    <s v="N"/>
    <x v="19"/>
    <n v="20"/>
    <n v="1823"/>
    <n v="1823"/>
    <n v="0"/>
    <n v="10"/>
    <n v="5"/>
    <s v="PASSED"/>
  </r>
  <r>
    <s v="EMPLOYEES"/>
    <x v="0"/>
    <x v="1"/>
    <x v="0"/>
    <s v="Y"/>
    <x v="20"/>
    <n v="21"/>
    <n v="3024"/>
    <n v="3024"/>
    <n v="0"/>
    <n v="10"/>
    <n v="5"/>
    <s v="PASSED"/>
  </r>
  <r>
    <s v="EMPLOYEES"/>
    <x v="0"/>
    <x v="1"/>
    <x v="1"/>
    <s v="Y"/>
    <x v="20"/>
    <n v="21"/>
    <n v="3401"/>
    <n v="3401"/>
    <n v="0"/>
    <n v="10"/>
    <n v="5"/>
    <s v="PASSED"/>
  </r>
  <r>
    <s v="EMPLOYEES"/>
    <x v="0"/>
    <x v="1"/>
    <x v="2"/>
    <s v="Y"/>
    <x v="20"/>
    <n v="21"/>
    <n v="3547"/>
    <n v="3547"/>
    <n v="0"/>
    <n v="10"/>
    <n v="5"/>
    <s v="PASSED"/>
  </r>
  <r>
    <s v="EMPLOYEES"/>
    <x v="0"/>
    <x v="1"/>
    <x v="3"/>
    <s v="Y"/>
    <x v="20"/>
    <n v="21"/>
    <n v="3018"/>
    <n v="3018"/>
    <n v="0"/>
    <n v="10"/>
    <n v="5"/>
    <s v="PASSED"/>
  </r>
  <r>
    <s v="EMPLOYEES"/>
    <x v="0"/>
    <x v="1"/>
    <x v="4"/>
    <s v="Y"/>
    <x v="20"/>
    <n v="21"/>
    <n v="2932"/>
    <n v="2932"/>
    <n v="0"/>
    <n v="10"/>
    <n v="5"/>
    <s v="PASSED"/>
  </r>
  <r>
    <s v="EMPLOYEES"/>
    <x v="0"/>
    <x v="1"/>
    <x v="5"/>
    <s v="Y"/>
    <x v="20"/>
    <n v="21"/>
    <n v="2635"/>
    <n v="2635"/>
    <n v="0"/>
    <n v="10"/>
    <n v="5"/>
    <s v="PASSED"/>
  </r>
  <r>
    <s v="EMPLOYEES"/>
    <x v="0"/>
    <x v="1"/>
    <x v="6"/>
    <s v="Y"/>
    <x v="20"/>
    <n v="21"/>
    <n v="2709"/>
    <n v="2709"/>
    <n v="0"/>
    <n v="10"/>
    <n v="5"/>
    <s v="PASSED"/>
  </r>
  <r>
    <s v="EMPLOYEES"/>
    <x v="0"/>
    <x v="1"/>
    <x v="7"/>
    <s v="Y"/>
    <x v="20"/>
    <n v="21"/>
    <n v="3042"/>
    <n v="3042"/>
    <n v="0"/>
    <n v="10"/>
    <n v="5"/>
    <s v="PASSED"/>
  </r>
  <r>
    <s v="EMPLOYEES"/>
    <x v="0"/>
    <x v="1"/>
    <x v="8"/>
    <s v="Y"/>
    <x v="20"/>
    <n v="21"/>
    <n v="2556"/>
    <n v="2556"/>
    <n v="0"/>
    <n v="10"/>
    <n v="5"/>
    <s v="PASSED"/>
  </r>
  <r>
    <s v="EMPLOYEES"/>
    <x v="0"/>
    <x v="1"/>
    <x v="9"/>
    <s v="Y"/>
    <x v="20"/>
    <n v="21"/>
    <n v="2929"/>
    <n v="2929"/>
    <n v="0"/>
    <n v="10"/>
    <n v="5"/>
    <s v="PASSED"/>
  </r>
  <r>
    <s v="EMPLOYEES"/>
    <x v="0"/>
    <x v="1"/>
    <x v="10"/>
    <s v="Y"/>
    <x v="20"/>
    <n v="21"/>
    <n v="2510"/>
    <n v="2510"/>
    <n v="0"/>
    <n v="10"/>
    <n v="5"/>
    <s v="PASSED"/>
  </r>
  <r>
    <s v="EMPLOYEES"/>
    <x v="0"/>
    <x v="1"/>
    <x v="11"/>
    <s v="Y"/>
    <x v="20"/>
    <n v="21"/>
    <n v="2705"/>
    <n v="2705"/>
    <n v="0"/>
    <n v="10"/>
    <n v="5"/>
    <s v="PASSED"/>
  </r>
  <r>
    <s v="EMPLOYEES"/>
    <x v="0"/>
    <x v="1"/>
    <x v="12"/>
    <s v="Y"/>
    <x v="20"/>
    <n v="21"/>
    <n v="2841"/>
    <n v="2841"/>
    <n v="0"/>
    <n v="10"/>
    <n v="5"/>
    <s v="PASSED"/>
  </r>
  <r>
    <s v="EMPLOYEES"/>
    <x v="0"/>
    <x v="1"/>
    <x v="13"/>
    <s v="Y"/>
    <x v="20"/>
    <n v="21"/>
    <n v="2545"/>
    <n v="2545"/>
    <n v="0"/>
    <n v="10"/>
    <n v="5"/>
    <s v="PASSED"/>
  </r>
  <r>
    <s v="EMPLOYEES"/>
    <x v="0"/>
    <x v="1"/>
    <x v="14"/>
    <s v="N"/>
    <x v="20"/>
    <n v="21"/>
    <n v="2795"/>
    <n v="2795"/>
    <n v="0"/>
    <n v="10"/>
    <n v="5"/>
    <s v="PASSED"/>
  </r>
  <r>
    <s v="EMPLOYEES"/>
    <x v="0"/>
    <x v="1"/>
    <x v="15"/>
    <s v="N"/>
    <x v="20"/>
    <n v="21"/>
    <n v="2372"/>
    <n v="2372"/>
    <n v="0"/>
    <n v="10"/>
    <n v="5"/>
    <s v="PASSED"/>
  </r>
  <r>
    <s v="EMPLOYEES"/>
    <x v="0"/>
    <x v="1"/>
    <x v="16"/>
    <s v="N"/>
    <x v="20"/>
    <n v="21"/>
    <n v="1938"/>
    <n v="1938"/>
    <n v="0"/>
    <n v="10"/>
    <n v="5"/>
    <s v="PASSED"/>
  </r>
  <r>
    <s v="EMPLOYEES"/>
    <x v="0"/>
    <x v="1"/>
    <x v="0"/>
    <s v="Y"/>
    <x v="21"/>
    <n v="22"/>
    <n v="76"/>
    <n v="76"/>
    <n v="0"/>
    <n v="10"/>
    <n v="5"/>
    <s v="PASSED"/>
  </r>
  <r>
    <s v="EMPLOYEES"/>
    <x v="0"/>
    <x v="1"/>
    <x v="1"/>
    <s v="Y"/>
    <x v="21"/>
    <n v="22"/>
    <n v="84"/>
    <n v="84"/>
    <n v="0"/>
    <n v="10"/>
    <n v="5"/>
    <s v="PASSED"/>
  </r>
  <r>
    <s v="EMPLOYEES"/>
    <x v="0"/>
    <x v="1"/>
    <x v="2"/>
    <s v="Y"/>
    <x v="21"/>
    <n v="22"/>
    <n v="127"/>
    <n v="127"/>
    <n v="0"/>
    <n v="10"/>
    <n v="5"/>
    <s v="PASSED"/>
  </r>
  <r>
    <s v="EMPLOYEES"/>
    <x v="0"/>
    <x v="1"/>
    <x v="3"/>
    <s v="Y"/>
    <x v="21"/>
    <n v="22"/>
    <n v="111"/>
    <n v="111"/>
    <n v="0"/>
    <n v="10"/>
    <n v="5"/>
    <s v="PASSED"/>
  </r>
  <r>
    <s v="EMPLOYEES"/>
    <x v="0"/>
    <x v="1"/>
    <x v="4"/>
    <s v="Y"/>
    <x v="21"/>
    <n v="22"/>
    <n v="119"/>
    <n v="119"/>
    <n v="0"/>
    <n v="10"/>
    <n v="5"/>
    <s v="PASSED"/>
  </r>
  <r>
    <s v="EMPLOYEES"/>
    <x v="0"/>
    <x v="1"/>
    <x v="5"/>
    <s v="Y"/>
    <x v="21"/>
    <n v="22"/>
    <n v="140"/>
    <n v="140"/>
    <n v="0"/>
    <n v="10"/>
    <n v="5"/>
    <s v="PASSED"/>
  </r>
  <r>
    <s v="EMPLOYEES"/>
    <x v="0"/>
    <x v="1"/>
    <x v="6"/>
    <s v="Y"/>
    <x v="21"/>
    <n v="22"/>
    <n v="87"/>
    <n v="87"/>
    <n v="0"/>
    <n v="10"/>
    <n v="5"/>
    <s v="PASSED"/>
  </r>
  <r>
    <s v="EMPLOYEES"/>
    <x v="0"/>
    <x v="1"/>
    <x v="7"/>
    <s v="Y"/>
    <x v="21"/>
    <n v="22"/>
    <n v="123"/>
    <n v="123"/>
    <n v="0"/>
    <n v="10"/>
    <n v="5"/>
    <s v="PASSED"/>
  </r>
  <r>
    <s v="EMPLOYEES"/>
    <x v="0"/>
    <x v="1"/>
    <x v="8"/>
    <s v="Y"/>
    <x v="21"/>
    <n v="22"/>
    <n v="128"/>
    <n v="128"/>
    <n v="0"/>
    <n v="10"/>
    <n v="5"/>
    <s v="PASSED"/>
  </r>
  <r>
    <s v="EMPLOYEES"/>
    <x v="0"/>
    <x v="1"/>
    <x v="9"/>
    <s v="Y"/>
    <x v="21"/>
    <n v="22"/>
    <n v="118"/>
    <n v="118"/>
    <n v="0"/>
    <n v="10"/>
    <n v="5"/>
    <s v="PASSED"/>
  </r>
  <r>
    <s v="EMPLOYEES"/>
    <x v="0"/>
    <x v="1"/>
    <x v="10"/>
    <s v="Y"/>
    <x v="21"/>
    <n v="22"/>
    <n v="114"/>
    <n v="114"/>
    <n v="0"/>
    <n v="10"/>
    <n v="5"/>
    <s v="PASSED"/>
  </r>
  <r>
    <s v="EMPLOYEES"/>
    <x v="0"/>
    <x v="1"/>
    <x v="11"/>
    <s v="Y"/>
    <x v="21"/>
    <n v="22"/>
    <n v="128"/>
    <n v="128"/>
    <n v="0"/>
    <n v="10"/>
    <n v="5"/>
    <s v="PASSED"/>
  </r>
  <r>
    <s v="EMPLOYEES"/>
    <x v="0"/>
    <x v="1"/>
    <x v="12"/>
    <s v="Y"/>
    <x v="21"/>
    <n v="22"/>
    <n v="169"/>
    <n v="169"/>
    <n v="0"/>
    <n v="10"/>
    <n v="5"/>
    <s v="PASSED"/>
  </r>
  <r>
    <s v="EMPLOYEES"/>
    <x v="0"/>
    <x v="1"/>
    <x v="13"/>
    <s v="Y"/>
    <x v="21"/>
    <n v="22"/>
    <n v="106"/>
    <n v="106"/>
    <n v="0"/>
    <n v="10"/>
    <n v="5"/>
    <s v="PASSED"/>
  </r>
  <r>
    <s v="EMPLOYEES"/>
    <x v="0"/>
    <x v="1"/>
    <x v="14"/>
    <s v="N"/>
    <x v="21"/>
    <n v="22"/>
    <n v="96"/>
    <n v="96"/>
    <n v="0"/>
    <n v="10"/>
    <n v="5"/>
    <s v="PASSED"/>
  </r>
  <r>
    <s v="EMPLOYEES"/>
    <x v="0"/>
    <x v="1"/>
    <x v="15"/>
    <s v="N"/>
    <x v="21"/>
    <n v="22"/>
    <n v="109"/>
    <n v="109"/>
    <n v="0"/>
    <n v="10"/>
    <n v="5"/>
    <s v="PASSED"/>
  </r>
  <r>
    <s v="EMPLOYEES"/>
    <x v="0"/>
    <x v="1"/>
    <x v="16"/>
    <s v="N"/>
    <x v="21"/>
    <n v="22"/>
    <n v="72"/>
    <n v="72"/>
    <n v="0"/>
    <n v="10"/>
    <n v="5"/>
    <s v="PASSED"/>
  </r>
  <r>
    <s v="EMPLOYEES"/>
    <x v="0"/>
    <x v="1"/>
    <x v="0"/>
    <s v="Y"/>
    <x v="22"/>
    <n v="23"/>
    <n v="3248"/>
    <n v="3248"/>
    <n v="0"/>
    <n v="10"/>
    <n v="5"/>
    <s v="PASSED"/>
  </r>
  <r>
    <s v="EMPLOYEES"/>
    <x v="0"/>
    <x v="1"/>
    <x v="1"/>
    <s v="Y"/>
    <x v="22"/>
    <n v="23"/>
    <n v="3397"/>
    <n v="3397"/>
    <n v="0"/>
    <n v="10"/>
    <n v="5"/>
    <s v="PASSED"/>
  </r>
  <r>
    <s v="EMPLOYEES"/>
    <x v="0"/>
    <x v="1"/>
    <x v="2"/>
    <s v="Y"/>
    <x v="22"/>
    <n v="23"/>
    <n v="3437"/>
    <n v="3437"/>
    <n v="0"/>
    <n v="10"/>
    <n v="5"/>
    <s v="PASSED"/>
  </r>
  <r>
    <s v="EMPLOYEES"/>
    <x v="0"/>
    <x v="1"/>
    <x v="3"/>
    <s v="Y"/>
    <x v="22"/>
    <n v="23"/>
    <n v="3333"/>
    <n v="3333"/>
    <n v="0"/>
    <n v="10"/>
    <n v="5"/>
    <s v="PASSED"/>
  </r>
  <r>
    <s v="EMPLOYEES"/>
    <x v="0"/>
    <x v="1"/>
    <x v="4"/>
    <s v="Y"/>
    <x v="22"/>
    <n v="23"/>
    <n v="3344"/>
    <n v="3344"/>
    <n v="0"/>
    <n v="10"/>
    <n v="5"/>
    <s v="PASSED"/>
  </r>
  <r>
    <s v="EMPLOYEES"/>
    <x v="0"/>
    <x v="1"/>
    <x v="5"/>
    <s v="Y"/>
    <x v="22"/>
    <n v="23"/>
    <n v="3135"/>
    <n v="3135"/>
    <n v="0"/>
    <n v="10"/>
    <n v="5"/>
    <s v="PASSED"/>
  </r>
  <r>
    <s v="EMPLOYEES"/>
    <x v="0"/>
    <x v="1"/>
    <x v="6"/>
    <s v="Y"/>
    <x v="22"/>
    <n v="23"/>
    <n v="3206"/>
    <n v="3206"/>
    <n v="0"/>
    <n v="10"/>
    <n v="5"/>
    <s v="PASSED"/>
  </r>
  <r>
    <s v="EMPLOYEES"/>
    <x v="0"/>
    <x v="1"/>
    <x v="7"/>
    <s v="Y"/>
    <x v="22"/>
    <n v="23"/>
    <n v="3490"/>
    <n v="3490"/>
    <n v="0"/>
    <n v="10"/>
    <n v="5"/>
    <s v="PASSED"/>
  </r>
  <r>
    <s v="EMPLOYEES"/>
    <x v="0"/>
    <x v="1"/>
    <x v="8"/>
    <s v="Y"/>
    <x v="22"/>
    <n v="23"/>
    <n v="3290"/>
    <n v="3290"/>
    <n v="0"/>
    <n v="10"/>
    <n v="5"/>
    <s v="PASSED"/>
  </r>
  <r>
    <s v="EMPLOYEES"/>
    <x v="0"/>
    <x v="1"/>
    <x v="9"/>
    <s v="Y"/>
    <x v="22"/>
    <n v="23"/>
    <n v="3417"/>
    <n v="3417"/>
    <n v="0"/>
    <n v="10"/>
    <n v="5"/>
    <s v="PASSED"/>
  </r>
  <r>
    <s v="EMPLOYEES"/>
    <x v="0"/>
    <x v="1"/>
    <x v="10"/>
    <s v="Y"/>
    <x v="22"/>
    <n v="23"/>
    <n v="3435"/>
    <n v="3435"/>
    <n v="0"/>
    <n v="10"/>
    <n v="5"/>
    <s v="PASSED"/>
  </r>
  <r>
    <s v="EMPLOYEES"/>
    <x v="0"/>
    <x v="1"/>
    <x v="11"/>
    <s v="Y"/>
    <x v="22"/>
    <n v="23"/>
    <n v="3460"/>
    <n v="3460"/>
    <n v="0"/>
    <n v="10"/>
    <n v="5"/>
    <s v="PASSED"/>
  </r>
  <r>
    <s v="EMPLOYEES"/>
    <x v="0"/>
    <x v="1"/>
    <x v="12"/>
    <s v="Y"/>
    <x v="22"/>
    <n v="23"/>
    <n v="3898"/>
    <n v="3898"/>
    <n v="0"/>
    <n v="10"/>
    <n v="5"/>
    <s v="PASSED"/>
  </r>
  <r>
    <s v="EMPLOYEES"/>
    <x v="0"/>
    <x v="1"/>
    <x v="13"/>
    <s v="Y"/>
    <x v="22"/>
    <n v="23"/>
    <n v="3409"/>
    <n v="3409"/>
    <n v="0"/>
    <n v="10"/>
    <n v="5"/>
    <s v="PASSED"/>
  </r>
  <r>
    <s v="EMPLOYEES"/>
    <x v="0"/>
    <x v="1"/>
    <x v="14"/>
    <s v="N"/>
    <x v="22"/>
    <n v="23"/>
    <n v="3783"/>
    <n v="3783"/>
    <n v="0"/>
    <n v="10"/>
    <n v="5"/>
    <s v="PASSED"/>
  </r>
  <r>
    <s v="EMPLOYEES"/>
    <x v="0"/>
    <x v="1"/>
    <x v="15"/>
    <s v="N"/>
    <x v="22"/>
    <n v="23"/>
    <n v="3411"/>
    <n v="3411"/>
    <n v="0"/>
    <n v="10"/>
    <n v="5"/>
    <s v="PASSED"/>
  </r>
  <r>
    <s v="EMPLOYEES"/>
    <x v="0"/>
    <x v="1"/>
    <x v="16"/>
    <s v="N"/>
    <x v="22"/>
    <n v="23"/>
    <n v="3090"/>
    <n v="3090"/>
    <n v="0"/>
    <n v="10"/>
    <n v="5"/>
    <s v="PASSED"/>
  </r>
  <r>
    <s v="OTHERS"/>
    <x v="1"/>
    <x v="0"/>
    <x v="0"/>
    <s v="Y"/>
    <x v="0"/>
    <n v="1"/>
    <n v="338.36"/>
    <n v="338.36"/>
    <n v="0"/>
    <n v="10"/>
    <n v="5"/>
    <s v="PASSED"/>
  </r>
  <r>
    <s v="OTHERS"/>
    <x v="1"/>
    <x v="0"/>
    <x v="1"/>
    <s v="Y"/>
    <x v="0"/>
    <n v="1"/>
    <n v="329"/>
    <n v="329"/>
    <n v="0"/>
    <n v="10"/>
    <n v="5"/>
    <s v="PASSED"/>
  </r>
  <r>
    <s v="OTHERS"/>
    <x v="1"/>
    <x v="0"/>
    <x v="2"/>
    <s v="Y"/>
    <x v="0"/>
    <n v="1"/>
    <n v="303.70999999999998"/>
    <n v="303.70999999999998"/>
    <n v="0"/>
    <n v="10"/>
    <n v="5"/>
    <s v="PASSED"/>
  </r>
  <r>
    <s v="OTHERS"/>
    <x v="1"/>
    <x v="0"/>
    <x v="3"/>
    <s v="Y"/>
    <x v="0"/>
    <n v="1"/>
    <n v="462.02"/>
    <n v="462.02"/>
    <n v="0"/>
    <n v="10"/>
    <n v="5"/>
    <s v="PASSED"/>
  </r>
  <r>
    <s v="OTHERS"/>
    <x v="1"/>
    <x v="0"/>
    <x v="4"/>
    <s v="Y"/>
    <x v="0"/>
    <n v="1"/>
    <n v="271.79000000000002"/>
    <n v="271.79000000000002"/>
    <n v="0"/>
    <n v="10"/>
    <n v="5"/>
    <s v="PASSED"/>
  </r>
  <r>
    <s v="OTHERS"/>
    <x v="1"/>
    <x v="0"/>
    <x v="5"/>
    <s v="Y"/>
    <x v="0"/>
    <n v="1"/>
    <n v="268.02"/>
    <n v="268.02"/>
    <n v="0"/>
    <n v="10"/>
    <n v="5"/>
    <s v="PASSED"/>
  </r>
  <r>
    <s v="OTHERS"/>
    <x v="1"/>
    <x v="0"/>
    <x v="6"/>
    <s v="Y"/>
    <x v="0"/>
    <n v="1"/>
    <n v="300.16000000000003"/>
    <n v="300.16000000000003"/>
    <n v="0"/>
    <n v="10"/>
    <n v="5"/>
    <s v="PASSED"/>
  </r>
  <r>
    <s v="OTHERS"/>
    <x v="1"/>
    <x v="0"/>
    <x v="7"/>
    <s v="Y"/>
    <x v="0"/>
    <n v="1"/>
    <n v="300.48"/>
    <n v="300.48"/>
    <n v="0"/>
    <n v="10"/>
    <n v="5"/>
    <s v="PASSED"/>
  </r>
  <r>
    <s v="OTHERS"/>
    <x v="1"/>
    <x v="0"/>
    <x v="8"/>
    <s v="Y"/>
    <x v="0"/>
    <n v="1"/>
    <n v="284.07"/>
    <n v="284.07"/>
    <n v="0"/>
    <n v="10"/>
    <n v="5"/>
    <s v="PASSED"/>
  </r>
  <r>
    <s v="OTHERS"/>
    <x v="1"/>
    <x v="0"/>
    <x v="9"/>
    <s v="Y"/>
    <x v="0"/>
    <n v="1"/>
    <n v="317.18"/>
    <n v="317.18"/>
    <n v="0"/>
    <n v="10"/>
    <n v="5"/>
    <s v="PASSED"/>
  </r>
  <r>
    <s v="OTHERS"/>
    <x v="1"/>
    <x v="0"/>
    <x v="10"/>
    <s v="Y"/>
    <x v="0"/>
    <n v="1"/>
    <n v="286.60000000000002"/>
    <n v="286.60000000000002"/>
    <n v="0"/>
    <n v="10"/>
    <n v="5"/>
    <s v="PASSED"/>
  </r>
  <r>
    <s v="OTHERS"/>
    <x v="1"/>
    <x v="0"/>
    <x v="11"/>
    <s v="Y"/>
    <x v="0"/>
    <n v="1"/>
    <n v="268.45999999999998"/>
    <n v="268.45999999999998"/>
    <n v="0"/>
    <n v="10"/>
    <n v="5"/>
    <s v="PASSED"/>
  </r>
  <r>
    <s v="OTHERS"/>
    <x v="1"/>
    <x v="0"/>
    <x v="12"/>
    <s v="N"/>
    <x v="0"/>
    <n v="1"/>
    <n v="276.62"/>
    <n v="276.62"/>
    <n v="0"/>
    <n v="10"/>
    <n v="5"/>
    <s v="PASSED"/>
  </r>
  <r>
    <s v="OTHERS"/>
    <x v="1"/>
    <x v="0"/>
    <x v="13"/>
    <s v="N"/>
    <x v="0"/>
    <n v="1"/>
    <n v="260.04000000000002"/>
    <n v="260.04000000000002"/>
    <n v="0"/>
    <n v="10"/>
    <n v="5"/>
    <s v="PASSED"/>
  </r>
  <r>
    <s v="OTHERS"/>
    <x v="1"/>
    <x v="0"/>
    <x v="14"/>
    <s v="N"/>
    <x v="0"/>
    <n v="1"/>
    <n v="241.13"/>
    <n v="241.13"/>
    <n v="0"/>
    <n v="10"/>
    <n v="5"/>
    <s v="PASSED"/>
  </r>
  <r>
    <s v="OTHERS"/>
    <x v="1"/>
    <x v="0"/>
    <x v="15"/>
    <s v="N"/>
    <x v="0"/>
    <n v="1"/>
    <n v="200.81"/>
    <n v="200.81"/>
    <n v="0"/>
    <n v="10"/>
    <n v="5"/>
    <s v="PASSED"/>
  </r>
  <r>
    <s v="OTHERS"/>
    <x v="1"/>
    <x v="0"/>
    <x v="16"/>
    <s v="N"/>
    <x v="0"/>
    <n v="1"/>
    <n v="77.23"/>
    <n v="77.23"/>
    <n v="0"/>
    <n v="10"/>
    <n v="5"/>
    <s v="PASSED"/>
  </r>
  <r>
    <s v="OTHERS"/>
    <x v="1"/>
    <x v="0"/>
    <x v="0"/>
    <s v="Y"/>
    <x v="1"/>
    <n v="2"/>
    <n v="59.03"/>
    <n v="59.03"/>
    <n v="0"/>
    <n v="10"/>
    <n v="5"/>
    <s v="PASSED"/>
  </r>
  <r>
    <s v="OTHERS"/>
    <x v="1"/>
    <x v="0"/>
    <x v="1"/>
    <s v="Y"/>
    <x v="1"/>
    <n v="2"/>
    <n v="61.35"/>
    <n v="61.35"/>
    <n v="0"/>
    <n v="10"/>
    <n v="5"/>
    <s v="PASSED"/>
  </r>
  <r>
    <s v="OTHERS"/>
    <x v="1"/>
    <x v="0"/>
    <x v="2"/>
    <s v="Y"/>
    <x v="1"/>
    <n v="2"/>
    <n v="46.85"/>
    <n v="46.85"/>
    <n v="0"/>
    <n v="10"/>
    <n v="5"/>
    <s v="PASSED"/>
  </r>
  <r>
    <s v="OTHERS"/>
    <x v="1"/>
    <x v="0"/>
    <x v="3"/>
    <s v="Y"/>
    <x v="1"/>
    <n v="2"/>
    <n v="59.44"/>
    <n v="59.44"/>
    <n v="0"/>
    <n v="10"/>
    <n v="5"/>
    <s v="PASSED"/>
  </r>
  <r>
    <s v="OTHERS"/>
    <x v="1"/>
    <x v="0"/>
    <x v="4"/>
    <s v="Y"/>
    <x v="1"/>
    <n v="2"/>
    <n v="54.89"/>
    <n v="54.89"/>
    <n v="0"/>
    <n v="10"/>
    <n v="5"/>
    <s v="PASSED"/>
  </r>
  <r>
    <s v="OTHERS"/>
    <x v="1"/>
    <x v="0"/>
    <x v="5"/>
    <s v="Y"/>
    <x v="1"/>
    <n v="2"/>
    <n v="39.119999999999997"/>
    <n v="39.119999999999997"/>
    <n v="0"/>
    <n v="10"/>
    <n v="5"/>
    <s v="PASSED"/>
  </r>
  <r>
    <s v="OTHERS"/>
    <x v="1"/>
    <x v="0"/>
    <x v="6"/>
    <s v="Y"/>
    <x v="1"/>
    <n v="2"/>
    <n v="43.98"/>
    <n v="43.98"/>
    <n v="0"/>
    <n v="10"/>
    <n v="5"/>
    <s v="PASSED"/>
  </r>
  <r>
    <s v="OTHERS"/>
    <x v="1"/>
    <x v="0"/>
    <x v="7"/>
    <s v="Y"/>
    <x v="1"/>
    <n v="2"/>
    <n v="53.31"/>
    <n v="53.31"/>
    <n v="0"/>
    <n v="10"/>
    <n v="5"/>
    <s v="PASSED"/>
  </r>
  <r>
    <s v="OTHERS"/>
    <x v="1"/>
    <x v="0"/>
    <x v="8"/>
    <s v="Y"/>
    <x v="1"/>
    <n v="2"/>
    <n v="44.01"/>
    <n v="44.01"/>
    <n v="0"/>
    <n v="10"/>
    <n v="5"/>
    <s v="PASSED"/>
  </r>
  <r>
    <s v="OTHERS"/>
    <x v="1"/>
    <x v="0"/>
    <x v="9"/>
    <s v="Y"/>
    <x v="1"/>
    <n v="2"/>
    <n v="46.86"/>
    <n v="46.86"/>
    <n v="0"/>
    <n v="10"/>
    <n v="5"/>
    <s v="PASSED"/>
  </r>
  <r>
    <s v="OTHERS"/>
    <x v="1"/>
    <x v="0"/>
    <x v="10"/>
    <s v="Y"/>
    <x v="1"/>
    <n v="2"/>
    <n v="55.82"/>
    <n v="55.82"/>
    <n v="0"/>
    <n v="10"/>
    <n v="5"/>
    <s v="PASSED"/>
  </r>
  <r>
    <s v="OTHERS"/>
    <x v="1"/>
    <x v="0"/>
    <x v="11"/>
    <s v="Y"/>
    <x v="1"/>
    <n v="2"/>
    <n v="44.4"/>
    <n v="44.4"/>
    <n v="0"/>
    <n v="10"/>
    <n v="5"/>
    <s v="PASSED"/>
  </r>
  <r>
    <s v="OTHERS"/>
    <x v="1"/>
    <x v="0"/>
    <x v="12"/>
    <s v="N"/>
    <x v="1"/>
    <n v="2"/>
    <n v="53.74"/>
    <n v="53.74"/>
    <n v="0"/>
    <n v="10"/>
    <n v="5"/>
    <s v="PASSED"/>
  </r>
  <r>
    <s v="OTHERS"/>
    <x v="1"/>
    <x v="0"/>
    <x v="13"/>
    <s v="N"/>
    <x v="1"/>
    <n v="2"/>
    <n v="44.64"/>
    <n v="44.64"/>
    <n v="0"/>
    <n v="10"/>
    <n v="5"/>
    <s v="PASSED"/>
  </r>
  <r>
    <s v="OTHERS"/>
    <x v="1"/>
    <x v="0"/>
    <x v="14"/>
    <s v="N"/>
    <x v="1"/>
    <n v="2"/>
    <n v="48.44"/>
    <n v="48.44"/>
    <n v="0"/>
    <n v="10"/>
    <n v="5"/>
    <s v="PASSED"/>
  </r>
  <r>
    <s v="OTHERS"/>
    <x v="1"/>
    <x v="0"/>
    <x v="15"/>
    <s v="N"/>
    <x v="1"/>
    <n v="2"/>
    <n v="40.909999999999997"/>
    <n v="40.909999999999997"/>
    <n v="0"/>
    <n v="10"/>
    <n v="5"/>
    <s v="PASSED"/>
  </r>
  <r>
    <s v="OTHERS"/>
    <x v="1"/>
    <x v="0"/>
    <x v="16"/>
    <s v="N"/>
    <x v="1"/>
    <n v="2"/>
    <n v="52.38"/>
    <n v="52.38"/>
    <n v="0"/>
    <n v="10"/>
    <n v="5"/>
    <s v="PASSED"/>
  </r>
  <r>
    <s v="OTHERS"/>
    <x v="1"/>
    <x v="0"/>
    <x v="0"/>
    <s v="Y"/>
    <x v="2"/>
    <n v="3"/>
    <n v="397.39"/>
    <n v="397.39"/>
    <n v="0"/>
    <n v="10"/>
    <n v="5"/>
    <s v="PASSED"/>
  </r>
  <r>
    <s v="OTHERS"/>
    <x v="1"/>
    <x v="0"/>
    <x v="1"/>
    <s v="Y"/>
    <x v="2"/>
    <n v="3"/>
    <n v="390.35"/>
    <n v="390.35"/>
    <n v="0"/>
    <n v="10"/>
    <n v="5"/>
    <s v="PASSED"/>
  </r>
  <r>
    <s v="OTHERS"/>
    <x v="1"/>
    <x v="0"/>
    <x v="2"/>
    <s v="Y"/>
    <x v="2"/>
    <n v="3"/>
    <n v="350.56"/>
    <n v="350.56"/>
    <n v="0"/>
    <n v="10"/>
    <n v="5"/>
    <s v="PASSED"/>
  </r>
  <r>
    <s v="OTHERS"/>
    <x v="1"/>
    <x v="0"/>
    <x v="3"/>
    <s v="Y"/>
    <x v="2"/>
    <n v="3"/>
    <n v="521.46"/>
    <n v="521.46"/>
    <n v="0"/>
    <n v="10"/>
    <n v="5"/>
    <s v="PASSED"/>
  </r>
  <r>
    <s v="OTHERS"/>
    <x v="1"/>
    <x v="0"/>
    <x v="4"/>
    <s v="Y"/>
    <x v="2"/>
    <n v="3"/>
    <n v="326.68"/>
    <n v="326.68"/>
    <n v="0"/>
    <n v="10"/>
    <n v="5"/>
    <s v="PASSED"/>
  </r>
  <r>
    <s v="OTHERS"/>
    <x v="1"/>
    <x v="0"/>
    <x v="5"/>
    <s v="Y"/>
    <x v="2"/>
    <n v="3"/>
    <n v="307.14"/>
    <n v="307.14"/>
    <n v="0"/>
    <n v="10"/>
    <n v="5"/>
    <s v="PASSED"/>
  </r>
  <r>
    <s v="OTHERS"/>
    <x v="1"/>
    <x v="0"/>
    <x v="6"/>
    <s v="Y"/>
    <x v="2"/>
    <n v="3"/>
    <n v="344.14"/>
    <n v="344.14"/>
    <n v="0"/>
    <n v="10"/>
    <n v="5"/>
    <s v="PASSED"/>
  </r>
  <r>
    <s v="OTHERS"/>
    <x v="1"/>
    <x v="0"/>
    <x v="7"/>
    <s v="Y"/>
    <x v="2"/>
    <n v="3"/>
    <n v="353.79"/>
    <n v="353.79"/>
    <n v="0"/>
    <n v="10"/>
    <n v="5"/>
    <s v="PASSED"/>
  </r>
  <r>
    <s v="OTHERS"/>
    <x v="1"/>
    <x v="0"/>
    <x v="8"/>
    <s v="Y"/>
    <x v="2"/>
    <n v="3"/>
    <n v="328.08"/>
    <n v="328.08"/>
    <n v="0"/>
    <n v="10"/>
    <n v="5"/>
    <s v="PASSED"/>
  </r>
  <r>
    <s v="OTHERS"/>
    <x v="1"/>
    <x v="0"/>
    <x v="9"/>
    <s v="Y"/>
    <x v="2"/>
    <n v="3"/>
    <n v="364.04"/>
    <n v="364.04"/>
    <n v="0"/>
    <n v="10"/>
    <n v="5"/>
    <s v="PASSED"/>
  </r>
  <r>
    <s v="OTHERS"/>
    <x v="1"/>
    <x v="0"/>
    <x v="10"/>
    <s v="Y"/>
    <x v="2"/>
    <n v="3"/>
    <n v="342.42"/>
    <n v="342.42"/>
    <n v="0"/>
    <n v="10"/>
    <n v="5"/>
    <s v="PASSED"/>
  </r>
  <r>
    <s v="OTHERS"/>
    <x v="1"/>
    <x v="0"/>
    <x v="11"/>
    <s v="Y"/>
    <x v="2"/>
    <n v="3"/>
    <n v="312.86"/>
    <n v="312.86"/>
    <n v="0"/>
    <n v="10"/>
    <n v="5"/>
    <s v="PASSED"/>
  </r>
  <r>
    <s v="OTHERS"/>
    <x v="1"/>
    <x v="0"/>
    <x v="12"/>
    <s v="N"/>
    <x v="2"/>
    <n v="3"/>
    <n v="330.36"/>
    <n v="330.36"/>
    <n v="0"/>
    <n v="10"/>
    <n v="5"/>
    <s v="PASSED"/>
  </r>
  <r>
    <s v="OTHERS"/>
    <x v="1"/>
    <x v="0"/>
    <x v="13"/>
    <s v="N"/>
    <x v="2"/>
    <n v="3"/>
    <n v="304.68"/>
    <n v="304.68"/>
    <n v="0"/>
    <n v="10"/>
    <n v="5"/>
    <s v="PASSED"/>
  </r>
  <r>
    <s v="OTHERS"/>
    <x v="1"/>
    <x v="0"/>
    <x v="14"/>
    <s v="N"/>
    <x v="2"/>
    <n v="3"/>
    <n v="289.57"/>
    <n v="289.57"/>
    <n v="0"/>
    <n v="10"/>
    <n v="5"/>
    <s v="PASSED"/>
  </r>
  <r>
    <s v="OTHERS"/>
    <x v="1"/>
    <x v="0"/>
    <x v="15"/>
    <s v="N"/>
    <x v="2"/>
    <n v="3"/>
    <n v="241.72"/>
    <n v="241.72"/>
    <n v="0"/>
    <n v="10"/>
    <n v="5"/>
    <s v="PASSED"/>
  </r>
  <r>
    <s v="OTHERS"/>
    <x v="1"/>
    <x v="0"/>
    <x v="16"/>
    <s v="N"/>
    <x v="2"/>
    <n v="3"/>
    <n v="129.61000000000001"/>
    <n v="129.61000000000001"/>
    <n v="0"/>
    <n v="10"/>
    <n v="5"/>
    <s v="PASSED"/>
  </r>
  <r>
    <s v="OTHERS"/>
    <x v="1"/>
    <x v="0"/>
    <x v="0"/>
    <s v="Y"/>
    <x v="3"/>
    <n v="4"/>
    <n v="5816.06"/>
    <n v="5816.06"/>
    <n v="0"/>
    <n v="10"/>
    <n v="5"/>
    <s v="PASSED"/>
  </r>
  <r>
    <s v="OTHERS"/>
    <x v="1"/>
    <x v="0"/>
    <x v="1"/>
    <s v="Y"/>
    <x v="3"/>
    <n v="4"/>
    <n v="0"/>
    <n v="0"/>
    <n v="0"/>
    <n v="10"/>
    <n v="5"/>
    <s v="PASSED"/>
  </r>
  <r>
    <s v="OTHERS"/>
    <x v="1"/>
    <x v="0"/>
    <x v="2"/>
    <s v="Y"/>
    <x v="3"/>
    <n v="4"/>
    <n v="65240.55"/>
    <n v="65240.55"/>
    <n v="0"/>
    <n v="10"/>
    <n v="5"/>
    <s v="PASSED"/>
  </r>
  <r>
    <s v="OTHERS"/>
    <x v="1"/>
    <x v="0"/>
    <x v="3"/>
    <s v="Y"/>
    <x v="3"/>
    <n v="4"/>
    <n v="73918.95"/>
    <n v="73918.95"/>
    <n v="0"/>
    <n v="10"/>
    <n v="5"/>
    <s v="PASSED"/>
  </r>
  <r>
    <s v="OTHERS"/>
    <x v="1"/>
    <x v="0"/>
    <x v="4"/>
    <s v="Y"/>
    <x v="3"/>
    <n v="4"/>
    <n v="0"/>
    <n v="0"/>
    <n v="0"/>
    <n v="10"/>
    <n v="5"/>
    <s v="PASSED"/>
  </r>
  <r>
    <s v="OTHERS"/>
    <x v="1"/>
    <x v="0"/>
    <x v="5"/>
    <s v="Y"/>
    <x v="3"/>
    <n v="4"/>
    <n v="0"/>
    <n v="0"/>
    <n v="0"/>
    <n v="10"/>
    <n v="5"/>
    <s v="PASSED"/>
  </r>
  <r>
    <s v="OTHERS"/>
    <x v="1"/>
    <x v="0"/>
    <x v="6"/>
    <s v="Y"/>
    <x v="3"/>
    <n v="4"/>
    <n v="32806.5"/>
    <n v="32806.5"/>
    <n v="0"/>
    <n v="10"/>
    <n v="5"/>
    <s v="PASSED"/>
  </r>
  <r>
    <s v="OTHERS"/>
    <x v="1"/>
    <x v="0"/>
    <x v="7"/>
    <s v="Y"/>
    <x v="3"/>
    <n v="4"/>
    <n v="0"/>
    <n v="0"/>
    <n v="0"/>
    <n v="10"/>
    <n v="5"/>
    <s v="PASSED"/>
  </r>
  <r>
    <s v="OTHERS"/>
    <x v="1"/>
    <x v="0"/>
    <x v="8"/>
    <s v="Y"/>
    <x v="3"/>
    <n v="4"/>
    <n v="29541.15"/>
    <n v="29541.15"/>
    <n v="0"/>
    <n v="10"/>
    <n v="5"/>
    <s v="PASSED"/>
  </r>
  <r>
    <s v="OTHERS"/>
    <x v="1"/>
    <x v="0"/>
    <x v="9"/>
    <s v="Y"/>
    <x v="3"/>
    <n v="4"/>
    <n v="0"/>
    <n v="0"/>
    <n v="0"/>
    <n v="10"/>
    <n v="5"/>
    <s v="PASSED"/>
  </r>
  <r>
    <s v="OTHERS"/>
    <x v="1"/>
    <x v="0"/>
    <x v="10"/>
    <s v="Y"/>
    <x v="3"/>
    <n v="4"/>
    <n v="31659.06"/>
    <n v="31659.06"/>
    <n v="0"/>
    <n v="10"/>
    <n v="5"/>
    <s v="PASSED"/>
  </r>
  <r>
    <s v="OTHERS"/>
    <x v="1"/>
    <x v="0"/>
    <x v="11"/>
    <s v="Y"/>
    <x v="3"/>
    <n v="4"/>
    <n v="0"/>
    <n v="0"/>
    <n v="0"/>
    <n v="10"/>
    <n v="5"/>
    <s v="PASSED"/>
  </r>
  <r>
    <s v="OTHERS"/>
    <x v="1"/>
    <x v="0"/>
    <x v="12"/>
    <s v="N"/>
    <x v="3"/>
    <n v="4"/>
    <n v="0"/>
    <n v="0"/>
    <n v="0"/>
    <n v="10"/>
    <n v="5"/>
    <s v="PASSED"/>
  </r>
  <r>
    <s v="OTHERS"/>
    <x v="1"/>
    <x v="0"/>
    <x v="13"/>
    <s v="N"/>
    <x v="3"/>
    <n v="4"/>
    <n v="25079.97"/>
    <n v="25079.97"/>
    <n v="0"/>
    <n v="10"/>
    <n v="5"/>
    <s v="PASSED"/>
  </r>
  <r>
    <s v="OTHERS"/>
    <x v="1"/>
    <x v="0"/>
    <x v="14"/>
    <s v="N"/>
    <x v="3"/>
    <n v="4"/>
    <n v="0"/>
    <n v="0"/>
    <n v="0"/>
    <n v="10"/>
    <n v="5"/>
    <s v="PASSED"/>
  </r>
  <r>
    <s v="OTHERS"/>
    <x v="1"/>
    <x v="0"/>
    <x v="15"/>
    <s v="N"/>
    <x v="3"/>
    <n v="4"/>
    <n v="0"/>
    <n v="0"/>
    <n v="0"/>
    <n v="10"/>
    <n v="5"/>
    <s v="PASSED"/>
  </r>
  <r>
    <s v="OTHERS"/>
    <x v="1"/>
    <x v="0"/>
    <x v="16"/>
    <s v="N"/>
    <x v="3"/>
    <n v="4"/>
    <n v="0"/>
    <n v="0"/>
    <n v="0"/>
    <n v="10"/>
    <n v="5"/>
    <s v="PASSED"/>
  </r>
  <r>
    <s v="OTHERS"/>
    <x v="1"/>
    <x v="0"/>
    <x v="0"/>
    <s v="Y"/>
    <x v="4"/>
    <n v="5"/>
    <n v="1"/>
    <n v="1"/>
    <n v="0"/>
    <n v="10"/>
    <n v="5"/>
    <s v="PASSED"/>
  </r>
  <r>
    <s v="OTHERS"/>
    <x v="1"/>
    <x v="0"/>
    <x v="1"/>
    <s v="Y"/>
    <x v="4"/>
    <n v="5"/>
    <n v="0"/>
    <n v="0"/>
    <n v="0"/>
    <n v="10"/>
    <n v="5"/>
    <s v="PASSED"/>
  </r>
  <r>
    <s v="OTHERS"/>
    <x v="1"/>
    <x v="0"/>
    <x v="2"/>
    <s v="Y"/>
    <x v="4"/>
    <n v="5"/>
    <n v="1"/>
    <n v="1"/>
    <n v="0"/>
    <n v="10"/>
    <n v="5"/>
    <s v="PASSED"/>
  </r>
  <r>
    <s v="OTHERS"/>
    <x v="1"/>
    <x v="0"/>
    <x v="3"/>
    <s v="Y"/>
    <x v="4"/>
    <n v="5"/>
    <n v="3"/>
    <n v="3"/>
    <n v="0"/>
    <n v="10"/>
    <n v="5"/>
    <s v="PASSED"/>
  </r>
  <r>
    <s v="OTHERS"/>
    <x v="1"/>
    <x v="0"/>
    <x v="4"/>
    <s v="Y"/>
    <x v="4"/>
    <n v="5"/>
    <n v="0"/>
    <n v="0"/>
    <n v="0"/>
    <n v="10"/>
    <n v="5"/>
    <s v="PASSED"/>
  </r>
  <r>
    <s v="OTHERS"/>
    <x v="1"/>
    <x v="0"/>
    <x v="5"/>
    <s v="Y"/>
    <x v="4"/>
    <n v="5"/>
    <n v="0"/>
    <n v="0"/>
    <n v="0"/>
    <n v="10"/>
    <n v="5"/>
    <s v="PASSED"/>
  </r>
  <r>
    <s v="OTHERS"/>
    <x v="1"/>
    <x v="0"/>
    <x v="6"/>
    <s v="Y"/>
    <x v="4"/>
    <n v="5"/>
    <n v="2"/>
    <n v="2"/>
    <n v="0"/>
    <n v="10"/>
    <n v="5"/>
    <s v="PASSED"/>
  </r>
  <r>
    <s v="OTHERS"/>
    <x v="1"/>
    <x v="0"/>
    <x v="7"/>
    <s v="Y"/>
    <x v="4"/>
    <n v="5"/>
    <n v="0"/>
    <n v="0"/>
    <n v="0"/>
    <n v="10"/>
    <n v="5"/>
    <s v="PASSED"/>
  </r>
  <r>
    <s v="OTHERS"/>
    <x v="1"/>
    <x v="0"/>
    <x v="8"/>
    <s v="Y"/>
    <x v="4"/>
    <n v="5"/>
    <n v="1"/>
    <n v="1"/>
    <n v="0"/>
    <n v="10"/>
    <n v="5"/>
    <s v="PASSED"/>
  </r>
  <r>
    <s v="OTHERS"/>
    <x v="1"/>
    <x v="0"/>
    <x v="9"/>
    <s v="Y"/>
    <x v="4"/>
    <n v="5"/>
    <n v="0"/>
    <n v="0"/>
    <n v="0"/>
    <n v="10"/>
    <n v="5"/>
    <s v="PASSED"/>
  </r>
  <r>
    <s v="OTHERS"/>
    <x v="1"/>
    <x v="0"/>
    <x v="10"/>
    <s v="Y"/>
    <x v="4"/>
    <n v="5"/>
    <n v="2"/>
    <n v="2"/>
    <n v="0"/>
    <n v="10"/>
    <n v="5"/>
    <s v="PASSED"/>
  </r>
  <r>
    <s v="OTHERS"/>
    <x v="1"/>
    <x v="0"/>
    <x v="11"/>
    <s v="Y"/>
    <x v="4"/>
    <n v="5"/>
    <n v="0"/>
    <n v="0"/>
    <n v="0"/>
    <n v="10"/>
    <n v="5"/>
    <s v="PASSED"/>
  </r>
  <r>
    <s v="OTHERS"/>
    <x v="1"/>
    <x v="0"/>
    <x v="12"/>
    <s v="N"/>
    <x v="4"/>
    <n v="5"/>
    <n v="0"/>
    <n v="0"/>
    <n v="0"/>
    <n v="10"/>
    <n v="5"/>
    <s v="PASSED"/>
  </r>
  <r>
    <s v="OTHERS"/>
    <x v="1"/>
    <x v="0"/>
    <x v="13"/>
    <s v="N"/>
    <x v="4"/>
    <n v="5"/>
    <n v="1"/>
    <n v="1"/>
    <n v="0"/>
    <n v="10"/>
    <n v="5"/>
    <s v="PASSED"/>
  </r>
  <r>
    <s v="OTHERS"/>
    <x v="1"/>
    <x v="0"/>
    <x v="14"/>
    <s v="N"/>
    <x v="4"/>
    <n v="5"/>
    <n v="0"/>
    <n v="0"/>
    <n v="0"/>
    <n v="10"/>
    <n v="5"/>
    <s v="PASSED"/>
  </r>
  <r>
    <s v="OTHERS"/>
    <x v="1"/>
    <x v="0"/>
    <x v="15"/>
    <s v="N"/>
    <x v="4"/>
    <n v="5"/>
    <n v="0"/>
    <n v="0"/>
    <n v="0"/>
    <n v="10"/>
    <n v="5"/>
    <s v="PASSED"/>
  </r>
  <r>
    <s v="OTHERS"/>
    <x v="1"/>
    <x v="0"/>
    <x v="16"/>
    <s v="N"/>
    <x v="4"/>
    <n v="5"/>
    <n v="0"/>
    <n v="0"/>
    <n v="0"/>
    <n v="10"/>
    <n v="5"/>
    <s v="PASSED"/>
  </r>
  <r>
    <s v="OTHERS"/>
    <x v="1"/>
    <x v="0"/>
    <x v="0"/>
    <s v="Y"/>
    <x v="5"/>
    <n v="6"/>
    <n v="5268.9"/>
    <n v="5268.9"/>
    <n v="0"/>
    <n v="10"/>
    <n v="5"/>
    <s v="PASSED"/>
  </r>
  <r>
    <s v="OTHERS"/>
    <x v="1"/>
    <x v="0"/>
    <x v="1"/>
    <s v="Y"/>
    <x v="5"/>
    <n v="6"/>
    <n v="0"/>
    <n v="0"/>
    <n v="0"/>
    <n v="10"/>
    <n v="5"/>
    <s v="PASSED"/>
  </r>
  <r>
    <s v="OTHERS"/>
    <x v="1"/>
    <x v="0"/>
    <x v="2"/>
    <s v="Y"/>
    <x v="5"/>
    <n v="6"/>
    <n v="0"/>
    <n v="0"/>
    <n v="0"/>
    <n v="10"/>
    <n v="5"/>
    <s v="PASSED"/>
  </r>
  <r>
    <s v="OTHERS"/>
    <x v="1"/>
    <x v="0"/>
    <x v="3"/>
    <s v="Y"/>
    <x v="5"/>
    <n v="6"/>
    <n v="72800.25"/>
    <n v="72800.25"/>
    <n v="0"/>
    <n v="10"/>
    <n v="5"/>
    <s v="PASSED"/>
  </r>
  <r>
    <s v="OTHERS"/>
    <x v="1"/>
    <x v="0"/>
    <x v="4"/>
    <s v="Y"/>
    <x v="5"/>
    <n v="6"/>
    <n v="0"/>
    <n v="0"/>
    <n v="0"/>
    <n v="10"/>
    <n v="5"/>
    <s v="PASSED"/>
  </r>
  <r>
    <s v="OTHERS"/>
    <x v="1"/>
    <x v="0"/>
    <x v="5"/>
    <s v="Y"/>
    <x v="5"/>
    <n v="6"/>
    <n v="0"/>
    <n v="0"/>
    <n v="0"/>
    <n v="10"/>
    <n v="5"/>
    <s v="PASSED"/>
  </r>
  <r>
    <s v="OTHERS"/>
    <x v="1"/>
    <x v="0"/>
    <x v="6"/>
    <s v="Y"/>
    <x v="5"/>
    <n v="6"/>
    <n v="11207.61"/>
    <n v="11207.61"/>
    <n v="0"/>
    <n v="10"/>
    <n v="5"/>
    <s v="PASSED"/>
  </r>
  <r>
    <s v="OTHERS"/>
    <x v="1"/>
    <x v="0"/>
    <x v="7"/>
    <s v="Y"/>
    <x v="5"/>
    <n v="6"/>
    <n v="0"/>
    <n v="0"/>
    <n v="0"/>
    <n v="10"/>
    <n v="5"/>
    <s v="PASSED"/>
  </r>
  <r>
    <s v="OTHERS"/>
    <x v="1"/>
    <x v="0"/>
    <x v="8"/>
    <s v="Y"/>
    <x v="5"/>
    <n v="6"/>
    <n v="0"/>
    <n v="0"/>
    <n v="0"/>
    <n v="10"/>
    <n v="5"/>
    <s v="PASSED"/>
  </r>
  <r>
    <s v="OTHERS"/>
    <x v="1"/>
    <x v="0"/>
    <x v="9"/>
    <s v="Y"/>
    <x v="5"/>
    <n v="6"/>
    <n v="8351.01"/>
    <n v="8351.01"/>
    <n v="0"/>
    <n v="10"/>
    <n v="5"/>
    <s v="PASSED"/>
  </r>
  <r>
    <s v="OTHERS"/>
    <x v="1"/>
    <x v="0"/>
    <x v="10"/>
    <s v="Y"/>
    <x v="5"/>
    <n v="6"/>
    <n v="31217.65"/>
    <n v="31217.65"/>
    <n v="0"/>
    <n v="10"/>
    <n v="5"/>
    <s v="PASSED"/>
  </r>
  <r>
    <s v="OTHERS"/>
    <x v="1"/>
    <x v="0"/>
    <x v="11"/>
    <s v="Y"/>
    <x v="5"/>
    <n v="6"/>
    <n v="0"/>
    <n v="0"/>
    <n v="0"/>
    <n v="10"/>
    <n v="5"/>
    <s v="PASSED"/>
  </r>
  <r>
    <s v="OTHERS"/>
    <x v="1"/>
    <x v="0"/>
    <x v="12"/>
    <s v="N"/>
    <x v="5"/>
    <n v="6"/>
    <n v="7888.05"/>
    <n v="7888.05"/>
    <n v="0"/>
    <n v="10"/>
    <n v="5"/>
    <s v="PASSED"/>
  </r>
  <r>
    <s v="OTHERS"/>
    <x v="1"/>
    <x v="0"/>
    <x v="13"/>
    <s v="N"/>
    <x v="5"/>
    <n v="6"/>
    <n v="0"/>
    <n v="0"/>
    <n v="0"/>
    <n v="10"/>
    <n v="5"/>
    <s v="PASSED"/>
  </r>
  <r>
    <s v="OTHERS"/>
    <x v="1"/>
    <x v="0"/>
    <x v="14"/>
    <s v="N"/>
    <x v="5"/>
    <n v="6"/>
    <n v="0"/>
    <n v="0"/>
    <n v="0"/>
    <n v="10"/>
    <n v="5"/>
    <s v="PASSED"/>
  </r>
  <r>
    <s v="OTHERS"/>
    <x v="1"/>
    <x v="0"/>
    <x v="15"/>
    <s v="N"/>
    <x v="5"/>
    <n v="6"/>
    <n v="0"/>
    <n v="0"/>
    <n v="0"/>
    <n v="10"/>
    <n v="5"/>
    <s v="PASSED"/>
  </r>
  <r>
    <s v="OTHERS"/>
    <x v="1"/>
    <x v="0"/>
    <x v="16"/>
    <s v="N"/>
    <x v="5"/>
    <n v="6"/>
    <n v="0"/>
    <n v="0"/>
    <n v="0"/>
    <n v="10"/>
    <n v="5"/>
    <s v="PASSED"/>
  </r>
  <r>
    <s v="OTHERS"/>
    <x v="1"/>
    <x v="0"/>
    <x v="0"/>
    <s v="Y"/>
    <x v="6"/>
    <n v="7"/>
    <n v="2"/>
    <n v="2"/>
    <n v="0"/>
    <n v="10"/>
    <n v="5"/>
    <s v="PASSED"/>
  </r>
  <r>
    <s v="OTHERS"/>
    <x v="1"/>
    <x v="0"/>
    <x v="1"/>
    <s v="Y"/>
    <x v="6"/>
    <n v="7"/>
    <n v="0"/>
    <n v="0"/>
    <n v="0"/>
    <n v="10"/>
    <n v="5"/>
    <s v="PASSED"/>
  </r>
  <r>
    <s v="OTHERS"/>
    <x v="1"/>
    <x v="0"/>
    <x v="2"/>
    <s v="Y"/>
    <x v="6"/>
    <n v="7"/>
    <n v="0"/>
    <n v="0"/>
    <n v="0"/>
    <n v="10"/>
    <n v="5"/>
    <s v="PASSED"/>
  </r>
  <r>
    <s v="OTHERS"/>
    <x v="1"/>
    <x v="0"/>
    <x v="3"/>
    <s v="Y"/>
    <x v="6"/>
    <n v="7"/>
    <n v="1"/>
    <n v="1"/>
    <n v="0"/>
    <n v="10"/>
    <n v="5"/>
    <s v="PASSED"/>
  </r>
  <r>
    <s v="OTHERS"/>
    <x v="1"/>
    <x v="0"/>
    <x v="4"/>
    <s v="Y"/>
    <x v="6"/>
    <n v="7"/>
    <n v="0"/>
    <n v="0"/>
    <n v="0"/>
    <n v="10"/>
    <n v="5"/>
    <s v="PASSED"/>
  </r>
  <r>
    <s v="OTHERS"/>
    <x v="1"/>
    <x v="0"/>
    <x v="5"/>
    <s v="Y"/>
    <x v="6"/>
    <n v="7"/>
    <n v="0"/>
    <n v="0"/>
    <n v="0"/>
    <n v="10"/>
    <n v="5"/>
    <s v="PASSED"/>
  </r>
  <r>
    <s v="OTHERS"/>
    <x v="1"/>
    <x v="0"/>
    <x v="6"/>
    <s v="Y"/>
    <x v="6"/>
    <n v="7"/>
    <n v="1"/>
    <n v="1"/>
    <n v="0"/>
    <n v="10"/>
    <n v="5"/>
    <s v="PASSED"/>
  </r>
  <r>
    <s v="OTHERS"/>
    <x v="1"/>
    <x v="0"/>
    <x v="7"/>
    <s v="Y"/>
    <x v="6"/>
    <n v="7"/>
    <n v="0"/>
    <n v="0"/>
    <n v="0"/>
    <n v="10"/>
    <n v="5"/>
    <s v="PASSED"/>
  </r>
  <r>
    <s v="OTHERS"/>
    <x v="1"/>
    <x v="0"/>
    <x v="8"/>
    <s v="Y"/>
    <x v="6"/>
    <n v="7"/>
    <n v="0"/>
    <n v="0"/>
    <n v="0"/>
    <n v="10"/>
    <n v="5"/>
    <s v="PASSED"/>
  </r>
  <r>
    <s v="OTHERS"/>
    <x v="1"/>
    <x v="0"/>
    <x v="9"/>
    <s v="Y"/>
    <x v="6"/>
    <n v="7"/>
    <n v="1"/>
    <n v="1"/>
    <n v="0"/>
    <n v="10"/>
    <n v="5"/>
    <s v="PASSED"/>
  </r>
  <r>
    <s v="OTHERS"/>
    <x v="1"/>
    <x v="0"/>
    <x v="10"/>
    <s v="Y"/>
    <x v="6"/>
    <n v="7"/>
    <n v="2"/>
    <n v="2"/>
    <n v="0"/>
    <n v="10"/>
    <n v="5"/>
    <s v="PASSED"/>
  </r>
  <r>
    <s v="OTHERS"/>
    <x v="1"/>
    <x v="0"/>
    <x v="11"/>
    <s v="Y"/>
    <x v="6"/>
    <n v="7"/>
    <n v="0"/>
    <n v="0"/>
    <n v="0"/>
    <n v="10"/>
    <n v="5"/>
    <s v="PASSED"/>
  </r>
  <r>
    <s v="OTHERS"/>
    <x v="1"/>
    <x v="0"/>
    <x v="12"/>
    <s v="N"/>
    <x v="6"/>
    <n v="7"/>
    <n v="1"/>
    <n v="1"/>
    <n v="0"/>
    <n v="10"/>
    <n v="5"/>
    <s v="PASSED"/>
  </r>
  <r>
    <s v="OTHERS"/>
    <x v="1"/>
    <x v="0"/>
    <x v="13"/>
    <s v="N"/>
    <x v="6"/>
    <n v="7"/>
    <n v="0"/>
    <n v="0"/>
    <n v="0"/>
    <n v="10"/>
    <n v="5"/>
    <s v="PASSED"/>
  </r>
  <r>
    <s v="OTHERS"/>
    <x v="1"/>
    <x v="0"/>
    <x v="14"/>
    <s v="N"/>
    <x v="6"/>
    <n v="7"/>
    <n v="0"/>
    <n v="0"/>
    <n v="0"/>
    <n v="10"/>
    <n v="5"/>
    <s v="PASSED"/>
  </r>
  <r>
    <s v="OTHERS"/>
    <x v="1"/>
    <x v="0"/>
    <x v="15"/>
    <s v="N"/>
    <x v="6"/>
    <n v="7"/>
    <n v="0"/>
    <n v="0"/>
    <n v="0"/>
    <n v="10"/>
    <n v="5"/>
    <s v="PASSED"/>
  </r>
  <r>
    <s v="OTHERS"/>
    <x v="1"/>
    <x v="0"/>
    <x v="16"/>
    <s v="N"/>
    <x v="6"/>
    <n v="7"/>
    <n v="0"/>
    <n v="0"/>
    <n v="0"/>
    <n v="10"/>
    <n v="5"/>
    <s v="PASSED"/>
  </r>
  <r>
    <s v="OTHERS"/>
    <x v="1"/>
    <x v="0"/>
    <x v="0"/>
    <s v="Y"/>
    <x v="7"/>
    <n v="8"/>
    <n v="45989.1"/>
    <n v="45989.1"/>
    <n v="0"/>
    <n v="10"/>
    <n v="5"/>
    <s v="PASSED"/>
  </r>
  <r>
    <s v="OTHERS"/>
    <x v="1"/>
    <x v="0"/>
    <x v="1"/>
    <s v="Y"/>
    <x v="7"/>
    <n v="8"/>
    <n v="45230.47"/>
    <n v="45230.47"/>
    <n v="0"/>
    <n v="10"/>
    <n v="5"/>
    <s v="PASSED"/>
  </r>
  <r>
    <s v="OTHERS"/>
    <x v="1"/>
    <x v="0"/>
    <x v="2"/>
    <s v="Y"/>
    <x v="7"/>
    <n v="8"/>
    <n v="34656.620000000003"/>
    <n v="34656.620000000003"/>
    <n v="0"/>
    <n v="10"/>
    <n v="5"/>
    <s v="PASSED"/>
  </r>
  <r>
    <s v="OTHERS"/>
    <x v="1"/>
    <x v="0"/>
    <x v="3"/>
    <s v="Y"/>
    <x v="7"/>
    <n v="8"/>
    <n v="23055.67"/>
    <n v="23055.67"/>
    <n v="0"/>
    <n v="10"/>
    <n v="5"/>
    <s v="PASSED"/>
  </r>
  <r>
    <s v="OTHERS"/>
    <x v="1"/>
    <x v="0"/>
    <x v="4"/>
    <s v="Y"/>
    <x v="7"/>
    <n v="8"/>
    <n v="26727.78"/>
    <n v="26727.78"/>
    <n v="0"/>
    <n v="10"/>
    <n v="5"/>
    <s v="PASSED"/>
  </r>
  <r>
    <s v="OTHERS"/>
    <x v="1"/>
    <x v="0"/>
    <x v="5"/>
    <s v="Y"/>
    <x v="7"/>
    <n v="8"/>
    <n v="32799.660000000003"/>
    <n v="32799.660000000003"/>
    <n v="0"/>
    <n v="10"/>
    <n v="5"/>
    <s v="PASSED"/>
  </r>
  <r>
    <s v="OTHERS"/>
    <x v="1"/>
    <x v="0"/>
    <x v="6"/>
    <s v="Y"/>
    <x v="7"/>
    <n v="8"/>
    <n v="37617.79"/>
    <n v="37617.79"/>
    <n v="0"/>
    <n v="10"/>
    <n v="5"/>
    <s v="PASSED"/>
  </r>
  <r>
    <s v="OTHERS"/>
    <x v="1"/>
    <x v="0"/>
    <x v="7"/>
    <s v="Y"/>
    <x v="7"/>
    <n v="8"/>
    <n v="28903.35"/>
    <n v="28903.35"/>
    <n v="0"/>
    <n v="10"/>
    <n v="5"/>
    <s v="PASSED"/>
  </r>
  <r>
    <s v="OTHERS"/>
    <x v="1"/>
    <x v="0"/>
    <x v="8"/>
    <s v="Y"/>
    <x v="7"/>
    <n v="8"/>
    <n v="22024.93"/>
    <n v="22024.93"/>
    <n v="0"/>
    <n v="10"/>
    <n v="5"/>
    <s v="PASSED"/>
  </r>
  <r>
    <s v="OTHERS"/>
    <x v="1"/>
    <x v="0"/>
    <x v="9"/>
    <s v="Y"/>
    <x v="7"/>
    <n v="8"/>
    <n v="31803.39"/>
    <n v="31803.39"/>
    <n v="0"/>
    <n v="10"/>
    <n v="5"/>
    <s v="PASSED"/>
  </r>
  <r>
    <s v="OTHERS"/>
    <x v="1"/>
    <x v="0"/>
    <x v="10"/>
    <s v="Y"/>
    <x v="7"/>
    <n v="8"/>
    <n v="54278.22"/>
    <n v="54278.22"/>
    <n v="0"/>
    <n v="10"/>
    <n v="5"/>
    <s v="PASSED"/>
  </r>
  <r>
    <s v="OTHERS"/>
    <x v="1"/>
    <x v="0"/>
    <x v="11"/>
    <s v="Y"/>
    <x v="7"/>
    <n v="8"/>
    <n v="37194.15"/>
    <n v="37194.15"/>
    <n v="0"/>
    <n v="10"/>
    <n v="5"/>
    <s v="PASSED"/>
  </r>
  <r>
    <s v="OTHERS"/>
    <x v="1"/>
    <x v="0"/>
    <x v="12"/>
    <s v="N"/>
    <x v="7"/>
    <n v="8"/>
    <n v="27958.63"/>
    <n v="27958.63"/>
    <n v="0"/>
    <n v="10"/>
    <n v="5"/>
    <s v="PASSED"/>
  </r>
  <r>
    <s v="OTHERS"/>
    <x v="1"/>
    <x v="0"/>
    <x v="13"/>
    <s v="N"/>
    <x v="7"/>
    <n v="8"/>
    <n v="33227.230000000003"/>
    <n v="33227.230000000003"/>
    <n v="0"/>
    <n v="10"/>
    <n v="5"/>
    <s v="PASSED"/>
  </r>
  <r>
    <s v="OTHERS"/>
    <x v="1"/>
    <x v="0"/>
    <x v="14"/>
    <s v="N"/>
    <x v="7"/>
    <n v="8"/>
    <n v="24955.02"/>
    <n v="24955.02"/>
    <n v="0"/>
    <n v="10"/>
    <n v="5"/>
    <s v="PASSED"/>
  </r>
  <r>
    <s v="OTHERS"/>
    <x v="1"/>
    <x v="0"/>
    <x v="15"/>
    <s v="N"/>
    <x v="7"/>
    <n v="8"/>
    <n v="23096.86"/>
    <n v="23096.86"/>
    <n v="0"/>
    <n v="10"/>
    <n v="5"/>
    <s v="PASSED"/>
  </r>
  <r>
    <s v="OTHERS"/>
    <x v="1"/>
    <x v="0"/>
    <x v="16"/>
    <s v="N"/>
    <x v="7"/>
    <n v="8"/>
    <n v="8043.07"/>
    <n v="8043.07"/>
    <n v="0"/>
    <n v="10"/>
    <n v="5"/>
    <s v="PASSED"/>
  </r>
  <r>
    <s v="OTHERS"/>
    <x v="1"/>
    <x v="0"/>
    <x v="0"/>
    <s v="Y"/>
    <x v="8"/>
    <n v="9"/>
    <n v="41"/>
    <n v="41"/>
    <n v="0"/>
    <n v="10"/>
    <n v="5"/>
    <s v="PASSED"/>
  </r>
  <r>
    <s v="OTHERS"/>
    <x v="1"/>
    <x v="0"/>
    <x v="1"/>
    <s v="Y"/>
    <x v="8"/>
    <n v="9"/>
    <n v="49"/>
    <n v="49"/>
    <n v="0"/>
    <n v="10"/>
    <n v="5"/>
    <s v="PASSED"/>
  </r>
  <r>
    <s v="OTHERS"/>
    <x v="1"/>
    <x v="0"/>
    <x v="2"/>
    <s v="Y"/>
    <x v="8"/>
    <n v="9"/>
    <n v="20"/>
    <n v="20"/>
    <n v="0"/>
    <n v="10"/>
    <n v="5"/>
    <s v="PASSED"/>
  </r>
  <r>
    <s v="OTHERS"/>
    <x v="1"/>
    <x v="0"/>
    <x v="3"/>
    <s v="Y"/>
    <x v="8"/>
    <n v="9"/>
    <n v="14"/>
    <n v="14"/>
    <n v="0"/>
    <n v="10"/>
    <n v="5"/>
    <s v="PASSED"/>
  </r>
  <r>
    <s v="OTHERS"/>
    <x v="1"/>
    <x v="0"/>
    <x v="4"/>
    <s v="Y"/>
    <x v="8"/>
    <n v="9"/>
    <n v="28"/>
    <n v="28"/>
    <n v="0"/>
    <n v="10"/>
    <n v="5"/>
    <s v="PASSED"/>
  </r>
  <r>
    <s v="OTHERS"/>
    <x v="1"/>
    <x v="0"/>
    <x v="5"/>
    <s v="Y"/>
    <x v="8"/>
    <n v="9"/>
    <n v="25"/>
    <n v="25"/>
    <n v="0"/>
    <n v="10"/>
    <n v="5"/>
    <s v="PASSED"/>
  </r>
  <r>
    <s v="OTHERS"/>
    <x v="1"/>
    <x v="0"/>
    <x v="6"/>
    <s v="Y"/>
    <x v="8"/>
    <n v="9"/>
    <n v="22"/>
    <n v="22"/>
    <n v="0"/>
    <n v="10"/>
    <n v="5"/>
    <s v="PASSED"/>
  </r>
  <r>
    <s v="OTHERS"/>
    <x v="1"/>
    <x v="0"/>
    <x v="7"/>
    <s v="Y"/>
    <x v="8"/>
    <n v="9"/>
    <n v="38"/>
    <n v="38"/>
    <n v="0"/>
    <n v="10"/>
    <n v="5"/>
    <s v="PASSED"/>
  </r>
  <r>
    <s v="OTHERS"/>
    <x v="1"/>
    <x v="0"/>
    <x v="8"/>
    <s v="Y"/>
    <x v="8"/>
    <n v="9"/>
    <n v="25"/>
    <n v="25"/>
    <n v="0"/>
    <n v="10"/>
    <n v="5"/>
    <s v="PASSED"/>
  </r>
  <r>
    <s v="OTHERS"/>
    <x v="1"/>
    <x v="0"/>
    <x v="9"/>
    <s v="Y"/>
    <x v="8"/>
    <n v="9"/>
    <n v="33"/>
    <n v="33"/>
    <n v="0"/>
    <n v="10"/>
    <n v="5"/>
    <s v="PASSED"/>
  </r>
  <r>
    <s v="OTHERS"/>
    <x v="1"/>
    <x v="0"/>
    <x v="10"/>
    <s v="Y"/>
    <x v="8"/>
    <n v="9"/>
    <n v="35"/>
    <n v="35"/>
    <n v="0"/>
    <n v="10"/>
    <n v="5"/>
    <s v="PASSED"/>
  </r>
  <r>
    <s v="OTHERS"/>
    <x v="1"/>
    <x v="0"/>
    <x v="11"/>
    <s v="Y"/>
    <x v="8"/>
    <n v="9"/>
    <n v="22"/>
    <n v="22"/>
    <n v="0"/>
    <n v="10"/>
    <n v="5"/>
    <s v="PASSED"/>
  </r>
  <r>
    <s v="OTHERS"/>
    <x v="1"/>
    <x v="0"/>
    <x v="12"/>
    <s v="N"/>
    <x v="8"/>
    <n v="9"/>
    <n v="24"/>
    <n v="24"/>
    <n v="0"/>
    <n v="10"/>
    <n v="5"/>
    <s v="PASSED"/>
  </r>
  <r>
    <s v="OTHERS"/>
    <x v="1"/>
    <x v="0"/>
    <x v="13"/>
    <s v="N"/>
    <x v="8"/>
    <n v="9"/>
    <n v="32"/>
    <n v="32"/>
    <n v="0"/>
    <n v="10"/>
    <n v="5"/>
    <s v="PASSED"/>
  </r>
  <r>
    <s v="OTHERS"/>
    <x v="1"/>
    <x v="0"/>
    <x v="14"/>
    <s v="N"/>
    <x v="8"/>
    <n v="9"/>
    <n v="34"/>
    <n v="34"/>
    <n v="0"/>
    <n v="10"/>
    <n v="5"/>
    <s v="PASSED"/>
  </r>
  <r>
    <s v="OTHERS"/>
    <x v="1"/>
    <x v="0"/>
    <x v="15"/>
    <s v="N"/>
    <x v="8"/>
    <n v="9"/>
    <n v="26"/>
    <n v="26"/>
    <n v="0"/>
    <n v="10"/>
    <n v="5"/>
    <s v="PASSED"/>
  </r>
  <r>
    <s v="OTHERS"/>
    <x v="1"/>
    <x v="0"/>
    <x v="16"/>
    <s v="N"/>
    <x v="8"/>
    <n v="9"/>
    <n v="8"/>
    <n v="8"/>
    <n v="0"/>
    <n v="10"/>
    <n v="5"/>
    <s v="PASSED"/>
  </r>
  <r>
    <s v="OTHERS"/>
    <x v="1"/>
    <x v="0"/>
    <x v="0"/>
    <s v="Y"/>
    <x v="9"/>
    <n v="10"/>
    <n v="35"/>
    <n v="35"/>
    <n v="0"/>
    <n v="10"/>
    <n v="5"/>
    <s v="PASSED"/>
  </r>
  <r>
    <s v="OTHERS"/>
    <x v="1"/>
    <x v="0"/>
    <x v="1"/>
    <s v="Y"/>
    <x v="9"/>
    <n v="10"/>
    <n v="26"/>
    <n v="26"/>
    <n v="0"/>
    <n v="10"/>
    <n v="5"/>
    <s v="PASSED"/>
  </r>
  <r>
    <s v="OTHERS"/>
    <x v="1"/>
    <x v="0"/>
    <x v="2"/>
    <s v="Y"/>
    <x v="9"/>
    <n v="10"/>
    <n v="77"/>
    <n v="77"/>
    <n v="0"/>
    <n v="10"/>
    <n v="5"/>
    <s v="PASSED"/>
  </r>
  <r>
    <s v="OTHERS"/>
    <x v="1"/>
    <x v="0"/>
    <x v="3"/>
    <s v="Y"/>
    <x v="9"/>
    <n v="10"/>
    <n v="31"/>
    <n v="31"/>
    <n v="0"/>
    <n v="10"/>
    <n v="5"/>
    <s v="PASSED"/>
  </r>
  <r>
    <s v="OTHERS"/>
    <x v="1"/>
    <x v="0"/>
    <x v="4"/>
    <s v="Y"/>
    <x v="9"/>
    <n v="10"/>
    <n v="17"/>
    <n v="17"/>
    <n v="0"/>
    <n v="10"/>
    <n v="5"/>
    <s v="PASSED"/>
  </r>
  <r>
    <s v="OTHERS"/>
    <x v="1"/>
    <x v="0"/>
    <x v="5"/>
    <s v="Y"/>
    <x v="9"/>
    <n v="10"/>
    <n v="36"/>
    <n v="36"/>
    <n v="0"/>
    <n v="10"/>
    <n v="5"/>
    <s v="PASSED"/>
  </r>
  <r>
    <s v="OTHERS"/>
    <x v="1"/>
    <x v="0"/>
    <x v="6"/>
    <s v="Y"/>
    <x v="9"/>
    <n v="10"/>
    <n v="19"/>
    <n v="19"/>
    <n v="0"/>
    <n v="10"/>
    <n v="5"/>
    <s v="PASSED"/>
  </r>
  <r>
    <s v="OTHERS"/>
    <x v="1"/>
    <x v="0"/>
    <x v="7"/>
    <s v="Y"/>
    <x v="9"/>
    <n v="10"/>
    <n v="19"/>
    <n v="19"/>
    <n v="0"/>
    <n v="10"/>
    <n v="5"/>
    <s v="PASSED"/>
  </r>
  <r>
    <s v="OTHERS"/>
    <x v="1"/>
    <x v="0"/>
    <x v="8"/>
    <s v="Y"/>
    <x v="9"/>
    <n v="10"/>
    <n v="65"/>
    <n v="65"/>
    <n v="0"/>
    <n v="10"/>
    <n v="5"/>
    <s v="PASSED"/>
  </r>
  <r>
    <s v="OTHERS"/>
    <x v="1"/>
    <x v="0"/>
    <x v="9"/>
    <s v="Y"/>
    <x v="9"/>
    <n v="10"/>
    <n v="76"/>
    <n v="76"/>
    <n v="0"/>
    <n v="10"/>
    <n v="5"/>
    <s v="PASSED"/>
  </r>
  <r>
    <s v="OTHERS"/>
    <x v="1"/>
    <x v="0"/>
    <x v="10"/>
    <s v="Y"/>
    <x v="9"/>
    <n v="10"/>
    <n v="46"/>
    <n v="46"/>
    <n v="0"/>
    <n v="10"/>
    <n v="5"/>
    <s v="PASSED"/>
  </r>
  <r>
    <s v="OTHERS"/>
    <x v="1"/>
    <x v="0"/>
    <x v="11"/>
    <s v="Y"/>
    <x v="9"/>
    <n v="10"/>
    <n v="57"/>
    <n v="57"/>
    <n v="0"/>
    <n v="10"/>
    <n v="5"/>
    <s v="PASSED"/>
  </r>
  <r>
    <s v="OTHERS"/>
    <x v="1"/>
    <x v="0"/>
    <x v="12"/>
    <s v="N"/>
    <x v="9"/>
    <n v="10"/>
    <n v="29"/>
    <n v="29"/>
    <n v="0"/>
    <n v="10"/>
    <n v="5"/>
    <s v="PASSED"/>
  </r>
  <r>
    <s v="OTHERS"/>
    <x v="1"/>
    <x v="0"/>
    <x v="13"/>
    <s v="N"/>
    <x v="9"/>
    <n v="10"/>
    <n v="53"/>
    <n v="53"/>
    <n v="0"/>
    <n v="10"/>
    <n v="5"/>
    <s v="PASSED"/>
  </r>
  <r>
    <s v="OTHERS"/>
    <x v="1"/>
    <x v="0"/>
    <x v="14"/>
    <s v="N"/>
    <x v="9"/>
    <n v="10"/>
    <n v="18"/>
    <n v="18"/>
    <n v="0"/>
    <n v="10"/>
    <n v="5"/>
    <s v="PASSED"/>
  </r>
  <r>
    <s v="OTHERS"/>
    <x v="1"/>
    <x v="0"/>
    <x v="15"/>
    <s v="N"/>
    <x v="9"/>
    <n v="10"/>
    <n v="18"/>
    <n v="18"/>
    <n v="0"/>
    <n v="10"/>
    <n v="5"/>
    <s v="PASSED"/>
  </r>
  <r>
    <s v="OTHERS"/>
    <x v="1"/>
    <x v="0"/>
    <x v="16"/>
    <s v="N"/>
    <x v="9"/>
    <n v="10"/>
    <n v="8"/>
    <n v="8"/>
    <n v="0"/>
    <n v="10"/>
    <n v="5"/>
    <s v="PASSED"/>
  </r>
  <r>
    <s v="OTHERS"/>
    <x v="1"/>
    <x v="0"/>
    <x v="0"/>
    <s v="Y"/>
    <x v="10"/>
    <n v="11"/>
    <n v="0"/>
    <n v="0"/>
    <n v="0"/>
    <n v="10"/>
    <n v="5"/>
    <s v="PASSED"/>
  </r>
  <r>
    <s v="OTHERS"/>
    <x v="1"/>
    <x v="0"/>
    <x v="1"/>
    <s v="Y"/>
    <x v="10"/>
    <n v="11"/>
    <n v="0"/>
    <n v="0"/>
    <n v="0"/>
    <n v="10"/>
    <n v="5"/>
    <s v="PASSED"/>
  </r>
  <r>
    <s v="OTHERS"/>
    <x v="1"/>
    <x v="0"/>
    <x v="2"/>
    <s v="Y"/>
    <x v="10"/>
    <n v="11"/>
    <n v="0"/>
    <n v="0"/>
    <n v="0"/>
    <n v="10"/>
    <n v="5"/>
    <s v="PASSED"/>
  </r>
  <r>
    <s v="OTHERS"/>
    <x v="1"/>
    <x v="0"/>
    <x v="3"/>
    <s v="Y"/>
    <x v="10"/>
    <n v="11"/>
    <n v="0"/>
    <n v="0"/>
    <n v="0"/>
    <n v="10"/>
    <n v="5"/>
    <s v="PASSED"/>
  </r>
  <r>
    <s v="OTHERS"/>
    <x v="1"/>
    <x v="0"/>
    <x v="4"/>
    <s v="Y"/>
    <x v="10"/>
    <n v="11"/>
    <n v="0"/>
    <n v="0"/>
    <n v="0"/>
    <n v="10"/>
    <n v="5"/>
    <s v="PASSED"/>
  </r>
  <r>
    <s v="OTHERS"/>
    <x v="1"/>
    <x v="0"/>
    <x v="5"/>
    <s v="Y"/>
    <x v="10"/>
    <n v="11"/>
    <n v="0"/>
    <n v="0"/>
    <n v="0"/>
    <n v="10"/>
    <n v="5"/>
    <s v="PASSED"/>
  </r>
  <r>
    <s v="OTHERS"/>
    <x v="1"/>
    <x v="0"/>
    <x v="6"/>
    <s v="Y"/>
    <x v="10"/>
    <n v="11"/>
    <n v="0"/>
    <n v="0"/>
    <n v="0"/>
    <n v="10"/>
    <n v="5"/>
    <s v="PASSED"/>
  </r>
  <r>
    <s v="OTHERS"/>
    <x v="1"/>
    <x v="0"/>
    <x v="7"/>
    <s v="Y"/>
    <x v="10"/>
    <n v="11"/>
    <n v="0"/>
    <n v="0"/>
    <n v="0"/>
    <n v="10"/>
    <n v="5"/>
    <s v="PASSED"/>
  </r>
  <r>
    <s v="OTHERS"/>
    <x v="1"/>
    <x v="0"/>
    <x v="8"/>
    <s v="Y"/>
    <x v="10"/>
    <n v="11"/>
    <n v="0"/>
    <n v="0"/>
    <n v="0"/>
    <n v="10"/>
    <n v="5"/>
    <s v="PASSED"/>
  </r>
  <r>
    <s v="OTHERS"/>
    <x v="1"/>
    <x v="0"/>
    <x v="9"/>
    <s v="Y"/>
    <x v="10"/>
    <n v="11"/>
    <n v="0"/>
    <n v="0"/>
    <n v="0"/>
    <n v="10"/>
    <n v="5"/>
    <s v="PASSED"/>
  </r>
  <r>
    <s v="OTHERS"/>
    <x v="1"/>
    <x v="0"/>
    <x v="10"/>
    <s v="Y"/>
    <x v="10"/>
    <n v="11"/>
    <n v="0"/>
    <n v="0"/>
    <n v="0"/>
    <n v="10"/>
    <n v="5"/>
    <s v="PASSED"/>
  </r>
  <r>
    <s v="OTHERS"/>
    <x v="1"/>
    <x v="0"/>
    <x v="11"/>
    <s v="Y"/>
    <x v="10"/>
    <n v="11"/>
    <n v="0"/>
    <n v="0"/>
    <n v="0"/>
    <n v="10"/>
    <n v="5"/>
    <s v="PASSED"/>
  </r>
  <r>
    <s v="OTHERS"/>
    <x v="1"/>
    <x v="0"/>
    <x v="12"/>
    <s v="N"/>
    <x v="10"/>
    <n v="11"/>
    <n v="3"/>
    <n v="3"/>
    <n v="0"/>
    <n v="10"/>
    <n v="5"/>
    <s v="PASSED"/>
  </r>
  <r>
    <s v="OTHERS"/>
    <x v="1"/>
    <x v="0"/>
    <x v="13"/>
    <s v="N"/>
    <x v="10"/>
    <n v="11"/>
    <n v="0"/>
    <n v="0"/>
    <n v="0"/>
    <n v="10"/>
    <n v="5"/>
    <s v="PASSED"/>
  </r>
  <r>
    <s v="OTHERS"/>
    <x v="1"/>
    <x v="0"/>
    <x v="14"/>
    <s v="N"/>
    <x v="10"/>
    <n v="11"/>
    <n v="0"/>
    <n v="0"/>
    <n v="0"/>
    <n v="10"/>
    <n v="5"/>
    <s v="PASSED"/>
  </r>
  <r>
    <s v="OTHERS"/>
    <x v="1"/>
    <x v="0"/>
    <x v="15"/>
    <s v="N"/>
    <x v="10"/>
    <n v="11"/>
    <n v="0"/>
    <n v="0"/>
    <n v="0"/>
    <n v="10"/>
    <n v="5"/>
    <s v="PASSED"/>
  </r>
  <r>
    <s v="OTHERS"/>
    <x v="1"/>
    <x v="0"/>
    <x v="16"/>
    <s v="N"/>
    <x v="10"/>
    <n v="11"/>
    <n v="0"/>
    <n v="0"/>
    <n v="0"/>
    <n v="10"/>
    <n v="5"/>
    <s v="PASSED"/>
  </r>
  <r>
    <s v="OTHERS"/>
    <x v="1"/>
    <x v="0"/>
    <x v="0"/>
    <s v="Y"/>
    <x v="11"/>
    <n v="12"/>
    <n v="0"/>
    <n v="0"/>
    <n v="0"/>
    <n v="10"/>
    <n v="5"/>
    <s v="PASSED"/>
  </r>
  <r>
    <s v="OTHERS"/>
    <x v="1"/>
    <x v="0"/>
    <x v="1"/>
    <s v="Y"/>
    <x v="11"/>
    <n v="12"/>
    <n v="0"/>
    <n v="0"/>
    <n v="0"/>
    <n v="10"/>
    <n v="5"/>
    <s v="PASSED"/>
  </r>
  <r>
    <s v="OTHERS"/>
    <x v="1"/>
    <x v="0"/>
    <x v="2"/>
    <s v="Y"/>
    <x v="11"/>
    <n v="12"/>
    <n v="3"/>
    <n v="3"/>
    <n v="0"/>
    <n v="10"/>
    <n v="5"/>
    <s v="PASSED"/>
  </r>
  <r>
    <s v="OTHERS"/>
    <x v="1"/>
    <x v="0"/>
    <x v="3"/>
    <s v="Y"/>
    <x v="11"/>
    <n v="12"/>
    <n v="3"/>
    <n v="3"/>
    <n v="0"/>
    <n v="10"/>
    <n v="5"/>
    <s v="PASSED"/>
  </r>
  <r>
    <s v="OTHERS"/>
    <x v="1"/>
    <x v="0"/>
    <x v="4"/>
    <s v="Y"/>
    <x v="11"/>
    <n v="12"/>
    <n v="3"/>
    <n v="3"/>
    <n v="0"/>
    <n v="10"/>
    <n v="5"/>
    <s v="PASSED"/>
  </r>
  <r>
    <s v="OTHERS"/>
    <x v="1"/>
    <x v="0"/>
    <x v="5"/>
    <s v="Y"/>
    <x v="11"/>
    <n v="12"/>
    <n v="3"/>
    <n v="3"/>
    <n v="0"/>
    <n v="10"/>
    <n v="5"/>
    <s v="PASSED"/>
  </r>
  <r>
    <s v="OTHERS"/>
    <x v="1"/>
    <x v="0"/>
    <x v="6"/>
    <s v="Y"/>
    <x v="11"/>
    <n v="12"/>
    <n v="0"/>
    <n v="0"/>
    <n v="0"/>
    <n v="10"/>
    <n v="5"/>
    <s v="PASSED"/>
  </r>
  <r>
    <s v="OTHERS"/>
    <x v="1"/>
    <x v="0"/>
    <x v="7"/>
    <s v="Y"/>
    <x v="11"/>
    <n v="12"/>
    <n v="3"/>
    <n v="3"/>
    <n v="0"/>
    <n v="10"/>
    <n v="5"/>
    <s v="PASSED"/>
  </r>
  <r>
    <s v="OTHERS"/>
    <x v="1"/>
    <x v="0"/>
    <x v="8"/>
    <s v="Y"/>
    <x v="11"/>
    <n v="12"/>
    <n v="3"/>
    <n v="3"/>
    <n v="0"/>
    <n v="10"/>
    <n v="5"/>
    <s v="PASSED"/>
  </r>
  <r>
    <s v="OTHERS"/>
    <x v="1"/>
    <x v="0"/>
    <x v="9"/>
    <s v="Y"/>
    <x v="11"/>
    <n v="12"/>
    <n v="0"/>
    <n v="0"/>
    <n v="0"/>
    <n v="10"/>
    <n v="5"/>
    <s v="PASSED"/>
  </r>
  <r>
    <s v="OTHERS"/>
    <x v="1"/>
    <x v="0"/>
    <x v="10"/>
    <s v="Y"/>
    <x v="11"/>
    <n v="12"/>
    <n v="0"/>
    <n v="0"/>
    <n v="0"/>
    <n v="10"/>
    <n v="5"/>
    <s v="PASSED"/>
  </r>
  <r>
    <s v="OTHERS"/>
    <x v="1"/>
    <x v="0"/>
    <x v="11"/>
    <s v="Y"/>
    <x v="11"/>
    <n v="12"/>
    <n v="0"/>
    <n v="0"/>
    <n v="0"/>
    <n v="10"/>
    <n v="5"/>
    <s v="PASSED"/>
  </r>
  <r>
    <s v="OTHERS"/>
    <x v="1"/>
    <x v="0"/>
    <x v="12"/>
    <s v="N"/>
    <x v="11"/>
    <n v="12"/>
    <n v="0"/>
    <n v="0"/>
    <n v="0"/>
    <n v="10"/>
    <n v="5"/>
    <s v="PASSED"/>
  </r>
  <r>
    <s v="OTHERS"/>
    <x v="1"/>
    <x v="0"/>
    <x v="13"/>
    <s v="N"/>
    <x v="11"/>
    <n v="12"/>
    <n v="0"/>
    <n v="0"/>
    <n v="0"/>
    <n v="10"/>
    <n v="5"/>
    <s v="PASSED"/>
  </r>
  <r>
    <s v="OTHERS"/>
    <x v="1"/>
    <x v="0"/>
    <x v="14"/>
    <s v="N"/>
    <x v="11"/>
    <n v="12"/>
    <n v="0"/>
    <n v="0"/>
    <n v="0"/>
    <n v="10"/>
    <n v="5"/>
    <s v="PASSED"/>
  </r>
  <r>
    <s v="OTHERS"/>
    <x v="1"/>
    <x v="0"/>
    <x v="15"/>
    <s v="N"/>
    <x v="11"/>
    <n v="12"/>
    <n v="3"/>
    <n v="3"/>
    <n v="0"/>
    <n v="10"/>
    <n v="5"/>
    <s v="PASSED"/>
  </r>
  <r>
    <s v="OTHERS"/>
    <x v="1"/>
    <x v="0"/>
    <x v="16"/>
    <s v="N"/>
    <x v="11"/>
    <n v="12"/>
    <n v="0"/>
    <n v="0"/>
    <n v="0"/>
    <n v="10"/>
    <n v="5"/>
    <s v="PASSED"/>
  </r>
  <r>
    <s v="OTHERS"/>
    <x v="1"/>
    <x v="0"/>
    <x v="0"/>
    <s v="Y"/>
    <x v="12"/>
    <n v="13"/>
    <n v="106272"/>
    <n v="106272"/>
    <n v="0"/>
    <n v="10"/>
    <n v="5"/>
    <s v="PASSED"/>
  </r>
  <r>
    <s v="OTHERS"/>
    <x v="1"/>
    <x v="0"/>
    <x v="1"/>
    <s v="Y"/>
    <x v="12"/>
    <n v="13"/>
    <n v="108365"/>
    <n v="108365"/>
    <n v="0"/>
    <n v="10"/>
    <n v="5"/>
    <s v="PASSED"/>
  </r>
  <r>
    <s v="OTHERS"/>
    <x v="1"/>
    <x v="0"/>
    <x v="2"/>
    <s v="Y"/>
    <x v="12"/>
    <n v="13"/>
    <n v="89432"/>
    <n v="89432"/>
    <n v="0"/>
    <n v="10"/>
    <n v="5"/>
    <s v="PASSED"/>
  </r>
  <r>
    <s v="OTHERS"/>
    <x v="1"/>
    <x v="0"/>
    <x v="3"/>
    <s v="Y"/>
    <x v="12"/>
    <n v="13"/>
    <n v="122811"/>
    <n v="122811"/>
    <n v="0"/>
    <n v="10"/>
    <n v="5"/>
    <s v="PASSED"/>
  </r>
  <r>
    <s v="OTHERS"/>
    <x v="1"/>
    <x v="0"/>
    <x v="4"/>
    <s v="Y"/>
    <x v="12"/>
    <n v="13"/>
    <n v="82290"/>
    <n v="82290"/>
    <n v="0"/>
    <n v="10"/>
    <n v="5"/>
    <s v="PASSED"/>
  </r>
  <r>
    <s v="OTHERS"/>
    <x v="1"/>
    <x v="0"/>
    <x v="5"/>
    <s v="Y"/>
    <x v="12"/>
    <n v="13"/>
    <n v="79927"/>
    <n v="79927"/>
    <n v="0"/>
    <n v="10"/>
    <n v="5"/>
    <s v="PASSED"/>
  </r>
  <r>
    <s v="OTHERS"/>
    <x v="1"/>
    <x v="0"/>
    <x v="6"/>
    <s v="Y"/>
    <x v="12"/>
    <n v="13"/>
    <n v="109964"/>
    <n v="109964"/>
    <n v="0"/>
    <n v="10"/>
    <n v="5"/>
    <s v="PASSED"/>
  </r>
  <r>
    <s v="OTHERS"/>
    <x v="1"/>
    <x v="0"/>
    <x v="7"/>
    <s v="Y"/>
    <x v="12"/>
    <n v="13"/>
    <n v="93851"/>
    <n v="93851"/>
    <n v="0"/>
    <n v="10"/>
    <n v="5"/>
    <s v="PASSED"/>
  </r>
  <r>
    <s v="OTHERS"/>
    <x v="1"/>
    <x v="0"/>
    <x v="8"/>
    <s v="Y"/>
    <x v="12"/>
    <n v="13"/>
    <n v="106811"/>
    <n v="106811"/>
    <n v="0"/>
    <n v="10"/>
    <n v="5"/>
    <s v="PASSED"/>
  </r>
  <r>
    <s v="OTHERS"/>
    <x v="1"/>
    <x v="0"/>
    <x v="9"/>
    <s v="Y"/>
    <x v="12"/>
    <n v="13"/>
    <n v="84412"/>
    <n v="84412"/>
    <n v="0"/>
    <n v="10"/>
    <n v="5"/>
    <s v="PASSED"/>
  </r>
  <r>
    <s v="OTHERS"/>
    <x v="1"/>
    <x v="0"/>
    <x v="10"/>
    <s v="Y"/>
    <x v="12"/>
    <n v="13"/>
    <n v="101641"/>
    <n v="101641"/>
    <n v="0"/>
    <n v="10"/>
    <n v="5"/>
    <s v="PASSED"/>
  </r>
  <r>
    <s v="OTHERS"/>
    <x v="1"/>
    <x v="0"/>
    <x v="11"/>
    <s v="Y"/>
    <x v="12"/>
    <n v="13"/>
    <n v="86709"/>
    <n v="86709"/>
    <n v="0"/>
    <n v="10"/>
    <n v="5"/>
    <s v="PASSED"/>
  </r>
  <r>
    <s v="OTHERS"/>
    <x v="1"/>
    <x v="0"/>
    <x v="12"/>
    <s v="N"/>
    <x v="12"/>
    <n v="13"/>
    <n v="90223"/>
    <n v="90223"/>
    <n v="0"/>
    <n v="10"/>
    <n v="5"/>
    <s v="PASSED"/>
  </r>
  <r>
    <s v="OTHERS"/>
    <x v="1"/>
    <x v="0"/>
    <x v="13"/>
    <s v="N"/>
    <x v="12"/>
    <n v="13"/>
    <n v="111997"/>
    <n v="111997"/>
    <n v="0"/>
    <n v="10"/>
    <n v="5"/>
    <s v="PASSED"/>
  </r>
  <r>
    <s v="OTHERS"/>
    <x v="1"/>
    <x v="0"/>
    <x v="14"/>
    <s v="N"/>
    <x v="12"/>
    <n v="13"/>
    <n v="85109"/>
    <n v="85109"/>
    <n v="0"/>
    <n v="10"/>
    <n v="5"/>
    <s v="PASSED"/>
  </r>
  <r>
    <s v="OTHERS"/>
    <x v="1"/>
    <x v="0"/>
    <x v="15"/>
    <s v="N"/>
    <x v="12"/>
    <n v="13"/>
    <n v="82842"/>
    <n v="82842"/>
    <n v="0"/>
    <n v="10"/>
    <n v="5"/>
    <s v="PASSED"/>
  </r>
  <r>
    <s v="OTHERS"/>
    <x v="1"/>
    <x v="0"/>
    <x v="16"/>
    <s v="N"/>
    <x v="12"/>
    <n v="13"/>
    <n v="24183"/>
    <n v="24183"/>
    <n v="0"/>
    <n v="10"/>
    <n v="5"/>
    <s v="PASSED"/>
  </r>
  <r>
    <s v="OTHERS"/>
    <x v="1"/>
    <x v="0"/>
    <x v="0"/>
    <s v="Y"/>
    <x v="13"/>
    <n v="14"/>
    <n v="209"/>
    <n v="209"/>
    <n v="0"/>
    <n v="10"/>
    <n v="5"/>
    <s v="PASSED"/>
  </r>
  <r>
    <s v="OTHERS"/>
    <x v="1"/>
    <x v="0"/>
    <x v="1"/>
    <s v="Y"/>
    <x v="13"/>
    <n v="14"/>
    <n v="207"/>
    <n v="207"/>
    <n v="0"/>
    <n v="10"/>
    <n v="5"/>
    <s v="PASSED"/>
  </r>
  <r>
    <s v="OTHERS"/>
    <x v="1"/>
    <x v="0"/>
    <x v="2"/>
    <s v="Y"/>
    <x v="13"/>
    <n v="14"/>
    <n v="183"/>
    <n v="183"/>
    <n v="0"/>
    <n v="10"/>
    <n v="5"/>
    <s v="PASSED"/>
  </r>
  <r>
    <s v="OTHERS"/>
    <x v="1"/>
    <x v="0"/>
    <x v="3"/>
    <s v="Y"/>
    <x v="13"/>
    <n v="14"/>
    <n v="177"/>
    <n v="177"/>
    <n v="0"/>
    <n v="10"/>
    <n v="5"/>
    <s v="PASSED"/>
  </r>
  <r>
    <s v="OTHERS"/>
    <x v="1"/>
    <x v="0"/>
    <x v="4"/>
    <s v="Y"/>
    <x v="13"/>
    <n v="14"/>
    <n v="153"/>
    <n v="153"/>
    <n v="0"/>
    <n v="10"/>
    <n v="5"/>
    <s v="PASSED"/>
  </r>
  <r>
    <s v="OTHERS"/>
    <x v="1"/>
    <x v="0"/>
    <x v="5"/>
    <s v="Y"/>
    <x v="13"/>
    <n v="14"/>
    <n v="154"/>
    <n v="154"/>
    <n v="0"/>
    <n v="10"/>
    <n v="5"/>
    <s v="PASSED"/>
  </r>
  <r>
    <s v="OTHERS"/>
    <x v="1"/>
    <x v="0"/>
    <x v="6"/>
    <s v="Y"/>
    <x v="13"/>
    <n v="14"/>
    <n v="188"/>
    <n v="188"/>
    <n v="0"/>
    <n v="10"/>
    <n v="5"/>
    <s v="PASSED"/>
  </r>
  <r>
    <s v="OTHERS"/>
    <x v="1"/>
    <x v="0"/>
    <x v="7"/>
    <s v="Y"/>
    <x v="13"/>
    <n v="14"/>
    <n v="172"/>
    <n v="172"/>
    <n v="0"/>
    <n v="10"/>
    <n v="5"/>
    <s v="PASSED"/>
  </r>
  <r>
    <s v="OTHERS"/>
    <x v="1"/>
    <x v="0"/>
    <x v="8"/>
    <s v="Y"/>
    <x v="13"/>
    <n v="14"/>
    <n v="171"/>
    <n v="171"/>
    <n v="0"/>
    <n v="10"/>
    <n v="5"/>
    <s v="PASSED"/>
  </r>
  <r>
    <s v="OTHERS"/>
    <x v="1"/>
    <x v="0"/>
    <x v="9"/>
    <s v="Y"/>
    <x v="13"/>
    <n v="14"/>
    <n v="136"/>
    <n v="136"/>
    <n v="0"/>
    <n v="10"/>
    <n v="5"/>
    <s v="PASSED"/>
  </r>
  <r>
    <s v="OTHERS"/>
    <x v="1"/>
    <x v="0"/>
    <x v="10"/>
    <s v="Y"/>
    <x v="13"/>
    <n v="14"/>
    <n v="157"/>
    <n v="157"/>
    <n v="0"/>
    <n v="10"/>
    <n v="5"/>
    <s v="PASSED"/>
  </r>
  <r>
    <s v="OTHERS"/>
    <x v="1"/>
    <x v="0"/>
    <x v="11"/>
    <s v="Y"/>
    <x v="13"/>
    <n v="14"/>
    <n v="156"/>
    <n v="156"/>
    <n v="0"/>
    <n v="10"/>
    <n v="5"/>
    <s v="PASSED"/>
  </r>
  <r>
    <s v="OTHERS"/>
    <x v="1"/>
    <x v="0"/>
    <x v="12"/>
    <s v="N"/>
    <x v="13"/>
    <n v="14"/>
    <n v="157"/>
    <n v="157"/>
    <n v="0"/>
    <n v="10"/>
    <n v="5"/>
    <s v="PASSED"/>
  </r>
  <r>
    <s v="OTHERS"/>
    <x v="1"/>
    <x v="0"/>
    <x v="13"/>
    <s v="N"/>
    <x v="13"/>
    <n v="14"/>
    <n v="158"/>
    <n v="158"/>
    <n v="0"/>
    <n v="10"/>
    <n v="5"/>
    <s v="PASSED"/>
  </r>
  <r>
    <s v="OTHERS"/>
    <x v="1"/>
    <x v="0"/>
    <x v="14"/>
    <s v="N"/>
    <x v="13"/>
    <n v="14"/>
    <n v="142"/>
    <n v="142"/>
    <n v="0"/>
    <n v="10"/>
    <n v="5"/>
    <s v="PASSED"/>
  </r>
  <r>
    <s v="OTHERS"/>
    <x v="1"/>
    <x v="0"/>
    <x v="15"/>
    <s v="N"/>
    <x v="13"/>
    <n v="14"/>
    <n v="158"/>
    <n v="158"/>
    <n v="0"/>
    <n v="10"/>
    <n v="5"/>
    <s v="PASSED"/>
  </r>
  <r>
    <s v="OTHERS"/>
    <x v="1"/>
    <x v="0"/>
    <x v="16"/>
    <s v="N"/>
    <x v="13"/>
    <n v="14"/>
    <n v="58"/>
    <n v="58"/>
    <n v="0"/>
    <n v="10"/>
    <n v="5"/>
    <s v="PASSED"/>
  </r>
  <r>
    <s v="OTHERS"/>
    <x v="1"/>
    <x v="0"/>
    <x v="0"/>
    <s v="Y"/>
    <x v="14"/>
    <n v="15"/>
    <n v="244456"/>
    <n v="244456"/>
    <n v="0"/>
    <n v="10"/>
    <n v="5"/>
    <s v="PASSED"/>
  </r>
  <r>
    <s v="OTHERS"/>
    <x v="1"/>
    <x v="0"/>
    <x v="1"/>
    <s v="Y"/>
    <x v="14"/>
    <n v="15"/>
    <n v="256094"/>
    <n v="256094"/>
    <n v="0"/>
    <n v="10"/>
    <n v="5"/>
    <s v="PASSED"/>
  </r>
  <r>
    <s v="OTHERS"/>
    <x v="1"/>
    <x v="0"/>
    <x v="2"/>
    <s v="Y"/>
    <x v="14"/>
    <n v="15"/>
    <n v="196199"/>
    <n v="196199"/>
    <n v="0"/>
    <n v="10"/>
    <n v="5"/>
    <s v="PASSED"/>
  </r>
  <r>
    <s v="OTHERS"/>
    <x v="1"/>
    <x v="0"/>
    <x v="3"/>
    <s v="Y"/>
    <x v="14"/>
    <n v="15"/>
    <n v="250166"/>
    <n v="250166"/>
    <n v="0"/>
    <n v="10"/>
    <n v="5"/>
    <s v="PASSED"/>
  </r>
  <r>
    <s v="OTHERS"/>
    <x v="1"/>
    <x v="0"/>
    <x v="4"/>
    <s v="Y"/>
    <x v="14"/>
    <n v="15"/>
    <n v="232054"/>
    <n v="232054"/>
    <n v="0"/>
    <n v="10"/>
    <n v="5"/>
    <s v="PASSED"/>
  </r>
  <r>
    <s v="OTHERS"/>
    <x v="1"/>
    <x v="0"/>
    <x v="5"/>
    <s v="Y"/>
    <x v="14"/>
    <n v="15"/>
    <n v="167687"/>
    <n v="167687"/>
    <n v="0"/>
    <n v="10"/>
    <n v="5"/>
    <s v="PASSED"/>
  </r>
  <r>
    <s v="OTHERS"/>
    <x v="1"/>
    <x v="0"/>
    <x v="6"/>
    <s v="Y"/>
    <x v="14"/>
    <n v="15"/>
    <n v="190688"/>
    <n v="190688"/>
    <n v="0"/>
    <n v="10"/>
    <n v="5"/>
    <s v="PASSED"/>
  </r>
  <r>
    <s v="OTHERS"/>
    <x v="1"/>
    <x v="0"/>
    <x v="7"/>
    <s v="Y"/>
    <x v="14"/>
    <n v="15"/>
    <n v="234078"/>
    <n v="234078"/>
    <n v="0"/>
    <n v="10"/>
    <n v="5"/>
    <s v="PASSED"/>
  </r>
  <r>
    <s v="OTHERS"/>
    <x v="1"/>
    <x v="0"/>
    <x v="8"/>
    <s v="Y"/>
    <x v="14"/>
    <n v="15"/>
    <n v="194054"/>
    <n v="194054"/>
    <n v="0"/>
    <n v="10"/>
    <n v="5"/>
    <s v="PASSED"/>
  </r>
  <r>
    <s v="OTHERS"/>
    <x v="1"/>
    <x v="0"/>
    <x v="9"/>
    <s v="Y"/>
    <x v="14"/>
    <n v="15"/>
    <n v="207507"/>
    <n v="207507"/>
    <n v="0"/>
    <n v="10"/>
    <n v="5"/>
    <s v="PASSED"/>
  </r>
  <r>
    <s v="OTHERS"/>
    <x v="1"/>
    <x v="0"/>
    <x v="10"/>
    <s v="Y"/>
    <x v="14"/>
    <n v="15"/>
    <n v="248107"/>
    <n v="248107"/>
    <n v="0"/>
    <n v="10"/>
    <n v="5"/>
    <s v="PASSED"/>
  </r>
  <r>
    <s v="OTHERS"/>
    <x v="1"/>
    <x v="0"/>
    <x v="11"/>
    <s v="Y"/>
    <x v="14"/>
    <n v="15"/>
    <n v="197615"/>
    <n v="197615"/>
    <n v="0"/>
    <n v="10"/>
    <n v="5"/>
    <s v="PASSED"/>
  </r>
  <r>
    <s v="OTHERS"/>
    <x v="1"/>
    <x v="0"/>
    <x v="12"/>
    <s v="N"/>
    <x v="14"/>
    <n v="15"/>
    <n v="242102"/>
    <n v="242102"/>
    <n v="0"/>
    <n v="10"/>
    <n v="5"/>
    <s v="PASSED"/>
  </r>
  <r>
    <s v="OTHERS"/>
    <x v="1"/>
    <x v="0"/>
    <x v="13"/>
    <s v="N"/>
    <x v="14"/>
    <n v="15"/>
    <n v="203959"/>
    <n v="203959"/>
    <n v="0"/>
    <n v="10"/>
    <n v="5"/>
    <s v="PASSED"/>
  </r>
  <r>
    <s v="OTHERS"/>
    <x v="1"/>
    <x v="0"/>
    <x v="14"/>
    <s v="N"/>
    <x v="14"/>
    <n v="15"/>
    <n v="220947"/>
    <n v="220947"/>
    <n v="0"/>
    <n v="10"/>
    <n v="5"/>
    <s v="PASSED"/>
  </r>
  <r>
    <s v="OTHERS"/>
    <x v="1"/>
    <x v="0"/>
    <x v="15"/>
    <s v="N"/>
    <x v="14"/>
    <n v="15"/>
    <n v="186607"/>
    <n v="186607"/>
    <n v="0"/>
    <n v="10"/>
    <n v="5"/>
    <s v="PASSED"/>
  </r>
  <r>
    <s v="OTHERS"/>
    <x v="1"/>
    <x v="0"/>
    <x v="16"/>
    <s v="N"/>
    <x v="14"/>
    <n v="15"/>
    <n v="239198"/>
    <n v="239198"/>
    <n v="0"/>
    <n v="10"/>
    <n v="5"/>
    <s v="PASSED"/>
  </r>
  <r>
    <s v="OTHERS"/>
    <x v="1"/>
    <x v="0"/>
    <x v="0"/>
    <s v="Y"/>
    <x v="15"/>
    <n v="16"/>
    <n v="0.84"/>
    <n v="0.84"/>
    <n v="0"/>
    <n v="10"/>
    <n v="5"/>
    <s v="PASSED"/>
  </r>
  <r>
    <s v="OTHERS"/>
    <x v="1"/>
    <x v="0"/>
    <x v="1"/>
    <s v="Y"/>
    <x v="15"/>
    <n v="16"/>
    <n v="0.86"/>
    <n v="0.86"/>
    <n v="0"/>
    <n v="10"/>
    <n v="5"/>
    <s v="PASSED"/>
  </r>
  <r>
    <s v="OTHERS"/>
    <x v="1"/>
    <x v="0"/>
    <x v="2"/>
    <s v="Y"/>
    <x v="15"/>
    <n v="16"/>
    <n v="0.86"/>
    <n v="0.86"/>
    <n v="0"/>
    <n v="10"/>
    <n v="5"/>
    <s v="PASSED"/>
  </r>
  <r>
    <s v="OTHERS"/>
    <x v="1"/>
    <x v="0"/>
    <x v="3"/>
    <s v="Y"/>
    <x v="15"/>
    <n v="16"/>
    <n v="0.84"/>
    <n v="0.84"/>
    <n v="0"/>
    <n v="10"/>
    <n v="5"/>
    <s v="PASSED"/>
  </r>
  <r>
    <s v="OTHERS"/>
    <x v="1"/>
    <x v="0"/>
    <x v="4"/>
    <s v="Y"/>
    <x v="15"/>
    <n v="16"/>
    <n v="0.87"/>
    <n v="0.87"/>
    <n v="0"/>
    <n v="10"/>
    <n v="5"/>
    <s v="PASSED"/>
  </r>
  <r>
    <s v="OTHERS"/>
    <x v="1"/>
    <x v="0"/>
    <x v="5"/>
    <s v="Y"/>
    <x v="15"/>
    <n v="16"/>
    <n v="0.88"/>
    <n v="0.88"/>
    <n v="0"/>
    <n v="10"/>
    <n v="5"/>
    <s v="PASSED"/>
  </r>
  <r>
    <s v="OTHERS"/>
    <x v="1"/>
    <x v="0"/>
    <x v="6"/>
    <s v="Y"/>
    <x v="15"/>
    <n v="16"/>
    <n v="0.87"/>
    <n v="0.87"/>
    <n v="0"/>
    <n v="10"/>
    <n v="5"/>
    <s v="PASSED"/>
  </r>
  <r>
    <s v="OTHERS"/>
    <x v="1"/>
    <x v="0"/>
    <x v="7"/>
    <s v="Y"/>
    <x v="15"/>
    <n v="16"/>
    <n v="0.84"/>
    <n v="0.84"/>
    <n v="0"/>
    <n v="10"/>
    <n v="5"/>
    <s v="PASSED"/>
  </r>
  <r>
    <s v="OTHERS"/>
    <x v="1"/>
    <x v="0"/>
    <x v="8"/>
    <s v="Y"/>
    <x v="15"/>
    <n v="16"/>
    <n v="0.86"/>
    <n v="0.86"/>
    <n v="0"/>
    <n v="10"/>
    <n v="5"/>
    <s v="PASSED"/>
  </r>
  <r>
    <s v="OTHERS"/>
    <x v="1"/>
    <x v="0"/>
    <x v="9"/>
    <s v="Y"/>
    <x v="15"/>
    <n v="16"/>
    <n v="0.85"/>
    <n v="0.85"/>
    <n v="0"/>
    <n v="10"/>
    <n v="5"/>
    <s v="PASSED"/>
  </r>
  <r>
    <s v="OTHERS"/>
    <x v="1"/>
    <x v="0"/>
    <x v="10"/>
    <s v="Y"/>
    <x v="15"/>
    <n v="16"/>
    <n v="0.85"/>
    <n v="0.85"/>
    <n v="0"/>
    <n v="10"/>
    <n v="5"/>
    <s v="PASSED"/>
  </r>
  <r>
    <s v="OTHERS"/>
    <x v="1"/>
    <x v="0"/>
    <x v="11"/>
    <s v="Y"/>
    <x v="15"/>
    <n v="16"/>
    <n v="0.86"/>
    <n v="0.86"/>
    <n v="0"/>
    <n v="10"/>
    <n v="5"/>
    <s v="PASSED"/>
  </r>
  <r>
    <s v="OTHERS"/>
    <x v="1"/>
    <x v="0"/>
    <x v="12"/>
    <s v="N"/>
    <x v="15"/>
    <n v="16"/>
    <n v="0.85"/>
    <n v="0.85"/>
    <n v="0"/>
    <n v="10"/>
    <n v="5"/>
    <s v="PASSED"/>
  </r>
  <r>
    <s v="OTHERS"/>
    <x v="1"/>
    <x v="0"/>
    <x v="13"/>
    <s v="N"/>
    <x v="15"/>
    <n v="16"/>
    <n v="0.86"/>
    <n v="0.86"/>
    <n v="0"/>
    <n v="10"/>
    <n v="5"/>
    <s v="PASSED"/>
  </r>
  <r>
    <s v="OTHERS"/>
    <x v="1"/>
    <x v="0"/>
    <x v="14"/>
    <s v="N"/>
    <x v="15"/>
    <n v="16"/>
    <n v="0.86"/>
    <n v="0.86"/>
    <n v="0"/>
    <n v="10"/>
    <n v="5"/>
    <s v="PASSED"/>
  </r>
  <r>
    <s v="OTHERS"/>
    <x v="1"/>
    <x v="0"/>
    <x v="15"/>
    <s v="N"/>
    <x v="15"/>
    <n v="16"/>
    <n v="0.86"/>
    <n v="0.86"/>
    <n v="0"/>
    <n v="10"/>
    <n v="5"/>
    <s v="PASSED"/>
  </r>
  <r>
    <s v="OTHERS"/>
    <x v="1"/>
    <x v="0"/>
    <x v="16"/>
    <s v="N"/>
    <x v="15"/>
    <n v="16"/>
    <n v="0.87"/>
    <n v="0.87"/>
    <n v="0"/>
    <n v="10"/>
    <n v="5"/>
    <s v="PASSED"/>
  </r>
  <r>
    <s v="OTHERS"/>
    <x v="1"/>
    <x v="0"/>
    <x v="0"/>
    <s v="Y"/>
    <x v="16"/>
    <n v="17"/>
    <n v="1147508"/>
    <n v="1147508"/>
    <n v="0"/>
    <n v="10"/>
    <n v="5"/>
    <s v="PASSED"/>
  </r>
  <r>
    <s v="OTHERS"/>
    <x v="1"/>
    <x v="0"/>
    <x v="1"/>
    <s v="Y"/>
    <x v="16"/>
    <n v="17"/>
    <n v="1191921"/>
    <n v="1191921"/>
    <n v="0"/>
    <n v="10"/>
    <n v="5"/>
    <s v="PASSED"/>
  </r>
  <r>
    <s v="OTHERS"/>
    <x v="1"/>
    <x v="0"/>
    <x v="2"/>
    <s v="Y"/>
    <x v="16"/>
    <n v="17"/>
    <n v="1043058"/>
    <n v="1043058"/>
    <n v="0"/>
    <n v="10"/>
    <n v="5"/>
    <s v="PASSED"/>
  </r>
  <r>
    <s v="OTHERS"/>
    <x v="1"/>
    <x v="0"/>
    <x v="3"/>
    <s v="Y"/>
    <x v="16"/>
    <n v="17"/>
    <n v="1874862"/>
    <n v="1874862"/>
    <n v="0"/>
    <n v="10"/>
    <n v="5"/>
    <s v="PASSED"/>
  </r>
  <r>
    <s v="OTHERS"/>
    <x v="1"/>
    <x v="0"/>
    <x v="4"/>
    <s v="Y"/>
    <x v="16"/>
    <n v="17"/>
    <n v="1003745"/>
    <n v="1003745"/>
    <n v="0"/>
    <n v="10"/>
    <n v="5"/>
    <s v="PASSED"/>
  </r>
  <r>
    <s v="OTHERS"/>
    <x v="1"/>
    <x v="0"/>
    <x v="5"/>
    <s v="Y"/>
    <x v="16"/>
    <n v="17"/>
    <n v="910398"/>
    <n v="910398"/>
    <n v="0"/>
    <n v="10"/>
    <n v="5"/>
    <s v="PASSED"/>
  </r>
  <r>
    <s v="OTHERS"/>
    <x v="1"/>
    <x v="0"/>
    <x v="6"/>
    <s v="Y"/>
    <x v="16"/>
    <n v="17"/>
    <n v="1167425"/>
    <n v="1167425"/>
    <n v="0"/>
    <n v="10"/>
    <n v="5"/>
    <s v="PASSED"/>
  </r>
  <r>
    <s v="OTHERS"/>
    <x v="1"/>
    <x v="0"/>
    <x v="7"/>
    <s v="Y"/>
    <x v="16"/>
    <n v="17"/>
    <n v="1148015"/>
    <n v="1148015"/>
    <n v="0"/>
    <n v="10"/>
    <n v="5"/>
    <s v="PASSED"/>
  </r>
  <r>
    <s v="OTHERS"/>
    <x v="1"/>
    <x v="0"/>
    <x v="8"/>
    <s v="Y"/>
    <x v="16"/>
    <n v="17"/>
    <n v="1131137"/>
    <n v="1131137"/>
    <n v="0"/>
    <n v="10"/>
    <n v="5"/>
    <s v="PASSED"/>
  </r>
  <r>
    <s v="OTHERS"/>
    <x v="1"/>
    <x v="0"/>
    <x v="9"/>
    <s v="Y"/>
    <x v="16"/>
    <n v="17"/>
    <n v="1302239"/>
    <n v="1302239"/>
    <n v="0"/>
    <n v="10"/>
    <n v="5"/>
    <s v="PASSED"/>
  </r>
  <r>
    <s v="OTHERS"/>
    <x v="1"/>
    <x v="0"/>
    <x v="10"/>
    <s v="Y"/>
    <x v="16"/>
    <n v="17"/>
    <n v="1107902"/>
    <n v="1107902"/>
    <n v="0"/>
    <n v="10"/>
    <n v="5"/>
    <s v="PASSED"/>
  </r>
  <r>
    <s v="OTHERS"/>
    <x v="1"/>
    <x v="0"/>
    <x v="11"/>
    <s v="Y"/>
    <x v="16"/>
    <n v="17"/>
    <n v="1032827"/>
    <n v="1032827"/>
    <n v="0"/>
    <n v="10"/>
    <n v="5"/>
    <s v="PASSED"/>
  </r>
  <r>
    <s v="OTHERS"/>
    <x v="1"/>
    <x v="0"/>
    <x v="12"/>
    <s v="N"/>
    <x v="16"/>
    <n v="17"/>
    <n v="1129431"/>
    <n v="1129431"/>
    <n v="0"/>
    <n v="10"/>
    <n v="5"/>
    <s v="PASSED"/>
  </r>
  <r>
    <s v="OTHERS"/>
    <x v="1"/>
    <x v="0"/>
    <x v="13"/>
    <s v="N"/>
    <x v="16"/>
    <n v="17"/>
    <n v="998081"/>
    <n v="998081"/>
    <n v="0"/>
    <n v="10"/>
    <n v="5"/>
    <s v="PASSED"/>
  </r>
  <r>
    <s v="OTHERS"/>
    <x v="1"/>
    <x v="0"/>
    <x v="14"/>
    <s v="N"/>
    <x v="16"/>
    <n v="17"/>
    <n v="984276"/>
    <n v="984276"/>
    <n v="0"/>
    <n v="10"/>
    <n v="5"/>
    <s v="PASSED"/>
  </r>
  <r>
    <s v="OTHERS"/>
    <x v="1"/>
    <x v="0"/>
    <x v="15"/>
    <s v="N"/>
    <x v="16"/>
    <n v="17"/>
    <n v="847574"/>
    <n v="847574"/>
    <n v="0"/>
    <n v="10"/>
    <n v="5"/>
    <s v="PASSED"/>
  </r>
  <r>
    <s v="OTHERS"/>
    <x v="1"/>
    <x v="0"/>
    <x v="16"/>
    <s v="N"/>
    <x v="16"/>
    <n v="17"/>
    <n v="437662"/>
    <n v="437662"/>
    <n v="0"/>
    <n v="10"/>
    <n v="5"/>
    <s v="PASSED"/>
  </r>
  <r>
    <s v="OTHERS"/>
    <x v="1"/>
    <x v="0"/>
    <x v="0"/>
    <s v="Y"/>
    <x v="17"/>
    <n v="18"/>
    <n v="286.16000000000003"/>
    <n v="286.16000000000003"/>
    <n v="0"/>
    <n v="10"/>
    <n v="5"/>
    <s v="PASSED"/>
  </r>
  <r>
    <s v="OTHERS"/>
    <x v="1"/>
    <x v="0"/>
    <x v="1"/>
    <s v="Y"/>
    <x v="17"/>
    <n v="18"/>
    <n v="285.82"/>
    <n v="285.82"/>
    <n v="0"/>
    <n v="10"/>
    <n v="5"/>
    <s v="PASSED"/>
  </r>
  <r>
    <s v="OTHERS"/>
    <x v="1"/>
    <x v="0"/>
    <x v="2"/>
    <s v="Y"/>
    <x v="17"/>
    <n v="18"/>
    <n v="284.14999999999998"/>
    <n v="284.14999999999998"/>
    <n v="0"/>
    <n v="10"/>
    <n v="5"/>
    <s v="PASSED"/>
  </r>
  <r>
    <s v="OTHERS"/>
    <x v="1"/>
    <x v="0"/>
    <x v="3"/>
    <s v="Y"/>
    <x v="17"/>
    <n v="18"/>
    <n v="283.2"/>
    <n v="283.2"/>
    <n v="0"/>
    <n v="10"/>
    <n v="5"/>
    <s v="PASSED"/>
  </r>
  <r>
    <s v="OTHERS"/>
    <x v="1"/>
    <x v="0"/>
    <x v="4"/>
    <s v="Y"/>
    <x v="17"/>
    <n v="18"/>
    <n v="283.82"/>
    <n v="283.82"/>
    <n v="0"/>
    <n v="10"/>
    <n v="5"/>
    <s v="PASSED"/>
  </r>
  <r>
    <s v="OTHERS"/>
    <x v="1"/>
    <x v="0"/>
    <x v="5"/>
    <s v="Y"/>
    <x v="17"/>
    <n v="18"/>
    <n v="279.98"/>
    <n v="279.98"/>
    <n v="0"/>
    <n v="10"/>
    <n v="5"/>
    <s v="PASSED"/>
  </r>
  <r>
    <s v="OTHERS"/>
    <x v="1"/>
    <x v="0"/>
    <x v="6"/>
    <s v="Y"/>
    <x v="17"/>
    <n v="18"/>
    <n v="278.14"/>
    <n v="278.14"/>
    <n v="0"/>
    <n v="10"/>
    <n v="5"/>
    <s v="PASSED"/>
  </r>
  <r>
    <s v="OTHERS"/>
    <x v="1"/>
    <x v="0"/>
    <x v="7"/>
    <s v="Y"/>
    <x v="17"/>
    <n v="18"/>
    <n v="275.11"/>
    <n v="275.11"/>
    <n v="0"/>
    <n v="10"/>
    <n v="5"/>
    <s v="PASSED"/>
  </r>
  <r>
    <s v="OTHERS"/>
    <x v="1"/>
    <x v="0"/>
    <x v="8"/>
    <s v="Y"/>
    <x v="17"/>
    <n v="18"/>
    <n v="276.25"/>
    <n v="276.25"/>
    <n v="0"/>
    <n v="10"/>
    <n v="5"/>
    <s v="PASSED"/>
  </r>
  <r>
    <s v="OTHERS"/>
    <x v="1"/>
    <x v="0"/>
    <x v="9"/>
    <s v="Y"/>
    <x v="17"/>
    <n v="18"/>
    <n v="274.83999999999997"/>
    <n v="274.83999999999997"/>
    <n v="0"/>
    <n v="10"/>
    <n v="5"/>
    <s v="PASSED"/>
  </r>
  <r>
    <s v="OTHERS"/>
    <x v="1"/>
    <x v="0"/>
    <x v="10"/>
    <s v="Y"/>
    <x v="17"/>
    <n v="18"/>
    <n v="274.92"/>
    <n v="274.92"/>
    <n v="0"/>
    <n v="10"/>
    <n v="5"/>
    <s v="PASSED"/>
  </r>
  <r>
    <s v="OTHERS"/>
    <x v="1"/>
    <x v="0"/>
    <x v="11"/>
    <s v="Y"/>
    <x v="17"/>
    <n v="18"/>
    <n v="276.12"/>
    <n v="276.12"/>
    <n v="0"/>
    <n v="10"/>
    <n v="5"/>
    <s v="PASSED"/>
  </r>
  <r>
    <s v="OTHERS"/>
    <x v="1"/>
    <x v="0"/>
    <x v="12"/>
    <s v="N"/>
    <x v="17"/>
    <n v="18"/>
    <n v="273.47000000000003"/>
    <n v="273.47000000000003"/>
    <n v="0"/>
    <n v="10"/>
    <n v="5"/>
    <s v="PASSED"/>
  </r>
  <r>
    <s v="OTHERS"/>
    <x v="1"/>
    <x v="0"/>
    <x v="13"/>
    <s v="N"/>
    <x v="17"/>
    <n v="18"/>
    <n v="273.14999999999998"/>
    <n v="273.14999999999998"/>
    <n v="0"/>
    <n v="10"/>
    <n v="5"/>
    <s v="PASSED"/>
  </r>
  <r>
    <s v="OTHERS"/>
    <x v="1"/>
    <x v="0"/>
    <x v="14"/>
    <s v="N"/>
    <x v="17"/>
    <n v="18"/>
    <n v="274.5"/>
    <n v="274.5"/>
    <n v="0"/>
    <n v="10"/>
    <n v="5"/>
    <s v="PASSED"/>
  </r>
  <r>
    <s v="OTHERS"/>
    <x v="1"/>
    <x v="0"/>
    <x v="15"/>
    <s v="N"/>
    <x v="17"/>
    <n v="18"/>
    <n v="271.43"/>
    <n v="271.43"/>
    <n v="0"/>
    <n v="10"/>
    <n v="5"/>
    <s v="PASSED"/>
  </r>
  <r>
    <s v="OTHERS"/>
    <x v="1"/>
    <x v="0"/>
    <x v="16"/>
    <s v="N"/>
    <x v="17"/>
    <n v="18"/>
    <n v="266.7"/>
    <n v="266.7"/>
    <n v="0"/>
    <n v="10"/>
    <n v="5"/>
    <s v="PASSED"/>
  </r>
  <r>
    <s v="OTHERS"/>
    <x v="1"/>
    <x v="0"/>
    <x v="0"/>
    <s v="Y"/>
    <x v="18"/>
    <n v="19"/>
    <n v="293"/>
    <n v="293"/>
    <n v="0"/>
    <n v="10"/>
    <n v="5"/>
    <s v="PASSED"/>
  </r>
  <r>
    <s v="OTHERS"/>
    <x v="1"/>
    <x v="0"/>
    <x v="1"/>
    <s v="Y"/>
    <x v="18"/>
    <n v="19"/>
    <n v="258"/>
    <n v="258"/>
    <n v="0"/>
    <n v="10"/>
    <n v="5"/>
    <s v="PASSED"/>
  </r>
  <r>
    <s v="OTHERS"/>
    <x v="1"/>
    <x v="0"/>
    <x v="2"/>
    <s v="Y"/>
    <x v="18"/>
    <n v="19"/>
    <n v="348"/>
    <n v="348"/>
    <n v="0"/>
    <n v="10"/>
    <n v="5"/>
    <s v="PASSED"/>
  </r>
  <r>
    <s v="OTHERS"/>
    <x v="1"/>
    <x v="0"/>
    <x v="3"/>
    <s v="Y"/>
    <x v="18"/>
    <n v="19"/>
    <n v="317"/>
    <n v="317"/>
    <n v="0"/>
    <n v="10"/>
    <n v="5"/>
    <s v="PASSED"/>
  </r>
  <r>
    <s v="OTHERS"/>
    <x v="1"/>
    <x v="0"/>
    <x v="4"/>
    <s v="Y"/>
    <x v="18"/>
    <n v="19"/>
    <n v="301"/>
    <n v="301"/>
    <n v="0"/>
    <n v="10"/>
    <n v="5"/>
    <s v="PASSED"/>
  </r>
  <r>
    <s v="OTHERS"/>
    <x v="1"/>
    <x v="0"/>
    <x v="5"/>
    <s v="Y"/>
    <x v="18"/>
    <n v="19"/>
    <n v="109"/>
    <n v="109"/>
    <n v="0"/>
    <n v="10"/>
    <n v="5"/>
    <s v="PASSED"/>
  </r>
  <r>
    <s v="OTHERS"/>
    <x v="1"/>
    <x v="0"/>
    <x v="6"/>
    <s v="Y"/>
    <x v="18"/>
    <n v="19"/>
    <n v="214"/>
    <n v="214"/>
    <n v="0"/>
    <n v="10"/>
    <n v="5"/>
    <s v="PASSED"/>
  </r>
  <r>
    <s v="OTHERS"/>
    <x v="1"/>
    <x v="0"/>
    <x v="7"/>
    <s v="Y"/>
    <x v="18"/>
    <n v="19"/>
    <n v="160"/>
    <n v="160"/>
    <n v="0"/>
    <n v="10"/>
    <n v="5"/>
    <s v="PASSED"/>
  </r>
  <r>
    <s v="OTHERS"/>
    <x v="1"/>
    <x v="0"/>
    <x v="8"/>
    <s v="Y"/>
    <x v="18"/>
    <n v="19"/>
    <n v="253"/>
    <n v="253"/>
    <n v="0"/>
    <n v="10"/>
    <n v="5"/>
    <s v="PASSED"/>
  </r>
  <r>
    <s v="OTHERS"/>
    <x v="1"/>
    <x v="0"/>
    <x v="9"/>
    <s v="Y"/>
    <x v="18"/>
    <n v="19"/>
    <n v="237"/>
    <n v="237"/>
    <n v="0"/>
    <n v="10"/>
    <n v="5"/>
    <s v="PASSED"/>
  </r>
  <r>
    <s v="OTHERS"/>
    <x v="1"/>
    <x v="0"/>
    <x v="10"/>
    <s v="Y"/>
    <x v="18"/>
    <n v="19"/>
    <n v="299"/>
    <n v="299"/>
    <n v="0"/>
    <n v="10"/>
    <n v="5"/>
    <s v="PASSED"/>
  </r>
  <r>
    <s v="OTHERS"/>
    <x v="1"/>
    <x v="0"/>
    <x v="11"/>
    <s v="Y"/>
    <x v="18"/>
    <n v="19"/>
    <n v="149"/>
    <n v="149"/>
    <n v="0"/>
    <n v="10"/>
    <n v="5"/>
    <s v="PASSED"/>
  </r>
  <r>
    <s v="OTHERS"/>
    <x v="1"/>
    <x v="0"/>
    <x v="12"/>
    <s v="N"/>
    <x v="18"/>
    <n v="19"/>
    <n v="202"/>
    <n v="202"/>
    <n v="0"/>
    <n v="10"/>
    <n v="5"/>
    <s v="PASSED"/>
  </r>
  <r>
    <s v="OTHERS"/>
    <x v="1"/>
    <x v="0"/>
    <x v="13"/>
    <s v="N"/>
    <x v="18"/>
    <n v="19"/>
    <n v="126"/>
    <n v="126"/>
    <n v="0"/>
    <n v="10"/>
    <n v="5"/>
    <s v="PASSED"/>
  </r>
  <r>
    <s v="OTHERS"/>
    <x v="1"/>
    <x v="0"/>
    <x v="14"/>
    <s v="N"/>
    <x v="18"/>
    <n v="19"/>
    <n v="161"/>
    <n v="161"/>
    <n v="0"/>
    <n v="10"/>
    <n v="5"/>
    <s v="PASSED"/>
  </r>
  <r>
    <s v="OTHERS"/>
    <x v="1"/>
    <x v="0"/>
    <x v="15"/>
    <s v="N"/>
    <x v="18"/>
    <n v="19"/>
    <n v="118"/>
    <n v="118"/>
    <n v="0"/>
    <n v="10"/>
    <n v="5"/>
    <s v="PASSED"/>
  </r>
  <r>
    <s v="OTHERS"/>
    <x v="1"/>
    <x v="0"/>
    <x v="16"/>
    <s v="N"/>
    <x v="18"/>
    <n v="19"/>
    <n v="50"/>
    <n v="50"/>
    <n v="0"/>
    <n v="10"/>
    <n v="5"/>
    <s v="PASSED"/>
  </r>
  <r>
    <s v="OTHERS"/>
    <x v="1"/>
    <x v="0"/>
    <x v="0"/>
    <s v="Y"/>
    <x v="19"/>
    <n v="20"/>
    <n v="2961"/>
    <n v="2961"/>
    <n v="0"/>
    <n v="10"/>
    <n v="5"/>
    <s v="PASSED"/>
  </r>
  <r>
    <s v="OTHERS"/>
    <x v="1"/>
    <x v="0"/>
    <x v="1"/>
    <s v="Y"/>
    <x v="19"/>
    <n v="20"/>
    <n v="2645"/>
    <n v="2645"/>
    <n v="0"/>
    <n v="10"/>
    <n v="5"/>
    <s v="PASSED"/>
  </r>
  <r>
    <s v="OTHERS"/>
    <x v="1"/>
    <x v="0"/>
    <x v="2"/>
    <s v="Y"/>
    <x v="19"/>
    <n v="20"/>
    <n v="2612"/>
    <n v="2612"/>
    <n v="0"/>
    <n v="10"/>
    <n v="5"/>
    <s v="PASSED"/>
  </r>
  <r>
    <s v="OTHERS"/>
    <x v="1"/>
    <x v="0"/>
    <x v="3"/>
    <s v="Y"/>
    <x v="19"/>
    <n v="20"/>
    <n v="2559"/>
    <n v="2559"/>
    <n v="0"/>
    <n v="10"/>
    <n v="5"/>
    <s v="PASSED"/>
  </r>
  <r>
    <s v="OTHERS"/>
    <x v="1"/>
    <x v="0"/>
    <x v="4"/>
    <s v="Y"/>
    <x v="19"/>
    <n v="20"/>
    <n v="2215"/>
    <n v="2215"/>
    <n v="0"/>
    <n v="10"/>
    <n v="5"/>
    <s v="PASSED"/>
  </r>
  <r>
    <s v="OTHERS"/>
    <x v="1"/>
    <x v="0"/>
    <x v="5"/>
    <s v="Y"/>
    <x v="19"/>
    <n v="20"/>
    <n v="2573"/>
    <n v="2573"/>
    <n v="0"/>
    <n v="10"/>
    <n v="5"/>
    <s v="PASSED"/>
  </r>
  <r>
    <s v="OTHERS"/>
    <x v="1"/>
    <x v="0"/>
    <x v="6"/>
    <s v="Y"/>
    <x v="19"/>
    <n v="20"/>
    <n v="2520"/>
    <n v="2520"/>
    <n v="0"/>
    <n v="10"/>
    <n v="5"/>
    <s v="PASSED"/>
  </r>
  <r>
    <s v="OTHERS"/>
    <x v="1"/>
    <x v="0"/>
    <x v="7"/>
    <s v="Y"/>
    <x v="19"/>
    <n v="20"/>
    <n v="2552"/>
    <n v="2552"/>
    <n v="0"/>
    <n v="10"/>
    <n v="5"/>
    <s v="PASSED"/>
  </r>
  <r>
    <s v="OTHERS"/>
    <x v="1"/>
    <x v="0"/>
    <x v="8"/>
    <s v="Y"/>
    <x v="19"/>
    <n v="20"/>
    <n v="2625"/>
    <n v="2625"/>
    <n v="0"/>
    <n v="10"/>
    <n v="5"/>
    <s v="PASSED"/>
  </r>
  <r>
    <s v="OTHERS"/>
    <x v="1"/>
    <x v="0"/>
    <x v="9"/>
    <s v="Y"/>
    <x v="19"/>
    <n v="20"/>
    <n v="2445"/>
    <n v="2445"/>
    <n v="0"/>
    <n v="10"/>
    <n v="5"/>
    <s v="PASSED"/>
  </r>
  <r>
    <s v="OTHERS"/>
    <x v="1"/>
    <x v="0"/>
    <x v="10"/>
    <s v="Y"/>
    <x v="19"/>
    <n v="20"/>
    <n v="2514"/>
    <n v="2514"/>
    <n v="0"/>
    <n v="10"/>
    <n v="5"/>
    <s v="PASSED"/>
  </r>
  <r>
    <s v="OTHERS"/>
    <x v="1"/>
    <x v="0"/>
    <x v="11"/>
    <s v="Y"/>
    <x v="19"/>
    <n v="20"/>
    <n v="2475"/>
    <n v="2475"/>
    <n v="0"/>
    <n v="10"/>
    <n v="5"/>
    <s v="PASSED"/>
  </r>
  <r>
    <s v="OTHERS"/>
    <x v="1"/>
    <x v="0"/>
    <x v="12"/>
    <s v="N"/>
    <x v="19"/>
    <n v="20"/>
    <n v="2498"/>
    <n v="2498"/>
    <n v="0"/>
    <n v="10"/>
    <n v="5"/>
    <s v="PASSED"/>
  </r>
  <r>
    <s v="OTHERS"/>
    <x v="1"/>
    <x v="0"/>
    <x v="13"/>
    <s v="N"/>
    <x v="19"/>
    <n v="20"/>
    <n v="2614"/>
    <n v="2614"/>
    <n v="0"/>
    <n v="10"/>
    <n v="5"/>
    <s v="PASSED"/>
  </r>
  <r>
    <s v="OTHERS"/>
    <x v="1"/>
    <x v="0"/>
    <x v="14"/>
    <s v="N"/>
    <x v="19"/>
    <n v="20"/>
    <n v="2502"/>
    <n v="2502"/>
    <n v="0"/>
    <n v="10"/>
    <n v="5"/>
    <s v="PASSED"/>
  </r>
  <r>
    <s v="OTHERS"/>
    <x v="1"/>
    <x v="0"/>
    <x v="15"/>
    <s v="N"/>
    <x v="19"/>
    <n v="20"/>
    <n v="1981"/>
    <n v="1981"/>
    <n v="0"/>
    <n v="10"/>
    <n v="5"/>
    <s v="PASSED"/>
  </r>
  <r>
    <s v="OTHERS"/>
    <x v="1"/>
    <x v="0"/>
    <x v="16"/>
    <s v="N"/>
    <x v="19"/>
    <n v="20"/>
    <n v="767"/>
    <n v="767"/>
    <n v="0"/>
    <n v="10"/>
    <n v="5"/>
    <s v="PASSED"/>
  </r>
  <r>
    <s v="OTHERS"/>
    <x v="1"/>
    <x v="0"/>
    <x v="0"/>
    <s v="Y"/>
    <x v="20"/>
    <n v="21"/>
    <n v="3520"/>
    <n v="3520"/>
    <n v="0"/>
    <n v="10"/>
    <n v="5"/>
    <s v="PASSED"/>
  </r>
  <r>
    <s v="OTHERS"/>
    <x v="1"/>
    <x v="0"/>
    <x v="1"/>
    <s v="Y"/>
    <x v="20"/>
    <n v="21"/>
    <n v="3540"/>
    <n v="3540"/>
    <n v="0"/>
    <n v="10"/>
    <n v="5"/>
    <s v="PASSED"/>
  </r>
  <r>
    <s v="OTHERS"/>
    <x v="1"/>
    <x v="0"/>
    <x v="2"/>
    <s v="Y"/>
    <x v="20"/>
    <n v="21"/>
    <n v="3732"/>
    <n v="3732"/>
    <n v="0"/>
    <n v="10"/>
    <n v="5"/>
    <s v="PASSED"/>
  </r>
  <r>
    <s v="OTHERS"/>
    <x v="1"/>
    <x v="0"/>
    <x v="3"/>
    <s v="Y"/>
    <x v="20"/>
    <n v="21"/>
    <n v="3209"/>
    <n v="3209"/>
    <n v="0"/>
    <n v="10"/>
    <n v="5"/>
    <s v="PASSED"/>
  </r>
  <r>
    <s v="OTHERS"/>
    <x v="1"/>
    <x v="0"/>
    <x v="4"/>
    <s v="Y"/>
    <x v="20"/>
    <n v="21"/>
    <n v="3306"/>
    <n v="3306"/>
    <n v="0"/>
    <n v="10"/>
    <n v="5"/>
    <s v="PASSED"/>
  </r>
  <r>
    <s v="OTHERS"/>
    <x v="1"/>
    <x v="0"/>
    <x v="5"/>
    <s v="Y"/>
    <x v="20"/>
    <n v="21"/>
    <n v="3098"/>
    <n v="3098"/>
    <n v="0"/>
    <n v="10"/>
    <n v="5"/>
    <s v="PASSED"/>
  </r>
  <r>
    <s v="OTHERS"/>
    <x v="1"/>
    <x v="0"/>
    <x v="6"/>
    <s v="Y"/>
    <x v="20"/>
    <n v="21"/>
    <n v="2825"/>
    <n v="2825"/>
    <n v="0"/>
    <n v="10"/>
    <n v="5"/>
    <s v="PASSED"/>
  </r>
  <r>
    <s v="OTHERS"/>
    <x v="1"/>
    <x v="0"/>
    <x v="7"/>
    <s v="Y"/>
    <x v="20"/>
    <n v="21"/>
    <n v="3625"/>
    <n v="3625"/>
    <n v="0"/>
    <n v="10"/>
    <n v="5"/>
    <s v="PASSED"/>
  </r>
  <r>
    <s v="OTHERS"/>
    <x v="1"/>
    <x v="0"/>
    <x v="8"/>
    <s v="Y"/>
    <x v="20"/>
    <n v="21"/>
    <n v="3629"/>
    <n v="3629"/>
    <n v="0"/>
    <n v="10"/>
    <n v="5"/>
    <s v="PASSED"/>
  </r>
  <r>
    <s v="OTHERS"/>
    <x v="1"/>
    <x v="0"/>
    <x v="9"/>
    <s v="Y"/>
    <x v="20"/>
    <n v="21"/>
    <n v="3293"/>
    <n v="3293"/>
    <n v="0"/>
    <n v="10"/>
    <n v="5"/>
    <s v="PASSED"/>
  </r>
  <r>
    <s v="OTHERS"/>
    <x v="1"/>
    <x v="0"/>
    <x v="10"/>
    <s v="Y"/>
    <x v="20"/>
    <n v="21"/>
    <n v="3748"/>
    <n v="3748"/>
    <n v="0"/>
    <n v="10"/>
    <n v="5"/>
    <s v="PASSED"/>
  </r>
  <r>
    <s v="OTHERS"/>
    <x v="1"/>
    <x v="0"/>
    <x v="11"/>
    <s v="Y"/>
    <x v="20"/>
    <n v="21"/>
    <n v="3013"/>
    <n v="3013"/>
    <n v="0"/>
    <n v="10"/>
    <n v="5"/>
    <s v="PASSED"/>
  </r>
  <r>
    <s v="OTHERS"/>
    <x v="1"/>
    <x v="0"/>
    <x v="12"/>
    <s v="N"/>
    <x v="20"/>
    <n v="21"/>
    <n v="3308"/>
    <n v="3308"/>
    <n v="0"/>
    <n v="10"/>
    <n v="5"/>
    <s v="PASSED"/>
  </r>
  <r>
    <s v="OTHERS"/>
    <x v="1"/>
    <x v="0"/>
    <x v="13"/>
    <s v="N"/>
    <x v="20"/>
    <n v="21"/>
    <n v="3055"/>
    <n v="3055"/>
    <n v="0"/>
    <n v="10"/>
    <n v="5"/>
    <s v="PASSED"/>
  </r>
  <r>
    <s v="OTHERS"/>
    <x v="1"/>
    <x v="0"/>
    <x v="14"/>
    <s v="N"/>
    <x v="20"/>
    <n v="21"/>
    <n v="3106"/>
    <n v="3106"/>
    <n v="0"/>
    <n v="10"/>
    <n v="5"/>
    <s v="PASSED"/>
  </r>
  <r>
    <s v="OTHERS"/>
    <x v="1"/>
    <x v="0"/>
    <x v="15"/>
    <s v="N"/>
    <x v="20"/>
    <n v="21"/>
    <n v="2388"/>
    <n v="2388"/>
    <n v="0"/>
    <n v="10"/>
    <n v="5"/>
    <s v="PASSED"/>
  </r>
  <r>
    <s v="OTHERS"/>
    <x v="1"/>
    <x v="0"/>
    <x v="16"/>
    <s v="N"/>
    <x v="20"/>
    <n v="21"/>
    <n v="1537"/>
    <n v="1537"/>
    <n v="0"/>
    <n v="10"/>
    <n v="5"/>
    <s v="PASSED"/>
  </r>
  <r>
    <s v="OTHERS"/>
    <x v="1"/>
    <x v="0"/>
    <x v="0"/>
    <s v="Y"/>
    <x v="21"/>
    <n v="22"/>
    <n v="209"/>
    <n v="209"/>
    <n v="0"/>
    <n v="10"/>
    <n v="5"/>
    <s v="PASSED"/>
  </r>
  <r>
    <s v="OTHERS"/>
    <x v="1"/>
    <x v="0"/>
    <x v="1"/>
    <s v="Y"/>
    <x v="21"/>
    <n v="22"/>
    <n v="239"/>
    <n v="239"/>
    <n v="0"/>
    <n v="10"/>
    <n v="5"/>
    <s v="PASSED"/>
  </r>
  <r>
    <s v="OTHERS"/>
    <x v="1"/>
    <x v="0"/>
    <x v="2"/>
    <s v="Y"/>
    <x v="21"/>
    <n v="22"/>
    <n v="285"/>
    <n v="285"/>
    <n v="0"/>
    <n v="10"/>
    <n v="5"/>
    <s v="PASSED"/>
  </r>
  <r>
    <s v="OTHERS"/>
    <x v="1"/>
    <x v="0"/>
    <x v="3"/>
    <s v="Y"/>
    <x v="21"/>
    <n v="22"/>
    <n v="310"/>
    <n v="310"/>
    <n v="0"/>
    <n v="10"/>
    <n v="5"/>
    <s v="PASSED"/>
  </r>
  <r>
    <s v="OTHERS"/>
    <x v="1"/>
    <x v="0"/>
    <x v="4"/>
    <s v="Y"/>
    <x v="21"/>
    <n v="22"/>
    <n v="295"/>
    <n v="295"/>
    <n v="0"/>
    <n v="10"/>
    <n v="5"/>
    <s v="PASSED"/>
  </r>
  <r>
    <s v="OTHERS"/>
    <x v="1"/>
    <x v="0"/>
    <x v="5"/>
    <s v="Y"/>
    <x v="21"/>
    <n v="22"/>
    <n v="236"/>
    <n v="236"/>
    <n v="0"/>
    <n v="10"/>
    <n v="5"/>
    <s v="PASSED"/>
  </r>
  <r>
    <s v="OTHERS"/>
    <x v="1"/>
    <x v="0"/>
    <x v="6"/>
    <s v="Y"/>
    <x v="21"/>
    <n v="22"/>
    <n v="270"/>
    <n v="270"/>
    <n v="0"/>
    <n v="10"/>
    <n v="5"/>
    <s v="PASSED"/>
  </r>
  <r>
    <s v="OTHERS"/>
    <x v="1"/>
    <x v="0"/>
    <x v="7"/>
    <s v="Y"/>
    <x v="21"/>
    <n v="22"/>
    <n v="222"/>
    <n v="222"/>
    <n v="0"/>
    <n v="10"/>
    <n v="5"/>
    <s v="PASSED"/>
  </r>
  <r>
    <s v="OTHERS"/>
    <x v="1"/>
    <x v="0"/>
    <x v="8"/>
    <s v="Y"/>
    <x v="21"/>
    <n v="22"/>
    <n v="210"/>
    <n v="210"/>
    <n v="0"/>
    <n v="10"/>
    <n v="5"/>
    <s v="PASSED"/>
  </r>
  <r>
    <s v="OTHERS"/>
    <x v="1"/>
    <x v="0"/>
    <x v="9"/>
    <s v="Y"/>
    <x v="21"/>
    <n v="22"/>
    <n v="236"/>
    <n v="236"/>
    <n v="0"/>
    <n v="10"/>
    <n v="5"/>
    <s v="PASSED"/>
  </r>
  <r>
    <s v="OTHERS"/>
    <x v="1"/>
    <x v="0"/>
    <x v="10"/>
    <s v="Y"/>
    <x v="21"/>
    <n v="22"/>
    <n v="206"/>
    <n v="206"/>
    <n v="0"/>
    <n v="10"/>
    <n v="5"/>
    <s v="PASSED"/>
  </r>
  <r>
    <s v="OTHERS"/>
    <x v="1"/>
    <x v="0"/>
    <x v="11"/>
    <s v="Y"/>
    <x v="21"/>
    <n v="22"/>
    <n v="340"/>
    <n v="340"/>
    <n v="0"/>
    <n v="10"/>
    <n v="5"/>
    <s v="PASSED"/>
  </r>
  <r>
    <s v="OTHERS"/>
    <x v="1"/>
    <x v="0"/>
    <x v="12"/>
    <s v="N"/>
    <x v="21"/>
    <n v="22"/>
    <n v="224"/>
    <n v="224"/>
    <n v="0"/>
    <n v="10"/>
    <n v="5"/>
    <s v="PASSED"/>
  </r>
  <r>
    <s v="OTHERS"/>
    <x v="1"/>
    <x v="0"/>
    <x v="13"/>
    <s v="N"/>
    <x v="21"/>
    <n v="22"/>
    <n v="188"/>
    <n v="188"/>
    <n v="0"/>
    <n v="10"/>
    <n v="5"/>
    <s v="PASSED"/>
  </r>
  <r>
    <s v="OTHERS"/>
    <x v="1"/>
    <x v="0"/>
    <x v="14"/>
    <s v="N"/>
    <x v="21"/>
    <n v="22"/>
    <n v="224"/>
    <n v="224"/>
    <n v="0"/>
    <n v="10"/>
    <n v="5"/>
    <s v="PASSED"/>
  </r>
  <r>
    <s v="OTHERS"/>
    <x v="1"/>
    <x v="0"/>
    <x v="15"/>
    <s v="N"/>
    <x v="21"/>
    <n v="22"/>
    <n v="214"/>
    <n v="214"/>
    <n v="0"/>
    <n v="10"/>
    <n v="5"/>
    <s v="PASSED"/>
  </r>
  <r>
    <s v="OTHERS"/>
    <x v="1"/>
    <x v="0"/>
    <x v="16"/>
    <s v="N"/>
    <x v="21"/>
    <n v="22"/>
    <n v="86"/>
    <n v="86"/>
    <n v="0"/>
    <n v="10"/>
    <n v="5"/>
    <s v="PASSED"/>
  </r>
  <r>
    <s v="OTHERS"/>
    <x v="1"/>
    <x v="0"/>
    <x v="0"/>
    <s v="Y"/>
    <x v="22"/>
    <n v="23"/>
    <n v="2588"/>
    <n v="2588"/>
    <n v="0"/>
    <n v="10"/>
    <n v="5"/>
    <s v="PASSED"/>
  </r>
  <r>
    <s v="OTHERS"/>
    <x v="1"/>
    <x v="0"/>
    <x v="1"/>
    <s v="Y"/>
    <x v="22"/>
    <n v="23"/>
    <n v="2623"/>
    <n v="2623"/>
    <n v="0"/>
    <n v="10"/>
    <n v="5"/>
    <s v="PASSED"/>
  </r>
  <r>
    <s v="OTHERS"/>
    <x v="1"/>
    <x v="0"/>
    <x v="2"/>
    <s v="Y"/>
    <x v="22"/>
    <n v="23"/>
    <n v="2783"/>
    <n v="2783"/>
    <n v="0"/>
    <n v="10"/>
    <n v="5"/>
    <s v="PASSED"/>
  </r>
  <r>
    <s v="OTHERS"/>
    <x v="1"/>
    <x v="0"/>
    <x v="3"/>
    <s v="Y"/>
    <x v="22"/>
    <n v="23"/>
    <n v="2531"/>
    <n v="2531"/>
    <n v="0"/>
    <n v="10"/>
    <n v="5"/>
    <s v="PASSED"/>
  </r>
  <r>
    <s v="OTHERS"/>
    <x v="1"/>
    <x v="0"/>
    <x v="4"/>
    <s v="Y"/>
    <x v="22"/>
    <n v="23"/>
    <n v="2628"/>
    <n v="2628"/>
    <n v="0"/>
    <n v="10"/>
    <n v="5"/>
    <s v="PASSED"/>
  </r>
  <r>
    <s v="OTHERS"/>
    <x v="1"/>
    <x v="0"/>
    <x v="5"/>
    <s v="Y"/>
    <x v="22"/>
    <n v="23"/>
    <n v="2573"/>
    <n v="2573"/>
    <n v="0"/>
    <n v="10"/>
    <n v="5"/>
    <s v="PASSED"/>
  </r>
  <r>
    <s v="OTHERS"/>
    <x v="1"/>
    <x v="0"/>
    <x v="6"/>
    <s v="Y"/>
    <x v="22"/>
    <n v="23"/>
    <n v="2302"/>
    <n v="2302"/>
    <n v="0"/>
    <n v="10"/>
    <n v="5"/>
    <s v="PASSED"/>
  </r>
  <r>
    <s v="OTHERS"/>
    <x v="1"/>
    <x v="0"/>
    <x v="7"/>
    <s v="Y"/>
    <x v="22"/>
    <n v="23"/>
    <n v="2724"/>
    <n v="2724"/>
    <n v="0"/>
    <n v="10"/>
    <n v="5"/>
    <s v="PASSED"/>
  </r>
  <r>
    <s v="OTHERS"/>
    <x v="1"/>
    <x v="0"/>
    <x v="8"/>
    <s v="Y"/>
    <x v="22"/>
    <n v="23"/>
    <n v="2692"/>
    <n v="2692"/>
    <n v="0"/>
    <n v="10"/>
    <n v="5"/>
    <s v="PASSED"/>
  </r>
  <r>
    <s v="OTHERS"/>
    <x v="1"/>
    <x v="0"/>
    <x v="9"/>
    <s v="Y"/>
    <x v="22"/>
    <n v="23"/>
    <n v="2662"/>
    <n v="2662"/>
    <n v="0"/>
    <n v="10"/>
    <n v="5"/>
    <s v="PASSED"/>
  </r>
  <r>
    <s v="OTHERS"/>
    <x v="1"/>
    <x v="0"/>
    <x v="10"/>
    <s v="Y"/>
    <x v="22"/>
    <n v="23"/>
    <n v="2810"/>
    <n v="2810"/>
    <n v="0"/>
    <n v="10"/>
    <n v="5"/>
    <s v="PASSED"/>
  </r>
  <r>
    <s v="OTHERS"/>
    <x v="1"/>
    <x v="0"/>
    <x v="11"/>
    <s v="Y"/>
    <x v="22"/>
    <n v="23"/>
    <n v="2807"/>
    <n v="2807"/>
    <n v="0"/>
    <n v="10"/>
    <n v="5"/>
    <s v="PASSED"/>
  </r>
  <r>
    <s v="OTHERS"/>
    <x v="1"/>
    <x v="0"/>
    <x v="12"/>
    <s v="N"/>
    <x v="22"/>
    <n v="23"/>
    <n v="3049"/>
    <n v="3049"/>
    <n v="0"/>
    <n v="10"/>
    <n v="5"/>
    <s v="PASSED"/>
  </r>
  <r>
    <s v="OTHERS"/>
    <x v="1"/>
    <x v="0"/>
    <x v="13"/>
    <s v="N"/>
    <x v="22"/>
    <n v="23"/>
    <n v="2793"/>
    <n v="2793"/>
    <n v="0"/>
    <n v="10"/>
    <n v="5"/>
    <s v="PASSED"/>
  </r>
  <r>
    <s v="OTHERS"/>
    <x v="1"/>
    <x v="0"/>
    <x v="14"/>
    <s v="N"/>
    <x v="22"/>
    <n v="23"/>
    <n v="2891"/>
    <n v="2891"/>
    <n v="0"/>
    <n v="10"/>
    <n v="5"/>
    <s v="PASSED"/>
  </r>
  <r>
    <s v="OTHERS"/>
    <x v="1"/>
    <x v="0"/>
    <x v="15"/>
    <s v="N"/>
    <x v="22"/>
    <n v="23"/>
    <n v="2672"/>
    <n v="2672"/>
    <n v="0"/>
    <n v="10"/>
    <n v="5"/>
    <s v="PASSED"/>
  </r>
  <r>
    <s v="OTHERS"/>
    <x v="1"/>
    <x v="0"/>
    <x v="16"/>
    <s v="N"/>
    <x v="22"/>
    <n v="23"/>
    <n v="2389"/>
    <n v="2389"/>
    <n v="0"/>
    <n v="10"/>
    <n v="5"/>
    <s v="PASSED"/>
  </r>
  <r>
    <s v="OTHERS"/>
    <x v="1"/>
    <x v="1"/>
    <x v="0"/>
    <s v="Y"/>
    <x v="0"/>
    <n v="1"/>
    <n v="234.51"/>
    <n v="234.51"/>
    <n v="0"/>
    <n v="10"/>
    <n v="5"/>
    <s v="PASSED"/>
  </r>
  <r>
    <s v="OTHERS"/>
    <x v="1"/>
    <x v="1"/>
    <x v="1"/>
    <s v="Y"/>
    <x v="0"/>
    <n v="1"/>
    <n v="248.49"/>
    <n v="248.49"/>
    <n v="0"/>
    <n v="10"/>
    <n v="5"/>
    <s v="PASSED"/>
  </r>
  <r>
    <s v="OTHERS"/>
    <x v="1"/>
    <x v="1"/>
    <x v="2"/>
    <s v="Y"/>
    <x v="0"/>
    <n v="1"/>
    <n v="220.94"/>
    <n v="220.94"/>
    <n v="0"/>
    <n v="10"/>
    <n v="5"/>
    <s v="PASSED"/>
  </r>
  <r>
    <s v="OTHERS"/>
    <x v="1"/>
    <x v="1"/>
    <x v="3"/>
    <s v="Y"/>
    <x v="0"/>
    <n v="1"/>
    <n v="411.01"/>
    <n v="411.01"/>
    <n v="0"/>
    <n v="10"/>
    <n v="5"/>
    <s v="PASSED"/>
  </r>
  <r>
    <s v="OTHERS"/>
    <x v="1"/>
    <x v="1"/>
    <x v="4"/>
    <s v="Y"/>
    <x v="0"/>
    <n v="1"/>
    <n v="222.59"/>
    <n v="222.59"/>
    <n v="0"/>
    <n v="10"/>
    <n v="5"/>
    <s v="PASSED"/>
  </r>
  <r>
    <s v="OTHERS"/>
    <x v="1"/>
    <x v="1"/>
    <x v="5"/>
    <s v="Y"/>
    <x v="0"/>
    <n v="1"/>
    <n v="216.26"/>
    <n v="216.26"/>
    <n v="0"/>
    <n v="10"/>
    <n v="5"/>
    <s v="PASSED"/>
  </r>
  <r>
    <s v="OTHERS"/>
    <x v="1"/>
    <x v="1"/>
    <x v="6"/>
    <s v="Y"/>
    <x v="0"/>
    <n v="1"/>
    <n v="253.13"/>
    <n v="253.13"/>
    <n v="0"/>
    <n v="10"/>
    <n v="5"/>
    <s v="PASSED"/>
  </r>
  <r>
    <s v="OTHERS"/>
    <x v="1"/>
    <x v="1"/>
    <x v="7"/>
    <s v="Y"/>
    <x v="0"/>
    <n v="1"/>
    <n v="240.86"/>
    <n v="240.86"/>
    <n v="0"/>
    <n v="10"/>
    <n v="5"/>
    <s v="PASSED"/>
  </r>
  <r>
    <s v="OTHERS"/>
    <x v="1"/>
    <x v="1"/>
    <x v="8"/>
    <s v="Y"/>
    <x v="0"/>
    <n v="1"/>
    <n v="229.18"/>
    <n v="229.18"/>
    <n v="0"/>
    <n v="10"/>
    <n v="5"/>
    <s v="PASSED"/>
  </r>
  <r>
    <s v="OTHERS"/>
    <x v="1"/>
    <x v="1"/>
    <x v="9"/>
    <s v="Y"/>
    <x v="0"/>
    <n v="1"/>
    <n v="269.95"/>
    <n v="269.95"/>
    <n v="0"/>
    <n v="10"/>
    <n v="5"/>
    <s v="PASSED"/>
  </r>
  <r>
    <s v="OTHERS"/>
    <x v="1"/>
    <x v="1"/>
    <x v="10"/>
    <s v="Y"/>
    <x v="0"/>
    <n v="1"/>
    <n v="238.18"/>
    <n v="238.18"/>
    <n v="0"/>
    <n v="10"/>
    <n v="5"/>
    <s v="PASSED"/>
  </r>
  <r>
    <s v="OTHERS"/>
    <x v="1"/>
    <x v="1"/>
    <x v="11"/>
    <s v="Y"/>
    <x v="0"/>
    <n v="1"/>
    <n v="222.5"/>
    <n v="222.5"/>
    <n v="0"/>
    <n v="10"/>
    <n v="5"/>
    <s v="PASSED"/>
  </r>
  <r>
    <s v="OTHERS"/>
    <x v="1"/>
    <x v="1"/>
    <x v="12"/>
    <s v="N"/>
    <x v="0"/>
    <n v="1"/>
    <n v="209.97"/>
    <n v="209.97"/>
    <n v="0"/>
    <n v="10"/>
    <n v="5"/>
    <s v="PASSED"/>
  </r>
  <r>
    <s v="OTHERS"/>
    <x v="1"/>
    <x v="1"/>
    <x v="13"/>
    <s v="N"/>
    <x v="0"/>
    <n v="1"/>
    <n v="199.3"/>
    <n v="199.3"/>
    <n v="0"/>
    <n v="10"/>
    <n v="5"/>
    <s v="PASSED"/>
  </r>
  <r>
    <s v="OTHERS"/>
    <x v="1"/>
    <x v="1"/>
    <x v="14"/>
    <s v="N"/>
    <x v="0"/>
    <n v="1"/>
    <n v="172.82"/>
    <n v="172.82"/>
    <n v="0"/>
    <n v="10"/>
    <n v="5"/>
    <s v="PASSED"/>
  </r>
  <r>
    <s v="OTHERS"/>
    <x v="1"/>
    <x v="1"/>
    <x v="15"/>
    <s v="N"/>
    <x v="0"/>
    <n v="1"/>
    <n v="155.44"/>
    <n v="155.44"/>
    <n v="0"/>
    <n v="10"/>
    <n v="5"/>
    <s v="PASSED"/>
  </r>
  <r>
    <s v="OTHERS"/>
    <x v="1"/>
    <x v="1"/>
    <x v="16"/>
    <s v="N"/>
    <x v="0"/>
    <n v="1"/>
    <n v="60.27"/>
    <n v="60.27"/>
    <n v="0"/>
    <n v="10"/>
    <n v="5"/>
    <s v="PASSED"/>
  </r>
  <r>
    <s v="OTHERS"/>
    <x v="1"/>
    <x v="1"/>
    <x v="0"/>
    <s v="Y"/>
    <x v="1"/>
    <n v="2"/>
    <n v="48.53"/>
    <n v="48.53"/>
    <n v="0"/>
    <n v="10"/>
    <n v="5"/>
    <s v="PASSED"/>
  </r>
  <r>
    <s v="OTHERS"/>
    <x v="1"/>
    <x v="1"/>
    <x v="1"/>
    <s v="Y"/>
    <x v="1"/>
    <n v="2"/>
    <n v="51.29"/>
    <n v="51.29"/>
    <n v="0"/>
    <n v="10"/>
    <n v="5"/>
    <s v="PASSED"/>
  </r>
  <r>
    <s v="OTHERS"/>
    <x v="1"/>
    <x v="1"/>
    <x v="2"/>
    <s v="Y"/>
    <x v="1"/>
    <n v="2"/>
    <n v="36.409999999999997"/>
    <n v="36.409999999999997"/>
    <n v="0"/>
    <n v="10"/>
    <n v="5"/>
    <s v="PASSED"/>
  </r>
  <r>
    <s v="OTHERS"/>
    <x v="1"/>
    <x v="1"/>
    <x v="3"/>
    <s v="Y"/>
    <x v="1"/>
    <n v="2"/>
    <n v="49.72"/>
    <n v="49.72"/>
    <n v="0"/>
    <n v="10"/>
    <n v="5"/>
    <s v="PASSED"/>
  </r>
  <r>
    <s v="OTHERS"/>
    <x v="1"/>
    <x v="1"/>
    <x v="4"/>
    <s v="Y"/>
    <x v="1"/>
    <n v="2"/>
    <n v="45.6"/>
    <n v="45.6"/>
    <n v="0"/>
    <n v="10"/>
    <n v="5"/>
    <s v="PASSED"/>
  </r>
  <r>
    <s v="OTHERS"/>
    <x v="1"/>
    <x v="1"/>
    <x v="5"/>
    <s v="Y"/>
    <x v="1"/>
    <n v="2"/>
    <n v="30.66"/>
    <n v="30.66"/>
    <n v="0"/>
    <n v="10"/>
    <n v="5"/>
    <s v="PASSED"/>
  </r>
  <r>
    <s v="OTHERS"/>
    <x v="1"/>
    <x v="1"/>
    <x v="6"/>
    <s v="Y"/>
    <x v="1"/>
    <n v="2"/>
    <n v="35.78"/>
    <n v="35.78"/>
    <n v="0"/>
    <n v="10"/>
    <n v="5"/>
    <s v="PASSED"/>
  </r>
  <r>
    <s v="OTHERS"/>
    <x v="1"/>
    <x v="1"/>
    <x v="7"/>
    <s v="Y"/>
    <x v="1"/>
    <n v="2"/>
    <n v="44.15"/>
    <n v="44.15"/>
    <n v="0"/>
    <n v="10"/>
    <n v="5"/>
    <s v="PASSED"/>
  </r>
  <r>
    <s v="OTHERS"/>
    <x v="1"/>
    <x v="1"/>
    <x v="8"/>
    <s v="Y"/>
    <x v="1"/>
    <n v="2"/>
    <n v="34.81"/>
    <n v="34.81"/>
    <n v="0"/>
    <n v="10"/>
    <n v="5"/>
    <s v="PASSED"/>
  </r>
  <r>
    <s v="OTHERS"/>
    <x v="1"/>
    <x v="1"/>
    <x v="9"/>
    <s v="Y"/>
    <x v="1"/>
    <n v="2"/>
    <n v="37.5"/>
    <n v="37.5"/>
    <n v="0"/>
    <n v="10"/>
    <n v="5"/>
    <s v="PASSED"/>
  </r>
  <r>
    <s v="OTHERS"/>
    <x v="1"/>
    <x v="1"/>
    <x v="10"/>
    <s v="Y"/>
    <x v="1"/>
    <n v="2"/>
    <n v="46.5"/>
    <n v="46.5"/>
    <n v="0"/>
    <n v="10"/>
    <n v="5"/>
    <s v="PASSED"/>
  </r>
  <r>
    <s v="OTHERS"/>
    <x v="1"/>
    <x v="1"/>
    <x v="11"/>
    <s v="Y"/>
    <x v="1"/>
    <n v="2"/>
    <n v="35.19"/>
    <n v="35.19"/>
    <n v="0"/>
    <n v="10"/>
    <n v="5"/>
    <s v="PASSED"/>
  </r>
  <r>
    <s v="OTHERS"/>
    <x v="1"/>
    <x v="1"/>
    <x v="12"/>
    <s v="N"/>
    <x v="1"/>
    <n v="2"/>
    <n v="43.5"/>
    <n v="43.5"/>
    <n v="0"/>
    <n v="10"/>
    <n v="5"/>
    <s v="PASSED"/>
  </r>
  <r>
    <s v="OTHERS"/>
    <x v="1"/>
    <x v="1"/>
    <x v="13"/>
    <s v="N"/>
    <x v="1"/>
    <n v="2"/>
    <n v="35.72"/>
    <n v="35.72"/>
    <n v="0"/>
    <n v="10"/>
    <n v="5"/>
    <s v="PASSED"/>
  </r>
  <r>
    <s v="OTHERS"/>
    <x v="1"/>
    <x v="1"/>
    <x v="14"/>
    <s v="N"/>
    <x v="1"/>
    <n v="2"/>
    <n v="39"/>
    <n v="39"/>
    <n v="0"/>
    <n v="10"/>
    <n v="5"/>
    <s v="PASSED"/>
  </r>
  <r>
    <s v="OTHERS"/>
    <x v="1"/>
    <x v="1"/>
    <x v="15"/>
    <s v="N"/>
    <x v="1"/>
    <n v="2"/>
    <n v="32.090000000000003"/>
    <n v="32.090000000000003"/>
    <n v="0"/>
    <n v="10"/>
    <n v="5"/>
    <s v="PASSED"/>
  </r>
  <r>
    <s v="OTHERS"/>
    <x v="1"/>
    <x v="1"/>
    <x v="16"/>
    <s v="N"/>
    <x v="1"/>
    <n v="2"/>
    <n v="44.43"/>
    <n v="44.43"/>
    <n v="0"/>
    <n v="10"/>
    <n v="5"/>
    <s v="PASSED"/>
  </r>
  <r>
    <s v="OTHERS"/>
    <x v="1"/>
    <x v="1"/>
    <x v="0"/>
    <s v="Y"/>
    <x v="2"/>
    <n v="3"/>
    <n v="283.04000000000002"/>
    <n v="283.04000000000002"/>
    <n v="0"/>
    <n v="10"/>
    <n v="5"/>
    <s v="PASSED"/>
  </r>
  <r>
    <s v="OTHERS"/>
    <x v="1"/>
    <x v="1"/>
    <x v="1"/>
    <s v="Y"/>
    <x v="2"/>
    <n v="3"/>
    <n v="299.77999999999997"/>
    <n v="299.77999999999997"/>
    <n v="0"/>
    <n v="10"/>
    <n v="5"/>
    <s v="PASSED"/>
  </r>
  <r>
    <s v="OTHERS"/>
    <x v="1"/>
    <x v="1"/>
    <x v="2"/>
    <s v="Y"/>
    <x v="2"/>
    <n v="3"/>
    <n v="257.35000000000002"/>
    <n v="257.35000000000002"/>
    <n v="0"/>
    <n v="10"/>
    <n v="5"/>
    <s v="PASSED"/>
  </r>
  <r>
    <s v="OTHERS"/>
    <x v="1"/>
    <x v="1"/>
    <x v="3"/>
    <s v="Y"/>
    <x v="2"/>
    <n v="3"/>
    <n v="460.73"/>
    <n v="460.73"/>
    <n v="0"/>
    <n v="10"/>
    <n v="5"/>
    <s v="PASSED"/>
  </r>
  <r>
    <s v="OTHERS"/>
    <x v="1"/>
    <x v="1"/>
    <x v="4"/>
    <s v="Y"/>
    <x v="2"/>
    <n v="3"/>
    <n v="268.19"/>
    <n v="268.19"/>
    <n v="0"/>
    <n v="10"/>
    <n v="5"/>
    <s v="PASSED"/>
  </r>
  <r>
    <s v="OTHERS"/>
    <x v="1"/>
    <x v="1"/>
    <x v="5"/>
    <s v="Y"/>
    <x v="2"/>
    <n v="3"/>
    <n v="246.92"/>
    <n v="246.92"/>
    <n v="0"/>
    <n v="10"/>
    <n v="5"/>
    <s v="PASSED"/>
  </r>
  <r>
    <s v="OTHERS"/>
    <x v="1"/>
    <x v="1"/>
    <x v="6"/>
    <s v="Y"/>
    <x v="2"/>
    <n v="3"/>
    <n v="288.91000000000003"/>
    <n v="288.91000000000003"/>
    <n v="0"/>
    <n v="10"/>
    <n v="5"/>
    <s v="PASSED"/>
  </r>
  <r>
    <s v="OTHERS"/>
    <x v="1"/>
    <x v="1"/>
    <x v="7"/>
    <s v="Y"/>
    <x v="2"/>
    <n v="3"/>
    <n v="285.01"/>
    <n v="285.01"/>
    <n v="0"/>
    <n v="10"/>
    <n v="5"/>
    <s v="PASSED"/>
  </r>
  <r>
    <s v="OTHERS"/>
    <x v="1"/>
    <x v="1"/>
    <x v="8"/>
    <s v="Y"/>
    <x v="2"/>
    <n v="3"/>
    <n v="263.99"/>
    <n v="263.99"/>
    <n v="0"/>
    <n v="10"/>
    <n v="5"/>
    <s v="PASSED"/>
  </r>
  <r>
    <s v="OTHERS"/>
    <x v="1"/>
    <x v="1"/>
    <x v="9"/>
    <s v="Y"/>
    <x v="2"/>
    <n v="3"/>
    <n v="307.45"/>
    <n v="307.45"/>
    <n v="0"/>
    <n v="10"/>
    <n v="5"/>
    <s v="PASSED"/>
  </r>
  <r>
    <s v="OTHERS"/>
    <x v="1"/>
    <x v="1"/>
    <x v="10"/>
    <s v="Y"/>
    <x v="2"/>
    <n v="3"/>
    <n v="284.68"/>
    <n v="284.68"/>
    <n v="0"/>
    <n v="10"/>
    <n v="5"/>
    <s v="PASSED"/>
  </r>
  <r>
    <s v="OTHERS"/>
    <x v="1"/>
    <x v="1"/>
    <x v="11"/>
    <s v="Y"/>
    <x v="2"/>
    <n v="3"/>
    <n v="257.69"/>
    <n v="257.69"/>
    <n v="0"/>
    <n v="10"/>
    <n v="5"/>
    <s v="PASSED"/>
  </r>
  <r>
    <s v="OTHERS"/>
    <x v="1"/>
    <x v="1"/>
    <x v="12"/>
    <s v="N"/>
    <x v="2"/>
    <n v="3"/>
    <n v="253.47"/>
    <n v="253.47"/>
    <n v="0"/>
    <n v="10"/>
    <n v="5"/>
    <s v="PASSED"/>
  </r>
  <r>
    <s v="OTHERS"/>
    <x v="1"/>
    <x v="1"/>
    <x v="13"/>
    <s v="N"/>
    <x v="2"/>
    <n v="3"/>
    <n v="235.02"/>
    <n v="235.02"/>
    <n v="0"/>
    <n v="10"/>
    <n v="5"/>
    <s v="PASSED"/>
  </r>
  <r>
    <s v="OTHERS"/>
    <x v="1"/>
    <x v="1"/>
    <x v="14"/>
    <s v="N"/>
    <x v="2"/>
    <n v="3"/>
    <n v="211.82"/>
    <n v="211.82"/>
    <n v="0"/>
    <n v="10"/>
    <n v="5"/>
    <s v="PASSED"/>
  </r>
  <r>
    <s v="OTHERS"/>
    <x v="1"/>
    <x v="1"/>
    <x v="15"/>
    <s v="N"/>
    <x v="2"/>
    <n v="3"/>
    <n v="187.53"/>
    <n v="187.53"/>
    <n v="0"/>
    <n v="10"/>
    <n v="5"/>
    <s v="PASSED"/>
  </r>
  <r>
    <s v="OTHERS"/>
    <x v="1"/>
    <x v="1"/>
    <x v="16"/>
    <s v="N"/>
    <x v="2"/>
    <n v="3"/>
    <n v="104.7"/>
    <n v="104.7"/>
    <n v="0"/>
    <n v="10"/>
    <n v="5"/>
    <s v="PASSED"/>
  </r>
  <r>
    <s v="OTHERS"/>
    <x v="1"/>
    <x v="1"/>
    <x v="0"/>
    <s v="Y"/>
    <x v="3"/>
    <n v="4"/>
    <n v="0"/>
    <n v="0"/>
    <n v="0"/>
    <n v="10"/>
    <n v="5"/>
    <s v="PASSED"/>
  </r>
  <r>
    <s v="OTHERS"/>
    <x v="1"/>
    <x v="1"/>
    <x v="1"/>
    <s v="Y"/>
    <x v="3"/>
    <n v="4"/>
    <n v="0"/>
    <n v="0"/>
    <n v="0"/>
    <n v="10"/>
    <n v="5"/>
    <s v="PASSED"/>
  </r>
  <r>
    <s v="OTHERS"/>
    <x v="1"/>
    <x v="1"/>
    <x v="2"/>
    <s v="Y"/>
    <x v="3"/>
    <n v="4"/>
    <n v="65240.55"/>
    <n v="65240.55"/>
    <n v="0"/>
    <n v="10"/>
    <n v="5"/>
    <s v="PASSED"/>
  </r>
  <r>
    <s v="OTHERS"/>
    <x v="1"/>
    <x v="1"/>
    <x v="3"/>
    <s v="Y"/>
    <x v="3"/>
    <n v="4"/>
    <n v="73218.95"/>
    <n v="73218.95"/>
    <n v="0"/>
    <n v="10"/>
    <n v="5"/>
    <s v="PASSED"/>
  </r>
  <r>
    <s v="OTHERS"/>
    <x v="1"/>
    <x v="1"/>
    <x v="4"/>
    <s v="Y"/>
    <x v="3"/>
    <n v="4"/>
    <n v="0"/>
    <n v="0"/>
    <n v="0"/>
    <n v="10"/>
    <n v="5"/>
    <s v="PASSED"/>
  </r>
  <r>
    <s v="OTHERS"/>
    <x v="1"/>
    <x v="1"/>
    <x v="5"/>
    <s v="Y"/>
    <x v="3"/>
    <n v="4"/>
    <n v="0"/>
    <n v="0"/>
    <n v="0"/>
    <n v="10"/>
    <n v="5"/>
    <s v="PASSED"/>
  </r>
  <r>
    <s v="OTHERS"/>
    <x v="1"/>
    <x v="1"/>
    <x v="6"/>
    <s v="Y"/>
    <x v="3"/>
    <n v="4"/>
    <n v="32806.5"/>
    <n v="32806.5"/>
    <n v="0"/>
    <n v="10"/>
    <n v="5"/>
    <s v="PASSED"/>
  </r>
  <r>
    <s v="OTHERS"/>
    <x v="1"/>
    <x v="1"/>
    <x v="7"/>
    <s v="Y"/>
    <x v="3"/>
    <n v="4"/>
    <n v="0"/>
    <n v="0"/>
    <n v="0"/>
    <n v="10"/>
    <n v="5"/>
    <s v="PASSED"/>
  </r>
  <r>
    <s v="OTHERS"/>
    <x v="1"/>
    <x v="1"/>
    <x v="8"/>
    <s v="Y"/>
    <x v="3"/>
    <n v="4"/>
    <n v="29541.15"/>
    <n v="29541.15"/>
    <n v="0"/>
    <n v="10"/>
    <n v="5"/>
    <s v="PASSED"/>
  </r>
  <r>
    <s v="OTHERS"/>
    <x v="1"/>
    <x v="1"/>
    <x v="9"/>
    <s v="Y"/>
    <x v="3"/>
    <n v="4"/>
    <n v="0"/>
    <n v="0"/>
    <n v="0"/>
    <n v="10"/>
    <n v="5"/>
    <s v="PASSED"/>
  </r>
  <r>
    <s v="OTHERS"/>
    <x v="1"/>
    <x v="1"/>
    <x v="10"/>
    <s v="Y"/>
    <x v="3"/>
    <n v="4"/>
    <n v="30959.06"/>
    <n v="30959.06"/>
    <n v="0"/>
    <n v="10"/>
    <n v="5"/>
    <s v="PASSED"/>
  </r>
  <r>
    <s v="OTHERS"/>
    <x v="1"/>
    <x v="1"/>
    <x v="11"/>
    <s v="Y"/>
    <x v="3"/>
    <n v="4"/>
    <n v="0"/>
    <n v="0"/>
    <n v="0"/>
    <n v="10"/>
    <n v="5"/>
    <s v="PASSED"/>
  </r>
  <r>
    <s v="OTHERS"/>
    <x v="1"/>
    <x v="1"/>
    <x v="12"/>
    <s v="N"/>
    <x v="3"/>
    <n v="4"/>
    <n v="0"/>
    <n v="0"/>
    <n v="0"/>
    <n v="10"/>
    <n v="5"/>
    <s v="PASSED"/>
  </r>
  <r>
    <s v="OTHERS"/>
    <x v="1"/>
    <x v="1"/>
    <x v="13"/>
    <s v="N"/>
    <x v="3"/>
    <n v="4"/>
    <n v="25079.97"/>
    <n v="25079.97"/>
    <n v="0"/>
    <n v="10"/>
    <n v="5"/>
    <s v="PASSED"/>
  </r>
  <r>
    <s v="OTHERS"/>
    <x v="1"/>
    <x v="1"/>
    <x v="14"/>
    <s v="N"/>
    <x v="3"/>
    <n v="4"/>
    <n v="0"/>
    <n v="0"/>
    <n v="0"/>
    <n v="10"/>
    <n v="5"/>
    <s v="PASSED"/>
  </r>
  <r>
    <s v="OTHERS"/>
    <x v="1"/>
    <x v="1"/>
    <x v="15"/>
    <s v="N"/>
    <x v="3"/>
    <n v="4"/>
    <n v="0"/>
    <n v="0"/>
    <n v="0"/>
    <n v="10"/>
    <n v="5"/>
    <s v="PASSED"/>
  </r>
  <r>
    <s v="OTHERS"/>
    <x v="1"/>
    <x v="1"/>
    <x v="16"/>
    <s v="N"/>
    <x v="3"/>
    <n v="4"/>
    <n v="0"/>
    <n v="0"/>
    <n v="0"/>
    <n v="10"/>
    <n v="5"/>
    <s v="PASSED"/>
  </r>
  <r>
    <s v="OTHERS"/>
    <x v="1"/>
    <x v="1"/>
    <x v="0"/>
    <s v="Y"/>
    <x v="4"/>
    <n v="5"/>
    <n v="1"/>
    <n v="1"/>
    <n v="0"/>
    <n v="10"/>
    <n v="5"/>
    <s v="PASSED"/>
  </r>
  <r>
    <s v="OTHERS"/>
    <x v="1"/>
    <x v="1"/>
    <x v="1"/>
    <s v="Y"/>
    <x v="4"/>
    <n v="5"/>
    <n v="0"/>
    <n v="0"/>
    <n v="0"/>
    <n v="10"/>
    <n v="5"/>
    <s v="PASSED"/>
  </r>
  <r>
    <s v="OTHERS"/>
    <x v="1"/>
    <x v="1"/>
    <x v="2"/>
    <s v="Y"/>
    <x v="4"/>
    <n v="5"/>
    <n v="1"/>
    <n v="1"/>
    <n v="0"/>
    <n v="10"/>
    <n v="5"/>
    <s v="PASSED"/>
  </r>
  <r>
    <s v="OTHERS"/>
    <x v="1"/>
    <x v="1"/>
    <x v="3"/>
    <s v="Y"/>
    <x v="4"/>
    <n v="5"/>
    <n v="3"/>
    <n v="3"/>
    <n v="0"/>
    <n v="10"/>
    <n v="5"/>
    <s v="PASSED"/>
  </r>
  <r>
    <s v="OTHERS"/>
    <x v="1"/>
    <x v="1"/>
    <x v="4"/>
    <s v="Y"/>
    <x v="4"/>
    <n v="5"/>
    <n v="0"/>
    <n v="0"/>
    <n v="0"/>
    <n v="10"/>
    <n v="5"/>
    <s v="PASSED"/>
  </r>
  <r>
    <s v="OTHERS"/>
    <x v="1"/>
    <x v="1"/>
    <x v="5"/>
    <s v="Y"/>
    <x v="4"/>
    <n v="5"/>
    <n v="0"/>
    <n v="0"/>
    <n v="0"/>
    <n v="10"/>
    <n v="5"/>
    <s v="PASSED"/>
  </r>
  <r>
    <s v="OTHERS"/>
    <x v="1"/>
    <x v="1"/>
    <x v="6"/>
    <s v="Y"/>
    <x v="4"/>
    <n v="5"/>
    <n v="2"/>
    <n v="2"/>
    <n v="0"/>
    <n v="10"/>
    <n v="5"/>
    <s v="PASSED"/>
  </r>
  <r>
    <s v="OTHERS"/>
    <x v="1"/>
    <x v="1"/>
    <x v="7"/>
    <s v="Y"/>
    <x v="4"/>
    <n v="5"/>
    <n v="0"/>
    <n v="0"/>
    <n v="0"/>
    <n v="10"/>
    <n v="5"/>
    <s v="PASSED"/>
  </r>
  <r>
    <s v="OTHERS"/>
    <x v="1"/>
    <x v="1"/>
    <x v="8"/>
    <s v="Y"/>
    <x v="4"/>
    <n v="5"/>
    <n v="1"/>
    <n v="1"/>
    <n v="0"/>
    <n v="10"/>
    <n v="5"/>
    <s v="PASSED"/>
  </r>
  <r>
    <s v="OTHERS"/>
    <x v="1"/>
    <x v="1"/>
    <x v="9"/>
    <s v="Y"/>
    <x v="4"/>
    <n v="5"/>
    <n v="0"/>
    <n v="0"/>
    <n v="0"/>
    <n v="10"/>
    <n v="5"/>
    <s v="PASSED"/>
  </r>
  <r>
    <s v="OTHERS"/>
    <x v="1"/>
    <x v="1"/>
    <x v="10"/>
    <s v="Y"/>
    <x v="4"/>
    <n v="5"/>
    <n v="2"/>
    <n v="2"/>
    <n v="0"/>
    <n v="10"/>
    <n v="5"/>
    <s v="PASSED"/>
  </r>
  <r>
    <s v="OTHERS"/>
    <x v="1"/>
    <x v="1"/>
    <x v="11"/>
    <s v="Y"/>
    <x v="4"/>
    <n v="5"/>
    <n v="0"/>
    <n v="0"/>
    <n v="0"/>
    <n v="10"/>
    <n v="5"/>
    <s v="PASSED"/>
  </r>
  <r>
    <s v="OTHERS"/>
    <x v="1"/>
    <x v="1"/>
    <x v="12"/>
    <s v="N"/>
    <x v="4"/>
    <n v="5"/>
    <n v="0"/>
    <n v="0"/>
    <n v="0"/>
    <n v="10"/>
    <n v="5"/>
    <s v="PASSED"/>
  </r>
  <r>
    <s v="OTHERS"/>
    <x v="1"/>
    <x v="1"/>
    <x v="13"/>
    <s v="N"/>
    <x v="4"/>
    <n v="5"/>
    <n v="1"/>
    <n v="1"/>
    <n v="0"/>
    <n v="10"/>
    <n v="5"/>
    <s v="PASSED"/>
  </r>
  <r>
    <s v="OTHERS"/>
    <x v="1"/>
    <x v="1"/>
    <x v="14"/>
    <s v="N"/>
    <x v="4"/>
    <n v="5"/>
    <n v="0"/>
    <n v="0"/>
    <n v="0"/>
    <n v="10"/>
    <n v="5"/>
    <s v="PASSED"/>
  </r>
  <r>
    <s v="OTHERS"/>
    <x v="1"/>
    <x v="1"/>
    <x v="15"/>
    <s v="N"/>
    <x v="4"/>
    <n v="5"/>
    <n v="0"/>
    <n v="0"/>
    <n v="0"/>
    <n v="10"/>
    <n v="5"/>
    <s v="PASSED"/>
  </r>
  <r>
    <s v="OTHERS"/>
    <x v="1"/>
    <x v="1"/>
    <x v="16"/>
    <s v="N"/>
    <x v="4"/>
    <n v="5"/>
    <n v="0"/>
    <n v="0"/>
    <n v="0"/>
    <n v="10"/>
    <n v="5"/>
    <s v="PASSED"/>
  </r>
  <r>
    <s v="OTHERS"/>
    <x v="1"/>
    <x v="1"/>
    <x v="0"/>
    <s v="Y"/>
    <x v="5"/>
    <n v="6"/>
    <n v="4275.47"/>
    <n v="4275.47"/>
    <n v="0"/>
    <n v="10"/>
    <n v="5"/>
    <s v="PASSED"/>
  </r>
  <r>
    <s v="OTHERS"/>
    <x v="1"/>
    <x v="1"/>
    <x v="1"/>
    <s v="Y"/>
    <x v="5"/>
    <n v="6"/>
    <n v="0"/>
    <n v="0"/>
    <n v="0"/>
    <n v="10"/>
    <n v="5"/>
    <s v="PASSED"/>
  </r>
  <r>
    <s v="OTHERS"/>
    <x v="1"/>
    <x v="1"/>
    <x v="2"/>
    <s v="Y"/>
    <x v="5"/>
    <n v="6"/>
    <n v="0"/>
    <n v="0"/>
    <n v="0"/>
    <n v="10"/>
    <n v="5"/>
    <s v="PASSED"/>
  </r>
  <r>
    <s v="OTHERS"/>
    <x v="1"/>
    <x v="1"/>
    <x v="3"/>
    <s v="Y"/>
    <x v="5"/>
    <n v="6"/>
    <n v="72144.61"/>
    <n v="72144.61"/>
    <n v="0"/>
    <n v="10"/>
    <n v="5"/>
    <s v="PASSED"/>
  </r>
  <r>
    <s v="OTHERS"/>
    <x v="1"/>
    <x v="1"/>
    <x v="4"/>
    <s v="Y"/>
    <x v="5"/>
    <n v="6"/>
    <n v="0"/>
    <n v="0"/>
    <n v="0"/>
    <n v="10"/>
    <n v="5"/>
    <s v="PASSED"/>
  </r>
  <r>
    <s v="OTHERS"/>
    <x v="1"/>
    <x v="1"/>
    <x v="5"/>
    <s v="Y"/>
    <x v="5"/>
    <n v="6"/>
    <n v="0"/>
    <n v="0"/>
    <n v="0"/>
    <n v="10"/>
    <n v="5"/>
    <s v="PASSED"/>
  </r>
  <r>
    <s v="OTHERS"/>
    <x v="1"/>
    <x v="1"/>
    <x v="6"/>
    <s v="Y"/>
    <x v="5"/>
    <n v="6"/>
    <n v="11207.61"/>
    <n v="11207.61"/>
    <n v="0"/>
    <n v="10"/>
    <n v="5"/>
    <s v="PASSED"/>
  </r>
  <r>
    <s v="OTHERS"/>
    <x v="1"/>
    <x v="1"/>
    <x v="7"/>
    <s v="Y"/>
    <x v="5"/>
    <n v="6"/>
    <n v="0"/>
    <n v="0"/>
    <n v="0"/>
    <n v="10"/>
    <n v="5"/>
    <s v="PASSED"/>
  </r>
  <r>
    <s v="OTHERS"/>
    <x v="1"/>
    <x v="1"/>
    <x v="8"/>
    <s v="Y"/>
    <x v="5"/>
    <n v="6"/>
    <n v="0"/>
    <n v="0"/>
    <n v="0"/>
    <n v="10"/>
    <n v="5"/>
    <s v="PASSED"/>
  </r>
  <r>
    <s v="OTHERS"/>
    <x v="1"/>
    <x v="1"/>
    <x v="9"/>
    <s v="Y"/>
    <x v="5"/>
    <n v="6"/>
    <n v="8351.01"/>
    <n v="8351.01"/>
    <n v="0"/>
    <n v="10"/>
    <n v="5"/>
    <s v="PASSED"/>
  </r>
  <r>
    <s v="OTHERS"/>
    <x v="1"/>
    <x v="1"/>
    <x v="10"/>
    <s v="Y"/>
    <x v="5"/>
    <n v="6"/>
    <n v="31217.65"/>
    <n v="31217.65"/>
    <n v="0"/>
    <n v="10"/>
    <n v="5"/>
    <s v="PASSED"/>
  </r>
  <r>
    <s v="OTHERS"/>
    <x v="1"/>
    <x v="1"/>
    <x v="11"/>
    <s v="Y"/>
    <x v="5"/>
    <n v="6"/>
    <n v="0"/>
    <n v="0"/>
    <n v="0"/>
    <n v="10"/>
    <n v="5"/>
    <s v="PASSED"/>
  </r>
  <r>
    <s v="OTHERS"/>
    <x v="1"/>
    <x v="1"/>
    <x v="12"/>
    <s v="N"/>
    <x v="5"/>
    <n v="6"/>
    <n v="7188.05"/>
    <n v="7188.05"/>
    <n v="0"/>
    <n v="10"/>
    <n v="5"/>
    <s v="PASSED"/>
  </r>
  <r>
    <s v="OTHERS"/>
    <x v="1"/>
    <x v="1"/>
    <x v="13"/>
    <s v="N"/>
    <x v="5"/>
    <n v="6"/>
    <n v="0"/>
    <n v="0"/>
    <n v="0"/>
    <n v="10"/>
    <n v="5"/>
    <s v="PASSED"/>
  </r>
  <r>
    <s v="OTHERS"/>
    <x v="1"/>
    <x v="1"/>
    <x v="14"/>
    <s v="N"/>
    <x v="5"/>
    <n v="6"/>
    <n v="0"/>
    <n v="0"/>
    <n v="0"/>
    <n v="10"/>
    <n v="5"/>
    <s v="PASSED"/>
  </r>
  <r>
    <s v="OTHERS"/>
    <x v="1"/>
    <x v="1"/>
    <x v="15"/>
    <s v="N"/>
    <x v="5"/>
    <n v="6"/>
    <n v="0"/>
    <n v="0"/>
    <n v="0"/>
    <n v="10"/>
    <n v="5"/>
    <s v="PASSED"/>
  </r>
  <r>
    <s v="OTHERS"/>
    <x v="1"/>
    <x v="1"/>
    <x v="16"/>
    <s v="N"/>
    <x v="5"/>
    <n v="6"/>
    <n v="0"/>
    <n v="0"/>
    <n v="0"/>
    <n v="10"/>
    <n v="5"/>
    <s v="PASSED"/>
  </r>
  <r>
    <s v="OTHERS"/>
    <x v="1"/>
    <x v="1"/>
    <x v="0"/>
    <s v="Y"/>
    <x v="6"/>
    <n v="7"/>
    <n v="2"/>
    <n v="2"/>
    <n v="0"/>
    <n v="10"/>
    <n v="5"/>
    <s v="PASSED"/>
  </r>
  <r>
    <s v="OTHERS"/>
    <x v="1"/>
    <x v="1"/>
    <x v="1"/>
    <s v="Y"/>
    <x v="6"/>
    <n v="7"/>
    <n v="0"/>
    <n v="0"/>
    <n v="0"/>
    <n v="10"/>
    <n v="5"/>
    <s v="PASSED"/>
  </r>
  <r>
    <s v="OTHERS"/>
    <x v="1"/>
    <x v="1"/>
    <x v="2"/>
    <s v="Y"/>
    <x v="6"/>
    <n v="7"/>
    <n v="0"/>
    <n v="0"/>
    <n v="0"/>
    <n v="10"/>
    <n v="5"/>
    <s v="PASSED"/>
  </r>
  <r>
    <s v="OTHERS"/>
    <x v="1"/>
    <x v="1"/>
    <x v="3"/>
    <s v="Y"/>
    <x v="6"/>
    <n v="7"/>
    <n v="1"/>
    <n v="1"/>
    <n v="0"/>
    <n v="10"/>
    <n v="5"/>
    <s v="PASSED"/>
  </r>
  <r>
    <s v="OTHERS"/>
    <x v="1"/>
    <x v="1"/>
    <x v="4"/>
    <s v="Y"/>
    <x v="6"/>
    <n v="7"/>
    <n v="0"/>
    <n v="0"/>
    <n v="0"/>
    <n v="10"/>
    <n v="5"/>
    <s v="PASSED"/>
  </r>
  <r>
    <s v="OTHERS"/>
    <x v="1"/>
    <x v="1"/>
    <x v="5"/>
    <s v="Y"/>
    <x v="6"/>
    <n v="7"/>
    <n v="0"/>
    <n v="0"/>
    <n v="0"/>
    <n v="10"/>
    <n v="5"/>
    <s v="PASSED"/>
  </r>
  <r>
    <s v="OTHERS"/>
    <x v="1"/>
    <x v="1"/>
    <x v="6"/>
    <s v="Y"/>
    <x v="6"/>
    <n v="7"/>
    <n v="1"/>
    <n v="1"/>
    <n v="0"/>
    <n v="10"/>
    <n v="5"/>
    <s v="PASSED"/>
  </r>
  <r>
    <s v="OTHERS"/>
    <x v="1"/>
    <x v="1"/>
    <x v="7"/>
    <s v="Y"/>
    <x v="6"/>
    <n v="7"/>
    <n v="0"/>
    <n v="0"/>
    <n v="0"/>
    <n v="10"/>
    <n v="5"/>
    <s v="PASSED"/>
  </r>
  <r>
    <s v="OTHERS"/>
    <x v="1"/>
    <x v="1"/>
    <x v="8"/>
    <s v="Y"/>
    <x v="6"/>
    <n v="7"/>
    <n v="0"/>
    <n v="0"/>
    <n v="0"/>
    <n v="10"/>
    <n v="5"/>
    <s v="PASSED"/>
  </r>
  <r>
    <s v="OTHERS"/>
    <x v="1"/>
    <x v="1"/>
    <x v="9"/>
    <s v="Y"/>
    <x v="6"/>
    <n v="7"/>
    <n v="1"/>
    <n v="1"/>
    <n v="0"/>
    <n v="10"/>
    <n v="5"/>
    <s v="PASSED"/>
  </r>
  <r>
    <s v="OTHERS"/>
    <x v="1"/>
    <x v="1"/>
    <x v="10"/>
    <s v="Y"/>
    <x v="6"/>
    <n v="7"/>
    <n v="2"/>
    <n v="2"/>
    <n v="0"/>
    <n v="10"/>
    <n v="5"/>
    <s v="PASSED"/>
  </r>
  <r>
    <s v="OTHERS"/>
    <x v="1"/>
    <x v="1"/>
    <x v="11"/>
    <s v="Y"/>
    <x v="6"/>
    <n v="7"/>
    <n v="0"/>
    <n v="0"/>
    <n v="0"/>
    <n v="10"/>
    <n v="5"/>
    <s v="PASSED"/>
  </r>
  <r>
    <s v="OTHERS"/>
    <x v="1"/>
    <x v="1"/>
    <x v="12"/>
    <s v="N"/>
    <x v="6"/>
    <n v="7"/>
    <n v="1"/>
    <n v="1"/>
    <n v="0"/>
    <n v="10"/>
    <n v="5"/>
    <s v="PASSED"/>
  </r>
  <r>
    <s v="OTHERS"/>
    <x v="1"/>
    <x v="1"/>
    <x v="13"/>
    <s v="N"/>
    <x v="6"/>
    <n v="7"/>
    <n v="0"/>
    <n v="0"/>
    <n v="0"/>
    <n v="10"/>
    <n v="5"/>
    <s v="PASSED"/>
  </r>
  <r>
    <s v="OTHERS"/>
    <x v="1"/>
    <x v="1"/>
    <x v="14"/>
    <s v="N"/>
    <x v="6"/>
    <n v="7"/>
    <n v="0"/>
    <n v="0"/>
    <n v="0"/>
    <n v="10"/>
    <n v="5"/>
    <s v="PASSED"/>
  </r>
  <r>
    <s v="OTHERS"/>
    <x v="1"/>
    <x v="1"/>
    <x v="15"/>
    <s v="N"/>
    <x v="6"/>
    <n v="7"/>
    <n v="0"/>
    <n v="0"/>
    <n v="0"/>
    <n v="10"/>
    <n v="5"/>
    <s v="PASSED"/>
  </r>
  <r>
    <s v="OTHERS"/>
    <x v="1"/>
    <x v="1"/>
    <x v="16"/>
    <s v="N"/>
    <x v="6"/>
    <n v="7"/>
    <n v="0"/>
    <n v="0"/>
    <n v="0"/>
    <n v="10"/>
    <n v="5"/>
    <s v="PASSED"/>
  </r>
  <r>
    <s v="OTHERS"/>
    <x v="1"/>
    <x v="1"/>
    <x v="0"/>
    <s v="Y"/>
    <x v="7"/>
    <n v="8"/>
    <n v="28336.87"/>
    <n v="28336.87"/>
    <n v="0"/>
    <n v="10"/>
    <n v="5"/>
    <s v="PASSED"/>
  </r>
  <r>
    <s v="OTHERS"/>
    <x v="1"/>
    <x v="1"/>
    <x v="1"/>
    <s v="Y"/>
    <x v="7"/>
    <n v="8"/>
    <n v="38779.19"/>
    <n v="38779.19"/>
    <n v="0"/>
    <n v="10"/>
    <n v="5"/>
    <s v="PASSED"/>
  </r>
  <r>
    <s v="OTHERS"/>
    <x v="1"/>
    <x v="1"/>
    <x v="2"/>
    <s v="Y"/>
    <x v="7"/>
    <n v="8"/>
    <n v="26248.97"/>
    <n v="26248.97"/>
    <n v="0"/>
    <n v="10"/>
    <n v="5"/>
    <s v="PASSED"/>
  </r>
  <r>
    <s v="OTHERS"/>
    <x v="1"/>
    <x v="1"/>
    <x v="3"/>
    <s v="Y"/>
    <x v="7"/>
    <n v="8"/>
    <n v="19540.439999999999"/>
    <n v="19540.439999999999"/>
    <n v="0"/>
    <n v="10"/>
    <n v="5"/>
    <s v="PASSED"/>
  </r>
  <r>
    <s v="OTHERS"/>
    <x v="1"/>
    <x v="1"/>
    <x v="4"/>
    <s v="Y"/>
    <x v="7"/>
    <n v="8"/>
    <n v="21483.759999999998"/>
    <n v="21483.759999999998"/>
    <n v="0"/>
    <n v="10"/>
    <n v="5"/>
    <s v="PASSED"/>
  </r>
  <r>
    <s v="OTHERS"/>
    <x v="1"/>
    <x v="1"/>
    <x v="5"/>
    <s v="Y"/>
    <x v="7"/>
    <n v="8"/>
    <n v="22916.38"/>
    <n v="22916.38"/>
    <n v="0"/>
    <n v="10"/>
    <n v="5"/>
    <s v="PASSED"/>
  </r>
  <r>
    <s v="OTHERS"/>
    <x v="1"/>
    <x v="1"/>
    <x v="6"/>
    <s v="Y"/>
    <x v="7"/>
    <n v="8"/>
    <n v="32707.02"/>
    <n v="32707.02"/>
    <n v="0"/>
    <n v="10"/>
    <n v="5"/>
    <s v="PASSED"/>
  </r>
  <r>
    <s v="OTHERS"/>
    <x v="1"/>
    <x v="1"/>
    <x v="7"/>
    <s v="Y"/>
    <x v="7"/>
    <n v="8"/>
    <n v="21184.51"/>
    <n v="21184.51"/>
    <n v="0"/>
    <n v="10"/>
    <n v="5"/>
    <s v="PASSED"/>
  </r>
  <r>
    <s v="OTHERS"/>
    <x v="1"/>
    <x v="1"/>
    <x v="8"/>
    <s v="Y"/>
    <x v="7"/>
    <n v="8"/>
    <n v="18158.37"/>
    <n v="18158.37"/>
    <n v="0"/>
    <n v="10"/>
    <n v="5"/>
    <s v="PASSED"/>
  </r>
  <r>
    <s v="OTHERS"/>
    <x v="1"/>
    <x v="1"/>
    <x v="9"/>
    <s v="Y"/>
    <x v="7"/>
    <n v="8"/>
    <n v="24586.07"/>
    <n v="24586.07"/>
    <n v="0"/>
    <n v="10"/>
    <n v="5"/>
    <s v="PASSED"/>
  </r>
  <r>
    <s v="OTHERS"/>
    <x v="1"/>
    <x v="1"/>
    <x v="10"/>
    <s v="Y"/>
    <x v="7"/>
    <n v="8"/>
    <n v="45565.84"/>
    <n v="45565.84"/>
    <n v="0"/>
    <n v="10"/>
    <n v="5"/>
    <s v="PASSED"/>
  </r>
  <r>
    <s v="OTHERS"/>
    <x v="1"/>
    <x v="1"/>
    <x v="11"/>
    <s v="Y"/>
    <x v="7"/>
    <n v="8"/>
    <n v="30066.97"/>
    <n v="30066.97"/>
    <n v="0"/>
    <n v="10"/>
    <n v="5"/>
    <s v="PASSED"/>
  </r>
  <r>
    <s v="OTHERS"/>
    <x v="1"/>
    <x v="1"/>
    <x v="12"/>
    <s v="N"/>
    <x v="7"/>
    <n v="8"/>
    <n v="21346.33"/>
    <n v="21346.33"/>
    <n v="0"/>
    <n v="10"/>
    <n v="5"/>
    <s v="PASSED"/>
  </r>
  <r>
    <s v="OTHERS"/>
    <x v="1"/>
    <x v="1"/>
    <x v="13"/>
    <s v="N"/>
    <x v="7"/>
    <n v="8"/>
    <n v="25794.47"/>
    <n v="25794.47"/>
    <n v="0"/>
    <n v="10"/>
    <n v="5"/>
    <s v="PASSED"/>
  </r>
  <r>
    <s v="OTHERS"/>
    <x v="1"/>
    <x v="1"/>
    <x v="14"/>
    <s v="N"/>
    <x v="7"/>
    <n v="8"/>
    <n v="20549.29"/>
    <n v="20549.29"/>
    <n v="0"/>
    <n v="10"/>
    <n v="5"/>
    <s v="PASSED"/>
  </r>
  <r>
    <s v="OTHERS"/>
    <x v="1"/>
    <x v="1"/>
    <x v="15"/>
    <s v="N"/>
    <x v="7"/>
    <n v="8"/>
    <n v="16638.330000000002"/>
    <n v="16638.330000000002"/>
    <n v="0"/>
    <n v="10"/>
    <n v="5"/>
    <s v="PASSED"/>
  </r>
  <r>
    <s v="OTHERS"/>
    <x v="1"/>
    <x v="1"/>
    <x v="16"/>
    <s v="N"/>
    <x v="7"/>
    <n v="8"/>
    <n v="6878.12"/>
    <n v="6878.12"/>
    <n v="0"/>
    <n v="10"/>
    <n v="5"/>
    <s v="PASSED"/>
  </r>
  <r>
    <s v="OTHERS"/>
    <x v="1"/>
    <x v="1"/>
    <x v="0"/>
    <s v="Y"/>
    <x v="8"/>
    <n v="9"/>
    <n v="41"/>
    <n v="41"/>
    <n v="0"/>
    <n v="10"/>
    <n v="5"/>
    <s v="PASSED"/>
  </r>
  <r>
    <s v="OTHERS"/>
    <x v="1"/>
    <x v="1"/>
    <x v="1"/>
    <s v="Y"/>
    <x v="8"/>
    <n v="9"/>
    <n v="49"/>
    <n v="49"/>
    <n v="0"/>
    <n v="10"/>
    <n v="5"/>
    <s v="PASSED"/>
  </r>
  <r>
    <s v="OTHERS"/>
    <x v="1"/>
    <x v="1"/>
    <x v="2"/>
    <s v="Y"/>
    <x v="8"/>
    <n v="9"/>
    <n v="20"/>
    <n v="20"/>
    <n v="0"/>
    <n v="10"/>
    <n v="5"/>
    <s v="PASSED"/>
  </r>
  <r>
    <s v="OTHERS"/>
    <x v="1"/>
    <x v="1"/>
    <x v="3"/>
    <s v="Y"/>
    <x v="8"/>
    <n v="9"/>
    <n v="14"/>
    <n v="14"/>
    <n v="0"/>
    <n v="10"/>
    <n v="5"/>
    <s v="PASSED"/>
  </r>
  <r>
    <s v="OTHERS"/>
    <x v="1"/>
    <x v="1"/>
    <x v="4"/>
    <s v="Y"/>
    <x v="8"/>
    <n v="9"/>
    <n v="28"/>
    <n v="28"/>
    <n v="0"/>
    <n v="10"/>
    <n v="5"/>
    <s v="PASSED"/>
  </r>
  <r>
    <s v="OTHERS"/>
    <x v="1"/>
    <x v="1"/>
    <x v="5"/>
    <s v="Y"/>
    <x v="8"/>
    <n v="9"/>
    <n v="25"/>
    <n v="25"/>
    <n v="0"/>
    <n v="10"/>
    <n v="5"/>
    <s v="PASSED"/>
  </r>
  <r>
    <s v="OTHERS"/>
    <x v="1"/>
    <x v="1"/>
    <x v="6"/>
    <s v="Y"/>
    <x v="8"/>
    <n v="9"/>
    <n v="22"/>
    <n v="22"/>
    <n v="0"/>
    <n v="10"/>
    <n v="5"/>
    <s v="PASSED"/>
  </r>
  <r>
    <s v="OTHERS"/>
    <x v="1"/>
    <x v="1"/>
    <x v="7"/>
    <s v="Y"/>
    <x v="8"/>
    <n v="9"/>
    <n v="38"/>
    <n v="38"/>
    <n v="0"/>
    <n v="10"/>
    <n v="5"/>
    <s v="PASSED"/>
  </r>
  <r>
    <s v="OTHERS"/>
    <x v="1"/>
    <x v="1"/>
    <x v="8"/>
    <s v="Y"/>
    <x v="8"/>
    <n v="9"/>
    <n v="25"/>
    <n v="25"/>
    <n v="0"/>
    <n v="10"/>
    <n v="5"/>
    <s v="PASSED"/>
  </r>
  <r>
    <s v="OTHERS"/>
    <x v="1"/>
    <x v="1"/>
    <x v="9"/>
    <s v="Y"/>
    <x v="8"/>
    <n v="9"/>
    <n v="33"/>
    <n v="33"/>
    <n v="0"/>
    <n v="10"/>
    <n v="5"/>
    <s v="PASSED"/>
  </r>
  <r>
    <s v="OTHERS"/>
    <x v="1"/>
    <x v="1"/>
    <x v="10"/>
    <s v="Y"/>
    <x v="8"/>
    <n v="9"/>
    <n v="35"/>
    <n v="35"/>
    <n v="0"/>
    <n v="10"/>
    <n v="5"/>
    <s v="PASSED"/>
  </r>
  <r>
    <s v="OTHERS"/>
    <x v="1"/>
    <x v="1"/>
    <x v="11"/>
    <s v="Y"/>
    <x v="8"/>
    <n v="9"/>
    <n v="22"/>
    <n v="22"/>
    <n v="0"/>
    <n v="10"/>
    <n v="5"/>
    <s v="PASSED"/>
  </r>
  <r>
    <s v="OTHERS"/>
    <x v="1"/>
    <x v="1"/>
    <x v="12"/>
    <s v="N"/>
    <x v="8"/>
    <n v="9"/>
    <n v="24"/>
    <n v="24"/>
    <n v="0"/>
    <n v="10"/>
    <n v="5"/>
    <s v="PASSED"/>
  </r>
  <r>
    <s v="OTHERS"/>
    <x v="1"/>
    <x v="1"/>
    <x v="13"/>
    <s v="N"/>
    <x v="8"/>
    <n v="9"/>
    <n v="32"/>
    <n v="32"/>
    <n v="0"/>
    <n v="10"/>
    <n v="5"/>
    <s v="PASSED"/>
  </r>
  <r>
    <s v="OTHERS"/>
    <x v="1"/>
    <x v="1"/>
    <x v="14"/>
    <s v="N"/>
    <x v="8"/>
    <n v="9"/>
    <n v="34"/>
    <n v="34"/>
    <n v="0"/>
    <n v="10"/>
    <n v="5"/>
    <s v="PASSED"/>
  </r>
  <r>
    <s v="OTHERS"/>
    <x v="1"/>
    <x v="1"/>
    <x v="15"/>
    <s v="N"/>
    <x v="8"/>
    <n v="9"/>
    <n v="26"/>
    <n v="26"/>
    <n v="0"/>
    <n v="10"/>
    <n v="5"/>
    <s v="PASSED"/>
  </r>
  <r>
    <s v="OTHERS"/>
    <x v="1"/>
    <x v="1"/>
    <x v="16"/>
    <s v="N"/>
    <x v="8"/>
    <n v="9"/>
    <n v="8"/>
    <n v="8"/>
    <n v="0"/>
    <n v="10"/>
    <n v="5"/>
    <s v="PASSED"/>
  </r>
  <r>
    <s v="OTHERS"/>
    <x v="1"/>
    <x v="1"/>
    <x v="0"/>
    <s v="Y"/>
    <x v="9"/>
    <n v="10"/>
    <n v="35"/>
    <n v="35"/>
    <n v="0"/>
    <n v="10"/>
    <n v="5"/>
    <s v="PASSED"/>
  </r>
  <r>
    <s v="OTHERS"/>
    <x v="1"/>
    <x v="1"/>
    <x v="1"/>
    <s v="Y"/>
    <x v="9"/>
    <n v="10"/>
    <n v="26"/>
    <n v="26"/>
    <n v="0"/>
    <n v="10"/>
    <n v="5"/>
    <s v="PASSED"/>
  </r>
  <r>
    <s v="OTHERS"/>
    <x v="1"/>
    <x v="1"/>
    <x v="2"/>
    <s v="Y"/>
    <x v="9"/>
    <n v="10"/>
    <n v="77"/>
    <n v="77"/>
    <n v="0"/>
    <n v="10"/>
    <n v="5"/>
    <s v="PASSED"/>
  </r>
  <r>
    <s v="OTHERS"/>
    <x v="1"/>
    <x v="1"/>
    <x v="3"/>
    <s v="Y"/>
    <x v="9"/>
    <n v="10"/>
    <n v="31"/>
    <n v="31"/>
    <n v="0"/>
    <n v="10"/>
    <n v="5"/>
    <s v="PASSED"/>
  </r>
  <r>
    <s v="OTHERS"/>
    <x v="1"/>
    <x v="1"/>
    <x v="4"/>
    <s v="Y"/>
    <x v="9"/>
    <n v="10"/>
    <n v="17"/>
    <n v="17"/>
    <n v="0"/>
    <n v="10"/>
    <n v="5"/>
    <s v="PASSED"/>
  </r>
  <r>
    <s v="OTHERS"/>
    <x v="1"/>
    <x v="1"/>
    <x v="5"/>
    <s v="Y"/>
    <x v="9"/>
    <n v="10"/>
    <n v="36"/>
    <n v="36"/>
    <n v="0"/>
    <n v="10"/>
    <n v="5"/>
    <s v="PASSED"/>
  </r>
  <r>
    <s v="OTHERS"/>
    <x v="1"/>
    <x v="1"/>
    <x v="6"/>
    <s v="Y"/>
    <x v="9"/>
    <n v="10"/>
    <n v="19"/>
    <n v="19"/>
    <n v="0"/>
    <n v="10"/>
    <n v="5"/>
    <s v="PASSED"/>
  </r>
  <r>
    <s v="OTHERS"/>
    <x v="1"/>
    <x v="1"/>
    <x v="7"/>
    <s v="Y"/>
    <x v="9"/>
    <n v="10"/>
    <n v="19"/>
    <n v="19"/>
    <n v="0"/>
    <n v="10"/>
    <n v="5"/>
    <s v="PASSED"/>
  </r>
  <r>
    <s v="OTHERS"/>
    <x v="1"/>
    <x v="1"/>
    <x v="8"/>
    <s v="Y"/>
    <x v="9"/>
    <n v="10"/>
    <n v="65"/>
    <n v="65"/>
    <n v="0"/>
    <n v="10"/>
    <n v="5"/>
    <s v="PASSED"/>
  </r>
  <r>
    <s v="OTHERS"/>
    <x v="1"/>
    <x v="1"/>
    <x v="9"/>
    <s v="Y"/>
    <x v="9"/>
    <n v="10"/>
    <n v="76"/>
    <n v="76"/>
    <n v="0"/>
    <n v="10"/>
    <n v="5"/>
    <s v="PASSED"/>
  </r>
  <r>
    <s v="OTHERS"/>
    <x v="1"/>
    <x v="1"/>
    <x v="10"/>
    <s v="Y"/>
    <x v="9"/>
    <n v="10"/>
    <n v="46"/>
    <n v="46"/>
    <n v="0"/>
    <n v="10"/>
    <n v="5"/>
    <s v="PASSED"/>
  </r>
  <r>
    <s v="OTHERS"/>
    <x v="1"/>
    <x v="1"/>
    <x v="11"/>
    <s v="Y"/>
    <x v="9"/>
    <n v="10"/>
    <n v="57"/>
    <n v="57"/>
    <n v="0"/>
    <n v="10"/>
    <n v="5"/>
    <s v="PASSED"/>
  </r>
  <r>
    <s v="OTHERS"/>
    <x v="1"/>
    <x v="1"/>
    <x v="12"/>
    <s v="N"/>
    <x v="9"/>
    <n v="10"/>
    <n v="29"/>
    <n v="29"/>
    <n v="0"/>
    <n v="10"/>
    <n v="5"/>
    <s v="PASSED"/>
  </r>
  <r>
    <s v="OTHERS"/>
    <x v="1"/>
    <x v="1"/>
    <x v="13"/>
    <s v="N"/>
    <x v="9"/>
    <n v="10"/>
    <n v="53"/>
    <n v="53"/>
    <n v="0"/>
    <n v="10"/>
    <n v="5"/>
    <s v="PASSED"/>
  </r>
  <r>
    <s v="OTHERS"/>
    <x v="1"/>
    <x v="1"/>
    <x v="14"/>
    <s v="N"/>
    <x v="9"/>
    <n v="10"/>
    <n v="18"/>
    <n v="18"/>
    <n v="0"/>
    <n v="10"/>
    <n v="5"/>
    <s v="PASSED"/>
  </r>
  <r>
    <s v="OTHERS"/>
    <x v="1"/>
    <x v="1"/>
    <x v="15"/>
    <s v="N"/>
    <x v="9"/>
    <n v="10"/>
    <n v="18"/>
    <n v="18"/>
    <n v="0"/>
    <n v="10"/>
    <n v="5"/>
    <s v="PASSED"/>
  </r>
  <r>
    <s v="OTHERS"/>
    <x v="1"/>
    <x v="1"/>
    <x v="16"/>
    <s v="N"/>
    <x v="9"/>
    <n v="10"/>
    <n v="8"/>
    <n v="8"/>
    <n v="0"/>
    <n v="10"/>
    <n v="5"/>
    <s v="PASSED"/>
  </r>
  <r>
    <s v="OTHERS"/>
    <x v="1"/>
    <x v="1"/>
    <x v="0"/>
    <s v="Y"/>
    <x v="10"/>
    <n v="11"/>
    <n v="0"/>
    <n v="0"/>
    <n v="0"/>
    <n v="10"/>
    <n v="5"/>
    <s v="PASSED"/>
  </r>
  <r>
    <s v="OTHERS"/>
    <x v="1"/>
    <x v="1"/>
    <x v="1"/>
    <s v="Y"/>
    <x v="10"/>
    <n v="11"/>
    <n v="0"/>
    <n v="0"/>
    <n v="0"/>
    <n v="10"/>
    <n v="5"/>
    <s v="PASSED"/>
  </r>
  <r>
    <s v="OTHERS"/>
    <x v="1"/>
    <x v="1"/>
    <x v="2"/>
    <s v="Y"/>
    <x v="10"/>
    <n v="11"/>
    <n v="0"/>
    <n v="0"/>
    <n v="0"/>
    <n v="10"/>
    <n v="5"/>
    <s v="PASSED"/>
  </r>
  <r>
    <s v="OTHERS"/>
    <x v="1"/>
    <x v="1"/>
    <x v="3"/>
    <s v="Y"/>
    <x v="10"/>
    <n v="11"/>
    <n v="0"/>
    <n v="0"/>
    <n v="0"/>
    <n v="10"/>
    <n v="5"/>
    <s v="PASSED"/>
  </r>
  <r>
    <s v="OTHERS"/>
    <x v="1"/>
    <x v="1"/>
    <x v="4"/>
    <s v="Y"/>
    <x v="10"/>
    <n v="11"/>
    <n v="0"/>
    <n v="0"/>
    <n v="0"/>
    <n v="10"/>
    <n v="5"/>
    <s v="PASSED"/>
  </r>
  <r>
    <s v="OTHERS"/>
    <x v="1"/>
    <x v="1"/>
    <x v="5"/>
    <s v="Y"/>
    <x v="10"/>
    <n v="11"/>
    <n v="0"/>
    <n v="0"/>
    <n v="0"/>
    <n v="10"/>
    <n v="5"/>
    <s v="PASSED"/>
  </r>
  <r>
    <s v="OTHERS"/>
    <x v="1"/>
    <x v="1"/>
    <x v="6"/>
    <s v="Y"/>
    <x v="10"/>
    <n v="11"/>
    <n v="0"/>
    <n v="0"/>
    <n v="0"/>
    <n v="10"/>
    <n v="5"/>
    <s v="PASSED"/>
  </r>
  <r>
    <s v="OTHERS"/>
    <x v="1"/>
    <x v="1"/>
    <x v="7"/>
    <s v="Y"/>
    <x v="10"/>
    <n v="11"/>
    <n v="0"/>
    <n v="0"/>
    <n v="0"/>
    <n v="10"/>
    <n v="5"/>
    <s v="PASSED"/>
  </r>
  <r>
    <s v="OTHERS"/>
    <x v="1"/>
    <x v="1"/>
    <x v="8"/>
    <s v="Y"/>
    <x v="10"/>
    <n v="11"/>
    <n v="0"/>
    <n v="0"/>
    <n v="0"/>
    <n v="10"/>
    <n v="5"/>
    <s v="PASSED"/>
  </r>
  <r>
    <s v="OTHERS"/>
    <x v="1"/>
    <x v="1"/>
    <x v="9"/>
    <s v="Y"/>
    <x v="10"/>
    <n v="11"/>
    <n v="0"/>
    <n v="0"/>
    <n v="0"/>
    <n v="10"/>
    <n v="5"/>
    <s v="PASSED"/>
  </r>
  <r>
    <s v="OTHERS"/>
    <x v="1"/>
    <x v="1"/>
    <x v="10"/>
    <s v="Y"/>
    <x v="10"/>
    <n v="11"/>
    <n v="0"/>
    <n v="0"/>
    <n v="0"/>
    <n v="10"/>
    <n v="5"/>
    <s v="PASSED"/>
  </r>
  <r>
    <s v="OTHERS"/>
    <x v="1"/>
    <x v="1"/>
    <x v="11"/>
    <s v="Y"/>
    <x v="10"/>
    <n v="11"/>
    <n v="0"/>
    <n v="0"/>
    <n v="0"/>
    <n v="10"/>
    <n v="5"/>
    <s v="PASSED"/>
  </r>
  <r>
    <s v="OTHERS"/>
    <x v="1"/>
    <x v="1"/>
    <x v="12"/>
    <s v="N"/>
    <x v="10"/>
    <n v="11"/>
    <n v="3"/>
    <n v="3"/>
    <n v="0"/>
    <n v="10"/>
    <n v="5"/>
    <s v="PASSED"/>
  </r>
  <r>
    <s v="OTHERS"/>
    <x v="1"/>
    <x v="1"/>
    <x v="13"/>
    <s v="N"/>
    <x v="10"/>
    <n v="11"/>
    <n v="0"/>
    <n v="0"/>
    <n v="0"/>
    <n v="10"/>
    <n v="5"/>
    <s v="PASSED"/>
  </r>
  <r>
    <s v="OTHERS"/>
    <x v="1"/>
    <x v="1"/>
    <x v="14"/>
    <s v="N"/>
    <x v="10"/>
    <n v="11"/>
    <n v="0"/>
    <n v="0"/>
    <n v="0"/>
    <n v="10"/>
    <n v="5"/>
    <s v="PASSED"/>
  </r>
  <r>
    <s v="OTHERS"/>
    <x v="1"/>
    <x v="1"/>
    <x v="15"/>
    <s v="N"/>
    <x v="10"/>
    <n v="11"/>
    <n v="0"/>
    <n v="0"/>
    <n v="0"/>
    <n v="10"/>
    <n v="5"/>
    <s v="PASSED"/>
  </r>
  <r>
    <s v="OTHERS"/>
    <x v="1"/>
    <x v="1"/>
    <x v="16"/>
    <s v="N"/>
    <x v="10"/>
    <n v="11"/>
    <n v="0"/>
    <n v="0"/>
    <n v="0"/>
    <n v="10"/>
    <n v="5"/>
    <s v="PASSED"/>
  </r>
  <r>
    <s v="OTHERS"/>
    <x v="1"/>
    <x v="1"/>
    <x v="0"/>
    <s v="Y"/>
    <x v="11"/>
    <n v="12"/>
    <n v="0"/>
    <n v="0"/>
    <n v="0"/>
    <n v="10"/>
    <n v="5"/>
    <s v="PASSED"/>
  </r>
  <r>
    <s v="OTHERS"/>
    <x v="1"/>
    <x v="1"/>
    <x v="1"/>
    <s v="Y"/>
    <x v="11"/>
    <n v="12"/>
    <n v="0"/>
    <n v="0"/>
    <n v="0"/>
    <n v="10"/>
    <n v="5"/>
    <s v="PASSED"/>
  </r>
  <r>
    <s v="OTHERS"/>
    <x v="1"/>
    <x v="1"/>
    <x v="2"/>
    <s v="Y"/>
    <x v="11"/>
    <n v="12"/>
    <n v="3"/>
    <n v="3"/>
    <n v="0"/>
    <n v="10"/>
    <n v="5"/>
    <s v="PASSED"/>
  </r>
  <r>
    <s v="OTHERS"/>
    <x v="1"/>
    <x v="1"/>
    <x v="3"/>
    <s v="Y"/>
    <x v="11"/>
    <n v="12"/>
    <n v="3"/>
    <n v="3"/>
    <n v="0"/>
    <n v="10"/>
    <n v="5"/>
    <s v="PASSED"/>
  </r>
  <r>
    <s v="OTHERS"/>
    <x v="1"/>
    <x v="1"/>
    <x v="4"/>
    <s v="Y"/>
    <x v="11"/>
    <n v="12"/>
    <n v="3"/>
    <n v="3"/>
    <n v="0"/>
    <n v="10"/>
    <n v="5"/>
    <s v="PASSED"/>
  </r>
  <r>
    <s v="OTHERS"/>
    <x v="1"/>
    <x v="1"/>
    <x v="5"/>
    <s v="Y"/>
    <x v="11"/>
    <n v="12"/>
    <n v="3"/>
    <n v="3"/>
    <n v="0"/>
    <n v="10"/>
    <n v="5"/>
    <s v="PASSED"/>
  </r>
  <r>
    <s v="OTHERS"/>
    <x v="1"/>
    <x v="1"/>
    <x v="6"/>
    <s v="Y"/>
    <x v="11"/>
    <n v="12"/>
    <n v="0"/>
    <n v="0"/>
    <n v="0"/>
    <n v="10"/>
    <n v="5"/>
    <s v="PASSED"/>
  </r>
  <r>
    <s v="OTHERS"/>
    <x v="1"/>
    <x v="1"/>
    <x v="7"/>
    <s v="Y"/>
    <x v="11"/>
    <n v="12"/>
    <n v="3"/>
    <n v="3"/>
    <n v="0"/>
    <n v="10"/>
    <n v="5"/>
    <s v="PASSED"/>
  </r>
  <r>
    <s v="OTHERS"/>
    <x v="1"/>
    <x v="1"/>
    <x v="8"/>
    <s v="Y"/>
    <x v="11"/>
    <n v="12"/>
    <n v="3"/>
    <n v="3"/>
    <n v="0"/>
    <n v="10"/>
    <n v="5"/>
    <s v="PASSED"/>
  </r>
  <r>
    <s v="OTHERS"/>
    <x v="1"/>
    <x v="1"/>
    <x v="9"/>
    <s v="Y"/>
    <x v="11"/>
    <n v="12"/>
    <n v="0"/>
    <n v="0"/>
    <n v="0"/>
    <n v="10"/>
    <n v="5"/>
    <s v="PASSED"/>
  </r>
  <r>
    <s v="OTHERS"/>
    <x v="1"/>
    <x v="1"/>
    <x v="10"/>
    <s v="Y"/>
    <x v="11"/>
    <n v="12"/>
    <n v="0"/>
    <n v="0"/>
    <n v="0"/>
    <n v="10"/>
    <n v="5"/>
    <s v="PASSED"/>
  </r>
  <r>
    <s v="OTHERS"/>
    <x v="1"/>
    <x v="1"/>
    <x v="11"/>
    <s v="Y"/>
    <x v="11"/>
    <n v="12"/>
    <n v="0"/>
    <n v="0"/>
    <n v="0"/>
    <n v="10"/>
    <n v="5"/>
    <s v="PASSED"/>
  </r>
  <r>
    <s v="OTHERS"/>
    <x v="1"/>
    <x v="1"/>
    <x v="12"/>
    <s v="N"/>
    <x v="11"/>
    <n v="12"/>
    <n v="0"/>
    <n v="0"/>
    <n v="0"/>
    <n v="10"/>
    <n v="5"/>
    <s v="PASSED"/>
  </r>
  <r>
    <s v="OTHERS"/>
    <x v="1"/>
    <x v="1"/>
    <x v="13"/>
    <s v="N"/>
    <x v="11"/>
    <n v="12"/>
    <n v="0"/>
    <n v="0"/>
    <n v="0"/>
    <n v="10"/>
    <n v="5"/>
    <s v="PASSED"/>
  </r>
  <r>
    <s v="OTHERS"/>
    <x v="1"/>
    <x v="1"/>
    <x v="14"/>
    <s v="N"/>
    <x v="11"/>
    <n v="12"/>
    <n v="0"/>
    <n v="0"/>
    <n v="0"/>
    <n v="10"/>
    <n v="5"/>
    <s v="PASSED"/>
  </r>
  <r>
    <s v="OTHERS"/>
    <x v="1"/>
    <x v="1"/>
    <x v="15"/>
    <s v="N"/>
    <x v="11"/>
    <n v="12"/>
    <n v="3"/>
    <n v="3"/>
    <n v="0"/>
    <n v="10"/>
    <n v="5"/>
    <s v="PASSED"/>
  </r>
  <r>
    <s v="OTHERS"/>
    <x v="1"/>
    <x v="1"/>
    <x v="16"/>
    <s v="N"/>
    <x v="11"/>
    <n v="12"/>
    <n v="0"/>
    <n v="0"/>
    <n v="0"/>
    <n v="10"/>
    <n v="5"/>
    <s v="PASSED"/>
  </r>
  <r>
    <s v="OTHERS"/>
    <x v="1"/>
    <x v="1"/>
    <x v="0"/>
    <s v="Y"/>
    <x v="12"/>
    <n v="13"/>
    <n v="82652"/>
    <n v="82652"/>
    <n v="0"/>
    <n v="10"/>
    <n v="5"/>
    <s v="PASSED"/>
  </r>
  <r>
    <s v="OTHERS"/>
    <x v="1"/>
    <x v="1"/>
    <x v="1"/>
    <s v="Y"/>
    <x v="12"/>
    <n v="13"/>
    <n v="77533"/>
    <n v="77533"/>
    <n v="0"/>
    <n v="10"/>
    <n v="5"/>
    <s v="PASSED"/>
  </r>
  <r>
    <s v="OTHERS"/>
    <x v="1"/>
    <x v="1"/>
    <x v="2"/>
    <s v="Y"/>
    <x v="12"/>
    <n v="13"/>
    <n v="71613"/>
    <n v="71613"/>
    <n v="0"/>
    <n v="10"/>
    <n v="5"/>
    <s v="PASSED"/>
  </r>
  <r>
    <s v="OTHERS"/>
    <x v="1"/>
    <x v="1"/>
    <x v="3"/>
    <s v="Y"/>
    <x v="12"/>
    <n v="13"/>
    <n v="109648"/>
    <n v="109648"/>
    <n v="0"/>
    <n v="10"/>
    <n v="5"/>
    <s v="PASSED"/>
  </r>
  <r>
    <s v="OTHERS"/>
    <x v="1"/>
    <x v="1"/>
    <x v="4"/>
    <s v="Y"/>
    <x v="12"/>
    <n v="13"/>
    <n v="64870"/>
    <n v="64870"/>
    <n v="0"/>
    <n v="10"/>
    <n v="5"/>
    <s v="PASSED"/>
  </r>
  <r>
    <s v="OTHERS"/>
    <x v="1"/>
    <x v="1"/>
    <x v="5"/>
    <s v="Y"/>
    <x v="12"/>
    <n v="13"/>
    <n v="64099"/>
    <n v="64099"/>
    <n v="0"/>
    <n v="10"/>
    <n v="5"/>
    <s v="PASSED"/>
  </r>
  <r>
    <s v="OTHERS"/>
    <x v="1"/>
    <x v="1"/>
    <x v="6"/>
    <s v="Y"/>
    <x v="12"/>
    <n v="13"/>
    <n v="83706"/>
    <n v="83706"/>
    <n v="0"/>
    <n v="10"/>
    <n v="5"/>
    <s v="PASSED"/>
  </r>
  <r>
    <s v="OTHERS"/>
    <x v="1"/>
    <x v="1"/>
    <x v="7"/>
    <s v="Y"/>
    <x v="12"/>
    <n v="13"/>
    <n v="79814"/>
    <n v="79814"/>
    <n v="0"/>
    <n v="10"/>
    <n v="5"/>
    <s v="PASSED"/>
  </r>
  <r>
    <s v="OTHERS"/>
    <x v="1"/>
    <x v="1"/>
    <x v="8"/>
    <s v="Y"/>
    <x v="12"/>
    <n v="13"/>
    <n v="89168"/>
    <n v="89168"/>
    <n v="0"/>
    <n v="10"/>
    <n v="5"/>
    <s v="PASSED"/>
  </r>
  <r>
    <s v="OTHERS"/>
    <x v="1"/>
    <x v="1"/>
    <x v="9"/>
    <s v="Y"/>
    <x v="12"/>
    <n v="13"/>
    <n v="75233"/>
    <n v="75233"/>
    <n v="0"/>
    <n v="10"/>
    <n v="5"/>
    <s v="PASSED"/>
  </r>
  <r>
    <s v="OTHERS"/>
    <x v="1"/>
    <x v="1"/>
    <x v="10"/>
    <s v="Y"/>
    <x v="12"/>
    <n v="13"/>
    <n v="82663"/>
    <n v="82663"/>
    <n v="0"/>
    <n v="10"/>
    <n v="5"/>
    <s v="PASSED"/>
  </r>
  <r>
    <s v="OTHERS"/>
    <x v="1"/>
    <x v="1"/>
    <x v="11"/>
    <s v="Y"/>
    <x v="12"/>
    <n v="13"/>
    <n v="73115"/>
    <n v="73115"/>
    <n v="0"/>
    <n v="10"/>
    <n v="5"/>
    <s v="PASSED"/>
  </r>
  <r>
    <s v="OTHERS"/>
    <x v="1"/>
    <x v="1"/>
    <x v="12"/>
    <s v="N"/>
    <x v="12"/>
    <n v="13"/>
    <n v="80696"/>
    <n v="80696"/>
    <n v="0"/>
    <n v="10"/>
    <n v="5"/>
    <s v="PASSED"/>
  </r>
  <r>
    <s v="OTHERS"/>
    <x v="1"/>
    <x v="1"/>
    <x v="13"/>
    <s v="N"/>
    <x v="12"/>
    <n v="13"/>
    <n v="97958"/>
    <n v="97958"/>
    <n v="0"/>
    <n v="10"/>
    <n v="5"/>
    <s v="PASSED"/>
  </r>
  <r>
    <s v="OTHERS"/>
    <x v="1"/>
    <x v="1"/>
    <x v="14"/>
    <s v="N"/>
    <x v="12"/>
    <n v="13"/>
    <n v="72072"/>
    <n v="72072"/>
    <n v="0"/>
    <n v="10"/>
    <n v="5"/>
    <s v="PASSED"/>
  </r>
  <r>
    <s v="OTHERS"/>
    <x v="1"/>
    <x v="1"/>
    <x v="15"/>
    <s v="N"/>
    <x v="12"/>
    <n v="13"/>
    <n v="72355"/>
    <n v="72355"/>
    <n v="0"/>
    <n v="10"/>
    <n v="5"/>
    <s v="PASSED"/>
  </r>
  <r>
    <s v="OTHERS"/>
    <x v="1"/>
    <x v="1"/>
    <x v="16"/>
    <s v="N"/>
    <x v="12"/>
    <n v="13"/>
    <n v="18614"/>
    <n v="18614"/>
    <n v="0"/>
    <n v="10"/>
    <n v="5"/>
    <s v="PASSED"/>
  </r>
  <r>
    <s v="OTHERS"/>
    <x v="1"/>
    <x v="1"/>
    <x v="0"/>
    <s v="Y"/>
    <x v="13"/>
    <n v="14"/>
    <n v="209"/>
    <n v="209"/>
    <n v="0"/>
    <n v="10"/>
    <n v="5"/>
    <s v="PASSED"/>
  </r>
  <r>
    <s v="OTHERS"/>
    <x v="1"/>
    <x v="1"/>
    <x v="1"/>
    <s v="Y"/>
    <x v="13"/>
    <n v="14"/>
    <n v="207"/>
    <n v="207"/>
    <n v="0"/>
    <n v="10"/>
    <n v="5"/>
    <s v="PASSED"/>
  </r>
  <r>
    <s v="OTHERS"/>
    <x v="1"/>
    <x v="1"/>
    <x v="2"/>
    <s v="Y"/>
    <x v="13"/>
    <n v="14"/>
    <n v="183"/>
    <n v="183"/>
    <n v="0"/>
    <n v="10"/>
    <n v="5"/>
    <s v="PASSED"/>
  </r>
  <r>
    <s v="OTHERS"/>
    <x v="1"/>
    <x v="1"/>
    <x v="3"/>
    <s v="Y"/>
    <x v="13"/>
    <n v="14"/>
    <n v="177"/>
    <n v="177"/>
    <n v="0"/>
    <n v="10"/>
    <n v="5"/>
    <s v="PASSED"/>
  </r>
  <r>
    <s v="OTHERS"/>
    <x v="1"/>
    <x v="1"/>
    <x v="4"/>
    <s v="Y"/>
    <x v="13"/>
    <n v="14"/>
    <n v="153"/>
    <n v="153"/>
    <n v="0"/>
    <n v="10"/>
    <n v="5"/>
    <s v="PASSED"/>
  </r>
  <r>
    <s v="OTHERS"/>
    <x v="1"/>
    <x v="1"/>
    <x v="5"/>
    <s v="Y"/>
    <x v="13"/>
    <n v="14"/>
    <n v="154"/>
    <n v="154"/>
    <n v="0"/>
    <n v="10"/>
    <n v="5"/>
    <s v="PASSED"/>
  </r>
  <r>
    <s v="OTHERS"/>
    <x v="1"/>
    <x v="1"/>
    <x v="6"/>
    <s v="Y"/>
    <x v="13"/>
    <n v="14"/>
    <n v="188"/>
    <n v="188"/>
    <n v="0"/>
    <n v="10"/>
    <n v="5"/>
    <s v="PASSED"/>
  </r>
  <r>
    <s v="OTHERS"/>
    <x v="1"/>
    <x v="1"/>
    <x v="7"/>
    <s v="Y"/>
    <x v="13"/>
    <n v="14"/>
    <n v="172"/>
    <n v="172"/>
    <n v="0"/>
    <n v="10"/>
    <n v="5"/>
    <s v="PASSED"/>
  </r>
  <r>
    <s v="OTHERS"/>
    <x v="1"/>
    <x v="1"/>
    <x v="8"/>
    <s v="Y"/>
    <x v="13"/>
    <n v="14"/>
    <n v="171"/>
    <n v="171"/>
    <n v="0"/>
    <n v="10"/>
    <n v="5"/>
    <s v="PASSED"/>
  </r>
  <r>
    <s v="OTHERS"/>
    <x v="1"/>
    <x v="1"/>
    <x v="9"/>
    <s v="Y"/>
    <x v="13"/>
    <n v="14"/>
    <n v="136"/>
    <n v="136"/>
    <n v="0"/>
    <n v="10"/>
    <n v="5"/>
    <s v="PASSED"/>
  </r>
  <r>
    <s v="OTHERS"/>
    <x v="1"/>
    <x v="1"/>
    <x v="10"/>
    <s v="Y"/>
    <x v="13"/>
    <n v="14"/>
    <n v="157"/>
    <n v="157"/>
    <n v="0"/>
    <n v="10"/>
    <n v="5"/>
    <s v="PASSED"/>
  </r>
  <r>
    <s v="OTHERS"/>
    <x v="1"/>
    <x v="1"/>
    <x v="11"/>
    <s v="Y"/>
    <x v="13"/>
    <n v="14"/>
    <n v="156"/>
    <n v="156"/>
    <n v="0"/>
    <n v="10"/>
    <n v="5"/>
    <s v="PASSED"/>
  </r>
  <r>
    <s v="OTHERS"/>
    <x v="1"/>
    <x v="1"/>
    <x v="12"/>
    <s v="N"/>
    <x v="13"/>
    <n v="14"/>
    <n v="157"/>
    <n v="157"/>
    <n v="0"/>
    <n v="10"/>
    <n v="5"/>
    <s v="PASSED"/>
  </r>
  <r>
    <s v="OTHERS"/>
    <x v="1"/>
    <x v="1"/>
    <x v="13"/>
    <s v="N"/>
    <x v="13"/>
    <n v="14"/>
    <n v="158"/>
    <n v="158"/>
    <n v="0"/>
    <n v="10"/>
    <n v="5"/>
    <s v="PASSED"/>
  </r>
  <r>
    <s v="OTHERS"/>
    <x v="1"/>
    <x v="1"/>
    <x v="14"/>
    <s v="N"/>
    <x v="13"/>
    <n v="14"/>
    <n v="142"/>
    <n v="142"/>
    <n v="0"/>
    <n v="10"/>
    <n v="5"/>
    <s v="PASSED"/>
  </r>
  <r>
    <s v="OTHERS"/>
    <x v="1"/>
    <x v="1"/>
    <x v="15"/>
    <s v="N"/>
    <x v="13"/>
    <n v="14"/>
    <n v="158"/>
    <n v="158"/>
    <n v="0"/>
    <n v="10"/>
    <n v="5"/>
    <s v="PASSED"/>
  </r>
  <r>
    <s v="OTHERS"/>
    <x v="1"/>
    <x v="1"/>
    <x v="16"/>
    <s v="N"/>
    <x v="13"/>
    <n v="14"/>
    <n v="58"/>
    <n v="58"/>
    <n v="0"/>
    <n v="10"/>
    <n v="5"/>
    <s v="PASSED"/>
  </r>
  <r>
    <s v="OTHERS"/>
    <x v="1"/>
    <x v="1"/>
    <x v="0"/>
    <s v="Y"/>
    <x v="14"/>
    <n v="15"/>
    <n v="200958"/>
    <n v="200958"/>
    <n v="0"/>
    <n v="10"/>
    <n v="5"/>
    <s v="PASSED"/>
  </r>
  <r>
    <s v="OTHERS"/>
    <x v="1"/>
    <x v="1"/>
    <x v="1"/>
    <s v="Y"/>
    <x v="14"/>
    <n v="15"/>
    <n v="214084"/>
    <n v="214084"/>
    <n v="0"/>
    <n v="10"/>
    <n v="5"/>
    <s v="PASSED"/>
  </r>
  <r>
    <s v="OTHERS"/>
    <x v="1"/>
    <x v="1"/>
    <x v="2"/>
    <s v="Y"/>
    <x v="14"/>
    <n v="15"/>
    <n v="152481"/>
    <n v="152481"/>
    <n v="0"/>
    <n v="10"/>
    <n v="5"/>
    <s v="PASSED"/>
  </r>
  <r>
    <s v="OTHERS"/>
    <x v="1"/>
    <x v="1"/>
    <x v="3"/>
    <s v="Y"/>
    <x v="14"/>
    <n v="15"/>
    <n v="209278"/>
    <n v="209278"/>
    <n v="0"/>
    <n v="10"/>
    <n v="5"/>
    <s v="PASSED"/>
  </r>
  <r>
    <s v="OTHERS"/>
    <x v="1"/>
    <x v="1"/>
    <x v="4"/>
    <s v="Y"/>
    <x v="14"/>
    <n v="15"/>
    <n v="192806"/>
    <n v="192806"/>
    <n v="0"/>
    <n v="10"/>
    <n v="5"/>
    <s v="PASSED"/>
  </r>
  <r>
    <s v="OTHERS"/>
    <x v="1"/>
    <x v="1"/>
    <x v="5"/>
    <s v="Y"/>
    <x v="14"/>
    <n v="15"/>
    <n v="131425"/>
    <n v="131425"/>
    <n v="0"/>
    <n v="10"/>
    <n v="5"/>
    <s v="PASSED"/>
  </r>
  <r>
    <s v="OTHERS"/>
    <x v="1"/>
    <x v="1"/>
    <x v="6"/>
    <s v="Y"/>
    <x v="14"/>
    <n v="15"/>
    <n v="155137"/>
    <n v="155137"/>
    <n v="0"/>
    <n v="10"/>
    <n v="5"/>
    <s v="PASSED"/>
  </r>
  <r>
    <s v="OTHERS"/>
    <x v="1"/>
    <x v="1"/>
    <x v="7"/>
    <s v="Y"/>
    <x v="14"/>
    <n v="15"/>
    <n v="193876"/>
    <n v="193876"/>
    <n v="0"/>
    <n v="10"/>
    <n v="5"/>
    <s v="PASSED"/>
  </r>
  <r>
    <s v="OTHERS"/>
    <x v="1"/>
    <x v="1"/>
    <x v="8"/>
    <s v="Y"/>
    <x v="14"/>
    <n v="15"/>
    <n v="153485"/>
    <n v="153485"/>
    <n v="0"/>
    <n v="10"/>
    <n v="5"/>
    <s v="PASSED"/>
  </r>
  <r>
    <s v="OTHERS"/>
    <x v="1"/>
    <x v="1"/>
    <x v="9"/>
    <s v="Y"/>
    <x v="14"/>
    <n v="15"/>
    <n v="166028"/>
    <n v="166028"/>
    <n v="0"/>
    <n v="10"/>
    <n v="5"/>
    <s v="PASSED"/>
  </r>
  <r>
    <s v="OTHERS"/>
    <x v="1"/>
    <x v="1"/>
    <x v="10"/>
    <s v="Y"/>
    <x v="14"/>
    <n v="15"/>
    <n v="206680"/>
    <n v="206680"/>
    <n v="0"/>
    <n v="10"/>
    <n v="5"/>
    <s v="PASSED"/>
  </r>
  <r>
    <s v="OTHERS"/>
    <x v="1"/>
    <x v="1"/>
    <x v="11"/>
    <s v="Y"/>
    <x v="14"/>
    <n v="15"/>
    <n v="156648"/>
    <n v="156648"/>
    <n v="0"/>
    <n v="10"/>
    <n v="5"/>
    <s v="PASSED"/>
  </r>
  <r>
    <s v="OTHERS"/>
    <x v="1"/>
    <x v="1"/>
    <x v="12"/>
    <s v="N"/>
    <x v="14"/>
    <n v="15"/>
    <n v="195963"/>
    <n v="195963"/>
    <n v="0"/>
    <n v="10"/>
    <n v="5"/>
    <s v="PASSED"/>
  </r>
  <r>
    <s v="OTHERS"/>
    <x v="1"/>
    <x v="1"/>
    <x v="13"/>
    <s v="N"/>
    <x v="14"/>
    <n v="15"/>
    <n v="163182"/>
    <n v="163182"/>
    <n v="0"/>
    <n v="10"/>
    <n v="5"/>
    <s v="PASSED"/>
  </r>
  <r>
    <s v="OTHERS"/>
    <x v="1"/>
    <x v="1"/>
    <x v="14"/>
    <s v="N"/>
    <x v="14"/>
    <n v="15"/>
    <n v="177889"/>
    <n v="177889"/>
    <n v="0"/>
    <n v="10"/>
    <n v="5"/>
    <s v="PASSED"/>
  </r>
  <r>
    <s v="OTHERS"/>
    <x v="1"/>
    <x v="1"/>
    <x v="15"/>
    <s v="N"/>
    <x v="14"/>
    <n v="15"/>
    <n v="146351"/>
    <n v="146351"/>
    <n v="0"/>
    <n v="10"/>
    <n v="5"/>
    <s v="PASSED"/>
  </r>
  <r>
    <s v="OTHERS"/>
    <x v="1"/>
    <x v="1"/>
    <x v="16"/>
    <s v="N"/>
    <x v="14"/>
    <n v="15"/>
    <n v="202904"/>
    <n v="202904"/>
    <n v="0"/>
    <n v="10"/>
    <n v="5"/>
    <s v="PASSED"/>
  </r>
  <r>
    <s v="OTHERS"/>
    <x v="1"/>
    <x v="1"/>
    <x v="0"/>
    <s v="Y"/>
    <x v="15"/>
    <n v="16"/>
    <n v="0.84"/>
    <n v="0.84"/>
    <n v="0"/>
    <n v="10"/>
    <n v="5"/>
    <s v="PASSED"/>
  </r>
  <r>
    <s v="OTHERS"/>
    <x v="1"/>
    <x v="1"/>
    <x v="1"/>
    <s v="Y"/>
    <x v="15"/>
    <n v="16"/>
    <n v="0.86"/>
    <n v="0.86"/>
    <n v="0"/>
    <n v="10"/>
    <n v="5"/>
    <s v="PASSED"/>
  </r>
  <r>
    <s v="OTHERS"/>
    <x v="1"/>
    <x v="1"/>
    <x v="2"/>
    <s v="Y"/>
    <x v="15"/>
    <n v="16"/>
    <n v="0.86"/>
    <n v="0.86"/>
    <n v="0"/>
    <n v="10"/>
    <n v="5"/>
    <s v="PASSED"/>
  </r>
  <r>
    <s v="OTHERS"/>
    <x v="1"/>
    <x v="1"/>
    <x v="3"/>
    <s v="Y"/>
    <x v="15"/>
    <n v="16"/>
    <n v="0.84"/>
    <n v="0.84"/>
    <n v="0"/>
    <n v="10"/>
    <n v="5"/>
    <s v="PASSED"/>
  </r>
  <r>
    <s v="OTHERS"/>
    <x v="1"/>
    <x v="1"/>
    <x v="4"/>
    <s v="Y"/>
    <x v="15"/>
    <n v="16"/>
    <n v="0.87"/>
    <n v="0.87"/>
    <n v="0"/>
    <n v="10"/>
    <n v="5"/>
    <s v="PASSED"/>
  </r>
  <r>
    <s v="OTHERS"/>
    <x v="1"/>
    <x v="1"/>
    <x v="5"/>
    <s v="Y"/>
    <x v="15"/>
    <n v="16"/>
    <n v="0.88"/>
    <n v="0.88"/>
    <n v="0"/>
    <n v="10"/>
    <n v="5"/>
    <s v="PASSED"/>
  </r>
  <r>
    <s v="OTHERS"/>
    <x v="1"/>
    <x v="1"/>
    <x v="6"/>
    <s v="Y"/>
    <x v="15"/>
    <n v="16"/>
    <n v="0.87"/>
    <n v="0.87"/>
    <n v="0"/>
    <n v="10"/>
    <n v="5"/>
    <s v="PASSED"/>
  </r>
  <r>
    <s v="OTHERS"/>
    <x v="1"/>
    <x v="1"/>
    <x v="7"/>
    <s v="Y"/>
    <x v="15"/>
    <n v="16"/>
    <n v="0.84"/>
    <n v="0.84"/>
    <n v="0"/>
    <n v="10"/>
    <n v="5"/>
    <s v="PASSED"/>
  </r>
  <r>
    <s v="OTHERS"/>
    <x v="1"/>
    <x v="1"/>
    <x v="8"/>
    <s v="Y"/>
    <x v="15"/>
    <n v="16"/>
    <n v="0.86"/>
    <n v="0.86"/>
    <n v="0"/>
    <n v="10"/>
    <n v="5"/>
    <s v="PASSED"/>
  </r>
  <r>
    <s v="OTHERS"/>
    <x v="1"/>
    <x v="1"/>
    <x v="9"/>
    <s v="Y"/>
    <x v="15"/>
    <n v="16"/>
    <n v="0.85"/>
    <n v="0.85"/>
    <n v="0"/>
    <n v="10"/>
    <n v="5"/>
    <s v="PASSED"/>
  </r>
  <r>
    <s v="OTHERS"/>
    <x v="1"/>
    <x v="1"/>
    <x v="10"/>
    <s v="Y"/>
    <x v="15"/>
    <n v="16"/>
    <n v="0.85"/>
    <n v="0.85"/>
    <n v="0"/>
    <n v="10"/>
    <n v="5"/>
    <s v="PASSED"/>
  </r>
  <r>
    <s v="OTHERS"/>
    <x v="1"/>
    <x v="1"/>
    <x v="11"/>
    <s v="Y"/>
    <x v="15"/>
    <n v="16"/>
    <n v="0.86"/>
    <n v="0.86"/>
    <n v="0"/>
    <n v="10"/>
    <n v="5"/>
    <s v="PASSED"/>
  </r>
  <r>
    <s v="OTHERS"/>
    <x v="1"/>
    <x v="1"/>
    <x v="12"/>
    <s v="N"/>
    <x v="15"/>
    <n v="16"/>
    <n v="0.85"/>
    <n v="0.85"/>
    <n v="0"/>
    <n v="10"/>
    <n v="5"/>
    <s v="PASSED"/>
  </r>
  <r>
    <s v="OTHERS"/>
    <x v="1"/>
    <x v="1"/>
    <x v="13"/>
    <s v="N"/>
    <x v="15"/>
    <n v="16"/>
    <n v="0.86"/>
    <n v="0.86"/>
    <n v="0"/>
    <n v="10"/>
    <n v="5"/>
    <s v="PASSED"/>
  </r>
  <r>
    <s v="OTHERS"/>
    <x v="1"/>
    <x v="1"/>
    <x v="14"/>
    <s v="N"/>
    <x v="15"/>
    <n v="16"/>
    <n v="0.86"/>
    <n v="0.86"/>
    <n v="0"/>
    <n v="10"/>
    <n v="5"/>
    <s v="PASSED"/>
  </r>
  <r>
    <s v="OTHERS"/>
    <x v="1"/>
    <x v="1"/>
    <x v="15"/>
    <s v="N"/>
    <x v="15"/>
    <n v="16"/>
    <n v="0.86"/>
    <n v="0.86"/>
    <n v="0"/>
    <n v="10"/>
    <n v="5"/>
    <s v="PASSED"/>
  </r>
  <r>
    <s v="OTHERS"/>
    <x v="1"/>
    <x v="1"/>
    <x v="16"/>
    <s v="N"/>
    <x v="15"/>
    <n v="16"/>
    <n v="0.87"/>
    <n v="0.87"/>
    <n v="0"/>
    <n v="10"/>
    <n v="5"/>
    <s v="PASSED"/>
  </r>
  <r>
    <s v="OTHERS"/>
    <x v="1"/>
    <x v="1"/>
    <x v="0"/>
    <s v="Y"/>
    <x v="16"/>
    <n v="17"/>
    <n v="809889"/>
    <n v="809889"/>
    <n v="0"/>
    <n v="10"/>
    <n v="5"/>
    <s v="PASSED"/>
  </r>
  <r>
    <s v="OTHERS"/>
    <x v="1"/>
    <x v="1"/>
    <x v="1"/>
    <s v="Y"/>
    <x v="16"/>
    <n v="17"/>
    <n v="940049"/>
    <n v="940049"/>
    <n v="0"/>
    <n v="10"/>
    <n v="5"/>
    <s v="PASSED"/>
  </r>
  <r>
    <s v="OTHERS"/>
    <x v="1"/>
    <x v="1"/>
    <x v="2"/>
    <s v="Y"/>
    <x v="16"/>
    <n v="17"/>
    <n v="782980"/>
    <n v="782980"/>
    <n v="0"/>
    <n v="10"/>
    <n v="5"/>
    <s v="PASSED"/>
  </r>
  <r>
    <s v="OTHERS"/>
    <x v="1"/>
    <x v="1"/>
    <x v="3"/>
    <s v="Y"/>
    <x v="16"/>
    <n v="17"/>
    <n v="1697443"/>
    <n v="1697443"/>
    <n v="0"/>
    <n v="10"/>
    <n v="5"/>
    <s v="PASSED"/>
  </r>
  <r>
    <s v="OTHERS"/>
    <x v="1"/>
    <x v="1"/>
    <x v="4"/>
    <s v="Y"/>
    <x v="16"/>
    <n v="17"/>
    <n v="846383"/>
    <n v="846383"/>
    <n v="0"/>
    <n v="10"/>
    <n v="5"/>
    <s v="PASSED"/>
  </r>
  <r>
    <s v="OTHERS"/>
    <x v="1"/>
    <x v="1"/>
    <x v="5"/>
    <s v="Y"/>
    <x v="16"/>
    <n v="17"/>
    <n v="741517"/>
    <n v="741517"/>
    <n v="0"/>
    <n v="10"/>
    <n v="5"/>
    <s v="PASSED"/>
  </r>
  <r>
    <s v="OTHERS"/>
    <x v="1"/>
    <x v="1"/>
    <x v="6"/>
    <s v="Y"/>
    <x v="16"/>
    <n v="17"/>
    <n v="1009423"/>
    <n v="1009423"/>
    <n v="0"/>
    <n v="10"/>
    <n v="5"/>
    <s v="PASSED"/>
  </r>
  <r>
    <s v="OTHERS"/>
    <x v="1"/>
    <x v="1"/>
    <x v="7"/>
    <s v="Y"/>
    <x v="16"/>
    <n v="17"/>
    <n v="945843"/>
    <n v="945843"/>
    <n v="0"/>
    <n v="10"/>
    <n v="5"/>
    <s v="PASSED"/>
  </r>
  <r>
    <s v="OTHERS"/>
    <x v="1"/>
    <x v="1"/>
    <x v="8"/>
    <s v="Y"/>
    <x v="16"/>
    <n v="17"/>
    <n v="932966"/>
    <n v="932966"/>
    <n v="0"/>
    <n v="10"/>
    <n v="5"/>
    <s v="PASSED"/>
  </r>
  <r>
    <s v="OTHERS"/>
    <x v="1"/>
    <x v="1"/>
    <x v="9"/>
    <s v="Y"/>
    <x v="16"/>
    <n v="17"/>
    <n v="1160100"/>
    <n v="1160100"/>
    <n v="0"/>
    <n v="10"/>
    <n v="5"/>
    <s v="PASSED"/>
  </r>
  <r>
    <s v="OTHERS"/>
    <x v="1"/>
    <x v="1"/>
    <x v="10"/>
    <s v="Y"/>
    <x v="16"/>
    <n v="17"/>
    <n v="964825"/>
    <n v="964825"/>
    <n v="0"/>
    <n v="10"/>
    <n v="5"/>
    <s v="PASSED"/>
  </r>
  <r>
    <s v="OTHERS"/>
    <x v="1"/>
    <x v="1"/>
    <x v="11"/>
    <s v="Y"/>
    <x v="16"/>
    <n v="17"/>
    <n v="867785"/>
    <n v="867785"/>
    <n v="0"/>
    <n v="10"/>
    <n v="5"/>
    <s v="PASSED"/>
  </r>
  <r>
    <s v="OTHERS"/>
    <x v="1"/>
    <x v="1"/>
    <x v="12"/>
    <s v="N"/>
    <x v="16"/>
    <n v="17"/>
    <n v="873553"/>
    <n v="873553"/>
    <n v="0"/>
    <n v="10"/>
    <n v="5"/>
    <s v="PASSED"/>
  </r>
  <r>
    <s v="OTHERS"/>
    <x v="1"/>
    <x v="1"/>
    <x v="13"/>
    <s v="N"/>
    <x v="16"/>
    <n v="17"/>
    <n v="786222"/>
    <n v="786222"/>
    <n v="0"/>
    <n v="10"/>
    <n v="5"/>
    <s v="PASSED"/>
  </r>
  <r>
    <s v="OTHERS"/>
    <x v="1"/>
    <x v="1"/>
    <x v="14"/>
    <s v="N"/>
    <x v="16"/>
    <n v="17"/>
    <n v="735657"/>
    <n v="735657"/>
    <n v="0"/>
    <n v="10"/>
    <n v="5"/>
    <s v="PASSED"/>
  </r>
  <r>
    <s v="OTHERS"/>
    <x v="1"/>
    <x v="1"/>
    <x v="15"/>
    <s v="N"/>
    <x v="16"/>
    <n v="17"/>
    <n v="681562"/>
    <n v="681562"/>
    <n v="0"/>
    <n v="10"/>
    <n v="5"/>
    <s v="PASSED"/>
  </r>
  <r>
    <s v="OTHERS"/>
    <x v="1"/>
    <x v="1"/>
    <x v="16"/>
    <s v="N"/>
    <x v="16"/>
    <n v="17"/>
    <n v="359847"/>
    <n v="359847"/>
    <n v="0"/>
    <n v="10"/>
    <n v="5"/>
    <s v="PASSED"/>
  </r>
  <r>
    <s v="OTHERS"/>
    <x v="1"/>
    <x v="1"/>
    <x v="0"/>
    <s v="Y"/>
    <x v="17"/>
    <n v="18"/>
    <n v="286.16000000000003"/>
    <n v="286.16000000000003"/>
    <n v="0"/>
    <n v="10"/>
    <n v="5"/>
    <s v="PASSED"/>
  </r>
  <r>
    <s v="OTHERS"/>
    <x v="1"/>
    <x v="1"/>
    <x v="1"/>
    <s v="Y"/>
    <x v="17"/>
    <n v="18"/>
    <n v="285.82"/>
    <n v="285.82"/>
    <n v="0"/>
    <n v="10"/>
    <n v="5"/>
    <s v="PASSED"/>
  </r>
  <r>
    <s v="OTHERS"/>
    <x v="1"/>
    <x v="1"/>
    <x v="2"/>
    <s v="Y"/>
    <x v="17"/>
    <n v="18"/>
    <n v="284.14999999999998"/>
    <n v="284.14999999999998"/>
    <n v="0"/>
    <n v="10"/>
    <n v="5"/>
    <s v="PASSED"/>
  </r>
  <r>
    <s v="OTHERS"/>
    <x v="1"/>
    <x v="1"/>
    <x v="3"/>
    <s v="Y"/>
    <x v="17"/>
    <n v="18"/>
    <n v="283.2"/>
    <n v="283.2"/>
    <n v="0"/>
    <n v="10"/>
    <n v="5"/>
    <s v="PASSED"/>
  </r>
  <r>
    <s v="OTHERS"/>
    <x v="1"/>
    <x v="1"/>
    <x v="4"/>
    <s v="Y"/>
    <x v="17"/>
    <n v="18"/>
    <n v="283.82"/>
    <n v="283.82"/>
    <n v="0"/>
    <n v="10"/>
    <n v="5"/>
    <s v="PASSED"/>
  </r>
  <r>
    <s v="OTHERS"/>
    <x v="1"/>
    <x v="1"/>
    <x v="5"/>
    <s v="Y"/>
    <x v="17"/>
    <n v="18"/>
    <n v="279.98"/>
    <n v="279.98"/>
    <n v="0"/>
    <n v="10"/>
    <n v="5"/>
    <s v="PASSED"/>
  </r>
  <r>
    <s v="OTHERS"/>
    <x v="1"/>
    <x v="1"/>
    <x v="6"/>
    <s v="Y"/>
    <x v="17"/>
    <n v="18"/>
    <n v="278.14"/>
    <n v="278.14"/>
    <n v="0"/>
    <n v="10"/>
    <n v="5"/>
    <s v="PASSED"/>
  </r>
  <r>
    <s v="OTHERS"/>
    <x v="1"/>
    <x v="1"/>
    <x v="7"/>
    <s v="Y"/>
    <x v="17"/>
    <n v="18"/>
    <n v="275.11"/>
    <n v="275.11"/>
    <n v="0"/>
    <n v="10"/>
    <n v="5"/>
    <s v="PASSED"/>
  </r>
  <r>
    <s v="OTHERS"/>
    <x v="1"/>
    <x v="1"/>
    <x v="8"/>
    <s v="Y"/>
    <x v="17"/>
    <n v="18"/>
    <n v="276.25"/>
    <n v="276.25"/>
    <n v="0"/>
    <n v="10"/>
    <n v="5"/>
    <s v="PASSED"/>
  </r>
  <r>
    <s v="OTHERS"/>
    <x v="1"/>
    <x v="1"/>
    <x v="9"/>
    <s v="Y"/>
    <x v="17"/>
    <n v="18"/>
    <n v="274.83999999999997"/>
    <n v="274.83999999999997"/>
    <n v="0"/>
    <n v="10"/>
    <n v="5"/>
    <s v="PASSED"/>
  </r>
  <r>
    <s v="OTHERS"/>
    <x v="1"/>
    <x v="1"/>
    <x v="10"/>
    <s v="Y"/>
    <x v="17"/>
    <n v="18"/>
    <n v="274.92"/>
    <n v="274.92"/>
    <n v="0"/>
    <n v="10"/>
    <n v="5"/>
    <s v="PASSED"/>
  </r>
  <r>
    <s v="OTHERS"/>
    <x v="1"/>
    <x v="1"/>
    <x v="11"/>
    <s v="Y"/>
    <x v="17"/>
    <n v="18"/>
    <n v="276.12"/>
    <n v="276.12"/>
    <n v="0"/>
    <n v="10"/>
    <n v="5"/>
    <s v="PASSED"/>
  </r>
  <r>
    <s v="OTHERS"/>
    <x v="1"/>
    <x v="1"/>
    <x v="12"/>
    <s v="N"/>
    <x v="17"/>
    <n v="18"/>
    <n v="273.47000000000003"/>
    <n v="273.47000000000003"/>
    <n v="0"/>
    <n v="10"/>
    <n v="5"/>
    <s v="PASSED"/>
  </r>
  <r>
    <s v="OTHERS"/>
    <x v="1"/>
    <x v="1"/>
    <x v="13"/>
    <s v="N"/>
    <x v="17"/>
    <n v="18"/>
    <n v="273.14999999999998"/>
    <n v="273.14999999999998"/>
    <n v="0"/>
    <n v="10"/>
    <n v="5"/>
    <s v="PASSED"/>
  </r>
  <r>
    <s v="OTHERS"/>
    <x v="1"/>
    <x v="1"/>
    <x v="14"/>
    <s v="N"/>
    <x v="17"/>
    <n v="18"/>
    <n v="274.5"/>
    <n v="274.5"/>
    <n v="0"/>
    <n v="10"/>
    <n v="5"/>
    <s v="PASSED"/>
  </r>
  <r>
    <s v="OTHERS"/>
    <x v="1"/>
    <x v="1"/>
    <x v="15"/>
    <s v="N"/>
    <x v="17"/>
    <n v="18"/>
    <n v="271.43"/>
    <n v="271.43"/>
    <n v="0"/>
    <n v="10"/>
    <n v="5"/>
    <s v="PASSED"/>
  </r>
  <r>
    <s v="OTHERS"/>
    <x v="1"/>
    <x v="1"/>
    <x v="16"/>
    <s v="N"/>
    <x v="17"/>
    <n v="18"/>
    <n v="266.7"/>
    <n v="266.7"/>
    <n v="0"/>
    <n v="10"/>
    <n v="5"/>
    <s v="PASSED"/>
  </r>
  <r>
    <s v="OTHERS"/>
    <x v="1"/>
    <x v="1"/>
    <x v="0"/>
    <s v="Y"/>
    <x v="18"/>
    <n v="19"/>
    <n v="293"/>
    <n v="293"/>
    <n v="0"/>
    <n v="10"/>
    <n v="5"/>
    <s v="PASSED"/>
  </r>
  <r>
    <s v="OTHERS"/>
    <x v="1"/>
    <x v="1"/>
    <x v="1"/>
    <s v="Y"/>
    <x v="18"/>
    <n v="19"/>
    <n v="258"/>
    <n v="258"/>
    <n v="0"/>
    <n v="10"/>
    <n v="5"/>
    <s v="PASSED"/>
  </r>
  <r>
    <s v="OTHERS"/>
    <x v="1"/>
    <x v="1"/>
    <x v="2"/>
    <s v="Y"/>
    <x v="18"/>
    <n v="19"/>
    <n v="348"/>
    <n v="348"/>
    <n v="0"/>
    <n v="10"/>
    <n v="5"/>
    <s v="PASSED"/>
  </r>
  <r>
    <s v="OTHERS"/>
    <x v="1"/>
    <x v="1"/>
    <x v="3"/>
    <s v="Y"/>
    <x v="18"/>
    <n v="19"/>
    <n v="317"/>
    <n v="317"/>
    <n v="0"/>
    <n v="10"/>
    <n v="5"/>
    <s v="PASSED"/>
  </r>
  <r>
    <s v="OTHERS"/>
    <x v="1"/>
    <x v="1"/>
    <x v="4"/>
    <s v="Y"/>
    <x v="18"/>
    <n v="19"/>
    <n v="301"/>
    <n v="301"/>
    <n v="0"/>
    <n v="10"/>
    <n v="5"/>
    <s v="PASSED"/>
  </r>
  <r>
    <s v="OTHERS"/>
    <x v="1"/>
    <x v="1"/>
    <x v="5"/>
    <s v="Y"/>
    <x v="18"/>
    <n v="19"/>
    <n v="109"/>
    <n v="109"/>
    <n v="0"/>
    <n v="10"/>
    <n v="5"/>
    <s v="PASSED"/>
  </r>
  <r>
    <s v="OTHERS"/>
    <x v="1"/>
    <x v="1"/>
    <x v="6"/>
    <s v="Y"/>
    <x v="18"/>
    <n v="19"/>
    <n v="214"/>
    <n v="214"/>
    <n v="0"/>
    <n v="10"/>
    <n v="5"/>
    <s v="PASSED"/>
  </r>
  <r>
    <s v="OTHERS"/>
    <x v="1"/>
    <x v="1"/>
    <x v="7"/>
    <s v="Y"/>
    <x v="18"/>
    <n v="19"/>
    <n v="160"/>
    <n v="160"/>
    <n v="0"/>
    <n v="10"/>
    <n v="5"/>
    <s v="PASSED"/>
  </r>
  <r>
    <s v="OTHERS"/>
    <x v="1"/>
    <x v="1"/>
    <x v="8"/>
    <s v="Y"/>
    <x v="18"/>
    <n v="19"/>
    <n v="253"/>
    <n v="253"/>
    <n v="0"/>
    <n v="10"/>
    <n v="5"/>
    <s v="PASSED"/>
  </r>
  <r>
    <s v="OTHERS"/>
    <x v="1"/>
    <x v="1"/>
    <x v="9"/>
    <s v="Y"/>
    <x v="18"/>
    <n v="19"/>
    <n v="237"/>
    <n v="237"/>
    <n v="0"/>
    <n v="10"/>
    <n v="5"/>
    <s v="PASSED"/>
  </r>
  <r>
    <s v="OTHERS"/>
    <x v="1"/>
    <x v="1"/>
    <x v="10"/>
    <s v="Y"/>
    <x v="18"/>
    <n v="19"/>
    <n v="299"/>
    <n v="299"/>
    <n v="0"/>
    <n v="10"/>
    <n v="5"/>
    <s v="PASSED"/>
  </r>
  <r>
    <s v="OTHERS"/>
    <x v="1"/>
    <x v="1"/>
    <x v="11"/>
    <s v="Y"/>
    <x v="18"/>
    <n v="19"/>
    <n v="149"/>
    <n v="149"/>
    <n v="0"/>
    <n v="10"/>
    <n v="5"/>
    <s v="PASSED"/>
  </r>
  <r>
    <s v="OTHERS"/>
    <x v="1"/>
    <x v="1"/>
    <x v="12"/>
    <s v="N"/>
    <x v="18"/>
    <n v="19"/>
    <n v="202"/>
    <n v="202"/>
    <n v="0"/>
    <n v="10"/>
    <n v="5"/>
    <s v="PASSED"/>
  </r>
  <r>
    <s v="OTHERS"/>
    <x v="1"/>
    <x v="1"/>
    <x v="13"/>
    <s v="N"/>
    <x v="18"/>
    <n v="19"/>
    <n v="126"/>
    <n v="126"/>
    <n v="0"/>
    <n v="10"/>
    <n v="5"/>
    <s v="PASSED"/>
  </r>
  <r>
    <s v="OTHERS"/>
    <x v="1"/>
    <x v="1"/>
    <x v="14"/>
    <s v="N"/>
    <x v="18"/>
    <n v="19"/>
    <n v="161"/>
    <n v="161"/>
    <n v="0"/>
    <n v="10"/>
    <n v="5"/>
    <s v="PASSED"/>
  </r>
  <r>
    <s v="OTHERS"/>
    <x v="1"/>
    <x v="1"/>
    <x v="15"/>
    <s v="N"/>
    <x v="18"/>
    <n v="19"/>
    <n v="118"/>
    <n v="118"/>
    <n v="0"/>
    <n v="10"/>
    <n v="5"/>
    <s v="PASSED"/>
  </r>
  <r>
    <s v="OTHERS"/>
    <x v="1"/>
    <x v="1"/>
    <x v="16"/>
    <s v="N"/>
    <x v="18"/>
    <n v="19"/>
    <n v="50"/>
    <n v="50"/>
    <n v="0"/>
    <n v="10"/>
    <n v="5"/>
    <s v="PASSED"/>
  </r>
  <r>
    <s v="OTHERS"/>
    <x v="1"/>
    <x v="1"/>
    <x v="0"/>
    <s v="Y"/>
    <x v="19"/>
    <n v="20"/>
    <n v="2961"/>
    <n v="2961"/>
    <n v="0"/>
    <n v="10"/>
    <n v="5"/>
    <s v="PASSED"/>
  </r>
  <r>
    <s v="OTHERS"/>
    <x v="1"/>
    <x v="1"/>
    <x v="1"/>
    <s v="Y"/>
    <x v="19"/>
    <n v="20"/>
    <n v="2645"/>
    <n v="2645"/>
    <n v="0"/>
    <n v="10"/>
    <n v="5"/>
    <s v="PASSED"/>
  </r>
  <r>
    <s v="OTHERS"/>
    <x v="1"/>
    <x v="1"/>
    <x v="2"/>
    <s v="Y"/>
    <x v="19"/>
    <n v="20"/>
    <n v="2612"/>
    <n v="2612"/>
    <n v="0"/>
    <n v="10"/>
    <n v="5"/>
    <s v="PASSED"/>
  </r>
  <r>
    <s v="OTHERS"/>
    <x v="1"/>
    <x v="1"/>
    <x v="3"/>
    <s v="Y"/>
    <x v="19"/>
    <n v="20"/>
    <n v="2559"/>
    <n v="2559"/>
    <n v="0"/>
    <n v="10"/>
    <n v="5"/>
    <s v="PASSED"/>
  </r>
  <r>
    <s v="OTHERS"/>
    <x v="1"/>
    <x v="1"/>
    <x v="4"/>
    <s v="Y"/>
    <x v="19"/>
    <n v="20"/>
    <n v="2215"/>
    <n v="2215"/>
    <n v="0"/>
    <n v="10"/>
    <n v="5"/>
    <s v="PASSED"/>
  </r>
  <r>
    <s v="OTHERS"/>
    <x v="1"/>
    <x v="1"/>
    <x v="5"/>
    <s v="Y"/>
    <x v="19"/>
    <n v="20"/>
    <n v="2573"/>
    <n v="2573"/>
    <n v="0"/>
    <n v="10"/>
    <n v="5"/>
    <s v="PASSED"/>
  </r>
  <r>
    <s v="OTHERS"/>
    <x v="1"/>
    <x v="1"/>
    <x v="6"/>
    <s v="Y"/>
    <x v="19"/>
    <n v="20"/>
    <n v="2520"/>
    <n v="2520"/>
    <n v="0"/>
    <n v="10"/>
    <n v="5"/>
    <s v="PASSED"/>
  </r>
  <r>
    <s v="OTHERS"/>
    <x v="1"/>
    <x v="1"/>
    <x v="7"/>
    <s v="Y"/>
    <x v="19"/>
    <n v="20"/>
    <n v="2552"/>
    <n v="2552"/>
    <n v="0"/>
    <n v="10"/>
    <n v="5"/>
    <s v="PASSED"/>
  </r>
  <r>
    <s v="OTHERS"/>
    <x v="1"/>
    <x v="1"/>
    <x v="8"/>
    <s v="Y"/>
    <x v="19"/>
    <n v="20"/>
    <n v="2625"/>
    <n v="2625"/>
    <n v="0"/>
    <n v="10"/>
    <n v="5"/>
    <s v="PASSED"/>
  </r>
  <r>
    <s v="OTHERS"/>
    <x v="1"/>
    <x v="1"/>
    <x v="9"/>
    <s v="Y"/>
    <x v="19"/>
    <n v="20"/>
    <n v="2445"/>
    <n v="2445"/>
    <n v="0"/>
    <n v="10"/>
    <n v="5"/>
    <s v="PASSED"/>
  </r>
  <r>
    <s v="OTHERS"/>
    <x v="1"/>
    <x v="1"/>
    <x v="10"/>
    <s v="Y"/>
    <x v="19"/>
    <n v="20"/>
    <n v="2514"/>
    <n v="2514"/>
    <n v="0"/>
    <n v="10"/>
    <n v="5"/>
    <s v="PASSED"/>
  </r>
  <r>
    <s v="OTHERS"/>
    <x v="1"/>
    <x v="1"/>
    <x v="11"/>
    <s v="Y"/>
    <x v="19"/>
    <n v="20"/>
    <n v="2475"/>
    <n v="2475"/>
    <n v="0"/>
    <n v="10"/>
    <n v="5"/>
    <s v="PASSED"/>
  </r>
  <r>
    <s v="OTHERS"/>
    <x v="1"/>
    <x v="1"/>
    <x v="12"/>
    <s v="N"/>
    <x v="19"/>
    <n v="20"/>
    <n v="2498"/>
    <n v="2498"/>
    <n v="0"/>
    <n v="10"/>
    <n v="5"/>
    <s v="PASSED"/>
  </r>
  <r>
    <s v="OTHERS"/>
    <x v="1"/>
    <x v="1"/>
    <x v="13"/>
    <s v="N"/>
    <x v="19"/>
    <n v="20"/>
    <n v="2614"/>
    <n v="2614"/>
    <n v="0"/>
    <n v="10"/>
    <n v="5"/>
    <s v="PASSED"/>
  </r>
  <r>
    <s v="OTHERS"/>
    <x v="1"/>
    <x v="1"/>
    <x v="14"/>
    <s v="N"/>
    <x v="19"/>
    <n v="20"/>
    <n v="2502"/>
    <n v="2502"/>
    <n v="0"/>
    <n v="10"/>
    <n v="5"/>
    <s v="PASSED"/>
  </r>
  <r>
    <s v="OTHERS"/>
    <x v="1"/>
    <x v="1"/>
    <x v="15"/>
    <s v="N"/>
    <x v="19"/>
    <n v="20"/>
    <n v="1981"/>
    <n v="1981"/>
    <n v="0"/>
    <n v="10"/>
    <n v="5"/>
    <s v="PASSED"/>
  </r>
  <r>
    <s v="OTHERS"/>
    <x v="1"/>
    <x v="1"/>
    <x v="16"/>
    <s v="N"/>
    <x v="19"/>
    <n v="20"/>
    <n v="767"/>
    <n v="767"/>
    <n v="0"/>
    <n v="10"/>
    <n v="5"/>
    <s v="PASSED"/>
  </r>
  <r>
    <s v="OTHERS"/>
    <x v="1"/>
    <x v="1"/>
    <x v="0"/>
    <s v="Y"/>
    <x v="20"/>
    <n v="21"/>
    <n v="3520"/>
    <n v="3520"/>
    <n v="0"/>
    <n v="10"/>
    <n v="5"/>
    <s v="PASSED"/>
  </r>
  <r>
    <s v="OTHERS"/>
    <x v="1"/>
    <x v="1"/>
    <x v="1"/>
    <s v="Y"/>
    <x v="20"/>
    <n v="21"/>
    <n v="3540"/>
    <n v="3540"/>
    <n v="0"/>
    <n v="10"/>
    <n v="5"/>
    <s v="PASSED"/>
  </r>
  <r>
    <s v="OTHERS"/>
    <x v="1"/>
    <x v="1"/>
    <x v="2"/>
    <s v="Y"/>
    <x v="20"/>
    <n v="21"/>
    <n v="3732"/>
    <n v="3732"/>
    <n v="0"/>
    <n v="10"/>
    <n v="5"/>
    <s v="PASSED"/>
  </r>
  <r>
    <s v="OTHERS"/>
    <x v="1"/>
    <x v="1"/>
    <x v="3"/>
    <s v="Y"/>
    <x v="20"/>
    <n v="21"/>
    <n v="3209"/>
    <n v="3209"/>
    <n v="0"/>
    <n v="10"/>
    <n v="5"/>
    <s v="PASSED"/>
  </r>
  <r>
    <s v="OTHERS"/>
    <x v="1"/>
    <x v="1"/>
    <x v="4"/>
    <s v="Y"/>
    <x v="20"/>
    <n v="21"/>
    <n v="3306"/>
    <n v="3306"/>
    <n v="0"/>
    <n v="10"/>
    <n v="5"/>
    <s v="PASSED"/>
  </r>
  <r>
    <s v="OTHERS"/>
    <x v="1"/>
    <x v="1"/>
    <x v="5"/>
    <s v="Y"/>
    <x v="20"/>
    <n v="21"/>
    <n v="3098"/>
    <n v="3098"/>
    <n v="0"/>
    <n v="10"/>
    <n v="5"/>
    <s v="PASSED"/>
  </r>
  <r>
    <s v="OTHERS"/>
    <x v="1"/>
    <x v="1"/>
    <x v="6"/>
    <s v="Y"/>
    <x v="20"/>
    <n v="21"/>
    <n v="2825"/>
    <n v="2825"/>
    <n v="0"/>
    <n v="10"/>
    <n v="5"/>
    <s v="PASSED"/>
  </r>
  <r>
    <s v="OTHERS"/>
    <x v="1"/>
    <x v="1"/>
    <x v="7"/>
    <s v="Y"/>
    <x v="20"/>
    <n v="21"/>
    <n v="3625"/>
    <n v="3625"/>
    <n v="0"/>
    <n v="10"/>
    <n v="5"/>
    <s v="PASSED"/>
  </r>
  <r>
    <s v="OTHERS"/>
    <x v="1"/>
    <x v="1"/>
    <x v="8"/>
    <s v="Y"/>
    <x v="20"/>
    <n v="21"/>
    <n v="3629"/>
    <n v="3629"/>
    <n v="0"/>
    <n v="10"/>
    <n v="5"/>
    <s v="PASSED"/>
  </r>
  <r>
    <s v="OTHERS"/>
    <x v="1"/>
    <x v="1"/>
    <x v="9"/>
    <s v="Y"/>
    <x v="20"/>
    <n v="21"/>
    <n v="3293"/>
    <n v="3293"/>
    <n v="0"/>
    <n v="10"/>
    <n v="5"/>
    <s v="PASSED"/>
  </r>
  <r>
    <s v="OTHERS"/>
    <x v="1"/>
    <x v="1"/>
    <x v="10"/>
    <s v="Y"/>
    <x v="20"/>
    <n v="21"/>
    <n v="3748"/>
    <n v="3748"/>
    <n v="0"/>
    <n v="10"/>
    <n v="5"/>
    <s v="PASSED"/>
  </r>
  <r>
    <s v="OTHERS"/>
    <x v="1"/>
    <x v="1"/>
    <x v="11"/>
    <s v="Y"/>
    <x v="20"/>
    <n v="21"/>
    <n v="3013"/>
    <n v="3013"/>
    <n v="0"/>
    <n v="10"/>
    <n v="5"/>
    <s v="PASSED"/>
  </r>
  <r>
    <s v="OTHERS"/>
    <x v="1"/>
    <x v="1"/>
    <x v="12"/>
    <s v="N"/>
    <x v="20"/>
    <n v="21"/>
    <n v="3308"/>
    <n v="3308"/>
    <n v="0"/>
    <n v="10"/>
    <n v="5"/>
    <s v="PASSED"/>
  </r>
  <r>
    <s v="OTHERS"/>
    <x v="1"/>
    <x v="1"/>
    <x v="13"/>
    <s v="N"/>
    <x v="20"/>
    <n v="21"/>
    <n v="3055"/>
    <n v="3055"/>
    <n v="0"/>
    <n v="10"/>
    <n v="5"/>
    <s v="PASSED"/>
  </r>
  <r>
    <s v="OTHERS"/>
    <x v="1"/>
    <x v="1"/>
    <x v="14"/>
    <s v="N"/>
    <x v="20"/>
    <n v="21"/>
    <n v="3106"/>
    <n v="3106"/>
    <n v="0"/>
    <n v="10"/>
    <n v="5"/>
    <s v="PASSED"/>
  </r>
  <r>
    <s v="OTHERS"/>
    <x v="1"/>
    <x v="1"/>
    <x v="15"/>
    <s v="N"/>
    <x v="20"/>
    <n v="21"/>
    <n v="2388"/>
    <n v="2388"/>
    <n v="0"/>
    <n v="10"/>
    <n v="5"/>
    <s v="PASSED"/>
  </r>
  <r>
    <s v="OTHERS"/>
    <x v="1"/>
    <x v="1"/>
    <x v="16"/>
    <s v="N"/>
    <x v="20"/>
    <n v="21"/>
    <n v="1537"/>
    <n v="1537"/>
    <n v="0"/>
    <n v="10"/>
    <n v="5"/>
    <s v="PASSED"/>
  </r>
  <r>
    <s v="OTHERS"/>
    <x v="1"/>
    <x v="1"/>
    <x v="0"/>
    <s v="Y"/>
    <x v="21"/>
    <n v="22"/>
    <n v="209"/>
    <n v="209"/>
    <n v="0"/>
    <n v="10"/>
    <n v="5"/>
    <s v="PASSED"/>
  </r>
  <r>
    <s v="OTHERS"/>
    <x v="1"/>
    <x v="1"/>
    <x v="1"/>
    <s v="Y"/>
    <x v="21"/>
    <n v="22"/>
    <n v="239"/>
    <n v="239"/>
    <n v="0"/>
    <n v="10"/>
    <n v="5"/>
    <s v="PASSED"/>
  </r>
  <r>
    <s v="OTHERS"/>
    <x v="1"/>
    <x v="1"/>
    <x v="2"/>
    <s v="Y"/>
    <x v="21"/>
    <n v="22"/>
    <n v="285"/>
    <n v="285"/>
    <n v="0"/>
    <n v="10"/>
    <n v="5"/>
    <s v="PASSED"/>
  </r>
  <r>
    <s v="OTHERS"/>
    <x v="1"/>
    <x v="1"/>
    <x v="3"/>
    <s v="Y"/>
    <x v="21"/>
    <n v="22"/>
    <n v="310"/>
    <n v="310"/>
    <n v="0"/>
    <n v="10"/>
    <n v="5"/>
    <s v="PASSED"/>
  </r>
  <r>
    <s v="OTHERS"/>
    <x v="1"/>
    <x v="1"/>
    <x v="4"/>
    <s v="Y"/>
    <x v="21"/>
    <n v="22"/>
    <n v="295"/>
    <n v="295"/>
    <n v="0"/>
    <n v="10"/>
    <n v="5"/>
    <s v="PASSED"/>
  </r>
  <r>
    <s v="OTHERS"/>
    <x v="1"/>
    <x v="1"/>
    <x v="5"/>
    <s v="Y"/>
    <x v="21"/>
    <n v="22"/>
    <n v="236"/>
    <n v="236"/>
    <n v="0"/>
    <n v="10"/>
    <n v="5"/>
    <s v="PASSED"/>
  </r>
  <r>
    <s v="OTHERS"/>
    <x v="1"/>
    <x v="1"/>
    <x v="6"/>
    <s v="Y"/>
    <x v="21"/>
    <n v="22"/>
    <n v="270"/>
    <n v="270"/>
    <n v="0"/>
    <n v="10"/>
    <n v="5"/>
    <s v="PASSED"/>
  </r>
  <r>
    <s v="OTHERS"/>
    <x v="1"/>
    <x v="1"/>
    <x v="7"/>
    <s v="Y"/>
    <x v="21"/>
    <n v="22"/>
    <n v="222"/>
    <n v="222"/>
    <n v="0"/>
    <n v="10"/>
    <n v="5"/>
    <s v="PASSED"/>
  </r>
  <r>
    <s v="OTHERS"/>
    <x v="1"/>
    <x v="1"/>
    <x v="8"/>
    <s v="Y"/>
    <x v="21"/>
    <n v="22"/>
    <n v="210"/>
    <n v="210"/>
    <n v="0"/>
    <n v="10"/>
    <n v="5"/>
    <s v="PASSED"/>
  </r>
  <r>
    <s v="OTHERS"/>
    <x v="1"/>
    <x v="1"/>
    <x v="9"/>
    <s v="Y"/>
    <x v="21"/>
    <n v="22"/>
    <n v="236"/>
    <n v="236"/>
    <n v="0"/>
    <n v="10"/>
    <n v="5"/>
    <s v="PASSED"/>
  </r>
  <r>
    <s v="OTHERS"/>
    <x v="1"/>
    <x v="1"/>
    <x v="10"/>
    <s v="Y"/>
    <x v="21"/>
    <n v="22"/>
    <n v="206"/>
    <n v="206"/>
    <n v="0"/>
    <n v="10"/>
    <n v="5"/>
    <s v="PASSED"/>
  </r>
  <r>
    <s v="OTHERS"/>
    <x v="1"/>
    <x v="1"/>
    <x v="11"/>
    <s v="Y"/>
    <x v="21"/>
    <n v="22"/>
    <n v="340"/>
    <n v="340"/>
    <n v="0"/>
    <n v="10"/>
    <n v="5"/>
    <s v="PASSED"/>
  </r>
  <r>
    <s v="OTHERS"/>
    <x v="1"/>
    <x v="1"/>
    <x v="12"/>
    <s v="N"/>
    <x v="21"/>
    <n v="22"/>
    <n v="224"/>
    <n v="224"/>
    <n v="0"/>
    <n v="10"/>
    <n v="5"/>
    <s v="PASSED"/>
  </r>
  <r>
    <s v="OTHERS"/>
    <x v="1"/>
    <x v="1"/>
    <x v="13"/>
    <s v="N"/>
    <x v="21"/>
    <n v="22"/>
    <n v="188"/>
    <n v="188"/>
    <n v="0"/>
    <n v="10"/>
    <n v="5"/>
    <s v="PASSED"/>
  </r>
  <r>
    <s v="OTHERS"/>
    <x v="1"/>
    <x v="1"/>
    <x v="14"/>
    <s v="N"/>
    <x v="21"/>
    <n v="22"/>
    <n v="224"/>
    <n v="224"/>
    <n v="0"/>
    <n v="10"/>
    <n v="5"/>
    <s v="PASSED"/>
  </r>
  <r>
    <s v="OTHERS"/>
    <x v="1"/>
    <x v="1"/>
    <x v="15"/>
    <s v="N"/>
    <x v="21"/>
    <n v="22"/>
    <n v="214"/>
    <n v="214"/>
    <n v="0"/>
    <n v="10"/>
    <n v="5"/>
    <s v="PASSED"/>
  </r>
  <r>
    <s v="OTHERS"/>
    <x v="1"/>
    <x v="1"/>
    <x v="16"/>
    <s v="N"/>
    <x v="21"/>
    <n v="22"/>
    <n v="86"/>
    <n v="86"/>
    <n v="0"/>
    <n v="10"/>
    <n v="5"/>
    <s v="PASSED"/>
  </r>
  <r>
    <s v="OTHERS"/>
    <x v="1"/>
    <x v="1"/>
    <x v="0"/>
    <s v="Y"/>
    <x v="22"/>
    <n v="23"/>
    <n v="2588"/>
    <n v="2588"/>
    <n v="0"/>
    <n v="10"/>
    <n v="5"/>
    <s v="PASSED"/>
  </r>
  <r>
    <s v="OTHERS"/>
    <x v="1"/>
    <x v="1"/>
    <x v="1"/>
    <s v="Y"/>
    <x v="22"/>
    <n v="23"/>
    <n v="2623"/>
    <n v="2623"/>
    <n v="0"/>
    <n v="10"/>
    <n v="5"/>
    <s v="PASSED"/>
  </r>
  <r>
    <s v="OTHERS"/>
    <x v="1"/>
    <x v="1"/>
    <x v="2"/>
    <s v="Y"/>
    <x v="22"/>
    <n v="23"/>
    <n v="2783"/>
    <n v="2783"/>
    <n v="0"/>
    <n v="10"/>
    <n v="5"/>
    <s v="PASSED"/>
  </r>
  <r>
    <s v="OTHERS"/>
    <x v="1"/>
    <x v="1"/>
    <x v="3"/>
    <s v="Y"/>
    <x v="22"/>
    <n v="23"/>
    <n v="2531"/>
    <n v="2531"/>
    <n v="0"/>
    <n v="10"/>
    <n v="5"/>
    <s v="PASSED"/>
  </r>
  <r>
    <s v="OTHERS"/>
    <x v="1"/>
    <x v="1"/>
    <x v="4"/>
    <s v="Y"/>
    <x v="22"/>
    <n v="23"/>
    <n v="2628"/>
    <n v="2628"/>
    <n v="0"/>
    <n v="10"/>
    <n v="5"/>
    <s v="PASSED"/>
  </r>
  <r>
    <s v="OTHERS"/>
    <x v="1"/>
    <x v="1"/>
    <x v="5"/>
    <s v="Y"/>
    <x v="22"/>
    <n v="23"/>
    <n v="2573"/>
    <n v="2573"/>
    <n v="0"/>
    <n v="10"/>
    <n v="5"/>
    <s v="PASSED"/>
  </r>
  <r>
    <s v="OTHERS"/>
    <x v="1"/>
    <x v="1"/>
    <x v="6"/>
    <s v="Y"/>
    <x v="22"/>
    <n v="23"/>
    <n v="2302"/>
    <n v="2302"/>
    <n v="0"/>
    <n v="10"/>
    <n v="5"/>
    <s v="PASSED"/>
  </r>
  <r>
    <s v="OTHERS"/>
    <x v="1"/>
    <x v="1"/>
    <x v="7"/>
    <s v="Y"/>
    <x v="22"/>
    <n v="23"/>
    <n v="2724"/>
    <n v="2724"/>
    <n v="0"/>
    <n v="10"/>
    <n v="5"/>
    <s v="PASSED"/>
  </r>
  <r>
    <s v="OTHERS"/>
    <x v="1"/>
    <x v="1"/>
    <x v="8"/>
    <s v="Y"/>
    <x v="22"/>
    <n v="23"/>
    <n v="2692"/>
    <n v="2692"/>
    <n v="0"/>
    <n v="10"/>
    <n v="5"/>
    <s v="PASSED"/>
  </r>
  <r>
    <s v="OTHERS"/>
    <x v="1"/>
    <x v="1"/>
    <x v="9"/>
    <s v="Y"/>
    <x v="22"/>
    <n v="23"/>
    <n v="2662"/>
    <n v="2662"/>
    <n v="0"/>
    <n v="10"/>
    <n v="5"/>
    <s v="PASSED"/>
  </r>
  <r>
    <s v="OTHERS"/>
    <x v="1"/>
    <x v="1"/>
    <x v="10"/>
    <s v="Y"/>
    <x v="22"/>
    <n v="23"/>
    <n v="2810"/>
    <n v="2810"/>
    <n v="0"/>
    <n v="10"/>
    <n v="5"/>
    <s v="PASSED"/>
  </r>
  <r>
    <s v="OTHERS"/>
    <x v="1"/>
    <x v="1"/>
    <x v="11"/>
    <s v="Y"/>
    <x v="22"/>
    <n v="23"/>
    <n v="2807"/>
    <n v="2807"/>
    <n v="0"/>
    <n v="10"/>
    <n v="5"/>
    <s v="PASSED"/>
  </r>
  <r>
    <s v="OTHERS"/>
    <x v="1"/>
    <x v="1"/>
    <x v="12"/>
    <s v="N"/>
    <x v="22"/>
    <n v="23"/>
    <n v="3049"/>
    <n v="3049"/>
    <n v="0"/>
    <n v="10"/>
    <n v="5"/>
    <s v="PASSED"/>
  </r>
  <r>
    <s v="OTHERS"/>
    <x v="1"/>
    <x v="1"/>
    <x v="13"/>
    <s v="N"/>
    <x v="22"/>
    <n v="23"/>
    <n v="2793"/>
    <n v="2793"/>
    <n v="0"/>
    <n v="10"/>
    <n v="5"/>
    <s v="PASSED"/>
  </r>
  <r>
    <s v="OTHERS"/>
    <x v="1"/>
    <x v="1"/>
    <x v="14"/>
    <s v="N"/>
    <x v="22"/>
    <n v="23"/>
    <n v="2891"/>
    <n v="2891"/>
    <n v="0"/>
    <n v="10"/>
    <n v="5"/>
    <s v="PASSED"/>
  </r>
  <r>
    <s v="OTHERS"/>
    <x v="1"/>
    <x v="1"/>
    <x v="15"/>
    <s v="N"/>
    <x v="22"/>
    <n v="23"/>
    <n v="2672"/>
    <n v="2672"/>
    <n v="0"/>
    <n v="10"/>
    <n v="5"/>
    <s v="PASSED"/>
  </r>
  <r>
    <s v="OTHERS"/>
    <x v="1"/>
    <x v="1"/>
    <x v="16"/>
    <s v="N"/>
    <x v="22"/>
    <n v="23"/>
    <n v="2389"/>
    <n v="2389"/>
    <n v="0"/>
    <n v="10"/>
    <n v="5"/>
    <s v="PASSED"/>
  </r>
</pivotCacheRecords>
</file>

<file path=xl/pivotCache/pivotCacheRecords2.xml><?xml version="1.0" encoding="utf-8"?>
<pivotCacheRecords xmlns="http://schemas.openxmlformats.org/spreadsheetml/2006/main" xmlns:r="http://schemas.openxmlformats.org/officeDocument/2006/relationships" count="20">
  <r>
    <s v="EMPLOYEES"/>
    <x v="0"/>
    <x v="0"/>
    <x v="0"/>
    <n v="1739245.25"/>
    <n v="1698558.25"/>
    <n v="1739245.25"/>
    <n v="1698558.25"/>
  </r>
  <r>
    <s v="EMPLOYEES"/>
    <x v="0"/>
    <x v="0"/>
    <x v="1"/>
    <n v="3298714.58"/>
    <n v="3196457.07"/>
    <n v="3298714.58"/>
    <n v="3196457.07"/>
  </r>
  <r>
    <s v="EMPLOYEES"/>
    <x v="0"/>
    <x v="0"/>
    <x v="2"/>
    <n v="5061417.7300000004"/>
    <n v="4806144.82"/>
    <n v="5061417.7300000004"/>
    <n v="4806144.82"/>
  </r>
  <r>
    <s v="EMPLOYEES"/>
    <x v="0"/>
    <x v="0"/>
    <x v="3"/>
    <n v="6772211.6200000001"/>
    <n v="6345319.9500000002"/>
    <n v="6772211.6200000001"/>
    <n v="6345319.9500000002"/>
  </r>
  <r>
    <s v="EMPLOYEES"/>
    <x v="0"/>
    <x v="0"/>
    <x v="4"/>
    <n v="8703601.2699999996"/>
    <n v="7279541.6600000001"/>
    <n v="8703601.2699999996"/>
    <n v="7279541.6600000001"/>
  </r>
  <r>
    <s v="EMPLOYEES"/>
    <x v="0"/>
    <x v="1"/>
    <x v="0"/>
    <n v="1451067.26"/>
    <n v="1418734.65"/>
    <n v="1451067.26"/>
    <n v="1418734.65"/>
  </r>
  <r>
    <s v="EMPLOYEES"/>
    <x v="0"/>
    <x v="1"/>
    <x v="1"/>
    <n v="2774358.55"/>
    <n v="2691666.36"/>
    <n v="2774358.55"/>
    <n v="2691666.36"/>
  </r>
  <r>
    <s v="EMPLOYEES"/>
    <x v="0"/>
    <x v="1"/>
    <x v="2"/>
    <n v="4296274.7300000004"/>
    <n v="4068732.14"/>
    <n v="4296274.7300000004"/>
    <n v="4068732.14"/>
  </r>
  <r>
    <s v="EMPLOYEES"/>
    <x v="0"/>
    <x v="1"/>
    <x v="3"/>
    <n v="5778468"/>
    <n v="5409045.4900000002"/>
    <n v="5778468"/>
    <n v="5409045.4900000002"/>
  </r>
  <r>
    <s v="EMPLOYEES"/>
    <x v="0"/>
    <x v="1"/>
    <x v="4"/>
    <n v="7449821.4800000004"/>
    <n v="6203525.9900000002"/>
    <n v="7449821.4800000004"/>
    <n v="6203525.9900000002"/>
  </r>
  <r>
    <s v="OTHERS"/>
    <x v="1"/>
    <x v="0"/>
    <x v="0"/>
    <n v="1586574.23"/>
    <n v="1488288.24"/>
    <n v="1586574.23"/>
    <n v="1488288.24"/>
  </r>
  <r>
    <s v="OTHERS"/>
    <x v="1"/>
    <x v="0"/>
    <x v="1"/>
    <n v="3104180.96"/>
    <n v="2880368.97"/>
    <n v="3104180.96"/>
    <n v="2880368.97"/>
  </r>
  <r>
    <s v="OTHERS"/>
    <x v="1"/>
    <x v="0"/>
    <x v="2"/>
    <n v="4695744.8899999997"/>
    <n v="4201117.49"/>
    <n v="4695744.8899999997"/>
    <n v="4201117.49"/>
  </r>
  <r>
    <s v="OTHERS"/>
    <x v="1"/>
    <x v="0"/>
    <x v="3"/>
    <n v="6182540.6200000001"/>
    <n v="5303603.6399999997"/>
    <n v="6182540.6200000001"/>
    <n v="5303603.6399999997"/>
  </r>
  <r>
    <s v="OTHERS"/>
    <x v="1"/>
    <x v="0"/>
    <x v="4"/>
    <n v="7688635.1600000001"/>
    <n v="5895497.0700000003"/>
    <n v="7688635.1600000001"/>
    <n v="5895497.0700000003"/>
  </r>
  <r>
    <s v="OTHERS"/>
    <x v="1"/>
    <x v="1"/>
    <x v="0"/>
    <n v="1217520.42"/>
    <n v="1141869.0900000001"/>
    <n v="1217520.42"/>
    <n v="1141869.0900000001"/>
  </r>
  <r>
    <s v="OTHERS"/>
    <x v="1"/>
    <x v="1"/>
    <x v="1"/>
    <n v="2388208.7999999998"/>
    <n v="2215656.96"/>
    <n v="2388208.7999999998"/>
    <n v="2215656.96"/>
  </r>
  <r>
    <s v="OTHERS"/>
    <x v="1"/>
    <x v="1"/>
    <x v="2"/>
    <n v="3563420.1"/>
    <n v="3181764.53"/>
    <n v="3563420.1"/>
    <n v="3181764.53"/>
  </r>
  <r>
    <s v="OTHERS"/>
    <x v="1"/>
    <x v="1"/>
    <x v="3"/>
    <n v="4724532.6500000004"/>
    <n v="4037061.04"/>
    <n v="4724532.6500000004"/>
    <n v="4037061.04"/>
  </r>
  <r>
    <s v="OTHERS"/>
    <x v="1"/>
    <x v="1"/>
    <x v="4"/>
    <n v="5957652"/>
    <n v="4515195.84"/>
    <n v="5957652"/>
    <n v="4515195.8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19" firstHeaderRow="0" firstDataRow="1" firstDataCol="1"/>
  <pivotFields count="13">
    <pivotField showAll="0"/>
    <pivotField showAll="0" defaultSubtotal="0">
      <items count="3">
        <item x="0"/>
        <item h="1" x="1"/>
        <item h="1" m="1" x="2"/>
      </items>
    </pivotField>
    <pivotField showAll="0">
      <items count="4">
        <item x="0"/>
        <item h="1" x="1"/>
        <item h="1" m="1" x="2"/>
        <item t="default"/>
      </items>
    </pivotField>
    <pivotField axis="axisRow" showAll="0" sortType="ascending">
      <items count="37">
        <item m="1" x="30"/>
        <item m="1" x="32"/>
        <item m="1" x="34"/>
        <item m="1" x="18"/>
        <item m="1" x="20"/>
        <item m="1" x="21"/>
        <item m="1" x="22"/>
        <item m="1" x="25"/>
        <item m="1" x="27"/>
        <item m="1" x="29"/>
        <item m="1" x="23"/>
        <item m="1" x="24"/>
        <item m="1" x="26"/>
        <item m="1" x="28"/>
        <item m="1" x="31"/>
        <item m="1" x="33"/>
        <item m="1" x="35"/>
        <item m="1" x="19"/>
        <item x="0"/>
        <item x="1"/>
        <item x="2"/>
        <item x="3"/>
        <item x="4"/>
        <item x="5"/>
        <item x="6"/>
        <item x="7"/>
        <item x="8"/>
        <item x="9"/>
        <item x="10"/>
        <item x="11"/>
        <item x="12"/>
        <item x="13"/>
        <item x="14"/>
        <item x="15"/>
        <item x="16"/>
        <item m="1" x="17"/>
        <item t="default"/>
      </items>
    </pivotField>
    <pivotField showAll="0"/>
    <pivotField showAll="0">
      <items count="26">
        <item x="21"/>
        <item h="1" x="5"/>
        <item h="1" x="6"/>
        <item h="1" x="16"/>
        <item h="1" x="17"/>
        <item h="1" x="15"/>
        <item h="1" x="14"/>
        <item h="1" x="22"/>
        <item h="1" x="1"/>
        <item h="1" x="12"/>
        <item h="1" x="13"/>
        <item h="1" x="9"/>
        <item h="1" x="8"/>
        <item h="1" m="1" x="24"/>
        <item h="1" x="18"/>
        <item h="1" x="0"/>
        <item h="1" x="11"/>
        <item h="1" x="10"/>
        <item h="1" x="19"/>
        <item h="1" x="7"/>
        <item h="1" x="2"/>
        <item h="1" x="20"/>
        <item h="1" x="3"/>
        <item h="1" x="4"/>
        <item h="1" m="1" x="23"/>
        <item t="default"/>
      </items>
    </pivotField>
    <pivotField showAll="0"/>
    <pivotField dataField="1" showAll="0"/>
    <pivotField dataField="1" showAll="0"/>
    <pivotField showAll="0" defaultSubtotal="0"/>
    <pivotField showAll="0" defaultSubtotal="0"/>
    <pivotField showAll="0" defaultSubtotal="0"/>
    <pivotField showAll="0" defaultSubtotal="0"/>
  </pivotFields>
  <rowFields count="1">
    <field x="3"/>
  </rowFields>
  <rowItems count="18">
    <i>
      <x v="18"/>
    </i>
    <i>
      <x v="19"/>
    </i>
    <i>
      <x v="20"/>
    </i>
    <i>
      <x v="21"/>
    </i>
    <i>
      <x v="22"/>
    </i>
    <i>
      <x v="23"/>
    </i>
    <i>
      <x v="24"/>
    </i>
    <i>
      <x v="25"/>
    </i>
    <i>
      <x v="26"/>
    </i>
    <i>
      <x v="27"/>
    </i>
    <i>
      <x v="28"/>
    </i>
    <i>
      <x v="29"/>
    </i>
    <i>
      <x v="30"/>
    </i>
    <i>
      <x v="31"/>
    </i>
    <i>
      <x v="32"/>
    </i>
    <i>
      <x v="33"/>
    </i>
    <i>
      <x v="34"/>
    </i>
    <i t="grand">
      <x/>
    </i>
  </rowItems>
  <colFields count="1">
    <field x="-2"/>
  </colFields>
  <colItems count="2">
    <i>
      <x/>
    </i>
    <i i="1">
      <x v="1"/>
    </i>
  </colItems>
  <dataFields count="2">
    <dataField name="Production" fld="8" baseField="2" baseItem="17"/>
    <dataField name="Staging" fld="7" baseField="2" baseItem="17"/>
  </dataFields>
  <chartFormats count="2">
    <chartFormat chart="0" format="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N1:P7" firstHeaderRow="0" firstDataRow="1" firstDataCol="1"/>
  <pivotFields count="8">
    <pivotField showAll="0"/>
    <pivotField showAll="0" defaultSubtotal="0">
      <items count="3">
        <item x="0"/>
        <item h="1" x="1"/>
        <item h="1" m="1" x="2"/>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showAll="0"/>
    <pivotField showAll="0"/>
    <pivotField dataField="1" showAll="0"/>
    <pivotField dataField="1" showAll="0"/>
  </pivotFields>
  <rowFields count="1">
    <field x="3"/>
  </rowFields>
  <rowItems count="6">
    <i>
      <x v="7"/>
    </i>
    <i>
      <x v="8"/>
    </i>
    <i>
      <x v="9"/>
    </i>
    <i>
      <x v="10"/>
    </i>
    <i>
      <x v="11"/>
    </i>
    <i t="grand">
      <x/>
    </i>
  </rowItems>
  <colFields count="1">
    <field x="-2"/>
  </colFields>
  <colItems count="2">
    <i>
      <x/>
    </i>
    <i i="1">
      <x v="1"/>
    </i>
  </colItems>
  <dataFields count="2">
    <dataField name="Incurred" fld="6" baseField="0" baseItem="0"/>
    <dataField name="Paid" fld="7"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7" firstHeaderRow="0" firstDataRow="1" firstDataCol="1"/>
  <pivotFields count="8">
    <pivotField showAll="0"/>
    <pivotField showAll="0" defaultSubtotal="0">
      <items count="3">
        <item x="0"/>
        <item h="1" x="1"/>
        <item h="1" m="1" x="2"/>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dataField="1" showAll="0"/>
    <pivotField dataField="1" showAll="0"/>
    <pivotField showAll="0"/>
    <pivotField showAll="0"/>
  </pivotFields>
  <rowFields count="1">
    <field x="3"/>
  </rowFields>
  <rowItems count="6">
    <i>
      <x v="7"/>
    </i>
    <i>
      <x v="8"/>
    </i>
    <i>
      <x v="9"/>
    </i>
    <i>
      <x v="10"/>
    </i>
    <i>
      <x v="11"/>
    </i>
    <i t="grand">
      <x/>
    </i>
  </rowItems>
  <colFields count="1">
    <field x="-2"/>
  </colFields>
  <colItems count="2">
    <i>
      <x/>
    </i>
    <i i="1">
      <x v="1"/>
    </i>
  </colItems>
  <dataFields count="2">
    <dataField name="Incurred" fld="4" baseField="2" baseItem="7"/>
    <dataField name="Paid" fld="5"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Basis" sourceName="Cost Basis">
  <pivotTables>
    <pivotTable tabId="3" name="PivotTable1"/>
  </pivotTables>
  <data>
    <tabular pivotCacheId="1" showMissing="0">
      <items count="3">
        <i x="0" s="1"/>
        <i x="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rend" sourceName="Trend">
  <pivotTables>
    <pivotTable tabId="3" name="PivotTable1"/>
  </pivotTables>
  <data>
    <tabular pivotCacheId="1" showMissing="0">
      <items count="25">
        <i x="21" s="1"/>
        <i x="5"/>
        <i x="6"/>
        <i x="16"/>
        <i x="17"/>
        <i x="15"/>
        <i x="14"/>
        <i x="22"/>
        <i x="1"/>
        <i x="12"/>
        <i x="13"/>
        <i x="9"/>
        <i x="8"/>
        <i x="18"/>
        <i x="0"/>
        <i x="11"/>
        <i x="10"/>
        <i x="19"/>
        <i x="7"/>
        <i x="2"/>
        <i x="20"/>
        <i x="3"/>
        <i x="4"/>
        <i x="24" nd="1"/>
        <i x="2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st_Basis1" sourceName="Cost Basis">
  <pivotTables>
    <pivotTable tabId="9" name="PivotTable2"/>
    <pivotTable tabId="9" name="PivotTable3"/>
  </pivotTables>
  <data>
    <tabular pivotCacheId="2" showMissing="0">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isplay_Name" sourceName="Display Name">
  <pivotTables>
    <pivotTable tabId="3" name="PivotTable1"/>
  </pivotTables>
  <data>
    <tabular pivotCacheId="1" showMissing="0">
      <items count="3">
        <i x="0" s="1"/>
        <i x="1"/>
        <i x="2"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splay_Name1" sourceName="Display Name">
  <pivotTables>
    <pivotTable tabId="9" name="PivotTable2"/>
    <pivotTable tabId="9" name="PivotTable3"/>
  </pivotTables>
  <data>
    <tabular pivotCacheId="2" showMissing="0">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st Basis" cache="Slicer_Cost_Basis" caption="Cost Basis" rowHeight="241300"/>
  <slicer name="Trend" cache="Slicer_Trend" caption="Trend" rowHeight="241300"/>
  <slicer name="Population" cache="Slicer_Display_Name" caption="Popul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Basis 1" cache="Slicer_Cost_Basis1" caption="Cost Basis" rowHeight="241300"/>
  <slicer name="Population 1" cache="Slicer_Display_Name1" caption="Population" rowHeight="241300"/>
</slicers>
</file>

<file path=xl/tables/table1.xml><?xml version="1.0" encoding="utf-8"?>
<table xmlns="http://schemas.openxmlformats.org/spreadsheetml/2006/main" id="8" name="Threshold" displayName="Threshold" ref="A1:E47" totalsRowShown="0">
  <autoFilter ref="A1:E47"/>
  <tableColumns count="5">
    <tableColumn id="1" name="Vlookup" dataDxfId="21">
      <calculatedColumnFormula>Threshold[[#This Row],[Population]]&amp;Threshold[[#This Row],[Trend]]</calculatedColumnFormula>
    </tableColumn>
    <tableColumn id="2" name="Population"/>
    <tableColumn id="3" name="Trend"/>
    <tableColumn id="4" name="Critical"/>
    <tableColumn id="5" name="Trivial"/>
  </tableColumns>
  <tableStyleInfo name="TableStyleMedium2" showFirstColumn="0" showLastColumn="0" showRowStripes="1" showColumnStripes="0"/>
</table>
</file>

<file path=xl/tables/table2.xml><?xml version="1.0" encoding="utf-8"?>
<table xmlns="http://schemas.openxmlformats.org/spreadsheetml/2006/main" id="1" name="TrendSheetStgData" displayName="TrendSheetStgData" ref="A1:M1565" totalsRowShown="0">
  <autoFilter ref="A1:M1565"/>
  <tableColumns count="13">
    <tableColumn id="1" name="Population"/>
    <tableColumn id="10" name="Display Name"/>
    <tableColumn id="2" name="Cost Basis"/>
    <tableColumn id="3" name="Period" dataDxfId="20"/>
    <tableColumn id="4" name="IsCompleted"/>
    <tableColumn id="5" name="Trend"/>
    <tableColumn id="6" name="Trend Order"/>
    <tableColumn id="7" name="Staging Data"/>
    <tableColumn id="8" name="Production Data" dataDxfId="19">
      <calculatedColumnFormula>VLOOKUP(TrendSheetStgData[Population]&amp;TrendSheetStgData[Cost Basis]&amp;TrendSheetStgData[Period]&amp;TrendSheetStgData[Trend],TrendSheetPrdData[#All],9,FALSE)</calculatedColumnFormula>
    </tableColumn>
    <tableColumn id="9" name="Perc Deviation" dataDxfId="18">
      <calculatedColumnFormula>IF(AND(TrendSheetStgData[Staging Data] = 0, TrendSheetStgData[Production Data]=0),0,IF(OR(TrendSheetStgData[Staging Data] = 0, TrendSheetStgData[Production Data]=0), 100, ABS((TrendSheetStgData[[#This Row],[Staging Data]]-TrendSheetStgData[[#This Row],[Production Data]])/TrendSheetStgData[[#This Row],[Production Data]]*100)))</calculatedColumnFormula>
    </tableColumn>
    <tableColumn id="11" name="Critical" dataDxfId="17">
      <calculatedColumnFormula>VLOOKUP(TrendSheetStgData[Population]&amp;TrendSheetStgData[Trend],Threshold[#All],4,FALSE)</calculatedColumnFormula>
    </tableColumn>
    <tableColumn id="12" name="Trivial" dataDxfId="16">
      <calculatedColumnFormula>VLOOKUP(TrendSheetStgData[Population]&amp;TrendSheetStgData[Trend],Threshold[#All],5,FALSE)</calculatedColumnFormula>
    </tableColumn>
    <tableColumn id="13" name="Column1" dataDxfId="15">
      <calculatedColumnFormula>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rendSheetPrdData" displayName="TrendSheetPrdData" ref="A1:I1565" totalsRowShown="0">
  <autoFilter ref="A1:I1565"/>
  <tableColumns count="9">
    <tableColumn id="10" name="Vlookup" dataDxfId="14">
      <calculatedColumnFormula>TrendSheetPrdData[[#This Row],[Population]]&amp;TrendSheetPrdData[[#This Row],[Cost Basis]]&amp;TrendSheetPrdData[[#This Row],[Period]]&amp;TrendSheetPrdData[[#This Row],[Trend]]</calculatedColumnFormula>
    </tableColumn>
    <tableColumn id="1" name="Population"/>
    <tableColumn id="8" name="Display Name"/>
    <tableColumn id="2" name="Cost Basis"/>
    <tableColumn id="3" name="Period" dataDxfId="13"/>
    <tableColumn id="4" name="IsCompleted"/>
    <tableColumn id="5" name="Trend"/>
    <tableColumn id="6" name="Trend Order"/>
    <tableColumn id="7" name="Data"/>
  </tableColumns>
  <tableStyleInfo name="TableStyleMedium2" showFirstColumn="0" showLastColumn="0" showRowStripes="1" showColumnStripes="0"/>
</table>
</file>

<file path=xl/tables/table4.xml><?xml version="1.0" encoding="utf-8"?>
<table xmlns="http://schemas.openxmlformats.org/spreadsheetml/2006/main" id="3" name="StgIBNRTrendData" displayName="StgIBNRTrendData" ref="A1:H21" totalsRowShown="0">
  <autoFilter ref="A1:H21"/>
  <tableColumns count="8">
    <tableColumn id="1" name="Population"/>
    <tableColumn id="8" name="Display Name"/>
    <tableColumn id="2" name="Cost Basis"/>
    <tableColumn id="3" name="Period" dataDxfId="12"/>
    <tableColumn id="4" name="Staging Incurred Claims"/>
    <tableColumn id="5" name="Staging Paid Claims"/>
    <tableColumn id="6" name="Production Incurred Claims" dataDxfId="11">
      <calculatedColumnFormula>VLOOKUP(StgIBNRTrendData[[#This Row],[Population]]&amp;StgIBNRTrendData[[#This Row],[Cost Basis]]&amp;StgIBNRTrendData[[#This Row],[Period]],PrdIBNRTrendData[],6,FALSE)</calculatedColumnFormula>
    </tableColumn>
    <tableColumn id="7" name="Production Paid Claims" dataDxfId="10">
      <calculatedColumnFormula>VLOOKUP(StgIBNRTrendData[[#This Row],[Population]]&amp;StgIBNRTrendData[[#This Row],[Cost Basis]]&amp;StgIBNRTrendData[[#This Row],[Period]],PrdIBNRTrendData[],7,FALSE)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PrdIBNRTrendData" displayName="PrdIBNRTrendData" ref="A1:G21" totalsRowShown="0">
  <autoFilter ref="A1:G21"/>
  <tableColumns count="7">
    <tableColumn id="1" name="Vlookup" dataDxfId="9">
      <calculatedColumnFormula>PrdIBNRTrendData[[#This Row],[Population]]&amp;PrdIBNRTrendData[[#This Row],[Cost Basis]]&amp;PrdIBNRTrendData[[#This Row],[Period]]</calculatedColumnFormula>
    </tableColumn>
    <tableColumn id="2" name="Population"/>
    <tableColumn id="7" name="Display Name"/>
    <tableColumn id="3" name="Cost Basis"/>
    <tableColumn id="4" name="Period" dataDxfId="8"/>
    <tableColumn id="5" name="Incurred Claims"/>
    <tableColumn id="6" name="Paid Claims"/>
  </tableColumns>
  <tableStyleInfo name="TableStyleMedium2" showFirstColumn="0" showLastColumn="0" showRowStripes="1" showColumnStripes="0"/>
</table>
</file>

<file path=xl/tables/table6.xml><?xml version="1.0" encoding="utf-8"?>
<table xmlns="http://schemas.openxmlformats.org/spreadsheetml/2006/main" id="4" name="OtherChecksTable" displayName="OtherChecksTable" ref="B3:G15" totalsRowShown="0" dataDxfId="7">
  <autoFilter ref="B3:G15"/>
  <tableColumns count="6">
    <tableColumn id="1" name="Population" dataDxfId="6"/>
    <tableColumn id="2" name="DisplayName" dataDxfId="5"/>
    <tableColumn id="3" name="Tabs" dataDxfId="4"/>
    <tableColumn id="4" name="Checks" dataDxfId="3"/>
    <tableColumn id="5" name="Staging" dataDxfId="2"/>
    <tableColumn id="6" name="Prodution" dataDxfId="1">
      <calculatedColumnFormula>VLOOKUP(OtherChecksTable[[#This Row],[Population]]&amp;OtherChecksTable[[#This Row],[Tabs]]&amp;OtherChecksTable[[#This Row],[Checks]],OtherChecksPrdTable[],6,FALSE)</calculatedColumnFormula>
    </tableColumn>
  </tableColumns>
  <tableStyleInfo name="TableStyleLight9" showFirstColumn="0" showLastColumn="0" showRowStripes="1" showColumnStripes="0"/>
</table>
</file>

<file path=xl/tables/table7.xml><?xml version="1.0" encoding="utf-8"?>
<table xmlns="http://schemas.openxmlformats.org/spreadsheetml/2006/main" id="7" name="OtherChecksPrdTable" displayName="OtherChecksPrdTable" ref="C3:H15" totalsRowShown="0">
  <autoFilter ref="C3:H15"/>
  <tableColumns count="6">
    <tableColumn id="6" name="Vlookup" dataDxfId="0">
      <calculatedColumnFormula>OtherChecksPrdTable[[#This Row],[Population]]&amp;OtherChecksPrdTable[[#This Row],[Tabs]]&amp;OtherChecksPrdTable[[#This Row],[Checks]]</calculatedColumnFormula>
    </tableColumn>
    <tableColumn id="1" name="Population"/>
    <tableColumn id="2" name="DisplayName"/>
    <tableColumn id="3" name="Tabs"/>
    <tableColumn id="4" name="Checks"/>
    <tableColumn id="5" name="Resul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wiki.advisory.com/login.action;jsessionid=05F1141AFC5C97FD163DFCBE0D2142E0?os_destination=%2Fpages%2Fviewpage.action%3Ftitle%3DCPRM%2BSite%2BBuild%26spaceKey%3DCPR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47"/>
  <sheetViews>
    <sheetView workbookViewId="0">
      <selection activeCell="D13" sqref="D13"/>
    </sheetView>
  </sheetViews>
  <sheetFormatPr defaultRowHeight="15" x14ac:dyDescent="0.25"/>
  <cols>
    <col min="1" max="1" width="10.7109375" bestFit="1" customWidth="1"/>
    <col min="2" max="2" width="13" bestFit="1" customWidth="1"/>
    <col min="3" max="3" width="8.42578125" bestFit="1" customWidth="1"/>
    <col min="4" max="4" width="9.42578125" bestFit="1" customWidth="1"/>
    <col min="5" max="5" width="8.7109375" bestFit="1" customWidth="1"/>
  </cols>
  <sheetData>
    <row r="1" spans="1:5" x14ac:dyDescent="0.25">
      <c r="A1" t="s">
        <v>38</v>
      </c>
      <c r="B1" t="s">
        <v>0</v>
      </c>
      <c r="C1" t="s">
        <v>4</v>
      </c>
      <c r="D1" t="s">
        <v>87</v>
      </c>
      <c r="E1" t="s">
        <v>88</v>
      </c>
    </row>
    <row r="2" spans="1:5" x14ac:dyDescent="0.25">
      <c r="A2" t="str">
        <f>Threshold[[#This Row],[Population]]&amp;Threshold[[#This Row],[Trend]]</f>
        <v>EMPLOYEESAncillary Claim Count</v>
      </c>
      <c r="B2" t="s">
        <v>90</v>
      </c>
      <c r="C2" t="s">
        <v>33</v>
      </c>
      <c r="D2">
        <v>10</v>
      </c>
      <c r="E2">
        <v>5</v>
      </c>
    </row>
    <row r="3" spans="1:5" x14ac:dyDescent="0.25">
      <c r="A3" s="5" t="str">
        <f>Threshold[[#This Row],[Population]]&amp;Threshold[[#This Row],[Trend]]</f>
        <v>EMPLOYEESAvoidable Admission Cost</v>
      </c>
      <c r="B3" t="s">
        <v>90</v>
      </c>
      <c r="C3" t="s">
        <v>17</v>
      </c>
      <c r="D3">
        <v>10</v>
      </c>
      <c r="E3">
        <v>5</v>
      </c>
    </row>
    <row r="4" spans="1:5" x14ac:dyDescent="0.25">
      <c r="A4" s="5" t="str">
        <f>Threshold[[#This Row],[Population]]&amp;Threshold[[#This Row],[Trend]]</f>
        <v>EMPLOYEESAvoidable Admission Quality</v>
      </c>
      <c r="B4" t="s">
        <v>90</v>
      </c>
      <c r="C4" t="s">
        <v>18</v>
      </c>
      <c r="D4">
        <v>10</v>
      </c>
      <c r="E4">
        <v>5</v>
      </c>
    </row>
    <row r="5" spans="1:5" x14ac:dyDescent="0.25">
      <c r="A5" s="5" t="str">
        <f>Threshold[[#This Row],[Population]]&amp;Threshold[[#This Row],[Trend]]</f>
        <v>EMPLOYEESChronic Disease Management - Cost</v>
      </c>
      <c r="B5" t="s">
        <v>90</v>
      </c>
      <c r="C5" t="s">
        <v>28</v>
      </c>
      <c r="D5">
        <v>10</v>
      </c>
      <c r="E5">
        <v>5</v>
      </c>
    </row>
    <row r="6" spans="1:5" x14ac:dyDescent="0.25">
      <c r="A6" s="5" t="str">
        <f>Threshold[[#This Row],[Population]]&amp;Threshold[[#This Row],[Trend]]</f>
        <v>EMPLOYEESChronic Disease Management - Members</v>
      </c>
      <c r="B6" t="s">
        <v>90</v>
      </c>
      <c r="C6" t="s">
        <v>29</v>
      </c>
      <c r="D6">
        <v>10</v>
      </c>
      <c r="E6">
        <v>5</v>
      </c>
    </row>
    <row r="7" spans="1:5" x14ac:dyDescent="0.25">
      <c r="A7" s="5" t="str">
        <f>Threshold[[#This Row],[Population]]&amp;Threshold[[#This Row],[Trend]]</f>
        <v>EMPLOYEESDrug - Generic Utilization</v>
      </c>
      <c r="B7" t="s">
        <v>90</v>
      </c>
      <c r="C7" t="s">
        <v>27</v>
      </c>
      <c r="D7">
        <v>10</v>
      </c>
      <c r="E7">
        <v>5</v>
      </c>
    </row>
    <row r="8" spans="1:5" x14ac:dyDescent="0.25">
      <c r="A8" s="5" t="str">
        <f>Threshold[[#This Row],[Population]]&amp;Threshold[[#This Row],[Trend]]</f>
        <v>EMPLOYEESDrug - Generic Utilization Cost</v>
      </c>
      <c r="B8" t="s">
        <v>90</v>
      </c>
      <c r="C8" t="s">
        <v>26</v>
      </c>
      <c r="D8">
        <v>10</v>
      </c>
      <c r="E8">
        <v>5</v>
      </c>
    </row>
    <row r="9" spans="1:5" x14ac:dyDescent="0.25">
      <c r="A9" s="5" t="str">
        <f>Threshold[[#This Row],[Population]]&amp;Threshold[[#This Row],[Trend]]</f>
        <v>EMPLOYEESDrug Claim Count</v>
      </c>
      <c r="B9" t="s">
        <v>90</v>
      </c>
      <c r="C9" t="s">
        <v>34</v>
      </c>
      <c r="D9">
        <v>10</v>
      </c>
      <c r="E9">
        <v>5</v>
      </c>
    </row>
    <row r="10" spans="1:5" x14ac:dyDescent="0.25">
      <c r="A10" s="5" t="str">
        <f>Threshold[[#This Row],[Population]]&amp;Threshold[[#This Row],[Trend]]</f>
        <v>EMPLOYEESDrug PMPM</v>
      </c>
      <c r="B10" t="s">
        <v>90</v>
      </c>
      <c r="C10" t="s">
        <v>13</v>
      </c>
      <c r="D10">
        <v>10</v>
      </c>
      <c r="E10">
        <v>5</v>
      </c>
    </row>
    <row r="11" spans="1:5" x14ac:dyDescent="0.25">
      <c r="A11" s="5" t="str">
        <f>Threshold[[#This Row],[Population]]&amp;Threshold[[#This Row],[Trend]]</f>
        <v>EMPLOYEESED Cost</v>
      </c>
      <c r="B11" t="s">
        <v>90</v>
      </c>
      <c r="C11" t="s">
        <v>24</v>
      </c>
      <c r="D11">
        <v>10</v>
      </c>
      <c r="E11">
        <v>5</v>
      </c>
    </row>
    <row r="12" spans="1:5" x14ac:dyDescent="0.25">
      <c r="A12" s="5" t="str">
        <f>Threshold[[#This Row],[Population]]&amp;Threshold[[#This Row],[Trend]]</f>
        <v>EMPLOYEESED Utilization</v>
      </c>
      <c r="B12" t="s">
        <v>90</v>
      </c>
      <c r="C12" t="s">
        <v>25</v>
      </c>
      <c r="D12">
        <v>10</v>
      </c>
      <c r="E12">
        <v>5</v>
      </c>
    </row>
    <row r="13" spans="1:5" x14ac:dyDescent="0.25">
      <c r="A13" s="5" t="str">
        <f>Threshold[[#This Row],[Population]]&amp;Threshold[[#This Row],[Trend]]</f>
        <v>EMPLOYEESHospiatl Outpatient CTs per 1k</v>
      </c>
      <c r="B13" t="s">
        <v>90</v>
      </c>
      <c r="C13" t="s">
        <v>21</v>
      </c>
      <c r="D13">
        <v>10</v>
      </c>
      <c r="E13">
        <v>5</v>
      </c>
    </row>
    <row r="14" spans="1:5" x14ac:dyDescent="0.25">
      <c r="A14" s="5" t="str">
        <f>Threshold[[#This Row],[Population]]&amp;Threshold[[#This Row],[Trend]]</f>
        <v>EMPLOYEESHospiatl Outpatient MRIs per 1k</v>
      </c>
      <c r="B14" t="s">
        <v>90</v>
      </c>
      <c r="C14" t="s">
        <v>20</v>
      </c>
      <c r="D14">
        <v>10</v>
      </c>
      <c r="E14">
        <v>5</v>
      </c>
    </row>
    <row r="15" spans="1:5" x14ac:dyDescent="0.25">
      <c r="A15" s="5" t="str">
        <f>Threshold[[#This Row],[Population]]&amp;Threshold[[#This Row],[Trend]]</f>
        <v>EMPLOYEESInpatient Claim Count</v>
      </c>
      <c r="B15" t="s">
        <v>90</v>
      </c>
      <c r="C15" t="s">
        <v>30</v>
      </c>
      <c r="D15">
        <v>10</v>
      </c>
      <c r="E15">
        <v>5</v>
      </c>
    </row>
    <row r="16" spans="1:5" x14ac:dyDescent="0.25">
      <c r="A16" s="5" t="str">
        <f>Threshold[[#This Row],[Population]]&amp;Threshold[[#This Row],[Trend]]</f>
        <v>EMPLOYEESMedical PMPM</v>
      </c>
      <c r="B16" t="s">
        <v>90</v>
      </c>
      <c r="C16" t="s">
        <v>12</v>
      </c>
      <c r="D16">
        <v>10</v>
      </c>
      <c r="E16">
        <v>5</v>
      </c>
    </row>
    <row r="17" spans="1:5" x14ac:dyDescent="0.25">
      <c r="A17" s="5" t="str">
        <f>Threshold[[#This Row],[Population]]&amp;Threshold[[#This Row],[Trend]]</f>
        <v>EMPLOYEESOffice Based CTs per 1k</v>
      </c>
      <c r="B17" t="s">
        <v>90</v>
      </c>
      <c r="C17" t="s">
        <v>23</v>
      </c>
      <c r="D17">
        <v>10</v>
      </c>
      <c r="E17">
        <v>5</v>
      </c>
    </row>
    <row r="18" spans="1:5" x14ac:dyDescent="0.25">
      <c r="A18" s="5" t="str">
        <f>Threshold[[#This Row],[Population]]&amp;Threshold[[#This Row],[Trend]]</f>
        <v>EMPLOYEESOffice Based MRIs per 1k</v>
      </c>
      <c r="B18" t="s">
        <v>90</v>
      </c>
      <c r="C18" t="s">
        <v>22</v>
      </c>
      <c r="D18">
        <v>10</v>
      </c>
      <c r="E18">
        <v>5</v>
      </c>
    </row>
    <row r="19" spans="1:5" x14ac:dyDescent="0.25">
      <c r="A19" s="5" t="str">
        <f>Threshold[[#This Row],[Population]]&amp;Threshold[[#This Row],[Trend]]</f>
        <v>EMPLOYEESOutpatient Claim Count</v>
      </c>
      <c r="B19" t="s">
        <v>90</v>
      </c>
      <c r="C19" t="s">
        <v>31</v>
      </c>
      <c r="D19">
        <v>10</v>
      </c>
      <c r="E19">
        <v>5</v>
      </c>
    </row>
    <row r="20" spans="1:5" x14ac:dyDescent="0.25">
      <c r="A20" s="5" t="str">
        <f>Threshold[[#This Row],[Population]]&amp;Threshold[[#This Row],[Trend]]</f>
        <v>EMPLOYEESOutpatient Imaging Cost</v>
      </c>
      <c r="B20" t="s">
        <v>90</v>
      </c>
      <c r="C20" t="s">
        <v>19</v>
      </c>
      <c r="D20">
        <v>10</v>
      </c>
      <c r="E20">
        <v>5</v>
      </c>
    </row>
    <row r="21" spans="1:5" x14ac:dyDescent="0.25">
      <c r="A21" s="5" t="str">
        <f>Threshold[[#This Row],[Population]]&amp;Threshold[[#This Row],[Trend]]</f>
        <v>EMPLOYEESOverall PMPM</v>
      </c>
      <c r="B21" t="s">
        <v>90</v>
      </c>
      <c r="C21" t="s">
        <v>14</v>
      </c>
      <c r="D21">
        <v>10</v>
      </c>
      <c r="E21">
        <v>5</v>
      </c>
    </row>
    <row r="22" spans="1:5" x14ac:dyDescent="0.25">
      <c r="A22" s="5" t="str">
        <f>Threshold[[#This Row],[Population]]&amp;Threshold[[#This Row],[Trend]]</f>
        <v>EMPLOYEESProfessional Claim Count</v>
      </c>
      <c r="B22" t="s">
        <v>90</v>
      </c>
      <c r="C22" t="s">
        <v>32</v>
      </c>
      <c r="D22">
        <v>10</v>
      </c>
      <c r="E22">
        <v>5</v>
      </c>
    </row>
    <row r="23" spans="1:5" x14ac:dyDescent="0.25">
      <c r="A23" s="5" t="str">
        <f>Threshold[[#This Row],[Population]]&amp;Threshold[[#This Row],[Trend]]</f>
        <v>EMPLOYEESReadmission Cost</v>
      </c>
      <c r="B23" t="s">
        <v>90</v>
      </c>
      <c r="C23" t="s">
        <v>15</v>
      </c>
      <c r="D23">
        <v>10</v>
      </c>
      <c r="E23">
        <v>5</v>
      </c>
    </row>
    <row r="24" spans="1:5" x14ac:dyDescent="0.25">
      <c r="A24" s="5" t="str">
        <f>Threshold[[#This Row],[Population]]&amp;Threshold[[#This Row],[Trend]]</f>
        <v>EMPLOYEESReadmission Quality</v>
      </c>
      <c r="B24" t="s">
        <v>90</v>
      </c>
      <c r="C24" t="s">
        <v>16</v>
      </c>
      <c r="D24">
        <v>10</v>
      </c>
      <c r="E24">
        <v>5</v>
      </c>
    </row>
    <row r="25" spans="1:5" x14ac:dyDescent="0.25">
      <c r="A25" s="5" t="str">
        <f>Threshold[[#This Row],[Population]]&amp;Threshold[[#This Row],[Trend]]</f>
        <v>OTHERSAncillary Claim Count</v>
      </c>
      <c r="B25" t="s">
        <v>111</v>
      </c>
      <c r="C25" t="s">
        <v>33</v>
      </c>
      <c r="D25">
        <v>10</v>
      </c>
      <c r="E25">
        <v>5</v>
      </c>
    </row>
    <row r="26" spans="1:5" x14ac:dyDescent="0.25">
      <c r="A26" s="5" t="str">
        <f>Threshold[[#This Row],[Population]]&amp;Threshold[[#This Row],[Trend]]</f>
        <v>OTHERSAvoidable Admission Cost</v>
      </c>
      <c r="B26" t="s">
        <v>111</v>
      </c>
      <c r="C26" t="s">
        <v>17</v>
      </c>
      <c r="D26">
        <v>10</v>
      </c>
      <c r="E26">
        <v>5</v>
      </c>
    </row>
    <row r="27" spans="1:5" x14ac:dyDescent="0.25">
      <c r="A27" s="5" t="str">
        <f>Threshold[[#This Row],[Population]]&amp;Threshold[[#This Row],[Trend]]</f>
        <v>OTHERSAvoidable Admission Quality</v>
      </c>
      <c r="B27" t="s">
        <v>111</v>
      </c>
      <c r="C27" t="s">
        <v>18</v>
      </c>
      <c r="D27">
        <v>10</v>
      </c>
      <c r="E27">
        <v>5</v>
      </c>
    </row>
    <row r="28" spans="1:5" x14ac:dyDescent="0.25">
      <c r="A28" s="5" t="str">
        <f>Threshold[[#This Row],[Population]]&amp;Threshold[[#This Row],[Trend]]</f>
        <v>OTHERSChronic Disease Management - Cost</v>
      </c>
      <c r="B28" t="s">
        <v>111</v>
      </c>
      <c r="C28" t="s">
        <v>28</v>
      </c>
      <c r="D28">
        <v>10</v>
      </c>
      <c r="E28">
        <v>5</v>
      </c>
    </row>
    <row r="29" spans="1:5" x14ac:dyDescent="0.25">
      <c r="A29" s="5" t="str">
        <f>Threshold[[#This Row],[Population]]&amp;Threshold[[#This Row],[Trend]]</f>
        <v>OTHERSChronic Disease Management - Members</v>
      </c>
      <c r="B29" t="s">
        <v>111</v>
      </c>
      <c r="C29" t="s">
        <v>29</v>
      </c>
      <c r="D29">
        <v>10</v>
      </c>
      <c r="E29">
        <v>5</v>
      </c>
    </row>
    <row r="30" spans="1:5" x14ac:dyDescent="0.25">
      <c r="A30" s="5" t="str">
        <f>Threshold[[#This Row],[Population]]&amp;Threshold[[#This Row],[Trend]]</f>
        <v>OTHERSDrug - Generic Utilization</v>
      </c>
      <c r="B30" t="s">
        <v>111</v>
      </c>
      <c r="C30" t="s">
        <v>27</v>
      </c>
      <c r="D30">
        <v>10</v>
      </c>
      <c r="E30">
        <v>5</v>
      </c>
    </row>
    <row r="31" spans="1:5" x14ac:dyDescent="0.25">
      <c r="A31" s="5" t="str">
        <f>Threshold[[#This Row],[Population]]&amp;Threshold[[#This Row],[Trend]]</f>
        <v>OTHERSDrug - Generic Utilization Cost</v>
      </c>
      <c r="B31" t="s">
        <v>111</v>
      </c>
      <c r="C31" t="s">
        <v>26</v>
      </c>
      <c r="D31">
        <v>10</v>
      </c>
      <c r="E31">
        <v>5</v>
      </c>
    </row>
    <row r="32" spans="1:5" x14ac:dyDescent="0.25">
      <c r="A32" s="5" t="str">
        <f>Threshold[[#This Row],[Population]]&amp;Threshold[[#This Row],[Trend]]</f>
        <v>OTHERSDrug Claim Count</v>
      </c>
      <c r="B32" t="s">
        <v>111</v>
      </c>
      <c r="C32" t="s">
        <v>34</v>
      </c>
      <c r="D32">
        <v>10</v>
      </c>
      <c r="E32">
        <v>5</v>
      </c>
    </row>
    <row r="33" spans="1:5" x14ac:dyDescent="0.25">
      <c r="A33" s="5" t="str">
        <f>Threshold[[#This Row],[Population]]&amp;Threshold[[#This Row],[Trend]]</f>
        <v>OTHERSDrug PMPM</v>
      </c>
      <c r="B33" t="s">
        <v>111</v>
      </c>
      <c r="C33" t="s">
        <v>13</v>
      </c>
      <c r="D33">
        <v>10</v>
      </c>
      <c r="E33">
        <v>5</v>
      </c>
    </row>
    <row r="34" spans="1:5" x14ac:dyDescent="0.25">
      <c r="A34" s="5" t="str">
        <f>Threshold[[#This Row],[Population]]&amp;Threshold[[#This Row],[Trend]]</f>
        <v>OTHERSED Cost</v>
      </c>
      <c r="B34" t="s">
        <v>111</v>
      </c>
      <c r="C34" t="s">
        <v>24</v>
      </c>
      <c r="D34">
        <v>10</v>
      </c>
      <c r="E34">
        <v>5</v>
      </c>
    </row>
    <row r="35" spans="1:5" x14ac:dyDescent="0.25">
      <c r="A35" s="5" t="str">
        <f>Threshold[[#This Row],[Population]]&amp;Threshold[[#This Row],[Trend]]</f>
        <v>OTHERSED Utilization</v>
      </c>
      <c r="B35" t="s">
        <v>111</v>
      </c>
      <c r="C35" t="s">
        <v>25</v>
      </c>
      <c r="D35">
        <v>10</v>
      </c>
      <c r="E35">
        <v>5</v>
      </c>
    </row>
    <row r="36" spans="1:5" x14ac:dyDescent="0.25">
      <c r="A36" s="5" t="str">
        <f>Threshold[[#This Row],[Population]]&amp;Threshold[[#This Row],[Trend]]</f>
        <v>OTHERSHospiatl Outpatient CTs per 1k</v>
      </c>
      <c r="B36" t="s">
        <v>111</v>
      </c>
      <c r="C36" t="s">
        <v>21</v>
      </c>
      <c r="D36">
        <v>10</v>
      </c>
      <c r="E36">
        <v>5</v>
      </c>
    </row>
    <row r="37" spans="1:5" x14ac:dyDescent="0.25">
      <c r="A37" s="5" t="str">
        <f>Threshold[[#This Row],[Population]]&amp;Threshold[[#This Row],[Trend]]</f>
        <v>OTHERSHospiatl Outpatient MRIs per 1k</v>
      </c>
      <c r="B37" t="s">
        <v>111</v>
      </c>
      <c r="C37" t="s">
        <v>20</v>
      </c>
      <c r="D37">
        <v>10</v>
      </c>
      <c r="E37">
        <v>5</v>
      </c>
    </row>
    <row r="38" spans="1:5" x14ac:dyDescent="0.25">
      <c r="A38" s="5" t="str">
        <f>Threshold[[#This Row],[Population]]&amp;Threshold[[#This Row],[Trend]]</f>
        <v>OTHERSInpatient Claim Count</v>
      </c>
      <c r="B38" t="s">
        <v>111</v>
      </c>
      <c r="C38" t="s">
        <v>30</v>
      </c>
      <c r="D38">
        <v>10</v>
      </c>
      <c r="E38">
        <v>5</v>
      </c>
    </row>
    <row r="39" spans="1:5" x14ac:dyDescent="0.25">
      <c r="A39" s="5" t="str">
        <f>Threshold[[#This Row],[Population]]&amp;Threshold[[#This Row],[Trend]]</f>
        <v>OTHERSMedical PMPM</v>
      </c>
      <c r="B39" t="s">
        <v>111</v>
      </c>
      <c r="C39" t="s">
        <v>12</v>
      </c>
      <c r="D39">
        <v>10</v>
      </c>
      <c r="E39">
        <v>5</v>
      </c>
    </row>
    <row r="40" spans="1:5" x14ac:dyDescent="0.25">
      <c r="A40" s="5" t="str">
        <f>Threshold[[#This Row],[Population]]&amp;Threshold[[#This Row],[Trend]]</f>
        <v>OTHERSOffice Based CTs per 1k</v>
      </c>
      <c r="B40" t="s">
        <v>111</v>
      </c>
      <c r="C40" t="s">
        <v>23</v>
      </c>
      <c r="D40">
        <v>10</v>
      </c>
      <c r="E40">
        <v>5</v>
      </c>
    </row>
    <row r="41" spans="1:5" x14ac:dyDescent="0.25">
      <c r="A41" s="5" t="str">
        <f>Threshold[[#This Row],[Population]]&amp;Threshold[[#This Row],[Trend]]</f>
        <v>OTHERSOffice Based MRIs per 1k</v>
      </c>
      <c r="B41" t="s">
        <v>111</v>
      </c>
      <c r="C41" t="s">
        <v>22</v>
      </c>
      <c r="D41">
        <v>10</v>
      </c>
      <c r="E41">
        <v>5</v>
      </c>
    </row>
    <row r="42" spans="1:5" x14ac:dyDescent="0.25">
      <c r="A42" s="5" t="str">
        <f>Threshold[[#This Row],[Population]]&amp;Threshold[[#This Row],[Trend]]</f>
        <v>OTHERSOutpatient Claim Count</v>
      </c>
      <c r="B42" t="s">
        <v>111</v>
      </c>
      <c r="C42" t="s">
        <v>31</v>
      </c>
      <c r="D42">
        <v>10</v>
      </c>
      <c r="E42">
        <v>5</v>
      </c>
    </row>
    <row r="43" spans="1:5" x14ac:dyDescent="0.25">
      <c r="A43" s="5" t="str">
        <f>Threshold[[#This Row],[Population]]&amp;Threshold[[#This Row],[Trend]]</f>
        <v>OTHERSOutpatient Imaging Cost</v>
      </c>
      <c r="B43" t="s">
        <v>111</v>
      </c>
      <c r="C43" t="s">
        <v>19</v>
      </c>
      <c r="D43">
        <v>10</v>
      </c>
      <c r="E43">
        <v>5</v>
      </c>
    </row>
    <row r="44" spans="1:5" x14ac:dyDescent="0.25">
      <c r="A44" s="5" t="str">
        <f>Threshold[[#This Row],[Population]]&amp;Threshold[[#This Row],[Trend]]</f>
        <v>OTHERSOverall PMPM</v>
      </c>
      <c r="B44" t="s">
        <v>111</v>
      </c>
      <c r="C44" t="s">
        <v>14</v>
      </c>
      <c r="D44">
        <v>10</v>
      </c>
      <c r="E44">
        <v>5</v>
      </c>
    </row>
    <row r="45" spans="1:5" x14ac:dyDescent="0.25">
      <c r="A45" s="5" t="str">
        <f>Threshold[[#This Row],[Population]]&amp;Threshold[[#This Row],[Trend]]</f>
        <v>OTHERSProfessional Claim Count</v>
      </c>
      <c r="B45" t="s">
        <v>111</v>
      </c>
      <c r="C45" t="s">
        <v>32</v>
      </c>
      <c r="D45">
        <v>10</v>
      </c>
      <c r="E45">
        <v>5</v>
      </c>
    </row>
    <row r="46" spans="1:5" x14ac:dyDescent="0.25">
      <c r="A46" s="5" t="str">
        <f>Threshold[[#This Row],[Population]]&amp;Threshold[[#This Row],[Trend]]</f>
        <v>OTHERSReadmission Cost</v>
      </c>
      <c r="B46" t="s">
        <v>111</v>
      </c>
      <c r="C46" t="s">
        <v>15</v>
      </c>
      <c r="D46">
        <v>10</v>
      </c>
      <c r="E46">
        <v>5</v>
      </c>
    </row>
    <row r="47" spans="1:5" x14ac:dyDescent="0.25">
      <c r="A47" s="5" t="str">
        <f>Threshold[[#This Row],[Population]]&amp;Threshold[[#This Row],[Trend]]</f>
        <v>OTHERSReadmission Quality</v>
      </c>
      <c r="B47" t="s">
        <v>111</v>
      </c>
      <c r="C47" t="s">
        <v>16</v>
      </c>
      <c r="D47">
        <v>10</v>
      </c>
      <c r="E47">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565"/>
  <sheetViews>
    <sheetView tabSelected="1" topLeftCell="D16" workbookViewId="0">
      <selection activeCell="L28" sqref="L28"/>
    </sheetView>
  </sheetViews>
  <sheetFormatPr defaultRowHeight="15" x14ac:dyDescent="0.25"/>
  <cols>
    <col min="1" max="1" width="46.7109375" bestFit="1" customWidth="1"/>
    <col min="2" max="2" width="46.7109375" customWidth="1"/>
    <col min="3" max="3" width="11.85546875" customWidth="1"/>
    <col min="4" max="4" width="9.7109375" bestFit="1" customWidth="1"/>
    <col min="5" max="5" width="14.42578125" customWidth="1"/>
    <col min="6" max="6" width="38.140625" bestFit="1" customWidth="1"/>
    <col min="7" max="7" width="13.85546875" customWidth="1"/>
    <col min="8" max="8" width="14" customWidth="1"/>
    <col min="9" max="9" width="17.28515625" customWidth="1"/>
    <col min="10" max="11" width="23.7109375" customWidth="1"/>
    <col min="12" max="12" width="27" customWidth="1"/>
    <col min="13" max="13" width="23.42578125" customWidth="1"/>
  </cols>
  <sheetData>
    <row r="1" spans="1:13" x14ac:dyDescent="0.25">
      <c r="A1" t="s">
        <v>0</v>
      </c>
      <c r="B1" t="s">
        <v>85</v>
      </c>
      <c r="C1" t="s">
        <v>1</v>
      </c>
      <c r="D1" t="s">
        <v>2</v>
      </c>
      <c r="E1" t="s">
        <v>3</v>
      </c>
      <c r="F1" t="s">
        <v>4</v>
      </c>
      <c r="G1" t="s">
        <v>5</v>
      </c>
      <c r="H1" t="s">
        <v>6</v>
      </c>
      <c r="I1" t="s">
        <v>7</v>
      </c>
      <c r="J1" t="s">
        <v>89</v>
      </c>
      <c r="K1" t="s">
        <v>87</v>
      </c>
      <c r="L1" t="s">
        <v>88</v>
      </c>
      <c r="M1" t="s">
        <v>86</v>
      </c>
    </row>
    <row r="2" spans="1:13" x14ac:dyDescent="0.25">
      <c r="A2" t="s">
        <v>90</v>
      </c>
      <c r="B2" t="s">
        <v>90</v>
      </c>
      <c r="C2" t="s">
        <v>91</v>
      </c>
      <c r="D2" s="1" t="s">
        <v>92</v>
      </c>
      <c r="E2" t="s">
        <v>93</v>
      </c>
      <c r="F2" t="s">
        <v>12</v>
      </c>
      <c r="G2">
        <v>1</v>
      </c>
      <c r="H2">
        <v>538.46</v>
      </c>
      <c r="I2" s="5">
        <f>VLOOKUP(TrendSheetStgData[Population]&amp;TrendSheetStgData[Cost Basis]&amp;TrendSheetStgData[Period]&amp;TrendSheetStgData[Trend],TrendSheetPrdData[#All],9,FALSE)</f>
        <v>538.46</v>
      </c>
      <c r="J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 s="5">
        <f>VLOOKUP(TrendSheetStgData[Population]&amp;TrendSheetStgData[Trend],Threshold[#All],4,FALSE)</f>
        <v>10</v>
      </c>
      <c r="L2" s="5">
        <f>VLOOKUP(TrendSheetStgData[Population]&amp;TrendSheetStgData[Trend],Threshold[#All],5,FALSE)</f>
        <v>5</v>
      </c>
      <c r="M2" s="5" t="s">
        <v>87</v>
      </c>
    </row>
    <row r="3" spans="1:13" x14ac:dyDescent="0.25">
      <c r="A3" t="s">
        <v>90</v>
      </c>
      <c r="B3" t="s">
        <v>90</v>
      </c>
      <c r="C3" t="s">
        <v>91</v>
      </c>
      <c r="D3" s="1" t="s">
        <v>94</v>
      </c>
      <c r="E3" t="s">
        <v>93</v>
      </c>
      <c r="F3" t="s">
        <v>12</v>
      </c>
      <c r="G3">
        <v>1</v>
      </c>
      <c r="H3">
        <v>539.79999999999995</v>
      </c>
      <c r="I3" s="5">
        <f>VLOOKUP(TrendSheetStgData[Population]&amp;TrendSheetStgData[Cost Basis]&amp;TrendSheetStgData[Period]&amp;TrendSheetStgData[Trend],TrendSheetPrdData[#All],9,FALSE)</f>
        <v>539.79999999999995</v>
      </c>
      <c r="J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 s="5">
        <f>VLOOKUP(TrendSheetStgData[Population]&amp;TrendSheetStgData[Trend],Threshold[#All],4,FALSE)</f>
        <v>10</v>
      </c>
      <c r="L3" s="5">
        <f>VLOOKUP(TrendSheetStgData[Population]&amp;TrendSheetStgData[Trend],Threshold[#All],5,FALSE)</f>
        <v>5</v>
      </c>
      <c r="M3" s="5" t="s">
        <v>87</v>
      </c>
    </row>
    <row r="4" spans="1:13" x14ac:dyDescent="0.25">
      <c r="A4" t="s">
        <v>90</v>
      </c>
      <c r="B4" t="s">
        <v>90</v>
      </c>
      <c r="C4" t="s">
        <v>91</v>
      </c>
      <c r="D4" s="1" t="s">
        <v>95</v>
      </c>
      <c r="E4" t="s">
        <v>93</v>
      </c>
      <c r="F4" t="s">
        <v>12</v>
      </c>
      <c r="G4">
        <v>1</v>
      </c>
      <c r="H4">
        <v>532.98</v>
      </c>
      <c r="I4" s="5">
        <f>VLOOKUP(TrendSheetStgData[Population]&amp;TrendSheetStgData[Cost Basis]&amp;TrendSheetStgData[Period]&amp;TrendSheetStgData[Trend],TrendSheetPrdData[#All],9,FALSE)</f>
        <v>532.98</v>
      </c>
      <c r="J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 s="5">
        <f>VLOOKUP(TrendSheetStgData[Population]&amp;TrendSheetStgData[Trend],Threshold[#All],4,FALSE)</f>
        <v>10</v>
      </c>
      <c r="L4" s="5">
        <f>VLOOKUP(TrendSheetStgData[Population]&amp;TrendSheetStgData[Trend],Threshold[#All],5,FALSE)</f>
        <v>5</v>
      </c>
      <c r="M4" s="5" t="s">
        <v>87</v>
      </c>
    </row>
    <row r="5" spans="1:13" x14ac:dyDescent="0.25">
      <c r="A5" t="s">
        <v>90</v>
      </c>
      <c r="B5" t="s">
        <v>90</v>
      </c>
      <c r="C5" t="s">
        <v>91</v>
      </c>
      <c r="D5" s="1" t="s">
        <v>96</v>
      </c>
      <c r="E5" t="s">
        <v>93</v>
      </c>
      <c r="F5" t="s">
        <v>12</v>
      </c>
      <c r="G5">
        <v>1</v>
      </c>
      <c r="H5">
        <v>575.51</v>
      </c>
      <c r="I5" s="5">
        <f>VLOOKUP(TrendSheetStgData[Population]&amp;TrendSheetStgData[Cost Basis]&amp;TrendSheetStgData[Period]&amp;TrendSheetStgData[Trend],TrendSheetPrdData[#All],9,FALSE)</f>
        <v>575.51</v>
      </c>
      <c r="J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 s="5">
        <f>VLOOKUP(TrendSheetStgData[Population]&amp;TrendSheetStgData[Trend],Threshold[#All],4,FALSE)</f>
        <v>10</v>
      </c>
      <c r="L5" s="5">
        <f>VLOOKUP(TrendSheetStgData[Population]&amp;TrendSheetStgData[Trend],Threshold[#All],5,FALSE)</f>
        <v>5</v>
      </c>
      <c r="M5" s="5" t="s">
        <v>87</v>
      </c>
    </row>
    <row r="6" spans="1:13" x14ac:dyDescent="0.25">
      <c r="A6" t="s">
        <v>90</v>
      </c>
      <c r="B6" t="s">
        <v>90</v>
      </c>
      <c r="C6" t="s">
        <v>91</v>
      </c>
      <c r="D6" s="1" t="s">
        <v>97</v>
      </c>
      <c r="E6" t="s">
        <v>93</v>
      </c>
      <c r="F6" t="s">
        <v>12</v>
      </c>
      <c r="G6">
        <v>1</v>
      </c>
      <c r="H6">
        <v>522.49</v>
      </c>
      <c r="I6" s="5">
        <f>VLOOKUP(TrendSheetStgData[Population]&amp;TrendSheetStgData[Cost Basis]&amp;TrendSheetStgData[Period]&amp;TrendSheetStgData[Trend],TrendSheetPrdData[#All],9,FALSE)</f>
        <v>522.49</v>
      </c>
      <c r="J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 s="5">
        <f>VLOOKUP(TrendSheetStgData[Population]&amp;TrendSheetStgData[Trend],Threshold[#All],4,FALSE)</f>
        <v>10</v>
      </c>
      <c r="L6" s="5">
        <f>VLOOKUP(TrendSheetStgData[Population]&amp;TrendSheetStgData[Trend],Threshold[#All],5,FALSE)</f>
        <v>5</v>
      </c>
      <c r="M6" s="5" t="s">
        <v>87</v>
      </c>
    </row>
    <row r="7" spans="1:13" x14ac:dyDescent="0.25">
      <c r="A7" t="s">
        <v>90</v>
      </c>
      <c r="B7" t="s">
        <v>90</v>
      </c>
      <c r="C7" t="s">
        <v>91</v>
      </c>
      <c r="D7" s="1" t="s">
        <v>98</v>
      </c>
      <c r="E7" t="s">
        <v>93</v>
      </c>
      <c r="F7" t="s">
        <v>12</v>
      </c>
      <c r="G7">
        <v>1</v>
      </c>
      <c r="H7">
        <v>495.76</v>
      </c>
      <c r="I7" s="5">
        <f>VLOOKUP(TrendSheetStgData[Population]&amp;TrendSheetStgData[Cost Basis]&amp;TrendSheetStgData[Period]&amp;TrendSheetStgData[Trend],TrendSheetPrdData[#All],9,FALSE)</f>
        <v>495.76</v>
      </c>
      <c r="J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 s="5">
        <f>VLOOKUP(TrendSheetStgData[Population]&amp;TrendSheetStgData[Trend],Threshold[#All],4,FALSE)</f>
        <v>10</v>
      </c>
      <c r="L7" s="5">
        <f>VLOOKUP(TrendSheetStgData[Population]&amp;TrendSheetStgData[Trend],Threshold[#All],5,FALSE)</f>
        <v>5</v>
      </c>
      <c r="M7" s="5" t="s">
        <v>87</v>
      </c>
    </row>
    <row r="8" spans="1:13" x14ac:dyDescent="0.25">
      <c r="A8" t="s">
        <v>90</v>
      </c>
      <c r="B8" t="s">
        <v>90</v>
      </c>
      <c r="C8" t="s">
        <v>91</v>
      </c>
      <c r="D8" s="1" t="s">
        <v>99</v>
      </c>
      <c r="E8" t="s">
        <v>93</v>
      </c>
      <c r="F8" t="s">
        <v>12</v>
      </c>
      <c r="G8">
        <v>1</v>
      </c>
      <c r="H8">
        <v>588.16</v>
      </c>
      <c r="I8" s="5">
        <f>VLOOKUP(TrendSheetStgData[Population]&amp;TrendSheetStgData[Cost Basis]&amp;TrendSheetStgData[Period]&amp;TrendSheetStgData[Trend],TrendSheetPrdData[#All],9,FALSE)</f>
        <v>588.16</v>
      </c>
      <c r="J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 s="5">
        <f>VLOOKUP(TrendSheetStgData[Population]&amp;TrendSheetStgData[Trend],Threshold[#All],4,FALSE)</f>
        <v>10</v>
      </c>
      <c r="L8" s="5">
        <f>VLOOKUP(TrendSheetStgData[Population]&amp;TrendSheetStgData[Trend],Threshold[#All],5,FALSE)</f>
        <v>5</v>
      </c>
      <c r="M8" s="5" t="s">
        <v>87</v>
      </c>
    </row>
    <row r="9" spans="1:13" x14ac:dyDescent="0.25">
      <c r="A9" t="s">
        <v>90</v>
      </c>
      <c r="B9" t="s">
        <v>90</v>
      </c>
      <c r="C9" t="s">
        <v>91</v>
      </c>
      <c r="D9" s="1" t="s">
        <v>100</v>
      </c>
      <c r="E9" t="s">
        <v>93</v>
      </c>
      <c r="F9" t="s">
        <v>12</v>
      </c>
      <c r="G9">
        <v>1</v>
      </c>
      <c r="H9">
        <v>504.5</v>
      </c>
      <c r="I9" s="5">
        <f>VLOOKUP(TrendSheetStgData[Population]&amp;TrendSheetStgData[Cost Basis]&amp;TrendSheetStgData[Period]&amp;TrendSheetStgData[Trend],TrendSheetPrdData[#All],9,FALSE)</f>
        <v>504.5</v>
      </c>
      <c r="J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 s="5">
        <f>VLOOKUP(TrendSheetStgData[Population]&amp;TrendSheetStgData[Trend],Threshold[#All],4,FALSE)</f>
        <v>10</v>
      </c>
      <c r="L9" s="5">
        <f>VLOOKUP(TrendSheetStgData[Population]&amp;TrendSheetStgData[Trend],Threshold[#All],5,FALSE)</f>
        <v>5</v>
      </c>
      <c r="M9" s="5" t="s">
        <v>87</v>
      </c>
    </row>
    <row r="10" spans="1:13" x14ac:dyDescent="0.25">
      <c r="A10" t="s">
        <v>90</v>
      </c>
      <c r="B10" t="s">
        <v>90</v>
      </c>
      <c r="C10" t="s">
        <v>91</v>
      </c>
      <c r="D10" s="1" t="s">
        <v>101</v>
      </c>
      <c r="E10" t="s">
        <v>93</v>
      </c>
      <c r="F10" t="s">
        <v>12</v>
      </c>
      <c r="G10">
        <v>1</v>
      </c>
      <c r="H10">
        <v>506.86</v>
      </c>
      <c r="I10" s="5">
        <f>VLOOKUP(TrendSheetStgData[Population]&amp;TrendSheetStgData[Cost Basis]&amp;TrendSheetStgData[Period]&amp;TrendSheetStgData[Trend],TrendSheetPrdData[#All],9,FALSE)</f>
        <v>506.86</v>
      </c>
      <c r="J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 s="5">
        <f>VLOOKUP(TrendSheetStgData[Population]&amp;TrendSheetStgData[Trend],Threshold[#All],4,FALSE)</f>
        <v>10</v>
      </c>
      <c r="L10" s="5">
        <f>VLOOKUP(TrendSheetStgData[Population]&amp;TrendSheetStgData[Trend],Threshold[#All],5,FALSE)</f>
        <v>5</v>
      </c>
      <c r="M10" s="5" t="s">
        <v>87</v>
      </c>
    </row>
    <row r="11" spans="1:13" x14ac:dyDescent="0.25">
      <c r="A11" t="s">
        <v>90</v>
      </c>
      <c r="B11" t="s">
        <v>90</v>
      </c>
      <c r="C11" t="s">
        <v>91</v>
      </c>
      <c r="D11" s="1" t="s">
        <v>102</v>
      </c>
      <c r="E11" t="s">
        <v>93</v>
      </c>
      <c r="F11" t="s">
        <v>12</v>
      </c>
      <c r="G11">
        <v>1</v>
      </c>
      <c r="H11">
        <v>433.15</v>
      </c>
      <c r="I11" s="5">
        <f>VLOOKUP(TrendSheetStgData[Population]&amp;TrendSheetStgData[Cost Basis]&amp;TrendSheetStgData[Period]&amp;TrendSheetStgData[Trend],TrendSheetPrdData[#All],9,FALSE)</f>
        <v>433.15</v>
      </c>
      <c r="J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 s="5">
        <f>VLOOKUP(TrendSheetStgData[Population]&amp;TrendSheetStgData[Trend],Threshold[#All],4,FALSE)</f>
        <v>10</v>
      </c>
      <c r="L11" s="5">
        <f>VLOOKUP(TrendSheetStgData[Population]&amp;TrendSheetStgData[Trend],Threshold[#All],5,FALSE)</f>
        <v>5</v>
      </c>
      <c r="M11" s="5" t="s">
        <v>87</v>
      </c>
    </row>
    <row r="12" spans="1:13" x14ac:dyDescent="0.25">
      <c r="A12" t="s">
        <v>90</v>
      </c>
      <c r="B12" t="s">
        <v>90</v>
      </c>
      <c r="C12" t="s">
        <v>91</v>
      </c>
      <c r="D12" s="1" t="s">
        <v>103</v>
      </c>
      <c r="E12" t="s">
        <v>93</v>
      </c>
      <c r="F12" t="s">
        <v>12</v>
      </c>
      <c r="G12">
        <v>1</v>
      </c>
      <c r="H12">
        <v>453.16</v>
      </c>
      <c r="I12" s="5">
        <f>VLOOKUP(TrendSheetStgData[Population]&amp;TrendSheetStgData[Cost Basis]&amp;TrendSheetStgData[Period]&amp;TrendSheetStgData[Trend],TrendSheetPrdData[#All],9,FALSE)</f>
        <v>453.16</v>
      </c>
      <c r="J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 s="5">
        <f>VLOOKUP(TrendSheetStgData[Population]&amp;TrendSheetStgData[Trend],Threshold[#All],4,FALSE)</f>
        <v>10</v>
      </c>
      <c r="L12" s="5">
        <f>VLOOKUP(TrendSheetStgData[Population]&amp;TrendSheetStgData[Trend],Threshold[#All],5,FALSE)</f>
        <v>5</v>
      </c>
      <c r="M12" s="5" t="s">
        <v>87</v>
      </c>
    </row>
    <row r="13" spans="1:13" x14ac:dyDescent="0.25">
      <c r="A13" t="s">
        <v>90</v>
      </c>
      <c r="B13" t="s">
        <v>90</v>
      </c>
      <c r="C13" t="s">
        <v>91</v>
      </c>
      <c r="D13" s="1" t="s">
        <v>104</v>
      </c>
      <c r="E13" t="s">
        <v>93</v>
      </c>
      <c r="F13" t="s">
        <v>12</v>
      </c>
      <c r="G13">
        <v>1</v>
      </c>
      <c r="H13">
        <v>555.66999999999996</v>
      </c>
      <c r="I13" s="5">
        <f>VLOOKUP(TrendSheetStgData[Population]&amp;TrendSheetStgData[Cost Basis]&amp;TrendSheetStgData[Period]&amp;TrendSheetStgData[Trend],TrendSheetPrdData[#All],9,FALSE)</f>
        <v>555.66999999999996</v>
      </c>
      <c r="J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 s="5">
        <f>VLOOKUP(TrendSheetStgData[Population]&amp;TrendSheetStgData[Trend],Threshold[#All],4,FALSE)</f>
        <v>10</v>
      </c>
      <c r="L13" s="5">
        <f>VLOOKUP(TrendSheetStgData[Population]&amp;TrendSheetStgData[Trend],Threshold[#All],5,FALSE)</f>
        <v>5</v>
      </c>
      <c r="M13" s="5" t="s">
        <v>87</v>
      </c>
    </row>
    <row r="14" spans="1:13" x14ac:dyDescent="0.25">
      <c r="A14" t="s">
        <v>90</v>
      </c>
      <c r="B14" t="s">
        <v>90</v>
      </c>
      <c r="C14" t="s">
        <v>91</v>
      </c>
      <c r="D14" s="1" t="s">
        <v>105</v>
      </c>
      <c r="E14" t="s">
        <v>93</v>
      </c>
      <c r="F14" t="s">
        <v>12</v>
      </c>
      <c r="G14">
        <v>1</v>
      </c>
      <c r="H14">
        <v>499.57</v>
      </c>
      <c r="I14" s="5">
        <f>VLOOKUP(TrendSheetStgData[Population]&amp;TrendSheetStgData[Cost Basis]&amp;TrendSheetStgData[Period]&amp;TrendSheetStgData[Trend],TrendSheetPrdData[#All],9,FALSE)</f>
        <v>499.57</v>
      </c>
      <c r="J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 s="5">
        <f>VLOOKUP(TrendSheetStgData[Population]&amp;TrendSheetStgData[Trend],Threshold[#All],4,FALSE)</f>
        <v>10</v>
      </c>
      <c r="L14" s="5">
        <f>VLOOKUP(TrendSheetStgData[Population]&amp;TrendSheetStgData[Trend],Threshold[#All],5,FALSE)</f>
        <v>5</v>
      </c>
      <c r="M14" s="5" t="s">
        <v>87</v>
      </c>
    </row>
    <row r="15" spans="1:13" x14ac:dyDescent="0.25">
      <c r="A15" t="s">
        <v>90</v>
      </c>
      <c r="B15" t="s">
        <v>90</v>
      </c>
      <c r="C15" t="s">
        <v>91</v>
      </c>
      <c r="D15" s="1" t="s">
        <v>106</v>
      </c>
      <c r="E15" t="s">
        <v>93</v>
      </c>
      <c r="F15" t="s">
        <v>12</v>
      </c>
      <c r="G15">
        <v>1</v>
      </c>
      <c r="H15">
        <v>407.72</v>
      </c>
      <c r="I15" s="5">
        <f>VLOOKUP(TrendSheetStgData[Population]&amp;TrendSheetStgData[Cost Basis]&amp;TrendSheetStgData[Period]&amp;TrendSheetStgData[Trend],TrendSheetPrdData[#All],9,FALSE)</f>
        <v>407.72</v>
      </c>
      <c r="J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 s="5">
        <f>VLOOKUP(TrendSheetStgData[Population]&amp;TrendSheetStgData[Trend],Threshold[#All],4,FALSE)</f>
        <v>10</v>
      </c>
      <c r="L15" s="5">
        <f>VLOOKUP(TrendSheetStgData[Population]&amp;TrendSheetStgData[Trend],Threshold[#All],5,FALSE)</f>
        <v>5</v>
      </c>
      <c r="M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 spans="1:13" x14ac:dyDescent="0.25">
      <c r="A16" t="s">
        <v>90</v>
      </c>
      <c r="B16" t="s">
        <v>90</v>
      </c>
      <c r="C16" t="s">
        <v>91</v>
      </c>
      <c r="D16" s="1" t="s">
        <v>107</v>
      </c>
      <c r="E16" t="s">
        <v>108</v>
      </c>
      <c r="F16" t="s">
        <v>12</v>
      </c>
      <c r="G16">
        <v>1</v>
      </c>
      <c r="H16">
        <v>438.88</v>
      </c>
      <c r="I16" s="5">
        <f>VLOOKUP(TrendSheetStgData[Population]&amp;TrendSheetStgData[Cost Basis]&amp;TrendSheetStgData[Period]&amp;TrendSheetStgData[Trend],TrendSheetPrdData[#All],9,FALSE)</f>
        <v>438.88</v>
      </c>
      <c r="J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 s="5">
        <f>VLOOKUP(TrendSheetStgData[Population]&amp;TrendSheetStgData[Trend],Threshold[#All],4,FALSE)</f>
        <v>10</v>
      </c>
      <c r="L16" s="5">
        <f>VLOOKUP(TrendSheetStgData[Population]&amp;TrendSheetStgData[Trend],Threshold[#All],5,FALSE)</f>
        <v>5</v>
      </c>
      <c r="M16" s="5" t="s">
        <v>88</v>
      </c>
    </row>
    <row r="17" spans="1:13" x14ac:dyDescent="0.25">
      <c r="A17" t="s">
        <v>90</v>
      </c>
      <c r="B17" t="s">
        <v>90</v>
      </c>
      <c r="C17" t="s">
        <v>91</v>
      </c>
      <c r="D17" s="1" t="s">
        <v>109</v>
      </c>
      <c r="E17" t="s">
        <v>108</v>
      </c>
      <c r="F17" t="s">
        <v>12</v>
      </c>
      <c r="G17">
        <v>1</v>
      </c>
      <c r="H17">
        <v>430.1</v>
      </c>
      <c r="I17" s="5">
        <f>VLOOKUP(TrendSheetStgData[Population]&amp;TrendSheetStgData[Cost Basis]&amp;TrendSheetStgData[Period]&amp;TrendSheetStgData[Trend],TrendSheetPrdData[#All],9,FALSE)</f>
        <v>430.1</v>
      </c>
      <c r="J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 s="5">
        <f>VLOOKUP(TrendSheetStgData[Population]&amp;TrendSheetStgData[Trend],Threshold[#All],4,FALSE)</f>
        <v>10</v>
      </c>
      <c r="L17" s="5">
        <f>VLOOKUP(TrendSheetStgData[Population]&amp;TrendSheetStgData[Trend],Threshold[#All],5,FALSE)</f>
        <v>5</v>
      </c>
      <c r="M17" s="5" t="s">
        <v>88</v>
      </c>
    </row>
    <row r="18" spans="1:13" x14ac:dyDescent="0.25">
      <c r="A18" t="s">
        <v>90</v>
      </c>
      <c r="B18" t="s">
        <v>90</v>
      </c>
      <c r="C18" t="s">
        <v>91</v>
      </c>
      <c r="D18" s="1" t="s">
        <v>110</v>
      </c>
      <c r="E18" t="s">
        <v>108</v>
      </c>
      <c r="F18" t="s">
        <v>12</v>
      </c>
      <c r="G18">
        <v>1</v>
      </c>
      <c r="H18">
        <v>235.32</v>
      </c>
      <c r="I18" s="5">
        <f>VLOOKUP(TrendSheetStgData[Population]&amp;TrendSheetStgData[Cost Basis]&amp;TrendSheetStgData[Period]&amp;TrendSheetStgData[Trend],TrendSheetPrdData[#All],9,FALSE)</f>
        <v>235.32</v>
      </c>
      <c r="J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 s="5">
        <f>VLOOKUP(TrendSheetStgData[Population]&amp;TrendSheetStgData[Trend],Threshold[#All],4,FALSE)</f>
        <v>10</v>
      </c>
      <c r="L18" s="5">
        <f>VLOOKUP(TrendSheetStgData[Population]&amp;TrendSheetStgData[Trend],Threshold[#All],5,FALSE)</f>
        <v>5</v>
      </c>
      <c r="M18" s="5" t="s">
        <v>88</v>
      </c>
    </row>
    <row r="19" spans="1:13" x14ac:dyDescent="0.25">
      <c r="A19" t="s">
        <v>90</v>
      </c>
      <c r="B19" t="s">
        <v>90</v>
      </c>
      <c r="C19" t="s">
        <v>91</v>
      </c>
      <c r="D19" s="1" t="s">
        <v>92</v>
      </c>
      <c r="E19" t="s">
        <v>93</v>
      </c>
      <c r="F19" t="s">
        <v>13</v>
      </c>
      <c r="G19">
        <v>2</v>
      </c>
      <c r="H19">
        <v>75.92</v>
      </c>
      <c r="I19" s="5">
        <f>VLOOKUP(TrendSheetStgData[Population]&amp;TrendSheetStgData[Cost Basis]&amp;TrendSheetStgData[Period]&amp;TrendSheetStgData[Trend],TrendSheetPrdData[#All],9,FALSE)</f>
        <v>75.92</v>
      </c>
      <c r="J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 s="5">
        <f>VLOOKUP(TrendSheetStgData[Population]&amp;TrendSheetStgData[Trend],Threshold[#All],4,FALSE)</f>
        <v>10</v>
      </c>
      <c r="L19" s="5">
        <f>VLOOKUP(TrendSheetStgData[Population]&amp;TrendSheetStgData[Trend],Threshold[#All],5,FALSE)</f>
        <v>5</v>
      </c>
      <c r="M19" s="5" t="s">
        <v>88</v>
      </c>
    </row>
    <row r="20" spans="1:13" x14ac:dyDescent="0.25">
      <c r="A20" t="s">
        <v>90</v>
      </c>
      <c r="B20" t="s">
        <v>90</v>
      </c>
      <c r="C20" t="s">
        <v>91</v>
      </c>
      <c r="D20" s="1" t="s">
        <v>94</v>
      </c>
      <c r="E20" t="s">
        <v>93</v>
      </c>
      <c r="F20" t="s">
        <v>13</v>
      </c>
      <c r="G20">
        <v>2</v>
      </c>
      <c r="H20">
        <v>93.51</v>
      </c>
      <c r="I20" s="5">
        <f>VLOOKUP(TrendSheetStgData[Population]&amp;TrendSheetStgData[Cost Basis]&amp;TrendSheetStgData[Period]&amp;TrendSheetStgData[Trend],TrendSheetPrdData[#All],9,FALSE)</f>
        <v>93.51</v>
      </c>
      <c r="J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 s="5">
        <f>VLOOKUP(TrendSheetStgData[Population]&amp;TrendSheetStgData[Trend],Threshold[#All],4,FALSE)</f>
        <v>10</v>
      </c>
      <c r="L20" s="5">
        <f>VLOOKUP(TrendSheetStgData[Population]&amp;TrendSheetStgData[Trend],Threshold[#All],5,FALSE)</f>
        <v>5</v>
      </c>
      <c r="M20" s="5" t="s">
        <v>88</v>
      </c>
    </row>
    <row r="21" spans="1:13" x14ac:dyDescent="0.25">
      <c r="A21" t="s">
        <v>90</v>
      </c>
      <c r="B21" t="s">
        <v>90</v>
      </c>
      <c r="C21" t="s">
        <v>91</v>
      </c>
      <c r="D21" s="1" t="s">
        <v>95</v>
      </c>
      <c r="E21" t="s">
        <v>93</v>
      </c>
      <c r="F21" t="s">
        <v>13</v>
      </c>
      <c r="G21">
        <v>2</v>
      </c>
      <c r="H21">
        <v>82.57</v>
      </c>
      <c r="I21" s="5">
        <f>VLOOKUP(TrendSheetStgData[Population]&amp;TrendSheetStgData[Cost Basis]&amp;TrendSheetStgData[Period]&amp;TrendSheetStgData[Trend],TrendSheetPrdData[#All],9,FALSE)</f>
        <v>82.57</v>
      </c>
      <c r="J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 s="5">
        <f>VLOOKUP(TrendSheetStgData[Population]&amp;TrendSheetStgData[Trend],Threshold[#All],4,FALSE)</f>
        <v>10</v>
      </c>
      <c r="L21" s="5">
        <f>VLOOKUP(TrendSheetStgData[Population]&amp;TrendSheetStgData[Trend],Threshold[#All],5,FALSE)</f>
        <v>5</v>
      </c>
      <c r="M21" s="5" t="s">
        <v>88</v>
      </c>
    </row>
    <row r="22" spans="1:13" x14ac:dyDescent="0.25">
      <c r="A22" t="s">
        <v>90</v>
      </c>
      <c r="B22" t="s">
        <v>90</v>
      </c>
      <c r="C22" t="s">
        <v>91</v>
      </c>
      <c r="D22" s="1" t="s">
        <v>96</v>
      </c>
      <c r="E22" t="s">
        <v>93</v>
      </c>
      <c r="F22" t="s">
        <v>13</v>
      </c>
      <c r="G22">
        <v>2</v>
      </c>
      <c r="H22">
        <v>80.819999999999993</v>
      </c>
      <c r="I22" s="5">
        <f>VLOOKUP(TrendSheetStgData[Population]&amp;TrendSheetStgData[Cost Basis]&amp;TrendSheetStgData[Period]&amp;TrendSheetStgData[Trend],TrendSheetPrdData[#All],9,FALSE)</f>
        <v>80.819999999999993</v>
      </c>
      <c r="J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 s="5">
        <f>VLOOKUP(TrendSheetStgData[Population]&amp;TrendSheetStgData[Trend],Threshold[#All],4,FALSE)</f>
        <v>10</v>
      </c>
      <c r="L22" s="5">
        <f>VLOOKUP(TrendSheetStgData[Population]&amp;TrendSheetStgData[Trend],Threshold[#All],5,FALSE)</f>
        <v>5</v>
      </c>
      <c r="M22" s="5" t="s">
        <v>88</v>
      </c>
    </row>
    <row r="23" spans="1:13" x14ac:dyDescent="0.25">
      <c r="A23" t="s">
        <v>90</v>
      </c>
      <c r="B23" t="s">
        <v>90</v>
      </c>
      <c r="C23" t="s">
        <v>91</v>
      </c>
      <c r="D23" s="1" t="s">
        <v>97</v>
      </c>
      <c r="E23" t="s">
        <v>93</v>
      </c>
      <c r="F23" t="s">
        <v>13</v>
      </c>
      <c r="G23">
        <v>2</v>
      </c>
      <c r="H23">
        <v>87.2</v>
      </c>
      <c r="I23" s="5">
        <f>VLOOKUP(TrendSheetStgData[Population]&amp;TrendSheetStgData[Cost Basis]&amp;TrendSheetStgData[Period]&amp;TrendSheetStgData[Trend],TrendSheetPrdData[#All],9,FALSE)</f>
        <v>87.2</v>
      </c>
      <c r="J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 s="5">
        <f>VLOOKUP(TrendSheetStgData[Population]&amp;TrendSheetStgData[Trend],Threshold[#All],4,FALSE)</f>
        <v>10</v>
      </c>
      <c r="L23" s="5">
        <f>VLOOKUP(TrendSheetStgData[Population]&amp;TrendSheetStgData[Trend],Threshold[#All],5,FALSE)</f>
        <v>5</v>
      </c>
      <c r="M23" s="5" t="s">
        <v>88</v>
      </c>
    </row>
    <row r="24" spans="1:13" x14ac:dyDescent="0.25">
      <c r="A24" t="s">
        <v>90</v>
      </c>
      <c r="B24" t="s">
        <v>90</v>
      </c>
      <c r="C24" t="s">
        <v>91</v>
      </c>
      <c r="D24" s="1" t="s">
        <v>98</v>
      </c>
      <c r="E24" t="s">
        <v>93</v>
      </c>
      <c r="F24" t="s">
        <v>13</v>
      </c>
      <c r="G24">
        <v>2</v>
      </c>
      <c r="H24">
        <v>71.66</v>
      </c>
      <c r="I24" s="5">
        <f>VLOOKUP(TrendSheetStgData[Population]&amp;TrendSheetStgData[Cost Basis]&amp;TrendSheetStgData[Period]&amp;TrendSheetStgData[Trend],TrendSheetPrdData[#All],9,FALSE)</f>
        <v>71.66</v>
      </c>
      <c r="J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 s="5">
        <f>VLOOKUP(TrendSheetStgData[Population]&amp;TrendSheetStgData[Trend],Threshold[#All],4,FALSE)</f>
        <v>10</v>
      </c>
      <c r="L24" s="5">
        <f>VLOOKUP(TrendSheetStgData[Population]&amp;TrendSheetStgData[Trend],Threshold[#All],5,FALSE)</f>
        <v>5</v>
      </c>
      <c r="M24" s="5" t="s">
        <v>88</v>
      </c>
    </row>
    <row r="25" spans="1:13" x14ac:dyDescent="0.25">
      <c r="A25" t="s">
        <v>90</v>
      </c>
      <c r="B25" t="s">
        <v>90</v>
      </c>
      <c r="C25" t="s">
        <v>91</v>
      </c>
      <c r="D25" s="1" t="s">
        <v>99</v>
      </c>
      <c r="E25" t="s">
        <v>93</v>
      </c>
      <c r="F25" t="s">
        <v>13</v>
      </c>
      <c r="G25">
        <v>2</v>
      </c>
      <c r="H25">
        <v>70.59</v>
      </c>
      <c r="I25" s="5">
        <f>VLOOKUP(TrendSheetStgData[Population]&amp;TrendSheetStgData[Cost Basis]&amp;TrendSheetStgData[Period]&amp;TrendSheetStgData[Trend],TrendSheetPrdData[#All],9,FALSE)</f>
        <v>70.59</v>
      </c>
      <c r="J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 s="5">
        <f>VLOOKUP(TrendSheetStgData[Population]&amp;TrendSheetStgData[Trend],Threshold[#All],4,FALSE)</f>
        <v>10</v>
      </c>
      <c r="L25" s="5">
        <f>VLOOKUP(TrendSheetStgData[Population]&amp;TrendSheetStgData[Trend],Threshold[#All],5,FALSE)</f>
        <v>5</v>
      </c>
      <c r="M25" s="5" t="s">
        <v>88</v>
      </c>
    </row>
    <row r="26" spans="1:13" x14ac:dyDescent="0.25">
      <c r="A26" t="s">
        <v>90</v>
      </c>
      <c r="B26" t="s">
        <v>90</v>
      </c>
      <c r="C26" t="s">
        <v>91</v>
      </c>
      <c r="D26" s="1" t="s">
        <v>100</v>
      </c>
      <c r="E26" t="s">
        <v>93</v>
      </c>
      <c r="F26" t="s">
        <v>13</v>
      </c>
      <c r="G26">
        <v>2</v>
      </c>
      <c r="H26">
        <v>100.02</v>
      </c>
      <c r="I26" s="5">
        <f>VLOOKUP(TrendSheetStgData[Population]&amp;TrendSheetStgData[Cost Basis]&amp;TrendSheetStgData[Period]&amp;TrendSheetStgData[Trend],TrendSheetPrdData[#All],9,FALSE)</f>
        <v>100.02</v>
      </c>
      <c r="J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 s="5">
        <f>VLOOKUP(TrendSheetStgData[Population]&amp;TrendSheetStgData[Trend],Threshold[#All],4,FALSE)</f>
        <v>10</v>
      </c>
      <c r="L26" s="5">
        <f>VLOOKUP(TrendSheetStgData[Population]&amp;TrendSheetStgData[Trend],Threshold[#All],5,FALSE)</f>
        <v>5</v>
      </c>
      <c r="M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 spans="1:13" x14ac:dyDescent="0.25">
      <c r="A27" t="s">
        <v>90</v>
      </c>
      <c r="B27" t="s">
        <v>90</v>
      </c>
      <c r="C27" t="s">
        <v>91</v>
      </c>
      <c r="D27" s="1" t="s">
        <v>101</v>
      </c>
      <c r="E27" t="s">
        <v>93</v>
      </c>
      <c r="F27" t="s">
        <v>13</v>
      </c>
      <c r="G27">
        <v>2</v>
      </c>
      <c r="H27">
        <v>74.81</v>
      </c>
      <c r="I27" s="5">
        <f>VLOOKUP(TrendSheetStgData[Population]&amp;TrendSheetStgData[Cost Basis]&amp;TrendSheetStgData[Period]&amp;TrendSheetStgData[Trend],TrendSheetPrdData[#All],9,FALSE)</f>
        <v>74.81</v>
      </c>
      <c r="J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 s="5">
        <f>VLOOKUP(TrendSheetStgData[Population]&amp;TrendSheetStgData[Trend],Threshold[#All],4,FALSE)</f>
        <v>10</v>
      </c>
      <c r="L27" s="5">
        <f>VLOOKUP(TrendSheetStgData[Population]&amp;TrendSheetStgData[Trend],Threshold[#All],5,FALSE)</f>
        <v>5</v>
      </c>
      <c r="M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 spans="1:13" x14ac:dyDescent="0.25">
      <c r="A28" t="s">
        <v>90</v>
      </c>
      <c r="B28" t="s">
        <v>90</v>
      </c>
      <c r="C28" t="s">
        <v>91</v>
      </c>
      <c r="D28" s="1" t="s">
        <v>102</v>
      </c>
      <c r="E28" t="s">
        <v>93</v>
      </c>
      <c r="F28" t="s">
        <v>13</v>
      </c>
      <c r="G28">
        <v>2</v>
      </c>
      <c r="H28">
        <v>83.68</v>
      </c>
      <c r="I28" s="5">
        <f>VLOOKUP(TrendSheetStgData[Population]&amp;TrendSheetStgData[Cost Basis]&amp;TrendSheetStgData[Period]&amp;TrendSheetStgData[Trend],TrendSheetPrdData[#All],9,FALSE)</f>
        <v>83.68</v>
      </c>
      <c r="J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 s="5">
        <f>VLOOKUP(TrendSheetStgData[Population]&amp;TrendSheetStgData[Trend],Threshold[#All],4,FALSE)</f>
        <v>10</v>
      </c>
      <c r="L28" s="5">
        <f>VLOOKUP(TrendSheetStgData[Population]&amp;TrendSheetStgData[Trend],Threshold[#All],5,FALSE)</f>
        <v>5</v>
      </c>
      <c r="M28" s="5" t="s">
        <v>132</v>
      </c>
    </row>
    <row r="29" spans="1:13" x14ac:dyDescent="0.25">
      <c r="A29" t="s">
        <v>90</v>
      </c>
      <c r="B29" t="s">
        <v>90</v>
      </c>
      <c r="C29" t="s">
        <v>91</v>
      </c>
      <c r="D29" s="1" t="s">
        <v>103</v>
      </c>
      <c r="E29" t="s">
        <v>93</v>
      </c>
      <c r="F29" t="s">
        <v>13</v>
      </c>
      <c r="G29">
        <v>2</v>
      </c>
      <c r="H29">
        <v>113.81</v>
      </c>
      <c r="I29" s="5">
        <f>VLOOKUP(TrendSheetStgData[Population]&amp;TrendSheetStgData[Cost Basis]&amp;TrendSheetStgData[Period]&amp;TrendSheetStgData[Trend],TrendSheetPrdData[#All],9,FALSE)</f>
        <v>113.81</v>
      </c>
      <c r="J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 s="5">
        <f>VLOOKUP(TrendSheetStgData[Population]&amp;TrendSheetStgData[Trend],Threshold[#All],4,FALSE)</f>
        <v>10</v>
      </c>
      <c r="L29" s="5">
        <f>VLOOKUP(TrendSheetStgData[Population]&amp;TrendSheetStgData[Trend],Threshold[#All],5,FALSE)</f>
        <v>5</v>
      </c>
      <c r="M29" s="5" t="s">
        <v>132</v>
      </c>
    </row>
    <row r="30" spans="1:13" x14ac:dyDescent="0.25">
      <c r="A30" t="s">
        <v>90</v>
      </c>
      <c r="B30" t="s">
        <v>90</v>
      </c>
      <c r="C30" t="s">
        <v>91</v>
      </c>
      <c r="D30" s="1" t="s">
        <v>104</v>
      </c>
      <c r="E30" t="s">
        <v>93</v>
      </c>
      <c r="F30" t="s">
        <v>13</v>
      </c>
      <c r="G30">
        <v>2</v>
      </c>
      <c r="H30">
        <v>59.65</v>
      </c>
      <c r="I30" s="5">
        <f>VLOOKUP(TrendSheetStgData[Population]&amp;TrendSheetStgData[Cost Basis]&amp;TrendSheetStgData[Period]&amp;TrendSheetStgData[Trend],TrendSheetPrdData[#All],9,FALSE)</f>
        <v>59.65</v>
      </c>
      <c r="J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 s="5">
        <f>VLOOKUP(TrendSheetStgData[Population]&amp;TrendSheetStgData[Trend],Threshold[#All],4,FALSE)</f>
        <v>10</v>
      </c>
      <c r="L30" s="5">
        <f>VLOOKUP(TrendSheetStgData[Population]&amp;TrendSheetStgData[Trend],Threshold[#All],5,FALSE)</f>
        <v>5</v>
      </c>
      <c r="M30" s="5" t="s">
        <v>132</v>
      </c>
    </row>
    <row r="31" spans="1:13" x14ac:dyDescent="0.25">
      <c r="A31" t="s">
        <v>90</v>
      </c>
      <c r="B31" t="s">
        <v>90</v>
      </c>
      <c r="C31" t="s">
        <v>91</v>
      </c>
      <c r="D31" s="1" t="s">
        <v>105</v>
      </c>
      <c r="E31" t="s">
        <v>93</v>
      </c>
      <c r="F31" t="s">
        <v>13</v>
      </c>
      <c r="G31">
        <v>2</v>
      </c>
      <c r="H31">
        <v>97.25</v>
      </c>
      <c r="I31" s="5">
        <f>VLOOKUP(TrendSheetStgData[Population]&amp;TrendSheetStgData[Cost Basis]&amp;TrendSheetStgData[Period]&amp;TrendSheetStgData[Trend],TrendSheetPrdData[#All],9,FALSE)</f>
        <v>97.25</v>
      </c>
      <c r="J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 s="5">
        <f>VLOOKUP(TrendSheetStgData[Population]&amp;TrendSheetStgData[Trend],Threshold[#All],4,FALSE)</f>
        <v>10</v>
      </c>
      <c r="L31" s="5">
        <f>VLOOKUP(TrendSheetStgData[Population]&amp;TrendSheetStgData[Trend],Threshold[#All],5,FALSE)</f>
        <v>5</v>
      </c>
      <c r="M31" s="5" t="s">
        <v>132</v>
      </c>
    </row>
    <row r="32" spans="1:13" x14ac:dyDescent="0.25">
      <c r="A32" t="s">
        <v>90</v>
      </c>
      <c r="B32" t="s">
        <v>90</v>
      </c>
      <c r="C32" t="s">
        <v>91</v>
      </c>
      <c r="D32" s="1" t="s">
        <v>106</v>
      </c>
      <c r="E32" t="s">
        <v>93</v>
      </c>
      <c r="F32" t="s">
        <v>13</v>
      </c>
      <c r="G32">
        <v>2</v>
      </c>
      <c r="H32">
        <v>111.67</v>
      </c>
      <c r="I32" s="5">
        <f>VLOOKUP(TrendSheetStgData[Population]&amp;TrendSheetStgData[Cost Basis]&amp;TrendSheetStgData[Period]&amp;TrendSheetStgData[Trend],TrendSheetPrdData[#All],9,FALSE)</f>
        <v>111.67</v>
      </c>
      <c r="J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 s="5">
        <f>VLOOKUP(TrendSheetStgData[Population]&amp;TrendSheetStgData[Trend],Threshold[#All],4,FALSE)</f>
        <v>10</v>
      </c>
      <c r="L32" s="5">
        <f>VLOOKUP(TrendSheetStgData[Population]&amp;TrendSheetStgData[Trend],Threshold[#All],5,FALSE)</f>
        <v>5</v>
      </c>
      <c r="M32" s="5" t="s">
        <v>132</v>
      </c>
    </row>
    <row r="33" spans="1:13" x14ac:dyDescent="0.25">
      <c r="A33" t="s">
        <v>90</v>
      </c>
      <c r="B33" t="s">
        <v>90</v>
      </c>
      <c r="C33" t="s">
        <v>91</v>
      </c>
      <c r="D33" s="1" t="s">
        <v>107</v>
      </c>
      <c r="E33" t="s">
        <v>108</v>
      </c>
      <c r="F33" t="s">
        <v>13</v>
      </c>
      <c r="G33">
        <v>2</v>
      </c>
      <c r="H33">
        <v>118.68</v>
      </c>
      <c r="I33" s="5">
        <f>VLOOKUP(TrendSheetStgData[Population]&amp;TrendSheetStgData[Cost Basis]&amp;TrendSheetStgData[Period]&amp;TrendSheetStgData[Trend],TrendSheetPrdData[#All],9,FALSE)</f>
        <v>118.68</v>
      </c>
      <c r="J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 s="5">
        <f>VLOOKUP(TrendSheetStgData[Population]&amp;TrendSheetStgData[Trend],Threshold[#All],4,FALSE)</f>
        <v>10</v>
      </c>
      <c r="L33" s="5">
        <f>VLOOKUP(TrendSheetStgData[Population]&amp;TrendSheetStgData[Trend],Threshold[#All],5,FALSE)</f>
        <v>5</v>
      </c>
      <c r="M33" s="5" t="s">
        <v>132</v>
      </c>
    </row>
    <row r="34" spans="1:13" x14ac:dyDescent="0.25">
      <c r="A34" t="s">
        <v>90</v>
      </c>
      <c r="B34" t="s">
        <v>90</v>
      </c>
      <c r="C34" t="s">
        <v>91</v>
      </c>
      <c r="D34" s="1" t="s">
        <v>109</v>
      </c>
      <c r="E34" t="s">
        <v>108</v>
      </c>
      <c r="F34" t="s">
        <v>13</v>
      </c>
      <c r="G34">
        <v>2</v>
      </c>
      <c r="H34">
        <v>103.6</v>
      </c>
      <c r="I34" s="5">
        <f>VLOOKUP(TrendSheetStgData[Population]&amp;TrendSheetStgData[Cost Basis]&amp;TrendSheetStgData[Period]&amp;TrendSheetStgData[Trend],TrendSheetPrdData[#All],9,FALSE)</f>
        <v>103.6</v>
      </c>
      <c r="J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 s="5">
        <f>VLOOKUP(TrendSheetStgData[Population]&amp;TrendSheetStgData[Trend],Threshold[#All],4,FALSE)</f>
        <v>10</v>
      </c>
      <c r="L34" s="5">
        <f>VLOOKUP(TrendSheetStgData[Population]&amp;TrendSheetStgData[Trend],Threshold[#All],5,FALSE)</f>
        <v>5</v>
      </c>
      <c r="M34" s="5" t="s">
        <v>132</v>
      </c>
    </row>
    <row r="35" spans="1:13" x14ac:dyDescent="0.25">
      <c r="A35" t="s">
        <v>90</v>
      </c>
      <c r="B35" t="s">
        <v>90</v>
      </c>
      <c r="C35" t="s">
        <v>91</v>
      </c>
      <c r="D35" s="1" t="s">
        <v>110</v>
      </c>
      <c r="E35" t="s">
        <v>108</v>
      </c>
      <c r="F35" t="s">
        <v>13</v>
      </c>
      <c r="G35">
        <v>2</v>
      </c>
      <c r="H35">
        <v>87.83</v>
      </c>
      <c r="I35" s="5">
        <f>VLOOKUP(TrendSheetStgData[Population]&amp;TrendSheetStgData[Cost Basis]&amp;TrendSheetStgData[Period]&amp;TrendSheetStgData[Trend],TrendSheetPrdData[#All],9,FALSE)</f>
        <v>87.83</v>
      </c>
      <c r="J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 s="5">
        <f>VLOOKUP(TrendSheetStgData[Population]&amp;TrendSheetStgData[Trend],Threshold[#All],4,FALSE)</f>
        <v>10</v>
      </c>
      <c r="L35" s="5">
        <f>VLOOKUP(TrendSheetStgData[Population]&amp;TrendSheetStgData[Trend],Threshold[#All],5,FALSE)</f>
        <v>5</v>
      </c>
      <c r="M35" s="5" t="s">
        <v>132</v>
      </c>
    </row>
    <row r="36" spans="1:13" x14ac:dyDescent="0.25">
      <c r="A36" t="s">
        <v>90</v>
      </c>
      <c r="B36" t="s">
        <v>90</v>
      </c>
      <c r="C36" t="s">
        <v>91</v>
      </c>
      <c r="D36" s="1" t="s">
        <v>92</v>
      </c>
      <c r="E36" t="s">
        <v>93</v>
      </c>
      <c r="F36" t="s">
        <v>14</v>
      </c>
      <c r="G36">
        <v>3</v>
      </c>
      <c r="H36">
        <v>614.38</v>
      </c>
      <c r="I36" s="5">
        <f>VLOOKUP(TrendSheetStgData[Population]&amp;TrendSheetStgData[Cost Basis]&amp;TrendSheetStgData[Period]&amp;TrendSheetStgData[Trend],TrendSheetPrdData[#All],9,FALSE)</f>
        <v>614.38</v>
      </c>
      <c r="J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 s="5">
        <f>VLOOKUP(TrendSheetStgData[Population]&amp;TrendSheetStgData[Trend],Threshold[#All],4,FALSE)</f>
        <v>10</v>
      </c>
      <c r="L36" s="5">
        <f>VLOOKUP(TrendSheetStgData[Population]&amp;TrendSheetStgData[Trend],Threshold[#All],5,FALSE)</f>
        <v>5</v>
      </c>
      <c r="M36" s="5" t="s">
        <v>132</v>
      </c>
    </row>
    <row r="37" spans="1:13" x14ac:dyDescent="0.25">
      <c r="A37" t="s">
        <v>90</v>
      </c>
      <c r="B37" t="s">
        <v>90</v>
      </c>
      <c r="C37" t="s">
        <v>91</v>
      </c>
      <c r="D37" s="1" t="s">
        <v>94</v>
      </c>
      <c r="E37" t="s">
        <v>93</v>
      </c>
      <c r="F37" t="s">
        <v>14</v>
      </c>
      <c r="G37">
        <v>3</v>
      </c>
      <c r="H37">
        <v>633.30999999999995</v>
      </c>
      <c r="I37" s="5">
        <f>VLOOKUP(TrendSheetStgData[Population]&amp;TrendSheetStgData[Cost Basis]&amp;TrendSheetStgData[Period]&amp;TrendSheetStgData[Trend],TrendSheetPrdData[#All],9,FALSE)</f>
        <v>633.30999999999995</v>
      </c>
      <c r="J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 s="5">
        <f>VLOOKUP(TrendSheetStgData[Population]&amp;TrendSheetStgData[Trend],Threshold[#All],4,FALSE)</f>
        <v>10</v>
      </c>
      <c r="L37" s="5">
        <f>VLOOKUP(TrendSheetStgData[Population]&amp;TrendSheetStgData[Trend],Threshold[#All],5,FALSE)</f>
        <v>5</v>
      </c>
      <c r="M37" s="5" t="s">
        <v>132</v>
      </c>
    </row>
    <row r="38" spans="1:13" x14ac:dyDescent="0.25">
      <c r="A38" t="s">
        <v>90</v>
      </c>
      <c r="B38" t="s">
        <v>90</v>
      </c>
      <c r="C38" t="s">
        <v>91</v>
      </c>
      <c r="D38" s="1" t="s">
        <v>95</v>
      </c>
      <c r="E38" t="s">
        <v>93</v>
      </c>
      <c r="F38" t="s">
        <v>14</v>
      </c>
      <c r="G38">
        <v>3</v>
      </c>
      <c r="H38">
        <v>615.54999999999995</v>
      </c>
      <c r="I38" s="5">
        <f>VLOOKUP(TrendSheetStgData[Population]&amp;TrendSheetStgData[Cost Basis]&amp;TrendSheetStgData[Period]&amp;TrendSheetStgData[Trend],TrendSheetPrdData[#All],9,FALSE)</f>
        <v>615.54999999999995</v>
      </c>
      <c r="J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 s="5">
        <f>VLOOKUP(TrendSheetStgData[Population]&amp;TrendSheetStgData[Trend],Threshold[#All],4,FALSE)</f>
        <v>10</v>
      </c>
      <c r="L38" s="5">
        <f>VLOOKUP(TrendSheetStgData[Population]&amp;TrendSheetStgData[Trend],Threshold[#All],5,FALSE)</f>
        <v>5</v>
      </c>
      <c r="M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 spans="1:13" x14ac:dyDescent="0.25">
      <c r="A39" t="s">
        <v>90</v>
      </c>
      <c r="B39" t="s">
        <v>90</v>
      </c>
      <c r="C39" t="s">
        <v>91</v>
      </c>
      <c r="D39" s="1" t="s">
        <v>96</v>
      </c>
      <c r="E39" t="s">
        <v>93</v>
      </c>
      <c r="F39" t="s">
        <v>14</v>
      </c>
      <c r="G39">
        <v>3</v>
      </c>
      <c r="H39">
        <v>656.33</v>
      </c>
      <c r="I39" s="5">
        <f>VLOOKUP(TrendSheetStgData[Population]&amp;TrendSheetStgData[Cost Basis]&amp;TrendSheetStgData[Period]&amp;TrendSheetStgData[Trend],TrendSheetPrdData[#All],9,FALSE)</f>
        <v>656.33</v>
      </c>
      <c r="J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 s="5">
        <f>VLOOKUP(TrendSheetStgData[Population]&amp;TrendSheetStgData[Trend],Threshold[#All],4,FALSE)</f>
        <v>10</v>
      </c>
      <c r="L39" s="5">
        <f>VLOOKUP(TrendSheetStgData[Population]&amp;TrendSheetStgData[Trend],Threshold[#All],5,FALSE)</f>
        <v>5</v>
      </c>
      <c r="M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 spans="1:13" x14ac:dyDescent="0.25">
      <c r="A40" t="s">
        <v>90</v>
      </c>
      <c r="B40" t="s">
        <v>90</v>
      </c>
      <c r="C40" t="s">
        <v>91</v>
      </c>
      <c r="D40" s="1" t="s">
        <v>97</v>
      </c>
      <c r="E40" t="s">
        <v>93</v>
      </c>
      <c r="F40" t="s">
        <v>14</v>
      </c>
      <c r="G40">
        <v>3</v>
      </c>
      <c r="H40">
        <v>609.69000000000005</v>
      </c>
      <c r="I40" s="5">
        <f>VLOOKUP(TrendSheetStgData[Population]&amp;TrendSheetStgData[Cost Basis]&amp;TrendSheetStgData[Period]&amp;TrendSheetStgData[Trend],TrendSheetPrdData[#All],9,FALSE)</f>
        <v>609.69000000000005</v>
      </c>
      <c r="J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 s="5">
        <f>VLOOKUP(TrendSheetStgData[Population]&amp;TrendSheetStgData[Trend],Threshold[#All],4,FALSE)</f>
        <v>10</v>
      </c>
      <c r="L40" s="5">
        <f>VLOOKUP(TrendSheetStgData[Population]&amp;TrendSheetStgData[Trend],Threshold[#All],5,FALSE)</f>
        <v>5</v>
      </c>
      <c r="M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 spans="1:13" x14ac:dyDescent="0.25">
      <c r="A41" t="s">
        <v>90</v>
      </c>
      <c r="B41" t="s">
        <v>90</v>
      </c>
      <c r="C41" t="s">
        <v>91</v>
      </c>
      <c r="D41" s="1" t="s">
        <v>98</v>
      </c>
      <c r="E41" t="s">
        <v>93</v>
      </c>
      <c r="F41" t="s">
        <v>14</v>
      </c>
      <c r="G41">
        <v>3</v>
      </c>
      <c r="H41">
        <v>567.41999999999996</v>
      </c>
      <c r="I41" s="5">
        <f>VLOOKUP(TrendSheetStgData[Population]&amp;TrendSheetStgData[Cost Basis]&amp;TrendSheetStgData[Period]&amp;TrendSheetStgData[Trend],TrendSheetPrdData[#All],9,FALSE)</f>
        <v>567.41999999999996</v>
      </c>
      <c r="J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 s="5">
        <f>VLOOKUP(TrendSheetStgData[Population]&amp;TrendSheetStgData[Trend],Threshold[#All],4,FALSE)</f>
        <v>10</v>
      </c>
      <c r="L41" s="5">
        <f>VLOOKUP(TrendSheetStgData[Population]&amp;TrendSheetStgData[Trend],Threshold[#All],5,FALSE)</f>
        <v>5</v>
      </c>
      <c r="M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 spans="1:13" x14ac:dyDescent="0.25">
      <c r="A42" t="s">
        <v>90</v>
      </c>
      <c r="B42" t="s">
        <v>90</v>
      </c>
      <c r="C42" t="s">
        <v>91</v>
      </c>
      <c r="D42" s="1" t="s">
        <v>99</v>
      </c>
      <c r="E42" t="s">
        <v>93</v>
      </c>
      <c r="F42" t="s">
        <v>14</v>
      </c>
      <c r="G42">
        <v>3</v>
      </c>
      <c r="H42">
        <v>658.75</v>
      </c>
      <c r="I42" s="5">
        <f>VLOOKUP(TrendSheetStgData[Population]&amp;TrendSheetStgData[Cost Basis]&amp;TrendSheetStgData[Period]&amp;TrendSheetStgData[Trend],TrendSheetPrdData[#All],9,FALSE)</f>
        <v>658.75</v>
      </c>
      <c r="J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 s="5">
        <f>VLOOKUP(TrendSheetStgData[Population]&amp;TrendSheetStgData[Trend],Threshold[#All],4,FALSE)</f>
        <v>10</v>
      </c>
      <c r="L42" s="5">
        <f>VLOOKUP(TrendSheetStgData[Population]&amp;TrendSheetStgData[Trend],Threshold[#All],5,FALSE)</f>
        <v>5</v>
      </c>
      <c r="M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 spans="1:13" x14ac:dyDescent="0.25">
      <c r="A43" t="s">
        <v>90</v>
      </c>
      <c r="B43" t="s">
        <v>90</v>
      </c>
      <c r="C43" t="s">
        <v>91</v>
      </c>
      <c r="D43" s="1" t="s">
        <v>100</v>
      </c>
      <c r="E43" t="s">
        <v>93</v>
      </c>
      <c r="F43" t="s">
        <v>14</v>
      </c>
      <c r="G43">
        <v>3</v>
      </c>
      <c r="H43">
        <v>604.52</v>
      </c>
      <c r="I43" s="5">
        <f>VLOOKUP(TrendSheetStgData[Population]&amp;TrendSheetStgData[Cost Basis]&amp;TrendSheetStgData[Period]&amp;TrendSheetStgData[Trend],TrendSheetPrdData[#All],9,FALSE)</f>
        <v>604.52</v>
      </c>
      <c r="J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 s="5">
        <f>VLOOKUP(TrendSheetStgData[Population]&amp;TrendSheetStgData[Trend],Threshold[#All],4,FALSE)</f>
        <v>10</v>
      </c>
      <c r="L43" s="5">
        <f>VLOOKUP(TrendSheetStgData[Population]&amp;TrendSheetStgData[Trend],Threshold[#All],5,FALSE)</f>
        <v>5</v>
      </c>
      <c r="M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 spans="1:13" x14ac:dyDescent="0.25">
      <c r="A44" t="s">
        <v>90</v>
      </c>
      <c r="B44" t="s">
        <v>90</v>
      </c>
      <c r="C44" t="s">
        <v>91</v>
      </c>
      <c r="D44" s="1" t="s">
        <v>101</v>
      </c>
      <c r="E44" t="s">
        <v>93</v>
      </c>
      <c r="F44" t="s">
        <v>14</v>
      </c>
      <c r="G44">
        <v>3</v>
      </c>
      <c r="H44">
        <v>581.66999999999996</v>
      </c>
      <c r="I44" s="5">
        <f>VLOOKUP(TrendSheetStgData[Population]&amp;TrendSheetStgData[Cost Basis]&amp;TrendSheetStgData[Period]&amp;TrendSheetStgData[Trend],TrendSheetPrdData[#All],9,FALSE)</f>
        <v>581.66999999999996</v>
      </c>
      <c r="J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 s="5">
        <f>VLOOKUP(TrendSheetStgData[Population]&amp;TrendSheetStgData[Trend],Threshold[#All],4,FALSE)</f>
        <v>10</v>
      </c>
      <c r="L44" s="5">
        <f>VLOOKUP(TrendSheetStgData[Population]&amp;TrendSheetStgData[Trend],Threshold[#All],5,FALSE)</f>
        <v>5</v>
      </c>
      <c r="M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 spans="1:13" x14ac:dyDescent="0.25">
      <c r="A45" t="s">
        <v>90</v>
      </c>
      <c r="B45" t="s">
        <v>90</v>
      </c>
      <c r="C45" t="s">
        <v>91</v>
      </c>
      <c r="D45" s="1" t="s">
        <v>102</v>
      </c>
      <c r="E45" t="s">
        <v>93</v>
      </c>
      <c r="F45" t="s">
        <v>14</v>
      </c>
      <c r="G45">
        <v>3</v>
      </c>
      <c r="H45">
        <v>516.83000000000004</v>
      </c>
      <c r="I45" s="5">
        <f>VLOOKUP(TrendSheetStgData[Population]&amp;TrendSheetStgData[Cost Basis]&amp;TrendSheetStgData[Period]&amp;TrendSheetStgData[Trend],TrendSheetPrdData[#All],9,FALSE)</f>
        <v>516.83000000000004</v>
      </c>
      <c r="J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 s="5">
        <f>VLOOKUP(TrendSheetStgData[Population]&amp;TrendSheetStgData[Trend],Threshold[#All],4,FALSE)</f>
        <v>10</v>
      </c>
      <c r="L45" s="5">
        <f>VLOOKUP(TrendSheetStgData[Population]&amp;TrendSheetStgData[Trend],Threshold[#All],5,FALSE)</f>
        <v>5</v>
      </c>
      <c r="M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 spans="1:13" x14ac:dyDescent="0.25">
      <c r="A46" t="s">
        <v>90</v>
      </c>
      <c r="B46" t="s">
        <v>90</v>
      </c>
      <c r="C46" t="s">
        <v>91</v>
      </c>
      <c r="D46" s="1" t="s">
        <v>103</v>
      </c>
      <c r="E46" t="s">
        <v>93</v>
      </c>
      <c r="F46" t="s">
        <v>14</v>
      </c>
      <c r="G46">
        <v>3</v>
      </c>
      <c r="H46">
        <v>566.97</v>
      </c>
      <c r="I46" s="5">
        <f>VLOOKUP(TrendSheetStgData[Population]&amp;TrendSheetStgData[Cost Basis]&amp;TrendSheetStgData[Period]&amp;TrendSheetStgData[Trend],TrendSheetPrdData[#All],9,FALSE)</f>
        <v>566.97</v>
      </c>
      <c r="J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 s="5">
        <f>VLOOKUP(TrendSheetStgData[Population]&amp;TrendSheetStgData[Trend],Threshold[#All],4,FALSE)</f>
        <v>10</v>
      </c>
      <c r="L46" s="5">
        <f>VLOOKUP(TrendSheetStgData[Population]&amp;TrendSheetStgData[Trend],Threshold[#All],5,FALSE)</f>
        <v>5</v>
      </c>
      <c r="M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 spans="1:13" x14ac:dyDescent="0.25">
      <c r="A47" t="s">
        <v>90</v>
      </c>
      <c r="B47" t="s">
        <v>90</v>
      </c>
      <c r="C47" t="s">
        <v>91</v>
      </c>
      <c r="D47" s="1" t="s">
        <v>104</v>
      </c>
      <c r="E47" t="s">
        <v>93</v>
      </c>
      <c r="F47" t="s">
        <v>14</v>
      </c>
      <c r="G47">
        <v>3</v>
      </c>
      <c r="H47">
        <v>615.32000000000005</v>
      </c>
      <c r="I47" s="5">
        <f>VLOOKUP(TrendSheetStgData[Population]&amp;TrendSheetStgData[Cost Basis]&amp;TrendSheetStgData[Period]&amp;TrendSheetStgData[Trend],TrendSheetPrdData[#All],9,FALSE)</f>
        <v>615.32000000000005</v>
      </c>
      <c r="J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 s="5">
        <f>VLOOKUP(TrendSheetStgData[Population]&amp;TrendSheetStgData[Trend],Threshold[#All],4,FALSE)</f>
        <v>10</v>
      </c>
      <c r="L47" s="5">
        <f>VLOOKUP(TrendSheetStgData[Population]&amp;TrendSheetStgData[Trend],Threshold[#All],5,FALSE)</f>
        <v>5</v>
      </c>
      <c r="M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 spans="1:13" x14ac:dyDescent="0.25">
      <c r="A48" t="s">
        <v>90</v>
      </c>
      <c r="B48" t="s">
        <v>90</v>
      </c>
      <c r="C48" t="s">
        <v>91</v>
      </c>
      <c r="D48" s="1" t="s">
        <v>105</v>
      </c>
      <c r="E48" t="s">
        <v>93</v>
      </c>
      <c r="F48" t="s">
        <v>14</v>
      </c>
      <c r="G48">
        <v>3</v>
      </c>
      <c r="H48">
        <v>596.82000000000005</v>
      </c>
      <c r="I48" s="5">
        <f>VLOOKUP(TrendSheetStgData[Population]&amp;TrendSheetStgData[Cost Basis]&amp;TrendSheetStgData[Period]&amp;TrendSheetStgData[Trend],TrendSheetPrdData[#All],9,FALSE)</f>
        <v>596.82000000000005</v>
      </c>
      <c r="J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 s="5">
        <f>VLOOKUP(TrendSheetStgData[Population]&amp;TrendSheetStgData[Trend],Threshold[#All],4,FALSE)</f>
        <v>10</v>
      </c>
      <c r="L48" s="5">
        <f>VLOOKUP(TrendSheetStgData[Population]&amp;TrendSheetStgData[Trend],Threshold[#All],5,FALSE)</f>
        <v>5</v>
      </c>
      <c r="M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 spans="1:13" x14ac:dyDescent="0.25">
      <c r="A49" t="s">
        <v>90</v>
      </c>
      <c r="B49" t="s">
        <v>90</v>
      </c>
      <c r="C49" t="s">
        <v>91</v>
      </c>
      <c r="D49" s="1" t="s">
        <v>106</v>
      </c>
      <c r="E49" t="s">
        <v>93</v>
      </c>
      <c r="F49" t="s">
        <v>14</v>
      </c>
      <c r="G49">
        <v>3</v>
      </c>
      <c r="H49">
        <v>519.39</v>
      </c>
      <c r="I49" s="5">
        <f>VLOOKUP(TrendSheetStgData[Population]&amp;TrendSheetStgData[Cost Basis]&amp;TrendSheetStgData[Period]&amp;TrendSheetStgData[Trend],TrendSheetPrdData[#All],9,FALSE)</f>
        <v>519.39</v>
      </c>
      <c r="J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 s="5">
        <f>VLOOKUP(TrendSheetStgData[Population]&amp;TrendSheetStgData[Trend],Threshold[#All],4,FALSE)</f>
        <v>10</v>
      </c>
      <c r="L49" s="5">
        <f>VLOOKUP(TrendSheetStgData[Population]&amp;TrendSheetStgData[Trend],Threshold[#All],5,FALSE)</f>
        <v>5</v>
      </c>
      <c r="M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 spans="1:13" x14ac:dyDescent="0.25">
      <c r="A50" t="s">
        <v>90</v>
      </c>
      <c r="B50" t="s">
        <v>90</v>
      </c>
      <c r="C50" t="s">
        <v>91</v>
      </c>
      <c r="D50" s="1" t="s">
        <v>107</v>
      </c>
      <c r="E50" t="s">
        <v>108</v>
      </c>
      <c r="F50" t="s">
        <v>14</v>
      </c>
      <c r="G50">
        <v>3</v>
      </c>
      <c r="H50">
        <v>557.55999999999995</v>
      </c>
      <c r="I50" s="5">
        <f>VLOOKUP(TrendSheetStgData[Population]&amp;TrendSheetStgData[Cost Basis]&amp;TrendSheetStgData[Period]&amp;TrendSheetStgData[Trend],TrendSheetPrdData[#All],9,FALSE)</f>
        <v>557.55999999999995</v>
      </c>
      <c r="J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 s="5">
        <f>VLOOKUP(TrendSheetStgData[Population]&amp;TrendSheetStgData[Trend],Threshold[#All],4,FALSE)</f>
        <v>10</v>
      </c>
      <c r="L50" s="5">
        <f>VLOOKUP(TrendSheetStgData[Population]&amp;TrendSheetStgData[Trend],Threshold[#All],5,FALSE)</f>
        <v>5</v>
      </c>
      <c r="M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 spans="1:13" x14ac:dyDescent="0.25">
      <c r="A51" t="s">
        <v>90</v>
      </c>
      <c r="B51" t="s">
        <v>90</v>
      </c>
      <c r="C51" t="s">
        <v>91</v>
      </c>
      <c r="D51" s="1" t="s">
        <v>109</v>
      </c>
      <c r="E51" t="s">
        <v>108</v>
      </c>
      <c r="F51" t="s">
        <v>14</v>
      </c>
      <c r="G51">
        <v>3</v>
      </c>
      <c r="H51">
        <v>533.70000000000005</v>
      </c>
      <c r="I51" s="5">
        <f>VLOOKUP(TrendSheetStgData[Population]&amp;TrendSheetStgData[Cost Basis]&amp;TrendSheetStgData[Period]&amp;TrendSheetStgData[Trend],TrendSheetPrdData[#All],9,FALSE)</f>
        <v>533.70000000000005</v>
      </c>
      <c r="J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 s="5">
        <f>VLOOKUP(TrendSheetStgData[Population]&amp;TrendSheetStgData[Trend],Threshold[#All],4,FALSE)</f>
        <v>10</v>
      </c>
      <c r="L51" s="5">
        <f>VLOOKUP(TrendSheetStgData[Population]&amp;TrendSheetStgData[Trend],Threshold[#All],5,FALSE)</f>
        <v>5</v>
      </c>
      <c r="M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 spans="1:13" x14ac:dyDescent="0.25">
      <c r="A52" t="s">
        <v>90</v>
      </c>
      <c r="B52" t="s">
        <v>90</v>
      </c>
      <c r="C52" t="s">
        <v>91</v>
      </c>
      <c r="D52" s="1" t="s">
        <v>110</v>
      </c>
      <c r="E52" t="s">
        <v>108</v>
      </c>
      <c r="F52" t="s">
        <v>14</v>
      </c>
      <c r="G52">
        <v>3</v>
      </c>
      <c r="H52">
        <v>323.14999999999998</v>
      </c>
      <c r="I52" s="5">
        <f>VLOOKUP(TrendSheetStgData[Population]&amp;TrendSheetStgData[Cost Basis]&amp;TrendSheetStgData[Period]&amp;TrendSheetStgData[Trend],TrendSheetPrdData[#All],9,FALSE)</f>
        <v>323.14999999999998</v>
      </c>
      <c r="J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 s="5">
        <f>VLOOKUP(TrendSheetStgData[Population]&amp;TrendSheetStgData[Trend],Threshold[#All],4,FALSE)</f>
        <v>10</v>
      </c>
      <c r="L52" s="5">
        <f>VLOOKUP(TrendSheetStgData[Population]&amp;TrendSheetStgData[Trend],Threshold[#All],5,FALSE)</f>
        <v>5</v>
      </c>
      <c r="M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 spans="1:13" x14ac:dyDescent="0.25">
      <c r="A53" t="s">
        <v>90</v>
      </c>
      <c r="B53" t="s">
        <v>90</v>
      </c>
      <c r="C53" t="s">
        <v>91</v>
      </c>
      <c r="D53" s="1" t="s">
        <v>92</v>
      </c>
      <c r="E53" t="s">
        <v>93</v>
      </c>
      <c r="F53" t="s">
        <v>15</v>
      </c>
      <c r="G53">
        <v>4</v>
      </c>
      <c r="H53">
        <v>0</v>
      </c>
      <c r="I53" s="5">
        <f>VLOOKUP(TrendSheetStgData[Population]&amp;TrendSheetStgData[Cost Basis]&amp;TrendSheetStgData[Period]&amp;TrendSheetStgData[Trend],TrendSheetPrdData[#All],9,FALSE)</f>
        <v>0</v>
      </c>
      <c r="J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 s="5">
        <f>VLOOKUP(TrendSheetStgData[Population]&amp;TrendSheetStgData[Trend],Threshold[#All],4,FALSE)</f>
        <v>10</v>
      </c>
      <c r="L53" s="5">
        <f>VLOOKUP(TrendSheetStgData[Population]&amp;TrendSheetStgData[Trend],Threshold[#All],5,FALSE)</f>
        <v>5</v>
      </c>
      <c r="M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 spans="1:13" x14ac:dyDescent="0.25">
      <c r="A54" t="s">
        <v>90</v>
      </c>
      <c r="B54" t="s">
        <v>90</v>
      </c>
      <c r="C54" t="s">
        <v>91</v>
      </c>
      <c r="D54" s="1" t="s">
        <v>94</v>
      </c>
      <c r="E54" t="s">
        <v>93</v>
      </c>
      <c r="F54" t="s">
        <v>15</v>
      </c>
      <c r="G54">
        <v>4</v>
      </c>
      <c r="H54">
        <v>0</v>
      </c>
      <c r="I54" s="5">
        <f>VLOOKUP(TrendSheetStgData[Population]&amp;TrendSheetStgData[Cost Basis]&amp;TrendSheetStgData[Period]&amp;TrendSheetStgData[Trend],TrendSheetPrdData[#All],9,FALSE)</f>
        <v>0</v>
      </c>
      <c r="J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 s="5">
        <f>VLOOKUP(TrendSheetStgData[Population]&amp;TrendSheetStgData[Trend],Threshold[#All],4,FALSE)</f>
        <v>10</v>
      </c>
      <c r="L54" s="5">
        <f>VLOOKUP(TrendSheetStgData[Population]&amp;TrendSheetStgData[Trend],Threshold[#All],5,FALSE)</f>
        <v>5</v>
      </c>
      <c r="M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 spans="1:13" x14ac:dyDescent="0.25">
      <c r="A55" t="s">
        <v>90</v>
      </c>
      <c r="B55" t="s">
        <v>90</v>
      </c>
      <c r="C55" t="s">
        <v>91</v>
      </c>
      <c r="D55" s="1" t="s">
        <v>95</v>
      </c>
      <c r="E55" t="s">
        <v>93</v>
      </c>
      <c r="F55" t="s">
        <v>15</v>
      </c>
      <c r="G55">
        <v>4</v>
      </c>
      <c r="H55">
        <v>0</v>
      </c>
      <c r="I55" s="5">
        <f>VLOOKUP(TrendSheetStgData[Population]&amp;TrendSheetStgData[Cost Basis]&amp;TrendSheetStgData[Period]&amp;TrendSheetStgData[Trend],TrendSheetPrdData[#All],9,FALSE)</f>
        <v>0</v>
      </c>
      <c r="J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 s="5">
        <f>VLOOKUP(TrendSheetStgData[Population]&amp;TrendSheetStgData[Trend],Threshold[#All],4,FALSE)</f>
        <v>10</v>
      </c>
      <c r="L55" s="5">
        <f>VLOOKUP(TrendSheetStgData[Population]&amp;TrendSheetStgData[Trend],Threshold[#All],5,FALSE)</f>
        <v>5</v>
      </c>
      <c r="M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 spans="1:13" x14ac:dyDescent="0.25">
      <c r="A56" t="s">
        <v>90</v>
      </c>
      <c r="B56" t="s">
        <v>90</v>
      </c>
      <c r="C56" t="s">
        <v>91</v>
      </c>
      <c r="D56" s="1" t="s">
        <v>96</v>
      </c>
      <c r="E56" t="s">
        <v>93</v>
      </c>
      <c r="F56" t="s">
        <v>15</v>
      </c>
      <c r="G56">
        <v>4</v>
      </c>
      <c r="H56">
        <v>37150.14</v>
      </c>
      <c r="I56" s="5">
        <f>VLOOKUP(TrendSheetStgData[Population]&amp;TrendSheetStgData[Cost Basis]&amp;TrendSheetStgData[Period]&amp;TrendSheetStgData[Trend],TrendSheetPrdData[#All],9,FALSE)</f>
        <v>37150.14</v>
      </c>
      <c r="J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 s="5">
        <f>VLOOKUP(TrendSheetStgData[Population]&amp;TrendSheetStgData[Trend],Threshold[#All],4,FALSE)</f>
        <v>10</v>
      </c>
      <c r="L56" s="5">
        <f>VLOOKUP(TrendSheetStgData[Population]&amp;TrendSheetStgData[Trend],Threshold[#All],5,FALSE)</f>
        <v>5</v>
      </c>
      <c r="M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 spans="1:13" x14ac:dyDescent="0.25">
      <c r="A57" t="s">
        <v>90</v>
      </c>
      <c r="B57" t="s">
        <v>90</v>
      </c>
      <c r="C57" t="s">
        <v>91</v>
      </c>
      <c r="D57" s="1" t="s">
        <v>97</v>
      </c>
      <c r="E57" t="s">
        <v>93</v>
      </c>
      <c r="F57" t="s">
        <v>15</v>
      </c>
      <c r="G57">
        <v>4</v>
      </c>
      <c r="H57">
        <v>5508.3</v>
      </c>
      <c r="I57" s="5">
        <f>VLOOKUP(TrendSheetStgData[Population]&amp;TrendSheetStgData[Cost Basis]&amp;TrendSheetStgData[Period]&amp;TrendSheetStgData[Trend],TrendSheetPrdData[#All],9,FALSE)</f>
        <v>5508.3</v>
      </c>
      <c r="J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 s="5">
        <f>VLOOKUP(TrendSheetStgData[Population]&amp;TrendSheetStgData[Trend],Threshold[#All],4,FALSE)</f>
        <v>10</v>
      </c>
      <c r="L57" s="5">
        <f>VLOOKUP(TrendSheetStgData[Population]&amp;TrendSheetStgData[Trend],Threshold[#All],5,FALSE)</f>
        <v>5</v>
      </c>
      <c r="M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 spans="1:13" x14ac:dyDescent="0.25">
      <c r="A58" t="s">
        <v>90</v>
      </c>
      <c r="B58" t="s">
        <v>90</v>
      </c>
      <c r="C58" t="s">
        <v>91</v>
      </c>
      <c r="D58" s="1" t="s">
        <v>98</v>
      </c>
      <c r="E58" t="s">
        <v>93</v>
      </c>
      <c r="F58" t="s">
        <v>15</v>
      </c>
      <c r="G58">
        <v>4</v>
      </c>
      <c r="H58">
        <v>0</v>
      </c>
      <c r="I58" s="5">
        <f>VLOOKUP(TrendSheetStgData[Population]&amp;TrendSheetStgData[Cost Basis]&amp;TrendSheetStgData[Period]&amp;TrendSheetStgData[Trend],TrendSheetPrdData[#All],9,FALSE)</f>
        <v>0</v>
      </c>
      <c r="J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 s="5">
        <f>VLOOKUP(TrendSheetStgData[Population]&amp;TrendSheetStgData[Trend],Threshold[#All],4,FALSE)</f>
        <v>10</v>
      </c>
      <c r="L58" s="5">
        <f>VLOOKUP(TrendSheetStgData[Population]&amp;TrendSheetStgData[Trend],Threshold[#All],5,FALSE)</f>
        <v>5</v>
      </c>
      <c r="M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 spans="1:13" x14ac:dyDescent="0.25">
      <c r="A59" t="s">
        <v>90</v>
      </c>
      <c r="B59" t="s">
        <v>90</v>
      </c>
      <c r="C59" t="s">
        <v>91</v>
      </c>
      <c r="D59" s="1" t="s">
        <v>99</v>
      </c>
      <c r="E59" t="s">
        <v>93</v>
      </c>
      <c r="F59" t="s">
        <v>15</v>
      </c>
      <c r="G59">
        <v>4</v>
      </c>
      <c r="H59">
        <v>0</v>
      </c>
      <c r="I59" s="5">
        <f>VLOOKUP(TrendSheetStgData[Population]&amp;TrendSheetStgData[Cost Basis]&amp;TrendSheetStgData[Period]&amp;TrendSheetStgData[Trend],TrendSheetPrdData[#All],9,FALSE)</f>
        <v>0</v>
      </c>
      <c r="J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 s="5">
        <f>VLOOKUP(TrendSheetStgData[Population]&amp;TrendSheetStgData[Trend],Threshold[#All],4,FALSE)</f>
        <v>10</v>
      </c>
      <c r="L59" s="5">
        <f>VLOOKUP(TrendSheetStgData[Population]&amp;TrendSheetStgData[Trend],Threshold[#All],5,FALSE)</f>
        <v>5</v>
      </c>
      <c r="M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 spans="1:13" x14ac:dyDescent="0.25">
      <c r="A60" t="s">
        <v>90</v>
      </c>
      <c r="B60" t="s">
        <v>90</v>
      </c>
      <c r="C60" t="s">
        <v>91</v>
      </c>
      <c r="D60" s="1" t="s">
        <v>100</v>
      </c>
      <c r="E60" t="s">
        <v>93</v>
      </c>
      <c r="F60" t="s">
        <v>15</v>
      </c>
      <c r="G60">
        <v>4</v>
      </c>
      <c r="H60">
        <v>22432.23</v>
      </c>
      <c r="I60" s="5">
        <f>VLOOKUP(TrendSheetStgData[Population]&amp;TrendSheetStgData[Cost Basis]&amp;TrendSheetStgData[Period]&amp;TrendSheetStgData[Trend],TrendSheetPrdData[#All],9,FALSE)</f>
        <v>22432.23</v>
      </c>
      <c r="J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 s="5">
        <f>VLOOKUP(TrendSheetStgData[Population]&amp;TrendSheetStgData[Trend],Threshold[#All],4,FALSE)</f>
        <v>10</v>
      </c>
      <c r="L60" s="5">
        <f>VLOOKUP(TrendSheetStgData[Population]&amp;TrendSheetStgData[Trend],Threshold[#All],5,FALSE)</f>
        <v>5</v>
      </c>
      <c r="M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 spans="1:13" x14ac:dyDescent="0.25">
      <c r="A61" t="s">
        <v>90</v>
      </c>
      <c r="B61" t="s">
        <v>90</v>
      </c>
      <c r="C61" t="s">
        <v>91</v>
      </c>
      <c r="D61" s="1" t="s">
        <v>101</v>
      </c>
      <c r="E61" t="s">
        <v>93</v>
      </c>
      <c r="F61" t="s">
        <v>15</v>
      </c>
      <c r="G61">
        <v>4</v>
      </c>
      <c r="H61">
        <v>17070.05</v>
      </c>
      <c r="I61" s="5">
        <f>VLOOKUP(TrendSheetStgData[Population]&amp;TrendSheetStgData[Cost Basis]&amp;TrendSheetStgData[Period]&amp;TrendSheetStgData[Trend],TrendSheetPrdData[#All],9,FALSE)</f>
        <v>17070.05</v>
      </c>
      <c r="J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 s="5">
        <f>VLOOKUP(TrendSheetStgData[Population]&amp;TrendSheetStgData[Trend],Threshold[#All],4,FALSE)</f>
        <v>10</v>
      </c>
      <c r="L61" s="5">
        <f>VLOOKUP(TrendSheetStgData[Population]&amp;TrendSheetStgData[Trend],Threshold[#All],5,FALSE)</f>
        <v>5</v>
      </c>
      <c r="M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 spans="1:13" x14ac:dyDescent="0.25">
      <c r="A62" t="s">
        <v>90</v>
      </c>
      <c r="B62" t="s">
        <v>90</v>
      </c>
      <c r="C62" t="s">
        <v>91</v>
      </c>
      <c r="D62" s="1" t="s">
        <v>102</v>
      </c>
      <c r="E62" t="s">
        <v>93</v>
      </c>
      <c r="F62" t="s">
        <v>15</v>
      </c>
      <c r="G62">
        <v>4</v>
      </c>
      <c r="H62">
        <v>37819.94</v>
      </c>
      <c r="I62" s="5">
        <f>VLOOKUP(TrendSheetStgData[Population]&amp;TrendSheetStgData[Cost Basis]&amp;TrendSheetStgData[Period]&amp;TrendSheetStgData[Trend],TrendSheetPrdData[#All],9,FALSE)</f>
        <v>37819.94</v>
      </c>
      <c r="J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 s="5">
        <f>VLOOKUP(TrendSheetStgData[Population]&amp;TrendSheetStgData[Trend],Threshold[#All],4,FALSE)</f>
        <v>10</v>
      </c>
      <c r="L62" s="5">
        <f>VLOOKUP(TrendSheetStgData[Population]&amp;TrendSheetStgData[Trend],Threshold[#All],5,FALSE)</f>
        <v>5</v>
      </c>
      <c r="M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 spans="1:13" x14ac:dyDescent="0.25">
      <c r="A63" t="s">
        <v>90</v>
      </c>
      <c r="B63" t="s">
        <v>90</v>
      </c>
      <c r="C63" t="s">
        <v>91</v>
      </c>
      <c r="D63" s="1" t="s">
        <v>103</v>
      </c>
      <c r="E63" t="s">
        <v>93</v>
      </c>
      <c r="F63" t="s">
        <v>15</v>
      </c>
      <c r="G63">
        <v>4</v>
      </c>
      <c r="H63">
        <v>4256</v>
      </c>
      <c r="I63" s="5">
        <f>VLOOKUP(TrendSheetStgData[Population]&amp;TrendSheetStgData[Cost Basis]&amp;TrendSheetStgData[Period]&amp;TrendSheetStgData[Trend],TrendSheetPrdData[#All],9,FALSE)</f>
        <v>4256</v>
      </c>
      <c r="J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 s="5">
        <f>VLOOKUP(TrendSheetStgData[Population]&amp;TrendSheetStgData[Trend],Threshold[#All],4,FALSE)</f>
        <v>10</v>
      </c>
      <c r="L63" s="5">
        <f>VLOOKUP(TrendSheetStgData[Population]&amp;TrendSheetStgData[Trend],Threshold[#All],5,FALSE)</f>
        <v>5</v>
      </c>
      <c r="M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 spans="1:13" x14ac:dyDescent="0.25">
      <c r="A64" t="s">
        <v>90</v>
      </c>
      <c r="B64" t="s">
        <v>90</v>
      </c>
      <c r="C64" t="s">
        <v>91</v>
      </c>
      <c r="D64" s="1" t="s">
        <v>104</v>
      </c>
      <c r="E64" t="s">
        <v>93</v>
      </c>
      <c r="F64" t="s">
        <v>15</v>
      </c>
      <c r="G64">
        <v>4</v>
      </c>
      <c r="H64">
        <v>0</v>
      </c>
      <c r="I64" s="5">
        <f>VLOOKUP(TrendSheetStgData[Population]&amp;TrendSheetStgData[Cost Basis]&amp;TrendSheetStgData[Period]&amp;TrendSheetStgData[Trend],TrendSheetPrdData[#All],9,FALSE)</f>
        <v>0</v>
      </c>
      <c r="J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 s="5">
        <f>VLOOKUP(TrendSheetStgData[Population]&amp;TrendSheetStgData[Trend],Threshold[#All],4,FALSE)</f>
        <v>10</v>
      </c>
      <c r="L64" s="5">
        <f>VLOOKUP(TrendSheetStgData[Population]&amp;TrendSheetStgData[Trend],Threshold[#All],5,FALSE)</f>
        <v>5</v>
      </c>
      <c r="M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 spans="1:13" x14ac:dyDescent="0.25">
      <c r="A65" t="s">
        <v>90</v>
      </c>
      <c r="B65" t="s">
        <v>90</v>
      </c>
      <c r="C65" t="s">
        <v>91</v>
      </c>
      <c r="D65" s="1" t="s">
        <v>105</v>
      </c>
      <c r="E65" t="s">
        <v>93</v>
      </c>
      <c r="F65" t="s">
        <v>15</v>
      </c>
      <c r="G65">
        <v>4</v>
      </c>
      <c r="H65">
        <v>0</v>
      </c>
      <c r="I65" s="5">
        <f>VLOOKUP(TrendSheetStgData[Population]&amp;TrendSheetStgData[Cost Basis]&amp;TrendSheetStgData[Period]&amp;TrendSheetStgData[Trend],TrendSheetPrdData[#All],9,FALSE)</f>
        <v>0</v>
      </c>
      <c r="J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 s="5">
        <f>VLOOKUP(TrendSheetStgData[Population]&amp;TrendSheetStgData[Trend],Threshold[#All],4,FALSE)</f>
        <v>10</v>
      </c>
      <c r="L65" s="5">
        <f>VLOOKUP(TrendSheetStgData[Population]&amp;TrendSheetStgData[Trend],Threshold[#All],5,FALSE)</f>
        <v>5</v>
      </c>
      <c r="M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 spans="1:13" x14ac:dyDescent="0.25">
      <c r="A66" t="s">
        <v>90</v>
      </c>
      <c r="B66" t="s">
        <v>90</v>
      </c>
      <c r="C66" t="s">
        <v>91</v>
      </c>
      <c r="D66" s="1" t="s">
        <v>106</v>
      </c>
      <c r="E66" t="s">
        <v>93</v>
      </c>
      <c r="F66" t="s">
        <v>15</v>
      </c>
      <c r="G66">
        <v>4</v>
      </c>
      <c r="H66">
        <v>0</v>
      </c>
      <c r="I66" s="5">
        <f>VLOOKUP(TrendSheetStgData[Population]&amp;TrendSheetStgData[Cost Basis]&amp;TrendSheetStgData[Period]&amp;TrendSheetStgData[Trend],TrendSheetPrdData[#All],9,FALSE)</f>
        <v>0</v>
      </c>
      <c r="J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 s="5">
        <f>VLOOKUP(TrendSheetStgData[Population]&amp;TrendSheetStgData[Trend],Threshold[#All],4,FALSE)</f>
        <v>10</v>
      </c>
      <c r="L66" s="5">
        <f>VLOOKUP(TrendSheetStgData[Population]&amp;TrendSheetStgData[Trend],Threshold[#All],5,FALSE)</f>
        <v>5</v>
      </c>
      <c r="M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 spans="1:13" x14ac:dyDescent="0.25">
      <c r="A67" t="s">
        <v>90</v>
      </c>
      <c r="B67" t="s">
        <v>90</v>
      </c>
      <c r="C67" t="s">
        <v>91</v>
      </c>
      <c r="D67" s="1" t="s">
        <v>107</v>
      </c>
      <c r="E67" t="s">
        <v>108</v>
      </c>
      <c r="F67" t="s">
        <v>15</v>
      </c>
      <c r="G67">
        <v>4</v>
      </c>
      <c r="H67">
        <v>18856.55</v>
      </c>
      <c r="I67" s="5">
        <f>VLOOKUP(TrendSheetStgData[Population]&amp;TrendSheetStgData[Cost Basis]&amp;TrendSheetStgData[Period]&amp;TrendSheetStgData[Trend],TrendSheetPrdData[#All],9,FALSE)</f>
        <v>18856.55</v>
      </c>
      <c r="J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 s="5">
        <f>VLOOKUP(TrendSheetStgData[Population]&amp;TrendSheetStgData[Trend],Threshold[#All],4,FALSE)</f>
        <v>10</v>
      </c>
      <c r="L67" s="5">
        <f>VLOOKUP(TrendSheetStgData[Population]&amp;TrendSheetStgData[Trend],Threshold[#All],5,FALSE)</f>
        <v>5</v>
      </c>
      <c r="M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 spans="1:13" x14ac:dyDescent="0.25">
      <c r="A68" t="s">
        <v>90</v>
      </c>
      <c r="B68" t="s">
        <v>90</v>
      </c>
      <c r="C68" t="s">
        <v>91</v>
      </c>
      <c r="D68" s="1" t="s">
        <v>109</v>
      </c>
      <c r="E68" t="s">
        <v>108</v>
      </c>
      <c r="F68" t="s">
        <v>15</v>
      </c>
      <c r="G68">
        <v>4</v>
      </c>
      <c r="H68">
        <v>11019.9</v>
      </c>
      <c r="I68" s="5">
        <f>VLOOKUP(TrendSheetStgData[Population]&amp;TrendSheetStgData[Cost Basis]&amp;TrendSheetStgData[Period]&amp;TrendSheetStgData[Trend],TrendSheetPrdData[#All],9,FALSE)</f>
        <v>11019.9</v>
      </c>
      <c r="J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 s="5">
        <f>VLOOKUP(TrendSheetStgData[Population]&amp;TrendSheetStgData[Trend],Threshold[#All],4,FALSE)</f>
        <v>10</v>
      </c>
      <c r="L68" s="5">
        <f>VLOOKUP(TrendSheetStgData[Population]&amp;TrendSheetStgData[Trend],Threshold[#All],5,FALSE)</f>
        <v>5</v>
      </c>
      <c r="M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 spans="1:13" x14ac:dyDescent="0.25">
      <c r="A69" t="s">
        <v>90</v>
      </c>
      <c r="B69" t="s">
        <v>90</v>
      </c>
      <c r="C69" t="s">
        <v>91</v>
      </c>
      <c r="D69" s="1" t="s">
        <v>110</v>
      </c>
      <c r="E69" t="s">
        <v>108</v>
      </c>
      <c r="F69" t="s">
        <v>15</v>
      </c>
      <c r="G69">
        <v>4</v>
      </c>
      <c r="H69">
        <v>0</v>
      </c>
      <c r="I69" s="5">
        <f>VLOOKUP(TrendSheetStgData[Population]&amp;TrendSheetStgData[Cost Basis]&amp;TrendSheetStgData[Period]&amp;TrendSheetStgData[Trend],TrendSheetPrdData[#All],9,FALSE)</f>
        <v>0</v>
      </c>
      <c r="J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 s="5">
        <f>VLOOKUP(TrendSheetStgData[Population]&amp;TrendSheetStgData[Trend],Threshold[#All],4,FALSE)</f>
        <v>10</v>
      </c>
      <c r="L69" s="5">
        <f>VLOOKUP(TrendSheetStgData[Population]&amp;TrendSheetStgData[Trend],Threshold[#All],5,FALSE)</f>
        <v>5</v>
      </c>
      <c r="M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 spans="1:13" x14ac:dyDescent="0.25">
      <c r="A70" t="s">
        <v>90</v>
      </c>
      <c r="B70" t="s">
        <v>90</v>
      </c>
      <c r="C70" t="s">
        <v>91</v>
      </c>
      <c r="D70" s="1" t="s">
        <v>92</v>
      </c>
      <c r="E70" t="s">
        <v>93</v>
      </c>
      <c r="F70" t="s">
        <v>16</v>
      </c>
      <c r="G70">
        <v>5</v>
      </c>
      <c r="H70">
        <v>0</v>
      </c>
      <c r="I70" s="5">
        <f>VLOOKUP(TrendSheetStgData[Population]&amp;TrendSheetStgData[Cost Basis]&amp;TrendSheetStgData[Period]&amp;TrendSheetStgData[Trend],TrendSheetPrdData[#All],9,FALSE)</f>
        <v>0</v>
      </c>
      <c r="J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 s="5">
        <f>VLOOKUP(TrendSheetStgData[Population]&amp;TrendSheetStgData[Trend],Threshold[#All],4,FALSE)</f>
        <v>10</v>
      </c>
      <c r="L70" s="5">
        <f>VLOOKUP(TrendSheetStgData[Population]&amp;TrendSheetStgData[Trend],Threshold[#All],5,FALSE)</f>
        <v>5</v>
      </c>
      <c r="M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 spans="1:13" x14ac:dyDescent="0.25">
      <c r="A71" t="s">
        <v>90</v>
      </c>
      <c r="B71" t="s">
        <v>90</v>
      </c>
      <c r="C71" t="s">
        <v>91</v>
      </c>
      <c r="D71" s="1" t="s">
        <v>94</v>
      </c>
      <c r="E71" t="s">
        <v>93</v>
      </c>
      <c r="F71" t="s">
        <v>16</v>
      </c>
      <c r="G71">
        <v>5</v>
      </c>
      <c r="H71">
        <v>0</v>
      </c>
      <c r="I71" s="5">
        <f>VLOOKUP(TrendSheetStgData[Population]&amp;TrendSheetStgData[Cost Basis]&amp;TrendSheetStgData[Period]&amp;TrendSheetStgData[Trend],TrendSheetPrdData[#All],9,FALSE)</f>
        <v>0</v>
      </c>
      <c r="J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 s="5">
        <f>VLOOKUP(TrendSheetStgData[Population]&amp;TrendSheetStgData[Trend],Threshold[#All],4,FALSE)</f>
        <v>10</v>
      </c>
      <c r="L71" s="5">
        <f>VLOOKUP(TrendSheetStgData[Population]&amp;TrendSheetStgData[Trend],Threshold[#All],5,FALSE)</f>
        <v>5</v>
      </c>
      <c r="M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 spans="1:13" x14ac:dyDescent="0.25">
      <c r="A72" t="s">
        <v>90</v>
      </c>
      <c r="B72" t="s">
        <v>90</v>
      </c>
      <c r="C72" t="s">
        <v>91</v>
      </c>
      <c r="D72" s="1" t="s">
        <v>95</v>
      </c>
      <c r="E72" t="s">
        <v>93</v>
      </c>
      <c r="F72" t="s">
        <v>16</v>
      </c>
      <c r="G72">
        <v>5</v>
      </c>
      <c r="H72">
        <v>0</v>
      </c>
      <c r="I72" s="5">
        <f>VLOOKUP(TrendSheetStgData[Population]&amp;TrendSheetStgData[Cost Basis]&amp;TrendSheetStgData[Period]&amp;TrendSheetStgData[Trend],TrendSheetPrdData[#All],9,FALSE)</f>
        <v>0</v>
      </c>
      <c r="J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 s="5">
        <f>VLOOKUP(TrendSheetStgData[Population]&amp;TrendSheetStgData[Trend],Threshold[#All],4,FALSE)</f>
        <v>10</v>
      </c>
      <c r="L72" s="5">
        <f>VLOOKUP(TrendSheetStgData[Population]&amp;TrendSheetStgData[Trend],Threshold[#All],5,FALSE)</f>
        <v>5</v>
      </c>
      <c r="M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 spans="1:13" x14ac:dyDescent="0.25">
      <c r="A73" t="s">
        <v>90</v>
      </c>
      <c r="B73" t="s">
        <v>90</v>
      </c>
      <c r="C73" t="s">
        <v>91</v>
      </c>
      <c r="D73" s="1" t="s">
        <v>96</v>
      </c>
      <c r="E73" t="s">
        <v>93</v>
      </c>
      <c r="F73" t="s">
        <v>16</v>
      </c>
      <c r="G73">
        <v>5</v>
      </c>
      <c r="H73">
        <v>3</v>
      </c>
      <c r="I73" s="5">
        <f>VLOOKUP(TrendSheetStgData[Population]&amp;TrendSheetStgData[Cost Basis]&amp;TrendSheetStgData[Period]&amp;TrendSheetStgData[Trend],TrendSheetPrdData[#All],9,FALSE)</f>
        <v>3</v>
      </c>
      <c r="J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 s="5">
        <f>VLOOKUP(TrendSheetStgData[Population]&amp;TrendSheetStgData[Trend],Threshold[#All],4,FALSE)</f>
        <v>10</v>
      </c>
      <c r="L73" s="5">
        <f>VLOOKUP(TrendSheetStgData[Population]&amp;TrendSheetStgData[Trend],Threshold[#All],5,FALSE)</f>
        <v>5</v>
      </c>
      <c r="M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 spans="1:13" x14ac:dyDescent="0.25">
      <c r="A74" t="s">
        <v>90</v>
      </c>
      <c r="B74" t="s">
        <v>90</v>
      </c>
      <c r="C74" t="s">
        <v>91</v>
      </c>
      <c r="D74" s="1" t="s">
        <v>97</v>
      </c>
      <c r="E74" t="s">
        <v>93</v>
      </c>
      <c r="F74" t="s">
        <v>16</v>
      </c>
      <c r="G74">
        <v>5</v>
      </c>
      <c r="H74">
        <v>1</v>
      </c>
      <c r="I74" s="5">
        <f>VLOOKUP(TrendSheetStgData[Population]&amp;TrendSheetStgData[Cost Basis]&amp;TrendSheetStgData[Period]&amp;TrendSheetStgData[Trend],TrendSheetPrdData[#All],9,FALSE)</f>
        <v>1</v>
      </c>
      <c r="J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 s="5">
        <f>VLOOKUP(TrendSheetStgData[Population]&amp;TrendSheetStgData[Trend],Threshold[#All],4,FALSE)</f>
        <v>10</v>
      </c>
      <c r="L74" s="5">
        <f>VLOOKUP(TrendSheetStgData[Population]&amp;TrendSheetStgData[Trend],Threshold[#All],5,FALSE)</f>
        <v>5</v>
      </c>
      <c r="M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 spans="1:13" x14ac:dyDescent="0.25">
      <c r="A75" t="s">
        <v>90</v>
      </c>
      <c r="B75" t="s">
        <v>90</v>
      </c>
      <c r="C75" t="s">
        <v>91</v>
      </c>
      <c r="D75" s="1" t="s">
        <v>98</v>
      </c>
      <c r="E75" t="s">
        <v>93</v>
      </c>
      <c r="F75" t="s">
        <v>16</v>
      </c>
      <c r="G75">
        <v>5</v>
      </c>
      <c r="H75">
        <v>0</v>
      </c>
      <c r="I75" s="5">
        <f>VLOOKUP(TrendSheetStgData[Population]&amp;TrendSheetStgData[Cost Basis]&amp;TrendSheetStgData[Period]&amp;TrendSheetStgData[Trend],TrendSheetPrdData[#All],9,FALSE)</f>
        <v>0</v>
      </c>
      <c r="J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 s="5">
        <f>VLOOKUP(TrendSheetStgData[Population]&amp;TrendSheetStgData[Trend],Threshold[#All],4,FALSE)</f>
        <v>10</v>
      </c>
      <c r="L75" s="5">
        <f>VLOOKUP(TrendSheetStgData[Population]&amp;TrendSheetStgData[Trend],Threshold[#All],5,FALSE)</f>
        <v>5</v>
      </c>
      <c r="M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 spans="1:13" x14ac:dyDescent="0.25">
      <c r="A76" t="s">
        <v>90</v>
      </c>
      <c r="B76" t="s">
        <v>90</v>
      </c>
      <c r="C76" t="s">
        <v>91</v>
      </c>
      <c r="D76" s="1" t="s">
        <v>99</v>
      </c>
      <c r="E76" t="s">
        <v>93</v>
      </c>
      <c r="F76" t="s">
        <v>16</v>
      </c>
      <c r="G76">
        <v>5</v>
      </c>
      <c r="H76">
        <v>0</v>
      </c>
      <c r="I76" s="5">
        <f>VLOOKUP(TrendSheetStgData[Population]&amp;TrendSheetStgData[Cost Basis]&amp;TrendSheetStgData[Period]&amp;TrendSheetStgData[Trend],TrendSheetPrdData[#All],9,FALSE)</f>
        <v>0</v>
      </c>
      <c r="J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 s="5">
        <f>VLOOKUP(TrendSheetStgData[Population]&amp;TrendSheetStgData[Trend],Threshold[#All],4,FALSE)</f>
        <v>10</v>
      </c>
      <c r="L76" s="5">
        <f>VLOOKUP(TrendSheetStgData[Population]&amp;TrendSheetStgData[Trend],Threshold[#All],5,FALSE)</f>
        <v>5</v>
      </c>
      <c r="M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 spans="1:13" x14ac:dyDescent="0.25">
      <c r="A77" t="s">
        <v>90</v>
      </c>
      <c r="B77" t="s">
        <v>90</v>
      </c>
      <c r="C77" t="s">
        <v>91</v>
      </c>
      <c r="D77" s="1" t="s">
        <v>100</v>
      </c>
      <c r="E77" t="s">
        <v>93</v>
      </c>
      <c r="F77" t="s">
        <v>16</v>
      </c>
      <c r="G77">
        <v>5</v>
      </c>
      <c r="H77">
        <v>2</v>
      </c>
      <c r="I77" s="5">
        <f>VLOOKUP(TrendSheetStgData[Population]&amp;TrendSheetStgData[Cost Basis]&amp;TrendSheetStgData[Period]&amp;TrendSheetStgData[Trend],TrendSheetPrdData[#All],9,FALSE)</f>
        <v>2</v>
      </c>
      <c r="J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 s="5">
        <f>VLOOKUP(TrendSheetStgData[Population]&amp;TrendSheetStgData[Trend],Threshold[#All],4,FALSE)</f>
        <v>10</v>
      </c>
      <c r="L77" s="5">
        <f>VLOOKUP(TrendSheetStgData[Population]&amp;TrendSheetStgData[Trend],Threshold[#All],5,FALSE)</f>
        <v>5</v>
      </c>
      <c r="M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 spans="1:13" x14ac:dyDescent="0.25">
      <c r="A78" t="s">
        <v>90</v>
      </c>
      <c r="B78" t="s">
        <v>90</v>
      </c>
      <c r="C78" t="s">
        <v>91</v>
      </c>
      <c r="D78" s="1" t="s">
        <v>101</v>
      </c>
      <c r="E78" t="s">
        <v>93</v>
      </c>
      <c r="F78" t="s">
        <v>16</v>
      </c>
      <c r="G78">
        <v>5</v>
      </c>
      <c r="H78">
        <v>1</v>
      </c>
      <c r="I78" s="5">
        <f>VLOOKUP(TrendSheetStgData[Population]&amp;TrendSheetStgData[Cost Basis]&amp;TrendSheetStgData[Period]&amp;TrendSheetStgData[Trend],TrendSheetPrdData[#All],9,FALSE)</f>
        <v>1</v>
      </c>
      <c r="J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 s="5">
        <f>VLOOKUP(TrendSheetStgData[Population]&amp;TrendSheetStgData[Trend],Threshold[#All],4,FALSE)</f>
        <v>10</v>
      </c>
      <c r="L78" s="5">
        <f>VLOOKUP(TrendSheetStgData[Population]&amp;TrendSheetStgData[Trend],Threshold[#All],5,FALSE)</f>
        <v>5</v>
      </c>
      <c r="M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 spans="1:13" x14ac:dyDescent="0.25">
      <c r="A79" t="s">
        <v>90</v>
      </c>
      <c r="B79" t="s">
        <v>90</v>
      </c>
      <c r="C79" t="s">
        <v>91</v>
      </c>
      <c r="D79" s="1" t="s">
        <v>102</v>
      </c>
      <c r="E79" t="s">
        <v>93</v>
      </c>
      <c r="F79" t="s">
        <v>16</v>
      </c>
      <c r="G79">
        <v>5</v>
      </c>
      <c r="H79">
        <v>2</v>
      </c>
      <c r="I79" s="5">
        <f>VLOOKUP(TrendSheetStgData[Population]&amp;TrendSheetStgData[Cost Basis]&amp;TrendSheetStgData[Period]&amp;TrendSheetStgData[Trend],TrendSheetPrdData[#All],9,FALSE)</f>
        <v>2</v>
      </c>
      <c r="J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 s="5">
        <f>VLOOKUP(TrendSheetStgData[Population]&amp;TrendSheetStgData[Trend],Threshold[#All],4,FALSE)</f>
        <v>10</v>
      </c>
      <c r="L79" s="5">
        <f>VLOOKUP(TrendSheetStgData[Population]&amp;TrendSheetStgData[Trend],Threshold[#All],5,FALSE)</f>
        <v>5</v>
      </c>
      <c r="M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 spans="1:13" x14ac:dyDescent="0.25">
      <c r="A80" t="s">
        <v>90</v>
      </c>
      <c r="B80" t="s">
        <v>90</v>
      </c>
      <c r="C80" t="s">
        <v>91</v>
      </c>
      <c r="D80" s="1" t="s">
        <v>103</v>
      </c>
      <c r="E80" t="s">
        <v>93</v>
      </c>
      <c r="F80" t="s">
        <v>16</v>
      </c>
      <c r="G80">
        <v>5</v>
      </c>
      <c r="H80">
        <v>1</v>
      </c>
      <c r="I80" s="5">
        <f>VLOOKUP(TrendSheetStgData[Population]&amp;TrendSheetStgData[Cost Basis]&amp;TrendSheetStgData[Period]&amp;TrendSheetStgData[Trend],TrendSheetPrdData[#All],9,FALSE)</f>
        <v>1</v>
      </c>
      <c r="J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 s="5">
        <f>VLOOKUP(TrendSheetStgData[Population]&amp;TrendSheetStgData[Trend],Threshold[#All],4,FALSE)</f>
        <v>10</v>
      </c>
      <c r="L80" s="5">
        <f>VLOOKUP(TrendSheetStgData[Population]&amp;TrendSheetStgData[Trend],Threshold[#All],5,FALSE)</f>
        <v>5</v>
      </c>
      <c r="M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 spans="1:13" x14ac:dyDescent="0.25">
      <c r="A81" t="s">
        <v>90</v>
      </c>
      <c r="B81" t="s">
        <v>90</v>
      </c>
      <c r="C81" t="s">
        <v>91</v>
      </c>
      <c r="D81" s="1" t="s">
        <v>104</v>
      </c>
      <c r="E81" t="s">
        <v>93</v>
      </c>
      <c r="F81" t="s">
        <v>16</v>
      </c>
      <c r="G81">
        <v>5</v>
      </c>
      <c r="H81">
        <v>0</v>
      </c>
      <c r="I81" s="5">
        <f>VLOOKUP(TrendSheetStgData[Population]&amp;TrendSheetStgData[Cost Basis]&amp;TrendSheetStgData[Period]&amp;TrendSheetStgData[Trend],TrendSheetPrdData[#All],9,FALSE)</f>
        <v>0</v>
      </c>
      <c r="J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 s="5">
        <f>VLOOKUP(TrendSheetStgData[Population]&amp;TrendSheetStgData[Trend],Threshold[#All],4,FALSE)</f>
        <v>10</v>
      </c>
      <c r="L81" s="5">
        <f>VLOOKUP(TrendSheetStgData[Population]&amp;TrendSheetStgData[Trend],Threshold[#All],5,FALSE)</f>
        <v>5</v>
      </c>
      <c r="M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 spans="1:13" x14ac:dyDescent="0.25">
      <c r="A82" t="s">
        <v>90</v>
      </c>
      <c r="B82" t="s">
        <v>90</v>
      </c>
      <c r="C82" t="s">
        <v>91</v>
      </c>
      <c r="D82" s="1" t="s">
        <v>105</v>
      </c>
      <c r="E82" t="s">
        <v>93</v>
      </c>
      <c r="F82" t="s">
        <v>16</v>
      </c>
      <c r="G82">
        <v>5</v>
      </c>
      <c r="H82">
        <v>0</v>
      </c>
      <c r="I82" s="5">
        <f>VLOOKUP(TrendSheetStgData[Population]&amp;TrendSheetStgData[Cost Basis]&amp;TrendSheetStgData[Period]&amp;TrendSheetStgData[Trend],TrendSheetPrdData[#All],9,FALSE)</f>
        <v>0</v>
      </c>
      <c r="J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 s="5">
        <f>VLOOKUP(TrendSheetStgData[Population]&amp;TrendSheetStgData[Trend],Threshold[#All],4,FALSE)</f>
        <v>10</v>
      </c>
      <c r="L82" s="5">
        <f>VLOOKUP(TrendSheetStgData[Population]&amp;TrendSheetStgData[Trend],Threshold[#All],5,FALSE)</f>
        <v>5</v>
      </c>
      <c r="M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 spans="1:13" x14ac:dyDescent="0.25">
      <c r="A83" t="s">
        <v>90</v>
      </c>
      <c r="B83" t="s">
        <v>90</v>
      </c>
      <c r="C83" t="s">
        <v>91</v>
      </c>
      <c r="D83" s="1" t="s">
        <v>106</v>
      </c>
      <c r="E83" t="s">
        <v>93</v>
      </c>
      <c r="F83" t="s">
        <v>16</v>
      </c>
      <c r="G83">
        <v>5</v>
      </c>
      <c r="H83">
        <v>0</v>
      </c>
      <c r="I83" s="5">
        <f>VLOOKUP(TrendSheetStgData[Population]&amp;TrendSheetStgData[Cost Basis]&amp;TrendSheetStgData[Period]&amp;TrendSheetStgData[Trend],TrendSheetPrdData[#All],9,FALSE)</f>
        <v>0</v>
      </c>
      <c r="J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 s="5">
        <f>VLOOKUP(TrendSheetStgData[Population]&amp;TrendSheetStgData[Trend],Threshold[#All],4,FALSE)</f>
        <v>10</v>
      </c>
      <c r="L83" s="5">
        <f>VLOOKUP(TrendSheetStgData[Population]&amp;TrendSheetStgData[Trend],Threshold[#All],5,FALSE)</f>
        <v>5</v>
      </c>
      <c r="M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 spans="1:13" x14ac:dyDescent="0.25">
      <c r="A84" t="s">
        <v>90</v>
      </c>
      <c r="B84" t="s">
        <v>90</v>
      </c>
      <c r="C84" t="s">
        <v>91</v>
      </c>
      <c r="D84" s="1" t="s">
        <v>107</v>
      </c>
      <c r="E84" t="s">
        <v>108</v>
      </c>
      <c r="F84" t="s">
        <v>16</v>
      </c>
      <c r="G84">
        <v>5</v>
      </c>
      <c r="H84">
        <v>1</v>
      </c>
      <c r="I84" s="5">
        <f>VLOOKUP(TrendSheetStgData[Population]&amp;TrendSheetStgData[Cost Basis]&amp;TrendSheetStgData[Period]&amp;TrendSheetStgData[Trend],TrendSheetPrdData[#All],9,FALSE)</f>
        <v>1</v>
      </c>
      <c r="J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 s="5">
        <f>VLOOKUP(TrendSheetStgData[Population]&amp;TrendSheetStgData[Trend],Threshold[#All],4,FALSE)</f>
        <v>10</v>
      </c>
      <c r="L84" s="5">
        <f>VLOOKUP(TrendSheetStgData[Population]&amp;TrendSheetStgData[Trend],Threshold[#All],5,FALSE)</f>
        <v>5</v>
      </c>
      <c r="M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 spans="1:13" x14ac:dyDescent="0.25">
      <c r="A85" t="s">
        <v>90</v>
      </c>
      <c r="B85" t="s">
        <v>90</v>
      </c>
      <c r="C85" t="s">
        <v>91</v>
      </c>
      <c r="D85" s="1" t="s">
        <v>109</v>
      </c>
      <c r="E85" t="s">
        <v>108</v>
      </c>
      <c r="F85" t="s">
        <v>16</v>
      </c>
      <c r="G85">
        <v>5</v>
      </c>
      <c r="H85">
        <v>1</v>
      </c>
      <c r="I85" s="5">
        <f>VLOOKUP(TrendSheetStgData[Population]&amp;TrendSheetStgData[Cost Basis]&amp;TrendSheetStgData[Period]&amp;TrendSheetStgData[Trend],TrendSheetPrdData[#All],9,FALSE)</f>
        <v>1</v>
      </c>
      <c r="J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 s="5">
        <f>VLOOKUP(TrendSheetStgData[Population]&amp;TrendSheetStgData[Trend],Threshold[#All],4,FALSE)</f>
        <v>10</v>
      </c>
      <c r="L85" s="5">
        <f>VLOOKUP(TrendSheetStgData[Population]&amp;TrendSheetStgData[Trend],Threshold[#All],5,FALSE)</f>
        <v>5</v>
      </c>
      <c r="M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 spans="1:13" x14ac:dyDescent="0.25">
      <c r="A86" t="s">
        <v>90</v>
      </c>
      <c r="B86" t="s">
        <v>90</v>
      </c>
      <c r="C86" t="s">
        <v>91</v>
      </c>
      <c r="D86" s="1" t="s">
        <v>110</v>
      </c>
      <c r="E86" t="s">
        <v>108</v>
      </c>
      <c r="F86" t="s">
        <v>16</v>
      </c>
      <c r="G86">
        <v>5</v>
      </c>
      <c r="H86">
        <v>0</v>
      </c>
      <c r="I86" s="5">
        <f>VLOOKUP(TrendSheetStgData[Population]&amp;TrendSheetStgData[Cost Basis]&amp;TrendSheetStgData[Period]&amp;TrendSheetStgData[Trend],TrendSheetPrdData[#All],9,FALSE)</f>
        <v>0</v>
      </c>
      <c r="J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 s="5">
        <f>VLOOKUP(TrendSheetStgData[Population]&amp;TrendSheetStgData[Trend],Threshold[#All],4,FALSE)</f>
        <v>10</v>
      </c>
      <c r="L86" s="5">
        <f>VLOOKUP(TrendSheetStgData[Population]&amp;TrendSheetStgData[Trend],Threshold[#All],5,FALSE)</f>
        <v>5</v>
      </c>
      <c r="M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 spans="1:13" x14ac:dyDescent="0.25">
      <c r="A87" t="s">
        <v>90</v>
      </c>
      <c r="B87" t="s">
        <v>90</v>
      </c>
      <c r="C87" t="s">
        <v>91</v>
      </c>
      <c r="D87" s="1" t="s">
        <v>92</v>
      </c>
      <c r="E87" t="s">
        <v>93</v>
      </c>
      <c r="F87" t="s">
        <v>17</v>
      </c>
      <c r="G87">
        <v>6</v>
      </c>
      <c r="H87">
        <v>10915.8</v>
      </c>
      <c r="I87" s="5">
        <f>VLOOKUP(TrendSheetStgData[Population]&amp;TrendSheetStgData[Cost Basis]&amp;TrendSheetStgData[Period]&amp;TrendSheetStgData[Trend],TrendSheetPrdData[#All],9,FALSE)</f>
        <v>10915.8</v>
      </c>
      <c r="J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 s="5">
        <f>VLOOKUP(TrendSheetStgData[Population]&amp;TrendSheetStgData[Trend],Threshold[#All],4,FALSE)</f>
        <v>10</v>
      </c>
      <c r="L87" s="5">
        <f>VLOOKUP(TrendSheetStgData[Population]&amp;TrendSheetStgData[Trend],Threshold[#All],5,FALSE)</f>
        <v>5</v>
      </c>
      <c r="M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 spans="1:13" x14ac:dyDescent="0.25">
      <c r="A88" t="s">
        <v>90</v>
      </c>
      <c r="B88" t="s">
        <v>90</v>
      </c>
      <c r="C88" t="s">
        <v>91</v>
      </c>
      <c r="D88" s="1" t="s">
        <v>94</v>
      </c>
      <c r="E88" t="s">
        <v>93</v>
      </c>
      <c r="F88" t="s">
        <v>17</v>
      </c>
      <c r="G88">
        <v>6</v>
      </c>
      <c r="H88">
        <v>31391.4</v>
      </c>
      <c r="I88" s="5">
        <f>VLOOKUP(TrendSheetStgData[Population]&amp;TrendSheetStgData[Cost Basis]&amp;TrendSheetStgData[Period]&amp;TrendSheetStgData[Trend],TrendSheetPrdData[#All],9,FALSE)</f>
        <v>31391.4</v>
      </c>
      <c r="J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 s="5">
        <f>VLOOKUP(TrendSheetStgData[Population]&amp;TrendSheetStgData[Trend],Threshold[#All],4,FALSE)</f>
        <v>10</v>
      </c>
      <c r="L88" s="5">
        <f>VLOOKUP(TrendSheetStgData[Population]&amp;TrendSheetStgData[Trend],Threshold[#All],5,FALSE)</f>
        <v>5</v>
      </c>
      <c r="M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 spans="1:13" x14ac:dyDescent="0.25">
      <c r="A89" t="s">
        <v>90</v>
      </c>
      <c r="B89" t="s">
        <v>90</v>
      </c>
      <c r="C89" t="s">
        <v>91</v>
      </c>
      <c r="D89" s="1" t="s">
        <v>95</v>
      </c>
      <c r="E89" t="s">
        <v>93</v>
      </c>
      <c r="F89" t="s">
        <v>17</v>
      </c>
      <c r="G89">
        <v>6</v>
      </c>
      <c r="H89">
        <v>0</v>
      </c>
      <c r="I89" s="5">
        <f>VLOOKUP(TrendSheetStgData[Population]&amp;TrendSheetStgData[Cost Basis]&amp;TrendSheetStgData[Period]&amp;TrendSheetStgData[Trend],TrendSheetPrdData[#All],9,FALSE)</f>
        <v>0</v>
      </c>
      <c r="J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 s="5">
        <f>VLOOKUP(TrendSheetStgData[Population]&amp;TrendSheetStgData[Trend],Threshold[#All],4,FALSE)</f>
        <v>10</v>
      </c>
      <c r="L89" s="5">
        <f>VLOOKUP(TrendSheetStgData[Population]&amp;TrendSheetStgData[Trend],Threshold[#All],5,FALSE)</f>
        <v>5</v>
      </c>
      <c r="M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 spans="1:13" x14ac:dyDescent="0.25">
      <c r="A90" t="s">
        <v>90</v>
      </c>
      <c r="B90" t="s">
        <v>90</v>
      </c>
      <c r="C90" t="s">
        <v>91</v>
      </c>
      <c r="D90" s="1" t="s">
        <v>96</v>
      </c>
      <c r="E90" t="s">
        <v>93</v>
      </c>
      <c r="F90" t="s">
        <v>17</v>
      </c>
      <c r="G90">
        <v>6</v>
      </c>
      <c r="H90">
        <v>62787.040000000001</v>
      </c>
      <c r="I90" s="5">
        <f>VLOOKUP(TrendSheetStgData[Population]&amp;TrendSheetStgData[Cost Basis]&amp;TrendSheetStgData[Period]&amp;TrendSheetStgData[Trend],TrendSheetPrdData[#All],9,FALSE)</f>
        <v>62787.040000000001</v>
      </c>
      <c r="J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 s="5">
        <f>VLOOKUP(TrendSheetStgData[Population]&amp;TrendSheetStgData[Trend],Threshold[#All],4,FALSE)</f>
        <v>10</v>
      </c>
      <c r="L90" s="5">
        <f>VLOOKUP(TrendSheetStgData[Population]&amp;TrendSheetStgData[Trend],Threshold[#All],5,FALSE)</f>
        <v>5</v>
      </c>
      <c r="M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 spans="1:13" x14ac:dyDescent="0.25">
      <c r="A91" t="s">
        <v>90</v>
      </c>
      <c r="B91" t="s">
        <v>90</v>
      </c>
      <c r="C91" t="s">
        <v>91</v>
      </c>
      <c r="D91" s="1" t="s">
        <v>97</v>
      </c>
      <c r="E91" t="s">
        <v>93</v>
      </c>
      <c r="F91" t="s">
        <v>17</v>
      </c>
      <c r="G91">
        <v>6</v>
      </c>
      <c r="H91">
        <v>0</v>
      </c>
      <c r="I91" s="5">
        <f>VLOOKUP(TrendSheetStgData[Population]&amp;TrendSheetStgData[Cost Basis]&amp;TrendSheetStgData[Period]&amp;TrendSheetStgData[Trend],TrendSheetPrdData[#All],9,FALSE)</f>
        <v>0</v>
      </c>
      <c r="J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 s="5">
        <f>VLOOKUP(TrendSheetStgData[Population]&amp;TrendSheetStgData[Trend],Threshold[#All],4,FALSE)</f>
        <v>10</v>
      </c>
      <c r="L91" s="5">
        <f>VLOOKUP(TrendSheetStgData[Population]&amp;TrendSheetStgData[Trend],Threshold[#All],5,FALSE)</f>
        <v>5</v>
      </c>
      <c r="M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 spans="1:13" x14ac:dyDescent="0.25">
      <c r="A92" t="s">
        <v>90</v>
      </c>
      <c r="B92" t="s">
        <v>90</v>
      </c>
      <c r="C92" t="s">
        <v>91</v>
      </c>
      <c r="D92" s="1" t="s">
        <v>98</v>
      </c>
      <c r="E92" t="s">
        <v>93</v>
      </c>
      <c r="F92" t="s">
        <v>17</v>
      </c>
      <c r="G92">
        <v>6</v>
      </c>
      <c r="H92">
        <v>6632.12</v>
      </c>
      <c r="I92" s="5">
        <f>VLOOKUP(TrendSheetStgData[Population]&amp;TrendSheetStgData[Cost Basis]&amp;TrendSheetStgData[Period]&amp;TrendSheetStgData[Trend],TrendSheetPrdData[#All],9,FALSE)</f>
        <v>6632.12</v>
      </c>
      <c r="J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 s="5">
        <f>VLOOKUP(TrendSheetStgData[Population]&amp;TrendSheetStgData[Trend],Threshold[#All],4,FALSE)</f>
        <v>10</v>
      </c>
      <c r="L92" s="5">
        <f>VLOOKUP(TrendSheetStgData[Population]&amp;TrendSheetStgData[Trend],Threshold[#All],5,FALSE)</f>
        <v>5</v>
      </c>
      <c r="M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 spans="1:13" x14ac:dyDescent="0.25">
      <c r="A93" t="s">
        <v>90</v>
      </c>
      <c r="B93" t="s">
        <v>90</v>
      </c>
      <c r="C93" t="s">
        <v>91</v>
      </c>
      <c r="D93" s="1" t="s">
        <v>99</v>
      </c>
      <c r="E93" t="s">
        <v>93</v>
      </c>
      <c r="F93" t="s">
        <v>17</v>
      </c>
      <c r="G93">
        <v>6</v>
      </c>
      <c r="H93">
        <v>0</v>
      </c>
      <c r="I93" s="5">
        <f>VLOOKUP(TrendSheetStgData[Population]&amp;TrendSheetStgData[Cost Basis]&amp;TrendSheetStgData[Period]&amp;TrendSheetStgData[Trend],TrendSheetPrdData[#All],9,FALSE)</f>
        <v>0</v>
      </c>
      <c r="J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 s="5">
        <f>VLOOKUP(TrendSheetStgData[Population]&amp;TrendSheetStgData[Trend],Threshold[#All],4,FALSE)</f>
        <v>10</v>
      </c>
      <c r="L93" s="5">
        <f>VLOOKUP(TrendSheetStgData[Population]&amp;TrendSheetStgData[Trend],Threshold[#All],5,FALSE)</f>
        <v>5</v>
      </c>
      <c r="M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 spans="1:13" x14ac:dyDescent="0.25">
      <c r="A94" t="s">
        <v>90</v>
      </c>
      <c r="B94" t="s">
        <v>90</v>
      </c>
      <c r="C94" t="s">
        <v>91</v>
      </c>
      <c r="D94" s="1" t="s">
        <v>100</v>
      </c>
      <c r="E94" t="s">
        <v>93</v>
      </c>
      <c r="F94" t="s">
        <v>17</v>
      </c>
      <c r="G94">
        <v>6</v>
      </c>
      <c r="H94">
        <v>0</v>
      </c>
      <c r="I94" s="5">
        <f>VLOOKUP(TrendSheetStgData[Population]&amp;TrendSheetStgData[Cost Basis]&amp;TrendSheetStgData[Period]&amp;TrendSheetStgData[Trend],TrendSheetPrdData[#All],9,FALSE)</f>
        <v>0</v>
      </c>
      <c r="J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 s="5">
        <f>VLOOKUP(TrendSheetStgData[Population]&amp;TrendSheetStgData[Trend],Threshold[#All],4,FALSE)</f>
        <v>10</v>
      </c>
      <c r="L94" s="5">
        <f>VLOOKUP(TrendSheetStgData[Population]&amp;TrendSheetStgData[Trend],Threshold[#All],5,FALSE)</f>
        <v>5</v>
      </c>
      <c r="M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 spans="1:13" x14ac:dyDescent="0.25">
      <c r="A95" t="s">
        <v>90</v>
      </c>
      <c r="B95" t="s">
        <v>90</v>
      </c>
      <c r="C95" t="s">
        <v>91</v>
      </c>
      <c r="D95" s="1" t="s">
        <v>101</v>
      </c>
      <c r="E95" t="s">
        <v>93</v>
      </c>
      <c r="F95" t="s">
        <v>17</v>
      </c>
      <c r="G95">
        <v>6</v>
      </c>
      <c r="H95">
        <v>36644.15</v>
      </c>
      <c r="I95" s="5">
        <f>VLOOKUP(TrendSheetStgData[Population]&amp;TrendSheetStgData[Cost Basis]&amp;TrendSheetStgData[Period]&amp;TrendSheetStgData[Trend],TrendSheetPrdData[#All],9,FALSE)</f>
        <v>36644.15</v>
      </c>
      <c r="J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 s="5">
        <f>VLOOKUP(TrendSheetStgData[Population]&amp;TrendSheetStgData[Trend],Threshold[#All],4,FALSE)</f>
        <v>10</v>
      </c>
      <c r="L95" s="5">
        <f>VLOOKUP(TrendSheetStgData[Population]&amp;TrendSheetStgData[Trend],Threshold[#All],5,FALSE)</f>
        <v>5</v>
      </c>
      <c r="M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 spans="1:13" x14ac:dyDescent="0.25">
      <c r="A96" t="s">
        <v>90</v>
      </c>
      <c r="B96" t="s">
        <v>90</v>
      </c>
      <c r="C96" t="s">
        <v>91</v>
      </c>
      <c r="D96" s="1" t="s">
        <v>102</v>
      </c>
      <c r="E96" t="s">
        <v>93</v>
      </c>
      <c r="F96" t="s">
        <v>17</v>
      </c>
      <c r="G96">
        <v>6</v>
      </c>
      <c r="H96">
        <v>7888.05</v>
      </c>
      <c r="I96" s="5">
        <f>VLOOKUP(TrendSheetStgData[Population]&amp;TrendSheetStgData[Cost Basis]&amp;TrendSheetStgData[Period]&amp;TrendSheetStgData[Trend],TrendSheetPrdData[#All],9,FALSE)</f>
        <v>7888.05</v>
      </c>
      <c r="J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 s="5">
        <f>VLOOKUP(TrendSheetStgData[Population]&amp;TrendSheetStgData[Trend],Threshold[#All],4,FALSE)</f>
        <v>10</v>
      </c>
      <c r="L96" s="5">
        <f>VLOOKUP(TrendSheetStgData[Population]&amp;TrendSheetStgData[Trend],Threshold[#All],5,FALSE)</f>
        <v>5</v>
      </c>
      <c r="M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 spans="1:13" x14ac:dyDescent="0.25">
      <c r="A97" t="s">
        <v>90</v>
      </c>
      <c r="B97" t="s">
        <v>90</v>
      </c>
      <c r="C97" t="s">
        <v>91</v>
      </c>
      <c r="D97" s="1" t="s">
        <v>103</v>
      </c>
      <c r="E97" t="s">
        <v>93</v>
      </c>
      <c r="F97" t="s">
        <v>17</v>
      </c>
      <c r="G97">
        <v>6</v>
      </c>
      <c r="H97">
        <v>0</v>
      </c>
      <c r="I97" s="5">
        <f>VLOOKUP(TrendSheetStgData[Population]&amp;TrendSheetStgData[Cost Basis]&amp;TrendSheetStgData[Period]&amp;TrendSheetStgData[Trend],TrendSheetPrdData[#All],9,FALSE)</f>
        <v>0</v>
      </c>
      <c r="J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 s="5">
        <f>VLOOKUP(TrendSheetStgData[Population]&amp;TrendSheetStgData[Trend],Threshold[#All],4,FALSE)</f>
        <v>10</v>
      </c>
      <c r="L97" s="5">
        <f>VLOOKUP(TrendSheetStgData[Population]&amp;TrendSheetStgData[Trend],Threshold[#All],5,FALSE)</f>
        <v>5</v>
      </c>
      <c r="M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 spans="1:13" x14ac:dyDescent="0.25">
      <c r="A98" t="s">
        <v>90</v>
      </c>
      <c r="B98" t="s">
        <v>90</v>
      </c>
      <c r="C98" t="s">
        <v>91</v>
      </c>
      <c r="D98" s="1" t="s">
        <v>104</v>
      </c>
      <c r="E98" t="s">
        <v>93</v>
      </c>
      <c r="F98" t="s">
        <v>17</v>
      </c>
      <c r="G98">
        <v>6</v>
      </c>
      <c r="H98">
        <v>7888.05</v>
      </c>
      <c r="I98" s="5">
        <f>VLOOKUP(TrendSheetStgData[Population]&amp;TrendSheetStgData[Cost Basis]&amp;TrendSheetStgData[Period]&amp;TrendSheetStgData[Trend],TrendSheetPrdData[#All],9,FALSE)</f>
        <v>7888.05</v>
      </c>
      <c r="J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 s="5">
        <f>VLOOKUP(TrendSheetStgData[Population]&amp;TrendSheetStgData[Trend],Threshold[#All],4,FALSE)</f>
        <v>10</v>
      </c>
      <c r="L98" s="5">
        <f>VLOOKUP(TrendSheetStgData[Population]&amp;TrendSheetStgData[Trend],Threshold[#All],5,FALSE)</f>
        <v>5</v>
      </c>
      <c r="M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 spans="1:13" x14ac:dyDescent="0.25">
      <c r="A99" t="s">
        <v>90</v>
      </c>
      <c r="B99" t="s">
        <v>90</v>
      </c>
      <c r="C99" t="s">
        <v>91</v>
      </c>
      <c r="D99" s="1" t="s">
        <v>105</v>
      </c>
      <c r="E99" t="s">
        <v>93</v>
      </c>
      <c r="F99" t="s">
        <v>17</v>
      </c>
      <c r="G99">
        <v>6</v>
      </c>
      <c r="H99">
        <v>7888.05</v>
      </c>
      <c r="I99" s="5">
        <f>VLOOKUP(TrendSheetStgData[Population]&amp;TrendSheetStgData[Cost Basis]&amp;TrendSheetStgData[Period]&amp;TrendSheetStgData[Trend],TrendSheetPrdData[#All],9,FALSE)</f>
        <v>7888.05</v>
      </c>
      <c r="J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 s="5">
        <f>VLOOKUP(TrendSheetStgData[Population]&amp;TrendSheetStgData[Trend],Threshold[#All],4,FALSE)</f>
        <v>10</v>
      </c>
      <c r="L99" s="5">
        <f>VLOOKUP(TrendSheetStgData[Population]&amp;TrendSheetStgData[Trend],Threshold[#All],5,FALSE)</f>
        <v>5</v>
      </c>
      <c r="M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 spans="1:13" x14ac:dyDescent="0.25">
      <c r="A100" t="s">
        <v>90</v>
      </c>
      <c r="B100" t="s">
        <v>90</v>
      </c>
      <c r="C100" t="s">
        <v>91</v>
      </c>
      <c r="D100" s="1" t="s">
        <v>106</v>
      </c>
      <c r="E100" t="s">
        <v>93</v>
      </c>
      <c r="F100" t="s">
        <v>17</v>
      </c>
      <c r="G100">
        <v>6</v>
      </c>
      <c r="H100">
        <v>0</v>
      </c>
      <c r="I100" s="5">
        <f>VLOOKUP(TrendSheetStgData[Population]&amp;TrendSheetStgData[Cost Basis]&amp;TrendSheetStgData[Period]&amp;TrendSheetStgData[Trend],TrendSheetPrdData[#All],9,FALSE)</f>
        <v>0</v>
      </c>
      <c r="J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 s="5">
        <f>VLOOKUP(TrendSheetStgData[Population]&amp;TrendSheetStgData[Trend],Threshold[#All],4,FALSE)</f>
        <v>10</v>
      </c>
      <c r="L100" s="5">
        <f>VLOOKUP(TrendSheetStgData[Population]&amp;TrendSheetStgData[Trend],Threshold[#All],5,FALSE)</f>
        <v>5</v>
      </c>
      <c r="M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 spans="1:13" x14ac:dyDescent="0.25">
      <c r="A101" t="s">
        <v>90</v>
      </c>
      <c r="B101" t="s">
        <v>90</v>
      </c>
      <c r="C101" t="s">
        <v>91</v>
      </c>
      <c r="D101" s="1" t="s">
        <v>107</v>
      </c>
      <c r="E101" t="s">
        <v>108</v>
      </c>
      <c r="F101" t="s">
        <v>17</v>
      </c>
      <c r="G101">
        <v>6</v>
      </c>
      <c r="H101">
        <v>11627.31</v>
      </c>
      <c r="I101" s="5">
        <f>VLOOKUP(TrendSheetStgData[Population]&amp;TrendSheetStgData[Cost Basis]&amp;TrendSheetStgData[Period]&amp;TrendSheetStgData[Trend],TrendSheetPrdData[#All],9,FALSE)</f>
        <v>11627.31</v>
      </c>
      <c r="J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 s="5">
        <f>VLOOKUP(TrendSheetStgData[Population]&amp;TrendSheetStgData[Trend],Threshold[#All],4,FALSE)</f>
        <v>10</v>
      </c>
      <c r="L101" s="5">
        <f>VLOOKUP(TrendSheetStgData[Population]&amp;TrendSheetStgData[Trend],Threshold[#All],5,FALSE)</f>
        <v>5</v>
      </c>
      <c r="M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 spans="1:13" x14ac:dyDescent="0.25">
      <c r="A102" t="s">
        <v>90</v>
      </c>
      <c r="B102" t="s">
        <v>90</v>
      </c>
      <c r="C102" t="s">
        <v>91</v>
      </c>
      <c r="D102" s="1" t="s">
        <v>109</v>
      </c>
      <c r="E102" t="s">
        <v>108</v>
      </c>
      <c r="F102" t="s">
        <v>17</v>
      </c>
      <c r="G102">
        <v>6</v>
      </c>
      <c r="H102">
        <v>0</v>
      </c>
      <c r="I102" s="5">
        <f>VLOOKUP(TrendSheetStgData[Population]&amp;TrendSheetStgData[Cost Basis]&amp;TrendSheetStgData[Period]&amp;TrendSheetStgData[Trend],TrendSheetPrdData[#All],9,FALSE)</f>
        <v>0</v>
      </c>
      <c r="J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 s="5">
        <f>VLOOKUP(TrendSheetStgData[Population]&amp;TrendSheetStgData[Trend],Threshold[#All],4,FALSE)</f>
        <v>10</v>
      </c>
      <c r="L102" s="5">
        <f>VLOOKUP(TrendSheetStgData[Population]&amp;TrendSheetStgData[Trend],Threshold[#All],5,FALSE)</f>
        <v>5</v>
      </c>
      <c r="M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 spans="1:13" x14ac:dyDescent="0.25">
      <c r="A103" t="s">
        <v>90</v>
      </c>
      <c r="B103" t="s">
        <v>90</v>
      </c>
      <c r="C103" t="s">
        <v>91</v>
      </c>
      <c r="D103" s="1" t="s">
        <v>110</v>
      </c>
      <c r="E103" t="s">
        <v>108</v>
      </c>
      <c r="F103" t="s">
        <v>17</v>
      </c>
      <c r="G103">
        <v>6</v>
      </c>
      <c r="H103">
        <v>9739.8799999999992</v>
      </c>
      <c r="I103" s="5">
        <f>VLOOKUP(TrendSheetStgData[Population]&amp;TrendSheetStgData[Cost Basis]&amp;TrendSheetStgData[Period]&amp;TrendSheetStgData[Trend],TrendSheetPrdData[#All],9,FALSE)</f>
        <v>9739.8799999999992</v>
      </c>
      <c r="J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 s="5">
        <f>VLOOKUP(TrendSheetStgData[Population]&amp;TrendSheetStgData[Trend],Threshold[#All],4,FALSE)</f>
        <v>10</v>
      </c>
      <c r="L103" s="5">
        <f>VLOOKUP(TrendSheetStgData[Population]&amp;TrendSheetStgData[Trend],Threshold[#All],5,FALSE)</f>
        <v>5</v>
      </c>
      <c r="M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 spans="1:13" x14ac:dyDescent="0.25">
      <c r="A104" t="s">
        <v>90</v>
      </c>
      <c r="B104" t="s">
        <v>90</v>
      </c>
      <c r="C104" t="s">
        <v>91</v>
      </c>
      <c r="D104" s="1" t="s">
        <v>92</v>
      </c>
      <c r="E104" t="s">
        <v>93</v>
      </c>
      <c r="F104" t="s">
        <v>18</v>
      </c>
      <c r="G104">
        <v>7</v>
      </c>
      <c r="H104">
        <v>1</v>
      </c>
      <c r="I104" s="5">
        <f>VLOOKUP(TrendSheetStgData[Population]&amp;TrendSheetStgData[Cost Basis]&amp;TrendSheetStgData[Period]&amp;TrendSheetStgData[Trend],TrendSheetPrdData[#All],9,FALSE)</f>
        <v>1</v>
      </c>
      <c r="J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 s="5">
        <f>VLOOKUP(TrendSheetStgData[Population]&amp;TrendSheetStgData[Trend],Threshold[#All],4,FALSE)</f>
        <v>10</v>
      </c>
      <c r="L104" s="5">
        <f>VLOOKUP(TrendSheetStgData[Population]&amp;TrendSheetStgData[Trend],Threshold[#All],5,FALSE)</f>
        <v>5</v>
      </c>
      <c r="M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 spans="1:13" x14ac:dyDescent="0.25">
      <c r="A105" t="s">
        <v>90</v>
      </c>
      <c r="B105" t="s">
        <v>90</v>
      </c>
      <c r="C105" t="s">
        <v>91</v>
      </c>
      <c r="D105" s="1" t="s">
        <v>94</v>
      </c>
      <c r="E105" t="s">
        <v>93</v>
      </c>
      <c r="F105" t="s">
        <v>18</v>
      </c>
      <c r="G105">
        <v>7</v>
      </c>
      <c r="H105">
        <v>1</v>
      </c>
      <c r="I105" s="5">
        <f>VLOOKUP(TrendSheetStgData[Population]&amp;TrendSheetStgData[Cost Basis]&amp;TrendSheetStgData[Period]&amp;TrendSheetStgData[Trend],TrendSheetPrdData[#All],9,FALSE)</f>
        <v>1</v>
      </c>
      <c r="J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 s="5">
        <f>VLOOKUP(TrendSheetStgData[Population]&amp;TrendSheetStgData[Trend],Threshold[#All],4,FALSE)</f>
        <v>10</v>
      </c>
      <c r="L105" s="5">
        <f>VLOOKUP(TrendSheetStgData[Population]&amp;TrendSheetStgData[Trend],Threshold[#All],5,FALSE)</f>
        <v>5</v>
      </c>
      <c r="M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 spans="1:13" x14ac:dyDescent="0.25">
      <c r="A106" t="s">
        <v>90</v>
      </c>
      <c r="B106" t="s">
        <v>90</v>
      </c>
      <c r="C106" t="s">
        <v>91</v>
      </c>
      <c r="D106" s="1" t="s">
        <v>95</v>
      </c>
      <c r="E106" t="s">
        <v>93</v>
      </c>
      <c r="F106" t="s">
        <v>18</v>
      </c>
      <c r="G106">
        <v>7</v>
      </c>
      <c r="H106">
        <v>0</v>
      </c>
      <c r="I106" s="5">
        <f>VLOOKUP(TrendSheetStgData[Population]&amp;TrendSheetStgData[Cost Basis]&amp;TrendSheetStgData[Period]&amp;TrendSheetStgData[Trend],TrendSheetPrdData[#All],9,FALSE)</f>
        <v>0</v>
      </c>
      <c r="J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 s="5">
        <f>VLOOKUP(TrendSheetStgData[Population]&amp;TrendSheetStgData[Trend],Threshold[#All],4,FALSE)</f>
        <v>10</v>
      </c>
      <c r="L106" s="5">
        <f>VLOOKUP(TrendSheetStgData[Population]&amp;TrendSheetStgData[Trend],Threshold[#All],5,FALSE)</f>
        <v>5</v>
      </c>
      <c r="M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 spans="1:13" x14ac:dyDescent="0.25">
      <c r="A107" t="s">
        <v>90</v>
      </c>
      <c r="B107" t="s">
        <v>90</v>
      </c>
      <c r="C107" t="s">
        <v>91</v>
      </c>
      <c r="D107" s="1" t="s">
        <v>96</v>
      </c>
      <c r="E107" t="s">
        <v>93</v>
      </c>
      <c r="F107" t="s">
        <v>18</v>
      </c>
      <c r="G107">
        <v>7</v>
      </c>
      <c r="H107">
        <v>3</v>
      </c>
      <c r="I107" s="5">
        <f>VLOOKUP(TrendSheetStgData[Population]&amp;TrendSheetStgData[Cost Basis]&amp;TrendSheetStgData[Period]&amp;TrendSheetStgData[Trend],TrendSheetPrdData[#All],9,FALSE)</f>
        <v>3</v>
      </c>
      <c r="J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 s="5">
        <f>VLOOKUP(TrendSheetStgData[Population]&amp;TrendSheetStgData[Trend],Threshold[#All],4,FALSE)</f>
        <v>10</v>
      </c>
      <c r="L107" s="5">
        <f>VLOOKUP(TrendSheetStgData[Population]&amp;TrendSheetStgData[Trend],Threshold[#All],5,FALSE)</f>
        <v>5</v>
      </c>
      <c r="M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 spans="1:13" x14ac:dyDescent="0.25">
      <c r="A108" t="s">
        <v>90</v>
      </c>
      <c r="B108" t="s">
        <v>90</v>
      </c>
      <c r="C108" t="s">
        <v>91</v>
      </c>
      <c r="D108" s="1" t="s">
        <v>97</v>
      </c>
      <c r="E108" t="s">
        <v>93</v>
      </c>
      <c r="F108" t="s">
        <v>18</v>
      </c>
      <c r="G108">
        <v>7</v>
      </c>
      <c r="H108">
        <v>0</v>
      </c>
      <c r="I108" s="5">
        <f>VLOOKUP(TrendSheetStgData[Population]&amp;TrendSheetStgData[Cost Basis]&amp;TrendSheetStgData[Period]&amp;TrendSheetStgData[Trend],TrendSheetPrdData[#All],9,FALSE)</f>
        <v>0</v>
      </c>
      <c r="J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 s="5">
        <f>VLOOKUP(TrendSheetStgData[Population]&amp;TrendSheetStgData[Trend],Threshold[#All],4,FALSE)</f>
        <v>10</v>
      </c>
      <c r="L108" s="5">
        <f>VLOOKUP(TrendSheetStgData[Population]&amp;TrendSheetStgData[Trend],Threshold[#All],5,FALSE)</f>
        <v>5</v>
      </c>
      <c r="M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 spans="1:13" x14ac:dyDescent="0.25">
      <c r="A109" t="s">
        <v>90</v>
      </c>
      <c r="B109" t="s">
        <v>90</v>
      </c>
      <c r="C109" t="s">
        <v>91</v>
      </c>
      <c r="D109" s="1" t="s">
        <v>98</v>
      </c>
      <c r="E109" t="s">
        <v>93</v>
      </c>
      <c r="F109" t="s">
        <v>18</v>
      </c>
      <c r="G109">
        <v>7</v>
      </c>
      <c r="H109">
        <v>1</v>
      </c>
      <c r="I109" s="5">
        <f>VLOOKUP(TrendSheetStgData[Population]&amp;TrendSheetStgData[Cost Basis]&amp;TrendSheetStgData[Period]&amp;TrendSheetStgData[Trend],TrendSheetPrdData[#All],9,FALSE)</f>
        <v>1</v>
      </c>
      <c r="J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 s="5">
        <f>VLOOKUP(TrendSheetStgData[Population]&amp;TrendSheetStgData[Trend],Threshold[#All],4,FALSE)</f>
        <v>10</v>
      </c>
      <c r="L109" s="5">
        <f>VLOOKUP(TrendSheetStgData[Population]&amp;TrendSheetStgData[Trend],Threshold[#All],5,FALSE)</f>
        <v>5</v>
      </c>
      <c r="M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 spans="1:13" x14ac:dyDescent="0.25">
      <c r="A110" t="s">
        <v>90</v>
      </c>
      <c r="B110" t="s">
        <v>90</v>
      </c>
      <c r="C110" t="s">
        <v>91</v>
      </c>
      <c r="D110" s="1" t="s">
        <v>99</v>
      </c>
      <c r="E110" t="s">
        <v>93</v>
      </c>
      <c r="F110" t="s">
        <v>18</v>
      </c>
      <c r="G110">
        <v>7</v>
      </c>
      <c r="H110">
        <v>0</v>
      </c>
      <c r="I110" s="5">
        <f>VLOOKUP(TrendSheetStgData[Population]&amp;TrendSheetStgData[Cost Basis]&amp;TrendSheetStgData[Period]&amp;TrendSheetStgData[Trend],TrendSheetPrdData[#All],9,FALSE)</f>
        <v>0</v>
      </c>
      <c r="J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 s="5">
        <f>VLOOKUP(TrendSheetStgData[Population]&amp;TrendSheetStgData[Trend],Threshold[#All],4,FALSE)</f>
        <v>10</v>
      </c>
      <c r="L110" s="5">
        <f>VLOOKUP(TrendSheetStgData[Population]&amp;TrendSheetStgData[Trend],Threshold[#All],5,FALSE)</f>
        <v>5</v>
      </c>
      <c r="M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 spans="1:13" x14ac:dyDescent="0.25">
      <c r="A111" t="s">
        <v>90</v>
      </c>
      <c r="B111" t="s">
        <v>90</v>
      </c>
      <c r="C111" t="s">
        <v>91</v>
      </c>
      <c r="D111" s="1" t="s">
        <v>100</v>
      </c>
      <c r="E111" t="s">
        <v>93</v>
      </c>
      <c r="F111" t="s">
        <v>18</v>
      </c>
      <c r="G111">
        <v>7</v>
      </c>
      <c r="H111">
        <v>0</v>
      </c>
      <c r="I111" s="5">
        <f>VLOOKUP(TrendSheetStgData[Population]&amp;TrendSheetStgData[Cost Basis]&amp;TrendSheetStgData[Period]&amp;TrendSheetStgData[Trend],TrendSheetPrdData[#All],9,FALSE)</f>
        <v>0</v>
      </c>
      <c r="J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 s="5">
        <f>VLOOKUP(TrendSheetStgData[Population]&amp;TrendSheetStgData[Trend],Threshold[#All],4,FALSE)</f>
        <v>10</v>
      </c>
      <c r="L111" s="5">
        <f>VLOOKUP(TrendSheetStgData[Population]&amp;TrendSheetStgData[Trend],Threshold[#All],5,FALSE)</f>
        <v>5</v>
      </c>
      <c r="M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 spans="1:13" x14ac:dyDescent="0.25">
      <c r="A112" t="s">
        <v>90</v>
      </c>
      <c r="B112" t="s">
        <v>90</v>
      </c>
      <c r="C112" t="s">
        <v>91</v>
      </c>
      <c r="D112" s="1" t="s">
        <v>101</v>
      </c>
      <c r="E112" t="s">
        <v>93</v>
      </c>
      <c r="F112" t="s">
        <v>18</v>
      </c>
      <c r="G112">
        <v>7</v>
      </c>
      <c r="H112">
        <v>3</v>
      </c>
      <c r="I112" s="5">
        <f>VLOOKUP(TrendSheetStgData[Population]&amp;TrendSheetStgData[Cost Basis]&amp;TrendSheetStgData[Period]&amp;TrendSheetStgData[Trend],TrendSheetPrdData[#All],9,FALSE)</f>
        <v>3</v>
      </c>
      <c r="J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 s="5">
        <f>VLOOKUP(TrendSheetStgData[Population]&amp;TrendSheetStgData[Trend],Threshold[#All],4,FALSE)</f>
        <v>10</v>
      </c>
      <c r="L112" s="5">
        <f>VLOOKUP(TrendSheetStgData[Population]&amp;TrendSheetStgData[Trend],Threshold[#All],5,FALSE)</f>
        <v>5</v>
      </c>
      <c r="M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 spans="1:13" x14ac:dyDescent="0.25">
      <c r="A113" t="s">
        <v>90</v>
      </c>
      <c r="B113" t="s">
        <v>90</v>
      </c>
      <c r="C113" t="s">
        <v>91</v>
      </c>
      <c r="D113" s="1" t="s">
        <v>102</v>
      </c>
      <c r="E113" t="s">
        <v>93</v>
      </c>
      <c r="F113" t="s">
        <v>18</v>
      </c>
      <c r="G113">
        <v>7</v>
      </c>
      <c r="H113">
        <v>1</v>
      </c>
      <c r="I113" s="5">
        <f>VLOOKUP(TrendSheetStgData[Population]&amp;TrendSheetStgData[Cost Basis]&amp;TrendSheetStgData[Period]&amp;TrendSheetStgData[Trend],TrendSheetPrdData[#All],9,FALSE)</f>
        <v>1</v>
      </c>
      <c r="J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 s="5">
        <f>VLOOKUP(TrendSheetStgData[Population]&amp;TrendSheetStgData[Trend],Threshold[#All],4,FALSE)</f>
        <v>10</v>
      </c>
      <c r="L113" s="5">
        <f>VLOOKUP(TrendSheetStgData[Population]&amp;TrendSheetStgData[Trend],Threshold[#All],5,FALSE)</f>
        <v>5</v>
      </c>
      <c r="M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 spans="1:13" x14ac:dyDescent="0.25">
      <c r="A114" t="s">
        <v>90</v>
      </c>
      <c r="B114" t="s">
        <v>90</v>
      </c>
      <c r="C114" t="s">
        <v>91</v>
      </c>
      <c r="D114" s="1" t="s">
        <v>103</v>
      </c>
      <c r="E114" t="s">
        <v>93</v>
      </c>
      <c r="F114" t="s">
        <v>18</v>
      </c>
      <c r="G114">
        <v>7</v>
      </c>
      <c r="H114">
        <v>0</v>
      </c>
      <c r="I114" s="5">
        <f>VLOOKUP(TrendSheetStgData[Population]&amp;TrendSheetStgData[Cost Basis]&amp;TrendSheetStgData[Period]&amp;TrendSheetStgData[Trend],TrendSheetPrdData[#All],9,FALSE)</f>
        <v>0</v>
      </c>
      <c r="J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 s="5">
        <f>VLOOKUP(TrendSheetStgData[Population]&amp;TrendSheetStgData[Trend],Threshold[#All],4,FALSE)</f>
        <v>10</v>
      </c>
      <c r="L114" s="5">
        <f>VLOOKUP(TrendSheetStgData[Population]&amp;TrendSheetStgData[Trend],Threshold[#All],5,FALSE)</f>
        <v>5</v>
      </c>
      <c r="M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 spans="1:13" x14ac:dyDescent="0.25">
      <c r="A115" t="s">
        <v>90</v>
      </c>
      <c r="B115" t="s">
        <v>90</v>
      </c>
      <c r="C115" t="s">
        <v>91</v>
      </c>
      <c r="D115" s="1" t="s">
        <v>104</v>
      </c>
      <c r="E115" t="s">
        <v>93</v>
      </c>
      <c r="F115" t="s">
        <v>18</v>
      </c>
      <c r="G115">
        <v>7</v>
      </c>
      <c r="H115">
        <v>1</v>
      </c>
      <c r="I115" s="5">
        <f>VLOOKUP(TrendSheetStgData[Population]&amp;TrendSheetStgData[Cost Basis]&amp;TrendSheetStgData[Period]&amp;TrendSheetStgData[Trend],TrendSheetPrdData[#All],9,FALSE)</f>
        <v>1</v>
      </c>
      <c r="J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 s="5">
        <f>VLOOKUP(TrendSheetStgData[Population]&amp;TrendSheetStgData[Trend],Threshold[#All],4,FALSE)</f>
        <v>10</v>
      </c>
      <c r="L115" s="5">
        <f>VLOOKUP(TrendSheetStgData[Population]&amp;TrendSheetStgData[Trend],Threshold[#All],5,FALSE)</f>
        <v>5</v>
      </c>
      <c r="M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 spans="1:13" x14ac:dyDescent="0.25">
      <c r="A116" t="s">
        <v>90</v>
      </c>
      <c r="B116" t="s">
        <v>90</v>
      </c>
      <c r="C116" t="s">
        <v>91</v>
      </c>
      <c r="D116" s="1" t="s">
        <v>105</v>
      </c>
      <c r="E116" t="s">
        <v>93</v>
      </c>
      <c r="F116" t="s">
        <v>18</v>
      </c>
      <c r="G116">
        <v>7</v>
      </c>
      <c r="H116">
        <v>1</v>
      </c>
      <c r="I116" s="5">
        <f>VLOOKUP(TrendSheetStgData[Population]&amp;TrendSheetStgData[Cost Basis]&amp;TrendSheetStgData[Period]&amp;TrendSheetStgData[Trend],TrendSheetPrdData[#All],9,FALSE)</f>
        <v>1</v>
      </c>
      <c r="J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 s="5">
        <f>VLOOKUP(TrendSheetStgData[Population]&amp;TrendSheetStgData[Trend],Threshold[#All],4,FALSE)</f>
        <v>10</v>
      </c>
      <c r="L116" s="5">
        <f>VLOOKUP(TrendSheetStgData[Population]&amp;TrendSheetStgData[Trend],Threshold[#All],5,FALSE)</f>
        <v>5</v>
      </c>
      <c r="M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 spans="1:13" x14ac:dyDescent="0.25">
      <c r="A117" t="s">
        <v>90</v>
      </c>
      <c r="B117" t="s">
        <v>90</v>
      </c>
      <c r="C117" t="s">
        <v>91</v>
      </c>
      <c r="D117" s="1" t="s">
        <v>106</v>
      </c>
      <c r="E117" t="s">
        <v>93</v>
      </c>
      <c r="F117" t="s">
        <v>18</v>
      </c>
      <c r="G117">
        <v>7</v>
      </c>
      <c r="H117">
        <v>0</v>
      </c>
      <c r="I117" s="5">
        <f>VLOOKUP(TrendSheetStgData[Population]&amp;TrendSheetStgData[Cost Basis]&amp;TrendSheetStgData[Period]&amp;TrendSheetStgData[Trend],TrendSheetPrdData[#All],9,FALSE)</f>
        <v>0</v>
      </c>
      <c r="J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 s="5">
        <f>VLOOKUP(TrendSheetStgData[Population]&amp;TrendSheetStgData[Trend],Threshold[#All],4,FALSE)</f>
        <v>10</v>
      </c>
      <c r="L117" s="5">
        <f>VLOOKUP(TrendSheetStgData[Population]&amp;TrendSheetStgData[Trend],Threshold[#All],5,FALSE)</f>
        <v>5</v>
      </c>
      <c r="M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 spans="1:13" x14ac:dyDescent="0.25">
      <c r="A118" t="s">
        <v>90</v>
      </c>
      <c r="B118" t="s">
        <v>90</v>
      </c>
      <c r="C118" t="s">
        <v>91</v>
      </c>
      <c r="D118" s="1" t="s">
        <v>107</v>
      </c>
      <c r="E118" t="s">
        <v>108</v>
      </c>
      <c r="F118" t="s">
        <v>18</v>
      </c>
      <c r="G118">
        <v>7</v>
      </c>
      <c r="H118">
        <v>1</v>
      </c>
      <c r="I118" s="5">
        <f>VLOOKUP(TrendSheetStgData[Population]&amp;TrendSheetStgData[Cost Basis]&amp;TrendSheetStgData[Period]&amp;TrendSheetStgData[Trend],TrendSheetPrdData[#All],9,FALSE)</f>
        <v>1</v>
      </c>
      <c r="J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 s="5">
        <f>VLOOKUP(TrendSheetStgData[Population]&amp;TrendSheetStgData[Trend],Threshold[#All],4,FALSE)</f>
        <v>10</v>
      </c>
      <c r="L118" s="5">
        <f>VLOOKUP(TrendSheetStgData[Population]&amp;TrendSheetStgData[Trend],Threshold[#All],5,FALSE)</f>
        <v>5</v>
      </c>
      <c r="M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 spans="1:13" x14ac:dyDescent="0.25">
      <c r="A119" t="s">
        <v>90</v>
      </c>
      <c r="B119" t="s">
        <v>90</v>
      </c>
      <c r="C119" t="s">
        <v>91</v>
      </c>
      <c r="D119" s="1" t="s">
        <v>109</v>
      </c>
      <c r="E119" t="s">
        <v>108</v>
      </c>
      <c r="F119" t="s">
        <v>18</v>
      </c>
      <c r="G119">
        <v>7</v>
      </c>
      <c r="H119">
        <v>0</v>
      </c>
      <c r="I119" s="5">
        <f>VLOOKUP(TrendSheetStgData[Population]&amp;TrendSheetStgData[Cost Basis]&amp;TrendSheetStgData[Period]&amp;TrendSheetStgData[Trend],TrendSheetPrdData[#All],9,FALSE)</f>
        <v>0</v>
      </c>
      <c r="J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 s="5">
        <f>VLOOKUP(TrendSheetStgData[Population]&amp;TrendSheetStgData[Trend],Threshold[#All],4,FALSE)</f>
        <v>10</v>
      </c>
      <c r="L119" s="5">
        <f>VLOOKUP(TrendSheetStgData[Population]&amp;TrendSheetStgData[Trend],Threshold[#All],5,FALSE)</f>
        <v>5</v>
      </c>
      <c r="M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 spans="1:13" x14ac:dyDescent="0.25">
      <c r="A120" t="s">
        <v>90</v>
      </c>
      <c r="B120" t="s">
        <v>90</v>
      </c>
      <c r="C120" t="s">
        <v>91</v>
      </c>
      <c r="D120" s="1" t="s">
        <v>110</v>
      </c>
      <c r="E120" t="s">
        <v>108</v>
      </c>
      <c r="F120" t="s">
        <v>18</v>
      </c>
      <c r="G120">
        <v>7</v>
      </c>
      <c r="H120">
        <v>1</v>
      </c>
      <c r="I120" s="5">
        <f>VLOOKUP(TrendSheetStgData[Population]&amp;TrendSheetStgData[Cost Basis]&amp;TrendSheetStgData[Period]&amp;TrendSheetStgData[Trend],TrendSheetPrdData[#All],9,FALSE)</f>
        <v>1</v>
      </c>
      <c r="J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 s="5">
        <f>VLOOKUP(TrendSheetStgData[Population]&amp;TrendSheetStgData[Trend],Threshold[#All],4,FALSE)</f>
        <v>10</v>
      </c>
      <c r="L120" s="5">
        <f>VLOOKUP(TrendSheetStgData[Population]&amp;TrendSheetStgData[Trend],Threshold[#All],5,FALSE)</f>
        <v>5</v>
      </c>
      <c r="M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 spans="1:13" x14ac:dyDescent="0.25">
      <c r="A121" t="s">
        <v>90</v>
      </c>
      <c r="B121" t="s">
        <v>90</v>
      </c>
      <c r="C121" t="s">
        <v>91</v>
      </c>
      <c r="D121" s="1" t="s">
        <v>92</v>
      </c>
      <c r="E121" t="s">
        <v>93</v>
      </c>
      <c r="F121" t="s">
        <v>19</v>
      </c>
      <c r="G121">
        <v>8</v>
      </c>
      <c r="H121">
        <v>23465.75</v>
      </c>
      <c r="I121" s="5">
        <f>VLOOKUP(TrendSheetStgData[Population]&amp;TrendSheetStgData[Cost Basis]&amp;TrendSheetStgData[Period]&amp;TrendSheetStgData[Trend],TrendSheetPrdData[#All],9,FALSE)</f>
        <v>23465.75</v>
      </c>
      <c r="J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 s="5">
        <f>VLOOKUP(TrendSheetStgData[Population]&amp;TrendSheetStgData[Trend],Threshold[#All],4,FALSE)</f>
        <v>10</v>
      </c>
      <c r="L121" s="5">
        <f>VLOOKUP(TrendSheetStgData[Population]&amp;TrendSheetStgData[Trend],Threshold[#All],5,FALSE)</f>
        <v>5</v>
      </c>
      <c r="M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 spans="1:13" x14ac:dyDescent="0.25">
      <c r="A122" t="s">
        <v>90</v>
      </c>
      <c r="B122" t="s">
        <v>90</v>
      </c>
      <c r="C122" t="s">
        <v>91</v>
      </c>
      <c r="D122" s="1" t="s">
        <v>94</v>
      </c>
      <c r="E122" t="s">
        <v>93</v>
      </c>
      <c r="F122" t="s">
        <v>19</v>
      </c>
      <c r="G122">
        <v>8</v>
      </c>
      <c r="H122">
        <v>29063.439999999999</v>
      </c>
      <c r="I122" s="5">
        <f>VLOOKUP(TrendSheetStgData[Population]&amp;TrendSheetStgData[Cost Basis]&amp;TrendSheetStgData[Period]&amp;TrendSheetStgData[Trend],TrendSheetPrdData[#All],9,FALSE)</f>
        <v>29063.439999999999</v>
      </c>
      <c r="J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 s="5">
        <f>VLOOKUP(TrendSheetStgData[Population]&amp;TrendSheetStgData[Trend],Threshold[#All],4,FALSE)</f>
        <v>10</v>
      </c>
      <c r="L122" s="5">
        <f>VLOOKUP(TrendSheetStgData[Population]&amp;TrendSheetStgData[Trend],Threshold[#All],5,FALSE)</f>
        <v>5</v>
      </c>
      <c r="M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 spans="1:13" x14ac:dyDescent="0.25">
      <c r="A123" t="s">
        <v>90</v>
      </c>
      <c r="B123" t="s">
        <v>90</v>
      </c>
      <c r="C123" t="s">
        <v>91</v>
      </c>
      <c r="D123" s="1" t="s">
        <v>95</v>
      </c>
      <c r="E123" t="s">
        <v>93</v>
      </c>
      <c r="F123" t="s">
        <v>19</v>
      </c>
      <c r="G123">
        <v>8</v>
      </c>
      <c r="H123">
        <v>48015.38</v>
      </c>
      <c r="I123" s="5">
        <f>VLOOKUP(TrendSheetStgData[Population]&amp;TrendSheetStgData[Cost Basis]&amp;TrendSheetStgData[Period]&amp;TrendSheetStgData[Trend],TrendSheetPrdData[#All],9,FALSE)</f>
        <v>48015.38</v>
      </c>
      <c r="J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 s="5">
        <f>VLOOKUP(TrendSheetStgData[Population]&amp;TrendSheetStgData[Trend],Threshold[#All],4,FALSE)</f>
        <v>10</v>
      </c>
      <c r="L123" s="5">
        <f>VLOOKUP(TrendSheetStgData[Population]&amp;TrendSheetStgData[Trend],Threshold[#All],5,FALSE)</f>
        <v>5</v>
      </c>
      <c r="M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 spans="1:13" x14ac:dyDescent="0.25">
      <c r="A124" t="s">
        <v>90</v>
      </c>
      <c r="B124" t="s">
        <v>90</v>
      </c>
      <c r="C124" t="s">
        <v>91</v>
      </c>
      <c r="D124" s="1" t="s">
        <v>96</v>
      </c>
      <c r="E124" t="s">
        <v>93</v>
      </c>
      <c r="F124" t="s">
        <v>19</v>
      </c>
      <c r="G124">
        <v>8</v>
      </c>
      <c r="H124">
        <v>41460.199999999997</v>
      </c>
      <c r="I124" s="5">
        <f>VLOOKUP(TrendSheetStgData[Population]&amp;TrendSheetStgData[Cost Basis]&amp;TrendSheetStgData[Period]&amp;TrendSheetStgData[Trend],TrendSheetPrdData[#All],9,FALSE)</f>
        <v>41460.199999999997</v>
      </c>
      <c r="J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 s="5">
        <f>VLOOKUP(TrendSheetStgData[Population]&amp;TrendSheetStgData[Trend],Threshold[#All],4,FALSE)</f>
        <v>10</v>
      </c>
      <c r="L124" s="5">
        <f>VLOOKUP(TrendSheetStgData[Population]&amp;TrendSheetStgData[Trend],Threshold[#All],5,FALSE)</f>
        <v>5</v>
      </c>
      <c r="M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 spans="1:13" x14ac:dyDescent="0.25">
      <c r="A125" t="s">
        <v>90</v>
      </c>
      <c r="B125" t="s">
        <v>90</v>
      </c>
      <c r="C125" t="s">
        <v>91</v>
      </c>
      <c r="D125" s="1" t="s">
        <v>97</v>
      </c>
      <c r="E125" t="s">
        <v>93</v>
      </c>
      <c r="F125" t="s">
        <v>19</v>
      </c>
      <c r="G125">
        <v>8</v>
      </c>
      <c r="H125">
        <v>37665.49</v>
      </c>
      <c r="I125" s="5">
        <f>VLOOKUP(TrendSheetStgData[Population]&amp;TrendSheetStgData[Cost Basis]&amp;TrendSheetStgData[Period]&amp;TrendSheetStgData[Trend],TrendSheetPrdData[#All],9,FALSE)</f>
        <v>37665.49</v>
      </c>
      <c r="J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 s="5">
        <f>VLOOKUP(TrendSheetStgData[Population]&amp;TrendSheetStgData[Trend],Threshold[#All],4,FALSE)</f>
        <v>10</v>
      </c>
      <c r="L125" s="5">
        <f>VLOOKUP(TrendSheetStgData[Population]&amp;TrendSheetStgData[Trend],Threshold[#All],5,FALSE)</f>
        <v>5</v>
      </c>
      <c r="M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 spans="1:13" x14ac:dyDescent="0.25">
      <c r="A126" t="s">
        <v>90</v>
      </c>
      <c r="B126" t="s">
        <v>90</v>
      </c>
      <c r="C126" t="s">
        <v>91</v>
      </c>
      <c r="D126" s="1" t="s">
        <v>98</v>
      </c>
      <c r="E126" t="s">
        <v>93</v>
      </c>
      <c r="F126" t="s">
        <v>19</v>
      </c>
      <c r="G126">
        <v>8</v>
      </c>
      <c r="H126">
        <v>40884.769999999997</v>
      </c>
      <c r="I126" s="5">
        <f>VLOOKUP(TrendSheetStgData[Population]&amp;TrendSheetStgData[Cost Basis]&amp;TrendSheetStgData[Period]&amp;TrendSheetStgData[Trend],TrendSheetPrdData[#All],9,FALSE)</f>
        <v>40884.769999999997</v>
      </c>
      <c r="J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 s="5">
        <f>VLOOKUP(TrendSheetStgData[Population]&amp;TrendSheetStgData[Trend],Threshold[#All],4,FALSE)</f>
        <v>10</v>
      </c>
      <c r="L126" s="5">
        <f>VLOOKUP(TrendSheetStgData[Population]&amp;TrendSheetStgData[Trend],Threshold[#All],5,FALSE)</f>
        <v>5</v>
      </c>
      <c r="M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 spans="1:13" x14ac:dyDescent="0.25">
      <c r="A127" t="s">
        <v>90</v>
      </c>
      <c r="B127" t="s">
        <v>90</v>
      </c>
      <c r="C127" t="s">
        <v>91</v>
      </c>
      <c r="D127" s="1" t="s">
        <v>99</v>
      </c>
      <c r="E127" t="s">
        <v>93</v>
      </c>
      <c r="F127" t="s">
        <v>19</v>
      </c>
      <c r="G127">
        <v>8</v>
      </c>
      <c r="H127">
        <v>33851.96</v>
      </c>
      <c r="I127" s="5">
        <f>VLOOKUP(TrendSheetStgData[Population]&amp;TrendSheetStgData[Cost Basis]&amp;TrendSheetStgData[Period]&amp;TrendSheetStgData[Trend],TrendSheetPrdData[#All],9,FALSE)</f>
        <v>33851.96</v>
      </c>
      <c r="J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 s="5">
        <f>VLOOKUP(TrendSheetStgData[Population]&amp;TrendSheetStgData[Trend],Threshold[#All],4,FALSE)</f>
        <v>10</v>
      </c>
      <c r="L127" s="5">
        <f>VLOOKUP(TrendSheetStgData[Population]&amp;TrendSheetStgData[Trend],Threshold[#All],5,FALSE)</f>
        <v>5</v>
      </c>
      <c r="M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 spans="1:13" x14ac:dyDescent="0.25">
      <c r="A128" t="s">
        <v>90</v>
      </c>
      <c r="B128" t="s">
        <v>90</v>
      </c>
      <c r="C128" t="s">
        <v>91</v>
      </c>
      <c r="D128" s="1" t="s">
        <v>100</v>
      </c>
      <c r="E128" t="s">
        <v>93</v>
      </c>
      <c r="F128" t="s">
        <v>19</v>
      </c>
      <c r="G128">
        <v>8</v>
      </c>
      <c r="H128">
        <v>47794.65</v>
      </c>
      <c r="I128" s="5">
        <f>VLOOKUP(TrendSheetStgData[Population]&amp;TrendSheetStgData[Cost Basis]&amp;TrendSheetStgData[Period]&amp;TrendSheetStgData[Trend],TrendSheetPrdData[#All],9,FALSE)</f>
        <v>47794.65</v>
      </c>
      <c r="J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 s="5">
        <f>VLOOKUP(TrendSheetStgData[Population]&amp;TrendSheetStgData[Trend],Threshold[#All],4,FALSE)</f>
        <v>10</v>
      </c>
      <c r="L128" s="5">
        <f>VLOOKUP(TrendSheetStgData[Population]&amp;TrendSheetStgData[Trend],Threshold[#All],5,FALSE)</f>
        <v>5</v>
      </c>
      <c r="M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 spans="1:13" x14ac:dyDescent="0.25">
      <c r="A129" t="s">
        <v>90</v>
      </c>
      <c r="B129" t="s">
        <v>90</v>
      </c>
      <c r="C129" t="s">
        <v>91</v>
      </c>
      <c r="D129" s="1" t="s">
        <v>101</v>
      </c>
      <c r="E129" t="s">
        <v>93</v>
      </c>
      <c r="F129" t="s">
        <v>19</v>
      </c>
      <c r="G129">
        <v>8</v>
      </c>
      <c r="H129">
        <v>41995.69</v>
      </c>
      <c r="I129" s="5">
        <f>VLOOKUP(TrendSheetStgData[Population]&amp;TrendSheetStgData[Cost Basis]&amp;TrendSheetStgData[Period]&amp;TrendSheetStgData[Trend],TrendSheetPrdData[#All],9,FALSE)</f>
        <v>41995.69</v>
      </c>
      <c r="J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 s="5">
        <f>VLOOKUP(TrendSheetStgData[Population]&amp;TrendSheetStgData[Trend],Threshold[#All],4,FALSE)</f>
        <v>10</v>
      </c>
      <c r="L129" s="5">
        <f>VLOOKUP(TrendSheetStgData[Population]&amp;TrendSheetStgData[Trend],Threshold[#All],5,FALSE)</f>
        <v>5</v>
      </c>
      <c r="M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 spans="1:13" x14ac:dyDescent="0.25">
      <c r="A130" t="s">
        <v>90</v>
      </c>
      <c r="B130" t="s">
        <v>90</v>
      </c>
      <c r="C130" t="s">
        <v>91</v>
      </c>
      <c r="D130" s="1" t="s">
        <v>102</v>
      </c>
      <c r="E130" t="s">
        <v>93</v>
      </c>
      <c r="F130" t="s">
        <v>19</v>
      </c>
      <c r="G130">
        <v>8</v>
      </c>
      <c r="H130">
        <v>32375.59</v>
      </c>
      <c r="I130" s="5">
        <f>VLOOKUP(TrendSheetStgData[Population]&amp;TrendSheetStgData[Cost Basis]&amp;TrendSheetStgData[Period]&amp;TrendSheetStgData[Trend],TrendSheetPrdData[#All],9,FALSE)</f>
        <v>32375.59</v>
      </c>
      <c r="J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 s="5">
        <f>VLOOKUP(TrendSheetStgData[Population]&amp;TrendSheetStgData[Trend],Threshold[#All],4,FALSE)</f>
        <v>10</v>
      </c>
      <c r="L130" s="5">
        <f>VLOOKUP(TrendSheetStgData[Population]&amp;TrendSheetStgData[Trend],Threshold[#All],5,FALSE)</f>
        <v>5</v>
      </c>
      <c r="M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 spans="1:13" x14ac:dyDescent="0.25">
      <c r="A131" t="s">
        <v>90</v>
      </c>
      <c r="B131" t="s">
        <v>90</v>
      </c>
      <c r="C131" t="s">
        <v>91</v>
      </c>
      <c r="D131" s="1" t="s">
        <v>103</v>
      </c>
      <c r="E131" t="s">
        <v>93</v>
      </c>
      <c r="F131" t="s">
        <v>19</v>
      </c>
      <c r="G131">
        <v>8</v>
      </c>
      <c r="H131">
        <v>32133.18</v>
      </c>
      <c r="I131" s="5">
        <f>VLOOKUP(TrendSheetStgData[Population]&amp;TrendSheetStgData[Cost Basis]&amp;TrendSheetStgData[Period]&amp;TrendSheetStgData[Trend],TrendSheetPrdData[#All],9,FALSE)</f>
        <v>32133.18</v>
      </c>
      <c r="J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 s="5">
        <f>VLOOKUP(TrendSheetStgData[Population]&amp;TrendSheetStgData[Trend],Threshold[#All],4,FALSE)</f>
        <v>10</v>
      </c>
      <c r="L131" s="5">
        <f>VLOOKUP(TrendSheetStgData[Population]&amp;TrendSheetStgData[Trend],Threshold[#All],5,FALSE)</f>
        <v>5</v>
      </c>
      <c r="M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 spans="1:13" x14ac:dyDescent="0.25">
      <c r="A132" t="s">
        <v>90</v>
      </c>
      <c r="B132" t="s">
        <v>90</v>
      </c>
      <c r="C132" t="s">
        <v>91</v>
      </c>
      <c r="D132" s="1" t="s">
        <v>104</v>
      </c>
      <c r="E132" t="s">
        <v>93</v>
      </c>
      <c r="F132" t="s">
        <v>19</v>
      </c>
      <c r="G132">
        <v>8</v>
      </c>
      <c r="H132">
        <v>40714.5</v>
      </c>
      <c r="I132" s="5">
        <f>VLOOKUP(TrendSheetStgData[Population]&amp;TrendSheetStgData[Cost Basis]&amp;TrendSheetStgData[Period]&amp;TrendSheetStgData[Trend],TrendSheetPrdData[#All],9,FALSE)</f>
        <v>40714.5</v>
      </c>
      <c r="J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 s="5">
        <f>VLOOKUP(TrendSheetStgData[Population]&amp;TrendSheetStgData[Trend],Threshold[#All],4,FALSE)</f>
        <v>10</v>
      </c>
      <c r="L132" s="5">
        <f>VLOOKUP(TrendSheetStgData[Population]&amp;TrendSheetStgData[Trend],Threshold[#All],5,FALSE)</f>
        <v>5</v>
      </c>
      <c r="M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 spans="1:13" x14ac:dyDescent="0.25">
      <c r="A133" t="s">
        <v>90</v>
      </c>
      <c r="B133" t="s">
        <v>90</v>
      </c>
      <c r="C133" t="s">
        <v>91</v>
      </c>
      <c r="D133" s="1" t="s">
        <v>105</v>
      </c>
      <c r="E133" t="s">
        <v>93</v>
      </c>
      <c r="F133" t="s">
        <v>19</v>
      </c>
      <c r="G133">
        <v>8</v>
      </c>
      <c r="H133">
        <v>30982.55</v>
      </c>
      <c r="I133" s="5">
        <f>VLOOKUP(TrendSheetStgData[Population]&amp;TrendSheetStgData[Cost Basis]&amp;TrendSheetStgData[Period]&amp;TrendSheetStgData[Trend],TrendSheetPrdData[#All],9,FALSE)</f>
        <v>30982.55</v>
      </c>
      <c r="J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 s="5">
        <f>VLOOKUP(TrendSheetStgData[Population]&amp;TrendSheetStgData[Trend],Threshold[#All],4,FALSE)</f>
        <v>10</v>
      </c>
      <c r="L133" s="5">
        <f>VLOOKUP(TrendSheetStgData[Population]&amp;TrendSheetStgData[Trend],Threshold[#All],5,FALSE)</f>
        <v>5</v>
      </c>
      <c r="M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 spans="1:13" x14ac:dyDescent="0.25">
      <c r="A134" t="s">
        <v>90</v>
      </c>
      <c r="B134" t="s">
        <v>90</v>
      </c>
      <c r="C134" t="s">
        <v>91</v>
      </c>
      <c r="D134" s="1" t="s">
        <v>106</v>
      </c>
      <c r="E134" t="s">
        <v>93</v>
      </c>
      <c r="F134" t="s">
        <v>19</v>
      </c>
      <c r="G134">
        <v>8</v>
      </c>
      <c r="H134">
        <v>32518.28</v>
      </c>
      <c r="I134" s="5">
        <f>VLOOKUP(TrendSheetStgData[Population]&amp;TrendSheetStgData[Cost Basis]&amp;TrendSheetStgData[Period]&amp;TrendSheetStgData[Trend],TrendSheetPrdData[#All],9,FALSE)</f>
        <v>32518.28</v>
      </c>
      <c r="J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 s="5">
        <f>VLOOKUP(TrendSheetStgData[Population]&amp;TrendSheetStgData[Trend],Threshold[#All],4,FALSE)</f>
        <v>10</v>
      </c>
      <c r="L134" s="5">
        <f>VLOOKUP(TrendSheetStgData[Population]&amp;TrendSheetStgData[Trend],Threshold[#All],5,FALSE)</f>
        <v>5</v>
      </c>
      <c r="M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 spans="1:13" x14ac:dyDescent="0.25">
      <c r="A135" t="s">
        <v>90</v>
      </c>
      <c r="B135" t="s">
        <v>90</v>
      </c>
      <c r="C135" t="s">
        <v>91</v>
      </c>
      <c r="D135" s="1" t="s">
        <v>107</v>
      </c>
      <c r="E135" t="s">
        <v>108</v>
      </c>
      <c r="F135" t="s">
        <v>19</v>
      </c>
      <c r="G135">
        <v>8</v>
      </c>
      <c r="H135">
        <v>41450.71</v>
      </c>
      <c r="I135" s="5">
        <f>VLOOKUP(TrendSheetStgData[Population]&amp;TrendSheetStgData[Cost Basis]&amp;TrendSheetStgData[Period]&amp;TrendSheetStgData[Trend],TrendSheetPrdData[#All],9,FALSE)</f>
        <v>41450.71</v>
      </c>
      <c r="J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 s="5">
        <f>VLOOKUP(TrendSheetStgData[Population]&amp;TrendSheetStgData[Trend],Threshold[#All],4,FALSE)</f>
        <v>10</v>
      </c>
      <c r="L135" s="5">
        <f>VLOOKUP(TrendSheetStgData[Population]&amp;TrendSheetStgData[Trend],Threshold[#All],5,FALSE)</f>
        <v>5</v>
      </c>
      <c r="M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 spans="1:13" x14ac:dyDescent="0.25">
      <c r="A136" t="s">
        <v>90</v>
      </c>
      <c r="B136" t="s">
        <v>90</v>
      </c>
      <c r="C136" t="s">
        <v>91</v>
      </c>
      <c r="D136" s="1" t="s">
        <v>109</v>
      </c>
      <c r="E136" t="s">
        <v>108</v>
      </c>
      <c r="F136" t="s">
        <v>19</v>
      </c>
      <c r="G136">
        <v>8</v>
      </c>
      <c r="H136">
        <v>30359.46</v>
      </c>
      <c r="I136" s="5">
        <f>VLOOKUP(TrendSheetStgData[Population]&amp;TrendSheetStgData[Cost Basis]&amp;TrendSheetStgData[Period]&amp;TrendSheetStgData[Trend],TrendSheetPrdData[#All],9,FALSE)</f>
        <v>30359.46</v>
      </c>
      <c r="J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 s="5">
        <f>VLOOKUP(TrendSheetStgData[Population]&amp;TrendSheetStgData[Trend],Threshold[#All],4,FALSE)</f>
        <v>10</v>
      </c>
      <c r="L136" s="5">
        <f>VLOOKUP(TrendSheetStgData[Population]&amp;TrendSheetStgData[Trend],Threshold[#All],5,FALSE)</f>
        <v>5</v>
      </c>
      <c r="M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 spans="1:13" x14ac:dyDescent="0.25">
      <c r="A137" t="s">
        <v>90</v>
      </c>
      <c r="B137" t="s">
        <v>90</v>
      </c>
      <c r="C137" t="s">
        <v>91</v>
      </c>
      <c r="D137" s="1" t="s">
        <v>110</v>
      </c>
      <c r="E137" t="s">
        <v>108</v>
      </c>
      <c r="F137" t="s">
        <v>19</v>
      </c>
      <c r="G137">
        <v>8</v>
      </c>
      <c r="H137">
        <v>18131.34</v>
      </c>
      <c r="I137" s="5">
        <f>VLOOKUP(TrendSheetStgData[Population]&amp;TrendSheetStgData[Cost Basis]&amp;TrendSheetStgData[Period]&amp;TrendSheetStgData[Trend],TrendSheetPrdData[#All],9,FALSE)</f>
        <v>18131.34</v>
      </c>
      <c r="J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 s="5">
        <f>VLOOKUP(TrendSheetStgData[Population]&amp;TrendSheetStgData[Trend],Threshold[#All],4,FALSE)</f>
        <v>10</v>
      </c>
      <c r="L137" s="5">
        <f>VLOOKUP(TrendSheetStgData[Population]&amp;TrendSheetStgData[Trend],Threshold[#All],5,FALSE)</f>
        <v>5</v>
      </c>
      <c r="M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 spans="1:13" x14ac:dyDescent="0.25">
      <c r="A138" t="s">
        <v>90</v>
      </c>
      <c r="B138" t="s">
        <v>90</v>
      </c>
      <c r="C138" t="s">
        <v>91</v>
      </c>
      <c r="D138" s="1" t="s">
        <v>92</v>
      </c>
      <c r="E138" t="s">
        <v>93</v>
      </c>
      <c r="F138" t="s">
        <v>20</v>
      </c>
      <c r="G138">
        <v>9</v>
      </c>
      <c r="H138">
        <v>32</v>
      </c>
      <c r="I138" s="5">
        <f>VLOOKUP(TrendSheetStgData[Population]&amp;TrendSheetStgData[Cost Basis]&amp;TrendSheetStgData[Period]&amp;TrendSheetStgData[Trend],TrendSheetPrdData[#All],9,FALSE)</f>
        <v>32</v>
      </c>
      <c r="J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 s="5">
        <f>VLOOKUP(TrendSheetStgData[Population]&amp;TrendSheetStgData[Trend],Threshold[#All],4,FALSE)</f>
        <v>10</v>
      </c>
      <c r="L138" s="5">
        <f>VLOOKUP(TrendSheetStgData[Population]&amp;TrendSheetStgData[Trend],Threshold[#All],5,FALSE)</f>
        <v>5</v>
      </c>
      <c r="M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 spans="1:13" x14ac:dyDescent="0.25">
      <c r="A139" t="s">
        <v>90</v>
      </c>
      <c r="B139" t="s">
        <v>90</v>
      </c>
      <c r="C139" t="s">
        <v>91</v>
      </c>
      <c r="D139" s="1" t="s">
        <v>94</v>
      </c>
      <c r="E139" t="s">
        <v>93</v>
      </c>
      <c r="F139" t="s">
        <v>20</v>
      </c>
      <c r="G139">
        <v>9</v>
      </c>
      <c r="H139">
        <v>45</v>
      </c>
      <c r="I139" s="5">
        <f>VLOOKUP(TrendSheetStgData[Population]&amp;TrendSheetStgData[Cost Basis]&amp;TrendSheetStgData[Period]&amp;TrendSheetStgData[Trend],TrendSheetPrdData[#All],9,FALSE)</f>
        <v>45</v>
      </c>
      <c r="J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 s="5">
        <f>VLOOKUP(TrendSheetStgData[Population]&amp;TrendSheetStgData[Trend],Threshold[#All],4,FALSE)</f>
        <v>10</v>
      </c>
      <c r="L139" s="5">
        <f>VLOOKUP(TrendSheetStgData[Population]&amp;TrendSheetStgData[Trend],Threshold[#All],5,FALSE)</f>
        <v>5</v>
      </c>
      <c r="M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 spans="1:13" x14ac:dyDescent="0.25">
      <c r="A140" t="s">
        <v>90</v>
      </c>
      <c r="B140" t="s">
        <v>90</v>
      </c>
      <c r="C140" t="s">
        <v>91</v>
      </c>
      <c r="D140" s="1" t="s">
        <v>95</v>
      </c>
      <c r="E140" t="s">
        <v>93</v>
      </c>
      <c r="F140" t="s">
        <v>20</v>
      </c>
      <c r="G140">
        <v>9</v>
      </c>
      <c r="H140">
        <v>72</v>
      </c>
      <c r="I140" s="5">
        <f>VLOOKUP(TrendSheetStgData[Population]&amp;TrendSheetStgData[Cost Basis]&amp;TrendSheetStgData[Period]&amp;TrendSheetStgData[Trend],TrendSheetPrdData[#All],9,FALSE)</f>
        <v>72</v>
      </c>
      <c r="J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 s="5">
        <f>VLOOKUP(TrendSheetStgData[Population]&amp;TrendSheetStgData[Trend],Threshold[#All],4,FALSE)</f>
        <v>10</v>
      </c>
      <c r="L140" s="5">
        <f>VLOOKUP(TrendSheetStgData[Population]&amp;TrendSheetStgData[Trend],Threshold[#All],5,FALSE)</f>
        <v>5</v>
      </c>
      <c r="M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 spans="1:13" x14ac:dyDescent="0.25">
      <c r="A141" t="s">
        <v>90</v>
      </c>
      <c r="B141" t="s">
        <v>90</v>
      </c>
      <c r="C141" t="s">
        <v>91</v>
      </c>
      <c r="D141" s="1" t="s">
        <v>96</v>
      </c>
      <c r="E141" t="s">
        <v>93</v>
      </c>
      <c r="F141" t="s">
        <v>20</v>
      </c>
      <c r="G141">
        <v>9</v>
      </c>
      <c r="H141">
        <v>49</v>
      </c>
      <c r="I141" s="5">
        <f>VLOOKUP(TrendSheetStgData[Population]&amp;TrendSheetStgData[Cost Basis]&amp;TrendSheetStgData[Period]&amp;TrendSheetStgData[Trend],TrendSheetPrdData[#All],9,FALSE)</f>
        <v>49</v>
      </c>
      <c r="J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 s="5">
        <f>VLOOKUP(TrendSheetStgData[Population]&amp;TrendSheetStgData[Trend],Threshold[#All],4,FALSE)</f>
        <v>10</v>
      </c>
      <c r="L141" s="5">
        <f>VLOOKUP(TrendSheetStgData[Population]&amp;TrendSheetStgData[Trend],Threshold[#All],5,FALSE)</f>
        <v>5</v>
      </c>
      <c r="M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 spans="1:13" x14ac:dyDescent="0.25">
      <c r="A142" t="s">
        <v>90</v>
      </c>
      <c r="B142" t="s">
        <v>90</v>
      </c>
      <c r="C142" t="s">
        <v>91</v>
      </c>
      <c r="D142" s="1" t="s">
        <v>97</v>
      </c>
      <c r="E142" t="s">
        <v>93</v>
      </c>
      <c r="F142" t="s">
        <v>20</v>
      </c>
      <c r="G142">
        <v>9</v>
      </c>
      <c r="H142">
        <v>58</v>
      </c>
      <c r="I142" s="5">
        <f>VLOOKUP(TrendSheetStgData[Population]&amp;TrendSheetStgData[Cost Basis]&amp;TrendSheetStgData[Period]&amp;TrendSheetStgData[Trend],TrendSheetPrdData[#All],9,FALSE)</f>
        <v>58</v>
      </c>
      <c r="J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 s="5">
        <f>VLOOKUP(TrendSheetStgData[Population]&amp;TrendSheetStgData[Trend],Threshold[#All],4,FALSE)</f>
        <v>10</v>
      </c>
      <c r="L142" s="5">
        <f>VLOOKUP(TrendSheetStgData[Population]&amp;TrendSheetStgData[Trend],Threshold[#All],5,FALSE)</f>
        <v>5</v>
      </c>
      <c r="M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 spans="1:13" x14ac:dyDescent="0.25">
      <c r="A143" t="s">
        <v>90</v>
      </c>
      <c r="B143" t="s">
        <v>90</v>
      </c>
      <c r="C143" t="s">
        <v>91</v>
      </c>
      <c r="D143" s="1" t="s">
        <v>98</v>
      </c>
      <c r="E143" t="s">
        <v>93</v>
      </c>
      <c r="F143" t="s">
        <v>20</v>
      </c>
      <c r="G143">
        <v>9</v>
      </c>
      <c r="H143">
        <v>48</v>
      </c>
      <c r="I143" s="5">
        <f>VLOOKUP(TrendSheetStgData[Population]&amp;TrendSheetStgData[Cost Basis]&amp;TrendSheetStgData[Period]&amp;TrendSheetStgData[Trend],TrendSheetPrdData[#All],9,FALSE)</f>
        <v>48</v>
      </c>
      <c r="J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 s="5">
        <f>VLOOKUP(TrendSheetStgData[Population]&amp;TrendSheetStgData[Trend],Threshold[#All],4,FALSE)</f>
        <v>10</v>
      </c>
      <c r="L143" s="5">
        <f>VLOOKUP(TrendSheetStgData[Population]&amp;TrendSheetStgData[Trend],Threshold[#All],5,FALSE)</f>
        <v>5</v>
      </c>
      <c r="M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 spans="1:13" x14ac:dyDescent="0.25">
      <c r="A144" t="s">
        <v>90</v>
      </c>
      <c r="B144" t="s">
        <v>90</v>
      </c>
      <c r="C144" t="s">
        <v>91</v>
      </c>
      <c r="D144" s="1" t="s">
        <v>99</v>
      </c>
      <c r="E144" t="s">
        <v>93</v>
      </c>
      <c r="F144" t="s">
        <v>20</v>
      </c>
      <c r="G144">
        <v>9</v>
      </c>
      <c r="H144">
        <v>57</v>
      </c>
      <c r="I144" s="5">
        <f>VLOOKUP(TrendSheetStgData[Population]&amp;TrendSheetStgData[Cost Basis]&amp;TrendSheetStgData[Period]&amp;TrendSheetStgData[Trend],TrendSheetPrdData[#All],9,FALSE)</f>
        <v>57</v>
      </c>
      <c r="J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 s="5">
        <f>VLOOKUP(TrendSheetStgData[Population]&amp;TrendSheetStgData[Trend],Threshold[#All],4,FALSE)</f>
        <v>10</v>
      </c>
      <c r="L144" s="5">
        <f>VLOOKUP(TrendSheetStgData[Population]&amp;TrendSheetStgData[Trend],Threshold[#All],5,FALSE)</f>
        <v>5</v>
      </c>
      <c r="M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 spans="1:13" x14ac:dyDescent="0.25">
      <c r="A145" t="s">
        <v>90</v>
      </c>
      <c r="B145" t="s">
        <v>90</v>
      </c>
      <c r="C145" t="s">
        <v>91</v>
      </c>
      <c r="D145" s="1" t="s">
        <v>100</v>
      </c>
      <c r="E145" t="s">
        <v>93</v>
      </c>
      <c r="F145" t="s">
        <v>20</v>
      </c>
      <c r="G145">
        <v>9</v>
      </c>
      <c r="H145">
        <v>73</v>
      </c>
      <c r="I145" s="5">
        <f>VLOOKUP(TrendSheetStgData[Population]&amp;TrendSheetStgData[Cost Basis]&amp;TrendSheetStgData[Period]&amp;TrendSheetStgData[Trend],TrendSheetPrdData[#All],9,FALSE)</f>
        <v>73</v>
      </c>
      <c r="J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 s="5">
        <f>VLOOKUP(TrendSheetStgData[Population]&amp;TrendSheetStgData[Trend],Threshold[#All],4,FALSE)</f>
        <v>10</v>
      </c>
      <c r="L145" s="5">
        <f>VLOOKUP(TrendSheetStgData[Population]&amp;TrendSheetStgData[Trend],Threshold[#All],5,FALSE)</f>
        <v>5</v>
      </c>
      <c r="M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 spans="1:13" x14ac:dyDescent="0.25">
      <c r="A146" t="s">
        <v>90</v>
      </c>
      <c r="B146" t="s">
        <v>90</v>
      </c>
      <c r="C146" t="s">
        <v>91</v>
      </c>
      <c r="D146" s="1" t="s">
        <v>101</v>
      </c>
      <c r="E146" t="s">
        <v>93</v>
      </c>
      <c r="F146" t="s">
        <v>20</v>
      </c>
      <c r="G146">
        <v>9</v>
      </c>
      <c r="H146">
        <v>86</v>
      </c>
      <c r="I146" s="5">
        <f>VLOOKUP(TrendSheetStgData[Population]&amp;TrendSheetStgData[Cost Basis]&amp;TrendSheetStgData[Period]&amp;TrendSheetStgData[Trend],TrendSheetPrdData[#All],9,FALSE)</f>
        <v>86</v>
      </c>
      <c r="J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 s="5">
        <f>VLOOKUP(TrendSheetStgData[Population]&amp;TrendSheetStgData[Trend],Threshold[#All],4,FALSE)</f>
        <v>10</v>
      </c>
      <c r="L146" s="5">
        <f>VLOOKUP(TrendSheetStgData[Population]&amp;TrendSheetStgData[Trend],Threshold[#All],5,FALSE)</f>
        <v>5</v>
      </c>
      <c r="M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 spans="1:13" x14ac:dyDescent="0.25">
      <c r="A147" t="s">
        <v>90</v>
      </c>
      <c r="B147" t="s">
        <v>90</v>
      </c>
      <c r="C147" t="s">
        <v>91</v>
      </c>
      <c r="D147" s="1" t="s">
        <v>102</v>
      </c>
      <c r="E147" t="s">
        <v>93</v>
      </c>
      <c r="F147" t="s">
        <v>20</v>
      </c>
      <c r="G147">
        <v>9</v>
      </c>
      <c r="H147">
        <v>39</v>
      </c>
      <c r="I147" s="5">
        <f>VLOOKUP(TrendSheetStgData[Population]&amp;TrendSheetStgData[Cost Basis]&amp;TrendSheetStgData[Period]&amp;TrendSheetStgData[Trend],TrendSheetPrdData[#All],9,FALSE)</f>
        <v>39</v>
      </c>
      <c r="J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 s="5">
        <f>VLOOKUP(TrendSheetStgData[Population]&amp;TrendSheetStgData[Trend],Threshold[#All],4,FALSE)</f>
        <v>10</v>
      </c>
      <c r="L147" s="5">
        <f>VLOOKUP(TrendSheetStgData[Population]&amp;TrendSheetStgData[Trend],Threshold[#All],5,FALSE)</f>
        <v>5</v>
      </c>
      <c r="M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 spans="1:13" x14ac:dyDescent="0.25">
      <c r="A148" t="s">
        <v>90</v>
      </c>
      <c r="B148" t="s">
        <v>90</v>
      </c>
      <c r="C148" t="s">
        <v>91</v>
      </c>
      <c r="D148" s="1" t="s">
        <v>103</v>
      </c>
      <c r="E148" t="s">
        <v>93</v>
      </c>
      <c r="F148" t="s">
        <v>20</v>
      </c>
      <c r="G148">
        <v>9</v>
      </c>
      <c r="H148">
        <v>55</v>
      </c>
      <c r="I148" s="5">
        <f>VLOOKUP(TrendSheetStgData[Population]&amp;TrendSheetStgData[Cost Basis]&amp;TrendSheetStgData[Period]&amp;TrendSheetStgData[Trend],TrendSheetPrdData[#All],9,FALSE)</f>
        <v>55</v>
      </c>
      <c r="J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 s="5">
        <f>VLOOKUP(TrendSheetStgData[Population]&amp;TrendSheetStgData[Trend],Threshold[#All],4,FALSE)</f>
        <v>10</v>
      </c>
      <c r="L148" s="5">
        <f>VLOOKUP(TrendSheetStgData[Population]&amp;TrendSheetStgData[Trend],Threshold[#All],5,FALSE)</f>
        <v>5</v>
      </c>
      <c r="M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 spans="1:13" x14ac:dyDescent="0.25">
      <c r="A149" t="s">
        <v>90</v>
      </c>
      <c r="B149" t="s">
        <v>90</v>
      </c>
      <c r="C149" t="s">
        <v>91</v>
      </c>
      <c r="D149" s="1" t="s">
        <v>104</v>
      </c>
      <c r="E149" t="s">
        <v>93</v>
      </c>
      <c r="F149" t="s">
        <v>20</v>
      </c>
      <c r="G149">
        <v>9</v>
      </c>
      <c r="H149">
        <v>64</v>
      </c>
      <c r="I149" s="5">
        <f>VLOOKUP(TrendSheetStgData[Population]&amp;TrendSheetStgData[Cost Basis]&amp;TrendSheetStgData[Period]&amp;TrendSheetStgData[Trend],TrendSheetPrdData[#All],9,FALSE)</f>
        <v>64</v>
      </c>
      <c r="J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 s="5">
        <f>VLOOKUP(TrendSheetStgData[Population]&amp;TrendSheetStgData[Trend],Threshold[#All],4,FALSE)</f>
        <v>10</v>
      </c>
      <c r="L149" s="5">
        <f>VLOOKUP(TrendSheetStgData[Population]&amp;TrendSheetStgData[Trend],Threshold[#All],5,FALSE)</f>
        <v>5</v>
      </c>
      <c r="M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 spans="1:13" x14ac:dyDescent="0.25">
      <c r="A150" t="s">
        <v>90</v>
      </c>
      <c r="B150" t="s">
        <v>90</v>
      </c>
      <c r="C150" t="s">
        <v>91</v>
      </c>
      <c r="D150" s="1" t="s">
        <v>105</v>
      </c>
      <c r="E150" t="s">
        <v>93</v>
      </c>
      <c r="F150" t="s">
        <v>20</v>
      </c>
      <c r="G150">
        <v>9</v>
      </c>
      <c r="H150">
        <v>38</v>
      </c>
      <c r="I150" s="5">
        <f>VLOOKUP(TrendSheetStgData[Population]&amp;TrendSheetStgData[Cost Basis]&amp;TrendSheetStgData[Period]&amp;TrendSheetStgData[Trend],TrendSheetPrdData[#All],9,FALSE)</f>
        <v>38</v>
      </c>
      <c r="J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 s="5">
        <f>VLOOKUP(TrendSheetStgData[Population]&amp;TrendSheetStgData[Trend],Threshold[#All],4,FALSE)</f>
        <v>10</v>
      </c>
      <c r="L150" s="5">
        <f>VLOOKUP(TrendSheetStgData[Population]&amp;TrendSheetStgData[Trend],Threshold[#All],5,FALSE)</f>
        <v>5</v>
      </c>
      <c r="M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 spans="1:13" x14ac:dyDescent="0.25">
      <c r="A151" t="s">
        <v>90</v>
      </c>
      <c r="B151" t="s">
        <v>90</v>
      </c>
      <c r="C151" t="s">
        <v>91</v>
      </c>
      <c r="D151" s="1" t="s">
        <v>106</v>
      </c>
      <c r="E151" t="s">
        <v>93</v>
      </c>
      <c r="F151" t="s">
        <v>20</v>
      </c>
      <c r="G151">
        <v>9</v>
      </c>
      <c r="H151">
        <v>29</v>
      </c>
      <c r="I151" s="5">
        <f>VLOOKUP(TrendSheetStgData[Population]&amp;TrendSheetStgData[Cost Basis]&amp;TrendSheetStgData[Period]&amp;TrendSheetStgData[Trend],TrendSheetPrdData[#All],9,FALSE)</f>
        <v>29</v>
      </c>
      <c r="J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 s="5">
        <f>VLOOKUP(TrendSheetStgData[Population]&amp;TrendSheetStgData[Trend],Threshold[#All],4,FALSE)</f>
        <v>10</v>
      </c>
      <c r="L151" s="5">
        <f>VLOOKUP(TrendSheetStgData[Population]&amp;TrendSheetStgData[Trend],Threshold[#All],5,FALSE)</f>
        <v>5</v>
      </c>
      <c r="M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 spans="1:13" x14ac:dyDescent="0.25">
      <c r="A152" t="s">
        <v>90</v>
      </c>
      <c r="B152" t="s">
        <v>90</v>
      </c>
      <c r="C152" t="s">
        <v>91</v>
      </c>
      <c r="D152" s="1" t="s">
        <v>107</v>
      </c>
      <c r="E152" t="s">
        <v>108</v>
      </c>
      <c r="F152" t="s">
        <v>20</v>
      </c>
      <c r="G152">
        <v>9</v>
      </c>
      <c r="H152">
        <v>46</v>
      </c>
      <c r="I152" s="5">
        <f>VLOOKUP(TrendSheetStgData[Population]&amp;TrendSheetStgData[Cost Basis]&amp;TrendSheetStgData[Period]&amp;TrendSheetStgData[Trend],TrendSheetPrdData[#All],9,FALSE)</f>
        <v>46</v>
      </c>
      <c r="J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 s="5">
        <f>VLOOKUP(TrendSheetStgData[Population]&amp;TrendSheetStgData[Trend],Threshold[#All],4,FALSE)</f>
        <v>10</v>
      </c>
      <c r="L152" s="5">
        <f>VLOOKUP(TrendSheetStgData[Population]&amp;TrendSheetStgData[Trend],Threshold[#All],5,FALSE)</f>
        <v>5</v>
      </c>
      <c r="M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 spans="1:13" x14ac:dyDescent="0.25">
      <c r="A153" t="s">
        <v>90</v>
      </c>
      <c r="B153" t="s">
        <v>90</v>
      </c>
      <c r="C153" t="s">
        <v>91</v>
      </c>
      <c r="D153" s="1" t="s">
        <v>109</v>
      </c>
      <c r="E153" t="s">
        <v>108</v>
      </c>
      <c r="F153" t="s">
        <v>20</v>
      </c>
      <c r="G153">
        <v>9</v>
      </c>
      <c r="H153">
        <v>71</v>
      </c>
      <c r="I153" s="5">
        <f>VLOOKUP(TrendSheetStgData[Population]&amp;TrendSheetStgData[Cost Basis]&amp;TrendSheetStgData[Period]&amp;TrendSheetStgData[Trend],TrendSheetPrdData[#All],9,FALSE)</f>
        <v>71</v>
      </c>
      <c r="J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 s="5">
        <f>VLOOKUP(TrendSheetStgData[Population]&amp;TrendSheetStgData[Trend],Threshold[#All],4,FALSE)</f>
        <v>10</v>
      </c>
      <c r="L153" s="5">
        <f>VLOOKUP(TrendSheetStgData[Population]&amp;TrendSheetStgData[Trend],Threshold[#All],5,FALSE)</f>
        <v>5</v>
      </c>
      <c r="M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 spans="1:13" x14ac:dyDescent="0.25">
      <c r="A154" t="s">
        <v>90</v>
      </c>
      <c r="B154" t="s">
        <v>90</v>
      </c>
      <c r="C154" t="s">
        <v>91</v>
      </c>
      <c r="D154" s="1" t="s">
        <v>110</v>
      </c>
      <c r="E154" t="s">
        <v>108</v>
      </c>
      <c r="F154" t="s">
        <v>20</v>
      </c>
      <c r="G154">
        <v>9</v>
      </c>
      <c r="H154">
        <v>37</v>
      </c>
      <c r="I154" s="5">
        <f>VLOOKUP(TrendSheetStgData[Population]&amp;TrendSheetStgData[Cost Basis]&amp;TrendSheetStgData[Period]&amp;TrendSheetStgData[Trend],TrendSheetPrdData[#All],9,FALSE)</f>
        <v>37</v>
      </c>
      <c r="J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 s="5">
        <f>VLOOKUP(TrendSheetStgData[Population]&amp;TrendSheetStgData[Trend],Threshold[#All],4,FALSE)</f>
        <v>10</v>
      </c>
      <c r="L154" s="5">
        <f>VLOOKUP(TrendSheetStgData[Population]&amp;TrendSheetStgData[Trend],Threshold[#All],5,FALSE)</f>
        <v>5</v>
      </c>
      <c r="M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 spans="1:13" x14ac:dyDescent="0.25">
      <c r="A155" t="s">
        <v>90</v>
      </c>
      <c r="B155" t="s">
        <v>90</v>
      </c>
      <c r="C155" t="s">
        <v>91</v>
      </c>
      <c r="D155" s="1" t="s">
        <v>92</v>
      </c>
      <c r="E155" t="s">
        <v>93</v>
      </c>
      <c r="F155" t="s">
        <v>21</v>
      </c>
      <c r="G155">
        <v>10</v>
      </c>
      <c r="H155">
        <v>37</v>
      </c>
      <c r="I155" s="5">
        <f>VLOOKUP(TrendSheetStgData[Population]&amp;TrendSheetStgData[Cost Basis]&amp;TrendSheetStgData[Period]&amp;TrendSheetStgData[Trend],TrendSheetPrdData[#All],9,FALSE)</f>
        <v>37</v>
      </c>
      <c r="J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 s="5">
        <f>VLOOKUP(TrendSheetStgData[Population]&amp;TrendSheetStgData[Trend],Threshold[#All],4,FALSE)</f>
        <v>10</v>
      </c>
      <c r="L155" s="5">
        <f>VLOOKUP(TrendSheetStgData[Population]&amp;TrendSheetStgData[Trend],Threshold[#All],5,FALSE)</f>
        <v>5</v>
      </c>
      <c r="M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 spans="1:13" x14ac:dyDescent="0.25">
      <c r="A156" t="s">
        <v>90</v>
      </c>
      <c r="B156" t="s">
        <v>90</v>
      </c>
      <c r="C156" t="s">
        <v>91</v>
      </c>
      <c r="D156" s="1" t="s">
        <v>94</v>
      </c>
      <c r="E156" t="s">
        <v>93</v>
      </c>
      <c r="F156" t="s">
        <v>21</v>
      </c>
      <c r="G156">
        <v>10</v>
      </c>
      <c r="H156">
        <v>50</v>
      </c>
      <c r="I156" s="5">
        <f>VLOOKUP(TrendSheetStgData[Population]&amp;TrendSheetStgData[Cost Basis]&amp;TrendSheetStgData[Period]&amp;TrendSheetStgData[Trend],TrendSheetPrdData[#All],9,FALSE)</f>
        <v>50</v>
      </c>
      <c r="J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 s="5">
        <f>VLOOKUP(TrendSheetStgData[Population]&amp;TrendSheetStgData[Trend],Threshold[#All],4,FALSE)</f>
        <v>10</v>
      </c>
      <c r="L156" s="5">
        <f>VLOOKUP(TrendSheetStgData[Population]&amp;TrendSheetStgData[Trend],Threshold[#All],5,FALSE)</f>
        <v>5</v>
      </c>
      <c r="M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 spans="1:13" x14ac:dyDescent="0.25">
      <c r="A157" t="s">
        <v>90</v>
      </c>
      <c r="B157" t="s">
        <v>90</v>
      </c>
      <c r="C157" t="s">
        <v>91</v>
      </c>
      <c r="D157" s="1" t="s">
        <v>95</v>
      </c>
      <c r="E157" t="s">
        <v>93</v>
      </c>
      <c r="F157" t="s">
        <v>21</v>
      </c>
      <c r="G157">
        <v>10</v>
      </c>
      <c r="H157">
        <v>72</v>
      </c>
      <c r="I157" s="5">
        <f>VLOOKUP(TrendSheetStgData[Population]&amp;TrendSheetStgData[Cost Basis]&amp;TrendSheetStgData[Period]&amp;TrendSheetStgData[Trend],TrendSheetPrdData[#All],9,FALSE)</f>
        <v>72</v>
      </c>
      <c r="J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 s="5">
        <f>VLOOKUP(TrendSheetStgData[Population]&amp;TrendSheetStgData[Trend],Threshold[#All],4,FALSE)</f>
        <v>10</v>
      </c>
      <c r="L157" s="5">
        <f>VLOOKUP(TrendSheetStgData[Population]&amp;TrendSheetStgData[Trend],Threshold[#All],5,FALSE)</f>
        <v>5</v>
      </c>
      <c r="M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 spans="1:13" x14ac:dyDescent="0.25">
      <c r="A158" t="s">
        <v>90</v>
      </c>
      <c r="B158" t="s">
        <v>90</v>
      </c>
      <c r="C158" t="s">
        <v>91</v>
      </c>
      <c r="D158" s="1" t="s">
        <v>96</v>
      </c>
      <c r="E158" t="s">
        <v>93</v>
      </c>
      <c r="F158" t="s">
        <v>21</v>
      </c>
      <c r="G158">
        <v>10</v>
      </c>
      <c r="H158">
        <v>67</v>
      </c>
      <c r="I158" s="5">
        <f>VLOOKUP(TrendSheetStgData[Population]&amp;TrendSheetStgData[Cost Basis]&amp;TrendSheetStgData[Period]&amp;TrendSheetStgData[Trend],TrendSheetPrdData[#All],9,FALSE)</f>
        <v>67</v>
      </c>
      <c r="J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 s="5">
        <f>VLOOKUP(TrendSheetStgData[Population]&amp;TrendSheetStgData[Trend],Threshold[#All],4,FALSE)</f>
        <v>10</v>
      </c>
      <c r="L158" s="5">
        <f>VLOOKUP(TrendSheetStgData[Population]&amp;TrendSheetStgData[Trend],Threshold[#All],5,FALSE)</f>
        <v>5</v>
      </c>
      <c r="M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 spans="1:13" x14ac:dyDescent="0.25">
      <c r="A159" t="s">
        <v>90</v>
      </c>
      <c r="B159" t="s">
        <v>90</v>
      </c>
      <c r="C159" t="s">
        <v>91</v>
      </c>
      <c r="D159" s="1" t="s">
        <v>97</v>
      </c>
      <c r="E159" t="s">
        <v>93</v>
      </c>
      <c r="F159" t="s">
        <v>21</v>
      </c>
      <c r="G159">
        <v>10</v>
      </c>
      <c r="H159">
        <v>54</v>
      </c>
      <c r="I159" s="5">
        <f>VLOOKUP(TrendSheetStgData[Population]&amp;TrendSheetStgData[Cost Basis]&amp;TrendSheetStgData[Period]&amp;TrendSheetStgData[Trend],TrendSheetPrdData[#All],9,FALSE)</f>
        <v>54</v>
      </c>
      <c r="J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 s="5">
        <f>VLOOKUP(TrendSheetStgData[Population]&amp;TrendSheetStgData[Trend],Threshold[#All],4,FALSE)</f>
        <v>10</v>
      </c>
      <c r="L159" s="5">
        <f>VLOOKUP(TrendSheetStgData[Population]&amp;TrendSheetStgData[Trend],Threshold[#All],5,FALSE)</f>
        <v>5</v>
      </c>
      <c r="M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 spans="1:13" x14ac:dyDescent="0.25">
      <c r="A160" t="s">
        <v>90</v>
      </c>
      <c r="B160" t="s">
        <v>90</v>
      </c>
      <c r="C160" t="s">
        <v>91</v>
      </c>
      <c r="D160" s="1" t="s">
        <v>98</v>
      </c>
      <c r="E160" t="s">
        <v>93</v>
      </c>
      <c r="F160" t="s">
        <v>21</v>
      </c>
      <c r="G160">
        <v>10</v>
      </c>
      <c r="H160">
        <v>136</v>
      </c>
      <c r="I160" s="5">
        <f>VLOOKUP(TrendSheetStgData[Population]&amp;TrendSheetStgData[Cost Basis]&amp;TrendSheetStgData[Period]&amp;TrendSheetStgData[Trend],TrendSheetPrdData[#All],9,FALSE)</f>
        <v>136</v>
      </c>
      <c r="J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 s="5">
        <f>VLOOKUP(TrendSheetStgData[Population]&amp;TrendSheetStgData[Trend],Threshold[#All],4,FALSE)</f>
        <v>10</v>
      </c>
      <c r="L160" s="5">
        <f>VLOOKUP(TrendSheetStgData[Population]&amp;TrendSheetStgData[Trend],Threshold[#All],5,FALSE)</f>
        <v>5</v>
      </c>
      <c r="M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 spans="1:13" x14ac:dyDescent="0.25">
      <c r="A161" t="s">
        <v>90</v>
      </c>
      <c r="B161" t="s">
        <v>90</v>
      </c>
      <c r="C161" t="s">
        <v>91</v>
      </c>
      <c r="D161" s="1" t="s">
        <v>99</v>
      </c>
      <c r="E161" t="s">
        <v>93</v>
      </c>
      <c r="F161" t="s">
        <v>21</v>
      </c>
      <c r="G161">
        <v>10</v>
      </c>
      <c r="H161">
        <v>35</v>
      </c>
      <c r="I161" s="5">
        <f>VLOOKUP(TrendSheetStgData[Population]&amp;TrendSheetStgData[Cost Basis]&amp;TrendSheetStgData[Period]&amp;TrendSheetStgData[Trend],TrendSheetPrdData[#All],9,FALSE)</f>
        <v>35</v>
      </c>
      <c r="J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 s="5">
        <f>VLOOKUP(TrendSheetStgData[Population]&amp;TrendSheetStgData[Trend],Threshold[#All],4,FALSE)</f>
        <v>10</v>
      </c>
      <c r="L161" s="5">
        <f>VLOOKUP(TrendSheetStgData[Population]&amp;TrendSheetStgData[Trend],Threshold[#All],5,FALSE)</f>
        <v>5</v>
      </c>
      <c r="M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 spans="1:13" x14ac:dyDescent="0.25">
      <c r="A162" t="s">
        <v>90</v>
      </c>
      <c r="B162" t="s">
        <v>90</v>
      </c>
      <c r="C162" t="s">
        <v>91</v>
      </c>
      <c r="D162" s="1" t="s">
        <v>100</v>
      </c>
      <c r="E162" t="s">
        <v>93</v>
      </c>
      <c r="F162" t="s">
        <v>21</v>
      </c>
      <c r="G162">
        <v>10</v>
      </c>
      <c r="H162">
        <v>73</v>
      </c>
      <c r="I162" s="5">
        <f>VLOOKUP(TrendSheetStgData[Population]&amp;TrendSheetStgData[Cost Basis]&amp;TrendSheetStgData[Period]&amp;TrendSheetStgData[Trend],TrendSheetPrdData[#All],9,FALSE)</f>
        <v>73</v>
      </c>
      <c r="J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 s="5">
        <f>VLOOKUP(TrendSheetStgData[Population]&amp;TrendSheetStgData[Trend],Threshold[#All],4,FALSE)</f>
        <v>10</v>
      </c>
      <c r="L162" s="5">
        <f>VLOOKUP(TrendSheetStgData[Population]&amp;TrendSheetStgData[Trend],Threshold[#All],5,FALSE)</f>
        <v>5</v>
      </c>
      <c r="M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 spans="1:13" x14ac:dyDescent="0.25">
      <c r="A163" t="s">
        <v>90</v>
      </c>
      <c r="B163" t="s">
        <v>90</v>
      </c>
      <c r="C163" t="s">
        <v>91</v>
      </c>
      <c r="D163" s="1" t="s">
        <v>101</v>
      </c>
      <c r="E163" t="s">
        <v>93</v>
      </c>
      <c r="F163" t="s">
        <v>21</v>
      </c>
      <c r="G163">
        <v>10</v>
      </c>
      <c r="H163">
        <v>81</v>
      </c>
      <c r="I163" s="5">
        <f>VLOOKUP(TrendSheetStgData[Population]&amp;TrendSheetStgData[Cost Basis]&amp;TrendSheetStgData[Period]&amp;TrendSheetStgData[Trend],TrendSheetPrdData[#All],9,FALSE)</f>
        <v>81</v>
      </c>
      <c r="J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 s="5">
        <f>VLOOKUP(TrendSheetStgData[Population]&amp;TrendSheetStgData[Trend],Threshold[#All],4,FALSE)</f>
        <v>10</v>
      </c>
      <c r="L163" s="5">
        <f>VLOOKUP(TrendSheetStgData[Population]&amp;TrendSheetStgData[Trend],Threshold[#All],5,FALSE)</f>
        <v>5</v>
      </c>
      <c r="M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 spans="1:13" x14ac:dyDescent="0.25">
      <c r="A164" t="s">
        <v>90</v>
      </c>
      <c r="B164" t="s">
        <v>90</v>
      </c>
      <c r="C164" t="s">
        <v>91</v>
      </c>
      <c r="D164" s="1" t="s">
        <v>102</v>
      </c>
      <c r="E164" t="s">
        <v>93</v>
      </c>
      <c r="F164" t="s">
        <v>21</v>
      </c>
      <c r="G164">
        <v>10</v>
      </c>
      <c r="H164">
        <v>43</v>
      </c>
      <c r="I164" s="5">
        <f>VLOOKUP(TrendSheetStgData[Population]&amp;TrendSheetStgData[Cost Basis]&amp;TrendSheetStgData[Period]&amp;TrendSheetStgData[Trend],TrendSheetPrdData[#All],9,FALSE)</f>
        <v>43</v>
      </c>
      <c r="J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 s="5">
        <f>VLOOKUP(TrendSheetStgData[Population]&amp;TrendSheetStgData[Trend],Threshold[#All],4,FALSE)</f>
        <v>10</v>
      </c>
      <c r="L164" s="5">
        <f>VLOOKUP(TrendSheetStgData[Population]&amp;TrendSheetStgData[Trend],Threshold[#All],5,FALSE)</f>
        <v>5</v>
      </c>
      <c r="M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 spans="1:13" x14ac:dyDescent="0.25">
      <c r="A165" t="s">
        <v>90</v>
      </c>
      <c r="B165" t="s">
        <v>90</v>
      </c>
      <c r="C165" t="s">
        <v>91</v>
      </c>
      <c r="D165" s="1" t="s">
        <v>103</v>
      </c>
      <c r="E165" t="s">
        <v>93</v>
      </c>
      <c r="F165" t="s">
        <v>21</v>
      </c>
      <c r="G165">
        <v>10</v>
      </c>
      <c r="H165">
        <v>43</v>
      </c>
      <c r="I165" s="5">
        <f>VLOOKUP(TrendSheetStgData[Population]&amp;TrendSheetStgData[Cost Basis]&amp;TrendSheetStgData[Period]&amp;TrendSheetStgData[Trend],TrendSheetPrdData[#All],9,FALSE)</f>
        <v>43</v>
      </c>
      <c r="J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 s="5">
        <f>VLOOKUP(TrendSheetStgData[Population]&amp;TrendSheetStgData[Trend],Threshold[#All],4,FALSE)</f>
        <v>10</v>
      </c>
      <c r="L165" s="5">
        <f>VLOOKUP(TrendSheetStgData[Population]&amp;TrendSheetStgData[Trend],Threshold[#All],5,FALSE)</f>
        <v>5</v>
      </c>
      <c r="M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 spans="1:13" x14ac:dyDescent="0.25">
      <c r="A166" t="s">
        <v>90</v>
      </c>
      <c r="B166" t="s">
        <v>90</v>
      </c>
      <c r="C166" t="s">
        <v>91</v>
      </c>
      <c r="D166" s="1" t="s">
        <v>104</v>
      </c>
      <c r="E166" t="s">
        <v>93</v>
      </c>
      <c r="F166" t="s">
        <v>21</v>
      </c>
      <c r="G166">
        <v>10</v>
      </c>
      <c r="H166">
        <v>94</v>
      </c>
      <c r="I166" s="5">
        <f>VLOOKUP(TrendSheetStgData[Population]&amp;TrendSheetStgData[Cost Basis]&amp;TrendSheetStgData[Period]&amp;TrendSheetStgData[Trend],TrendSheetPrdData[#All],9,FALSE)</f>
        <v>94</v>
      </c>
      <c r="J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 s="5">
        <f>VLOOKUP(TrendSheetStgData[Population]&amp;TrendSheetStgData[Trend],Threshold[#All],4,FALSE)</f>
        <v>10</v>
      </c>
      <c r="L166" s="5">
        <f>VLOOKUP(TrendSheetStgData[Population]&amp;TrendSheetStgData[Trend],Threshold[#All],5,FALSE)</f>
        <v>5</v>
      </c>
      <c r="M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 spans="1:13" x14ac:dyDescent="0.25">
      <c r="A167" t="s">
        <v>90</v>
      </c>
      <c r="B167" t="s">
        <v>90</v>
      </c>
      <c r="C167" t="s">
        <v>91</v>
      </c>
      <c r="D167" s="1" t="s">
        <v>105</v>
      </c>
      <c r="E167" t="s">
        <v>93</v>
      </c>
      <c r="F167" t="s">
        <v>21</v>
      </c>
      <c r="G167">
        <v>10</v>
      </c>
      <c r="H167">
        <v>63</v>
      </c>
      <c r="I167" s="5">
        <f>VLOOKUP(TrendSheetStgData[Population]&amp;TrendSheetStgData[Cost Basis]&amp;TrendSheetStgData[Period]&amp;TrendSheetStgData[Trend],TrendSheetPrdData[#All],9,FALSE)</f>
        <v>63</v>
      </c>
      <c r="J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 s="5">
        <f>VLOOKUP(TrendSheetStgData[Population]&amp;TrendSheetStgData[Trend],Threshold[#All],4,FALSE)</f>
        <v>10</v>
      </c>
      <c r="L167" s="5">
        <f>VLOOKUP(TrendSheetStgData[Population]&amp;TrendSheetStgData[Trend],Threshold[#All],5,FALSE)</f>
        <v>5</v>
      </c>
      <c r="M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 spans="1:13" x14ac:dyDescent="0.25">
      <c r="A168" t="s">
        <v>90</v>
      </c>
      <c r="B168" t="s">
        <v>90</v>
      </c>
      <c r="C168" t="s">
        <v>91</v>
      </c>
      <c r="D168" s="1" t="s">
        <v>106</v>
      </c>
      <c r="E168" t="s">
        <v>93</v>
      </c>
      <c r="F168" t="s">
        <v>21</v>
      </c>
      <c r="G168">
        <v>10</v>
      </c>
      <c r="H168">
        <v>54</v>
      </c>
      <c r="I168" s="5">
        <f>VLOOKUP(TrendSheetStgData[Population]&amp;TrendSheetStgData[Cost Basis]&amp;TrendSheetStgData[Period]&amp;TrendSheetStgData[Trend],TrendSheetPrdData[#All],9,FALSE)</f>
        <v>54</v>
      </c>
      <c r="J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 s="5">
        <f>VLOOKUP(TrendSheetStgData[Population]&amp;TrendSheetStgData[Trend],Threshold[#All],4,FALSE)</f>
        <v>10</v>
      </c>
      <c r="L168" s="5">
        <f>VLOOKUP(TrendSheetStgData[Population]&amp;TrendSheetStgData[Trend],Threshold[#All],5,FALSE)</f>
        <v>5</v>
      </c>
      <c r="M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 spans="1:13" x14ac:dyDescent="0.25">
      <c r="A169" t="s">
        <v>90</v>
      </c>
      <c r="B169" t="s">
        <v>90</v>
      </c>
      <c r="C169" t="s">
        <v>91</v>
      </c>
      <c r="D169" s="1" t="s">
        <v>107</v>
      </c>
      <c r="E169" t="s">
        <v>108</v>
      </c>
      <c r="F169" t="s">
        <v>21</v>
      </c>
      <c r="G169">
        <v>10</v>
      </c>
      <c r="H169">
        <v>62</v>
      </c>
      <c r="I169" s="5">
        <f>VLOOKUP(TrendSheetStgData[Population]&amp;TrendSheetStgData[Cost Basis]&amp;TrendSheetStgData[Period]&amp;TrendSheetStgData[Trend],TrendSheetPrdData[#All],9,FALSE)</f>
        <v>62</v>
      </c>
      <c r="J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 s="5">
        <f>VLOOKUP(TrendSheetStgData[Population]&amp;TrendSheetStgData[Trend],Threshold[#All],4,FALSE)</f>
        <v>10</v>
      </c>
      <c r="L169" s="5">
        <f>VLOOKUP(TrendSheetStgData[Population]&amp;TrendSheetStgData[Trend],Threshold[#All],5,FALSE)</f>
        <v>5</v>
      </c>
      <c r="M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 spans="1:13" x14ac:dyDescent="0.25">
      <c r="A170" t="s">
        <v>90</v>
      </c>
      <c r="B170" t="s">
        <v>90</v>
      </c>
      <c r="C170" t="s">
        <v>91</v>
      </c>
      <c r="D170" s="1" t="s">
        <v>109</v>
      </c>
      <c r="E170" t="s">
        <v>108</v>
      </c>
      <c r="F170" t="s">
        <v>21</v>
      </c>
      <c r="G170">
        <v>10</v>
      </c>
      <c r="H170">
        <v>29</v>
      </c>
      <c r="I170" s="5">
        <f>VLOOKUP(TrendSheetStgData[Population]&amp;TrendSheetStgData[Cost Basis]&amp;TrendSheetStgData[Period]&amp;TrendSheetStgData[Trend],TrendSheetPrdData[#All],9,FALSE)</f>
        <v>29</v>
      </c>
      <c r="J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 s="5">
        <f>VLOOKUP(TrendSheetStgData[Population]&amp;TrendSheetStgData[Trend],Threshold[#All],4,FALSE)</f>
        <v>10</v>
      </c>
      <c r="L170" s="5">
        <f>VLOOKUP(TrendSheetStgData[Population]&amp;TrendSheetStgData[Trend],Threshold[#All],5,FALSE)</f>
        <v>5</v>
      </c>
      <c r="M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 spans="1:13" x14ac:dyDescent="0.25">
      <c r="A171" t="s">
        <v>90</v>
      </c>
      <c r="B171" t="s">
        <v>90</v>
      </c>
      <c r="C171" t="s">
        <v>91</v>
      </c>
      <c r="D171" s="1" t="s">
        <v>110</v>
      </c>
      <c r="E171" t="s">
        <v>108</v>
      </c>
      <c r="F171" t="s">
        <v>21</v>
      </c>
      <c r="G171">
        <v>10</v>
      </c>
      <c r="H171">
        <v>21</v>
      </c>
      <c r="I171" s="5">
        <f>VLOOKUP(TrendSheetStgData[Population]&amp;TrendSheetStgData[Cost Basis]&amp;TrendSheetStgData[Period]&amp;TrendSheetStgData[Trend],TrendSheetPrdData[#All],9,FALSE)</f>
        <v>21</v>
      </c>
      <c r="J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 s="5">
        <f>VLOOKUP(TrendSheetStgData[Population]&amp;TrendSheetStgData[Trend],Threshold[#All],4,FALSE)</f>
        <v>10</v>
      </c>
      <c r="L171" s="5">
        <f>VLOOKUP(TrendSheetStgData[Population]&amp;TrendSheetStgData[Trend],Threshold[#All],5,FALSE)</f>
        <v>5</v>
      </c>
      <c r="M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 spans="1:13" x14ac:dyDescent="0.25">
      <c r="A172" t="s">
        <v>90</v>
      </c>
      <c r="B172" t="s">
        <v>90</v>
      </c>
      <c r="C172" t="s">
        <v>91</v>
      </c>
      <c r="D172" s="1" t="s">
        <v>92</v>
      </c>
      <c r="E172" t="s">
        <v>93</v>
      </c>
      <c r="F172" t="s">
        <v>22</v>
      </c>
      <c r="G172">
        <v>11</v>
      </c>
      <c r="H172">
        <v>0</v>
      </c>
      <c r="I172" s="5">
        <f>VLOOKUP(TrendSheetStgData[Population]&amp;TrendSheetStgData[Cost Basis]&amp;TrendSheetStgData[Period]&amp;TrendSheetStgData[Trend],TrendSheetPrdData[#All],9,FALSE)</f>
        <v>0</v>
      </c>
      <c r="J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 s="5">
        <f>VLOOKUP(TrendSheetStgData[Population]&amp;TrendSheetStgData[Trend],Threshold[#All],4,FALSE)</f>
        <v>10</v>
      </c>
      <c r="L172" s="5">
        <f>VLOOKUP(TrendSheetStgData[Population]&amp;TrendSheetStgData[Trend],Threshold[#All],5,FALSE)</f>
        <v>5</v>
      </c>
      <c r="M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 spans="1:13" x14ac:dyDescent="0.25">
      <c r="A173" t="s">
        <v>90</v>
      </c>
      <c r="B173" t="s">
        <v>90</v>
      </c>
      <c r="C173" t="s">
        <v>91</v>
      </c>
      <c r="D173" s="1" t="s">
        <v>94</v>
      </c>
      <c r="E173" t="s">
        <v>93</v>
      </c>
      <c r="F173" t="s">
        <v>22</v>
      </c>
      <c r="G173">
        <v>11</v>
      </c>
      <c r="H173">
        <v>0</v>
      </c>
      <c r="I173" s="5">
        <f>VLOOKUP(TrendSheetStgData[Population]&amp;TrendSheetStgData[Cost Basis]&amp;TrendSheetStgData[Period]&amp;TrendSheetStgData[Trend],TrendSheetPrdData[#All],9,FALSE)</f>
        <v>0</v>
      </c>
      <c r="J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 s="5">
        <f>VLOOKUP(TrendSheetStgData[Population]&amp;TrendSheetStgData[Trend],Threshold[#All],4,FALSE)</f>
        <v>10</v>
      </c>
      <c r="L173" s="5">
        <f>VLOOKUP(TrendSheetStgData[Population]&amp;TrendSheetStgData[Trend],Threshold[#All],5,FALSE)</f>
        <v>5</v>
      </c>
      <c r="M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 spans="1:13" x14ac:dyDescent="0.25">
      <c r="A174" t="s">
        <v>90</v>
      </c>
      <c r="B174" t="s">
        <v>90</v>
      </c>
      <c r="C174" t="s">
        <v>91</v>
      </c>
      <c r="D174" s="1" t="s">
        <v>95</v>
      </c>
      <c r="E174" t="s">
        <v>93</v>
      </c>
      <c r="F174" t="s">
        <v>22</v>
      </c>
      <c r="G174">
        <v>11</v>
      </c>
      <c r="H174">
        <v>0</v>
      </c>
      <c r="I174" s="5">
        <f>VLOOKUP(TrendSheetStgData[Population]&amp;TrendSheetStgData[Cost Basis]&amp;TrendSheetStgData[Period]&amp;TrendSheetStgData[Trend],TrendSheetPrdData[#All],9,FALSE)</f>
        <v>0</v>
      </c>
      <c r="J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 s="5">
        <f>VLOOKUP(TrendSheetStgData[Population]&amp;TrendSheetStgData[Trend],Threshold[#All],4,FALSE)</f>
        <v>10</v>
      </c>
      <c r="L174" s="5">
        <f>VLOOKUP(TrendSheetStgData[Population]&amp;TrendSheetStgData[Trend],Threshold[#All],5,FALSE)</f>
        <v>5</v>
      </c>
      <c r="M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 spans="1:13" x14ac:dyDescent="0.25">
      <c r="A175" t="s">
        <v>90</v>
      </c>
      <c r="B175" t="s">
        <v>90</v>
      </c>
      <c r="C175" t="s">
        <v>91</v>
      </c>
      <c r="D175" s="1" t="s">
        <v>96</v>
      </c>
      <c r="E175" t="s">
        <v>93</v>
      </c>
      <c r="F175" t="s">
        <v>22</v>
      </c>
      <c r="G175">
        <v>11</v>
      </c>
      <c r="H175">
        <v>0</v>
      </c>
      <c r="I175" s="5">
        <f>VLOOKUP(TrendSheetStgData[Population]&amp;TrendSheetStgData[Cost Basis]&amp;TrendSheetStgData[Period]&amp;TrendSheetStgData[Trend],TrendSheetPrdData[#All],9,FALSE)</f>
        <v>0</v>
      </c>
      <c r="J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 s="5">
        <f>VLOOKUP(TrendSheetStgData[Population]&amp;TrendSheetStgData[Trend],Threshold[#All],4,FALSE)</f>
        <v>10</v>
      </c>
      <c r="L175" s="5">
        <f>VLOOKUP(TrendSheetStgData[Population]&amp;TrendSheetStgData[Trend],Threshold[#All],5,FALSE)</f>
        <v>5</v>
      </c>
      <c r="M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 spans="1:13" x14ac:dyDescent="0.25">
      <c r="A176" t="s">
        <v>90</v>
      </c>
      <c r="B176" t="s">
        <v>90</v>
      </c>
      <c r="C176" t="s">
        <v>91</v>
      </c>
      <c r="D176" s="1" t="s">
        <v>97</v>
      </c>
      <c r="E176" t="s">
        <v>93</v>
      </c>
      <c r="F176" t="s">
        <v>22</v>
      </c>
      <c r="G176">
        <v>11</v>
      </c>
      <c r="H176">
        <v>0</v>
      </c>
      <c r="I176" s="5">
        <f>VLOOKUP(TrendSheetStgData[Population]&amp;TrendSheetStgData[Cost Basis]&amp;TrendSheetStgData[Period]&amp;TrendSheetStgData[Trend],TrendSheetPrdData[#All],9,FALSE)</f>
        <v>0</v>
      </c>
      <c r="J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 s="5">
        <f>VLOOKUP(TrendSheetStgData[Population]&amp;TrendSheetStgData[Trend],Threshold[#All],4,FALSE)</f>
        <v>10</v>
      </c>
      <c r="L176" s="5">
        <f>VLOOKUP(TrendSheetStgData[Population]&amp;TrendSheetStgData[Trend],Threshold[#All],5,FALSE)</f>
        <v>5</v>
      </c>
      <c r="M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 spans="1:13" x14ac:dyDescent="0.25">
      <c r="A177" t="s">
        <v>90</v>
      </c>
      <c r="B177" t="s">
        <v>90</v>
      </c>
      <c r="C177" t="s">
        <v>91</v>
      </c>
      <c r="D177" s="1" t="s">
        <v>98</v>
      </c>
      <c r="E177" t="s">
        <v>93</v>
      </c>
      <c r="F177" t="s">
        <v>22</v>
      </c>
      <c r="G177">
        <v>11</v>
      </c>
      <c r="H177">
        <v>0</v>
      </c>
      <c r="I177" s="5">
        <f>VLOOKUP(TrendSheetStgData[Population]&amp;TrendSheetStgData[Cost Basis]&amp;TrendSheetStgData[Period]&amp;TrendSheetStgData[Trend],TrendSheetPrdData[#All],9,FALSE)</f>
        <v>0</v>
      </c>
      <c r="J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 s="5">
        <f>VLOOKUP(TrendSheetStgData[Population]&amp;TrendSheetStgData[Trend],Threshold[#All],4,FALSE)</f>
        <v>10</v>
      </c>
      <c r="L177" s="5">
        <f>VLOOKUP(TrendSheetStgData[Population]&amp;TrendSheetStgData[Trend],Threshold[#All],5,FALSE)</f>
        <v>5</v>
      </c>
      <c r="M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 spans="1:13" x14ac:dyDescent="0.25">
      <c r="A178" t="s">
        <v>90</v>
      </c>
      <c r="B178" t="s">
        <v>90</v>
      </c>
      <c r="C178" t="s">
        <v>91</v>
      </c>
      <c r="D178" s="1" t="s">
        <v>99</v>
      </c>
      <c r="E178" t="s">
        <v>93</v>
      </c>
      <c r="F178" t="s">
        <v>22</v>
      </c>
      <c r="G178">
        <v>11</v>
      </c>
      <c r="H178">
        <v>0</v>
      </c>
      <c r="I178" s="5">
        <f>VLOOKUP(TrendSheetStgData[Population]&amp;TrendSheetStgData[Cost Basis]&amp;TrendSheetStgData[Period]&amp;TrendSheetStgData[Trend],TrendSheetPrdData[#All],9,FALSE)</f>
        <v>0</v>
      </c>
      <c r="J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 s="5">
        <f>VLOOKUP(TrendSheetStgData[Population]&amp;TrendSheetStgData[Trend],Threshold[#All],4,FALSE)</f>
        <v>10</v>
      </c>
      <c r="L178" s="5">
        <f>VLOOKUP(TrendSheetStgData[Population]&amp;TrendSheetStgData[Trend],Threshold[#All],5,FALSE)</f>
        <v>5</v>
      </c>
      <c r="M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 spans="1:13" x14ac:dyDescent="0.25">
      <c r="A179" t="s">
        <v>90</v>
      </c>
      <c r="B179" t="s">
        <v>90</v>
      </c>
      <c r="C179" t="s">
        <v>91</v>
      </c>
      <c r="D179" s="1" t="s">
        <v>100</v>
      </c>
      <c r="E179" t="s">
        <v>93</v>
      </c>
      <c r="F179" t="s">
        <v>22</v>
      </c>
      <c r="G179">
        <v>11</v>
      </c>
      <c r="H179">
        <v>0</v>
      </c>
      <c r="I179" s="5">
        <f>VLOOKUP(TrendSheetStgData[Population]&amp;TrendSheetStgData[Cost Basis]&amp;TrendSheetStgData[Period]&amp;TrendSheetStgData[Trend],TrendSheetPrdData[#All],9,FALSE)</f>
        <v>0</v>
      </c>
      <c r="J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 s="5">
        <f>VLOOKUP(TrendSheetStgData[Population]&amp;TrendSheetStgData[Trend],Threshold[#All],4,FALSE)</f>
        <v>10</v>
      </c>
      <c r="L179" s="5">
        <f>VLOOKUP(TrendSheetStgData[Population]&amp;TrendSheetStgData[Trend],Threshold[#All],5,FALSE)</f>
        <v>5</v>
      </c>
      <c r="M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0" spans="1:13" x14ac:dyDescent="0.25">
      <c r="A180" t="s">
        <v>90</v>
      </c>
      <c r="B180" t="s">
        <v>90</v>
      </c>
      <c r="C180" t="s">
        <v>91</v>
      </c>
      <c r="D180" s="1" t="s">
        <v>101</v>
      </c>
      <c r="E180" t="s">
        <v>93</v>
      </c>
      <c r="F180" t="s">
        <v>22</v>
      </c>
      <c r="G180">
        <v>11</v>
      </c>
      <c r="H180">
        <v>0</v>
      </c>
      <c r="I180" s="5">
        <f>VLOOKUP(TrendSheetStgData[Population]&amp;TrendSheetStgData[Cost Basis]&amp;TrendSheetStgData[Period]&amp;TrendSheetStgData[Trend],TrendSheetPrdData[#All],9,FALSE)</f>
        <v>0</v>
      </c>
      <c r="J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0" s="5">
        <f>VLOOKUP(TrendSheetStgData[Population]&amp;TrendSheetStgData[Trend],Threshold[#All],4,FALSE)</f>
        <v>10</v>
      </c>
      <c r="L180" s="5">
        <f>VLOOKUP(TrendSheetStgData[Population]&amp;TrendSheetStgData[Trend],Threshold[#All],5,FALSE)</f>
        <v>5</v>
      </c>
      <c r="M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 spans="1:13" x14ac:dyDescent="0.25">
      <c r="A181" t="s">
        <v>90</v>
      </c>
      <c r="B181" t="s">
        <v>90</v>
      </c>
      <c r="C181" t="s">
        <v>91</v>
      </c>
      <c r="D181" s="1" t="s">
        <v>102</v>
      </c>
      <c r="E181" t="s">
        <v>93</v>
      </c>
      <c r="F181" t="s">
        <v>22</v>
      </c>
      <c r="G181">
        <v>11</v>
      </c>
      <c r="H181">
        <v>0</v>
      </c>
      <c r="I181" s="5">
        <f>VLOOKUP(TrendSheetStgData[Population]&amp;TrendSheetStgData[Cost Basis]&amp;TrendSheetStgData[Period]&amp;TrendSheetStgData[Trend],TrendSheetPrdData[#All],9,FALSE)</f>
        <v>0</v>
      </c>
      <c r="J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 s="5">
        <f>VLOOKUP(TrendSheetStgData[Population]&amp;TrendSheetStgData[Trend],Threshold[#All],4,FALSE)</f>
        <v>10</v>
      </c>
      <c r="L181" s="5">
        <f>VLOOKUP(TrendSheetStgData[Population]&amp;TrendSheetStgData[Trend],Threshold[#All],5,FALSE)</f>
        <v>5</v>
      </c>
      <c r="M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 spans="1:13" x14ac:dyDescent="0.25">
      <c r="A182" t="s">
        <v>90</v>
      </c>
      <c r="B182" t="s">
        <v>90</v>
      </c>
      <c r="C182" t="s">
        <v>91</v>
      </c>
      <c r="D182" s="1" t="s">
        <v>103</v>
      </c>
      <c r="E182" t="s">
        <v>93</v>
      </c>
      <c r="F182" t="s">
        <v>22</v>
      </c>
      <c r="G182">
        <v>11</v>
      </c>
      <c r="H182">
        <v>0</v>
      </c>
      <c r="I182" s="5">
        <f>VLOOKUP(TrendSheetStgData[Population]&amp;TrendSheetStgData[Cost Basis]&amp;TrendSheetStgData[Period]&amp;TrendSheetStgData[Trend],TrendSheetPrdData[#All],9,FALSE)</f>
        <v>0</v>
      </c>
      <c r="J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 s="5">
        <f>VLOOKUP(TrendSheetStgData[Population]&amp;TrendSheetStgData[Trend],Threshold[#All],4,FALSE)</f>
        <v>10</v>
      </c>
      <c r="L182" s="5">
        <f>VLOOKUP(TrendSheetStgData[Population]&amp;TrendSheetStgData[Trend],Threshold[#All],5,FALSE)</f>
        <v>5</v>
      </c>
      <c r="M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 spans="1:13" x14ac:dyDescent="0.25">
      <c r="A183" t="s">
        <v>90</v>
      </c>
      <c r="B183" t="s">
        <v>90</v>
      </c>
      <c r="C183" t="s">
        <v>91</v>
      </c>
      <c r="D183" s="1" t="s">
        <v>104</v>
      </c>
      <c r="E183" t="s">
        <v>93</v>
      </c>
      <c r="F183" t="s">
        <v>22</v>
      </c>
      <c r="G183">
        <v>11</v>
      </c>
      <c r="H183">
        <v>0</v>
      </c>
      <c r="I183" s="5">
        <f>VLOOKUP(TrendSheetStgData[Population]&amp;TrendSheetStgData[Cost Basis]&amp;TrendSheetStgData[Period]&amp;TrendSheetStgData[Trend],TrendSheetPrdData[#All],9,FALSE)</f>
        <v>0</v>
      </c>
      <c r="J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 s="5">
        <f>VLOOKUP(TrendSheetStgData[Population]&amp;TrendSheetStgData[Trend],Threshold[#All],4,FALSE)</f>
        <v>10</v>
      </c>
      <c r="L183" s="5">
        <f>VLOOKUP(TrendSheetStgData[Population]&amp;TrendSheetStgData[Trend],Threshold[#All],5,FALSE)</f>
        <v>5</v>
      </c>
      <c r="M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4" spans="1:13" x14ac:dyDescent="0.25">
      <c r="A184" t="s">
        <v>90</v>
      </c>
      <c r="B184" t="s">
        <v>90</v>
      </c>
      <c r="C184" t="s">
        <v>91</v>
      </c>
      <c r="D184" s="1" t="s">
        <v>105</v>
      </c>
      <c r="E184" t="s">
        <v>93</v>
      </c>
      <c r="F184" t="s">
        <v>22</v>
      </c>
      <c r="G184">
        <v>11</v>
      </c>
      <c r="H184">
        <v>0</v>
      </c>
      <c r="I184" s="5">
        <f>VLOOKUP(TrendSheetStgData[Population]&amp;TrendSheetStgData[Cost Basis]&amp;TrendSheetStgData[Period]&amp;TrendSheetStgData[Trend],TrendSheetPrdData[#All],9,FALSE)</f>
        <v>0</v>
      </c>
      <c r="J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 s="5">
        <f>VLOOKUP(TrendSheetStgData[Population]&amp;TrendSheetStgData[Trend],Threshold[#All],4,FALSE)</f>
        <v>10</v>
      </c>
      <c r="L184" s="5">
        <f>VLOOKUP(TrendSheetStgData[Population]&amp;TrendSheetStgData[Trend],Threshold[#All],5,FALSE)</f>
        <v>5</v>
      </c>
      <c r="M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 spans="1:13" x14ac:dyDescent="0.25">
      <c r="A185" t="s">
        <v>90</v>
      </c>
      <c r="B185" t="s">
        <v>90</v>
      </c>
      <c r="C185" t="s">
        <v>91</v>
      </c>
      <c r="D185" s="1" t="s">
        <v>106</v>
      </c>
      <c r="E185" t="s">
        <v>93</v>
      </c>
      <c r="F185" t="s">
        <v>22</v>
      </c>
      <c r="G185">
        <v>11</v>
      </c>
      <c r="H185">
        <v>0</v>
      </c>
      <c r="I185" s="5">
        <f>VLOOKUP(TrendSheetStgData[Population]&amp;TrendSheetStgData[Cost Basis]&amp;TrendSheetStgData[Period]&amp;TrendSheetStgData[Trend],TrendSheetPrdData[#All],9,FALSE)</f>
        <v>0</v>
      </c>
      <c r="J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5" s="5">
        <f>VLOOKUP(TrendSheetStgData[Population]&amp;TrendSheetStgData[Trend],Threshold[#All],4,FALSE)</f>
        <v>10</v>
      </c>
      <c r="L185" s="5">
        <f>VLOOKUP(TrendSheetStgData[Population]&amp;TrendSheetStgData[Trend],Threshold[#All],5,FALSE)</f>
        <v>5</v>
      </c>
      <c r="M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6" spans="1:13" x14ac:dyDescent="0.25">
      <c r="A186" t="s">
        <v>90</v>
      </c>
      <c r="B186" t="s">
        <v>90</v>
      </c>
      <c r="C186" t="s">
        <v>91</v>
      </c>
      <c r="D186" s="1" t="s">
        <v>107</v>
      </c>
      <c r="E186" t="s">
        <v>108</v>
      </c>
      <c r="F186" t="s">
        <v>22</v>
      </c>
      <c r="G186">
        <v>11</v>
      </c>
      <c r="H186">
        <v>0</v>
      </c>
      <c r="I186" s="5">
        <f>VLOOKUP(TrendSheetStgData[Population]&amp;TrendSheetStgData[Cost Basis]&amp;TrendSheetStgData[Period]&amp;TrendSheetStgData[Trend],TrendSheetPrdData[#All],9,FALSE)</f>
        <v>0</v>
      </c>
      <c r="J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6" s="5">
        <f>VLOOKUP(TrendSheetStgData[Population]&amp;TrendSheetStgData[Trend],Threshold[#All],4,FALSE)</f>
        <v>10</v>
      </c>
      <c r="L186" s="5">
        <f>VLOOKUP(TrendSheetStgData[Population]&amp;TrendSheetStgData[Trend],Threshold[#All],5,FALSE)</f>
        <v>5</v>
      </c>
      <c r="M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7" spans="1:13" x14ac:dyDescent="0.25">
      <c r="A187" t="s">
        <v>90</v>
      </c>
      <c r="B187" t="s">
        <v>90</v>
      </c>
      <c r="C187" t="s">
        <v>91</v>
      </c>
      <c r="D187" s="1" t="s">
        <v>109</v>
      </c>
      <c r="E187" t="s">
        <v>108</v>
      </c>
      <c r="F187" t="s">
        <v>22</v>
      </c>
      <c r="G187">
        <v>11</v>
      </c>
      <c r="H187">
        <v>0</v>
      </c>
      <c r="I187" s="5">
        <f>VLOOKUP(TrendSheetStgData[Population]&amp;TrendSheetStgData[Cost Basis]&amp;TrendSheetStgData[Period]&amp;TrendSheetStgData[Trend],TrendSheetPrdData[#All],9,FALSE)</f>
        <v>0</v>
      </c>
      <c r="J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7" s="5">
        <f>VLOOKUP(TrendSheetStgData[Population]&amp;TrendSheetStgData[Trend],Threshold[#All],4,FALSE)</f>
        <v>10</v>
      </c>
      <c r="L187" s="5">
        <f>VLOOKUP(TrendSheetStgData[Population]&amp;TrendSheetStgData[Trend],Threshold[#All],5,FALSE)</f>
        <v>5</v>
      </c>
      <c r="M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8" spans="1:13" x14ac:dyDescent="0.25">
      <c r="A188" t="s">
        <v>90</v>
      </c>
      <c r="B188" t="s">
        <v>90</v>
      </c>
      <c r="C188" t="s">
        <v>91</v>
      </c>
      <c r="D188" s="1" t="s">
        <v>110</v>
      </c>
      <c r="E188" t="s">
        <v>108</v>
      </c>
      <c r="F188" t="s">
        <v>22</v>
      </c>
      <c r="G188">
        <v>11</v>
      </c>
      <c r="H188">
        <v>0</v>
      </c>
      <c r="I188" s="5">
        <f>VLOOKUP(TrendSheetStgData[Population]&amp;TrendSheetStgData[Cost Basis]&amp;TrendSheetStgData[Period]&amp;TrendSheetStgData[Trend],TrendSheetPrdData[#All],9,FALSE)</f>
        <v>0</v>
      </c>
      <c r="J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8" s="5">
        <f>VLOOKUP(TrendSheetStgData[Population]&amp;TrendSheetStgData[Trend],Threshold[#All],4,FALSE)</f>
        <v>10</v>
      </c>
      <c r="L188" s="5">
        <f>VLOOKUP(TrendSheetStgData[Population]&amp;TrendSheetStgData[Trend],Threshold[#All],5,FALSE)</f>
        <v>5</v>
      </c>
      <c r="M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 spans="1:13" x14ac:dyDescent="0.25">
      <c r="A189" t="s">
        <v>90</v>
      </c>
      <c r="B189" t="s">
        <v>90</v>
      </c>
      <c r="C189" t="s">
        <v>91</v>
      </c>
      <c r="D189" s="1" t="s">
        <v>92</v>
      </c>
      <c r="E189" t="s">
        <v>93</v>
      </c>
      <c r="F189" t="s">
        <v>23</v>
      </c>
      <c r="G189">
        <v>12</v>
      </c>
      <c r="H189">
        <v>0</v>
      </c>
      <c r="I189" s="5">
        <f>VLOOKUP(TrendSheetStgData[Population]&amp;TrendSheetStgData[Cost Basis]&amp;TrendSheetStgData[Period]&amp;TrendSheetStgData[Trend],TrendSheetPrdData[#All],9,FALSE)</f>
        <v>0</v>
      </c>
      <c r="J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9" s="5">
        <f>VLOOKUP(TrendSheetStgData[Population]&amp;TrendSheetStgData[Trend],Threshold[#All],4,FALSE)</f>
        <v>10</v>
      </c>
      <c r="L189" s="5">
        <f>VLOOKUP(TrendSheetStgData[Population]&amp;TrendSheetStgData[Trend],Threshold[#All],5,FALSE)</f>
        <v>5</v>
      </c>
      <c r="M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0" spans="1:13" x14ac:dyDescent="0.25">
      <c r="A190" t="s">
        <v>90</v>
      </c>
      <c r="B190" t="s">
        <v>90</v>
      </c>
      <c r="C190" t="s">
        <v>91</v>
      </c>
      <c r="D190" s="1" t="s">
        <v>94</v>
      </c>
      <c r="E190" t="s">
        <v>93</v>
      </c>
      <c r="F190" t="s">
        <v>23</v>
      </c>
      <c r="G190">
        <v>12</v>
      </c>
      <c r="H190">
        <v>5</v>
      </c>
      <c r="I190" s="5">
        <f>VLOOKUP(TrendSheetStgData[Population]&amp;TrendSheetStgData[Cost Basis]&amp;TrendSheetStgData[Period]&amp;TrendSheetStgData[Trend],TrendSheetPrdData[#All],9,FALSE)</f>
        <v>5</v>
      </c>
      <c r="J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0" s="5">
        <f>VLOOKUP(TrendSheetStgData[Population]&amp;TrendSheetStgData[Trend],Threshold[#All],4,FALSE)</f>
        <v>10</v>
      </c>
      <c r="L190" s="5">
        <f>VLOOKUP(TrendSheetStgData[Population]&amp;TrendSheetStgData[Trend],Threshold[#All],5,FALSE)</f>
        <v>5</v>
      </c>
      <c r="M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 spans="1:13" x14ac:dyDescent="0.25">
      <c r="A191" t="s">
        <v>90</v>
      </c>
      <c r="B191" t="s">
        <v>90</v>
      </c>
      <c r="C191" t="s">
        <v>91</v>
      </c>
      <c r="D191" s="1" t="s">
        <v>95</v>
      </c>
      <c r="E191" t="s">
        <v>93</v>
      </c>
      <c r="F191" t="s">
        <v>23</v>
      </c>
      <c r="G191">
        <v>12</v>
      </c>
      <c r="H191">
        <v>5</v>
      </c>
      <c r="I191" s="5">
        <f>VLOOKUP(TrendSheetStgData[Population]&amp;TrendSheetStgData[Cost Basis]&amp;TrendSheetStgData[Period]&amp;TrendSheetStgData[Trend],TrendSheetPrdData[#All],9,FALSE)</f>
        <v>5</v>
      </c>
      <c r="J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 s="5">
        <f>VLOOKUP(TrendSheetStgData[Population]&amp;TrendSheetStgData[Trend],Threshold[#All],4,FALSE)</f>
        <v>10</v>
      </c>
      <c r="L191" s="5">
        <f>VLOOKUP(TrendSheetStgData[Population]&amp;TrendSheetStgData[Trend],Threshold[#All],5,FALSE)</f>
        <v>5</v>
      </c>
      <c r="M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 spans="1:13" x14ac:dyDescent="0.25">
      <c r="A192" t="s">
        <v>90</v>
      </c>
      <c r="B192" t="s">
        <v>90</v>
      </c>
      <c r="C192" t="s">
        <v>91</v>
      </c>
      <c r="D192" s="1" t="s">
        <v>96</v>
      </c>
      <c r="E192" t="s">
        <v>93</v>
      </c>
      <c r="F192" t="s">
        <v>23</v>
      </c>
      <c r="G192">
        <v>12</v>
      </c>
      <c r="H192">
        <v>9</v>
      </c>
      <c r="I192" s="5">
        <f>VLOOKUP(TrendSheetStgData[Population]&amp;TrendSheetStgData[Cost Basis]&amp;TrendSheetStgData[Period]&amp;TrendSheetStgData[Trend],TrendSheetPrdData[#All],9,FALSE)</f>
        <v>9</v>
      </c>
      <c r="J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 s="5">
        <f>VLOOKUP(TrendSheetStgData[Population]&amp;TrendSheetStgData[Trend],Threshold[#All],4,FALSE)</f>
        <v>10</v>
      </c>
      <c r="L192" s="5">
        <f>VLOOKUP(TrendSheetStgData[Population]&amp;TrendSheetStgData[Trend],Threshold[#All],5,FALSE)</f>
        <v>5</v>
      </c>
      <c r="M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 spans="1:13" x14ac:dyDescent="0.25">
      <c r="A193" t="s">
        <v>90</v>
      </c>
      <c r="B193" t="s">
        <v>90</v>
      </c>
      <c r="C193" t="s">
        <v>91</v>
      </c>
      <c r="D193" s="1" t="s">
        <v>97</v>
      </c>
      <c r="E193" t="s">
        <v>93</v>
      </c>
      <c r="F193" t="s">
        <v>23</v>
      </c>
      <c r="G193">
        <v>12</v>
      </c>
      <c r="H193">
        <v>0</v>
      </c>
      <c r="I193" s="5">
        <f>VLOOKUP(TrendSheetStgData[Population]&amp;TrendSheetStgData[Cost Basis]&amp;TrendSheetStgData[Period]&amp;TrendSheetStgData[Trend],TrendSheetPrdData[#All],9,FALSE)</f>
        <v>0</v>
      </c>
      <c r="J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 s="5">
        <f>VLOOKUP(TrendSheetStgData[Population]&amp;TrendSheetStgData[Trend],Threshold[#All],4,FALSE)</f>
        <v>10</v>
      </c>
      <c r="L193" s="5">
        <f>VLOOKUP(TrendSheetStgData[Population]&amp;TrendSheetStgData[Trend],Threshold[#All],5,FALSE)</f>
        <v>5</v>
      </c>
      <c r="M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 spans="1:13" x14ac:dyDescent="0.25">
      <c r="A194" t="s">
        <v>90</v>
      </c>
      <c r="B194" t="s">
        <v>90</v>
      </c>
      <c r="C194" t="s">
        <v>91</v>
      </c>
      <c r="D194" s="1" t="s">
        <v>98</v>
      </c>
      <c r="E194" t="s">
        <v>93</v>
      </c>
      <c r="F194" t="s">
        <v>23</v>
      </c>
      <c r="G194">
        <v>12</v>
      </c>
      <c r="H194">
        <v>0</v>
      </c>
      <c r="I194" s="5">
        <f>VLOOKUP(TrendSheetStgData[Population]&amp;TrendSheetStgData[Cost Basis]&amp;TrendSheetStgData[Period]&amp;TrendSheetStgData[Trend],TrendSheetPrdData[#All],9,FALSE)</f>
        <v>0</v>
      </c>
      <c r="J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 s="5">
        <f>VLOOKUP(TrendSheetStgData[Population]&amp;TrendSheetStgData[Trend],Threshold[#All],4,FALSE)</f>
        <v>10</v>
      </c>
      <c r="L194" s="5">
        <f>VLOOKUP(TrendSheetStgData[Population]&amp;TrendSheetStgData[Trend],Threshold[#All],5,FALSE)</f>
        <v>5</v>
      </c>
      <c r="M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 spans="1:13" x14ac:dyDescent="0.25">
      <c r="A195" t="s">
        <v>90</v>
      </c>
      <c r="B195" t="s">
        <v>90</v>
      </c>
      <c r="C195" t="s">
        <v>91</v>
      </c>
      <c r="D195" s="1" t="s">
        <v>99</v>
      </c>
      <c r="E195" t="s">
        <v>93</v>
      </c>
      <c r="F195" t="s">
        <v>23</v>
      </c>
      <c r="G195">
        <v>12</v>
      </c>
      <c r="H195">
        <v>0</v>
      </c>
      <c r="I195" s="5">
        <f>VLOOKUP(TrendSheetStgData[Population]&amp;TrendSheetStgData[Cost Basis]&amp;TrendSheetStgData[Period]&amp;TrendSheetStgData[Trend],TrendSheetPrdData[#All],9,FALSE)</f>
        <v>0</v>
      </c>
      <c r="J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 s="5">
        <f>VLOOKUP(TrendSheetStgData[Population]&amp;TrendSheetStgData[Trend],Threshold[#All],4,FALSE)</f>
        <v>10</v>
      </c>
      <c r="L195" s="5">
        <f>VLOOKUP(TrendSheetStgData[Population]&amp;TrendSheetStgData[Trend],Threshold[#All],5,FALSE)</f>
        <v>5</v>
      </c>
      <c r="M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 spans="1:13" x14ac:dyDescent="0.25">
      <c r="A196" t="s">
        <v>90</v>
      </c>
      <c r="B196" t="s">
        <v>90</v>
      </c>
      <c r="C196" t="s">
        <v>91</v>
      </c>
      <c r="D196" s="1" t="s">
        <v>100</v>
      </c>
      <c r="E196" t="s">
        <v>93</v>
      </c>
      <c r="F196" t="s">
        <v>23</v>
      </c>
      <c r="G196">
        <v>12</v>
      </c>
      <c r="H196">
        <v>0</v>
      </c>
      <c r="I196" s="5">
        <f>VLOOKUP(TrendSheetStgData[Population]&amp;TrendSheetStgData[Cost Basis]&amp;TrendSheetStgData[Period]&amp;TrendSheetStgData[Trend],TrendSheetPrdData[#All],9,FALSE)</f>
        <v>0</v>
      </c>
      <c r="J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 s="5">
        <f>VLOOKUP(TrendSheetStgData[Population]&amp;TrendSheetStgData[Trend],Threshold[#All],4,FALSE)</f>
        <v>10</v>
      </c>
      <c r="L196" s="5">
        <f>VLOOKUP(TrendSheetStgData[Population]&amp;TrendSheetStgData[Trend],Threshold[#All],5,FALSE)</f>
        <v>5</v>
      </c>
      <c r="M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 spans="1:13" x14ac:dyDescent="0.25">
      <c r="A197" t="s">
        <v>90</v>
      </c>
      <c r="B197" t="s">
        <v>90</v>
      </c>
      <c r="C197" t="s">
        <v>91</v>
      </c>
      <c r="D197" s="1" t="s">
        <v>101</v>
      </c>
      <c r="E197" t="s">
        <v>93</v>
      </c>
      <c r="F197" t="s">
        <v>23</v>
      </c>
      <c r="G197">
        <v>12</v>
      </c>
      <c r="H197">
        <v>0</v>
      </c>
      <c r="I197" s="5">
        <f>VLOOKUP(TrendSheetStgData[Population]&amp;TrendSheetStgData[Cost Basis]&amp;TrendSheetStgData[Period]&amp;TrendSheetStgData[Trend],TrendSheetPrdData[#All],9,FALSE)</f>
        <v>0</v>
      </c>
      <c r="J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 s="5">
        <f>VLOOKUP(TrendSheetStgData[Population]&amp;TrendSheetStgData[Trend],Threshold[#All],4,FALSE)</f>
        <v>10</v>
      </c>
      <c r="L197" s="5">
        <f>VLOOKUP(TrendSheetStgData[Population]&amp;TrendSheetStgData[Trend],Threshold[#All],5,FALSE)</f>
        <v>5</v>
      </c>
      <c r="M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 spans="1:13" x14ac:dyDescent="0.25">
      <c r="A198" t="s">
        <v>90</v>
      </c>
      <c r="B198" t="s">
        <v>90</v>
      </c>
      <c r="C198" t="s">
        <v>91</v>
      </c>
      <c r="D198" s="1" t="s">
        <v>102</v>
      </c>
      <c r="E198" t="s">
        <v>93</v>
      </c>
      <c r="F198" t="s">
        <v>23</v>
      </c>
      <c r="G198">
        <v>12</v>
      </c>
      <c r="H198">
        <v>0</v>
      </c>
      <c r="I198" s="5">
        <f>VLOOKUP(TrendSheetStgData[Population]&amp;TrendSheetStgData[Cost Basis]&amp;TrendSheetStgData[Period]&amp;TrendSheetStgData[Trend],TrendSheetPrdData[#All],9,FALSE)</f>
        <v>0</v>
      </c>
      <c r="J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 s="5">
        <f>VLOOKUP(TrendSheetStgData[Population]&amp;TrendSheetStgData[Trend],Threshold[#All],4,FALSE)</f>
        <v>10</v>
      </c>
      <c r="L198" s="5">
        <f>VLOOKUP(TrendSheetStgData[Population]&amp;TrendSheetStgData[Trend],Threshold[#All],5,FALSE)</f>
        <v>5</v>
      </c>
      <c r="M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 spans="1:13" x14ac:dyDescent="0.25">
      <c r="A199" t="s">
        <v>90</v>
      </c>
      <c r="B199" t="s">
        <v>90</v>
      </c>
      <c r="C199" t="s">
        <v>91</v>
      </c>
      <c r="D199" s="1" t="s">
        <v>103</v>
      </c>
      <c r="E199" t="s">
        <v>93</v>
      </c>
      <c r="F199" t="s">
        <v>23</v>
      </c>
      <c r="G199">
        <v>12</v>
      </c>
      <c r="H199">
        <v>0</v>
      </c>
      <c r="I199" s="5">
        <f>VLOOKUP(TrendSheetStgData[Population]&amp;TrendSheetStgData[Cost Basis]&amp;TrendSheetStgData[Period]&amp;TrendSheetStgData[Trend],TrendSheetPrdData[#All],9,FALSE)</f>
        <v>0</v>
      </c>
      <c r="J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 s="5">
        <f>VLOOKUP(TrendSheetStgData[Population]&amp;TrendSheetStgData[Trend],Threshold[#All],4,FALSE)</f>
        <v>10</v>
      </c>
      <c r="L199" s="5">
        <f>VLOOKUP(TrendSheetStgData[Population]&amp;TrendSheetStgData[Trend],Threshold[#All],5,FALSE)</f>
        <v>5</v>
      </c>
      <c r="M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 spans="1:13" x14ac:dyDescent="0.25">
      <c r="A200" t="s">
        <v>90</v>
      </c>
      <c r="B200" t="s">
        <v>90</v>
      </c>
      <c r="C200" t="s">
        <v>91</v>
      </c>
      <c r="D200" s="1" t="s">
        <v>104</v>
      </c>
      <c r="E200" t="s">
        <v>93</v>
      </c>
      <c r="F200" t="s">
        <v>23</v>
      </c>
      <c r="G200">
        <v>12</v>
      </c>
      <c r="H200">
        <v>0</v>
      </c>
      <c r="I200" s="5">
        <f>VLOOKUP(TrendSheetStgData[Population]&amp;TrendSheetStgData[Cost Basis]&amp;TrendSheetStgData[Period]&amp;TrendSheetStgData[Trend],TrendSheetPrdData[#All],9,FALSE)</f>
        <v>0</v>
      </c>
      <c r="J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 s="5">
        <f>VLOOKUP(TrendSheetStgData[Population]&amp;TrendSheetStgData[Trend],Threshold[#All],4,FALSE)</f>
        <v>10</v>
      </c>
      <c r="L200" s="5">
        <f>VLOOKUP(TrendSheetStgData[Population]&amp;TrendSheetStgData[Trend],Threshold[#All],5,FALSE)</f>
        <v>5</v>
      </c>
      <c r="M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 spans="1:13" x14ac:dyDescent="0.25">
      <c r="A201" t="s">
        <v>90</v>
      </c>
      <c r="B201" t="s">
        <v>90</v>
      </c>
      <c r="C201" t="s">
        <v>91</v>
      </c>
      <c r="D201" s="1" t="s">
        <v>105</v>
      </c>
      <c r="E201" t="s">
        <v>93</v>
      </c>
      <c r="F201" t="s">
        <v>23</v>
      </c>
      <c r="G201">
        <v>12</v>
      </c>
      <c r="H201">
        <v>0</v>
      </c>
      <c r="I201" s="5">
        <f>VLOOKUP(TrendSheetStgData[Population]&amp;TrendSheetStgData[Cost Basis]&amp;TrendSheetStgData[Period]&amp;TrendSheetStgData[Trend],TrendSheetPrdData[#All],9,FALSE)</f>
        <v>0</v>
      </c>
      <c r="J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 s="5">
        <f>VLOOKUP(TrendSheetStgData[Population]&amp;TrendSheetStgData[Trend],Threshold[#All],4,FALSE)</f>
        <v>10</v>
      </c>
      <c r="L201" s="5">
        <f>VLOOKUP(TrendSheetStgData[Population]&amp;TrendSheetStgData[Trend],Threshold[#All],5,FALSE)</f>
        <v>5</v>
      </c>
      <c r="M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 spans="1:13" x14ac:dyDescent="0.25">
      <c r="A202" t="s">
        <v>90</v>
      </c>
      <c r="B202" t="s">
        <v>90</v>
      </c>
      <c r="C202" t="s">
        <v>91</v>
      </c>
      <c r="D202" s="1" t="s">
        <v>106</v>
      </c>
      <c r="E202" t="s">
        <v>93</v>
      </c>
      <c r="F202" t="s">
        <v>23</v>
      </c>
      <c r="G202">
        <v>12</v>
      </c>
      <c r="H202">
        <v>0</v>
      </c>
      <c r="I202" s="5">
        <f>VLOOKUP(TrendSheetStgData[Population]&amp;TrendSheetStgData[Cost Basis]&amp;TrendSheetStgData[Period]&amp;TrendSheetStgData[Trend],TrendSheetPrdData[#All],9,FALSE)</f>
        <v>0</v>
      </c>
      <c r="J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 s="5">
        <f>VLOOKUP(TrendSheetStgData[Population]&amp;TrendSheetStgData[Trend],Threshold[#All],4,FALSE)</f>
        <v>10</v>
      </c>
      <c r="L202" s="5">
        <f>VLOOKUP(TrendSheetStgData[Population]&amp;TrendSheetStgData[Trend],Threshold[#All],5,FALSE)</f>
        <v>5</v>
      </c>
      <c r="M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 spans="1:13" x14ac:dyDescent="0.25">
      <c r="A203" t="s">
        <v>90</v>
      </c>
      <c r="B203" t="s">
        <v>90</v>
      </c>
      <c r="C203" t="s">
        <v>91</v>
      </c>
      <c r="D203" s="1" t="s">
        <v>107</v>
      </c>
      <c r="E203" t="s">
        <v>108</v>
      </c>
      <c r="F203" t="s">
        <v>23</v>
      </c>
      <c r="G203">
        <v>12</v>
      </c>
      <c r="H203">
        <v>0</v>
      </c>
      <c r="I203" s="5">
        <f>VLOOKUP(TrendSheetStgData[Population]&amp;TrendSheetStgData[Cost Basis]&amp;TrendSheetStgData[Period]&amp;TrendSheetStgData[Trend],TrendSheetPrdData[#All],9,FALSE)</f>
        <v>0</v>
      </c>
      <c r="J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 s="5">
        <f>VLOOKUP(TrendSheetStgData[Population]&amp;TrendSheetStgData[Trend],Threshold[#All],4,FALSE)</f>
        <v>10</v>
      </c>
      <c r="L203" s="5">
        <f>VLOOKUP(TrendSheetStgData[Population]&amp;TrendSheetStgData[Trend],Threshold[#All],5,FALSE)</f>
        <v>5</v>
      </c>
      <c r="M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 spans="1:13" x14ac:dyDescent="0.25">
      <c r="A204" t="s">
        <v>90</v>
      </c>
      <c r="B204" t="s">
        <v>90</v>
      </c>
      <c r="C204" t="s">
        <v>91</v>
      </c>
      <c r="D204" s="1" t="s">
        <v>109</v>
      </c>
      <c r="E204" t="s">
        <v>108</v>
      </c>
      <c r="F204" t="s">
        <v>23</v>
      </c>
      <c r="G204">
        <v>12</v>
      </c>
      <c r="H204">
        <v>0</v>
      </c>
      <c r="I204" s="5">
        <f>VLOOKUP(TrendSheetStgData[Population]&amp;TrendSheetStgData[Cost Basis]&amp;TrendSheetStgData[Period]&amp;TrendSheetStgData[Trend],TrendSheetPrdData[#All],9,FALSE)</f>
        <v>0</v>
      </c>
      <c r="J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 s="5">
        <f>VLOOKUP(TrendSheetStgData[Population]&amp;TrendSheetStgData[Trend],Threshold[#All],4,FALSE)</f>
        <v>10</v>
      </c>
      <c r="L204" s="5">
        <f>VLOOKUP(TrendSheetStgData[Population]&amp;TrendSheetStgData[Trend],Threshold[#All],5,FALSE)</f>
        <v>5</v>
      </c>
      <c r="M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 spans="1:13" x14ac:dyDescent="0.25">
      <c r="A205" t="s">
        <v>90</v>
      </c>
      <c r="B205" t="s">
        <v>90</v>
      </c>
      <c r="C205" t="s">
        <v>91</v>
      </c>
      <c r="D205" s="1" t="s">
        <v>110</v>
      </c>
      <c r="E205" t="s">
        <v>108</v>
      </c>
      <c r="F205" t="s">
        <v>23</v>
      </c>
      <c r="G205">
        <v>12</v>
      </c>
      <c r="H205">
        <v>0</v>
      </c>
      <c r="I205" s="5">
        <f>VLOOKUP(TrendSheetStgData[Population]&amp;TrendSheetStgData[Cost Basis]&amp;TrendSheetStgData[Period]&amp;TrendSheetStgData[Trend],TrendSheetPrdData[#All],9,FALSE)</f>
        <v>0</v>
      </c>
      <c r="J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 s="5">
        <f>VLOOKUP(TrendSheetStgData[Population]&amp;TrendSheetStgData[Trend],Threshold[#All],4,FALSE)</f>
        <v>10</v>
      </c>
      <c r="L205" s="5">
        <f>VLOOKUP(TrendSheetStgData[Population]&amp;TrendSheetStgData[Trend],Threshold[#All],5,FALSE)</f>
        <v>5</v>
      </c>
      <c r="M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 spans="1:13" x14ac:dyDescent="0.25">
      <c r="A206" t="s">
        <v>90</v>
      </c>
      <c r="B206" t="s">
        <v>90</v>
      </c>
      <c r="C206" t="s">
        <v>91</v>
      </c>
      <c r="D206" s="1" t="s">
        <v>92</v>
      </c>
      <c r="E206" t="s">
        <v>93</v>
      </c>
      <c r="F206" t="s">
        <v>24</v>
      </c>
      <c r="G206">
        <v>13</v>
      </c>
      <c r="H206">
        <v>127602</v>
      </c>
      <c r="I206" s="5">
        <f>VLOOKUP(TrendSheetStgData[Population]&amp;TrendSheetStgData[Cost Basis]&amp;TrendSheetStgData[Period]&amp;TrendSheetStgData[Trend],TrendSheetPrdData[#All],9,FALSE)</f>
        <v>127602</v>
      </c>
      <c r="J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 s="5">
        <f>VLOOKUP(TrendSheetStgData[Population]&amp;TrendSheetStgData[Trend],Threshold[#All],4,FALSE)</f>
        <v>10</v>
      </c>
      <c r="L206" s="5">
        <f>VLOOKUP(TrendSheetStgData[Population]&amp;TrendSheetStgData[Trend],Threshold[#All],5,FALSE)</f>
        <v>5</v>
      </c>
      <c r="M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 spans="1:13" x14ac:dyDescent="0.25">
      <c r="A207" t="s">
        <v>90</v>
      </c>
      <c r="B207" t="s">
        <v>90</v>
      </c>
      <c r="C207" t="s">
        <v>91</v>
      </c>
      <c r="D207" s="1" t="s">
        <v>94</v>
      </c>
      <c r="E207" t="s">
        <v>93</v>
      </c>
      <c r="F207" t="s">
        <v>24</v>
      </c>
      <c r="G207">
        <v>13</v>
      </c>
      <c r="H207">
        <v>88976</v>
      </c>
      <c r="I207" s="5">
        <f>VLOOKUP(TrendSheetStgData[Population]&amp;TrendSheetStgData[Cost Basis]&amp;TrendSheetStgData[Period]&amp;TrendSheetStgData[Trend],TrendSheetPrdData[#All],9,FALSE)</f>
        <v>88976</v>
      </c>
      <c r="J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 s="5">
        <f>VLOOKUP(TrendSheetStgData[Population]&amp;TrendSheetStgData[Trend],Threshold[#All],4,FALSE)</f>
        <v>10</v>
      </c>
      <c r="L207" s="5">
        <f>VLOOKUP(TrendSheetStgData[Population]&amp;TrendSheetStgData[Trend],Threshold[#All],5,FALSE)</f>
        <v>5</v>
      </c>
      <c r="M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 spans="1:13" x14ac:dyDescent="0.25">
      <c r="A208" t="s">
        <v>90</v>
      </c>
      <c r="B208" t="s">
        <v>90</v>
      </c>
      <c r="C208" t="s">
        <v>91</v>
      </c>
      <c r="D208" s="1" t="s">
        <v>95</v>
      </c>
      <c r="E208" t="s">
        <v>93</v>
      </c>
      <c r="F208" t="s">
        <v>24</v>
      </c>
      <c r="G208">
        <v>13</v>
      </c>
      <c r="H208">
        <v>91366</v>
      </c>
      <c r="I208" s="5">
        <f>VLOOKUP(TrendSheetStgData[Population]&amp;TrendSheetStgData[Cost Basis]&amp;TrendSheetStgData[Period]&amp;TrendSheetStgData[Trend],TrendSheetPrdData[#All],9,FALSE)</f>
        <v>91366</v>
      </c>
      <c r="J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 s="5">
        <f>VLOOKUP(TrendSheetStgData[Population]&amp;TrendSheetStgData[Trend],Threshold[#All],4,FALSE)</f>
        <v>10</v>
      </c>
      <c r="L208" s="5">
        <f>VLOOKUP(TrendSheetStgData[Population]&amp;TrendSheetStgData[Trend],Threshold[#All],5,FALSE)</f>
        <v>5</v>
      </c>
      <c r="M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 spans="1:13" x14ac:dyDescent="0.25">
      <c r="A209" t="s">
        <v>90</v>
      </c>
      <c r="B209" t="s">
        <v>90</v>
      </c>
      <c r="C209" t="s">
        <v>91</v>
      </c>
      <c r="D209" s="1" t="s">
        <v>96</v>
      </c>
      <c r="E209" t="s">
        <v>93</v>
      </c>
      <c r="F209" t="s">
        <v>24</v>
      </c>
      <c r="G209">
        <v>13</v>
      </c>
      <c r="H209">
        <v>113524</v>
      </c>
      <c r="I209" s="5">
        <f>VLOOKUP(TrendSheetStgData[Population]&amp;TrendSheetStgData[Cost Basis]&amp;TrendSheetStgData[Period]&amp;TrendSheetStgData[Trend],TrendSheetPrdData[#All],9,FALSE)</f>
        <v>113524</v>
      </c>
      <c r="J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 s="5">
        <f>VLOOKUP(TrendSheetStgData[Population]&amp;TrendSheetStgData[Trend],Threshold[#All],4,FALSE)</f>
        <v>10</v>
      </c>
      <c r="L209" s="5">
        <f>VLOOKUP(TrendSheetStgData[Population]&amp;TrendSheetStgData[Trend],Threshold[#All],5,FALSE)</f>
        <v>5</v>
      </c>
      <c r="M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 spans="1:13" x14ac:dyDescent="0.25">
      <c r="A210" t="s">
        <v>90</v>
      </c>
      <c r="B210" t="s">
        <v>90</v>
      </c>
      <c r="C210" t="s">
        <v>91</v>
      </c>
      <c r="D210" s="1" t="s">
        <v>97</v>
      </c>
      <c r="E210" t="s">
        <v>93</v>
      </c>
      <c r="F210" t="s">
        <v>24</v>
      </c>
      <c r="G210">
        <v>13</v>
      </c>
      <c r="H210">
        <v>55847</v>
      </c>
      <c r="I210" s="5">
        <f>VLOOKUP(TrendSheetStgData[Population]&amp;TrendSheetStgData[Cost Basis]&amp;TrendSheetStgData[Period]&amp;TrendSheetStgData[Trend],TrendSheetPrdData[#All],9,FALSE)</f>
        <v>55847</v>
      </c>
      <c r="J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 s="5">
        <f>VLOOKUP(TrendSheetStgData[Population]&amp;TrendSheetStgData[Trend],Threshold[#All],4,FALSE)</f>
        <v>10</v>
      </c>
      <c r="L210" s="5">
        <f>VLOOKUP(TrendSheetStgData[Population]&amp;TrendSheetStgData[Trend],Threshold[#All],5,FALSE)</f>
        <v>5</v>
      </c>
      <c r="M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 spans="1:13" x14ac:dyDescent="0.25">
      <c r="A211" t="s">
        <v>90</v>
      </c>
      <c r="B211" t="s">
        <v>90</v>
      </c>
      <c r="C211" t="s">
        <v>91</v>
      </c>
      <c r="D211" s="1" t="s">
        <v>98</v>
      </c>
      <c r="E211" t="s">
        <v>93</v>
      </c>
      <c r="F211" t="s">
        <v>24</v>
      </c>
      <c r="G211">
        <v>13</v>
      </c>
      <c r="H211">
        <v>70561</v>
      </c>
      <c r="I211" s="5">
        <f>VLOOKUP(TrendSheetStgData[Population]&amp;TrendSheetStgData[Cost Basis]&amp;TrendSheetStgData[Period]&amp;TrendSheetStgData[Trend],TrendSheetPrdData[#All],9,FALSE)</f>
        <v>70561</v>
      </c>
      <c r="J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 s="5">
        <f>VLOOKUP(TrendSheetStgData[Population]&amp;TrendSheetStgData[Trend],Threshold[#All],4,FALSE)</f>
        <v>10</v>
      </c>
      <c r="L211" s="5">
        <f>VLOOKUP(TrendSheetStgData[Population]&amp;TrendSheetStgData[Trend],Threshold[#All],5,FALSE)</f>
        <v>5</v>
      </c>
      <c r="M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 spans="1:13" x14ac:dyDescent="0.25">
      <c r="A212" t="s">
        <v>90</v>
      </c>
      <c r="B212" t="s">
        <v>90</v>
      </c>
      <c r="C212" t="s">
        <v>91</v>
      </c>
      <c r="D212" s="1" t="s">
        <v>99</v>
      </c>
      <c r="E212" t="s">
        <v>93</v>
      </c>
      <c r="F212" t="s">
        <v>24</v>
      </c>
      <c r="G212">
        <v>13</v>
      </c>
      <c r="H212">
        <v>126002</v>
      </c>
      <c r="I212" s="5">
        <f>VLOOKUP(TrendSheetStgData[Population]&amp;TrendSheetStgData[Cost Basis]&amp;TrendSheetStgData[Period]&amp;TrendSheetStgData[Trend],TrendSheetPrdData[#All],9,FALSE)</f>
        <v>126002</v>
      </c>
      <c r="J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 s="5">
        <f>VLOOKUP(TrendSheetStgData[Population]&amp;TrendSheetStgData[Trend],Threshold[#All],4,FALSE)</f>
        <v>10</v>
      </c>
      <c r="L212" s="5">
        <f>VLOOKUP(TrendSheetStgData[Population]&amp;TrendSheetStgData[Trend],Threshold[#All],5,FALSE)</f>
        <v>5</v>
      </c>
      <c r="M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 spans="1:13" x14ac:dyDescent="0.25">
      <c r="A213" t="s">
        <v>90</v>
      </c>
      <c r="B213" t="s">
        <v>90</v>
      </c>
      <c r="C213" t="s">
        <v>91</v>
      </c>
      <c r="D213" s="1" t="s">
        <v>100</v>
      </c>
      <c r="E213" t="s">
        <v>93</v>
      </c>
      <c r="F213" t="s">
        <v>24</v>
      </c>
      <c r="G213">
        <v>13</v>
      </c>
      <c r="H213">
        <v>62469</v>
      </c>
      <c r="I213" s="5">
        <f>VLOOKUP(TrendSheetStgData[Population]&amp;TrendSheetStgData[Cost Basis]&amp;TrendSheetStgData[Period]&amp;TrendSheetStgData[Trend],TrendSheetPrdData[#All],9,FALSE)</f>
        <v>62469</v>
      </c>
      <c r="J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 s="5">
        <f>VLOOKUP(TrendSheetStgData[Population]&amp;TrendSheetStgData[Trend],Threshold[#All],4,FALSE)</f>
        <v>10</v>
      </c>
      <c r="L213" s="5">
        <f>VLOOKUP(TrendSheetStgData[Population]&amp;TrendSheetStgData[Trend],Threshold[#All],5,FALSE)</f>
        <v>5</v>
      </c>
      <c r="M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 spans="1:13" x14ac:dyDescent="0.25">
      <c r="A214" t="s">
        <v>90</v>
      </c>
      <c r="B214" t="s">
        <v>90</v>
      </c>
      <c r="C214" t="s">
        <v>91</v>
      </c>
      <c r="D214" s="1" t="s">
        <v>101</v>
      </c>
      <c r="E214" t="s">
        <v>93</v>
      </c>
      <c r="F214" t="s">
        <v>24</v>
      </c>
      <c r="G214">
        <v>13</v>
      </c>
      <c r="H214">
        <v>67990</v>
      </c>
      <c r="I214" s="5">
        <f>VLOOKUP(TrendSheetStgData[Population]&amp;TrendSheetStgData[Cost Basis]&amp;TrendSheetStgData[Period]&amp;TrendSheetStgData[Trend],TrendSheetPrdData[#All],9,FALSE)</f>
        <v>67990</v>
      </c>
      <c r="J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 s="5">
        <f>VLOOKUP(TrendSheetStgData[Population]&amp;TrendSheetStgData[Trend],Threshold[#All],4,FALSE)</f>
        <v>10</v>
      </c>
      <c r="L214" s="5">
        <f>VLOOKUP(TrendSheetStgData[Population]&amp;TrendSheetStgData[Trend],Threshold[#All],5,FALSE)</f>
        <v>5</v>
      </c>
      <c r="M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 spans="1:13" x14ac:dyDescent="0.25">
      <c r="A215" t="s">
        <v>90</v>
      </c>
      <c r="B215" t="s">
        <v>90</v>
      </c>
      <c r="C215" t="s">
        <v>91</v>
      </c>
      <c r="D215" s="1" t="s">
        <v>102</v>
      </c>
      <c r="E215" t="s">
        <v>93</v>
      </c>
      <c r="F215" t="s">
        <v>24</v>
      </c>
      <c r="G215">
        <v>13</v>
      </c>
      <c r="H215">
        <v>61532</v>
      </c>
      <c r="I215" s="5">
        <f>VLOOKUP(TrendSheetStgData[Population]&amp;TrendSheetStgData[Cost Basis]&amp;TrendSheetStgData[Period]&amp;TrendSheetStgData[Trend],TrendSheetPrdData[#All],9,FALSE)</f>
        <v>61532</v>
      </c>
      <c r="J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 s="5">
        <f>VLOOKUP(TrendSheetStgData[Population]&amp;TrendSheetStgData[Trend],Threshold[#All],4,FALSE)</f>
        <v>10</v>
      </c>
      <c r="L215" s="5">
        <f>VLOOKUP(TrendSheetStgData[Population]&amp;TrendSheetStgData[Trend],Threshold[#All],5,FALSE)</f>
        <v>5</v>
      </c>
      <c r="M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 spans="1:13" x14ac:dyDescent="0.25">
      <c r="A216" t="s">
        <v>90</v>
      </c>
      <c r="B216" t="s">
        <v>90</v>
      </c>
      <c r="C216" t="s">
        <v>91</v>
      </c>
      <c r="D216" s="1" t="s">
        <v>103</v>
      </c>
      <c r="E216" t="s">
        <v>93</v>
      </c>
      <c r="F216" t="s">
        <v>24</v>
      </c>
      <c r="G216">
        <v>13</v>
      </c>
      <c r="H216">
        <v>86858</v>
      </c>
      <c r="I216" s="5">
        <f>VLOOKUP(TrendSheetStgData[Population]&amp;TrendSheetStgData[Cost Basis]&amp;TrendSheetStgData[Period]&amp;TrendSheetStgData[Trend],TrendSheetPrdData[#All],9,FALSE)</f>
        <v>86858</v>
      </c>
      <c r="J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 s="5">
        <f>VLOOKUP(TrendSheetStgData[Population]&amp;TrendSheetStgData[Trend],Threshold[#All],4,FALSE)</f>
        <v>10</v>
      </c>
      <c r="L216" s="5">
        <f>VLOOKUP(TrendSheetStgData[Population]&amp;TrendSheetStgData[Trend],Threshold[#All],5,FALSE)</f>
        <v>5</v>
      </c>
      <c r="M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 spans="1:13" x14ac:dyDescent="0.25">
      <c r="A217" t="s">
        <v>90</v>
      </c>
      <c r="B217" t="s">
        <v>90</v>
      </c>
      <c r="C217" t="s">
        <v>91</v>
      </c>
      <c r="D217" s="1" t="s">
        <v>104</v>
      </c>
      <c r="E217" t="s">
        <v>93</v>
      </c>
      <c r="F217" t="s">
        <v>24</v>
      </c>
      <c r="G217">
        <v>13</v>
      </c>
      <c r="H217">
        <v>75212</v>
      </c>
      <c r="I217" s="5">
        <f>VLOOKUP(TrendSheetStgData[Population]&amp;TrendSheetStgData[Cost Basis]&amp;TrendSheetStgData[Period]&amp;TrendSheetStgData[Trend],TrendSheetPrdData[#All],9,FALSE)</f>
        <v>75212</v>
      </c>
      <c r="J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 s="5">
        <f>VLOOKUP(TrendSheetStgData[Population]&amp;TrendSheetStgData[Trend],Threshold[#All],4,FALSE)</f>
        <v>10</v>
      </c>
      <c r="L217" s="5">
        <f>VLOOKUP(TrendSheetStgData[Population]&amp;TrendSheetStgData[Trend],Threshold[#All],5,FALSE)</f>
        <v>5</v>
      </c>
      <c r="M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 spans="1:13" x14ac:dyDescent="0.25">
      <c r="A218" t="s">
        <v>90</v>
      </c>
      <c r="B218" t="s">
        <v>90</v>
      </c>
      <c r="C218" t="s">
        <v>91</v>
      </c>
      <c r="D218" s="1" t="s">
        <v>105</v>
      </c>
      <c r="E218" t="s">
        <v>93</v>
      </c>
      <c r="F218" t="s">
        <v>24</v>
      </c>
      <c r="G218">
        <v>13</v>
      </c>
      <c r="H218">
        <v>82690</v>
      </c>
      <c r="I218" s="5">
        <f>VLOOKUP(TrendSheetStgData[Population]&amp;TrendSheetStgData[Cost Basis]&amp;TrendSheetStgData[Period]&amp;TrendSheetStgData[Trend],TrendSheetPrdData[#All],9,FALSE)</f>
        <v>82690</v>
      </c>
      <c r="J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 s="5">
        <f>VLOOKUP(TrendSheetStgData[Population]&amp;TrendSheetStgData[Trend],Threshold[#All],4,FALSE)</f>
        <v>10</v>
      </c>
      <c r="L218" s="5">
        <f>VLOOKUP(TrendSheetStgData[Population]&amp;TrendSheetStgData[Trend],Threshold[#All],5,FALSE)</f>
        <v>5</v>
      </c>
      <c r="M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 spans="1:13" x14ac:dyDescent="0.25">
      <c r="A219" t="s">
        <v>90</v>
      </c>
      <c r="B219" t="s">
        <v>90</v>
      </c>
      <c r="C219" t="s">
        <v>91</v>
      </c>
      <c r="D219" s="1" t="s">
        <v>106</v>
      </c>
      <c r="E219" t="s">
        <v>93</v>
      </c>
      <c r="F219" t="s">
        <v>24</v>
      </c>
      <c r="G219">
        <v>13</v>
      </c>
      <c r="H219">
        <v>70924</v>
      </c>
      <c r="I219" s="5">
        <f>VLOOKUP(TrendSheetStgData[Population]&amp;TrendSheetStgData[Cost Basis]&amp;TrendSheetStgData[Period]&amp;TrendSheetStgData[Trend],TrendSheetPrdData[#All],9,FALSE)</f>
        <v>70924</v>
      </c>
      <c r="J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 s="5">
        <f>VLOOKUP(TrendSheetStgData[Population]&amp;TrendSheetStgData[Trend],Threshold[#All],4,FALSE)</f>
        <v>10</v>
      </c>
      <c r="L219" s="5">
        <f>VLOOKUP(TrendSheetStgData[Population]&amp;TrendSheetStgData[Trend],Threshold[#All],5,FALSE)</f>
        <v>5</v>
      </c>
      <c r="M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 spans="1:13" x14ac:dyDescent="0.25">
      <c r="A220" t="s">
        <v>90</v>
      </c>
      <c r="B220" t="s">
        <v>90</v>
      </c>
      <c r="C220" t="s">
        <v>91</v>
      </c>
      <c r="D220" s="1" t="s">
        <v>107</v>
      </c>
      <c r="E220" t="s">
        <v>108</v>
      </c>
      <c r="F220" t="s">
        <v>24</v>
      </c>
      <c r="G220">
        <v>13</v>
      </c>
      <c r="H220">
        <v>123806</v>
      </c>
      <c r="I220" s="5">
        <f>VLOOKUP(TrendSheetStgData[Population]&amp;TrendSheetStgData[Cost Basis]&amp;TrendSheetStgData[Period]&amp;TrendSheetStgData[Trend],TrendSheetPrdData[#All],9,FALSE)</f>
        <v>123806</v>
      </c>
      <c r="J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 s="5">
        <f>VLOOKUP(TrendSheetStgData[Population]&amp;TrendSheetStgData[Trend],Threshold[#All],4,FALSE)</f>
        <v>10</v>
      </c>
      <c r="L220" s="5">
        <f>VLOOKUP(TrendSheetStgData[Population]&amp;TrendSheetStgData[Trend],Threshold[#All],5,FALSE)</f>
        <v>5</v>
      </c>
      <c r="M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 spans="1:13" x14ac:dyDescent="0.25">
      <c r="A221" t="s">
        <v>90</v>
      </c>
      <c r="B221" t="s">
        <v>90</v>
      </c>
      <c r="C221" t="s">
        <v>91</v>
      </c>
      <c r="D221" s="1" t="s">
        <v>109</v>
      </c>
      <c r="E221" t="s">
        <v>108</v>
      </c>
      <c r="F221" t="s">
        <v>24</v>
      </c>
      <c r="G221">
        <v>13</v>
      </c>
      <c r="H221">
        <v>66874</v>
      </c>
      <c r="I221" s="5">
        <f>VLOOKUP(TrendSheetStgData[Population]&amp;TrendSheetStgData[Cost Basis]&amp;TrendSheetStgData[Period]&amp;TrendSheetStgData[Trend],TrendSheetPrdData[#All],9,FALSE)</f>
        <v>66874</v>
      </c>
      <c r="J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 s="5">
        <f>VLOOKUP(TrendSheetStgData[Population]&amp;TrendSheetStgData[Trend],Threshold[#All],4,FALSE)</f>
        <v>10</v>
      </c>
      <c r="L221" s="5">
        <f>VLOOKUP(TrendSheetStgData[Population]&amp;TrendSheetStgData[Trend],Threshold[#All],5,FALSE)</f>
        <v>5</v>
      </c>
      <c r="M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 spans="1:13" x14ac:dyDescent="0.25">
      <c r="A222" t="s">
        <v>90</v>
      </c>
      <c r="B222" t="s">
        <v>90</v>
      </c>
      <c r="C222" t="s">
        <v>91</v>
      </c>
      <c r="D222" s="1" t="s">
        <v>110</v>
      </c>
      <c r="E222" t="s">
        <v>108</v>
      </c>
      <c r="F222" t="s">
        <v>24</v>
      </c>
      <c r="G222">
        <v>13</v>
      </c>
      <c r="H222">
        <v>64171</v>
      </c>
      <c r="I222" s="5">
        <f>VLOOKUP(TrendSheetStgData[Population]&amp;TrendSheetStgData[Cost Basis]&amp;TrendSheetStgData[Period]&amp;TrendSheetStgData[Trend],TrendSheetPrdData[#All],9,FALSE)</f>
        <v>64171</v>
      </c>
      <c r="J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 s="5">
        <f>VLOOKUP(TrendSheetStgData[Population]&amp;TrendSheetStgData[Trend],Threshold[#All],4,FALSE)</f>
        <v>10</v>
      </c>
      <c r="L222" s="5">
        <f>VLOOKUP(TrendSheetStgData[Population]&amp;TrendSheetStgData[Trend],Threshold[#All],5,FALSE)</f>
        <v>5</v>
      </c>
      <c r="M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 spans="1:13" x14ac:dyDescent="0.25">
      <c r="A223" t="s">
        <v>90</v>
      </c>
      <c r="B223" t="s">
        <v>90</v>
      </c>
      <c r="C223" t="s">
        <v>91</v>
      </c>
      <c r="D223" s="1" t="s">
        <v>92</v>
      </c>
      <c r="E223" t="s">
        <v>93</v>
      </c>
      <c r="F223" t="s">
        <v>25</v>
      </c>
      <c r="G223">
        <v>14</v>
      </c>
      <c r="H223">
        <v>207</v>
      </c>
      <c r="I223" s="5">
        <f>VLOOKUP(TrendSheetStgData[Population]&amp;TrendSheetStgData[Cost Basis]&amp;TrendSheetStgData[Period]&amp;TrendSheetStgData[Trend],TrendSheetPrdData[#All],9,FALSE)</f>
        <v>207</v>
      </c>
      <c r="J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 s="5">
        <f>VLOOKUP(TrendSheetStgData[Population]&amp;TrendSheetStgData[Trend],Threshold[#All],4,FALSE)</f>
        <v>10</v>
      </c>
      <c r="L223" s="5">
        <f>VLOOKUP(TrendSheetStgData[Population]&amp;TrendSheetStgData[Trend],Threshold[#All],5,FALSE)</f>
        <v>5</v>
      </c>
      <c r="M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4" spans="1:13" x14ac:dyDescent="0.25">
      <c r="A224" t="s">
        <v>90</v>
      </c>
      <c r="B224" t="s">
        <v>90</v>
      </c>
      <c r="C224" t="s">
        <v>91</v>
      </c>
      <c r="D224" s="1" t="s">
        <v>94</v>
      </c>
      <c r="E224" t="s">
        <v>93</v>
      </c>
      <c r="F224" t="s">
        <v>25</v>
      </c>
      <c r="G224">
        <v>14</v>
      </c>
      <c r="H224">
        <v>172</v>
      </c>
      <c r="I224" s="5">
        <f>VLOOKUP(TrendSheetStgData[Population]&amp;TrendSheetStgData[Cost Basis]&amp;TrendSheetStgData[Period]&amp;TrendSheetStgData[Trend],TrendSheetPrdData[#All],9,FALSE)</f>
        <v>172</v>
      </c>
      <c r="J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 s="5">
        <f>VLOOKUP(TrendSheetStgData[Population]&amp;TrendSheetStgData[Trend],Threshold[#All],4,FALSE)</f>
        <v>10</v>
      </c>
      <c r="L224" s="5">
        <f>VLOOKUP(TrendSheetStgData[Population]&amp;TrendSheetStgData[Trend],Threshold[#All],5,FALSE)</f>
        <v>5</v>
      </c>
      <c r="M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 spans="1:13" x14ac:dyDescent="0.25">
      <c r="A225" t="s">
        <v>90</v>
      </c>
      <c r="B225" t="s">
        <v>90</v>
      </c>
      <c r="C225" t="s">
        <v>91</v>
      </c>
      <c r="D225" s="1" t="s">
        <v>95</v>
      </c>
      <c r="E225" t="s">
        <v>93</v>
      </c>
      <c r="F225" t="s">
        <v>25</v>
      </c>
      <c r="G225">
        <v>14</v>
      </c>
      <c r="H225">
        <v>212</v>
      </c>
      <c r="I225" s="5">
        <f>VLOOKUP(TrendSheetStgData[Population]&amp;TrendSheetStgData[Cost Basis]&amp;TrendSheetStgData[Period]&amp;TrendSheetStgData[Trend],TrendSheetPrdData[#All],9,FALSE)</f>
        <v>212</v>
      </c>
      <c r="J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 s="5">
        <f>VLOOKUP(TrendSheetStgData[Population]&amp;TrendSheetStgData[Trend],Threshold[#All],4,FALSE)</f>
        <v>10</v>
      </c>
      <c r="L225" s="5">
        <f>VLOOKUP(TrendSheetStgData[Population]&amp;TrendSheetStgData[Trend],Threshold[#All],5,FALSE)</f>
        <v>5</v>
      </c>
      <c r="M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6" spans="1:13" x14ac:dyDescent="0.25">
      <c r="A226" t="s">
        <v>90</v>
      </c>
      <c r="B226" t="s">
        <v>90</v>
      </c>
      <c r="C226" t="s">
        <v>91</v>
      </c>
      <c r="D226" s="1" t="s">
        <v>96</v>
      </c>
      <c r="E226" t="s">
        <v>93</v>
      </c>
      <c r="F226" t="s">
        <v>25</v>
      </c>
      <c r="G226">
        <v>14</v>
      </c>
      <c r="H226">
        <v>261</v>
      </c>
      <c r="I226" s="5">
        <f>VLOOKUP(TrendSheetStgData[Population]&amp;TrendSheetStgData[Cost Basis]&amp;TrendSheetStgData[Period]&amp;TrendSheetStgData[Trend],TrendSheetPrdData[#All],9,FALSE)</f>
        <v>261</v>
      </c>
      <c r="J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 s="5">
        <f>VLOOKUP(TrendSheetStgData[Population]&amp;TrendSheetStgData[Trend],Threshold[#All],4,FALSE)</f>
        <v>10</v>
      </c>
      <c r="L226" s="5">
        <f>VLOOKUP(TrendSheetStgData[Population]&amp;TrendSheetStgData[Trend],Threshold[#All],5,FALSE)</f>
        <v>5</v>
      </c>
      <c r="M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 spans="1:13" x14ac:dyDescent="0.25">
      <c r="A227" t="s">
        <v>90</v>
      </c>
      <c r="B227" t="s">
        <v>90</v>
      </c>
      <c r="C227" t="s">
        <v>91</v>
      </c>
      <c r="D227" s="1" t="s">
        <v>97</v>
      </c>
      <c r="E227" t="s">
        <v>93</v>
      </c>
      <c r="F227" t="s">
        <v>25</v>
      </c>
      <c r="G227">
        <v>14</v>
      </c>
      <c r="H227">
        <v>156</v>
      </c>
      <c r="I227" s="5">
        <f>VLOOKUP(TrendSheetStgData[Population]&amp;TrendSheetStgData[Cost Basis]&amp;TrendSheetStgData[Period]&amp;TrendSheetStgData[Trend],TrendSheetPrdData[#All],9,FALSE)</f>
        <v>156</v>
      </c>
      <c r="J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 s="5">
        <f>VLOOKUP(TrendSheetStgData[Population]&amp;TrendSheetStgData[Trend],Threshold[#All],4,FALSE)</f>
        <v>10</v>
      </c>
      <c r="L227" s="5">
        <f>VLOOKUP(TrendSheetStgData[Population]&amp;TrendSheetStgData[Trend],Threshold[#All],5,FALSE)</f>
        <v>5</v>
      </c>
      <c r="M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8" spans="1:13" x14ac:dyDescent="0.25">
      <c r="A228" t="s">
        <v>90</v>
      </c>
      <c r="B228" t="s">
        <v>90</v>
      </c>
      <c r="C228" t="s">
        <v>91</v>
      </c>
      <c r="D228" s="1" t="s">
        <v>98</v>
      </c>
      <c r="E228" t="s">
        <v>93</v>
      </c>
      <c r="F228" t="s">
        <v>25</v>
      </c>
      <c r="G228">
        <v>14</v>
      </c>
      <c r="H228">
        <v>171</v>
      </c>
      <c r="I228" s="5">
        <f>VLOOKUP(TrendSheetStgData[Population]&amp;TrendSheetStgData[Cost Basis]&amp;TrendSheetStgData[Period]&amp;TrendSheetStgData[Trend],TrendSheetPrdData[#All],9,FALSE)</f>
        <v>171</v>
      </c>
      <c r="J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8" s="5">
        <f>VLOOKUP(TrendSheetStgData[Population]&amp;TrendSheetStgData[Trend],Threshold[#All],4,FALSE)</f>
        <v>10</v>
      </c>
      <c r="L228" s="5">
        <f>VLOOKUP(TrendSheetStgData[Population]&amp;TrendSheetStgData[Trend],Threshold[#All],5,FALSE)</f>
        <v>5</v>
      </c>
      <c r="M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 spans="1:13" x14ac:dyDescent="0.25">
      <c r="A229" t="s">
        <v>90</v>
      </c>
      <c r="B229" t="s">
        <v>90</v>
      </c>
      <c r="C229" t="s">
        <v>91</v>
      </c>
      <c r="D229" s="1" t="s">
        <v>99</v>
      </c>
      <c r="E229" t="s">
        <v>93</v>
      </c>
      <c r="F229" t="s">
        <v>25</v>
      </c>
      <c r="G229">
        <v>14</v>
      </c>
      <c r="H229">
        <v>244</v>
      </c>
      <c r="I229" s="5">
        <f>VLOOKUP(TrendSheetStgData[Population]&amp;TrendSheetStgData[Cost Basis]&amp;TrendSheetStgData[Period]&amp;TrendSheetStgData[Trend],TrendSheetPrdData[#All],9,FALSE)</f>
        <v>244</v>
      </c>
      <c r="J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 s="5">
        <f>VLOOKUP(TrendSheetStgData[Population]&amp;TrendSheetStgData[Trend],Threshold[#All],4,FALSE)</f>
        <v>10</v>
      </c>
      <c r="L229" s="5">
        <f>VLOOKUP(TrendSheetStgData[Population]&amp;TrendSheetStgData[Trend],Threshold[#All],5,FALSE)</f>
        <v>5</v>
      </c>
      <c r="M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 spans="1:13" x14ac:dyDescent="0.25">
      <c r="A230" t="s">
        <v>90</v>
      </c>
      <c r="B230" t="s">
        <v>90</v>
      </c>
      <c r="C230" t="s">
        <v>91</v>
      </c>
      <c r="D230" s="1" t="s">
        <v>100</v>
      </c>
      <c r="E230" t="s">
        <v>93</v>
      </c>
      <c r="F230" t="s">
        <v>25</v>
      </c>
      <c r="G230">
        <v>14</v>
      </c>
      <c r="H230">
        <v>160</v>
      </c>
      <c r="I230" s="5">
        <f>VLOOKUP(TrendSheetStgData[Population]&amp;TrendSheetStgData[Cost Basis]&amp;TrendSheetStgData[Period]&amp;TrendSheetStgData[Trend],TrendSheetPrdData[#All],9,FALSE)</f>
        <v>160</v>
      </c>
      <c r="J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 s="5">
        <f>VLOOKUP(TrendSheetStgData[Population]&amp;TrendSheetStgData[Trend],Threshold[#All],4,FALSE)</f>
        <v>10</v>
      </c>
      <c r="L230" s="5">
        <f>VLOOKUP(TrendSheetStgData[Population]&amp;TrendSheetStgData[Trend],Threshold[#All],5,FALSE)</f>
        <v>5</v>
      </c>
      <c r="M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 spans="1:13" x14ac:dyDescent="0.25">
      <c r="A231" t="s">
        <v>90</v>
      </c>
      <c r="B231" t="s">
        <v>90</v>
      </c>
      <c r="C231" t="s">
        <v>91</v>
      </c>
      <c r="D231" s="1" t="s">
        <v>101</v>
      </c>
      <c r="E231" t="s">
        <v>93</v>
      </c>
      <c r="F231" t="s">
        <v>25</v>
      </c>
      <c r="G231">
        <v>14</v>
      </c>
      <c r="H231">
        <v>154</v>
      </c>
      <c r="I231" s="5">
        <f>VLOOKUP(TrendSheetStgData[Population]&amp;TrendSheetStgData[Cost Basis]&amp;TrendSheetStgData[Period]&amp;TrendSheetStgData[Trend],TrendSheetPrdData[#All],9,FALSE)</f>
        <v>154</v>
      </c>
      <c r="J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 s="5">
        <f>VLOOKUP(TrendSheetStgData[Population]&amp;TrendSheetStgData[Trend],Threshold[#All],4,FALSE)</f>
        <v>10</v>
      </c>
      <c r="L231" s="5">
        <f>VLOOKUP(TrendSheetStgData[Population]&amp;TrendSheetStgData[Trend],Threshold[#All],5,FALSE)</f>
        <v>5</v>
      </c>
      <c r="M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 spans="1:13" x14ac:dyDescent="0.25">
      <c r="A232" t="s">
        <v>90</v>
      </c>
      <c r="B232" t="s">
        <v>90</v>
      </c>
      <c r="C232" t="s">
        <v>91</v>
      </c>
      <c r="D232" s="1" t="s">
        <v>102</v>
      </c>
      <c r="E232" t="s">
        <v>93</v>
      </c>
      <c r="F232" t="s">
        <v>25</v>
      </c>
      <c r="G232">
        <v>14</v>
      </c>
      <c r="H232">
        <v>141</v>
      </c>
      <c r="I232" s="5">
        <f>VLOOKUP(TrendSheetStgData[Population]&amp;TrendSheetStgData[Cost Basis]&amp;TrendSheetStgData[Period]&amp;TrendSheetStgData[Trend],TrendSheetPrdData[#All],9,FALSE)</f>
        <v>141</v>
      </c>
      <c r="J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 s="5">
        <f>VLOOKUP(TrendSheetStgData[Population]&amp;TrendSheetStgData[Trend],Threshold[#All],4,FALSE)</f>
        <v>10</v>
      </c>
      <c r="L232" s="5">
        <f>VLOOKUP(TrendSheetStgData[Population]&amp;TrendSheetStgData[Trend],Threshold[#All],5,FALSE)</f>
        <v>5</v>
      </c>
      <c r="M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 spans="1:13" x14ac:dyDescent="0.25">
      <c r="A233" t="s">
        <v>90</v>
      </c>
      <c r="B233" t="s">
        <v>90</v>
      </c>
      <c r="C233" t="s">
        <v>91</v>
      </c>
      <c r="D233" s="1" t="s">
        <v>103</v>
      </c>
      <c r="E233" t="s">
        <v>93</v>
      </c>
      <c r="F233" t="s">
        <v>25</v>
      </c>
      <c r="G233">
        <v>14</v>
      </c>
      <c r="H233">
        <v>192</v>
      </c>
      <c r="I233" s="5">
        <f>VLOOKUP(TrendSheetStgData[Population]&amp;TrendSheetStgData[Cost Basis]&amp;TrendSheetStgData[Period]&amp;TrendSheetStgData[Trend],TrendSheetPrdData[#All],9,FALSE)</f>
        <v>192</v>
      </c>
      <c r="J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 s="5">
        <f>VLOOKUP(TrendSheetStgData[Population]&amp;TrendSheetStgData[Trend],Threshold[#All],4,FALSE)</f>
        <v>10</v>
      </c>
      <c r="L233" s="5">
        <f>VLOOKUP(TrendSheetStgData[Population]&amp;TrendSheetStgData[Trend],Threshold[#All],5,FALSE)</f>
        <v>5</v>
      </c>
      <c r="M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 spans="1:13" x14ac:dyDescent="0.25">
      <c r="A234" t="s">
        <v>90</v>
      </c>
      <c r="B234" t="s">
        <v>90</v>
      </c>
      <c r="C234" t="s">
        <v>91</v>
      </c>
      <c r="D234" s="1" t="s">
        <v>104</v>
      </c>
      <c r="E234" t="s">
        <v>93</v>
      </c>
      <c r="F234" t="s">
        <v>25</v>
      </c>
      <c r="G234">
        <v>14</v>
      </c>
      <c r="H234">
        <v>179</v>
      </c>
      <c r="I234" s="5">
        <f>VLOOKUP(TrendSheetStgData[Population]&amp;TrendSheetStgData[Cost Basis]&amp;TrendSheetStgData[Period]&amp;TrendSheetStgData[Trend],TrendSheetPrdData[#All],9,FALSE)</f>
        <v>179</v>
      </c>
      <c r="J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 s="5">
        <f>VLOOKUP(TrendSheetStgData[Population]&amp;TrendSheetStgData[Trend],Threshold[#All],4,FALSE)</f>
        <v>10</v>
      </c>
      <c r="L234" s="5">
        <f>VLOOKUP(TrendSheetStgData[Population]&amp;TrendSheetStgData[Trend],Threshold[#All],5,FALSE)</f>
        <v>5</v>
      </c>
      <c r="M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 spans="1:13" x14ac:dyDescent="0.25">
      <c r="A235" t="s">
        <v>90</v>
      </c>
      <c r="B235" t="s">
        <v>90</v>
      </c>
      <c r="C235" t="s">
        <v>91</v>
      </c>
      <c r="D235" s="1" t="s">
        <v>105</v>
      </c>
      <c r="E235" t="s">
        <v>93</v>
      </c>
      <c r="F235" t="s">
        <v>25</v>
      </c>
      <c r="G235">
        <v>14</v>
      </c>
      <c r="H235">
        <v>190</v>
      </c>
      <c r="I235" s="5">
        <f>VLOOKUP(TrendSheetStgData[Population]&amp;TrendSheetStgData[Cost Basis]&amp;TrendSheetStgData[Period]&amp;TrendSheetStgData[Trend],TrendSheetPrdData[#All],9,FALSE)</f>
        <v>190</v>
      </c>
      <c r="J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 s="5">
        <f>VLOOKUP(TrendSheetStgData[Population]&amp;TrendSheetStgData[Trend],Threshold[#All],4,FALSE)</f>
        <v>10</v>
      </c>
      <c r="L235" s="5">
        <f>VLOOKUP(TrendSheetStgData[Population]&amp;TrendSheetStgData[Trend],Threshold[#All],5,FALSE)</f>
        <v>5</v>
      </c>
      <c r="M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6" spans="1:13" x14ac:dyDescent="0.25">
      <c r="A236" t="s">
        <v>90</v>
      </c>
      <c r="B236" t="s">
        <v>90</v>
      </c>
      <c r="C236" t="s">
        <v>91</v>
      </c>
      <c r="D236" s="1" t="s">
        <v>106</v>
      </c>
      <c r="E236" t="s">
        <v>93</v>
      </c>
      <c r="F236" t="s">
        <v>25</v>
      </c>
      <c r="G236">
        <v>14</v>
      </c>
      <c r="H236">
        <v>187</v>
      </c>
      <c r="I236" s="5">
        <f>VLOOKUP(TrendSheetStgData[Population]&amp;TrendSheetStgData[Cost Basis]&amp;TrendSheetStgData[Period]&amp;TrendSheetStgData[Trend],TrendSheetPrdData[#All],9,FALSE)</f>
        <v>187</v>
      </c>
      <c r="J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6" s="5">
        <f>VLOOKUP(TrendSheetStgData[Population]&amp;TrendSheetStgData[Trend],Threshold[#All],4,FALSE)</f>
        <v>10</v>
      </c>
      <c r="L236" s="5">
        <f>VLOOKUP(TrendSheetStgData[Population]&amp;TrendSheetStgData[Trend],Threshold[#All],5,FALSE)</f>
        <v>5</v>
      </c>
      <c r="M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 spans="1:13" x14ac:dyDescent="0.25">
      <c r="A237" t="s">
        <v>90</v>
      </c>
      <c r="B237" t="s">
        <v>90</v>
      </c>
      <c r="C237" t="s">
        <v>91</v>
      </c>
      <c r="D237" s="1" t="s">
        <v>107</v>
      </c>
      <c r="E237" t="s">
        <v>108</v>
      </c>
      <c r="F237" t="s">
        <v>25</v>
      </c>
      <c r="G237">
        <v>14</v>
      </c>
      <c r="H237">
        <v>262</v>
      </c>
      <c r="I237" s="5">
        <f>VLOOKUP(TrendSheetStgData[Population]&amp;TrendSheetStgData[Cost Basis]&amp;TrendSheetStgData[Period]&amp;TrendSheetStgData[Trend],TrendSheetPrdData[#All],9,FALSE)</f>
        <v>262</v>
      </c>
      <c r="J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 s="5">
        <f>VLOOKUP(TrendSheetStgData[Population]&amp;TrendSheetStgData[Trend],Threshold[#All],4,FALSE)</f>
        <v>10</v>
      </c>
      <c r="L237" s="5">
        <f>VLOOKUP(TrendSheetStgData[Population]&amp;TrendSheetStgData[Trend],Threshold[#All],5,FALSE)</f>
        <v>5</v>
      </c>
      <c r="M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 spans="1:13" x14ac:dyDescent="0.25">
      <c r="A238" t="s">
        <v>90</v>
      </c>
      <c r="B238" t="s">
        <v>90</v>
      </c>
      <c r="C238" t="s">
        <v>91</v>
      </c>
      <c r="D238" s="1" t="s">
        <v>109</v>
      </c>
      <c r="E238" t="s">
        <v>108</v>
      </c>
      <c r="F238" t="s">
        <v>25</v>
      </c>
      <c r="G238">
        <v>14</v>
      </c>
      <c r="H238">
        <v>150</v>
      </c>
      <c r="I238" s="5">
        <f>VLOOKUP(TrendSheetStgData[Population]&amp;TrendSheetStgData[Cost Basis]&amp;TrendSheetStgData[Period]&amp;TrendSheetStgData[Trend],TrendSheetPrdData[#All],9,FALSE)</f>
        <v>150</v>
      </c>
      <c r="J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8" s="5">
        <f>VLOOKUP(TrendSheetStgData[Population]&amp;TrendSheetStgData[Trend],Threshold[#All],4,FALSE)</f>
        <v>10</v>
      </c>
      <c r="L238" s="5">
        <f>VLOOKUP(TrendSheetStgData[Population]&amp;TrendSheetStgData[Trend],Threshold[#All],5,FALSE)</f>
        <v>5</v>
      </c>
      <c r="M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 spans="1:13" x14ac:dyDescent="0.25">
      <c r="A239" t="s">
        <v>90</v>
      </c>
      <c r="B239" t="s">
        <v>90</v>
      </c>
      <c r="C239" t="s">
        <v>91</v>
      </c>
      <c r="D239" s="1" t="s">
        <v>110</v>
      </c>
      <c r="E239" t="s">
        <v>108</v>
      </c>
      <c r="F239" t="s">
        <v>25</v>
      </c>
      <c r="G239">
        <v>14</v>
      </c>
      <c r="H239">
        <v>141</v>
      </c>
      <c r="I239" s="5">
        <f>VLOOKUP(TrendSheetStgData[Population]&amp;TrendSheetStgData[Cost Basis]&amp;TrendSheetStgData[Period]&amp;TrendSheetStgData[Trend],TrendSheetPrdData[#All],9,FALSE)</f>
        <v>141</v>
      </c>
      <c r="J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 s="5">
        <f>VLOOKUP(TrendSheetStgData[Population]&amp;TrendSheetStgData[Trend],Threshold[#All],4,FALSE)</f>
        <v>10</v>
      </c>
      <c r="L239" s="5">
        <f>VLOOKUP(TrendSheetStgData[Population]&amp;TrendSheetStgData[Trend],Threshold[#All],5,FALSE)</f>
        <v>5</v>
      </c>
      <c r="M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 spans="1:13" x14ac:dyDescent="0.25">
      <c r="A240" t="s">
        <v>90</v>
      </c>
      <c r="B240" t="s">
        <v>90</v>
      </c>
      <c r="C240" t="s">
        <v>91</v>
      </c>
      <c r="D240" s="1" t="s">
        <v>92</v>
      </c>
      <c r="E240" t="s">
        <v>93</v>
      </c>
      <c r="F240" t="s">
        <v>26</v>
      </c>
      <c r="G240">
        <v>15</v>
      </c>
      <c r="H240">
        <v>198291</v>
      </c>
      <c r="I240" s="5">
        <f>VLOOKUP(TrendSheetStgData[Population]&amp;TrendSheetStgData[Cost Basis]&amp;TrendSheetStgData[Period]&amp;TrendSheetStgData[Trend],TrendSheetPrdData[#All],9,FALSE)</f>
        <v>198291</v>
      </c>
      <c r="J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 s="5">
        <f>VLOOKUP(TrendSheetStgData[Population]&amp;TrendSheetStgData[Trend],Threshold[#All],4,FALSE)</f>
        <v>10</v>
      </c>
      <c r="L240" s="5">
        <f>VLOOKUP(TrendSheetStgData[Population]&amp;TrendSheetStgData[Trend],Threshold[#All],5,FALSE)</f>
        <v>5</v>
      </c>
      <c r="M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 spans="1:13" x14ac:dyDescent="0.25">
      <c r="A241" t="s">
        <v>90</v>
      </c>
      <c r="B241" t="s">
        <v>90</v>
      </c>
      <c r="C241" t="s">
        <v>91</v>
      </c>
      <c r="D241" s="1" t="s">
        <v>94</v>
      </c>
      <c r="E241" t="s">
        <v>93</v>
      </c>
      <c r="F241" t="s">
        <v>26</v>
      </c>
      <c r="G241">
        <v>15</v>
      </c>
      <c r="H241">
        <v>247231</v>
      </c>
      <c r="I241" s="5">
        <f>VLOOKUP(TrendSheetStgData[Population]&amp;TrendSheetStgData[Cost Basis]&amp;TrendSheetStgData[Period]&amp;TrendSheetStgData[Trend],TrendSheetPrdData[#All],9,FALSE)</f>
        <v>247231</v>
      </c>
      <c r="J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 s="5">
        <f>VLOOKUP(TrendSheetStgData[Population]&amp;TrendSheetStgData[Trend],Threshold[#All],4,FALSE)</f>
        <v>10</v>
      </c>
      <c r="L241" s="5">
        <f>VLOOKUP(TrendSheetStgData[Population]&amp;TrendSheetStgData[Trend],Threshold[#All],5,FALSE)</f>
        <v>5</v>
      </c>
      <c r="M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 spans="1:13" x14ac:dyDescent="0.25">
      <c r="A242" t="s">
        <v>90</v>
      </c>
      <c r="B242" t="s">
        <v>90</v>
      </c>
      <c r="C242" t="s">
        <v>91</v>
      </c>
      <c r="D242" s="1" t="s">
        <v>95</v>
      </c>
      <c r="E242" t="s">
        <v>93</v>
      </c>
      <c r="F242" t="s">
        <v>26</v>
      </c>
      <c r="G242">
        <v>15</v>
      </c>
      <c r="H242">
        <v>219396</v>
      </c>
      <c r="I242" s="5">
        <f>VLOOKUP(TrendSheetStgData[Population]&amp;TrendSheetStgData[Cost Basis]&amp;TrendSheetStgData[Period]&amp;TrendSheetStgData[Trend],TrendSheetPrdData[#All],9,FALSE)</f>
        <v>219396</v>
      </c>
      <c r="J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 s="5">
        <f>VLOOKUP(TrendSheetStgData[Population]&amp;TrendSheetStgData[Trend],Threshold[#All],4,FALSE)</f>
        <v>10</v>
      </c>
      <c r="L242" s="5">
        <f>VLOOKUP(TrendSheetStgData[Population]&amp;TrendSheetStgData[Trend],Threshold[#All],5,FALSE)</f>
        <v>5</v>
      </c>
      <c r="M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3" spans="1:13" x14ac:dyDescent="0.25">
      <c r="A243" t="s">
        <v>90</v>
      </c>
      <c r="B243" t="s">
        <v>90</v>
      </c>
      <c r="C243" t="s">
        <v>91</v>
      </c>
      <c r="D243" s="1" t="s">
        <v>96</v>
      </c>
      <c r="E243" t="s">
        <v>93</v>
      </c>
      <c r="F243" t="s">
        <v>26</v>
      </c>
      <c r="G243">
        <v>15</v>
      </c>
      <c r="H243">
        <v>215632</v>
      </c>
      <c r="I243" s="5">
        <f>VLOOKUP(TrendSheetStgData[Population]&amp;TrendSheetStgData[Cost Basis]&amp;TrendSheetStgData[Period]&amp;TrendSheetStgData[Trend],TrendSheetPrdData[#All],9,FALSE)</f>
        <v>215632</v>
      </c>
      <c r="J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3" s="5">
        <f>VLOOKUP(TrendSheetStgData[Population]&amp;TrendSheetStgData[Trend],Threshold[#All],4,FALSE)</f>
        <v>10</v>
      </c>
      <c r="L243" s="5">
        <f>VLOOKUP(TrendSheetStgData[Population]&amp;TrendSheetStgData[Trend],Threshold[#All],5,FALSE)</f>
        <v>5</v>
      </c>
      <c r="M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 spans="1:13" x14ac:dyDescent="0.25">
      <c r="A244" t="s">
        <v>90</v>
      </c>
      <c r="B244" t="s">
        <v>90</v>
      </c>
      <c r="C244" t="s">
        <v>91</v>
      </c>
      <c r="D244" s="1" t="s">
        <v>97</v>
      </c>
      <c r="E244" t="s">
        <v>93</v>
      </c>
      <c r="F244" t="s">
        <v>26</v>
      </c>
      <c r="G244">
        <v>15</v>
      </c>
      <c r="H244">
        <v>234054</v>
      </c>
      <c r="I244" s="5">
        <f>VLOOKUP(TrendSheetStgData[Population]&amp;TrendSheetStgData[Cost Basis]&amp;TrendSheetStgData[Period]&amp;TrendSheetStgData[Trend],TrendSheetPrdData[#All],9,FALSE)</f>
        <v>234054</v>
      </c>
      <c r="J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 s="5">
        <f>VLOOKUP(TrendSheetStgData[Population]&amp;TrendSheetStgData[Trend],Threshold[#All],4,FALSE)</f>
        <v>10</v>
      </c>
      <c r="L244" s="5">
        <f>VLOOKUP(TrendSheetStgData[Population]&amp;TrendSheetStgData[Trend],Threshold[#All],5,FALSE)</f>
        <v>5</v>
      </c>
      <c r="M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 spans="1:13" x14ac:dyDescent="0.25">
      <c r="A245" t="s">
        <v>90</v>
      </c>
      <c r="B245" t="s">
        <v>90</v>
      </c>
      <c r="C245" t="s">
        <v>91</v>
      </c>
      <c r="D245" s="1" t="s">
        <v>98</v>
      </c>
      <c r="E245" t="s">
        <v>93</v>
      </c>
      <c r="F245" t="s">
        <v>26</v>
      </c>
      <c r="G245">
        <v>15</v>
      </c>
      <c r="H245">
        <v>195858</v>
      </c>
      <c r="I245" s="5">
        <f>VLOOKUP(TrendSheetStgData[Population]&amp;TrendSheetStgData[Cost Basis]&amp;TrendSheetStgData[Period]&amp;TrendSheetStgData[Trend],TrendSheetPrdData[#All],9,FALSE)</f>
        <v>195858</v>
      </c>
      <c r="J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 s="5">
        <f>VLOOKUP(TrendSheetStgData[Population]&amp;TrendSheetStgData[Trend],Threshold[#All],4,FALSE)</f>
        <v>10</v>
      </c>
      <c r="L245" s="5">
        <f>VLOOKUP(TrendSheetStgData[Population]&amp;TrendSheetStgData[Trend],Threshold[#All],5,FALSE)</f>
        <v>5</v>
      </c>
      <c r="M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 spans="1:13" x14ac:dyDescent="0.25">
      <c r="A246" t="s">
        <v>90</v>
      </c>
      <c r="B246" t="s">
        <v>90</v>
      </c>
      <c r="C246" t="s">
        <v>91</v>
      </c>
      <c r="D246" s="1" t="s">
        <v>99</v>
      </c>
      <c r="E246" t="s">
        <v>93</v>
      </c>
      <c r="F246" t="s">
        <v>26</v>
      </c>
      <c r="G246">
        <v>15</v>
      </c>
      <c r="H246">
        <v>194675</v>
      </c>
      <c r="I246" s="5">
        <f>VLOOKUP(TrendSheetStgData[Population]&amp;TrendSheetStgData[Cost Basis]&amp;TrendSheetStgData[Period]&amp;TrendSheetStgData[Trend],TrendSheetPrdData[#All],9,FALSE)</f>
        <v>194675</v>
      </c>
      <c r="J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 s="5">
        <f>VLOOKUP(TrendSheetStgData[Population]&amp;TrendSheetStgData[Trend],Threshold[#All],4,FALSE)</f>
        <v>10</v>
      </c>
      <c r="L246" s="5">
        <f>VLOOKUP(TrendSheetStgData[Population]&amp;TrendSheetStgData[Trend],Threshold[#All],5,FALSE)</f>
        <v>5</v>
      </c>
      <c r="M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7" spans="1:13" x14ac:dyDescent="0.25">
      <c r="A247" t="s">
        <v>90</v>
      </c>
      <c r="B247" t="s">
        <v>90</v>
      </c>
      <c r="C247" t="s">
        <v>91</v>
      </c>
      <c r="D247" s="1" t="s">
        <v>100</v>
      </c>
      <c r="E247" t="s">
        <v>93</v>
      </c>
      <c r="F247" t="s">
        <v>26</v>
      </c>
      <c r="G247">
        <v>15</v>
      </c>
      <c r="H247">
        <v>278054</v>
      </c>
      <c r="I247" s="5">
        <f>VLOOKUP(TrendSheetStgData[Population]&amp;TrendSheetStgData[Cost Basis]&amp;TrendSheetStgData[Period]&amp;TrendSheetStgData[Trend],TrendSheetPrdData[#All],9,FALSE)</f>
        <v>278054</v>
      </c>
      <c r="J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7" s="5">
        <f>VLOOKUP(TrendSheetStgData[Population]&amp;TrendSheetStgData[Trend],Threshold[#All],4,FALSE)</f>
        <v>10</v>
      </c>
      <c r="L247" s="5">
        <f>VLOOKUP(TrendSheetStgData[Population]&amp;TrendSheetStgData[Trend],Threshold[#All],5,FALSE)</f>
        <v>5</v>
      </c>
      <c r="M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 spans="1:13" x14ac:dyDescent="0.25">
      <c r="A248" t="s">
        <v>90</v>
      </c>
      <c r="B248" t="s">
        <v>90</v>
      </c>
      <c r="C248" t="s">
        <v>91</v>
      </c>
      <c r="D248" s="1" t="s">
        <v>101</v>
      </c>
      <c r="E248" t="s">
        <v>93</v>
      </c>
      <c r="F248" t="s">
        <v>26</v>
      </c>
      <c r="G248">
        <v>15</v>
      </c>
      <c r="H248">
        <v>209462</v>
      </c>
      <c r="I248" s="5">
        <f>VLOOKUP(TrendSheetStgData[Population]&amp;TrendSheetStgData[Cost Basis]&amp;TrendSheetStgData[Period]&amp;TrendSheetStgData[Trend],TrendSheetPrdData[#All],9,FALSE)</f>
        <v>209462</v>
      </c>
      <c r="J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 s="5">
        <f>VLOOKUP(TrendSheetStgData[Population]&amp;TrendSheetStgData[Trend],Threshold[#All],4,FALSE)</f>
        <v>10</v>
      </c>
      <c r="L248" s="5">
        <f>VLOOKUP(TrendSheetStgData[Population]&amp;TrendSheetStgData[Trend],Threshold[#All],5,FALSE)</f>
        <v>5</v>
      </c>
      <c r="M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 spans="1:13" x14ac:dyDescent="0.25">
      <c r="A249" t="s">
        <v>90</v>
      </c>
      <c r="B249" t="s">
        <v>90</v>
      </c>
      <c r="C249" t="s">
        <v>91</v>
      </c>
      <c r="D249" s="1" t="s">
        <v>102</v>
      </c>
      <c r="E249" t="s">
        <v>93</v>
      </c>
      <c r="F249" t="s">
        <v>26</v>
      </c>
      <c r="G249">
        <v>15</v>
      </c>
      <c r="H249">
        <v>234459</v>
      </c>
      <c r="I249" s="5">
        <f>VLOOKUP(TrendSheetStgData[Population]&amp;TrendSheetStgData[Cost Basis]&amp;TrendSheetStgData[Period]&amp;TrendSheetStgData[Trend],TrendSheetPrdData[#All],9,FALSE)</f>
        <v>234459</v>
      </c>
      <c r="J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 s="5">
        <f>VLOOKUP(TrendSheetStgData[Population]&amp;TrendSheetStgData[Trend],Threshold[#All],4,FALSE)</f>
        <v>10</v>
      </c>
      <c r="L249" s="5">
        <f>VLOOKUP(TrendSheetStgData[Population]&amp;TrendSheetStgData[Trend],Threshold[#All],5,FALSE)</f>
        <v>5</v>
      </c>
      <c r="M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 spans="1:13" x14ac:dyDescent="0.25">
      <c r="A250" t="s">
        <v>90</v>
      </c>
      <c r="B250" t="s">
        <v>90</v>
      </c>
      <c r="C250" t="s">
        <v>91</v>
      </c>
      <c r="D250" s="1" t="s">
        <v>103</v>
      </c>
      <c r="E250" t="s">
        <v>93</v>
      </c>
      <c r="F250" t="s">
        <v>26</v>
      </c>
      <c r="G250">
        <v>15</v>
      </c>
      <c r="H250">
        <v>320267</v>
      </c>
      <c r="I250" s="5">
        <f>VLOOKUP(TrendSheetStgData[Population]&amp;TrendSheetStgData[Cost Basis]&amp;TrendSheetStgData[Period]&amp;TrendSheetStgData[Trend],TrendSheetPrdData[#All],9,FALSE)</f>
        <v>320267</v>
      </c>
      <c r="J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 s="5">
        <f>VLOOKUP(TrendSheetStgData[Population]&amp;TrendSheetStgData[Trend],Threshold[#All],4,FALSE)</f>
        <v>10</v>
      </c>
      <c r="L250" s="5">
        <f>VLOOKUP(TrendSheetStgData[Population]&amp;TrendSheetStgData[Trend],Threshold[#All],5,FALSE)</f>
        <v>5</v>
      </c>
      <c r="M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 spans="1:13" x14ac:dyDescent="0.25">
      <c r="A251" t="s">
        <v>90</v>
      </c>
      <c r="B251" t="s">
        <v>90</v>
      </c>
      <c r="C251" t="s">
        <v>91</v>
      </c>
      <c r="D251" s="1" t="s">
        <v>104</v>
      </c>
      <c r="E251" t="s">
        <v>93</v>
      </c>
      <c r="F251" t="s">
        <v>26</v>
      </c>
      <c r="G251">
        <v>15</v>
      </c>
      <c r="H251">
        <v>167747</v>
      </c>
      <c r="I251" s="5">
        <f>VLOOKUP(TrendSheetStgData[Population]&amp;TrendSheetStgData[Cost Basis]&amp;TrendSheetStgData[Period]&amp;TrendSheetStgData[Trend],TrendSheetPrdData[#All],9,FALSE)</f>
        <v>167747</v>
      </c>
      <c r="J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 s="5">
        <f>VLOOKUP(TrendSheetStgData[Population]&amp;TrendSheetStgData[Trend],Threshold[#All],4,FALSE)</f>
        <v>10</v>
      </c>
      <c r="L251" s="5">
        <f>VLOOKUP(TrendSheetStgData[Population]&amp;TrendSheetStgData[Trend],Threshold[#All],5,FALSE)</f>
        <v>5</v>
      </c>
      <c r="M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 spans="1:13" x14ac:dyDescent="0.25">
      <c r="A252" t="s">
        <v>90</v>
      </c>
      <c r="B252" t="s">
        <v>90</v>
      </c>
      <c r="C252" t="s">
        <v>91</v>
      </c>
      <c r="D252" s="1" t="s">
        <v>105</v>
      </c>
      <c r="E252" t="s">
        <v>93</v>
      </c>
      <c r="F252" t="s">
        <v>26</v>
      </c>
      <c r="G252">
        <v>15</v>
      </c>
      <c r="H252">
        <v>276784</v>
      </c>
      <c r="I252" s="5">
        <f>VLOOKUP(TrendSheetStgData[Population]&amp;TrendSheetStgData[Cost Basis]&amp;TrendSheetStgData[Period]&amp;TrendSheetStgData[Trend],TrendSheetPrdData[#All],9,FALSE)</f>
        <v>276784</v>
      </c>
      <c r="J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 s="5">
        <f>VLOOKUP(TrendSheetStgData[Population]&amp;TrendSheetStgData[Trend],Threshold[#All],4,FALSE)</f>
        <v>10</v>
      </c>
      <c r="L252" s="5">
        <f>VLOOKUP(TrendSheetStgData[Population]&amp;TrendSheetStgData[Trend],Threshold[#All],5,FALSE)</f>
        <v>5</v>
      </c>
      <c r="M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 spans="1:13" x14ac:dyDescent="0.25">
      <c r="A253" t="s">
        <v>90</v>
      </c>
      <c r="B253" t="s">
        <v>90</v>
      </c>
      <c r="C253" t="s">
        <v>91</v>
      </c>
      <c r="D253" s="1" t="s">
        <v>106</v>
      </c>
      <c r="E253" t="s">
        <v>93</v>
      </c>
      <c r="F253" t="s">
        <v>26</v>
      </c>
      <c r="G253">
        <v>15</v>
      </c>
      <c r="H253">
        <v>322042</v>
      </c>
      <c r="I253" s="5">
        <f>VLOOKUP(TrendSheetStgData[Population]&amp;TrendSheetStgData[Cost Basis]&amp;TrendSheetStgData[Period]&amp;TrendSheetStgData[Trend],TrendSheetPrdData[#All],9,FALSE)</f>
        <v>322042</v>
      </c>
      <c r="J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 s="5">
        <f>VLOOKUP(TrendSheetStgData[Population]&amp;TrendSheetStgData[Trend],Threshold[#All],4,FALSE)</f>
        <v>10</v>
      </c>
      <c r="L253" s="5">
        <f>VLOOKUP(TrendSheetStgData[Population]&amp;TrendSheetStgData[Trend],Threshold[#All],5,FALSE)</f>
        <v>5</v>
      </c>
      <c r="M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 spans="1:13" x14ac:dyDescent="0.25">
      <c r="A254" t="s">
        <v>90</v>
      </c>
      <c r="B254" t="s">
        <v>90</v>
      </c>
      <c r="C254" t="s">
        <v>91</v>
      </c>
      <c r="D254" s="1" t="s">
        <v>107</v>
      </c>
      <c r="E254" t="s">
        <v>108</v>
      </c>
      <c r="F254" t="s">
        <v>26</v>
      </c>
      <c r="G254">
        <v>15</v>
      </c>
      <c r="H254">
        <v>342628</v>
      </c>
      <c r="I254" s="5">
        <f>VLOOKUP(TrendSheetStgData[Population]&amp;TrendSheetStgData[Cost Basis]&amp;TrendSheetStgData[Period]&amp;TrendSheetStgData[Trend],TrendSheetPrdData[#All],9,FALSE)</f>
        <v>342628</v>
      </c>
      <c r="J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 s="5">
        <f>VLOOKUP(TrendSheetStgData[Population]&amp;TrendSheetStgData[Trend],Threshold[#All],4,FALSE)</f>
        <v>10</v>
      </c>
      <c r="L254" s="5">
        <f>VLOOKUP(TrendSheetStgData[Population]&amp;TrendSheetStgData[Trend],Threshold[#All],5,FALSE)</f>
        <v>5</v>
      </c>
      <c r="M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 spans="1:13" x14ac:dyDescent="0.25">
      <c r="A255" t="s">
        <v>90</v>
      </c>
      <c r="B255" t="s">
        <v>90</v>
      </c>
      <c r="C255" t="s">
        <v>91</v>
      </c>
      <c r="D255" s="1" t="s">
        <v>109</v>
      </c>
      <c r="E255" t="s">
        <v>108</v>
      </c>
      <c r="F255" t="s">
        <v>26</v>
      </c>
      <c r="G255">
        <v>15</v>
      </c>
      <c r="H255">
        <v>298781</v>
      </c>
      <c r="I255" s="5">
        <f>VLOOKUP(TrendSheetStgData[Population]&amp;TrendSheetStgData[Cost Basis]&amp;TrendSheetStgData[Period]&amp;TrendSheetStgData[Trend],TrendSheetPrdData[#All],9,FALSE)</f>
        <v>298781</v>
      </c>
      <c r="J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 s="5">
        <f>VLOOKUP(TrendSheetStgData[Population]&amp;TrendSheetStgData[Trend],Threshold[#All],4,FALSE)</f>
        <v>10</v>
      </c>
      <c r="L255" s="5">
        <f>VLOOKUP(TrendSheetStgData[Population]&amp;TrendSheetStgData[Trend],Threshold[#All],5,FALSE)</f>
        <v>5</v>
      </c>
      <c r="M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 spans="1:13" x14ac:dyDescent="0.25">
      <c r="A256" t="s">
        <v>90</v>
      </c>
      <c r="B256" t="s">
        <v>90</v>
      </c>
      <c r="C256" t="s">
        <v>91</v>
      </c>
      <c r="D256" s="1" t="s">
        <v>110</v>
      </c>
      <c r="E256" t="s">
        <v>108</v>
      </c>
      <c r="F256" t="s">
        <v>26</v>
      </c>
      <c r="G256">
        <v>15</v>
      </c>
      <c r="H256">
        <v>253911</v>
      </c>
      <c r="I256" s="5">
        <f>VLOOKUP(TrendSheetStgData[Population]&amp;TrendSheetStgData[Cost Basis]&amp;TrendSheetStgData[Period]&amp;TrendSheetStgData[Trend],TrendSheetPrdData[#All],9,FALSE)</f>
        <v>253911</v>
      </c>
      <c r="J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 s="5">
        <f>VLOOKUP(TrendSheetStgData[Population]&amp;TrendSheetStgData[Trend],Threshold[#All],4,FALSE)</f>
        <v>10</v>
      </c>
      <c r="L256" s="5">
        <f>VLOOKUP(TrendSheetStgData[Population]&amp;TrendSheetStgData[Trend],Threshold[#All],5,FALSE)</f>
        <v>5</v>
      </c>
      <c r="M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 spans="1:13" x14ac:dyDescent="0.25">
      <c r="A257" t="s">
        <v>90</v>
      </c>
      <c r="B257" t="s">
        <v>90</v>
      </c>
      <c r="C257" t="s">
        <v>91</v>
      </c>
      <c r="D257" s="1" t="s">
        <v>92</v>
      </c>
      <c r="E257" t="s">
        <v>93</v>
      </c>
      <c r="F257" t="s">
        <v>27</v>
      </c>
      <c r="G257">
        <v>16</v>
      </c>
      <c r="H257">
        <v>0.87</v>
      </c>
      <c r="I257" s="5">
        <f>VLOOKUP(TrendSheetStgData[Population]&amp;TrendSheetStgData[Cost Basis]&amp;TrendSheetStgData[Period]&amp;TrendSheetStgData[Trend],TrendSheetPrdData[#All],9,FALSE)</f>
        <v>0.87</v>
      </c>
      <c r="J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 s="5">
        <f>VLOOKUP(TrendSheetStgData[Population]&amp;TrendSheetStgData[Trend],Threshold[#All],4,FALSE)</f>
        <v>10</v>
      </c>
      <c r="L257" s="5">
        <f>VLOOKUP(TrendSheetStgData[Population]&amp;TrendSheetStgData[Trend],Threshold[#All],5,FALSE)</f>
        <v>5</v>
      </c>
      <c r="M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 spans="1:13" x14ac:dyDescent="0.25">
      <c r="A258" t="s">
        <v>90</v>
      </c>
      <c r="B258" t="s">
        <v>90</v>
      </c>
      <c r="C258" t="s">
        <v>91</v>
      </c>
      <c r="D258" s="1" t="s">
        <v>94</v>
      </c>
      <c r="E258" t="s">
        <v>93</v>
      </c>
      <c r="F258" t="s">
        <v>27</v>
      </c>
      <c r="G258">
        <v>16</v>
      </c>
      <c r="H258">
        <v>0.87</v>
      </c>
      <c r="I258" s="5">
        <f>VLOOKUP(TrendSheetStgData[Population]&amp;TrendSheetStgData[Cost Basis]&amp;TrendSheetStgData[Period]&amp;TrendSheetStgData[Trend],TrendSheetPrdData[#All],9,FALSE)</f>
        <v>0.87</v>
      </c>
      <c r="J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 s="5">
        <f>VLOOKUP(TrendSheetStgData[Population]&amp;TrendSheetStgData[Trend],Threshold[#All],4,FALSE)</f>
        <v>10</v>
      </c>
      <c r="L258" s="5">
        <f>VLOOKUP(TrendSheetStgData[Population]&amp;TrendSheetStgData[Trend],Threshold[#All],5,FALSE)</f>
        <v>5</v>
      </c>
      <c r="M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 spans="1:13" x14ac:dyDescent="0.25">
      <c r="A259" t="s">
        <v>90</v>
      </c>
      <c r="B259" t="s">
        <v>90</v>
      </c>
      <c r="C259" t="s">
        <v>91</v>
      </c>
      <c r="D259" s="1" t="s">
        <v>95</v>
      </c>
      <c r="E259" t="s">
        <v>93</v>
      </c>
      <c r="F259" t="s">
        <v>27</v>
      </c>
      <c r="G259">
        <v>16</v>
      </c>
      <c r="H259">
        <v>0.87</v>
      </c>
      <c r="I259" s="5">
        <f>VLOOKUP(TrendSheetStgData[Population]&amp;TrendSheetStgData[Cost Basis]&amp;TrendSheetStgData[Period]&amp;TrendSheetStgData[Trend],TrendSheetPrdData[#All],9,FALSE)</f>
        <v>0.87</v>
      </c>
      <c r="J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 s="5">
        <f>VLOOKUP(TrendSheetStgData[Population]&amp;TrendSheetStgData[Trend],Threshold[#All],4,FALSE)</f>
        <v>10</v>
      </c>
      <c r="L259" s="5">
        <f>VLOOKUP(TrendSheetStgData[Population]&amp;TrendSheetStgData[Trend],Threshold[#All],5,FALSE)</f>
        <v>5</v>
      </c>
      <c r="M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 spans="1:13" x14ac:dyDescent="0.25">
      <c r="A260" t="s">
        <v>90</v>
      </c>
      <c r="B260" t="s">
        <v>90</v>
      </c>
      <c r="C260" t="s">
        <v>91</v>
      </c>
      <c r="D260" s="1" t="s">
        <v>96</v>
      </c>
      <c r="E260" t="s">
        <v>93</v>
      </c>
      <c r="F260" t="s">
        <v>27</v>
      </c>
      <c r="G260">
        <v>16</v>
      </c>
      <c r="H260">
        <v>0.86</v>
      </c>
      <c r="I260" s="5">
        <f>VLOOKUP(TrendSheetStgData[Population]&amp;TrendSheetStgData[Cost Basis]&amp;TrendSheetStgData[Period]&amp;TrendSheetStgData[Trend],TrendSheetPrdData[#All],9,FALSE)</f>
        <v>0.86</v>
      </c>
      <c r="J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 s="5">
        <f>VLOOKUP(TrendSheetStgData[Population]&amp;TrendSheetStgData[Trend],Threshold[#All],4,FALSE)</f>
        <v>10</v>
      </c>
      <c r="L260" s="5">
        <f>VLOOKUP(TrendSheetStgData[Population]&amp;TrendSheetStgData[Trend],Threshold[#All],5,FALSE)</f>
        <v>5</v>
      </c>
      <c r="M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 spans="1:13" x14ac:dyDescent="0.25">
      <c r="A261" t="s">
        <v>90</v>
      </c>
      <c r="B261" t="s">
        <v>90</v>
      </c>
      <c r="C261" t="s">
        <v>91</v>
      </c>
      <c r="D261" s="1" t="s">
        <v>97</v>
      </c>
      <c r="E261" t="s">
        <v>93</v>
      </c>
      <c r="F261" t="s">
        <v>27</v>
      </c>
      <c r="G261">
        <v>16</v>
      </c>
      <c r="H261">
        <v>0.88</v>
      </c>
      <c r="I261" s="5">
        <f>VLOOKUP(TrendSheetStgData[Population]&amp;TrendSheetStgData[Cost Basis]&amp;TrendSheetStgData[Period]&amp;TrendSheetStgData[Trend],TrendSheetPrdData[#All],9,FALSE)</f>
        <v>0.88</v>
      </c>
      <c r="J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 s="5">
        <f>VLOOKUP(TrendSheetStgData[Population]&amp;TrendSheetStgData[Trend],Threshold[#All],4,FALSE)</f>
        <v>10</v>
      </c>
      <c r="L261" s="5">
        <f>VLOOKUP(TrendSheetStgData[Population]&amp;TrendSheetStgData[Trend],Threshold[#All],5,FALSE)</f>
        <v>5</v>
      </c>
      <c r="M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 spans="1:13" x14ac:dyDescent="0.25">
      <c r="A262" t="s">
        <v>90</v>
      </c>
      <c r="B262" t="s">
        <v>90</v>
      </c>
      <c r="C262" t="s">
        <v>91</v>
      </c>
      <c r="D262" s="1" t="s">
        <v>98</v>
      </c>
      <c r="E262" t="s">
        <v>93</v>
      </c>
      <c r="F262" t="s">
        <v>27</v>
      </c>
      <c r="G262">
        <v>16</v>
      </c>
      <c r="H262">
        <v>0.88</v>
      </c>
      <c r="I262" s="5">
        <f>VLOOKUP(TrendSheetStgData[Population]&amp;TrendSheetStgData[Cost Basis]&amp;TrendSheetStgData[Period]&amp;TrendSheetStgData[Trend],TrendSheetPrdData[#All],9,FALSE)</f>
        <v>0.88</v>
      </c>
      <c r="J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 s="5">
        <f>VLOOKUP(TrendSheetStgData[Population]&amp;TrendSheetStgData[Trend],Threshold[#All],4,FALSE)</f>
        <v>10</v>
      </c>
      <c r="L262" s="5">
        <f>VLOOKUP(TrendSheetStgData[Population]&amp;TrendSheetStgData[Trend],Threshold[#All],5,FALSE)</f>
        <v>5</v>
      </c>
      <c r="M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 spans="1:13" x14ac:dyDescent="0.25">
      <c r="A263" t="s">
        <v>90</v>
      </c>
      <c r="B263" t="s">
        <v>90</v>
      </c>
      <c r="C263" t="s">
        <v>91</v>
      </c>
      <c r="D263" s="1" t="s">
        <v>99</v>
      </c>
      <c r="E263" t="s">
        <v>93</v>
      </c>
      <c r="F263" t="s">
        <v>27</v>
      </c>
      <c r="G263">
        <v>16</v>
      </c>
      <c r="H263">
        <v>0.87</v>
      </c>
      <c r="I263" s="5">
        <f>VLOOKUP(TrendSheetStgData[Population]&amp;TrendSheetStgData[Cost Basis]&amp;TrendSheetStgData[Period]&amp;TrendSheetStgData[Trend],TrendSheetPrdData[#All],9,FALSE)</f>
        <v>0.87</v>
      </c>
      <c r="J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 s="5">
        <f>VLOOKUP(TrendSheetStgData[Population]&amp;TrendSheetStgData[Trend],Threshold[#All],4,FALSE)</f>
        <v>10</v>
      </c>
      <c r="L263" s="5">
        <f>VLOOKUP(TrendSheetStgData[Population]&amp;TrendSheetStgData[Trend],Threshold[#All],5,FALSE)</f>
        <v>5</v>
      </c>
      <c r="M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 spans="1:13" x14ac:dyDescent="0.25">
      <c r="A264" t="s">
        <v>90</v>
      </c>
      <c r="B264" t="s">
        <v>90</v>
      </c>
      <c r="C264" t="s">
        <v>91</v>
      </c>
      <c r="D264" s="1" t="s">
        <v>100</v>
      </c>
      <c r="E264" t="s">
        <v>93</v>
      </c>
      <c r="F264" t="s">
        <v>27</v>
      </c>
      <c r="G264">
        <v>16</v>
      </c>
      <c r="H264">
        <v>0.87</v>
      </c>
      <c r="I264" s="5">
        <f>VLOOKUP(TrendSheetStgData[Population]&amp;TrendSheetStgData[Cost Basis]&amp;TrendSheetStgData[Period]&amp;TrendSheetStgData[Trend],TrendSheetPrdData[#All],9,FALSE)</f>
        <v>0.87</v>
      </c>
      <c r="J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 s="5">
        <f>VLOOKUP(TrendSheetStgData[Population]&amp;TrendSheetStgData[Trend],Threshold[#All],4,FALSE)</f>
        <v>10</v>
      </c>
      <c r="L264" s="5">
        <f>VLOOKUP(TrendSheetStgData[Population]&amp;TrendSheetStgData[Trend],Threshold[#All],5,FALSE)</f>
        <v>5</v>
      </c>
      <c r="M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 spans="1:13" x14ac:dyDescent="0.25">
      <c r="A265" t="s">
        <v>90</v>
      </c>
      <c r="B265" t="s">
        <v>90</v>
      </c>
      <c r="C265" t="s">
        <v>91</v>
      </c>
      <c r="D265" s="1" t="s">
        <v>101</v>
      </c>
      <c r="E265" t="s">
        <v>93</v>
      </c>
      <c r="F265" t="s">
        <v>27</v>
      </c>
      <c r="G265">
        <v>16</v>
      </c>
      <c r="H265">
        <v>0.89</v>
      </c>
      <c r="I265" s="5">
        <f>VLOOKUP(TrendSheetStgData[Population]&amp;TrendSheetStgData[Cost Basis]&amp;TrendSheetStgData[Period]&amp;TrendSheetStgData[Trend],TrendSheetPrdData[#All],9,FALSE)</f>
        <v>0.89</v>
      </c>
      <c r="J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 s="5">
        <f>VLOOKUP(TrendSheetStgData[Population]&amp;TrendSheetStgData[Trend],Threshold[#All],4,FALSE)</f>
        <v>10</v>
      </c>
      <c r="L265" s="5">
        <f>VLOOKUP(TrendSheetStgData[Population]&amp;TrendSheetStgData[Trend],Threshold[#All],5,FALSE)</f>
        <v>5</v>
      </c>
      <c r="M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 spans="1:13" x14ac:dyDescent="0.25">
      <c r="A266" t="s">
        <v>90</v>
      </c>
      <c r="B266" t="s">
        <v>90</v>
      </c>
      <c r="C266" t="s">
        <v>91</v>
      </c>
      <c r="D266" s="1" t="s">
        <v>102</v>
      </c>
      <c r="E266" t="s">
        <v>93</v>
      </c>
      <c r="F266" t="s">
        <v>27</v>
      </c>
      <c r="G266">
        <v>16</v>
      </c>
      <c r="H266">
        <v>0.89</v>
      </c>
      <c r="I266" s="5">
        <f>VLOOKUP(TrendSheetStgData[Population]&amp;TrendSheetStgData[Cost Basis]&amp;TrendSheetStgData[Period]&amp;TrendSheetStgData[Trend],TrendSheetPrdData[#All],9,FALSE)</f>
        <v>0.89</v>
      </c>
      <c r="J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 s="5">
        <f>VLOOKUP(TrendSheetStgData[Population]&amp;TrendSheetStgData[Trend],Threshold[#All],4,FALSE)</f>
        <v>10</v>
      </c>
      <c r="L266" s="5">
        <f>VLOOKUP(TrendSheetStgData[Population]&amp;TrendSheetStgData[Trend],Threshold[#All],5,FALSE)</f>
        <v>5</v>
      </c>
      <c r="M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 spans="1:13" x14ac:dyDescent="0.25">
      <c r="A267" t="s">
        <v>90</v>
      </c>
      <c r="B267" t="s">
        <v>90</v>
      </c>
      <c r="C267" t="s">
        <v>91</v>
      </c>
      <c r="D267" s="1" t="s">
        <v>103</v>
      </c>
      <c r="E267" t="s">
        <v>93</v>
      </c>
      <c r="F267" t="s">
        <v>27</v>
      </c>
      <c r="G267">
        <v>16</v>
      </c>
      <c r="H267">
        <v>0.88</v>
      </c>
      <c r="I267" s="5">
        <f>VLOOKUP(TrendSheetStgData[Population]&amp;TrendSheetStgData[Cost Basis]&amp;TrendSheetStgData[Period]&amp;TrendSheetStgData[Trend],TrendSheetPrdData[#All],9,FALSE)</f>
        <v>0.88</v>
      </c>
      <c r="J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 s="5">
        <f>VLOOKUP(TrendSheetStgData[Population]&amp;TrendSheetStgData[Trend],Threshold[#All],4,FALSE)</f>
        <v>10</v>
      </c>
      <c r="L267" s="5">
        <f>VLOOKUP(TrendSheetStgData[Population]&amp;TrendSheetStgData[Trend],Threshold[#All],5,FALSE)</f>
        <v>5</v>
      </c>
      <c r="M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 spans="1:13" x14ac:dyDescent="0.25">
      <c r="A268" t="s">
        <v>90</v>
      </c>
      <c r="B268" t="s">
        <v>90</v>
      </c>
      <c r="C268" t="s">
        <v>91</v>
      </c>
      <c r="D268" s="1" t="s">
        <v>104</v>
      </c>
      <c r="E268" t="s">
        <v>93</v>
      </c>
      <c r="F268" t="s">
        <v>27</v>
      </c>
      <c r="G268">
        <v>16</v>
      </c>
      <c r="H268">
        <v>0.89</v>
      </c>
      <c r="I268" s="5">
        <f>VLOOKUP(TrendSheetStgData[Population]&amp;TrendSheetStgData[Cost Basis]&amp;TrendSheetStgData[Period]&amp;TrendSheetStgData[Trend],TrendSheetPrdData[#All],9,FALSE)</f>
        <v>0.89</v>
      </c>
      <c r="J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 s="5">
        <f>VLOOKUP(TrendSheetStgData[Population]&amp;TrendSheetStgData[Trend],Threshold[#All],4,FALSE)</f>
        <v>10</v>
      </c>
      <c r="L268" s="5">
        <f>VLOOKUP(TrendSheetStgData[Population]&amp;TrendSheetStgData[Trend],Threshold[#All],5,FALSE)</f>
        <v>5</v>
      </c>
      <c r="M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 spans="1:13" x14ac:dyDescent="0.25">
      <c r="A269" t="s">
        <v>90</v>
      </c>
      <c r="B269" t="s">
        <v>90</v>
      </c>
      <c r="C269" t="s">
        <v>91</v>
      </c>
      <c r="D269" s="1" t="s">
        <v>105</v>
      </c>
      <c r="E269" t="s">
        <v>93</v>
      </c>
      <c r="F269" t="s">
        <v>27</v>
      </c>
      <c r="G269">
        <v>16</v>
      </c>
      <c r="H269">
        <v>0.88</v>
      </c>
      <c r="I269" s="5">
        <f>VLOOKUP(TrendSheetStgData[Population]&amp;TrendSheetStgData[Cost Basis]&amp;TrendSheetStgData[Period]&amp;TrendSheetStgData[Trend],TrendSheetPrdData[#All],9,FALSE)</f>
        <v>0.88</v>
      </c>
      <c r="J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 s="5">
        <f>VLOOKUP(TrendSheetStgData[Population]&amp;TrendSheetStgData[Trend],Threshold[#All],4,FALSE)</f>
        <v>10</v>
      </c>
      <c r="L269" s="5">
        <f>VLOOKUP(TrendSheetStgData[Population]&amp;TrendSheetStgData[Trend],Threshold[#All],5,FALSE)</f>
        <v>5</v>
      </c>
      <c r="M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 spans="1:13" x14ac:dyDescent="0.25">
      <c r="A270" t="s">
        <v>90</v>
      </c>
      <c r="B270" t="s">
        <v>90</v>
      </c>
      <c r="C270" t="s">
        <v>91</v>
      </c>
      <c r="D270" s="1" t="s">
        <v>106</v>
      </c>
      <c r="E270" t="s">
        <v>93</v>
      </c>
      <c r="F270" t="s">
        <v>27</v>
      </c>
      <c r="G270">
        <v>16</v>
      </c>
      <c r="H270">
        <v>0.9</v>
      </c>
      <c r="I270" s="5">
        <f>VLOOKUP(TrendSheetStgData[Population]&amp;TrendSheetStgData[Cost Basis]&amp;TrendSheetStgData[Period]&amp;TrendSheetStgData[Trend],TrendSheetPrdData[#All],9,FALSE)</f>
        <v>0.9</v>
      </c>
      <c r="J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 s="5">
        <f>VLOOKUP(TrendSheetStgData[Population]&amp;TrendSheetStgData[Trend],Threshold[#All],4,FALSE)</f>
        <v>10</v>
      </c>
      <c r="L270" s="5">
        <f>VLOOKUP(TrendSheetStgData[Population]&amp;TrendSheetStgData[Trend],Threshold[#All],5,FALSE)</f>
        <v>5</v>
      </c>
      <c r="M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 spans="1:13" x14ac:dyDescent="0.25">
      <c r="A271" t="s">
        <v>90</v>
      </c>
      <c r="B271" t="s">
        <v>90</v>
      </c>
      <c r="C271" t="s">
        <v>91</v>
      </c>
      <c r="D271" s="1" t="s">
        <v>107</v>
      </c>
      <c r="E271" t="s">
        <v>108</v>
      </c>
      <c r="F271" t="s">
        <v>27</v>
      </c>
      <c r="G271">
        <v>16</v>
      </c>
      <c r="H271">
        <v>0.89</v>
      </c>
      <c r="I271" s="5">
        <f>VLOOKUP(TrendSheetStgData[Population]&amp;TrendSheetStgData[Cost Basis]&amp;TrendSheetStgData[Period]&amp;TrendSheetStgData[Trend],TrendSheetPrdData[#All],9,FALSE)</f>
        <v>0.89</v>
      </c>
      <c r="J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 s="5">
        <f>VLOOKUP(TrendSheetStgData[Population]&amp;TrendSheetStgData[Trend],Threshold[#All],4,FALSE)</f>
        <v>10</v>
      </c>
      <c r="L271" s="5">
        <f>VLOOKUP(TrendSheetStgData[Population]&amp;TrendSheetStgData[Trend],Threshold[#All],5,FALSE)</f>
        <v>5</v>
      </c>
      <c r="M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 spans="1:13" x14ac:dyDescent="0.25">
      <c r="A272" t="s">
        <v>90</v>
      </c>
      <c r="B272" t="s">
        <v>90</v>
      </c>
      <c r="C272" t="s">
        <v>91</v>
      </c>
      <c r="D272" s="1" t="s">
        <v>109</v>
      </c>
      <c r="E272" t="s">
        <v>108</v>
      </c>
      <c r="F272" t="s">
        <v>27</v>
      </c>
      <c r="G272">
        <v>16</v>
      </c>
      <c r="H272">
        <v>0.89</v>
      </c>
      <c r="I272" s="5">
        <f>VLOOKUP(TrendSheetStgData[Population]&amp;TrendSheetStgData[Cost Basis]&amp;TrendSheetStgData[Period]&amp;TrendSheetStgData[Trend],TrendSheetPrdData[#All],9,FALSE)</f>
        <v>0.89</v>
      </c>
      <c r="J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 s="5">
        <f>VLOOKUP(TrendSheetStgData[Population]&amp;TrendSheetStgData[Trend],Threshold[#All],4,FALSE)</f>
        <v>10</v>
      </c>
      <c r="L272" s="5">
        <f>VLOOKUP(TrendSheetStgData[Population]&amp;TrendSheetStgData[Trend],Threshold[#All],5,FALSE)</f>
        <v>5</v>
      </c>
      <c r="M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 spans="1:13" x14ac:dyDescent="0.25">
      <c r="A273" t="s">
        <v>90</v>
      </c>
      <c r="B273" t="s">
        <v>90</v>
      </c>
      <c r="C273" t="s">
        <v>91</v>
      </c>
      <c r="D273" s="1" t="s">
        <v>110</v>
      </c>
      <c r="E273" t="s">
        <v>108</v>
      </c>
      <c r="F273" t="s">
        <v>27</v>
      </c>
      <c r="G273">
        <v>16</v>
      </c>
      <c r="H273">
        <v>0.89</v>
      </c>
      <c r="I273" s="5">
        <f>VLOOKUP(TrendSheetStgData[Population]&amp;TrendSheetStgData[Cost Basis]&amp;TrendSheetStgData[Period]&amp;TrendSheetStgData[Trend],TrendSheetPrdData[#All],9,FALSE)</f>
        <v>0.89</v>
      </c>
      <c r="J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 s="5">
        <f>VLOOKUP(TrendSheetStgData[Population]&amp;TrendSheetStgData[Trend],Threshold[#All],4,FALSE)</f>
        <v>10</v>
      </c>
      <c r="L273" s="5">
        <f>VLOOKUP(TrendSheetStgData[Population]&amp;TrendSheetStgData[Trend],Threshold[#All],5,FALSE)</f>
        <v>5</v>
      </c>
      <c r="M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 spans="1:13" x14ac:dyDescent="0.25">
      <c r="A274" t="s">
        <v>90</v>
      </c>
      <c r="B274" t="s">
        <v>90</v>
      </c>
      <c r="C274" t="s">
        <v>91</v>
      </c>
      <c r="D274" s="1" t="s">
        <v>92</v>
      </c>
      <c r="E274" t="s">
        <v>93</v>
      </c>
      <c r="F274" t="s">
        <v>28</v>
      </c>
      <c r="G274">
        <v>17</v>
      </c>
      <c r="H274">
        <v>1245893</v>
      </c>
      <c r="I274" s="5">
        <f>VLOOKUP(TrendSheetStgData[Population]&amp;TrendSheetStgData[Cost Basis]&amp;TrendSheetStgData[Period]&amp;TrendSheetStgData[Trend],TrendSheetPrdData[#All],9,FALSE)</f>
        <v>1245893</v>
      </c>
      <c r="J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4" s="5">
        <f>VLOOKUP(TrendSheetStgData[Population]&amp;TrendSheetStgData[Trend],Threshold[#All],4,FALSE)</f>
        <v>10</v>
      </c>
      <c r="L274" s="5">
        <f>VLOOKUP(TrendSheetStgData[Population]&amp;TrendSheetStgData[Trend],Threshold[#All],5,FALSE)</f>
        <v>5</v>
      </c>
      <c r="M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 spans="1:13" x14ac:dyDescent="0.25">
      <c r="A275" t="s">
        <v>90</v>
      </c>
      <c r="B275" t="s">
        <v>90</v>
      </c>
      <c r="C275" t="s">
        <v>91</v>
      </c>
      <c r="D275" s="1" t="s">
        <v>94</v>
      </c>
      <c r="E275" t="s">
        <v>93</v>
      </c>
      <c r="F275" t="s">
        <v>28</v>
      </c>
      <c r="G275">
        <v>17</v>
      </c>
      <c r="H275">
        <v>1147946</v>
      </c>
      <c r="I275" s="5">
        <f>VLOOKUP(TrendSheetStgData[Population]&amp;TrendSheetStgData[Cost Basis]&amp;TrendSheetStgData[Period]&amp;TrendSheetStgData[Trend],TrendSheetPrdData[#All],9,FALSE)</f>
        <v>1147946</v>
      </c>
      <c r="J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 s="5">
        <f>VLOOKUP(TrendSheetStgData[Population]&amp;TrendSheetStgData[Trend],Threshold[#All],4,FALSE)</f>
        <v>10</v>
      </c>
      <c r="L275" s="5">
        <f>VLOOKUP(TrendSheetStgData[Population]&amp;TrendSheetStgData[Trend],Threshold[#All],5,FALSE)</f>
        <v>5</v>
      </c>
      <c r="M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 spans="1:13" x14ac:dyDescent="0.25">
      <c r="A276" t="s">
        <v>90</v>
      </c>
      <c r="B276" t="s">
        <v>90</v>
      </c>
      <c r="C276" t="s">
        <v>91</v>
      </c>
      <c r="D276" s="1" t="s">
        <v>95</v>
      </c>
      <c r="E276" t="s">
        <v>93</v>
      </c>
      <c r="F276" t="s">
        <v>28</v>
      </c>
      <c r="G276">
        <v>17</v>
      </c>
      <c r="H276">
        <v>1260970</v>
      </c>
      <c r="I276" s="5">
        <f>VLOOKUP(TrendSheetStgData[Population]&amp;TrendSheetStgData[Cost Basis]&amp;TrendSheetStgData[Period]&amp;TrendSheetStgData[Trend],TrendSheetPrdData[#All],9,FALSE)</f>
        <v>1260970</v>
      </c>
      <c r="J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 s="5">
        <f>VLOOKUP(TrendSheetStgData[Population]&amp;TrendSheetStgData[Trend],Threshold[#All],4,FALSE)</f>
        <v>10</v>
      </c>
      <c r="L276" s="5">
        <f>VLOOKUP(TrendSheetStgData[Population]&amp;TrendSheetStgData[Trend],Threshold[#All],5,FALSE)</f>
        <v>5</v>
      </c>
      <c r="M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 spans="1:13" x14ac:dyDescent="0.25">
      <c r="A277" t="s">
        <v>90</v>
      </c>
      <c r="B277" t="s">
        <v>90</v>
      </c>
      <c r="C277" t="s">
        <v>91</v>
      </c>
      <c r="D277" s="1" t="s">
        <v>96</v>
      </c>
      <c r="E277" t="s">
        <v>93</v>
      </c>
      <c r="F277" t="s">
        <v>28</v>
      </c>
      <c r="G277">
        <v>17</v>
      </c>
      <c r="H277">
        <v>1462399</v>
      </c>
      <c r="I277" s="5">
        <f>VLOOKUP(TrendSheetStgData[Population]&amp;TrendSheetStgData[Cost Basis]&amp;TrendSheetStgData[Period]&amp;TrendSheetStgData[Trend],TrendSheetPrdData[#All],9,FALSE)</f>
        <v>1462399</v>
      </c>
      <c r="J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 s="5">
        <f>VLOOKUP(TrendSheetStgData[Population]&amp;TrendSheetStgData[Trend],Threshold[#All],4,FALSE)</f>
        <v>10</v>
      </c>
      <c r="L277" s="5">
        <f>VLOOKUP(TrendSheetStgData[Population]&amp;TrendSheetStgData[Trend],Threshold[#All],5,FALSE)</f>
        <v>5</v>
      </c>
      <c r="M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 spans="1:13" x14ac:dyDescent="0.25">
      <c r="A278" t="s">
        <v>90</v>
      </c>
      <c r="B278" t="s">
        <v>90</v>
      </c>
      <c r="C278" t="s">
        <v>91</v>
      </c>
      <c r="D278" s="1" t="s">
        <v>97</v>
      </c>
      <c r="E278" t="s">
        <v>93</v>
      </c>
      <c r="F278" t="s">
        <v>28</v>
      </c>
      <c r="G278">
        <v>17</v>
      </c>
      <c r="H278">
        <v>1375233</v>
      </c>
      <c r="I278" s="5">
        <f>VLOOKUP(TrendSheetStgData[Population]&amp;TrendSheetStgData[Cost Basis]&amp;TrendSheetStgData[Period]&amp;TrendSheetStgData[Trend],TrendSheetPrdData[#All],9,FALSE)</f>
        <v>1375233</v>
      </c>
      <c r="J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 s="5">
        <f>VLOOKUP(TrendSheetStgData[Population]&amp;TrendSheetStgData[Trend],Threshold[#All],4,FALSE)</f>
        <v>10</v>
      </c>
      <c r="L278" s="5">
        <f>VLOOKUP(TrendSheetStgData[Population]&amp;TrendSheetStgData[Trend],Threshold[#All],5,FALSE)</f>
        <v>5</v>
      </c>
      <c r="M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 spans="1:13" x14ac:dyDescent="0.25">
      <c r="A279" t="s">
        <v>90</v>
      </c>
      <c r="B279" t="s">
        <v>90</v>
      </c>
      <c r="C279" t="s">
        <v>91</v>
      </c>
      <c r="D279" s="1" t="s">
        <v>98</v>
      </c>
      <c r="E279" t="s">
        <v>93</v>
      </c>
      <c r="F279" t="s">
        <v>28</v>
      </c>
      <c r="G279">
        <v>17</v>
      </c>
      <c r="H279">
        <v>1272216</v>
      </c>
      <c r="I279" s="5">
        <f>VLOOKUP(TrendSheetStgData[Population]&amp;TrendSheetStgData[Cost Basis]&amp;TrendSheetStgData[Period]&amp;TrendSheetStgData[Trend],TrendSheetPrdData[#All],9,FALSE)</f>
        <v>1272216</v>
      </c>
      <c r="J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 s="5">
        <f>VLOOKUP(TrendSheetStgData[Population]&amp;TrendSheetStgData[Trend],Threshold[#All],4,FALSE)</f>
        <v>10</v>
      </c>
      <c r="L279" s="5">
        <f>VLOOKUP(TrendSheetStgData[Population]&amp;TrendSheetStgData[Trend],Threshold[#All],5,FALSE)</f>
        <v>5</v>
      </c>
      <c r="M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 spans="1:13" x14ac:dyDescent="0.25">
      <c r="A280" t="s">
        <v>90</v>
      </c>
      <c r="B280" t="s">
        <v>90</v>
      </c>
      <c r="C280" t="s">
        <v>91</v>
      </c>
      <c r="D280" s="1" t="s">
        <v>99</v>
      </c>
      <c r="E280" t="s">
        <v>93</v>
      </c>
      <c r="F280" t="s">
        <v>28</v>
      </c>
      <c r="G280">
        <v>17</v>
      </c>
      <c r="H280">
        <v>1416580</v>
      </c>
      <c r="I280" s="5">
        <f>VLOOKUP(TrendSheetStgData[Population]&amp;TrendSheetStgData[Cost Basis]&amp;TrendSheetStgData[Period]&amp;TrendSheetStgData[Trend],TrendSheetPrdData[#All],9,FALSE)</f>
        <v>1416580</v>
      </c>
      <c r="J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 s="5">
        <f>VLOOKUP(TrendSheetStgData[Population]&amp;TrendSheetStgData[Trend],Threshold[#All],4,FALSE)</f>
        <v>10</v>
      </c>
      <c r="L280" s="5">
        <f>VLOOKUP(TrendSheetStgData[Population]&amp;TrendSheetStgData[Trend],Threshold[#All],5,FALSE)</f>
        <v>5</v>
      </c>
      <c r="M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 spans="1:13" x14ac:dyDescent="0.25">
      <c r="A281" t="s">
        <v>90</v>
      </c>
      <c r="B281" t="s">
        <v>90</v>
      </c>
      <c r="C281" t="s">
        <v>91</v>
      </c>
      <c r="D281" s="1" t="s">
        <v>100</v>
      </c>
      <c r="E281" t="s">
        <v>93</v>
      </c>
      <c r="F281" t="s">
        <v>28</v>
      </c>
      <c r="G281">
        <v>17</v>
      </c>
      <c r="H281">
        <v>1418733</v>
      </c>
      <c r="I281" s="5">
        <f>VLOOKUP(TrendSheetStgData[Population]&amp;TrendSheetStgData[Cost Basis]&amp;TrendSheetStgData[Period]&amp;TrendSheetStgData[Trend],TrendSheetPrdData[#All],9,FALSE)</f>
        <v>1418733</v>
      </c>
      <c r="J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 s="5">
        <f>VLOOKUP(TrendSheetStgData[Population]&amp;TrendSheetStgData[Trend],Threshold[#All],4,FALSE)</f>
        <v>10</v>
      </c>
      <c r="L281" s="5">
        <f>VLOOKUP(TrendSheetStgData[Population]&amp;TrendSheetStgData[Trend],Threshold[#All],5,FALSE)</f>
        <v>5</v>
      </c>
      <c r="M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 spans="1:13" x14ac:dyDescent="0.25">
      <c r="A282" t="s">
        <v>90</v>
      </c>
      <c r="B282" t="s">
        <v>90</v>
      </c>
      <c r="C282" t="s">
        <v>91</v>
      </c>
      <c r="D282" s="1" t="s">
        <v>101</v>
      </c>
      <c r="E282" t="s">
        <v>93</v>
      </c>
      <c r="F282" t="s">
        <v>28</v>
      </c>
      <c r="G282">
        <v>17</v>
      </c>
      <c r="H282">
        <v>1367394</v>
      </c>
      <c r="I282" s="5">
        <f>VLOOKUP(TrendSheetStgData[Population]&amp;TrendSheetStgData[Cost Basis]&amp;TrendSheetStgData[Period]&amp;TrendSheetStgData[Trend],TrendSheetPrdData[#All],9,FALSE)</f>
        <v>1367394</v>
      </c>
      <c r="J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 s="5">
        <f>VLOOKUP(TrendSheetStgData[Population]&amp;TrendSheetStgData[Trend],Threshold[#All],4,FALSE)</f>
        <v>10</v>
      </c>
      <c r="L282" s="5">
        <f>VLOOKUP(TrendSheetStgData[Population]&amp;TrendSheetStgData[Trend],Threshold[#All],5,FALSE)</f>
        <v>5</v>
      </c>
      <c r="M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3" spans="1:13" x14ac:dyDescent="0.25">
      <c r="A283" t="s">
        <v>90</v>
      </c>
      <c r="B283" t="s">
        <v>90</v>
      </c>
      <c r="C283" t="s">
        <v>91</v>
      </c>
      <c r="D283" s="1" t="s">
        <v>102</v>
      </c>
      <c r="E283" t="s">
        <v>93</v>
      </c>
      <c r="F283" t="s">
        <v>28</v>
      </c>
      <c r="G283">
        <v>17</v>
      </c>
      <c r="H283">
        <v>1211213</v>
      </c>
      <c r="I283" s="5">
        <f>VLOOKUP(TrendSheetStgData[Population]&amp;TrendSheetStgData[Cost Basis]&amp;TrendSheetStgData[Period]&amp;TrendSheetStgData[Trend],TrendSheetPrdData[#All],9,FALSE)</f>
        <v>1211213</v>
      </c>
      <c r="J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 s="5">
        <f>VLOOKUP(TrendSheetStgData[Population]&amp;TrendSheetStgData[Trend],Threshold[#All],4,FALSE)</f>
        <v>10</v>
      </c>
      <c r="L283" s="5">
        <f>VLOOKUP(TrendSheetStgData[Population]&amp;TrendSheetStgData[Trend],Threshold[#All],5,FALSE)</f>
        <v>5</v>
      </c>
      <c r="M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 spans="1:13" x14ac:dyDescent="0.25">
      <c r="A284" t="s">
        <v>90</v>
      </c>
      <c r="B284" t="s">
        <v>90</v>
      </c>
      <c r="C284" t="s">
        <v>91</v>
      </c>
      <c r="D284" s="1" t="s">
        <v>103</v>
      </c>
      <c r="E284" t="s">
        <v>93</v>
      </c>
      <c r="F284" t="s">
        <v>28</v>
      </c>
      <c r="G284">
        <v>17</v>
      </c>
      <c r="H284">
        <v>1286114</v>
      </c>
      <c r="I284" s="5">
        <f>VLOOKUP(TrendSheetStgData[Population]&amp;TrendSheetStgData[Cost Basis]&amp;TrendSheetStgData[Period]&amp;TrendSheetStgData[Trend],TrendSheetPrdData[#All],9,FALSE)</f>
        <v>1286114</v>
      </c>
      <c r="J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 s="5">
        <f>VLOOKUP(TrendSheetStgData[Population]&amp;TrendSheetStgData[Trend],Threshold[#All],4,FALSE)</f>
        <v>10</v>
      </c>
      <c r="L284" s="5">
        <f>VLOOKUP(TrendSheetStgData[Population]&amp;TrendSheetStgData[Trend],Threshold[#All],5,FALSE)</f>
        <v>5</v>
      </c>
      <c r="M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5" spans="1:13" x14ac:dyDescent="0.25">
      <c r="A285" t="s">
        <v>90</v>
      </c>
      <c r="B285" t="s">
        <v>90</v>
      </c>
      <c r="C285" t="s">
        <v>91</v>
      </c>
      <c r="D285" s="1" t="s">
        <v>104</v>
      </c>
      <c r="E285" t="s">
        <v>93</v>
      </c>
      <c r="F285" t="s">
        <v>28</v>
      </c>
      <c r="G285">
        <v>17</v>
      </c>
      <c r="H285">
        <v>1465114</v>
      </c>
      <c r="I285" s="5">
        <f>VLOOKUP(TrendSheetStgData[Population]&amp;TrendSheetStgData[Cost Basis]&amp;TrendSheetStgData[Period]&amp;TrendSheetStgData[Trend],TrendSheetPrdData[#All],9,FALSE)</f>
        <v>1465114</v>
      </c>
      <c r="J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5" s="5">
        <f>VLOOKUP(TrendSheetStgData[Population]&amp;TrendSheetStgData[Trend],Threshold[#All],4,FALSE)</f>
        <v>10</v>
      </c>
      <c r="L285" s="5">
        <f>VLOOKUP(TrendSheetStgData[Population]&amp;TrendSheetStgData[Trend],Threshold[#All],5,FALSE)</f>
        <v>5</v>
      </c>
      <c r="M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 spans="1:13" x14ac:dyDescent="0.25">
      <c r="A286" t="s">
        <v>90</v>
      </c>
      <c r="B286" t="s">
        <v>90</v>
      </c>
      <c r="C286" t="s">
        <v>91</v>
      </c>
      <c r="D286" s="1" t="s">
        <v>105</v>
      </c>
      <c r="E286" t="s">
        <v>93</v>
      </c>
      <c r="F286" t="s">
        <v>28</v>
      </c>
      <c r="G286">
        <v>17</v>
      </c>
      <c r="H286">
        <v>1398846</v>
      </c>
      <c r="I286" s="5">
        <f>VLOOKUP(TrendSheetStgData[Population]&amp;TrendSheetStgData[Cost Basis]&amp;TrendSheetStgData[Period]&amp;TrendSheetStgData[Trend],TrendSheetPrdData[#All],9,FALSE)</f>
        <v>1398846</v>
      </c>
      <c r="J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 s="5">
        <f>VLOOKUP(TrendSheetStgData[Population]&amp;TrendSheetStgData[Trend],Threshold[#All],4,FALSE)</f>
        <v>10</v>
      </c>
      <c r="L286" s="5">
        <f>VLOOKUP(TrendSheetStgData[Population]&amp;TrendSheetStgData[Trend],Threshold[#All],5,FALSE)</f>
        <v>5</v>
      </c>
      <c r="M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7" spans="1:13" x14ac:dyDescent="0.25">
      <c r="A287" t="s">
        <v>90</v>
      </c>
      <c r="B287" t="s">
        <v>90</v>
      </c>
      <c r="C287" t="s">
        <v>91</v>
      </c>
      <c r="D287" s="1" t="s">
        <v>106</v>
      </c>
      <c r="E287" t="s">
        <v>93</v>
      </c>
      <c r="F287" t="s">
        <v>28</v>
      </c>
      <c r="G287">
        <v>17</v>
      </c>
      <c r="H287">
        <v>1308201</v>
      </c>
      <c r="I287" s="5">
        <f>VLOOKUP(TrendSheetStgData[Population]&amp;TrendSheetStgData[Cost Basis]&amp;TrendSheetStgData[Period]&amp;TrendSheetStgData[Trend],TrendSheetPrdData[#All],9,FALSE)</f>
        <v>1308201</v>
      </c>
      <c r="J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7" s="5">
        <f>VLOOKUP(TrendSheetStgData[Population]&amp;TrendSheetStgData[Trend],Threshold[#All],4,FALSE)</f>
        <v>10</v>
      </c>
      <c r="L287" s="5">
        <f>VLOOKUP(TrendSheetStgData[Population]&amp;TrendSheetStgData[Trend],Threshold[#All],5,FALSE)</f>
        <v>5</v>
      </c>
      <c r="M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 spans="1:13" x14ac:dyDescent="0.25">
      <c r="A288" t="s">
        <v>90</v>
      </c>
      <c r="B288" t="s">
        <v>90</v>
      </c>
      <c r="C288" t="s">
        <v>91</v>
      </c>
      <c r="D288" s="1" t="s">
        <v>107</v>
      </c>
      <c r="E288" t="s">
        <v>108</v>
      </c>
      <c r="F288" t="s">
        <v>28</v>
      </c>
      <c r="G288">
        <v>17</v>
      </c>
      <c r="H288">
        <v>1353265</v>
      </c>
      <c r="I288" s="5">
        <f>VLOOKUP(TrendSheetStgData[Population]&amp;TrendSheetStgData[Cost Basis]&amp;TrendSheetStgData[Period]&amp;TrendSheetStgData[Trend],TrendSheetPrdData[#All],9,FALSE)</f>
        <v>1353265</v>
      </c>
      <c r="J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 s="5">
        <f>VLOOKUP(TrendSheetStgData[Population]&amp;TrendSheetStgData[Trend],Threshold[#All],4,FALSE)</f>
        <v>10</v>
      </c>
      <c r="L288" s="5">
        <f>VLOOKUP(TrendSheetStgData[Population]&amp;TrendSheetStgData[Trend],Threshold[#All],5,FALSE)</f>
        <v>5</v>
      </c>
      <c r="M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 spans="1:13" x14ac:dyDescent="0.25">
      <c r="A289" t="s">
        <v>90</v>
      </c>
      <c r="B289" t="s">
        <v>90</v>
      </c>
      <c r="C289" t="s">
        <v>91</v>
      </c>
      <c r="D289" s="1" t="s">
        <v>109</v>
      </c>
      <c r="E289" t="s">
        <v>108</v>
      </c>
      <c r="F289" t="s">
        <v>28</v>
      </c>
      <c r="G289">
        <v>17</v>
      </c>
      <c r="H289">
        <v>1197582</v>
      </c>
      <c r="I289" s="5">
        <f>VLOOKUP(TrendSheetStgData[Population]&amp;TrendSheetStgData[Cost Basis]&amp;TrendSheetStgData[Period]&amp;TrendSheetStgData[Trend],TrendSheetPrdData[#All],9,FALSE)</f>
        <v>1197582</v>
      </c>
      <c r="J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 s="5">
        <f>VLOOKUP(TrendSheetStgData[Population]&amp;TrendSheetStgData[Trend],Threshold[#All],4,FALSE)</f>
        <v>10</v>
      </c>
      <c r="L289" s="5">
        <f>VLOOKUP(TrendSheetStgData[Population]&amp;TrendSheetStgData[Trend],Threshold[#All],5,FALSE)</f>
        <v>5</v>
      </c>
      <c r="M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0" spans="1:13" x14ac:dyDescent="0.25">
      <c r="A290" t="s">
        <v>90</v>
      </c>
      <c r="B290" t="s">
        <v>90</v>
      </c>
      <c r="C290" t="s">
        <v>91</v>
      </c>
      <c r="D290" s="1" t="s">
        <v>110</v>
      </c>
      <c r="E290" t="s">
        <v>108</v>
      </c>
      <c r="F290" t="s">
        <v>28</v>
      </c>
      <c r="G290">
        <v>17</v>
      </c>
      <c r="H290">
        <v>736347</v>
      </c>
      <c r="I290" s="5">
        <f>VLOOKUP(TrendSheetStgData[Population]&amp;TrendSheetStgData[Cost Basis]&amp;TrendSheetStgData[Period]&amp;TrendSheetStgData[Trend],TrendSheetPrdData[#All],9,FALSE)</f>
        <v>736347</v>
      </c>
      <c r="J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0" s="5">
        <f>VLOOKUP(TrendSheetStgData[Population]&amp;TrendSheetStgData[Trend],Threshold[#All],4,FALSE)</f>
        <v>10</v>
      </c>
      <c r="L290" s="5">
        <f>VLOOKUP(TrendSheetStgData[Population]&amp;TrendSheetStgData[Trend],Threshold[#All],5,FALSE)</f>
        <v>5</v>
      </c>
      <c r="M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1" spans="1:13" x14ac:dyDescent="0.25">
      <c r="A291" t="s">
        <v>90</v>
      </c>
      <c r="B291" t="s">
        <v>90</v>
      </c>
      <c r="C291" t="s">
        <v>91</v>
      </c>
      <c r="D291" s="1" t="s">
        <v>92</v>
      </c>
      <c r="E291" t="s">
        <v>93</v>
      </c>
      <c r="F291" t="s">
        <v>29</v>
      </c>
      <c r="G291">
        <v>18</v>
      </c>
      <c r="H291">
        <v>487.37</v>
      </c>
      <c r="I291" s="5">
        <f>VLOOKUP(TrendSheetStgData[Population]&amp;TrendSheetStgData[Cost Basis]&amp;TrendSheetStgData[Period]&amp;TrendSheetStgData[Trend],TrendSheetPrdData[#All],9,FALSE)</f>
        <v>487.37</v>
      </c>
      <c r="J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1" s="5">
        <f>VLOOKUP(TrendSheetStgData[Population]&amp;TrendSheetStgData[Trend],Threshold[#All],4,FALSE)</f>
        <v>10</v>
      </c>
      <c r="L291" s="5">
        <f>VLOOKUP(TrendSheetStgData[Population]&amp;TrendSheetStgData[Trend],Threshold[#All],5,FALSE)</f>
        <v>5</v>
      </c>
      <c r="M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 spans="1:13" x14ac:dyDescent="0.25">
      <c r="A292" t="s">
        <v>90</v>
      </c>
      <c r="B292" t="s">
        <v>90</v>
      </c>
      <c r="C292" t="s">
        <v>91</v>
      </c>
      <c r="D292" s="1" t="s">
        <v>94</v>
      </c>
      <c r="E292" t="s">
        <v>93</v>
      </c>
      <c r="F292" t="s">
        <v>29</v>
      </c>
      <c r="G292">
        <v>18</v>
      </c>
      <c r="H292">
        <v>487.9</v>
      </c>
      <c r="I292" s="5">
        <f>VLOOKUP(TrendSheetStgData[Population]&amp;TrendSheetStgData[Cost Basis]&amp;TrendSheetStgData[Period]&amp;TrendSheetStgData[Trend],TrendSheetPrdData[#All],9,FALSE)</f>
        <v>487.9</v>
      </c>
      <c r="J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 s="5">
        <f>VLOOKUP(TrendSheetStgData[Population]&amp;TrendSheetStgData[Trend],Threshold[#All],4,FALSE)</f>
        <v>10</v>
      </c>
      <c r="L292" s="5">
        <f>VLOOKUP(TrendSheetStgData[Population]&amp;TrendSheetStgData[Trend],Threshold[#All],5,FALSE)</f>
        <v>5</v>
      </c>
      <c r="M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 spans="1:13" x14ac:dyDescent="0.25">
      <c r="A293" t="s">
        <v>90</v>
      </c>
      <c r="B293" t="s">
        <v>90</v>
      </c>
      <c r="C293" t="s">
        <v>91</v>
      </c>
      <c r="D293" s="1" t="s">
        <v>95</v>
      </c>
      <c r="E293" t="s">
        <v>93</v>
      </c>
      <c r="F293" t="s">
        <v>29</v>
      </c>
      <c r="G293">
        <v>18</v>
      </c>
      <c r="H293">
        <v>487.39</v>
      </c>
      <c r="I293" s="5">
        <f>VLOOKUP(TrendSheetStgData[Population]&amp;TrendSheetStgData[Cost Basis]&amp;TrendSheetStgData[Period]&amp;TrendSheetStgData[Trend],TrendSheetPrdData[#All],9,FALSE)</f>
        <v>487.39</v>
      </c>
      <c r="J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 s="5">
        <f>VLOOKUP(TrendSheetStgData[Population]&amp;TrendSheetStgData[Trend],Threshold[#All],4,FALSE)</f>
        <v>10</v>
      </c>
      <c r="L293" s="5">
        <f>VLOOKUP(TrendSheetStgData[Population]&amp;TrendSheetStgData[Trend],Threshold[#All],5,FALSE)</f>
        <v>5</v>
      </c>
      <c r="M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4" spans="1:13" x14ac:dyDescent="0.25">
      <c r="A294" t="s">
        <v>90</v>
      </c>
      <c r="B294" t="s">
        <v>90</v>
      </c>
      <c r="C294" t="s">
        <v>91</v>
      </c>
      <c r="D294" s="1" t="s">
        <v>96</v>
      </c>
      <c r="E294" t="s">
        <v>93</v>
      </c>
      <c r="F294" t="s">
        <v>29</v>
      </c>
      <c r="G294">
        <v>18</v>
      </c>
      <c r="H294">
        <v>481.63</v>
      </c>
      <c r="I294" s="5">
        <f>VLOOKUP(TrendSheetStgData[Population]&amp;TrendSheetStgData[Cost Basis]&amp;TrendSheetStgData[Period]&amp;TrendSheetStgData[Trend],TrendSheetPrdData[#All],9,FALSE)</f>
        <v>481.63</v>
      </c>
      <c r="J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4" s="5">
        <f>VLOOKUP(TrendSheetStgData[Population]&amp;TrendSheetStgData[Trend],Threshold[#All],4,FALSE)</f>
        <v>10</v>
      </c>
      <c r="L294" s="5">
        <f>VLOOKUP(TrendSheetStgData[Population]&amp;TrendSheetStgData[Trend],Threshold[#All],5,FALSE)</f>
        <v>5</v>
      </c>
      <c r="M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5" spans="1:13" x14ac:dyDescent="0.25">
      <c r="A295" t="s">
        <v>90</v>
      </c>
      <c r="B295" t="s">
        <v>90</v>
      </c>
      <c r="C295" t="s">
        <v>91</v>
      </c>
      <c r="D295" s="1" t="s">
        <v>97</v>
      </c>
      <c r="E295" t="s">
        <v>93</v>
      </c>
      <c r="F295" t="s">
        <v>29</v>
      </c>
      <c r="G295">
        <v>18</v>
      </c>
      <c r="H295">
        <v>481</v>
      </c>
      <c r="I295" s="5">
        <f>VLOOKUP(TrendSheetStgData[Population]&amp;TrendSheetStgData[Cost Basis]&amp;TrendSheetStgData[Period]&amp;TrendSheetStgData[Trend],TrendSheetPrdData[#All],9,FALSE)</f>
        <v>481</v>
      </c>
      <c r="J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5" s="5">
        <f>VLOOKUP(TrendSheetStgData[Population]&amp;TrendSheetStgData[Trend],Threshold[#All],4,FALSE)</f>
        <v>10</v>
      </c>
      <c r="L295" s="5">
        <f>VLOOKUP(TrendSheetStgData[Population]&amp;TrendSheetStgData[Trend],Threshold[#All],5,FALSE)</f>
        <v>5</v>
      </c>
      <c r="M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 spans="1:13" x14ac:dyDescent="0.25">
      <c r="A296" t="s">
        <v>90</v>
      </c>
      <c r="B296" t="s">
        <v>90</v>
      </c>
      <c r="C296" t="s">
        <v>91</v>
      </c>
      <c r="D296" s="1" t="s">
        <v>98</v>
      </c>
      <c r="E296" t="s">
        <v>93</v>
      </c>
      <c r="F296" t="s">
        <v>29</v>
      </c>
      <c r="G296">
        <v>18</v>
      </c>
      <c r="H296">
        <v>473.84</v>
      </c>
      <c r="I296" s="5">
        <f>VLOOKUP(TrendSheetStgData[Population]&amp;TrendSheetStgData[Cost Basis]&amp;TrendSheetStgData[Period]&amp;TrendSheetStgData[Trend],TrendSheetPrdData[#All],9,FALSE)</f>
        <v>473.84</v>
      </c>
      <c r="J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 s="5">
        <f>VLOOKUP(TrendSheetStgData[Population]&amp;TrendSheetStgData[Trend],Threshold[#All],4,FALSE)</f>
        <v>10</v>
      </c>
      <c r="L296" s="5">
        <f>VLOOKUP(TrendSheetStgData[Population]&amp;TrendSheetStgData[Trend],Threshold[#All],5,FALSE)</f>
        <v>5</v>
      </c>
      <c r="M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 spans="1:13" x14ac:dyDescent="0.25">
      <c r="A297" t="s">
        <v>90</v>
      </c>
      <c r="B297" t="s">
        <v>90</v>
      </c>
      <c r="C297" t="s">
        <v>91</v>
      </c>
      <c r="D297" s="1" t="s">
        <v>99</v>
      </c>
      <c r="E297" t="s">
        <v>93</v>
      </c>
      <c r="F297" t="s">
        <v>29</v>
      </c>
      <c r="G297">
        <v>18</v>
      </c>
      <c r="H297">
        <v>473.17</v>
      </c>
      <c r="I297" s="5">
        <f>VLOOKUP(TrendSheetStgData[Population]&amp;TrendSheetStgData[Cost Basis]&amp;TrendSheetStgData[Period]&amp;TrendSheetStgData[Trend],TrendSheetPrdData[#All],9,FALSE)</f>
        <v>473.17</v>
      </c>
      <c r="J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 s="5">
        <f>VLOOKUP(TrendSheetStgData[Population]&amp;TrendSheetStgData[Trend],Threshold[#All],4,FALSE)</f>
        <v>10</v>
      </c>
      <c r="L297" s="5">
        <f>VLOOKUP(TrendSheetStgData[Population]&amp;TrendSheetStgData[Trend],Threshold[#All],5,FALSE)</f>
        <v>5</v>
      </c>
      <c r="M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 spans="1:13" x14ac:dyDescent="0.25">
      <c r="A298" t="s">
        <v>90</v>
      </c>
      <c r="B298" t="s">
        <v>90</v>
      </c>
      <c r="C298" t="s">
        <v>91</v>
      </c>
      <c r="D298" s="1" t="s">
        <v>100</v>
      </c>
      <c r="E298" t="s">
        <v>93</v>
      </c>
      <c r="F298" t="s">
        <v>29</v>
      </c>
      <c r="G298">
        <v>18</v>
      </c>
      <c r="H298">
        <v>477.7</v>
      </c>
      <c r="I298" s="5">
        <f>VLOOKUP(TrendSheetStgData[Population]&amp;TrendSheetStgData[Cost Basis]&amp;TrendSheetStgData[Period]&amp;TrendSheetStgData[Trend],TrendSheetPrdData[#All],9,FALSE)</f>
        <v>477.7</v>
      </c>
      <c r="J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 s="5">
        <f>VLOOKUP(TrendSheetStgData[Population]&amp;TrendSheetStgData[Trend],Threshold[#All],4,FALSE)</f>
        <v>10</v>
      </c>
      <c r="L298" s="5">
        <f>VLOOKUP(TrendSheetStgData[Population]&amp;TrendSheetStgData[Trend],Threshold[#All],5,FALSE)</f>
        <v>5</v>
      </c>
      <c r="M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 spans="1:13" x14ac:dyDescent="0.25">
      <c r="A299" t="s">
        <v>90</v>
      </c>
      <c r="B299" t="s">
        <v>90</v>
      </c>
      <c r="C299" t="s">
        <v>91</v>
      </c>
      <c r="D299" s="1" t="s">
        <v>101</v>
      </c>
      <c r="E299" t="s">
        <v>93</v>
      </c>
      <c r="F299" t="s">
        <v>29</v>
      </c>
      <c r="G299">
        <v>18</v>
      </c>
      <c r="H299">
        <v>477.14</v>
      </c>
      <c r="I299" s="5">
        <f>VLOOKUP(TrendSheetStgData[Population]&amp;TrendSheetStgData[Cost Basis]&amp;TrendSheetStgData[Period]&amp;TrendSheetStgData[Trend],TrendSheetPrdData[#All],9,FALSE)</f>
        <v>477.14</v>
      </c>
      <c r="J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 s="5">
        <f>VLOOKUP(TrendSheetStgData[Population]&amp;TrendSheetStgData[Trend],Threshold[#All],4,FALSE)</f>
        <v>10</v>
      </c>
      <c r="L299" s="5">
        <f>VLOOKUP(TrendSheetStgData[Population]&amp;TrendSheetStgData[Trend],Threshold[#All],5,FALSE)</f>
        <v>5</v>
      </c>
      <c r="M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 spans="1:13" x14ac:dyDescent="0.25">
      <c r="A300" t="s">
        <v>90</v>
      </c>
      <c r="B300" t="s">
        <v>90</v>
      </c>
      <c r="C300" t="s">
        <v>91</v>
      </c>
      <c r="D300" s="1" t="s">
        <v>102</v>
      </c>
      <c r="E300" t="s">
        <v>93</v>
      </c>
      <c r="F300" t="s">
        <v>29</v>
      </c>
      <c r="G300">
        <v>18</v>
      </c>
      <c r="H300">
        <v>478.23</v>
      </c>
      <c r="I300" s="5">
        <f>VLOOKUP(TrendSheetStgData[Population]&amp;TrendSheetStgData[Cost Basis]&amp;TrendSheetStgData[Period]&amp;TrendSheetStgData[Trend],TrendSheetPrdData[#All],9,FALSE)</f>
        <v>478.23</v>
      </c>
      <c r="J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 s="5">
        <f>VLOOKUP(TrendSheetStgData[Population]&amp;TrendSheetStgData[Trend],Threshold[#All],4,FALSE)</f>
        <v>10</v>
      </c>
      <c r="L300" s="5">
        <f>VLOOKUP(TrendSheetStgData[Population]&amp;TrendSheetStgData[Trend],Threshold[#All],5,FALSE)</f>
        <v>5</v>
      </c>
      <c r="M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 spans="1:13" x14ac:dyDescent="0.25">
      <c r="A301" t="s">
        <v>90</v>
      </c>
      <c r="B301" t="s">
        <v>90</v>
      </c>
      <c r="C301" t="s">
        <v>91</v>
      </c>
      <c r="D301" s="1" t="s">
        <v>103</v>
      </c>
      <c r="E301" t="s">
        <v>93</v>
      </c>
      <c r="F301" t="s">
        <v>29</v>
      </c>
      <c r="G301">
        <v>18</v>
      </c>
      <c r="H301">
        <v>474.77</v>
      </c>
      <c r="I301" s="5">
        <f>VLOOKUP(TrendSheetStgData[Population]&amp;TrendSheetStgData[Cost Basis]&amp;TrendSheetStgData[Period]&amp;TrendSheetStgData[Trend],TrendSheetPrdData[#All],9,FALSE)</f>
        <v>474.77</v>
      </c>
      <c r="J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 s="5">
        <f>VLOOKUP(TrendSheetStgData[Population]&amp;TrendSheetStgData[Trend],Threshold[#All],4,FALSE)</f>
        <v>10</v>
      </c>
      <c r="L301" s="5">
        <f>VLOOKUP(TrendSheetStgData[Population]&amp;TrendSheetStgData[Trend],Threshold[#All],5,FALSE)</f>
        <v>5</v>
      </c>
      <c r="M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 spans="1:13" x14ac:dyDescent="0.25">
      <c r="A302" t="s">
        <v>90</v>
      </c>
      <c r="B302" t="s">
        <v>90</v>
      </c>
      <c r="C302" t="s">
        <v>91</v>
      </c>
      <c r="D302" s="1" t="s">
        <v>104</v>
      </c>
      <c r="E302" t="s">
        <v>93</v>
      </c>
      <c r="F302" t="s">
        <v>29</v>
      </c>
      <c r="G302">
        <v>18</v>
      </c>
      <c r="H302">
        <v>476.17</v>
      </c>
      <c r="I302" s="5">
        <f>VLOOKUP(TrendSheetStgData[Population]&amp;TrendSheetStgData[Cost Basis]&amp;TrendSheetStgData[Period]&amp;TrendSheetStgData[Trend],TrendSheetPrdData[#All],9,FALSE)</f>
        <v>476.17</v>
      </c>
      <c r="J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 s="5">
        <f>VLOOKUP(TrendSheetStgData[Population]&amp;TrendSheetStgData[Trend],Threshold[#All],4,FALSE)</f>
        <v>10</v>
      </c>
      <c r="L302" s="5">
        <f>VLOOKUP(TrendSheetStgData[Population]&amp;TrendSheetStgData[Trend],Threshold[#All],5,FALSE)</f>
        <v>5</v>
      </c>
      <c r="M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 spans="1:13" x14ac:dyDescent="0.25">
      <c r="A303" t="s">
        <v>90</v>
      </c>
      <c r="B303" t="s">
        <v>90</v>
      </c>
      <c r="C303" t="s">
        <v>91</v>
      </c>
      <c r="D303" s="1" t="s">
        <v>105</v>
      </c>
      <c r="E303" t="s">
        <v>93</v>
      </c>
      <c r="F303" t="s">
        <v>29</v>
      </c>
      <c r="G303">
        <v>18</v>
      </c>
      <c r="H303">
        <v>478.57</v>
      </c>
      <c r="I303" s="5">
        <f>VLOOKUP(TrendSheetStgData[Population]&amp;TrendSheetStgData[Cost Basis]&amp;TrendSheetStgData[Period]&amp;TrendSheetStgData[Trend],TrendSheetPrdData[#All],9,FALSE)</f>
        <v>478.57</v>
      </c>
      <c r="J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 s="5">
        <f>VLOOKUP(TrendSheetStgData[Population]&amp;TrendSheetStgData[Trend],Threshold[#All],4,FALSE)</f>
        <v>10</v>
      </c>
      <c r="L303" s="5">
        <f>VLOOKUP(TrendSheetStgData[Population]&amp;TrendSheetStgData[Trend],Threshold[#All],5,FALSE)</f>
        <v>5</v>
      </c>
      <c r="M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 spans="1:13" x14ac:dyDescent="0.25">
      <c r="A304" t="s">
        <v>90</v>
      </c>
      <c r="B304" t="s">
        <v>90</v>
      </c>
      <c r="C304" t="s">
        <v>91</v>
      </c>
      <c r="D304" s="1" t="s">
        <v>106</v>
      </c>
      <c r="E304" t="s">
        <v>93</v>
      </c>
      <c r="F304" t="s">
        <v>29</v>
      </c>
      <c r="G304">
        <v>18</v>
      </c>
      <c r="H304">
        <v>471.22</v>
      </c>
      <c r="I304" s="5">
        <f>VLOOKUP(TrendSheetStgData[Population]&amp;TrendSheetStgData[Cost Basis]&amp;TrendSheetStgData[Period]&amp;TrendSheetStgData[Trend],TrendSheetPrdData[#All],9,FALSE)</f>
        <v>471.22</v>
      </c>
      <c r="J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 s="5">
        <f>VLOOKUP(TrendSheetStgData[Population]&amp;TrendSheetStgData[Trend],Threshold[#All],4,FALSE)</f>
        <v>10</v>
      </c>
      <c r="L304" s="5">
        <f>VLOOKUP(TrendSheetStgData[Population]&amp;TrendSheetStgData[Trend],Threshold[#All],5,FALSE)</f>
        <v>5</v>
      </c>
      <c r="M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 spans="1:13" x14ac:dyDescent="0.25">
      <c r="A305" t="s">
        <v>90</v>
      </c>
      <c r="B305" t="s">
        <v>90</v>
      </c>
      <c r="C305" t="s">
        <v>91</v>
      </c>
      <c r="D305" s="1" t="s">
        <v>107</v>
      </c>
      <c r="E305" t="s">
        <v>108</v>
      </c>
      <c r="F305" t="s">
        <v>29</v>
      </c>
      <c r="G305">
        <v>18</v>
      </c>
      <c r="H305">
        <v>466.23</v>
      </c>
      <c r="I305" s="5">
        <f>VLOOKUP(TrendSheetStgData[Population]&amp;TrendSheetStgData[Cost Basis]&amp;TrendSheetStgData[Period]&amp;TrendSheetStgData[Trend],TrendSheetPrdData[#All],9,FALSE)</f>
        <v>466.23</v>
      </c>
      <c r="J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 s="5">
        <f>VLOOKUP(TrendSheetStgData[Population]&amp;TrendSheetStgData[Trend],Threshold[#All],4,FALSE)</f>
        <v>10</v>
      </c>
      <c r="L305" s="5">
        <f>VLOOKUP(TrendSheetStgData[Population]&amp;TrendSheetStgData[Trend],Threshold[#All],5,FALSE)</f>
        <v>5</v>
      </c>
      <c r="M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 spans="1:13" x14ac:dyDescent="0.25">
      <c r="A306" t="s">
        <v>90</v>
      </c>
      <c r="B306" t="s">
        <v>90</v>
      </c>
      <c r="C306" t="s">
        <v>91</v>
      </c>
      <c r="D306" s="1" t="s">
        <v>109</v>
      </c>
      <c r="E306" t="s">
        <v>108</v>
      </c>
      <c r="F306" t="s">
        <v>29</v>
      </c>
      <c r="G306">
        <v>18</v>
      </c>
      <c r="H306">
        <v>464.29</v>
      </c>
      <c r="I306" s="5">
        <f>VLOOKUP(TrendSheetStgData[Population]&amp;TrendSheetStgData[Cost Basis]&amp;TrendSheetStgData[Period]&amp;TrendSheetStgData[Trend],TrendSheetPrdData[#All],9,FALSE)</f>
        <v>464.29</v>
      </c>
      <c r="J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 s="5">
        <f>VLOOKUP(TrendSheetStgData[Population]&amp;TrendSheetStgData[Trend],Threshold[#All],4,FALSE)</f>
        <v>10</v>
      </c>
      <c r="L306" s="5">
        <f>VLOOKUP(TrendSheetStgData[Population]&amp;TrendSheetStgData[Trend],Threshold[#All],5,FALSE)</f>
        <v>5</v>
      </c>
      <c r="M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 spans="1:13" x14ac:dyDescent="0.25">
      <c r="A307" t="s">
        <v>90</v>
      </c>
      <c r="B307" t="s">
        <v>90</v>
      </c>
      <c r="C307" t="s">
        <v>91</v>
      </c>
      <c r="D307" s="1" t="s">
        <v>110</v>
      </c>
      <c r="E307" t="s">
        <v>108</v>
      </c>
      <c r="F307" t="s">
        <v>29</v>
      </c>
      <c r="G307">
        <v>18</v>
      </c>
      <c r="H307">
        <v>460.05</v>
      </c>
      <c r="I307" s="5">
        <f>VLOOKUP(TrendSheetStgData[Population]&amp;TrendSheetStgData[Cost Basis]&amp;TrendSheetStgData[Period]&amp;TrendSheetStgData[Trend],TrendSheetPrdData[#All],9,FALSE)</f>
        <v>460.05</v>
      </c>
      <c r="J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 s="5">
        <f>VLOOKUP(TrendSheetStgData[Population]&amp;TrendSheetStgData[Trend],Threshold[#All],4,FALSE)</f>
        <v>10</v>
      </c>
      <c r="L307" s="5">
        <f>VLOOKUP(TrendSheetStgData[Population]&amp;TrendSheetStgData[Trend],Threshold[#All],5,FALSE)</f>
        <v>5</v>
      </c>
      <c r="M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 spans="1:13" x14ac:dyDescent="0.25">
      <c r="A308" t="s">
        <v>90</v>
      </c>
      <c r="B308" t="s">
        <v>90</v>
      </c>
      <c r="C308" t="s">
        <v>91</v>
      </c>
      <c r="D308" s="1" t="s">
        <v>92</v>
      </c>
      <c r="E308" t="s">
        <v>93</v>
      </c>
      <c r="F308" t="s">
        <v>30</v>
      </c>
      <c r="G308">
        <v>19</v>
      </c>
      <c r="H308">
        <v>425</v>
      </c>
      <c r="I308" s="5">
        <f>VLOOKUP(TrendSheetStgData[Population]&amp;TrendSheetStgData[Cost Basis]&amp;TrendSheetStgData[Period]&amp;TrendSheetStgData[Trend],TrendSheetPrdData[#All],9,FALSE)</f>
        <v>425</v>
      </c>
      <c r="J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 s="5">
        <f>VLOOKUP(TrendSheetStgData[Population]&amp;TrendSheetStgData[Trend],Threshold[#All],4,FALSE)</f>
        <v>10</v>
      </c>
      <c r="L308" s="5">
        <f>VLOOKUP(TrendSheetStgData[Population]&amp;TrendSheetStgData[Trend],Threshold[#All],5,FALSE)</f>
        <v>5</v>
      </c>
      <c r="M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 spans="1:13" x14ac:dyDescent="0.25">
      <c r="A309" t="s">
        <v>90</v>
      </c>
      <c r="B309" t="s">
        <v>90</v>
      </c>
      <c r="C309" t="s">
        <v>91</v>
      </c>
      <c r="D309" s="1" t="s">
        <v>94</v>
      </c>
      <c r="E309" t="s">
        <v>93</v>
      </c>
      <c r="F309" t="s">
        <v>30</v>
      </c>
      <c r="G309">
        <v>19</v>
      </c>
      <c r="H309">
        <v>341</v>
      </c>
      <c r="I309" s="5">
        <f>VLOOKUP(TrendSheetStgData[Population]&amp;TrendSheetStgData[Cost Basis]&amp;TrendSheetStgData[Period]&amp;TrendSheetStgData[Trend],TrendSheetPrdData[#All],9,FALSE)</f>
        <v>341</v>
      </c>
      <c r="J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 s="5">
        <f>VLOOKUP(TrendSheetStgData[Population]&amp;TrendSheetStgData[Trend],Threshold[#All],4,FALSE)</f>
        <v>10</v>
      </c>
      <c r="L309" s="5">
        <f>VLOOKUP(TrendSheetStgData[Population]&amp;TrendSheetStgData[Trend],Threshold[#All],5,FALSE)</f>
        <v>5</v>
      </c>
      <c r="M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 spans="1:13" x14ac:dyDescent="0.25">
      <c r="A310" t="s">
        <v>90</v>
      </c>
      <c r="B310" t="s">
        <v>90</v>
      </c>
      <c r="C310" t="s">
        <v>91</v>
      </c>
      <c r="D310" s="1" t="s">
        <v>95</v>
      </c>
      <c r="E310" t="s">
        <v>93</v>
      </c>
      <c r="F310" t="s">
        <v>30</v>
      </c>
      <c r="G310">
        <v>19</v>
      </c>
      <c r="H310">
        <v>234</v>
      </c>
      <c r="I310" s="5">
        <f>VLOOKUP(TrendSheetStgData[Population]&amp;TrendSheetStgData[Cost Basis]&amp;TrendSheetStgData[Period]&amp;TrendSheetStgData[Trend],TrendSheetPrdData[#All],9,FALSE)</f>
        <v>234</v>
      </c>
      <c r="J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 s="5">
        <f>VLOOKUP(TrendSheetStgData[Population]&amp;TrendSheetStgData[Trend],Threshold[#All],4,FALSE)</f>
        <v>10</v>
      </c>
      <c r="L310" s="5">
        <f>VLOOKUP(TrendSheetStgData[Population]&amp;TrendSheetStgData[Trend],Threshold[#All],5,FALSE)</f>
        <v>5</v>
      </c>
      <c r="M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 spans="1:13" x14ac:dyDescent="0.25">
      <c r="A311" t="s">
        <v>90</v>
      </c>
      <c r="B311" t="s">
        <v>90</v>
      </c>
      <c r="C311" t="s">
        <v>91</v>
      </c>
      <c r="D311" s="1" t="s">
        <v>96</v>
      </c>
      <c r="E311" t="s">
        <v>93</v>
      </c>
      <c r="F311" t="s">
        <v>30</v>
      </c>
      <c r="G311">
        <v>19</v>
      </c>
      <c r="H311">
        <v>326</v>
      </c>
      <c r="I311" s="5">
        <f>VLOOKUP(TrendSheetStgData[Population]&amp;TrendSheetStgData[Cost Basis]&amp;TrendSheetStgData[Period]&amp;TrendSheetStgData[Trend],TrendSheetPrdData[#All],9,FALSE)</f>
        <v>326</v>
      </c>
      <c r="J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 s="5">
        <f>VLOOKUP(TrendSheetStgData[Population]&amp;TrendSheetStgData[Trend],Threshold[#All],4,FALSE)</f>
        <v>10</v>
      </c>
      <c r="L311" s="5">
        <f>VLOOKUP(TrendSheetStgData[Population]&amp;TrendSheetStgData[Trend],Threshold[#All],5,FALSE)</f>
        <v>5</v>
      </c>
      <c r="M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 spans="1:13" x14ac:dyDescent="0.25">
      <c r="A312" t="s">
        <v>90</v>
      </c>
      <c r="B312" t="s">
        <v>90</v>
      </c>
      <c r="C312" t="s">
        <v>91</v>
      </c>
      <c r="D312" s="1" t="s">
        <v>97</v>
      </c>
      <c r="E312" t="s">
        <v>93</v>
      </c>
      <c r="F312" t="s">
        <v>30</v>
      </c>
      <c r="G312">
        <v>19</v>
      </c>
      <c r="H312">
        <v>343</v>
      </c>
      <c r="I312" s="5">
        <f>VLOOKUP(TrendSheetStgData[Population]&amp;TrendSheetStgData[Cost Basis]&amp;TrendSheetStgData[Period]&amp;TrendSheetStgData[Trend],TrendSheetPrdData[#All],9,FALSE)</f>
        <v>343</v>
      </c>
      <c r="J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 s="5">
        <f>VLOOKUP(TrendSheetStgData[Population]&amp;TrendSheetStgData[Trend],Threshold[#All],4,FALSE)</f>
        <v>10</v>
      </c>
      <c r="L312" s="5">
        <f>VLOOKUP(TrendSheetStgData[Population]&amp;TrendSheetStgData[Trend],Threshold[#All],5,FALSE)</f>
        <v>5</v>
      </c>
      <c r="M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 spans="1:13" x14ac:dyDescent="0.25">
      <c r="A313" t="s">
        <v>90</v>
      </c>
      <c r="B313" t="s">
        <v>90</v>
      </c>
      <c r="C313" t="s">
        <v>91</v>
      </c>
      <c r="D313" s="1" t="s">
        <v>98</v>
      </c>
      <c r="E313" t="s">
        <v>93</v>
      </c>
      <c r="F313" t="s">
        <v>30</v>
      </c>
      <c r="G313">
        <v>19</v>
      </c>
      <c r="H313">
        <v>212</v>
      </c>
      <c r="I313" s="5">
        <f>VLOOKUP(TrendSheetStgData[Population]&amp;TrendSheetStgData[Cost Basis]&amp;TrendSheetStgData[Period]&amp;TrendSheetStgData[Trend],TrendSheetPrdData[#All],9,FALSE)</f>
        <v>212</v>
      </c>
      <c r="J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 s="5">
        <f>VLOOKUP(TrendSheetStgData[Population]&amp;TrendSheetStgData[Trend],Threshold[#All],4,FALSE)</f>
        <v>10</v>
      </c>
      <c r="L313" s="5">
        <f>VLOOKUP(TrendSheetStgData[Population]&amp;TrendSheetStgData[Trend],Threshold[#All],5,FALSE)</f>
        <v>5</v>
      </c>
      <c r="M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 spans="1:13" x14ac:dyDescent="0.25">
      <c r="A314" t="s">
        <v>90</v>
      </c>
      <c r="B314" t="s">
        <v>90</v>
      </c>
      <c r="C314" t="s">
        <v>91</v>
      </c>
      <c r="D314" s="1" t="s">
        <v>99</v>
      </c>
      <c r="E314" t="s">
        <v>93</v>
      </c>
      <c r="F314" t="s">
        <v>30</v>
      </c>
      <c r="G314">
        <v>19</v>
      </c>
      <c r="H314">
        <v>423</v>
      </c>
      <c r="I314" s="5">
        <f>VLOOKUP(TrendSheetStgData[Population]&amp;TrendSheetStgData[Cost Basis]&amp;TrendSheetStgData[Period]&amp;TrendSheetStgData[Trend],TrendSheetPrdData[#All],9,FALSE)</f>
        <v>423</v>
      </c>
      <c r="J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 s="5">
        <f>VLOOKUP(TrendSheetStgData[Population]&amp;TrendSheetStgData[Trend],Threshold[#All],4,FALSE)</f>
        <v>10</v>
      </c>
      <c r="L314" s="5">
        <f>VLOOKUP(TrendSheetStgData[Population]&amp;TrendSheetStgData[Trend],Threshold[#All],5,FALSE)</f>
        <v>5</v>
      </c>
      <c r="M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 spans="1:13" x14ac:dyDescent="0.25">
      <c r="A315" t="s">
        <v>90</v>
      </c>
      <c r="B315" t="s">
        <v>90</v>
      </c>
      <c r="C315" t="s">
        <v>91</v>
      </c>
      <c r="D315" s="1" t="s">
        <v>100</v>
      </c>
      <c r="E315" t="s">
        <v>93</v>
      </c>
      <c r="F315" t="s">
        <v>30</v>
      </c>
      <c r="G315">
        <v>19</v>
      </c>
      <c r="H315">
        <v>319</v>
      </c>
      <c r="I315" s="5">
        <f>VLOOKUP(TrendSheetStgData[Population]&amp;TrendSheetStgData[Cost Basis]&amp;TrendSheetStgData[Period]&amp;TrendSheetStgData[Trend],TrendSheetPrdData[#All],9,FALSE)</f>
        <v>319</v>
      </c>
      <c r="J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 s="5">
        <f>VLOOKUP(TrendSheetStgData[Population]&amp;TrendSheetStgData[Trend],Threshold[#All],4,FALSE)</f>
        <v>10</v>
      </c>
      <c r="L315" s="5">
        <f>VLOOKUP(TrendSheetStgData[Population]&amp;TrendSheetStgData[Trend],Threshold[#All],5,FALSE)</f>
        <v>5</v>
      </c>
      <c r="M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 spans="1:13" x14ac:dyDescent="0.25">
      <c r="A316" t="s">
        <v>90</v>
      </c>
      <c r="B316" t="s">
        <v>90</v>
      </c>
      <c r="C316" t="s">
        <v>91</v>
      </c>
      <c r="D316" s="1" t="s">
        <v>101</v>
      </c>
      <c r="E316" t="s">
        <v>93</v>
      </c>
      <c r="F316" t="s">
        <v>30</v>
      </c>
      <c r="G316">
        <v>19</v>
      </c>
      <c r="H316">
        <v>317</v>
      </c>
      <c r="I316" s="5">
        <f>VLOOKUP(TrendSheetStgData[Population]&amp;TrendSheetStgData[Cost Basis]&amp;TrendSheetStgData[Period]&amp;TrendSheetStgData[Trend],TrendSheetPrdData[#All],9,FALSE)</f>
        <v>317</v>
      </c>
      <c r="J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 s="5">
        <f>VLOOKUP(TrendSheetStgData[Population]&amp;TrendSheetStgData[Trend],Threshold[#All],4,FALSE)</f>
        <v>10</v>
      </c>
      <c r="L316" s="5">
        <f>VLOOKUP(TrendSheetStgData[Population]&amp;TrendSheetStgData[Trend],Threshold[#All],5,FALSE)</f>
        <v>5</v>
      </c>
      <c r="M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 spans="1:13" x14ac:dyDescent="0.25">
      <c r="A317" t="s">
        <v>90</v>
      </c>
      <c r="B317" t="s">
        <v>90</v>
      </c>
      <c r="C317" t="s">
        <v>91</v>
      </c>
      <c r="D317" s="1" t="s">
        <v>102</v>
      </c>
      <c r="E317" t="s">
        <v>93</v>
      </c>
      <c r="F317" t="s">
        <v>30</v>
      </c>
      <c r="G317">
        <v>19</v>
      </c>
      <c r="H317">
        <v>277</v>
      </c>
      <c r="I317" s="5">
        <f>VLOOKUP(TrendSheetStgData[Population]&amp;TrendSheetStgData[Cost Basis]&amp;TrendSheetStgData[Period]&amp;TrendSheetStgData[Trend],TrendSheetPrdData[#All],9,FALSE)</f>
        <v>277</v>
      </c>
      <c r="J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 s="5">
        <f>VLOOKUP(TrendSheetStgData[Population]&amp;TrendSheetStgData[Trend],Threshold[#All],4,FALSE)</f>
        <v>10</v>
      </c>
      <c r="L317" s="5">
        <f>VLOOKUP(TrendSheetStgData[Population]&amp;TrendSheetStgData[Trend],Threshold[#All],5,FALSE)</f>
        <v>5</v>
      </c>
      <c r="M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 spans="1:13" x14ac:dyDescent="0.25">
      <c r="A318" t="s">
        <v>90</v>
      </c>
      <c r="B318" t="s">
        <v>90</v>
      </c>
      <c r="C318" t="s">
        <v>91</v>
      </c>
      <c r="D318" s="1" t="s">
        <v>103</v>
      </c>
      <c r="E318" t="s">
        <v>93</v>
      </c>
      <c r="F318" t="s">
        <v>30</v>
      </c>
      <c r="G318">
        <v>19</v>
      </c>
      <c r="H318">
        <v>194</v>
      </c>
      <c r="I318" s="5">
        <f>VLOOKUP(TrendSheetStgData[Population]&amp;TrendSheetStgData[Cost Basis]&amp;TrendSheetStgData[Period]&amp;TrendSheetStgData[Trend],TrendSheetPrdData[#All],9,FALSE)</f>
        <v>194</v>
      </c>
      <c r="J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 s="5">
        <f>VLOOKUP(TrendSheetStgData[Population]&amp;TrendSheetStgData[Trend],Threshold[#All],4,FALSE)</f>
        <v>10</v>
      </c>
      <c r="L318" s="5">
        <f>VLOOKUP(TrendSheetStgData[Population]&amp;TrendSheetStgData[Trend],Threshold[#All],5,FALSE)</f>
        <v>5</v>
      </c>
      <c r="M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 spans="1:13" x14ac:dyDescent="0.25">
      <c r="A319" t="s">
        <v>90</v>
      </c>
      <c r="B319" t="s">
        <v>90</v>
      </c>
      <c r="C319" t="s">
        <v>91</v>
      </c>
      <c r="D319" s="1" t="s">
        <v>104</v>
      </c>
      <c r="E319" t="s">
        <v>93</v>
      </c>
      <c r="F319" t="s">
        <v>30</v>
      </c>
      <c r="G319">
        <v>19</v>
      </c>
      <c r="H319">
        <v>261</v>
      </c>
      <c r="I319" s="5">
        <f>VLOOKUP(TrendSheetStgData[Population]&amp;TrendSheetStgData[Cost Basis]&amp;TrendSheetStgData[Period]&amp;TrendSheetStgData[Trend],TrendSheetPrdData[#All],9,FALSE)</f>
        <v>261</v>
      </c>
      <c r="J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 s="5">
        <f>VLOOKUP(TrendSheetStgData[Population]&amp;TrendSheetStgData[Trend],Threshold[#All],4,FALSE)</f>
        <v>10</v>
      </c>
      <c r="L319" s="5">
        <f>VLOOKUP(TrendSheetStgData[Population]&amp;TrendSheetStgData[Trend],Threshold[#All],5,FALSE)</f>
        <v>5</v>
      </c>
      <c r="M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 spans="1:13" x14ac:dyDescent="0.25">
      <c r="A320" t="s">
        <v>90</v>
      </c>
      <c r="B320" t="s">
        <v>90</v>
      </c>
      <c r="C320" t="s">
        <v>91</v>
      </c>
      <c r="D320" s="1" t="s">
        <v>105</v>
      </c>
      <c r="E320" t="s">
        <v>93</v>
      </c>
      <c r="F320" t="s">
        <v>30</v>
      </c>
      <c r="G320">
        <v>19</v>
      </c>
      <c r="H320">
        <v>206</v>
      </c>
      <c r="I320" s="5">
        <f>VLOOKUP(TrendSheetStgData[Population]&amp;TrendSheetStgData[Cost Basis]&amp;TrendSheetStgData[Period]&amp;TrendSheetStgData[Trend],TrendSheetPrdData[#All],9,FALSE)</f>
        <v>206</v>
      </c>
      <c r="J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 s="5">
        <f>VLOOKUP(TrendSheetStgData[Population]&amp;TrendSheetStgData[Trend],Threshold[#All],4,FALSE)</f>
        <v>10</v>
      </c>
      <c r="L320" s="5">
        <f>VLOOKUP(TrendSheetStgData[Population]&amp;TrendSheetStgData[Trend],Threshold[#All],5,FALSE)</f>
        <v>5</v>
      </c>
      <c r="M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1" spans="1:13" x14ac:dyDescent="0.25">
      <c r="A321" t="s">
        <v>90</v>
      </c>
      <c r="B321" t="s">
        <v>90</v>
      </c>
      <c r="C321" t="s">
        <v>91</v>
      </c>
      <c r="D321" s="1" t="s">
        <v>106</v>
      </c>
      <c r="E321" t="s">
        <v>93</v>
      </c>
      <c r="F321" t="s">
        <v>30</v>
      </c>
      <c r="G321">
        <v>19</v>
      </c>
      <c r="H321">
        <v>264</v>
      </c>
      <c r="I321" s="5">
        <f>VLOOKUP(TrendSheetStgData[Population]&amp;TrendSheetStgData[Cost Basis]&amp;TrendSheetStgData[Period]&amp;TrendSheetStgData[Trend],TrendSheetPrdData[#All],9,FALSE)</f>
        <v>264</v>
      </c>
      <c r="J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 s="5">
        <f>VLOOKUP(TrendSheetStgData[Population]&amp;TrendSheetStgData[Trend],Threshold[#All],4,FALSE)</f>
        <v>10</v>
      </c>
      <c r="L321" s="5">
        <f>VLOOKUP(TrendSheetStgData[Population]&amp;TrendSheetStgData[Trend],Threshold[#All],5,FALSE)</f>
        <v>5</v>
      </c>
      <c r="M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 spans="1:13" x14ac:dyDescent="0.25">
      <c r="A322" t="s">
        <v>90</v>
      </c>
      <c r="B322" t="s">
        <v>90</v>
      </c>
      <c r="C322" t="s">
        <v>91</v>
      </c>
      <c r="D322" s="1" t="s">
        <v>107</v>
      </c>
      <c r="E322" t="s">
        <v>108</v>
      </c>
      <c r="F322" t="s">
        <v>30</v>
      </c>
      <c r="G322">
        <v>19</v>
      </c>
      <c r="H322">
        <v>257</v>
      </c>
      <c r="I322" s="5">
        <f>VLOOKUP(TrendSheetStgData[Population]&amp;TrendSheetStgData[Cost Basis]&amp;TrendSheetStgData[Period]&amp;TrendSheetStgData[Trend],TrendSheetPrdData[#All],9,FALSE)</f>
        <v>257</v>
      </c>
      <c r="J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 s="5">
        <f>VLOOKUP(TrendSheetStgData[Population]&amp;TrendSheetStgData[Trend],Threshold[#All],4,FALSE)</f>
        <v>10</v>
      </c>
      <c r="L322" s="5">
        <f>VLOOKUP(TrendSheetStgData[Population]&amp;TrendSheetStgData[Trend],Threshold[#All],5,FALSE)</f>
        <v>5</v>
      </c>
      <c r="M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 spans="1:13" x14ac:dyDescent="0.25">
      <c r="A323" t="s">
        <v>90</v>
      </c>
      <c r="B323" t="s">
        <v>90</v>
      </c>
      <c r="C323" t="s">
        <v>91</v>
      </c>
      <c r="D323" s="1" t="s">
        <v>109</v>
      </c>
      <c r="E323" t="s">
        <v>108</v>
      </c>
      <c r="F323" t="s">
        <v>30</v>
      </c>
      <c r="G323">
        <v>19</v>
      </c>
      <c r="H323">
        <v>155</v>
      </c>
      <c r="I323" s="5">
        <f>VLOOKUP(TrendSheetStgData[Population]&amp;TrendSheetStgData[Cost Basis]&amp;TrendSheetStgData[Period]&amp;TrendSheetStgData[Trend],TrendSheetPrdData[#All],9,FALSE)</f>
        <v>155</v>
      </c>
      <c r="J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 s="5">
        <f>VLOOKUP(TrendSheetStgData[Population]&amp;TrendSheetStgData[Trend],Threshold[#All],4,FALSE)</f>
        <v>10</v>
      </c>
      <c r="L323" s="5">
        <f>VLOOKUP(TrendSheetStgData[Population]&amp;TrendSheetStgData[Trend],Threshold[#All],5,FALSE)</f>
        <v>5</v>
      </c>
      <c r="M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4" spans="1:13" x14ac:dyDescent="0.25">
      <c r="A324" t="s">
        <v>90</v>
      </c>
      <c r="B324" t="s">
        <v>90</v>
      </c>
      <c r="C324" t="s">
        <v>91</v>
      </c>
      <c r="D324" s="1" t="s">
        <v>110</v>
      </c>
      <c r="E324" t="s">
        <v>108</v>
      </c>
      <c r="F324" t="s">
        <v>30</v>
      </c>
      <c r="G324">
        <v>19</v>
      </c>
      <c r="H324">
        <v>133</v>
      </c>
      <c r="I324" s="5">
        <f>VLOOKUP(TrendSheetStgData[Population]&amp;TrendSheetStgData[Cost Basis]&amp;TrendSheetStgData[Period]&amp;TrendSheetStgData[Trend],TrendSheetPrdData[#All],9,FALSE)</f>
        <v>133</v>
      </c>
      <c r="J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4" s="5">
        <f>VLOOKUP(TrendSheetStgData[Population]&amp;TrendSheetStgData[Trend],Threshold[#All],4,FALSE)</f>
        <v>10</v>
      </c>
      <c r="L324" s="5">
        <f>VLOOKUP(TrendSheetStgData[Population]&amp;TrendSheetStgData[Trend],Threshold[#All],5,FALSE)</f>
        <v>5</v>
      </c>
      <c r="M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5" spans="1:13" x14ac:dyDescent="0.25">
      <c r="A325" t="s">
        <v>90</v>
      </c>
      <c r="B325" t="s">
        <v>90</v>
      </c>
      <c r="C325" t="s">
        <v>91</v>
      </c>
      <c r="D325" s="1" t="s">
        <v>92</v>
      </c>
      <c r="E325" t="s">
        <v>93</v>
      </c>
      <c r="F325" t="s">
        <v>31</v>
      </c>
      <c r="G325">
        <v>20</v>
      </c>
      <c r="H325">
        <v>3984</v>
      </c>
      <c r="I325" s="5">
        <f>VLOOKUP(TrendSheetStgData[Population]&amp;TrendSheetStgData[Cost Basis]&amp;TrendSheetStgData[Period]&amp;TrendSheetStgData[Trend],TrendSheetPrdData[#All],9,FALSE)</f>
        <v>3984</v>
      </c>
      <c r="J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5" s="5">
        <f>VLOOKUP(TrendSheetStgData[Population]&amp;TrendSheetStgData[Trend],Threshold[#All],4,FALSE)</f>
        <v>10</v>
      </c>
      <c r="L325" s="5">
        <f>VLOOKUP(TrendSheetStgData[Population]&amp;TrendSheetStgData[Trend],Threshold[#All],5,FALSE)</f>
        <v>5</v>
      </c>
      <c r="M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 spans="1:13" x14ac:dyDescent="0.25">
      <c r="A326" t="s">
        <v>90</v>
      </c>
      <c r="B326" t="s">
        <v>90</v>
      </c>
      <c r="C326" t="s">
        <v>91</v>
      </c>
      <c r="D326" s="1" t="s">
        <v>94</v>
      </c>
      <c r="E326" t="s">
        <v>93</v>
      </c>
      <c r="F326" t="s">
        <v>31</v>
      </c>
      <c r="G326">
        <v>20</v>
      </c>
      <c r="H326">
        <v>3674</v>
      </c>
      <c r="I326" s="5">
        <f>VLOOKUP(TrendSheetStgData[Population]&amp;TrendSheetStgData[Cost Basis]&amp;TrendSheetStgData[Period]&amp;TrendSheetStgData[Trend],TrendSheetPrdData[#All],9,FALSE)</f>
        <v>3674</v>
      </c>
      <c r="J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 s="5">
        <f>VLOOKUP(TrendSheetStgData[Population]&amp;TrendSheetStgData[Trend],Threshold[#All],4,FALSE)</f>
        <v>10</v>
      </c>
      <c r="L326" s="5">
        <f>VLOOKUP(TrendSheetStgData[Population]&amp;TrendSheetStgData[Trend],Threshold[#All],5,FALSE)</f>
        <v>5</v>
      </c>
      <c r="M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 spans="1:13" x14ac:dyDescent="0.25">
      <c r="A327" t="s">
        <v>90</v>
      </c>
      <c r="B327" t="s">
        <v>90</v>
      </c>
      <c r="C327" t="s">
        <v>91</v>
      </c>
      <c r="D327" s="1" t="s">
        <v>95</v>
      </c>
      <c r="E327" t="s">
        <v>93</v>
      </c>
      <c r="F327" t="s">
        <v>31</v>
      </c>
      <c r="G327">
        <v>20</v>
      </c>
      <c r="H327">
        <v>3747</v>
      </c>
      <c r="I327" s="5">
        <f>VLOOKUP(TrendSheetStgData[Population]&amp;TrendSheetStgData[Cost Basis]&amp;TrendSheetStgData[Period]&amp;TrendSheetStgData[Trend],TrendSheetPrdData[#All],9,FALSE)</f>
        <v>3747</v>
      </c>
      <c r="J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 s="5">
        <f>VLOOKUP(TrendSheetStgData[Population]&amp;TrendSheetStgData[Trend],Threshold[#All],4,FALSE)</f>
        <v>10</v>
      </c>
      <c r="L327" s="5">
        <f>VLOOKUP(TrendSheetStgData[Population]&amp;TrendSheetStgData[Trend],Threshold[#All],5,FALSE)</f>
        <v>5</v>
      </c>
      <c r="M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 spans="1:13" x14ac:dyDescent="0.25">
      <c r="A328" t="s">
        <v>90</v>
      </c>
      <c r="B328" t="s">
        <v>90</v>
      </c>
      <c r="C328" t="s">
        <v>91</v>
      </c>
      <c r="D328" s="1" t="s">
        <v>96</v>
      </c>
      <c r="E328" t="s">
        <v>93</v>
      </c>
      <c r="F328" t="s">
        <v>31</v>
      </c>
      <c r="G328">
        <v>20</v>
      </c>
      <c r="H328">
        <v>3976</v>
      </c>
      <c r="I328" s="5">
        <f>VLOOKUP(TrendSheetStgData[Population]&amp;TrendSheetStgData[Cost Basis]&amp;TrendSheetStgData[Period]&amp;TrendSheetStgData[Trend],TrendSheetPrdData[#All],9,FALSE)</f>
        <v>3976</v>
      </c>
      <c r="J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 s="5">
        <f>VLOOKUP(TrendSheetStgData[Population]&amp;TrendSheetStgData[Trend],Threshold[#All],4,FALSE)</f>
        <v>10</v>
      </c>
      <c r="L328" s="5">
        <f>VLOOKUP(TrendSheetStgData[Population]&amp;TrendSheetStgData[Trend],Threshold[#All],5,FALSE)</f>
        <v>5</v>
      </c>
      <c r="M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9" spans="1:13" x14ac:dyDescent="0.25">
      <c r="A329" t="s">
        <v>90</v>
      </c>
      <c r="B329" t="s">
        <v>90</v>
      </c>
      <c r="C329" t="s">
        <v>91</v>
      </c>
      <c r="D329" s="1" t="s">
        <v>97</v>
      </c>
      <c r="E329" t="s">
        <v>93</v>
      </c>
      <c r="F329" t="s">
        <v>31</v>
      </c>
      <c r="G329">
        <v>20</v>
      </c>
      <c r="H329">
        <v>3343</v>
      </c>
      <c r="I329" s="5">
        <f>VLOOKUP(TrendSheetStgData[Population]&amp;TrendSheetStgData[Cost Basis]&amp;TrendSheetStgData[Period]&amp;TrendSheetStgData[Trend],TrendSheetPrdData[#All],9,FALSE)</f>
        <v>3343</v>
      </c>
      <c r="J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9" s="5">
        <f>VLOOKUP(TrendSheetStgData[Population]&amp;TrendSheetStgData[Trend],Threshold[#All],4,FALSE)</f>
        <v>10</v>
      </c>
      <c r="L329" s="5">
        <f>VLOOKUP(TrendSheetStgData[Population]&amp;TrendSheetStgData[Trend],Threshold[#All],5,FALSE)</f>
        <v>5</v>
      </c>
      <c r="M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 spans="1:13" x14ac:dyDescent="0.25">
      <c r="A330" t="s">
        <v>90</v>
      </c>
      <c r="B330" t="s">
        <v>90</v>
      </c>
      <c r="C330" t="s">
        <v>91</v>
      </c>
      <c r="D330" s="1" t="s">
        <v>98</v>
      </c>
      <c r="E330" t="s">
        <v>93</v>
      </c>
      <c r="F330" t="s">
        <v>31</v>
      </c>
      <c r="G330">
        <v>20</v>
      </c>
      <c r="H330">
        <v>3510</v>
      </c>
      <c r="I330" s="5">
        <f>VLOOKUP(TrendSheetStgData[Population]&amp;TrendSheetStgData[Cost Basis]&amp;TrendSheetStgData[Period]&amp;TrendSheetStgData[Trend],TrendSheetPrdData[#All],9,FALSE)</f>
        <v>3510</v>
      </c>
      <c r="J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 s="5">
        <f>VLOOKUP(TrendSheetStgData[Population]&amp;TrendSheetStgData[Trend],Threshold[#All],4,FALSE)</f>
        <v>10</v>
      </c>
      <c r="L330" s="5">
        <f>VLOOKUP(TrendSheetStgData[Population]&amp;TrendSheetStgData[Trend],Threshold[#All],5,FALSE)</f>
        <v>5</v>
      </c>
      <c r="M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1" spans="1:13" x14ac:dyDescent="0.25">
      <c r="A331" t="s">
        <v>90</v>
      </c>
      <c r="B331" t="s">
        <v>90</v>
      </c>
      <c r="C331" t="s">
        <v>91</v>
      </c>
      <c r="D331" s="1" t="s">
        <v>99</v>
      </c>
      <c r="E331" t="s">
        <v>93</v>
      </c>
      <c r="F331" t="s">
        <v>31</v>
      </c>
      <c r="G331">
        <v>20</v>
      </c>
      <c r="H331">
        <v>2866</v>
      </c>
      <c r="I331" s="5">
        <f>VLOOKUP(TrendSheetStgData[Population]&amp;TrendSheetStgData[Cost Basis]&amp;TrendSheetStgData[Period]&amp;TrendSheetStgData[Trend],TrendSheetPrdData[#All],9,FALSE)</f>
        <v>2866</v>
      </c>
      <c r="J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1" s="5">
        <f>VLOOKUP(TrendSheetStgData[Population]&amp;TrendSheetStgData[Trend],Threshold[#All],4,FALSE)</f>
        <v>10</v>
      </c>
      <c r="L331" s="5">
        <f>VLOOKUP(TrendSheetStgData[Population]&amp;TrendSheetStgData[Trend],Threshold[#All],5,FALSE)</f>
        <v>5</v>
      </c>
      <c r="M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2" spans="1:13" x14ac:dyDescent="0.25">
      <c r="A332" t="s">
        <v>90</v>
      </c>
      <c r="B332" t="s">
        <v>90</v>
      </c>
      <c r="C332" t="s">
        <v>91</v>
      </c>
      <c r="D332" s="1" t="s">
        <v>100</v>
      </c>
      <c r="E332" t="s">
        <v>93</v>
      </c>
      <c r="F332" t="s">
        <v>31</v>
      </c>
      <c r="G332">
        <v>20</v>
      </c>
      <c r="H332">
        <v>3160</v>
      </c>
      <c r="I332" s="5">
        <f>VLOOKUP(TrendSheetStgData[Population]&amp;TrendSheetStgData[Cost Basis]&amp;TrendSheetStgData[Period]&amp;TrendSheetStgData[Trend],TrendSheetPrdData[#All],9,FALSE)</f>
        <v>3160</v>
      </c>
      <c r="J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2" s="5">
        <f>VLOOKUP(TrendSheetStgData[Population]&amp;TrendSheetStgData[Trend],Threshold[#All],4,FALSE)</f>
        <v>10</v>
      </c>
      <c r="L332" s="5">
        <f>VLOOKUP(TrendSheetStgData[Population]&amp;TrendSheetStgData[Trend],Threshold[#All],5,FALSE)</f>
        <v>5</v>
      </c>
      <c r="M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3" spans="1:13" x14ac:dyDescent="0.25">
      <c r="A333" t="s">
        <v>90</v>
      </c>
      <c r="B333" t="s">
        <v>90</v>
      </c>
      <c r="C333" t="s">
        <v>91</v>
      </c>
      <c r="D333" s="1" t="s">
        <v>101</v>
      </c>
      <c r="E333" t="s">
        <v>93</v>
      </c>
      <c r="F333" t="s">
        <v>31</v>
      </c>
      <c r="G333">
        <v>20</v>
      </c>
      <c r="H333">
        <v>2983</v>
      </c>
      <c r="I333" s="5">
        <f>VLOOKUP(TrendSheetStgData[Population]&amp;TrendSheetStgData[Cost Basis]&amp;TrendSheetStgData[Period]&amp;TrendSheetStgData[Trend],TrendSheetPrdData[#All],9,FALSE)</f>
        <v>2983</v>
      </c>
      <c r="J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3" s="5">
        <f>VLOOKUP(TrendSheetStgData[Population]&amp;TrendSheetStgData[Trend],Threshold[#All],4,FALSE)</f>
        <v>10</v>
      </c>
      <c r="L333" s="5">
        <f>VLOOKUP(TrendSheetStgData[Population]&amp;TrendSheetStgData[Trend],Threshold[#All],5,FALSE)</f>
        <v>5</v>
      </c>
      <c r="M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4" spans="1:13" x14ac:dyDescent="0.25">
      <c r="A334" t="s">
        <v>90</v>
      </c>
      <c r="B334" t="s">
        <v>90</v>
      </c>
      <c r="C334" t="s">
        <v>91</v>
      </c>
      <c r="D334" s="1" t="s">
        <v>102</v>
      </c>
      <c r="E334" t="s">
        <v>93</v>
      </c>
      <c r="F334" t="s">
        <v>31</v>
      </c>
      <c r="G334">
        <v>20</v>
      </c>
      <c r="H334">
        <v>3085</v>
      </c>
      <c r="I334" s="5">
        <f>VLOOKUP(TrendSheetStgData[Population]&amp;TrendSheetStgData[Cost Basis]&amp;TrendSheetStgData[Period]&amp;TrendSheetStgData[Trend],TrendSheetPrdData[#All],9,FALSE)</f>
        <v>3085</v>
      </c>
      <c r="J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 s="5">
        <f>VLOOKUP(TrendSheetStgData[Population]&amp;TrendSheetStgData[Trend],Threshold[#All],4,FALSE)</f>
        <v>10</v>
      </c>
      <c r="L334" s="5">
        <f>VLOOKUP(TrendSheetStgData[Population]&amp;TrendSheetStgData[Trend],Threshold[#All],5,FALSE)</f>
        <v>5</v>
      </c>
      <c r="M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5" spans="1:13" x14ac:dyDescent="0.25">
      <c r="A335" t="s">
        <v>90</v>
      </c>
      <c r="B335" t="s">
        <v>90</v>
      </c>
      <c r="C335" t="s">
        <v>91</v>
      </c>
      <c r="D335" s="1" t="s">
        <v>103</v>
      </c>
      <c r="E335" t="s">
        <v>93</v>
      </c>
      <c r="F335" t="s">
        <v>31</v>
      </c>
      <c r="G335">
        <v>20</v>
      </c>
      <c r="H335">
        <v>3212</v>
      </c>
      <c r="I335" s="5">
        <f>VLOOKUP(TrendSheetStgData[Population]&amp;TrendSheetStgData[Cost Basis]&amp;TrendSheetStgData[Period]&amp;TrendSheetStgData[Trend],TrendSheetPrdData[#All],9,FALSE)</f>
        <v>3212</v>
      </c>
      <c r="J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5" s="5">
        <f>VLOOKUP(TrendSheetStgData[Population]&amp;TrendSheetStgData[Trend],Threshold[#All],4,FALSE)</f>
        <v>10</v>
      </c>
      <c r="L335" s="5">
        <f>VLOOKUP(TrendSheetStgData[Population]&amp;TrendSheetStgData[Trend],Threshold[#All],5,FALSE)</f>
        <v>5</v>
      </c>
      <c r="M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 spans="1:13" x14ac:dyDescent="0.25">
      <c r="A336" t="s">
        <v>90</v>
      </c>
      <c r="B336" t="s">
        <v>90</v>
      </c>
      <c r="C336" t="s">
        <v>91</v>
      </c>
      <c r="D336" s="1" t="s">
        <v>104</v>
      </c>
      <c r="E336" t="s">
        <v>93</v>
      </c>
      <c r="F336" t="s">
        <v>31</v>
      </c>
      <c r="G336">
        <v>20</v>
      </c>
      <c r="H336">
        <v>3042</v>
      </c>
      <c r="I336" s="5">
        <f>VLOOKUP(TrendSheetStgData[Population]&amp;TrendSheetStgData[Cost Basis]&amp;TrendSheetStgData[Period]&amp;TrendSheetStgData[Trend],TrendSheetPrdData[#All],9,FALSE)</f>
        <v>3042</v>
      </c>
      <c r="J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 s="5">
        <f>VLOOKUP(TrendSheetStgData[Population]&amp;TrendSheetStgData[Trend],Threshold[#All],4,FALSE)</f>
        <v>10</v>
      </c>
      <c r="L336" s="5">
        <f>VLOOKUP(TrendSheetStgData[Population]&amp;TrendSheetStgData[Trend],Threshold[#All],5,FALSE)</f>
        <v>5</v>
      </c>
      <c r="M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 spans="1:13" x14ac:dyDescent="0.25">
      <c r="A337" t="s">
        <v>90</v>
      </c>
      <c r="B337" t="s">
        <v>90</v>
      </c>
      <c r="C337" t="s">
        <v>91</v>
      </c>
      <c r="D337" s="1" t="s">
        <v>105</v>
      </c>
      <c r="E337" t="s">
        <v>93</v>
      </c>
      <c r="F337" t="s">
        <v>31</v>
      </c>
      <c r="G337">
        <v>20</v>
      </c>
      <c r="H337">
        <v>3456</v>
      </c>
      <c r="I337" s="5">
        <f>VLOOKUP(TrendSheetStgData[Population]&amp;TrendSheetStgData[Cost Basis]&amp;TrendSheetStgData[Period]&amp;TrendSheetStgData[Trend],TrendSheetPrdData[#All],9,FALSE)</f>
        <v>3456</v>
      </c>
      <c r="J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 s="5">
        <f>VLOOKUP(TrendSheetStgData[Population]&amp;TrendSheetStgData[Trend],Threshold[#All],4,FALSE)</f>
        <v>10</v>
      </c>
      <c r="L337" s="5">
        <f>VLOOKUP(TrendSheetStgData[Population]&amp;TrendSheetStgData[Trend],Threshold[#All],5,FALSE)</f>
        <v>5</v>
      </c>
      <c r="M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8" spans="1:13" x14ac:dyDescent="0.25">
      <c r="A338" t="s">
        <v>90</v>
      </c>
      <c r="B338" t="s">
        <v>90</v>
      </c>
      <c r="C338" t="s">
        <v>91</v>
      </c>
      <c r="D338" s="1" t="s">
        <v>106</v>
      </c>
      <c r="E338" t="s">
        <v>93</v>
      </c>
      <c r="F338" t="s">
        <v>31</v>
      </c>
      <c r="G338">
        <v>20</v>
      </c>
      <c r="H338">
        <v>3184</v>
      </c>
      <c r="I338" s="5">
        <f>VLOOKUP(TrendSheetStgData[Population]&amp;TrendSheetStgData[Cost Basis]&amp;TrendSheetStgData[Period]&amp;TrendSheetStgData[Trend],TrendSheetPrdData[#All],9,FALSE)</f>
        <v>3184</v>
      </c>
      <c r="J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8" s="5">
        <f>VLOOKUP(TrendSheetStgData[Population]&amp;TrendSheetStgData[Trend],Threshold[#All],4,FALSE)</f>
        <v>10</v>
      </c>
      <c r="L338" s="5">
        <f>VLOOKUP(TrendSheetStgData[Population]&amp;TrendSheetStgData[Trend],Threshold[#All],5,FALSE)</f>
        <v>5</v>
      </c>
      <c r="M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9" spans="1:13" x14ac:dyDescent="0.25">
      <c r="A339" t="s">
        <v>90</v>
      </c>
      <c r="B339" t="s">
        <v>90</v>
      </c>
      <c r="C339" t="s">
        <v>91</v>
      </c>
      <c r="D339" s="1" t="s">
        <v>107</v>
      </c>
      <c r="E339" t="s">
        <v>108</v>
      </c>
      <c r="F339" t="s">
        <v>31</v>
      </c>
      <c r="G339">
        <v>20</v>
      </c>
      <c r="H339">
        <v>3451</v>
      </c>
      <c r="I339" s="5">
        <f>VLOOKUP(TrendSheetStgData[Population]&amp;TrendSheetStgData[Cost Basis]&amp;TrendSheetStgData[Period]&amp;TrendSheetStgData[Trend],TrendSheetPrdData[#All],9,FALSE)</f>
        <v>3451</v>
      </c>
      <c r="J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9" s="5">
        <f>VLOOKUP(TrendSheetStgData[Population]&amp;TrendSheetStgData[Trend],Threshold[#All],4,FALSE)</f>
        <v>10</v>
      </c>
      <c r="L339" s="5">
        <f>VLOOKUP(TrendSheetStgData[Population]&amp;TrendSheetStgData[Trend],Threshold[#All],5,FALSE)</f>
        <v>5</v>
      </c>
      <c r="M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 spans="1:13" x14ac:dyDescent="0.25">
      <c r="A340" t="s">
        <v>90</v>
      </c>
      <c r="B340" t="s">
        <v>90</v>
      </c>
      <c r="C340" t="s">
        <v>91</v>
      </c>
      <c r="D340" s="1" t="s">
        <v>109</v>
      </c>
      <c r="E340" t="s">
        <v>108</v>
      </c>
      <c r="F340" t="s">
        <v>31</v>
      </c>
      <c r="G340">
        <v>20</v>
      </c>
      <c r="H340">
        <v>2689</v>
      </c>
      <c r="I340" s="5">
        <f>VLOOKUP(TrendSheetStgData[Population]&amp;TrendSheetStgData[Cost Basis]&amp;TrendSheetStgData[Period]&amp;TrendSheetStgData[Trend],TrendSheetPrdData[#All],9,FALSE)</f>
        <v>2689</v>
      </c>
      <c r="J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 s="5">
        <f>VLOOKUP(TrendSheetStgData[Population]&amp;TrendSheetStgData[Trend],Threshold[#All],4,FALSE)</f>
        <v>10</v>
      </c>
      <c r="L340" s="5">
        <f>VLOOKUP(TrendSheetStgData[Population]&amp;TrendSheetStgData[Trend],Threshold[#All],5,FALSE)</f>
        <v>5</v>
      </c>
      <c r="M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 spans="1:13" x14ac:dyDescent="0.25">
      <c r="A341" t="s">
        <v>90</v>
      </c>
      <c r="B341" t="s">
        <v>90</v>
      </c>
      <c r="C341" t="s">
        <v>91</v>
      </c>
      <c r="D341" s="1" t="s">
        <v>110</v>
      </c>
      <c r="E341" t="s">
        <v>108</v>
      </c>
      <c r="F341" t="s">
        <v>31</v>
      </c>
      <c r="G341">
        <v>20</v>
      </c>
      <c r="H341">
        <v>1823</v>
      </c>
      <c r="I341" s="5">
        <f>VLOOKUP(TrendSheetStgData[Population]&amp;TrendSheetStgData[Cost Basis]&amp;TrendSheetStgData[Period]&amp;TrendSheetStgData[Trend],TrendSheetPrdData[#All],9,FALSE)</f>
        <v>1823</v>
      </c>
      <c r="J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 s="5">
        <f>VLOOKUP(TrendSheetStgData[Population]&amp;TrendSheetStgData[Trend],Threshold[#All],4,FALSE)</f>
        <v>10</v>
      </c>
      <c r="L341" s="5">
        <f>VLOOKUP(TrendSheetStgData[Population]&amp;TrendSheetStgData[Trend],Threshold[#All],5,FALSE)</f>
        <v>5</v>
      </c>
      <c r="M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2" spans="1:13" x14ac:dyDescent="0.25">
      <c r="A342" t="s">
        <v>90</v>
      </c>
      <c r="B342" t="s">
        <v>90</v>
      </c>
      <c r="C342" t="s">
        <v>91</v>
      </c>
      <c r="D342" s="1" t="s">
        <v>92</v>
      </c>
      <c r="E342" t="s">
        <v>93</v>
      </c>
      <c r="F342" t="s">
        <v>32</v>
      </c>
      <c r="G342">
        <v>21</v>
      </c>
      <c r="H342">
        <v>3024</v>
      </c>
      <c r="I342" s="5">
        <f>VLOOKUP(TrendSheetStgData[Population]&amp;TrendSheetStgData[Cost Basis]&amp;TrendSheetStgData[Period]&amp;TrendSheetStgData[Trend],TrendSheetPrdData[#All],9,FALSE)</f>
        <v>3024</v>
      </c>
      <c r="J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2" s="5">
        <f>VLOOKUP(TrendSheetStgData[Population]&amp;TrendSheetStgData[Trend],Threshold[#All],4,FALSE)</f>
        <v>10</v>
      </c>
      <c r="L342" s="5">
        <f>VLOOKUP(TrendSheetStgData[Population]&amp;TrendSheetStgData[Trend],Threshold[#All],5,FALSE)</f>
        <v>5</v>
      </c>
      <c r="M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3" spans="1:13" x14ac:dyDescent="0.25">
      <c r="A343" t="s">
        <v>90</v>
      </c>
      <c r="B343" t="s">
        <v>90</v>
      </c>
      <c r="C343" t="s">
        <v>91</v>
      </c>
      <c r="D343" s="1" t="s">
        <v>94</v>
      </c>
      <c r="E343" t="s">
        <v>93</v>
      </c>
      <c r="F343" t="s">
        <v>32</v>
      </c>
      <c r="G343">
        <v>21</v>
      </c>
      <c r="H343">
        <v>3401</v>
      </c>
      <c r="I343" s="5">
        <f>VLOOKUP(TrendSheetStgData[Population]&amp;TrendSheetStgData[Cost Basis]&amp;TrendSheetStgData[Period]&amp;TrendSheetStgData[Trend],TrendSheetPrdData[#All],9,FALSE)</f>
        <v>3401</v>
      </c>
      <c r="J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3" s="5">
        <f>VLOOKUP(TrendSheetStgData[Population]&amp;TrendSheetStgData[Trend],Threshold[#All],4,FALSE)</f>
        <v>10</v>
      </c>
      <c r="L343" s="5">
        <f>VLOOKUP(TrendSheetStgData[Population]&amp;TrendSheetStgData[Trend],Threshold[#All],5,FALSE)</f>
        <v>5</v>
      </c>
      <c r="M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4" spans="1:13" x14ac:dyDescent="0.25">
      <c r="A344" t="s">
        <v>90</v>
      </c>
      <c r="B344" t="s">
        <v>90</v>
      </c>
      <c r="C344" t="s">
        <v>91</v>
      </c>
      <c r="D344" s="1" t="s">
        <v>95</v>
      </c>
      <c r="E344" t="s">
        <v>93</v>
      </c>
      <c r="F344" t="s">
        <v>32</v>
      </c>
      <c r="G344">
        <v>21</v>
      </c>
      <c r="H344">
        <v>3547</v>
      </c>
      <c r="I344" s="5">
        <f>VLOOKUP(TrendSheetStgData[Population]&amp;TrendSheetStgData[Cost Basis]&amp;TrendSheetStgData[Period]&amp;TrendSheetStgData[Trend],TrendSheetPrdData[#All],9,FALSE)</f>
        <v>3547</v>
      </c>
      <c r="J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4" s="5">
        <f>VLOOKUP(TrendSheetStgData[Population]&amp;TrendSheetStgData[Trend],Threshold[#All],4,FALSE)</f>
        <v>10</v>
      </c>
      <c r="L344" s="5">
        <f>VLOOKUP(TrendSheetStgData[Population]&amp;TrendSheetStgData[Trend],Threshold[#All],5,FALSE)</f>
        <v>5</v>
      </c>
      <c r="M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 spans="1:13" x14ac:dyDescent="0.25">
      <c r="A345" t="s">
        <v>90</v>
      </c>
      <c r="B345" t="s">
        <v>90</v>
      </c>
      <c r="C345" t="s">
        <v>91</v>
      </c>
      <c r="D345" s="1" t="s">
        <v>96</v>
      </c>
      <c r="E345" t="s">
        <v>93</v>
      </c>
      <c r="F345" t="s">
        <v>32</v>
      </c>
      <c r="G345">
        <v>21</v>
      </c>
      <c r="H345">
        <v>3018</v>
      </c>
      <c r="I345" s="5">
        <f>VLOOKUP(TrendSheetStgData[Population]&amp;TrendSheetStgData[Cost Basis]&amp;TrendSheetStgData[Period]&amp;TrendSheetStgData[Trend],TrendSheetPrdData[#All],9,FALSE)</f>
        <v>3018</v>
      </c>
      <c r="J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 s="5">
        <f>VLOOKUP(TrendSheetStgData[Population]&amp;TrendSheetStgData[Trend],Threshold[#All],4,FALSE)</f>
        <v>10</v>
      </c>
      <c r="L345" s="5">
        <f>VLOOKUP(TrendSheetStgData[Population]&amp;TrendSheetStgData[Trend],Threshold[#All],5,FALSE)</f>
        <v>5</v>
      </c>
      <c r="M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 spans="1:13" x14ac:dyDescent="0.25">
      <c r="A346" t="s">
        <v>90</v>
      </c>
      <c r="B346" t="s">
        <v>90</v>
      </c>
      <c r="C346" t="s">
        <v>91</v>
      </c>
      <c r="D346" s="1" t="s">
        <v>97</v>
      </c>
      <c r="E346" t="s">
        <v>93</v>
      </c>
      <c r="F346" t="s">
        <v>32</v>
      </c>
      <c r="G346">
        <v>21</v>
      </c>
      <c r="H346">
        <v>2932</v>
      </c>
      <c r="I346" s="5">
        <f>VLOOKUP(TrendSheetStgData[Population]&amp;TrendSheetStgData[Cost Basis]&amp;TrendSheetStgData[Period]&amp;TrendSheetStgData[Trend],TrendSheetPrdData[#All],9,FALSE)</f>
        <v>2932</v>
      </c>
      <c r="J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 s="5">
        <f>VLOOKUP(TrendSheetStgData[Population]&amp;TrendSheetStgData[Trend],Threshold[#All],4,FALSE)</f>
        <v>10</v>
      </c>
      <c r="L346" s="5">
        <f>VLOOKUP(TrendSheetStgData[Population]&amp;TrendSheetStgData[Trend],Threshold[#All],5,FALSE)</f>
        <v>5</v>
      </c>
      <c r="M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 spans="1:13" x14ac:dyDescent="0.25">
      <c r="A347" t="s">
        <v>90</v>
      </c>
      <c r="B347" t="s">
        <v>90</v>
      </c>
      <c r="C347" t="s">
        <v>91</v>
      </c>
      <c r="D347" s="1" t="s">
        <v>98</v>
      </c>
      <c r="E347" t="s">
        <v>93</v>
      </c>
      <c r="F347" t="s">
        <v>32</v>
      </c>
      <c r="G347">
        <v>21</v>
      </c>
      <c r="H347">
        <v>2635</v>
      </c>
      <c r="I347" s="5">
        <f>VLOOKUP(TrendSheetStgData[Population]&amp;TrendSheetStgData[Cost Basis]&amp;TrendSheetStgData[Period]&amp;TrendSheetStgData[Trend],TrendSheetPrdData[#All],9,FALSE)</f>
        <v>2635</v>
      </c>
      <c r="J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 s="5">
        <f>VLOOKUP(TrendSheetStgData[Population]&amp;TrendSheetStgData[Trend],Threshold[#All],4,FALSE)</f>
        <v>10</v>
      </c>
      <c r="L347" s="5">
        <f>VLOOKUP(TrendSheetStgData[Population]&amp;TrendSheetStgData[Trend],Threshold[#All],5,FALSE)</f>
        <v>5</v>
      </c>
      <c r="M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 spans="1:13" x14ac:dyDescent="0.25">
      <c r="A348" t="s">
        <v>90</v>
      </c>
      <c r="B348" t="s">
        <v>90</v>
      </c>
      <c r="C348" t="s">
        <v>91</v>
      </c>
      <c r="D348" s="1" t="s">
        <v>99</v>
      </c>
      <c r="E348" t="s">
        <v>93</v>
      </c>
      <c r="F348" t="s">
        <v>32</v>
      </c>
      <c r="G348">
        <v>21</v>
      </c>
      <c r="H348">
        <v>2709</v>
      </c>
      <c r="I348" s="5">
        <f>VLOOKUP(TrendSheetStgData[Population]&amp;TrendSheetStgData[Cost Basis]&amp;TrendSheetStgData[Period]&amp;TrendSheetStgData[Trend],TrendSheetPrdData[#All],9,FALSE)</f>
        <v>2709</v>
      </c>
      <c r="J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 s="5">
        <f>VLOOKUP(TrendSheetStgData[Population]&amp;TrendSheetStgData[Trend],Threshold[#All],4,FALSE)</f>
        <v>10</v>
      </c>
      <c r="L348" s="5">
        <f>VLOOKUP(TrendSheetStgData[Population]&amp;TrendSheetStgData[Trend],Threshold[#All],5,FALSE)</f>
        <v>5</v>
      </c>
      <c r="M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 spans="1:13" x14ac:dyDescent="0.25">
      <c r="A349" t="s">
        <v>90</v>
      </c>
      <c r="B349" t="s">
        <v>90</v>
      </c>
      <c r="C349" t="s">
        <v>91</v>
      </c>
      <c r="D349" s="1" t="s">
        <v>100</v>
      </c>
      <c r="E349" t="s">
        <v>93</v>
      </c>
      <c r="F349" t="s">
        <v>32</v>
      </c>
      <c r="G349">
        <v>21</v>
      </c>
      <c r="H349">
        <v>3042</v>
      </c>
      <c r="I349" s="5">
        <f>VLOOKUP(TrendSheetStgData[Population]&amp;TrendSheetStgData[Cost Basis]&amp;TrendSheetStgData[Period]&amp;TrendSheetStgData[Trend],TrendSheetPrdData[#All],9,FALSE)</f>
        <v>3042</v>
      </c>
      <c r="J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 s="5">
        <f>VLOOKUP(TrendSheetStgData[Population]&amp;TrendSheetStgData[Trend],Threshold[#All],4,FALSE)</f>
        <v>10</v>
      </c>
      <c r="L349" s="5">
        <f>VLOOKUP(TrendSheetStgData[Population]&amp;TrendSheetStgData[Trend],Threshold[#All],5,FALSE)</f>
        <v>5</v>
      </c>
      <c r="M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 spans="1:13" x14ac:dyDescent="0.25">
      <c r="A350" t="s">
        <v>90</v>
      </c>
      <c r="B350" t="s">
        <v>90</v>
      </c>
      <c r="C350" t="s">
        <v>91</v>
      </c>
      <c r="D350" s="1" t="s">
        <v>101</v>
      </c>
      <c r="E350" t="s">
        <v>93</v>
      </c>
      <c r="F350" t="s">
        <v>32</v>
      </c>
      <c r="G350">
        <v>21</v>
      </c>
      <c r="H350">
        <v>2556</v>
      </c>
      <c r="I350" s="5">
        <f>VLOOKUP(TrendSheetStgData[Population]&amp;TrendSheetStgData[Cost Basis]&amp;TrendSheetStgData[Period]&amp;TrendSheetStgData[Trend],TrendSheetPrdData[#All],9,FALSE)</f>
        <v>2556</v>
      </c>
      <c r="J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 s="5">
        <f>VLOOKUP(TrendSheetStgData[Population]&amp;TrendSheetStgData[Trend],Threshold[#All],4,FALSE)</f>
        <v>10</v>
      </c>
      <c r="L350" s="5">
        <f>VLOOKUP(TrendSheetStgData[Population]&amp;TrendSheetStgData[Trend],Threshold[#All],5,FALSE)</f>
        <v>5</v>
      </c>
      <c r="M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 spans="1:13" x14ac:dyDescent="0.25">
      <c r="A351" t="s">
        <v>90</v>
      </c>
      <c r="B351" t="s">
        <v>90</v>
      </c>
      <c r="C351" t="s">
        <v>91</v>
      </c>
      <c r="D351" s="1" t="s">
        <v>102</v>
      </c>
      <c r="E351" t="s">
        <v>93</v>
      </c>
      <c r="F351" t="s">
        <v>32</v>
      </c>
      <c r="G351">
        <v>21</v>
      </c>
      <c r="H351">
        <v>2929</v>
      </c>
      <c r="I351" s="5">
        <f>VLOOKUP(TrendSheetStgData[Population]&amp;TrendSheetStgData[Cost Basis]&amp;TrendSheetStgData[Period]&amp;TrendSheetStgData[Trend],TrendSheetPrdData[#All],9,FALSE)</f>
        <v>2929</v>
      </c>
      <c r="J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 s="5">
        <f>VLOOKUP(TrendSheetStgData[Population]&amp;TrendSheetStgData[Trend],Threshold[#All],4,FALSE)</f>
        <v>10</v>
      </c>
      <c r="L351" s="5">
        <f>VLOOKUP(TrendSheetStgData[Population]&amp;TrendSheetStgData[Trend],Threshold[#All],5,FALSE)</f>
        <v>5</v>
      </c>
      <c r="M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 spans="1:13" x14ac:dyDescent="0.25">
      <c r="A352" t="s">
        <v>90</v>
      </c>
      <c r="B352" t="s">
        <v>90</v>
      </c>
      <c r="C352" t="s">
        <v>91</v>
      </c>
      <c r="D352" s="1" t="s">
        <v>103</v>
      </c>
      <c r="E352" t="s">
        <v>93</v>
      </c>
      <c r="F352" t="s">
        <v>32</v>
      </c>
      <c r="G352">
        <v>21</v>
      </c>
      <c r="H352">
        <v>2510</v>
      </c>
      <c r="I352" s="5">
        <f>VLOOKUP(TrendSheetStgData[Population]&amp;TrendSheetStgData[Cost Basis]&amp;TrendSheetStgData[Period]&amp;TrendSheetStgData[Trend],TrendSheetPrdData[#All],9,FALSE)</f>
        <v>2510</v>
      </c>
      <c r="J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 s="5">
        <f>VLOOKUP(TrendSheetStgData[Population]&amp;TrendSheetStgData[Trend],Threshold[#All],4,FALSE)</f>
        <v>10</v>
      </c>
      <c r="L352" s="5">
        <f>VLOOKUP(TrendSheetStgData[Population]&amp;TrendSheetStgData[Trend],Threshold[#All],5,FALSE)</f>
        <v>5</v>
      </c>
      <c r="M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 spans="1:13" x14ac:dyDescent="0.25">
      <c r="A353" t="s">
        <v>90</v>
      </c>
      <c r="B353" t="s">
        <v>90</v>
      </c>
      <c r="C353" t="s">
        <v>91</v>
      </c>
      <c r="D353" s="1" t="s">
        <v>104</v>
      </c>
      <c r="E353" t="s">
        <v>93</v>
      </c>
      <c r="F353" t="s">
        <v>32</v>
      </c>
      <c r="G353">
        <v>21</v>
      </c>
      <c r="H353">
        <v>2705</v>
      </c>
      <c r="I353" s="5">
        <f>VLOOKUP(TrendSheetStgData[Population]&amp;TrendSheetStgData[Cost Basis]&amp;TrendSheetStgData[Period]&amp;TrendSheetStgData[Trend],TrendSheetPrdData[#All],9,FALSE)</f>
        <v>2705</v>
      </c>
      <c r="J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 s="5">
        <f>VLOOKUP(TrendSheetStgData[Population]&amp;TrendSheetStgData[Trend],Threshold[#All],4,FALSE)</f>
        <v>10</v>
      </c>
      <c r="L353" s="5">
        <f>VLOOKUP(TrendSheetStgData[Population]&amp;TrendSheetStgData[Trend],Threshold[#All],5,FALSE)</f>
        <v>5</v>
      </c>
      <c r="M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 spans="1:13" x14ac:dyDescent="0.25">
      <c r="A354" t="s">
        <v>90</v>
      </c>
      <c r="B354" t="s">
        <v>90</v>
      </c>
      <c r="C354" t="s">
        <v>91</v>
      </c>
      <c r="D354" s="1" t="s">
        <v>105</v>
      </c>
      <c r="E354" t="s">
        <v>93</v>
      </c>
      <c r="F354" t="s">
        <v>32</v>
      </c>
      <c r="G354">
        <v>21</v>
      </c>
      <c r="H354">
        <v>2841</v>
      </c>
      <c r="I354" s="5">
        <f>VLOOKUP(TrendSheetStgData[Population]&amp;TrendSheetStgData[Cost Basis]&amp;TrendSheetStgData[Period]&amp;TrendSheetStgData[Trend],TrendSheetPrdData[#All],9,FALSE)</f>
        <v>2841</v>
      </c>
      <c r="J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 s="5">
        <f>VLOOKUP(TrendSheetStgData[Population]&amp;TrendSheetStgData[Trend],Threshold[#All],4,FALSE)</f>
        <v>10</v>
      </c>
      <c r="L354" s="5">
        <f>VLOOKUP(TrendSheetStgData[Population]&amp;TrendSheetStgData[Trend],Threshold[#All],5,FALSE)</f>
        <v>5</v>
      </c>
      <c r="M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 spans="1:13" x14ac:dyDescent="0.25">
      <c r="A355" t="s">
        <v>90</v>
      </c>
      <c r="B355" t="s">
        <v>90</v>
      </c>
      <c r="C355" t="s">
        <v>91</v>
      </c>
      <c r="D355" s="1" t="s">
        <v>106</v>
      </c>
      <c r="E355" t="s">
        <v>93</v>
      </c>
      <c r="F355" t="s">
        <v>32</v>
      </c>
      <c r="G355">
        <v>21</v>
      </c>
      <c r="H355">
        <v>2545</v>
      </c>
      <c r="I355" s="5">
        <f>VLOOKUP(TrendSheetStgData[Population]&amp;TrendSheetStgData[Cost Basis]&amp;TrendSheetStgData[Period]&amp;TrendSheetStgData[Trend],TrendSheetPrdData[#All],9,FALSE)</f>
        <v>2545</v>
      </c>
      <c r="J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 s="5">
        <f>VLOOKUP(TrendSheetStgData[Population]&amp;TrendSheetStgData[Trend],Threshold[#All],4,FALSE)</f>
        <v>10</v>
      </c>
      <c r="L355" s="5">
        <f>VLOOKUP(TrendSheetStgData[Population]&amp;TrendSheetStgData[Trend],Threshold[#All],5,FALSE)</f>
        <v>5</v>
      </c>
      <c r="M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 spans="1:13" x14ac:dyDescent="0.25">
      <c r="A356" t="s">
        <v>90</v>
      </c>
      <c r="B356" t="s">
        <v>90</v>
      </c>
      <c r="C356" t="s">
        <v>91</v>
      </c>
      <c r="D356" s="1" t="s">
        <v>107</v>
      </c>
      <c r="E356" t="s">
        <v>108</v>
      </c>
      <c r="F356" t="s">
        <v>32</v>
      </c>
      <c r="G356">
        <v>21</v>
      </c>
      <c r="H356">
        <v>2795</v>
      </c>
      <c r="I356" s="5">
        <f>VLOOKUP(TrendSheetStgData[Population]&amp;TrendSheetStgData[Cost Basis]&amp;TrendSheetStgData[Period]&amp;TrendSheetStgData[Trend],TrendSheetPrdData[#All],9,FALSE)</f>
        <v>2795</v>
      </c>
      <c r="J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 s="5">
        <f>VLOOKUP(TrendSheetStgData[Population]&amp;TrendSheetStgData[Trend],Threshold[#All],4,FALSE)</f>
        <v>10</v>
      </c>
      <c r="L356" s="5">
        <f>VLOOKUP(TrendSheetStgData[Population]&amp;TrendSheetStgData[Trend],Threshold[#All],5,FALSE)</f>
        <v>5</v>
      </c>
      <c r="M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 spans="1:13" x14ac:dyDescent="0.25">
      <c r="A357" t="s">
        <v>90</v>
      </c>
      <c r="B357" t="s">
        <v>90</v>
      </c>
      <c r="C357" t="s">
        <v>91</v>
      </c>
      <c r="D357" s="1" t="s">
        <v>109</v>
      </c>
      <c r="E357" t="s">
        <v>108</v>
      </c>
      <c r="F357" t="s">
        <v>32</v>
      </c>
      <c r="G357">
        <v>21</v>
      </c>
      <c r="H357">
        <v>2372</v>
      </c>
      <c r="I357" s="5">
        <f>VLOOKUP(TrendSheetStgData[Population]&amp;TrendSheetStgData[Cost Basis]&amp;TrendSheetStgData[Period]&amp;TrendSheetStgData[Trend],TrendSheetPrdData[#All],9,FALSE)</f>
        <v>2372</v>
      </c>
      <c r="J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 s="5">
        <f>VLOOKUP(TrendSheetStgData[Population]&amp;TrendSheetStgData[Trend],Threshold[#All],4,FALSE)</f>
        <v>10</v>
      </c>
      <c r="L357" s="5">
        <f>VLOOKUP(TrendSheetStgData[Population]&amp;TrendSheetStgData[Trend],Threshold[#All],5,FALSE)</f>
        <v>5</v>
      </c>
      <c r="M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 spans="1:13" x14ac:dyDescent="0.25">
      <c r="A358" t="s">
        <v>90</v>
      </c>
      <c r="B358" t="s">
        <v>90</v>
      </c>
      <c r="C358" t="s">
        <v>91</v>
      </c>
      <c r="D358" s="1" t="s">
        <v>110</v>
      </c>
      <c r="E358" t="s">
        <v>108</v>
      </c>
      <c r="F358" t="s">
        <v>32</v>
      </c>
      <c r="G358">
        <v>21</v>
      </c>
      <c r="H358">
        <v>1938</v>
      </c>
      <c r="I358" s="5">
        <f>VLOOKUP(TrendSheetStgData[Population]&amp;TrendSheetStgData[Cost Basis]&amp;TrendSheetStgData[Period]&amp;TrendSheetStgData[Trend],TrendSheetPrdData[#All],9,FALSE)</f>
        <v>1938</v>
      </c>
      <c r="J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 s="5">
        <f>VLOOKUP(TrendSheetStgData[Population]&amp;TrendSheetStgData[Trend],Threshold[#All],4,FALSE)</f>
        <v>10</v>
      </c>
      <c r="L358" s="5">
        <f>VLOOKUP(TrendSheetStgData[Population]&amp;TrendSheetStgData[Trend],Threshold[#All],5,FALSE)</f>
        <v>5</v>
      </c>
      <c r="M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 spans="1:13" x14ac:dyDescent="0.25">
      <c r="A359" t="s">
        <v>90</v>
      </c>
      <c r="B359" t="s">
        <v>90</v>
      </c>
      <c r="C359" t="s">
        <v>91</v>
      </c>
      <c r="D359" s="1" t="s">
        <v>92</v>
      </c>
      <c r="E359" t="s">
        <v>93</v>
      </c>
      <c r="F359" t="s">
        <v>33</v>
      </c>
      <c r="G359">
        <v>22</v>
      </c>
      <c r="H359">
        <v>76</v>
      </c>
      <c r="I359" s="5">
        <f>VLOOKUP(TrendSheetStgData[Population]&amp;TrendSheetStgData[Cost Basis]&amp;TrendSheetStgData[Period]&amp;TrendSheetStgData[Trend],TrendSheetPrdData[#All],9,FALSE)</f>
        <v>76</v>
      </c>
      <c r="J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 s="5">
        <f>VLOOKUP(TrendSheetStgData[Population]&amp;TrendSheetStgData[Trend],Threshold[#All],4,FALSE)</f>
        <v>10</v>
      </c>
      <c r="L359" s="5">
        <f>VLOOKUP(TrendSheetStgData[Population]&amp;TrendSheetStgData[Trend],Threshold[#All],5,FALSE)</f>
        <v>5</v>
      </c>
      <c r="M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 spans="1:13" x14ac:dyDescent="0.25">
      <c r="A360" t="s">
        <v>90</v>
      </c>
      <c r="B360" t="s">
        <v>90</v>
      </c>
      <c r="C360" t="s">
        <v>91</v>
      </c>
      <c r="D360" s="1" t="s">
        <v>94</v>
      </c>
      <c r="E360" t="s">
        <v>93</v>
      </c>
      <c r="F360" t="s">
        <v>33</v>
      </c>
      <c r="G360">
        <v>22</v>
      </c>
      <c r="H360">
        <v>84</v>
      </c>
      <c r="I360" s="5">
        <f>VLOOKUP(TrendSheetStgData[Population]&amp;TrendSheetStgData[Cost Basis]&amp;TrendSheetStgData[Period]&amp;TrendSheetStgData[Trend],TrendSheetPrdData[#All],9,FALSE)</f>
        <v>84</v>
      </c>
      <c r="J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 s="5">
        <f>VLOOKUP(TrendSheetStgData[Population]&amp;TrendSheetStgData[Trend],Threshold[#All],4,FALSE)</f>
        <v>10</v>
      </c>
      <c r="L360" s="5">
        <f>VLOOKUP(TrendSheetStgData[Population]&amp;TrendSheetStgData[Trend],Threshold[#All],5,FALSE)</f>
        <v>5</v>
      </c>
      <c r="M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 spans="1:13" x14ac:dyDescent="0.25">
      <c r="A361" t="s">
        <v>90</v>
      </c>
      <c r="B361" t="s">
        <v>90</v>
      </c>
      <c r="C361" t="s">
        <v>91</v>
      </c>
      <c r="D361" s="1" t="s">
        <v>95</v>
      </c>
      <c r="E361" t="s">
        <v>93</v>
      </c>
      <c r="F361" t="s">
        <v>33</v>
      </c>
      <c r="G361">
        <v>22</v>
      </c>
      <c r="H361">
        <v>127</v>
      </c>
      <c r="I361" s="5">
        <f>VLOOKUP(TrendSheetStgData[Population]&amp;TrendSheetStgData[Cost Basis]&amp;TrendSheetStgData[Period]&amp;TrendSheetStgData[Trend],TrendSheetPrdData[#All],9,FALSE)</f>
        <v>127</v>
      </c>
      <c r="J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 s="5">
        <f>VLOOKUP(TrendSheetStgData[Population]&amp;TrendSheetStgData[Trend],Threshold[#All],4,FALSE)</f>
        <v>10</v>
      </c>
      <c r="L361" s="5">
        <f>VLOOKUP(TrendSheetStgData[Population]&amp;TrendSheetStgData[Trend],Threshold[#All],5,FALSE)</f>
        <v>5</v>
      </c>
      <c r="M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 spans="1:13" x14ac:dyDescent="0.25">
      <c r="A362" t="s">
        <v>90</v>
      </c>
      <c r="B362" t="s">
        <v>90</v>
      </c>
      <c r="C362" t="s">
        <v>91</v>
      </c>
      <c r="D362" s="1" t="s">
        <v>96</v>
      </c>
      <c r="E362" t="s">
        <v>93</v>
      </c>
      <c r="F362" t="s">
        <v>33</v>
      </c>
      <c r="G362">
        <v>22</v>
      </c>
      <c r="H362">
        <v>111</v>
      </c>
      <c r="I362" s="5">
        <f>VLOOKUP(TrendSheetStgData[Population]&amp;TrendSheetStgData[Cost Basis]&amp;TrendSheetStgData[Period]&amp;TrendSheetStgData[Trend],TrendSheetPrdData[#All],9,FALSE)</f>
        <v>111</v>
      </c>
      <c r="J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 s="5">
        <f>VLOOKUP(TrendSheetStgData[Population]&amp;TrendSheetStgData[Trend],Threshold[#All],4,FALSE)</f>
        <v>10</v>
      </c>
      <c r="L362" s="5">
        <f>VLOOKUP(TrendSheetStgData[Population]&amp;TrendSheetStgData[Trend],Threshold[#All],5,FALSE)</f>
        <v>5</v>
      </c>
      <c r="M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 spans="1:13" x14ac:dyDescent="0.25">
      <c r="A363" t="s">
        <v>90</v>
      </c>
      <c r="B363" t="s">
        <v>90</v>
      </c>
      <c r="C363" t="s">
        <v>91</v>
      </c>
      <c r="D363" s="1" t="s">
        <v>97</v>
      </c>
      <c r="E363" t="s">
        <v>93</v>
      </c>
      <c r="F363" t="s">
        <v>33</v>
      </c>
      <c r="G363">
        <v>22</v>
      </c>
      <c r="H363">
        <v>119</v>
      </c>
      <c r="I363" s="5">
        <f>VLOOKUP(TrendSheetStgData[Population]&amp;TrendSheetStgData[Cost Basis]&amp;TrendSheetStgData[Period]&amp;TrendSheetStgData[Trend],TrendSheetPrdData[#All],9,FALSE)</f>
        <v>119</v>
      </c>
      <c r="J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 s="5">
        <f>VLOOKUP(TrendSheetStgData[Population]&amp;TrendSheetStgData[Trend],Threshold[#All],4,FALSE)</f>
        <v>10</v>
      </c>
      <c r="L363" s="5">
        <f>VLOOKUP(TrendSheetStgData[Population]&amp;TrendSheetStgData[Trend],Threshold[#All],5,FALSE)</f>
        <v>5</v>
      </c>
      <c r="M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 spans="1:13" x14ac:dyDescent="0.25">
      <c r="A364" t="s">
        <v>90</v>
      </c>
      <c r="B364" t="s">
        <v>90</v>
      </c>
      <c r="C364" t="s">
        <v>91</v>
      </c>
      <c r="D364" s="1" t="s">
        <v>98</v>
      </c>
      <c r="E364" t="s">
        <v>93</v>
      </c>
      <c r="F364" t="s">
        <v>33</v>
      </c>
      <c r="G364">
        <v>22</v>
      </c>
      <c r="H364">
        <v>140</v>
      </c>
      <c r="I364" s="5">
        <f>VLOOKUP(TrendSheetStgData[Population]&amp;TrendSheetStgData[Cost Basis]&amp;TrendSheetStgData[Period]&amp;TrendSheetStgData[Trend],TrendSheetPrdData[#All],9,FALSE)</f>
        <v>140</v>
      </c>
      <c r="J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 s="5">
        <f>VLOOKUP(TrendSheetStgData[Population]&amp;TrendSheetStgData[Trend],Threshold[#All],4,FALSE)</f>
        <v>10</v>
      </c>
      <c r="L364" s="5">
        <f>VLOOKUP(TrendSheetStgData[Population]&amp;TrendSheetStgData[Trend],Threshold[#All],5,FALSE)</f>
        <v>5</v>
      </c>
      <c r="M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 spans="1:13" x14ac:dyDescent="0.25">
      <c r="A365" t="s">
        <v>90</v>
      </c>
      <c r="B365" t="s">
        <v>90</v>
      </c>
      <c r="C365" t="s">
        <v>91</v>
      </c>
      <c r="D365" s="1" t="s">
        <v>99</v>
      </c>
      <c r="E365" t="s">
        <v>93</v>
      </c>
      <c r="F365" t="s">
        <v>33</v>
      </c>
      <c r="G365">
        <v>22</v>
      </c>
      <c r="H365">
        <v>87</v>
      </c>
      <c r="I365" s="5">
        <f>VLOOKUP(TrendSheetStgData[Population]&amp;TrendSheetStgData[Cost Basis]&amp;TrendSheetStgData[Period]&amp;TrendSheetStgData[Trend],TrendSheetPrdData[#All],9,FALSE)</f>
        <v>87</v>
      </c>
      <c r="J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 s="5">
        <f>VLOOKUP(TrendSheetStgData[Population]&amp;TrendSheetStgData[Trend],Threshold[#All],4,FALSE)</f>
        <v>10</v>
      </c>
      <c r="L365" s="5">
        <f>VLOOKUP(TrendSheetStgData[Population]&amp;TrendSheetStgData[Trend],Threshold[#All],5,FALSE)</f>
        <v>5</v>
      </c>
      <c r="M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 spans="1:13" x14ac:dyDescent="0.25">
      <c r="A366" t="s">
        <v>90</v>
      </c>
      <c r="B366" t="s">
        <v>90</v>
      </c>
      <c r="C366" t="s">
        <v>91</v>
      </c>
      <c r="D366" s="1" t="s">
        <v>100</v>
      </c>
      <c r="E366" t="s">
        <v>93</v>
      </c>
      <c r="F366" t="s">
        <v>33</v>
      </c>
      <c r="G366">
        <v>22</v>
      </c>
      <c r="H366">
        <v>123</v>
      </c>
      <c r="I366" s="5">
        <f>VLOOKUP(TrendSheetStgData[Population]&amp;TrendSheetStgData[Cost Basis]&amp;TrendSheetStgData[Period]&amp;TrendSheetStgData[Trend],TrendSheetPrdData[#All],9,FALSE)</f>
        <v>123</v>
      </c>
      <c r="J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 s="5">
        <f>VLOOKUP(TrendSheetStgData[Population]&amp;TrendSheetStgData[Trend],Threshold[#All],4,FALSE)</f>
        <v>10</v>
      </c>
      <c r="L366" s="5">
        <f>VLOOKUP(TrendSheetStgData[Population]&amp;TrendSheetStgData[Trend],Threshold[#All],5,FALSE)</f>
        <v>5</v>
      </c>
      <c r="M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 spans="1:13" x14ac:dyDescent="0.25">
      <c r="A367" t="s">
        <v>90</v>
      </c>
      <c r="B367" t="s">
        <v>90</v>
      </c>
      <c r="C367" t="s">
        <v>91</v>
      </c>
      <c r="D367" s="1" t="s">
        <v>101</v>
      </c>
      <c r="E367" t="s">
        <v>93</v>
      </c>
      <c r="F367" t="s">
        <v>33</v>
      </c>
      <c r="G367">
        <v>22</v>
      </c>
      <c r="H367">
        <v>128</v>
      </c>
      <c r="I367" s="5">
        <f>VLOOKUP(TrendSheetStgData[Population]&amp;TrendSheetStgData[Cost Basis]&amp;TrendSheetStgData[Period]&amp;TrendSheetStgData[Trend],TrendSheetPrdData[#All],9,FALSE)</f>
        <v>128</v>
      </c>
      <c r="J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 s="5">
        <f>VLOOKUP(TrendSheetStgData[Population]&amp;TrendSheetStgData[Trend],Threshold[#All],4,FALSE)</f>
        <v>10</v>
      </c>
      <c r="L367" s="5">
        <f>VLOOKUP(TrendSheetStgData[Population]&amp;TrendSheetStgData[Trend],Threshold[#All],5,FALSE)</f>
        <v>5</v>
      </c>
      <c r="M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 spans="1:13" x14ac:dyDescent="0.25">
      <c r="A368" t="s">
        <v>90</v>
      </c>
      <c r="B368" t="s">
        <v>90</v>
      </c>
      <c r="C368" t="s">
        <v>91</v>
      </c>
      <c r="D368" s="1" t="s">
        <v>102</v>
      </c>
      <c r="E368" t="s">
        <v>93</v>
      </c>
      <c r="F368" t="s">
        <v>33</v>
      </c>
      <c r="G368">
        <v>22</v>
      </c>
      <c r="H368">
        <v>118</v>
      </c>
      <c r="I368" s="5">
        <f>VLOOKUP(TrendSheetStgData[Population]&amp;TrendSheetStgData[Cost Basis]&amp;TrendSheetStgData[Period]&amp;TrendSheetStgData[Trend],TrendSheetPrdData[#All],9,FALSE)</f>
        <v>118</v>
      </c>
      <c r="J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 s="5">
        <f>VLOOKUP(TrendSheetStgData[Population]&amp;TrendSheetStgData[Trend],Threshold[#All],4,FALSE)</f>
        <v>10</v>
      </c>
      <c r="L368" s="5">
        <f>VLOOKUP(TrendSheetStgData[Population]&amp;TrendSheetStgData[Trend],Threshold[#All],5,FALSE)</f>
        <v>5</v>
      </c>
      <c r="M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9" spans="1:13" x14ac:dyDescent="0.25">
      <c r="A369" t="s">
        <v>90</v>
      </c>
      <c r="B369" t="s">
        <v>90</v>
      </c>
      <c r="C369" t="s">
        <v>91</v>
      </c>
      <c r="D369" s="1" t="s">
        <v>103</v>
      </c>
      <c r="E369" t="s">
        <v>93</v>
      </c>
      <c r="F369" t="s">
        <v>33</v>
      </c>
      <c r="G369">
        <v>22</v>
      </c>
      <c r="H369">
        <v>114</v>
      </c>
      <c r="I369" s="5">
        <f>VLOOKUP(TrendSheetStgData[Population]&amp;TrendSheetStgData[Cost Basis]&amp;TrendSheetStgData[Period]&amp;TrendSheetStgData[Trend],TrendSheetPrdData[#All],9,FALSE)</f>
        <v>114</v>
      </c>
      <c r="J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9" s="5">
        <f>VLOOKUP(TrendSheetStgData[Population]&amp;TrendSheetStgData[Trend],Threshold[#All],4,FALSE)</f>
        <v>10</v>
      </c>
      <c r="L369" s="5">
        <f>VLOOKUP(TrendSheetStgData[Population]&amp;TrendSheetStgData[Trend],Threshold[#All],5,FALSE)</f>
        <v>5</v>
      </c>
      <c r="M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 spans="1:13" x14ac:dyDescent="0.25">
      <c r="A370" t="s">
        <v>90</v>
      </c>
      <c r="B370" t="s">
        <v>90</v>
      </c>
      <c r="C370" t="s">
        <v>91</v>
      </c>
      <c r="D370" s="1" t="s">
        <v>104</v>
      </c>
      <c r="E370" t="s">
        <v>93</v>
      </c>
      <c r="F370" t="s">
        <v>33</v>
      </c>
      <c r="G370">
        <v>22</v>
      </c>
      <c r="H370">
        <v>128</v>
      </c>
      <c r="I370" s="5">
        <f>VLOOKUP(TrendSheetStgData[Population]&amp;TrendSheetStgData[Cost Basis]&amp;TrendSheetStgData[Period]&amp;TrendSheetStgData[Trend],TrendSheetPrdData[#All],9,FALSE)</f>
        <v>128</v>
      </c>
      <c r="J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 s="5">
        <f>VLOOKUP(TrendSheetStgData[Population]&amp;TrendSheetStgData[Trend],Threshold[#All],4,FALSE)</f>
        <v>10</v>
      </c>
      <c r="L370" s="5">
        <f>VLOOKUP(TrendSheetStgData[Population]&amp;TrendSheetStgData[Trend],Threshold[#All],5,FALSE)</f>
        <v>5</v>
      </c>
      <c r="M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 spans="1:13" x14ac:dyDescent="0.25">
      <c r="A371" t="s">
        <v>90</v>
      </c>
      <c r="B371" t="s">
        <v>90</v>
      </c>
      <c r="C371" t="s">
        <v>91</v>
      </c>
      <c r="D371" s="1" t="s">
        <v>105</v>
      </c>
      <c r="E371" t="s">
        <v>93</v>
      </c>
      <c r="F371" t="s">
        <v>33</v>
      </c>
      <c r="G371">
        <v>22</v>
      </c>
      <c r="H371">
        <v>169</v>
      </c>
      <c r="I371" s="5">
        <f>VLOOKUP(TrendSheetStgData[Population]&amp;TrendSheetStgData[Cost Basis]&amp;TrendSheetStgData[Period]&amp;TrendSheetStgData[Trend],TrendSheetPrdData[#All],9,FALSE)</f>
        <v>169</v>
      </c>
      <c r="J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 s="5">
        <f>VLOOKUP(TrendSheetStgData[Population]&amp;TrendSheetStgData[Trend],Threshold[#All],4,FALSE)</f>
        <v>10</v>
      </c>
      <c r="L371" s="5">
        <f>VLOOKUP(TrendSheetStgData[Population]&amp;TrendSheetStgData[Trend],Threshold[#All],5,FALSE)</f>
        <v>5</v>
      </c>
      <c r="M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2" spans="1:13" x14ac:dyDescent="0.25">
      <c r="A372" t="s">
        <v>90</v>
      </c>
      <c r="B372" t="s">
        <v>90</v>
      </c>
      <c r="C372" t="s">
        <v>91</v>
      </c>
      <c r="D372" s="1" t="s">
        <v>106</v>
      </c>
      <c r="E372" t="s">
        <v>93</v>
      </c>
      <c r="F372" t="s">
        <v>33</v>
      </c>
      <c r="G372">
        <v>22</v>
      </c>
      <c r="H372">
        <v>106</v>
      </c>
      <c r="I372" s="5">
        <f>VLOOKUP(TrendSheetStgData[Population]&amp;TrendSheetStgData[Cost Basis]&amp;TrendSheetStgData[Period]&amp;TrendSheetStgData[Trend],TrendSheetPrdData[#All],9,FALSE)</f>
        <v>106</v>
      </c>
      <c r="J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2" s="5">
        <f>VLOOKUP(TrendSheetStgData[Population]&amp;TrendSheetStgData[Trend],Threshold[#All],4,FALSE)</f>
        <v>10</v>
      </c>
      <c r="L372" s="5">
        <f>VLOOKUP(TrendSheetStgData[Population]&amp;TrendSheetStgData[Trend],Threshold[#All],5,FALSE)</f>
        <v>5</v>
      </c>
      <c r="M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3" spans="1:13" x14ac:dyDescent="0.25">
      <c r="A373" t="s">
        <v>90</v>
      </c>
      <c r="B373" t="s">
        <v>90</v>
      </c>
      <c r="C373" t="s">
        <v>91</v>
      </c>
      <c r="D373" s="1" t="s">
        <v>107</v>
      </c>
      <c r="E373" t="s">
        <v>108</v>
      </c>
      <c r="F373" t="s">
        <v>33</v>
      </c>
      <c r="G373">
        <v>22</v>
      </c>
      <c r="H373">
        <v>96</v>
      </c>
      <c r="I373" s="5">
        <f>VLOOKUP(TrendSheetStgData[Population]&amp;TrendSheetStgData[Cost Basis]&amp;TrendSheetStgData[Period]&amp;TrendSheetStgData[Trend],TrendSheetPrdData[#All],9,FALSE)</f>
        <v>96</v>
      </c>
      <c r="J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3" s="5">
        <f>VLOOKUP(TrendSheetStgData[Population]&amp;TrendSheetStgData[Trend],Threshold[#All],4,FALSE)</f>
        <v>10</v>
      </c>
      <c r="L373" s="5">
        <f>VLOOKUP(TrendSheetStgData[Population]&amp;TrendSheetStgData[Trend],Threshold[#All],5,FALSE)</f>
        <v>5</v>
      </c>
      <c r="M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 spans="1:13" x14ac:dyDescent="0.25">
      <c r="A374" t="s">
        <v>90</v>
      </c>
      <c r="B374" t="s">
        <v>90</v>
      </c>
      <c r="C374" t="s">
        <v>91</v>
      </c>
      <c r="D374" s="1" t="s">
        <v>109</v>
      </c>
      <c r="E374" t="s">
        <v>108</v>
      </c>
      <c r="F374" t="s">
        <v>33</v>
      </c>
      <c r="G374">
        <v>22</v>
      </c>
      <c r="H374">
        <v>109</v>
      </c>
      <c r="I374" s="5">
        <f>VLOOKUP(TrendSheetStgData[Population]&amp;TrendSheetStgData[Cost Basis]&amp;TrendSheetStgData[Period]&amp;TrendSheetStgData[Trend],TrendSheetPrdData[#All],9,FALSE)</f>
        <v>109</v>
      </c>
      <c r="J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 s="5">
        <f>VLOOKUP(TrendSheetStgData[Population]&amp;TrendSheetStgData[Trend],Threshold[#All],4,FALSE)</f>
        <v>10</v>
      </c>
      <c r="L374" s="5">
        <f>VLOOKUP(TrendSheetStgData[Population]&amp;TrendSheetStgData[Trend],Threshold[#All],5,FALSE)</f>
        <v>5</v>
      </c>
      <c r="M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 spans="1:13" x14ac:dyDescent="0.25">
      <c r="A375" t="s">
        <v>90</v>
      </c>
      <c r="B375" t="s">
        <v>90</v>
      </c>
      <c r="C375" t="s">
        <v>91</v>
      </c>
      <c r="D375" s="1" t="s">
        <v>110</v>
      </c>
      <c r="E375" t="s">
        <v>108</v>
      </c>
      <c r="F375" t="s">
        <v>33</v>
      </c>
      <c r="G375">
        <v>22</v>
      </c>
      <c r="H375">
        <v>72</v>
      </c>
      <c r="I375" s="5">
        <f>VLOOKUP(TrendSheetStgData[Population]&amp;TrendSheetStgData[Cost Basis]&amp;TrendSheetStgData[Period]&amp;TrendSheetStgData[Trend],TrendSheetPrdData[#All],9,FALSE)</f>
        <v>72</v>
      </c>
      <c r="J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 s="5">
        <f>VLOOKUP(TrendSheetStgData[Population]&amp;TrendSheetStgData[Trend],Threshold[#All],4,FALSE)</f>
        <v>10</v>
      </c>
      <c r="L375" s="5">
        <f>VLOOKUP(TrendSheetStgData[Population]&amp;TrendSheetStgData[Trend],Threshold[#All],5,FALSE)</f>
        <v>5</v>
      </c>
      <c r="M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 spans="1:13" x14ac:dyDescent="0.25">
      <c r="A376" t="s">
        <v>90</v>
      </c>
      <c r="B376" t="s">
        <v>90</v>
      </c>
      <c r="C376" t="s">
        <v>91</v>
      </c>
      <c r="D376" s="1" t="s">
        <v>92</v>
      </c>
      <c r="E376" t="s">
        <v>93</v>
      </c>
      <c r="F376" t="s">
        <v>34</v>
      </c>
      <c r="G376">
        <v>23</v>
      </c>
      <c r="H376">
        <v>3248</v>
      </c>
      <c r="I376" s="5">
        <f>VLOOKUP(TrendSheetStgData[Population]&amp;TrendSheetStgData[Cost Basis]&amp;TrendSheetStgData[Period]&amp;TrendSheetStgData[Trend],TrendSheetPrdData[#All],9,FALSE)</f>
        <v>3248</v>
      </c>
      <c r="J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 s="5">
        <f>VLOOKUP(TrendSheetStgData[Population]&amp;TrendSheetStgData[Trend],Threshold[#All],4,FALSE)</f>
        <v>10</v>
      </c>
      <c r="L376" s="5">
        <f>VLOOKUP(TrendSheetStgData[Population]&amp;TrendSheetStgData[Trend],Threshold[#All],5,FALSE)</f>
        <v>5</v>
      </c>
      <c r="M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7" spans="1:13" x14ac:dyDescent="0.25">
      <c r="A377" t="s">
        <v>90</v>
      </c>
      <c r="B377" t="s">
        <v>90</v>
      </c>
      <c r="C377" t="s">
        <v>91</v>
      </c>
      <c r="D377" s="1" t="s">
        <v>94</v>
      </c>
      <c r="E377" t="s">
        <v>93</v>
      </c>
      <c r="F377" t="s">
        <v>34</v>
      </c>
      <c r="G377">
        <v>23</v>
      </c>
      <c r="H377">
        <v>3397</v>
      </c>
      <c r="I377" s="5">
        <f>VLOOKUP(TrendSheetStgData[Population]&amp;TrendSheetStgData[Cost Basis]&amp;TrendSheetStgData[Period]&amp;TrendSheetStgData[Trend],TrendSheetPrdData[#All],9,FALSE)</f>
        <v>3397</v>
      </c>
      <c r="J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7" s="5">
        <f>VLOOKUP(TrendSheetStgData[Population]&amp;TrendSheetStgData[Trend],Threshold[#All],4,FALSE)</f>
        <v>10</v>
      </c>
      <c r="L377" s="5">
        <f>VLOOKUP(TrendSheetStgData[Population]&amp;TrendSheetStgData[Trend],Threshold[#All],5,FALSE)</f>
        <v>5</v>
      </c>
      <c r="M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8" spans="1:13" x14ac:dyDescent="0.25">
      <c r="A378" t="s">
        <v>90</v>
      </c>
      <c r="B378" t="s">
        <v>90</v>
      </c>
      <c r="C378" t="s">
        <v>91</v>
      </c>
      <c r="D378" s="1" t="s">
        <v>95</v>
      </c>
      <c r="E378" t="s">
        <v>93</v>
      </c>
      <c r="F378" t="s">
        <v>34</v>
      </c>
      <c r="G378">
        <v>23</v>
      </c>
      <c r="H378">
        <v>3437</v>
      </c>
      <c r="I378" s="5">
        <f>VLOOKUP(TrendSheetStgData[Population]&amp;TrendSheetStgData[Cost Basis]&amp;TrendSheetStgData[Period]&amp;TrendSheetStgData[Trend],TrendSheetPrdData[#All],9,FALSE)</f>
        <v>3437</v>
      </c>
      <c r="J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 s="5">
        <f>VLOOKUP(TrendSheetStgData[Population]&amp;TrendSheetStgData[Trend],Threshold[#All],4,FALSE)</f>
        <v>10</v>
      </c>
      <c r="L378" s="5">
        <f>VLOOKUP(TrendSheetStgData[Population]&amp;TrendSheetStgData[Trend],Threshold[#All],5,FALSE)</f>
        <v>5</v>
      </c>
      <c r="M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9" spans="1:13" x14ac:dyDescent="0.25">
      <c r="A379" t="s">
        <v>90</v>
      </c>
      <c r="B379" t="s">
        <v>90</v>
      </c>
      <c r="C379" t="s">
        <v>91</v>
      </c>
      <c r="D379" s="1" t="s">
        <v>96</v>
      </c>
      <c r="E379" t="s">
        <v>93</v>
      </c>
      <c r="F379" t="s">
        <v>34</v>
      </c>
      <c r="G379">
        <v>23</v>
      </c>
      <c r="H379">
        <v>3333</v>
      </c>
      <c r="I379" s="5">
        <f>VLOOKUP(TrendSheetStgData[Population]&amp;TrendSheetStgData[Cost Basis]&amp;TrendSheetStgData[Period]&amp;TrendSheetStgData[Trend],TrendSheetPrdData[#All],9,FALSE)</f>
        <v>3333</v>
      </c>
      <c r="J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9" s="5">
        <f>VLOOKUP(TrendSheetStgData[Population]&amp;TrendSheetStgData[Trend],Threshold[#All],4,FALSE)</f>
        <v>10</v>
      </c>
      <c r="L379" s="5">
        <f>VLOOKUP(TrendSheetStgData[Population]&amp;TrendSheetStgData[Trend],Threshold[#All],5,FALSE)</f>
        <v>5</v>
      </c>
      <c r="M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0" spans="1:13" x14ac:dyDescent="0.25">
      <c r="A380" t="s">
        <v>90</v>
      </c>
      <c r="B380" t="s">
        <v>90</v>
      </c>
      <c r="C380" t="s">
        <v>91</v>
      </c>
      <c r="D380" s="1" t="s">
        <v>97</v>
      </c>
      <c r="E380" t="s">
        <v>93</v>
      </c>
      <c r="F380" t="s">
        <v>34</v>
      </c>
      <c r="G380">
        <v>23</v>
      </c>
      <c r="H380">
        <v>3344</v>
      </c>
      <c r="I380" s="5">
        <f>VLOOKUP(TrendSheetStgData[Population]&amp;TrendSheetStgData[Cost Basis]&amp;TrendSheetStgData[Period]&amp;TrendSheetStgData[Trend],TrendSheetPrdData[#All],9,FALSE)</f>
        <v>3344</v>
      </c>
      <c r="J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0" s="5">
        <f>VLOOKUP(TrendSheetStgData[Population]&amp;TrendSheetStgData[Trend],Threshold[#All],4,FALSE)</f>
        <v>10</v>
      </c>
      <c r="L380" s="5">
        <f>VLOOKUP(TrendSheetStgData[Population]&amp;TrendSheetStgData[Trend],Threshold[#All],5,FALSE)</f>
        <v>5</v>
      </c>
      <c r="M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1" spans="1:13" x14ac:dyDescent="0.25">
      <c r="A381" t="s">
        <v>90</v>
      </c>
      <c r="B381" t="s">
        <v>90</v>
      </c>
      <c r="C381" t="s">
        <v>91</v>
      </c>
      <c r="D381" s="1" t="s">
        <v>98</v>
      </c>
      <c r="E381" t="s">
        <v>93</v>
      </c>
      <c r="F381" t="s">
        <v>34</v>
      </c>
      <c r="G381">
        <v>23</v>
      </c>
      <c r="H381">
        <v>3135</v>
      </c>
      <c r="I381" s="5">
        <f>VLOOKUP(TrendSheetStgData[Population]&amp;TrendSheetStgData[Cost Basis]&amp;TrendSheetStgData[Period]&amp;TrendSheetStgData[Trend],TrendSheetPrdData[#All],9,FALSE)</f>
        <v>3135</v>
      </c>
      <c r="J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1" s="5">
        <f>VLOOKUP(TrendSheetStgData[Population]&amp;TrendSheetStgData[Trend],Threshold[#All],4,FALSE)</f>
        <v>10</v>
      </c>
      <c r="L381" s="5">
        <f>VLOOKUP(TrendSheetStgData[Population]&amp;TrendSheetStgData[Trend],Threshold[#All],5,FALSE)</f>
        <v>5</v>
      </c>
      <c r="M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 spans="1:13" x14ac:dyDescent="0.25">
      <c r="A382" t="s">
        <v>90</v>
      </c>
      <c r="B382" t="s">
        <v>90</v>
      </c>
      <c r="C382" t="s">
        <v>91</v>
      </c>
      <c r="D382" s="1" t="s">
        <v>99</v>
      </c>
      <c r="E382" t="s">
        <v>93</v>
      </c>
      <c r="F382" t="s">
        <v>34</v>
      </c>
      <c r="G382">
        <v>23</v>
      </c>
      <c r="H382">
        <v>3206</v>
      </c>
      <c r="I382" s="5">
        <f>VLOOKUP(TrendSheetStgData[Population]&amp;TrendSheetStgData[Cost Basis]&amp;TrendSheetStgData[Period]&amp;TrendSheetStgData[Trend],TrendSheetPrdData[#All],9,FALSE)</f>
        <v>3206</v>
      </c>
      <c r="J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 s="5">
        <f>VLOOKUP(TrendSheetStgData[Population]&amp;TrendSheetStgData[Trend],Threshold[#All],4,FALSE)</f>
        <v>10</v>
      </c>
      <c r="L382" s="5">
        <f>VLOOKUP(TrendSheetStgData[Population]&amp;TrendSheetStgData[Trend],Threshold[#All],5,FALSE)</f>
        <v>5</v>
      </c>
      <c r="M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3" spans="1:13" x14ac:dyDescent="0.25">
      <c r="A383" t="s">
        <v>90</v>
      </c>
      <c r="B383" t="s">
        <v>90</v>
      </c>
      <c r="C383" t="s">
        <v>91</v>
      </c>
      <c r="D383" s="1" t="s">
        <v>100</v>
      </c>
      <c r="E383" t="s">
        <v>93</v>
      </c>
      <c r="F383" t="s">
        <v>34</v>
      </c>
      <c r="G383">
        <v>23</v>
      </c>
      <c r="H383">
        <v>3490</v>
      </c>
      <c r="I383" s="5">
        <f>VLOOKUP(TrendSheetStgData[Population]&amp;TrendSheetStgData[Cost Basis]&amp;TrendSheetStgData[Period]&amp;TrendSheetStgData[Trend],TrendSheetPrdData[#All],9,FALSE)</f>
        <v>3490</v>
      </c>
      <c r="J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3" s="5">
        <f>VLOOKUP(TrendSheetStgData[Population]&amp;TrendSheetStgData[Trend],Threshold[#All],4,FALSE)</f>
        <v>10</v>
      </c>
      <c r="L383" s="5">
        <f>VLOOKUP(TrendSheetStgData[Population]&amp;TrendSheetStgData[Trend],Threshold[#All],5,FALSE)</f>
        <v>5</v>
      </c>
      <c r="M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 spans="1:13" x14ac:dyDescent="0.25">
      <c r="A384" t="s">
        <v>90</v>
      </c>
      <c r="B384" t="s">
        <v>90</v>
      </c>
      <c r="C384" t="s">
        <v>91</v>
      </c>
      <c r="D384" s="1" t="s">
        <v>101</v>
      </c>
      <c r="E384" t="s">
        <v>93</v>
      </c>
      <c r="F384" t="s">
        <v>34</v>
      </c>
      <c r="G384">
        <v>23</v>
      </c>
      <c r="H384">
        <v>3290</v>
      </c>
      <c r="I384" s="5">
        <f>VLOOKUP(TrendSheetStgData[Population]&amp;TrendSheetStgData[Cost Basis]&amp;TrendSheetStgData[Period]&amp;TrendSheetStgData[Trend],TrendSheetPrdData[#All],9,FALSE)</f>
        <v>3290</v>
      </c>
      <c r="J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 s="5">
        <f>VLOOKUP(TrendSheetStgData[Population]&amp;TrendSheetStgData[Trend],Threshold[#All],4,FALSE)</f>
        <v>10</v>
      </c>
      <c r="L384" s="5">
        <f>VLOOKUP(TrendSheetStgData[Population]&amp;TrendSheetStgData[Trend],Threshold[#All],5,FALSE)</f>
        <v>5</v>
      </c>
      <c r="M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 spans="1:13" x14ac:dyDescent="0.25">
      <c r="A385" t="s">
        <v>90</v>
      </c>
      <c r="B385" t="s">
        <v>90</v>
      </c>
      <c r="C385" t="s">
        <v>91</v>
      </c>
      <c r="D385" s="1" t="s">
        <v>102</v>
      </c>
      <c r="E385" t="s">
        <v>93</v>
      </c>
      <c r="F385" t="s">
        <v>34</v>
      </c>
      <c r="G385">
        <v>23</v>
      </c>
      <c r="H385">
        <v>3417</v>
      </c>
      <c r="I385" s="5">
        <f>VLOOKUP(TrendSheetStgData[Population]&amp;TrendSheetStgData[Cost Basis]&amp;TrendSheetStgData[Period]&amp;TrendSheetStgData[Trend],TrendSheetPrdData[#All],9,FALSE)</f>
        <v>3417</v>
      </c>
      <c r="J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 s="5">
        <f>VLOOKUP(TrendSheetStgData[Population]&amp;TrendSheetStgData[Trend],Threshold[#All],4,FALSE)</f>
        <v>10</v>
      </c>
      <c r="L385" s="5">
        <f>VLOOKUP(TrendSheetStgData[Population]&amp;TrendSheetStgData[Trend],Threshold[#All],5,FALSE)</f>
        <v>5</v>
      </c>
      <c r="M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 spans="1:13" x14ac:dyDescent="0.25">
      <c r="A386" t="s">
        <v>90</v>
      </c>
      <c r="B386" t="s">
        <v>90</v>
      </c>
      <c r="C386" t="s">
        <v>91</v>
      </c>
      <c r="D386" s="1" t="s">
        <v>103</v>
      </c>
      <c r="E386" t="s">
        <v>93</v>
      </c>
      <c r="F386" t="s">
        <v>34</v>
      </c>
      <c r="G386">
        <v>23</v>
      </c>
      <c r="H386">
        <v>3435</v>
      </c>
      <c r="I386" s="5">
        <f>VLOOKUP(TrendSheetStgData[Population]&amp;TrendSheetStgData[Cost Basis]&amp;TrendSheetStgData[Period]&amp;TrendSheetStgData[Trend],TrendSheetPrdData[#All],9,FALSE)</f>
        <v>3435</v>
      </c>
      <c r="J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 s="5">
        <f>VLOOKUP(TrendSheetStgData[Population]&amp;TrendSheetStgData[Trend],Threshold[#All],4,FALSE)</f>
        <v>10</v>
      </c>
      <c r="L386" s="5">
        <f>VLOOKUP(TrendSheetStgData[Population]&amp;TrendSheetStgData[Trend],Threshold[#All],5,FALSE)</f>
        <v>5</v>
      </c>
      <c r="M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 spans="1:13" x14ac:dyDescent="0.25">
      <c r="A387" t="s">
        <v>90</v>
      </c>
      <c r="B387" t="s">
        <v>90</v>
      </c>
      <c r="C387" t="s">
        <v>91</v>
      </c>
      <c r="D387" s="1" t="s">
        <v>104</v>
      </c>
      <c r="E387" t="s">
        <v>93</v>
      </c>
      <c r="F387" t="s">
        <v>34</v>
      </c>
      <c r="G387">
        <v>23</v>
      </c>
      <c r="H387">
        <v>3460</v>
      </c>
      <c r="I387" s="5">
        <f>VLOOKUP(TrendSheetStgData[Population]&amp;TrendSheetStgData[Cost Basis]&amp;TrendSheetStgData[Period]&amp;TrendSheetStgData[Trend],TrendSheetPrdData[#All],9,FALSE)</f>
        <v>3460</v>
      </c>
      <c r="J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 s="5">
        <f>VLOOKUP(TrendSheetStgData[Population]&amp;TrendSheetStgData[Trend],Threshold[#All],4,FALSE)</f>
        <v>10</v>
      </c>
      <c r="L387" s="5">
        <f>VLOOKUP(TrendSheetStgData[Population]&amp;TrendSheetStgData[Trend],Threshold[#All],5,FALSE)</f>
        <v>5</v>
      </c>
      <c r="M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8" spans="1:13" x14ac:dyDescent="0.25">
      <c r="A388" t="s">
        <v>90</v>
      </c>
      <c r="B388" t="s">
        <v>90</v>
      </c>
      <c r="C388" t="s">
        <v>91</v>
      </c>
      <c r="D388" s="1" t="s">
        <v>105</v>
      </c>
      <c r="E388" t="s">
        <v>93</v>
      </c>
      <c r="F388" t="s">
        <v>34</v>
      </c>
      <c r="G388">
        <v>23</v>
      </c>
      <c r="H388">
        <v>3898</v>
      </c>
      <c r="I388" s="5">
        <f>VLOOKUP(TrendSheetStgData[Population]&amp;TrendSheetStgData[Cost Basis]&amp;TrendSheetStgData[Period]&amp;TrendSheetStgData[Trend],TrendSheetPrdData[#All],9,FALSE)</f>
        <v>3898</v>
      </c>
      <c r="J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8" s="5">
        <f>VLOOKUP(TrendSheetStgData[Population]&amp;TrendSheetStgData[Trend],Threshold[#All],4,FALSE)</f>
        <v>10</v>
      </c>
      <c r="L388" s="5">
        <f>VLOOKUP(TrendSheetStgData[Population]&amp;TrendSheetStgData[Trend],Threshold[#All],5,FALSE)</f>
        <v>5</v>
      </c>
      <c r="M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 spans="1:13" x14ac:dyDescent="0.25">
      <c r="A389" t="s">
        <v>90</v>
      </c>
      <c r="B389" t="s">
        <v>90</v>
      </c>
      <c r="C389" t="s">
        <v>91</v>
      </c>
      <c r="D389" s="1" t="s">
        <v>106</v>
      </c>
      <c r="E389" t="s">
        <v>93</v>
      </c>
      <c r="F389" t="s">
        <v>34</v>
      </c>
      <c r="G389">
        <v>23</v>
      </c>
      <c r="H389">
        <v>3409</v>
      </c>
      <c r="I389" s="5">
        <f>VLOOKUP(TrendSheetStgData[Population]&amp;TrendSheetStgData[Cost Basis]&amp;TrendSheetStgData[Period]&amp;TrendSheetStgData[Trend],TrendSheetPrdData[#All],9,FALSE)</f>
        <v>3409</v>
      </c>
      <c r="J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 s="5">
        <f>VLOOKUP(TrendSheetStgData[Population]&amp;TrendSheetStgData[Trend],Threshold[#All],4,FALSE)</f>
        <v>10</v>
      </c>
      <c r="L389" s="5">
        <f>VLOOKUP(TrendSheetStgData[Population]&amp;TrendSheetStgData[Trend],Threshold[#All],5,FALSE)</f>
        <v>5</v>
      </c>
      <c r="M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0" spans="1:13" x14ac:dyDescent="0.25">
      <c r="A390" t="s">
        <v>90</v>
      </c>
      <c r="B390" t="s">
        <v>90</v>
      </c>
      <c r="C390" t="s">
        <v>91</v>
      </c>
      <c r="D390" s="1" t="s">
        <v>107</v>
      </c>
      <c r="E390" t="s">
        <v>108</v>
      </c>
      <c r="F390" t="s">
        <v>34</v>
      </c>
      <c r="G390">
        <v>23</v>
      </c>
      <c r="H390">
        <v>3783</v>
      </c>
      <c r="I390" s="5">
        <f>VLOOKUP(TrendSheetStgData[Population]&amp;TrendSheetStgData[Cost Basis]&amp;TrendSheetStgData[Period]&amp;TrendSheetStgData[Trend],TrendSheetPrdData[#All],9,FALSE)</f>
        <v>3783</v>
      </c>
      <c r="J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0" s="5">
        <f>VLOOKUP(TrendSheetStgData[Population]&amp;TrendSheetStgData[Trend],Threshold[#All],4,FALSE)</f>
        <v>10</v>
      </c>
      <c r="L390" s="5">
        <f>VLOOKUP(TrendSheetStgData[Population]&amp;TrendSheetStgData[Trend],Threshold[#All],5,FALSE)</f>
        <v>5</v>
      </c>
      <c r="M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 spans="1:13" x14ac:dyDescent="0.25">
      <c r="A391" t="s">
        <v>90</v>
      </c>
      <c r="B391" t="s">
        <v>90</v>
      </c>
      <c r="C391" t="s">
        <v>91</v>
      </c>
      <c r="D391" s="1" t="s">
        <v>109</v>
      </c>
      <c r="E391" t="s">
        <v>108</v>
      </c>
      <c r="F391" t="s">
        <v>34</v>
      </c>
      <c r="G391">
        <v>23</v>
      </c>
      <c r="H391">
        <v>3411</v>
      </c>
      <c r="I391" s="5">
        <f>VLOOKUP(TrendSheetStgData[Population]&amp;TrendSheetStgData[Cost Basis]&amp;TrendSheetStgData[Period]&amp;TrendSheetStgData[Trend],TrendSheetPrdData[#All],9,FALSE)</f>
        <v>3411</v>
      </c>
      <c r="J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 s="5">
        <f>VLOOKUP(TrendSheetStgData[Population]&amp;TrendSheetStgData[Trend],Threshold[#All],4,FALSE)</f>
        <v>10</v>
      </c>
      <c r="L391" s="5">
        <f>VLOOKUP(TrendSheetStgData[Population]&amp;TrendSheetStgData[Trend],Threshold[#All],5,FALSE)</f>
        <v>5</v>
      </c>
      <c r="M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2" spans="1:13" x14ac:dyDescent="0.25">
      <c r="A392" t="s">
        <v>90</v>
      </c>
      <c r="B392" t="s">
        <v>90</v>
      </c>
      <c r="C392" t="s">
        <v>91</v>
      </c>
      <c r="D392" s="1" t="s">
        <v>110</v>
      </c>
      <c r="E392" t="s">
        <v>108</v>
      </c>
      <c r="F392" t="s">
        <v>34</v>
      </c>
      <c r="G392">
        <v>23</v>
      </c>
      <c r="H392">
        <v>3090</v>
      </c>
      <c r="I392" s="5">
        <f>VLOOKUP(TrendSheetStgData[Population]&amp;TrendSheetStgData[Cost Basis]&amp;TrendSheetStgData[Period]&amp;TrendSheetStgData[Trend],TrendSheetPrdData[#All],9,FALSE)</f>
        <v>3090</v>
      </c>
      <c r="J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2" s="5">
        <f>VLOOKUP(TrendSheetStgData[Population]&amp;TrendSheetStgData[Trend],Threshold[#All],4,FALSE)</f>
        <v>10</v>
      </c>
      <c r="L392" s="5">
        <f>VLOOKUP(TrendSheetStgData[Population]&amp;TrendSheetStgData[Trend],Threshold[#All],5,FALSE)</f>
        <v>5</v>
      </c>
      <c r="M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 spans="1:13" x14ac:dyDescent="0.25">
      <c r="A393" t="s">
        <v>90</v>
      </c>
      <c r="B393" t="s">
        <v>90</v>
      </c>
      <c r="C393" t="s">
        <v>78</v>
      </c>
      <c r="D393" s="1" t="s">
        <v>92</v>
      </c>
      <c r="E393" t="s">
        <v>93</v>
      </c>
      <c r="F393" t="s">
        <v>12</v>
      </c>
      <c r="G393">
        <v>1</v>
      </c>
      <c r="H393">
        <v>449.13</v>
      </c>
      <c r="I393" s="5">
        <f>VLOOKUP(TrendSheetStgData[Population]&amp;TrendSheetStgData[Cost Basis]&amp;TrendSheetStgData[Period]&amp;TrendSheetStgData[Trend],TrendSheetPrdData[#All],9,FALSE)</f>
        <v>449.13</v>
      </c>
      <c r="J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 s="5">
        <f>VLOOKUP(TrendSheetStgData[Population]&amp;TrendSheetStgData[Trend],Threshold[#All],4,FALSE)</f>
        <v>10</v>
      </c>
      <c r="L393" s="5">
        <f>VLOOKUP(TrendSheetStgData[Population]&amp;TrendSheetStgData[Trend],Threshold[#All],5,FALSE)</f>
        <v>5</v>
      </c>
      <c r="M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 spans="1:13" x14ac:dyDescent="0.25">
      <c r="A394" t="s">
        <v>90</v>
      </c>
      <c r="B394" t="s">
        <v>90</v>
      </c>
      <c r="C394" t="s">
        <v>78</v>
      </c>
      <c r="D394" s="1" t="s">
        <v>94</v>
      </c>
      <c r="E394" t="s">
        <v>93</v>
      </c>
      <c r="F394" t="s">
        <v>12</v>
      </c>
      <c r="G394">
        <v>1</v>
      </c>
      <c r="H394">
        <v>468.46</v>
      </c>
      <c r="I394" s="5">
        <f>VLOOKUP(TrendSheetStgData[Population]&amp;TrendSheetStgData[Cost Basis]&amp;TrendSheetStgData[Period]&amp;TrendSheetStgData[Trend],TrendSheetPrdData[#All],9,FALSE)</f>
        <v>468.46</v>
      </c>
      <c r="J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 s="5">
        <f>VLOOKUP(TrendSheetStgData[Population]&amp;TrendSheetStgData[Trend],Threshold[#All],4,FALSE)</f>
        <v>10</v>
      </c>
      <c r="L394" s="5">
        <f>VLOOKUP(TrendSheetStgData[Population]&amp;TrendSheetStgData[Trend],Threshold[#All],5,FALSE)</f>
        <v>5</v>
      </c>
      <c r="M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 spans="1:13" x14ac:dyDescent="0.25">
      <c r="A395" t="s">
        <v>90</v>
      </c>
      <c r="B395" t="s">
        <v>90</v>
      </c>
      <c r="C395" t="s">
        <v>78</v>
      </c>
      <c r="D395" s="1" t="s">
        <v>95</v>
      </c>
      <c r="E395" t="s">
        <v>93</v>
      </c>
      <c r="F395" t="s">
        <v>12</v>
      </c>
      <c r="G395">
        <v>1</v>
      </c>
      <c r="H395">
        <v>455.51</v>
      </c>
      <c r="I395" s="5">
        <f>VLOOKUP(TrendSheetStgData[Population]&amp;TrendSheetStgData[Cost Basis]&amp;TrendSheetStgData[Period]&amp;TrendSheetStgData[Trend],TrendSheetPrdData[#All],9,FALSE)</f>
        <v>455.51</v>
      </c>
      <c r="J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 s="5">
        <f>VLOOKUP(TrendSheetStgData[Population]&amp;TrendSheetStgData[Trend],Threshold[#All],4,FALSE)</f>
        <v>10</v>
      </c>
      <c r="L395" s="5">
        <f>VLOOKUP(TrendSheetStgData[Population]&amp;TrendSheetStgData[Trend],Threshold[#All],5,FALSE)</f>
        <v>5</v>
      </c>
      <c r="M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 spans="1:13" x14ac:dyDescent="0.25">
      <c r="A396" t="s">
        <v>90</v>
      </c>
      <c r="B396" t="s">
        <v>90</v>
      </c>
      <c r="C396" t="s">
        <v>78</v>
      </c>
      <c r="D396" s="1" t="s">
        <v>96</v>
      </c>
      <c r="E396" t="s">
        <v>93</v>
      </c>
      <c r="F396" t="s">
        <v>12</v>
      </c>
      <c r="G396">
        <v>1</v>
      </c>
      <c r="H396">
        <v>533.49</v>
      </c>
      <c r="I396" s="5">
        <f>VLOOKUP(TrendSheetStgData[Population]&amp;TrendSheetStgData[Cost Basis]&amp;TrendSheetStgData[Period]&amp;TrendSheetStgData[Trend],TrendSheetPrdData[#All],9,FALSE)</f>
        <v>533.49</v>
      </c>
      <c r="J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 s="5">
        <f>VLOOKUP(TrendSheetStgData[Population]&amp;TrendSheetStgData[Trend],Threshold[#All],4,FALSE)</f>
        <v>10</v>
      </c>
      <c r="L396" s="5">
        <f>VLOOKUP(TrendSheetStgData[Population]&amp;TrendSheetStgData[Trend],Threshold[#All],5,FALSE)</f>
        <v>5</v>
      </c>
      <c r="M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 spans="1:13" x14ac:dyDescent="0.25">
      <c r="A397" t="s">
        <v>90</v>
      </c>
      <c r="B397" t="s">
        <v>90</v>
      </c>
      <c r="C397" t="s">
        <v>78</v>
      </c>
      <c r="D397" s="1" t="s">
        <v>97</v>
      </c>
      <c r="E397" t="s">
        <v>93</v>
      </c>
      <c r="F397" t="s">
        <v>12</v>
      </c>
      <c r="G397">
        <v>1</v>
      </c>
      <c r="H397">
        <v>466.93</v>
      </c>
      <c r="I397" s="5">
        <f>VLOOKUP(TrendSheetStgData[Population]&amp;TrendSheetStgData[Cost Basis]&amp;TrendSheetStgData[Period]&amp;TrendSheetStgData[Trend],TrendSheetPrdData[#All],9,FALSE)</f>
        <v>466.93</v>
      </c>
      <c r="J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 s="5">
        <f>VLOOKUP(TrendSheetStgData[Population]&amp;TrendSheetStgData[Trend],Threshold[#All],4,FALSE)</f>
        <v>10</v>
      </c>
      <c r="L397" s="5">
        <f>VLOOKUP(TrendSheetStgData[Population]&amp;TrendSheetStgData[Trend],Threshold[#All],5,FALSE)</f>
        <v>5</v>
      </c>
      <c r="M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 spans="1:13" x14ac:dyDescent="0.25">
      <c r="A398" t="s">
        <v>90</v>
      </c>
      <c r="B398" t="s">
        <v>90</v>
      </c>
      <c r="C398" t="s">
        <v>78</v>
      </c>
      <c r="D398" s="1" t="s">
        <v>98</v>
      </c>
      <c r="E398" t="s">
        <v>93</v>
      </c>
      <c r="F398" t="s">
        <v>12</v>
      </c>
      <c r="G398">
        <v>1</v>
      </c>
      <c r="H398">
        <v>437.19</v>
      </c>
      <c r="I398" s="5">
        <f>VLOOKUP(TrendSheetStgData[Population]&amp;TrendSheetStgData[Cost Basis]&amp;TrendSheetStgData[Period]&amp;TrendSheetStgData[Trend],TrendSheetPrdData[#All],9,FALSE)</f>
        <v>437.19</v>
      </c>
      <c r="J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 s="5">
        <f>VLOOKUP(TrendSheetStgData[Population]&amp;TrendSheetStgData[Trend],Threshold[#All],4,FALSE)</f>
        <v>10</v>
      </c>
      <c r="L398" s="5">
        <f>VLOOKUP(TrendSheetStgData[Population]&amp;TrendSheetStgData[Trend],Threshold[#All],5,FALSE)</f>
        <v>5</v>
      </c>
      <c r="M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 spans="1:13" x14ac:dyDescent="0.25">
      <c r="A399" t="s">
        <v>90</v>
      </c>
      <c r="B399" t="s">
        <v>90</v>
      </c>
      <c r="C399" t="s">
        <v>78</v>
      </c>
      <c r="D399" s="1" t="s">
        <v>99</v>
      </c>
      <c r="E399" t="s">
        <v>93</v>
      </c>
      <c r="F399" t="s">
        <v>12</v>
      </c>
      <c r="G399">
        <v>1</v>
      </c>
      <c r="H399">
        <v>527.73</v>
      </c>
      <c r="I399" s="5">
        <f>VLOOKUP(TrendSheetStgData[Population]&amp;TrendSheetStgData[Cost Basis]&amp;TrendSheetStgData[Period]&amp;TrendSheetStgData[Trend],TrendSheetPrdData[#All],9,FALSE)</f>
        <v>527.73</v>
      </c>
      <c r="J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 s="5">
        <f>VLOOKUP(TrendSheetStgData[Population]&amp;TrendSheetStgData[Trend],Threshold[#All],4,FALSE)</f>
        <v>10</v>
      </c>
      <c r="L399" s="5">
        <f>VLOOKUP(TrendSheetStgData[Population]&amp;TrendSheetStgData[Trend],Threshold[#All],5,FALSE)</f>
        <v>5</v>
      </c>
      <c r="M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 spans="1:13" x14ac:dyDescent="0.25">
      <c r="A400" t="s">
        <v>90</v>
      </c>
      <c r="B400" t="s">
        <v>90</v>
      </c>
      <c r="C400" t="s">
        <v>78</v>
      </c>
      <c r="D400" s="1" t="s">
        <v>100</v>
      </c>
      <c r="E400" t="s">
        <v>93</v>
      </c>
      <c r="F400" t="s">
        <v>12</v>
      </c>
      <c r="G400">
        <v>1</v>
      </c>
      <c r="H400">
        <v>447.7</v>
      </c>
      <c r="I400" s="5">
        <f>VLOOKUP(TrendSheetStgData[Population]&amp;TrendSheetStgData[Cost Basis]&amp;TrendSheetStgData[Period]&amp;TrendSheetStgData[Trend],TrendSheetPrdData[#All],9,FALSE)</f>
        <v>447.7</v>
      </c>
      <c r="J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 s="5">
        <f>VLOOKUP(TrendSheetStgData[Population]&amp;TrendSheetStgData[Trend],Threshold[#All],4,FALSE)</f>
        <v>10</v>
      </c>
      <c r="L400" s="5">
        <f>VLOOKUP(TrendSheetStgData[Population]&amp;TrendSheetStgData[Trend],Threshold[#All],5,FALSE)</f>
        <v>5</v>
      </c>
      <c r="M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 spans="1:13" x14ac:dyDescent="0.25">
      <c r="A401" t="s">
        <v>90</v>
      </c>
      <c r="B401" t="s">
        <v>90</v>
      </c>
      <c r="C401" t="s">
        <v>78</v>
      </c>
      <c r="D401" s="1" t="s">
        <v>101</v>
      </c>
      <c r="E401" t="s">
        <v>93</v>
      </c>
      <c r="F401" t="s">
        <v>12</v>
      </c>
      <c r="G401">
        <v>1</v>
      </c>
      <c r="H401">
        <v>447.78</v>
      </c>
      <c r="I401" s="5">
        <f>VLOOKUP(TrendSheetStgData[Population]&amp;TrendSheetStgData[Cost Basis]&amp;TrendSheetStgData[Period]&amp;TrendSheetStgData[Trend],TrendSheetPrdData[#All],9,FALSE)</f>
        <v>447.78</v>
      </c>
      <c r="J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 s="5">
        <f>VLOOKUP(TrendSheetStgData[Population]&amp;TrendSheetStgData[Trend],Threshold[#All],4,FALSE)</f>
        <v>10</v>
      </c>
      <c r="L401" s="5">
        <f>VLOOKUP(TrendSheetStgData[Population]&amp;TrendSheetStgData[Trend],Threshold[#All],5,FALSE)</f>
        <v>5</v>
      </c>
      <c r="M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 spans="1:13" x14ac:dyDescent="0.25">
      <c r="A402" t="s">
        <v>90</v>
      </c>
      <c r="B402" t="s">
        <v>90</v>
      </c>
      <c r="C402" t="s">
        <v>78</v>
      </c>
      <c r="D402" s="1" t="s">
        <v>102</v>
      </c>
      <c r="E402" t="s">
        <v>93</v>
      </c>
      <c r="F402" t="s">
        <v>12</v>
      </c>
      <c r="G402">
        <v>1</v>
      </c>
      <c r="H402">
        <v>380.05</v>
      </c>
      <c r="I402" s="5">
        <f>VLOOKUP(TrendSheetStgData[Population]&amp;TrendSheetStgData[Cost Basis]&amp;TrendSheetStgData[Period]&amp;TrendSheetStgData[Trend],TrendSheetPrdData[#All],9,FALSE)</f>
        <v>380.05</v>
      </c>
      <c r="J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 s="5">
        <f>VLOOKUP(TrendSheetStgData[Population]&amp;TrendSheetStgData[Trend],Threshold[#All],4,FALSE)</f>
        <v>10</v>
      </c>
      <c r="L402" s="5">
        <f>VLOOKUP(TrendSheetStgData[Population]&amp;TrendSheetStgData[Trend],Threshold[#All],5,FALSE)</f>
        <v>5</v>
      </c>
      <c r="M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 spans="1:13" x14ac:dyDescent="0.25">
      <c r="A403" t="s">
        <v>90</v>
      </c>
      <c r="B403" t="s">
        <v>90</v>
      </c>
      <c r="C403" t="s">
        <v>78</v>
      </c>
      <c r="D403" s="1" t="s">
        <v>103</v>
      </c>
      <c r="E403" t="s">
        <v>93</v>
      </c>
      <c r="F403" t="s">
        <v>12</v>
      </c>
      <c r="G403">
        <v>1</v>
      </c>
      <c r="H403">
        <v>403.44</v>
      </c>
      <c r="I403" s="5">
        <f>VLOOKUP(TrendSheetStgData[Population]&amp;TrendSheetStgData[Cost Basis]&amp;TrendSheetStgData[Period]&amp;TrendSheetStgData[Trend],TrendSheetPrdData[#All],9,FALSE)</f>
        <v>403.44</v>
      </c>
      <c r="J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 s="5">
        <f>VLOOKUP(TrendSheetStgData[Population]&amp;TrendSheetStgData[Trend],Threshold[#All],4,FALSE)</f>
        <v>10</v>
      </c>
      <c r="L403" s="5">
        <f>VLOOKUP(TrendSheetStgData[Population]&amp;TrendSheetStgData[Trend],Threshold[#All],5,FALSE)</f>
        <v>5</v>
      </c>
      <c r="M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 spans="1:13" x14ac:dyDescent="0.25">
      <c r="A404" t="s">
        <v>90</v>
      </c>
      <c r="B404" t="s">
        <v>90</v>
      </c>
      <c r="C404" t="s">
        <v>78</v>
      </c>
      <c r="D404" s="1" t="s">
        <v>104</v>
      </c>
      <c r="E404" t="s">
        <v>93</v>
      </c>
      <c r="F404" t="s">
        <v>12</v>
      </c>
      <c r="G404">
        <v>1</v>
      </c>
      <c r="H404">
        <v>501.31</v>
      </c>
      <c r="I404" s="5">
        <f>VLOOKUP(TrendSheetStgData[Population]&amp;TrendSheetStgData[Cost Basis]&amp;TrendSheetStgData[Period]&amp;TrendSheetStgData[Trend],TrendSheetPrdData[#All],9,FALSE)</f>
        <v>501.31</v>
      </c>
      <c r="J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 s="5">
        <f>VLOOKUP(TrendSheetStgData[Population]&amp;TrendSheetStgData[Trend],Threshold[#All],4,FALSE)</f>
        <v>10</v>
      </c>
      <c r="L404" s="5">
        <f>VLOOKUP(TrendSheetStgData[Population]&amp;TrendSheetStgData[Trend],Threshold[#All],5,FALSE)</f>
        <v>5</v>
      </c>
      <c r="M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 spans="1:13" x14ac:dyDescent="0.25">
      <c r="A405" t="s">
        <v>90</v>
      </c>
      <c r="B405" t="s">
        <v>90</v>
      </c>
      <c r="C405" t="s">
        <v>78</v>
      </c>
      <c r="D405" s="1" t="s">
        <v>105</v>
      </c>
      <c r="E405" t="s">
        <v>93</v>
      </c>
      <c r="F405" t="s">
        <v>12</v>
      </c>
      <c r="G405">
        <v>1</v>
      </c>
      <c r="H405">
        <v>418.38</v>
      </c>
      <c r="I405" s="5">
        <f>VLOOKUP(TrendSheetStgData[Population]&amp;TrendSheetStgData[Cost Basis]&amp;TrendSheetStgData[Period]&amp;TrendSheetStgData[Trend],TrendSheetPrdData[#All],9,FALSE)</f>
        <v>418.38</v>
      </c>
      <c r="J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 s="5">
        <f>VLOOKUP(TrendSheetStgData[Population]&amp;TrendSheetStgData[Trend],Threshold[#All],4,FALSE)</f>
        <v>10</v>
      </c>
      <c r="L405" s="5">
        <f>VLOOKUP(TrendSheetStgData[Population]&amp;TrendSheetStgData[Trend],Threshold[#All],5,FALSE)</f>
        <v>5</v>
      </c>
      <c r="M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 spans="1:13" x14ac:dyDescent="0.25">
      <c r="A406" t="s">
        <v>90</v>
      </c>
      <c r="B406" t="s">
        <v>90</v>
      </c>
      <c r="C406" t="s">
        <v>78</v>
      </c>
      <c r="D406" s="1" t="s">
        <v>106</v>
      </c>
      <c r="E406" t="s">
        <v>93</v>
      </c>
      <c r="F406" t="s">
        <v>12</v>
      </c>
      <c r="G406">
        <v>1</v>
      </c>
      <c r="H406">
        <v>344.48</v>
      </c>
      <c r="I406" s="5">
        <f>VLOOKUP(TrendSheetStgData[Population]&amp;TrendSheetStgData[Cost Basis]&amp;TrendSheetStgData[Period]&amp;TrendSheetStgData[Trend],TrendSheetPrdData[#All],9,FALSE)</f>
        <v>344.48</v>
      </c>
      <c r="J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 s="5">
        <f>VLOOKUP(TrendSheetStgData[Population]&amp;TrendSheetStgData[Trend],Threshold[#All],4,FALSE)</f>
        <v>10</v>
      </c>
      <c r="L406" s="5">
        <f>VLOOKUP(TrendSheetStgData[Population]&amp;TrendSheetStgData[Trend],Threshold[#All],5,FALSE)</f>
        <v>5</v>
      </c>
      <c r="M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 spans="1:13" x14ac:dyDescent="0.25">
      <c r="A407" t="s">
        <v>90</v>
      </c>
      <c r="B407" t="s">
        <v>90</v>
      </c>
      <c r="C407" t="s">
        <v>78</v>
      </c>
      <c r="D407" s="1" t="s">
        <v>107</v>
      </c>
      <c r="E407" t="s">
        <v>108</v>
      </c>
      <c r="F407" t="s">
        <v>12</v>
      </c>
      <c r="G407">
        <v>1</v>
      </c>
      <c r="H407">
        <v>374.52</v>
      </c>
      <c r="I407" s="5">
        <f>VLOOKUP(TrendSheetStgData[Population]&amp;TrendSheetStgData[Cost Basis]&amp;TrendSheetStgData[Period]&amp;TrendSheetStgData[Trend],TrendSheetPrdData[#All],9,FALSE)</f>
        <v>374.52</v>
      </c>
      <c r="J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 s="5">
        <f>VLOOKUP(TrendSheetStgData[Population]&amp;TrendSheetStgData[Trend],Threshold[#All],4,FALSE)</f>
        <v>10</v>
      </c>
      <c r="L407" s="5">
        <f>VLOOKUP(TrendSheetStgData[Population]&amp;TrendSheetStgData[Trend],Threshold[#All],5,FALSE)</f>
        <v>5</v>
      </c>
      <c r="M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 spans="1:13" x14ac:dyDescent="0.25">
      <c r="A408" t="s">
        <v>90</v>
      </c>
      <c r="B408" t="s">
        <v>90</v>
      </c>
      <c r="C408" t="s">
        <v>78</v>
      </c>
      <c r="D408" s="1" t="s">
        <v>109</v>
      </c>
      <c r="E408" t="s">
        <v>108</v>
      </c>
      <c r="F408" t="s">
        <v>12</v>
      </c>
      <c r="G408">
        <v>1</v>
      </c>
      <c r="H408">
        <v>375.92</v>
      </c>
      <c r="I408" s="5">
        <f>VLOOKUP(TrendSheetStgData[Population]&amp;TrendSheetStgData[Cost Basis]&amp;TrendSheetStgData[Period]&amp;TrendSheetStgData[Trend],TrendSheetPrdData[#All],9,FALSE)</f>
        <v>375.92</v>
      </c>
      <c r="J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 s="5">
        <f>VLOOKUP(TrendSheetStgData[Population]&amp;TrendSheetStgData[Trend],Threshold[#All],4,FALSE)</f>
        <v>10</v>
      </c>
      <c r="L408" s="5">
        <f>VLOOKUP(TrendSheetStgData[Population]&amp;TrendSheetStgData[Trend],Threshold[#All],5,FALSE)</f>
        <v>5</v>
      </c>
      <c r="M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 spans="1:13" x14ac:dyDescent="0.25">
      <c r="A409" t="s">
        <v>90</v>
      </c>
      <c r="B409" t="s">
        <v>90</v>
      </c>
      <c r="C409" t="s">
        <v>78</v>
      </c>
      <c r="D409" s="1" t="s">
        <v>110</v>
      </c>
      <c r="E409" t="s">
        <v>108</v>
      </c>
      <c r="F409" t="s">
        <v>12</v>
      </c>
      <c r="G409">
        <v>1</v>
      </c>
      <c r="H409">
        <v>201.44</v>
      </c>
      <c r="I409" s="5">
        <f>VLOOKUP(TrendSheetStgData[Population]&amp;TrendSheetStgData[Cost Basis]&amp;TrendSheetStgData[Period]&amp;TrendSheetStgData[Trend],TrendSheetPrdData[#All],9,FALSE)</f>
        <v>201.44</v>
      </c>
      <c r="J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 s="5">
        <f>VLOOKUP(TrendSheetStgData[Population]&amp;TrendSheetStgData[Trend],Threshold[#All],4,FALSE)</f>
        <v>10</v>
      </c>
      <c r="L409" s="5">
        <f>VLOOKUP(TrendSheetStgData[Population]&amp;TrendSheetStgData[Trend],Threshold[#All],5,FALSE)</f>
        <v>5</v>
      </c>
      <c r="M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 spans="1:13" x14ac:dyDescent="0.25">
      <c r="A410" t="s">
        <v>90</v>
      </c>
      <c r="B410" t="s">
        <v>90</v>
      </c>
      <c r="C410" t="s">
        <v>78</v>
      </c>
      <c r="D410" s="1" t="s">
        <v>92</v>
      </c>
      <c r="E410" t="s">
        <v>93</v>
      </c>
      <c r="F410" t="s">
        <v>13</v>
      </c>
      <c r="G410">
        <v>2</v>
      </c>
      <c r="H410">
        <v>59.62</v>
      </c>
      <c r="I410" s="5">
        <f>VLOOKUP(TrendSheetStgData[Population]&amp;TrendSheetStgData[Cost Basis]&amp;TrendSheetStgData[Period]&amp;TrendSheetStgData[Trend],TrendSheetPrdData[#All],9,FALSE)</f>
        <v>59.62</v>
      </c>
      <c r="J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 s="5">
        <f>VLOOKUP(TrendSheetStgData[Population]&amp;TrendSheetStgData[Trend],Threshold[#All],4,FALSE)</f>
        <v>10</v>
      </c>
      <c r="L410" s="5">
        <f>VLOOKUP(TrendSheetStgData[Population]&amp;TrendSheetStgData[Trend],Threshold[#All],5,FALSE)</f>
        <v>5</v>
      </c>
      <c r="M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 spans="1:13" x14ac:dyDescent="0.25">
      <c r="A411" t="s">
        <v>90</v>
      </c>
      <c r="B411" t="s">
        <v>90</v>
      </c>
      <c r="C411" t="s">
        <v>78</v>
      </c>
      <c r="D411" s="1" t="s">
        <v>94</v>
      </c>
      <c r="E411" t="s">
        <v>93</v>
      </c>
      <c r="F411" t="s">
        <v>13</v>
      </c>
      <c r="G411">
        <v>2</v>
      </c>
      <c r="H411">
        <v>76.260000000000005</v>
      </c>
      <c r="I411" s="5">
        <f>VLOOKUP(TrendSheetStgData[Population]&amp;TrendSheetStgData[Cost Basis]&amp;TrendSheetStgData[Period]&amp;TrendSheetStgData[Trend],TrendSheetPrdData[#All],9,FALSE)</f>
        <v>76.260000000000005</v>
      </c>
      <c r="J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 s="5">
        <f>VLOOKUP(TrendSheetStgData[Population]&amp;TrendSheetStgData[Trend],Threshold[#All],4,FALSE)</f>
        <v>10</v>
      </c>
      <c r="L411" s="5">
        <f>VLOOKUP(TrendSheetStgData[Population]&amp;TrendSheetStgData[Trend],Threshold[#All],5,FALSE)</f>
        <v>5</v>
      </c>
      <c r="M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 spans="1:13" x14ac:dyDescent="0.25">
      <c r="A412" t="s">
        <v>90</v>
      </c>
      <c r="B412" t="s">
        <v>90</v>
      </c>
      <c r="C412" t="s">
        <v>78</v>
      </c>
      <c r="D412" s="1" t="s">
        <v>95</v>
      </c>
      <c r="E412" t="s">
        <v>93</v>
      </c>
      <c r="F412" t="s">
        <v>13</v>
      </c>
      <c r="G412">
        <v>2</v>
      </c>
      <c r="H412">
        <v>64.84</v>
      </c>
      <c r="I412" s="5">
        <f>VLOOKUP(TrendSheetStgData[Population]&amp;TrendSheetStgData[Cost Basis]&amp;TrendSheetStgData[Period]&amp;TrendSheetStgData[Trend],TrendSheetPrdData[#All],9,FALSE)</f>
        <v>64.84</v>
      </c>
      <c r="J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 s="5">
        <f>VLOOKUP(TrendSheetStgData[Population]&amp;TrendSheetStgData[Trend],Threshold[#All],4,FALSE)</f>
        <v>10</v>
      </c>
      <c r="L412" s="5">
        <f>VLOOKUP(TrendSheetStgData[Population]&amp;TrendSheetStgData[Trend],Threshold[#All],5,FALSE)</f>
        <v>5</v>
      </c>
      <c r="M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 spans="1:13" x14ac:dyDescent="0.25">
      <c r="A413" t="s">
        <v>90</v>
      </c>
      <c r="B413" t="s">
        <v>90</v>
      </c>
      <c r="C413" t="s">
        <v>78</v>
      </c>
      <c r="D413" s="1" t="s">
        <v>96</v>
      </c>
      <c r="E413" t="s">
        <v>93</v>
      </c>
      <c r="F413" t="s">
        <v>13</v>
      </c>
      <c r="G413">
        <v>2</v>
      </c>
      <c r="H413">
        <v>65.63</v>
      </c>
      <c r="I413" s="5">
        <f>VLOOKUP(TrendSheetStgData[Population]&amp;TrendSheetStgData[Cost Basis]&amp;TrendSheetStgData[Period]&amp;TrendSheetStgData[Trend],TrendSheetPrdData[#All],9,FALSE)</f>
        <v>65.63</v>
      </c>
      <c r="J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 s="5">
        <f>VLOOKUP(TrendSheetStgData[Population]&amp;TrendSheetStgData[Trend],Threshold[#All],4,FALSE)</f>
        <v>10</v>
      </c>
      <c r="L413" s="5">
        <f>VLOOKUP(TrendSheetStgData[Population]&amp;TrendSheetStgData[Trend],Threshold[#All],5,FALSE)</f>
        <v>5</v>
      </c>
      <c r="M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 spans="1:13" x14ac:dyDescent="0.25">
      <c r="A414" t="s">
        <v>90</v>
      </c>
      <c r="B414" t="s">
        <v>90</v>
      </c>
      <c r="C414" t="s">
        <v>78</v>
      </c>
      <c r="D414" s="1" t="s">
        <v>97</v>
      </c>
      <c r="E414" t="s">
        <v>93</v>
      </c>
      <c r="F414" t="s">
        <v>13</v>
      </c>
      <c r="G414">
        <v>2</v>
      </c>
      <c r="H414">
        <v>71.069999999999993</v>
      </c>
      <c r="I414" s="5">
        <f>VLOOKUP(TrendSheetStgData[Population]&amp;TrendSheetStgData[Cost Basis]&amp;TrendSheetStgData[Period]&amp;TrendSheetStgData[Trend],TrendSheetPrdData[#All],9,FALSE)</f>
        <v>71.069999999999993</v>
      </c>
      <c r="J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 s="5">
        <f>VLOOKUP(TrendSheetStgData[Population]&amp;TrendSheetStgData[Trend],Threshold[#All],4,FALSE)</f>
        <v>10</v>
      </c>
      <c r="L414" s="5">
        <f>VLOOKUP(TrendSheetStgData[Population]&amp;TrendSheetStgData[Trend],Threshold[#All],5,FALSE)</f>
        <v>5</v>
      </c>
      <c r="M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 spans="1:13" x14ac:dyDescent="0.25">
      <c r="A415" t="s">
        <v>90</v>
      </c>
      <c r="B415" t="s">
        <v>90</v>
      </c>
      <c r="C415" t="s">
        <v>78</v>
      </c>
      <c r="D415" s="1" t="s">
        <v>98</v>
      </c>
      <c r="E415" t="s">
        <v>93</v>
      </c>
      <c r="F415" t="s">
        <v>13</v>
      </c>
      <c r="G415">
        <v>2</v>
      </c>
      <c r="H415">
        <v>58.45</v>
      </c>
      <c r="I415" s="5">
        <f>VLOOKUP(TrendSheetStgData[Population]&amp;TrendSheetStgData[Cost Basis]&amp;TrendSheetStgData[Period]&amp;TrendSheetStgData[Trend],TrendSheetPrdData[#All],9,FALSE)</f>
        <v>58.45</v>
      </c>
      <c r="J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 s="5">
        <f>VLOOKUP(TrendSheetStgData[Population]&amp;TrendSheetStgData[Trend],Threshold[#All],4,FALSE)</f>
        <v>10</v>
      </c>
      <c r="L415" s="5">
        <f>VLOOKUP(TrendSheetStgData[Population]&amp;TrendSheetStgData[Trend],Threshold[#All],5,FALSE)</f>
        <v>5</v>
      </c>
      <c r="M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 spans="1:13" x14ac:dyDescent="0.25">
      <c r="A416" t="s">
        <v>90</v>
      </c>
      <c r="B416" t="s">
        <v>90</v>
      </c>
      <c r="C416" t="s">
        <v>78</v>
      </c>
      <c r="D416" s="1" t="s">
        <v>99</v>
      </c>
      <c r="E416" t="s">
        <v>93</v>
      </c>
      <c r="F416" t="s">
        <v>13</v>
      </c>
      <c r="G416">
        <v>2</v>
      </c>
      <c r="H416">
        <v>56.77</v>
      </c>
      <c r="I416" s="5">
        <f>VLOOKUP(TrendSheetStgData[Population]&amp;TrendSheetStgData[Cost Basis]&amp;TrendSheetStgData[Period]&amp;TrendSheetStgData[Trend],TrendSheetPrdData[#All],9,FALSE)</f>
        <v>56.77</v>
      </c>
      <c r="J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 s="5">
        <f>VLOOKUP(TrendSheetStgData[Population]&amp;TrendSheetStgData[Trend],Threshold[#All],4,FALSE)</f>
        <v>10</v>
      </c>
      <c r="L416" s="5">
        <f>VLOOKUP(TrendSheetStgData[Population]&amp;TrendSheetStgData[Trend],Threshold[#All],5,FALSE)</f>
        <v>5</v>
      </c>
      <c r="M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 spans="1:13" x14ac:dyDescent="0.25">
      <c r="A417" t="s">
        <v>90</v>
      </c>
      <c r="B417" t="s">
        <v>90</v>
      </c>
      <c r="C417" t="s">
        <v>78</v>
      </c>
      <c r="D417" s="1" t="s">
        <v>100</v>
      </c>
      <c r="E417" t="s">
        <v>93</v>
      </c>
      <c r="F417" t="s">
        <v>13</v>
      </c>
      <c r="G417">
        <v>2</v>
      </c>
      <c r="H417">
        <v>83.74</v>
      </c>
      <c r="I417" s="5">
        <f>VLOOKUP(TrendSheetStgData[Population]&amp;TrendSheetStgData[Cost Basis]&amp;TrendSheetStgData[Period]&amp;TrendSheetStgData[Trend],TrendSheetPrdData[#All],9,FALSE)</f>
        <v>83.74</v>
      </c>
      <c r="J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 s="5">
        <f>VLOOKUP(TrendSheetStgData[Population]&amp;TrendSheetStgData[Trend],Threshold[#All],4,FALSE)</f>
        <v>10</v>
      </c>
      <c r="L417" s="5">
        <f>VLOOKUP(TrendSheetStgData[Population]&amp;TrendSheetStgData[Trend],Threshold[#All],5,FALSE)</f>
        <v>5</v>
      </c>
      <c r="M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 spans="1:13" x14ac:dyDescent="0.25">
      <c r="A418" t="s">
        <v>90</v>
      </c>
      <c r="B418" t="s">
        <v>90</v>
      </c>
      <c r="C418" t="s">
        <v>78</v>
      </c>
      <c r="D418" s="1" t="s">
        <v>101</v>
      </c>
      <c r="E418" t="s">
        <v>93</v>
      </c>
      <c r="F418" t="s">
        <v>13</v>
      </c>
      <c r="G418">
        <v>2</v>
      </c>
      <c r="H418">
        <v>61.69</v>
      </c>
      <c r="I418" s="5">
        <f>VLOOKUP(TrendSheetStgData[Population]&amp;TrendSheetStgData[Cost Basis]&amp;TrendSheetStgData[Period]&amp;TrendSheetStgData[Trend],TrendSheetPrdData[#All],9,FALSE)</f>
        <v>61.69</v>
      </c>
      <c r="J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 s="5">
        <f>VLOOKUP(TrendSheetStgData[Population]&amp;TrendSheetStgData[Trend],Threshold[#All],4,FALSE)</f>
        <v>10</v>
      </c>
      <c r="L418" s="5">
        <f>VLOOKUP(TrendSheetStgData[Population]&amp;TrendSheetStgData[Trend],Threshold[#All],5,FALSE)</f>
        <v>5</v>
      </c>
      <c r="M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 spans="1:13" x14ac:dyDescent="0.25">
      <c r="A419" t="s">
        <v>90</v>
      </c>
      <c r="B419" t="s">
        <v>90</v>
      </c>
      <c r="C419" t="s">
        <v>78</v>
      </c>
      <c r="D419" s="1" t="s">
        <v>102</v>
      </c>
      <c r="E419" t="s">
        <v>93</v>
      </c>
      <c r="F419" t="s">
        <v>13</v>
      </c>
      <c r="G419">
        <v>2</v>
      </c>
      <c r="H419">
        <v>69.349999999999994</v>
      </c>
      <c r="I419" s="5">
        <f>VLOOKUP(TrendSheetStgData[Population]&amp;TrendSheetStgData[Cost Basis]&amp;TrendSheetStgData[Period]&amp;TrendSheetStgData[Trend],TrendSheetPrdData[#All],9,FALSE)</f>
        <v>69.349999999999994</v>
      </c>
      <c r="J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 s="5">
        <f>VLOOKUP(TrendSheetStgData[Population]&amp;TrendSheetStgData[Trend],Threshold[#All],4,FALSE)</f>
        <v>10</v>
      </c>
      <c r="L419" s="5">
        <f>VLOOKUP(TrendSheetStgData[Population]&amp;TrendSheetStgData[Trend],Threshold[#All],5,FALSE)</f>
        <v>5</v>
      </c>
      <c r="M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 spans="1:13" x14ac:dyDescent="0.25">
      <c r="A420" t="s">
        <v>90</v>
      </c>
      <c r="B420" t="s">
        <v>90</v>
      </c>
      <c r="C420" t="s">
        <v>78</v>
      </c>
      <c r="D420" s="1" t="s">
        <v>103</v>
      </c>
      <c r="E420" t="s">
        <v>93</v>
      </c>
      <c r="F420" t="s">
        <v>13</v>
      </c>
      <c r="G420">
        <v>2</v>
      </c>
      <c r="H420">
        <v>98.11</v>
      </c>
      <c r="I420" s="5">
        <f>VLOOKUP(TrendSheetStgData[Population]&amp;TrendSheetStgData[Cost Basis]&amp;TrendSheetStgData[Period]&amp;TrendSheetStgData[Trend],TrendSheetPrdData[#All],9,FALSE)</f>
        <v>98.11</v>
      </c>
      <c r="J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 s="5">
        <f>VLOOKUP(TrendSheetStgData[Population]&amp;TrendSheetStgData[Trend],Threshold[#All],4,FALSE)</f>
        <v>10</v>
      </c>
      <c r="L420" s="5">
        <f>VLOOKUP(TrendSheetStgData[Population]&amp;TrendSheetStgData[Trend],Threshold[#All],5,FALSE)</f>
        <v>5</v>
      </c>
      <c r="M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 spans="1:13" x14ac:dyDescent="0.25">
      <c r="A421" t="s">
        <v>90</v>
      </c>
      <c r="B421" t="s">
        <v>90</v>
      </c>
      <c r="C421" t="s">
        <v>78</v>
      </c>
      <c r="D421" s="1" t="s">
        <v>104</v>
      </c>
      <c r="E421" t="s">
        <v>93</v>
      </c>
      <c r="F421" t="s">
        <v>13</v>
      </c>
      <c r="G421">
        <v>2</v>
      </c>
      <c r="H421">
        <v>45.92</v>
      </c>
      <c r="I421" s="5">
        <f>VLOOKUP(TrendSheetStgData[Population]&amp;TrendSheetStgData[Cost Basis]&amp;TrendSheetStgData[Period]&amp;TrendSheetStgData[Trend],TrendSheetPrdData[#All],9,FALSE)</f>
        <v>45.92</v>
      </c>
      <c r="J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 s="5">
        <f>VLOOKUP(TrendSheetStgData[Population]&amp;TrendSheetStgData[Trend],Threshold[#All],4,FALSE)</f>
        <v>10</v>
      </c>
      <c r="L421" s="5">
        <f>VLOOKUP(TrendSheetStgData[Population]&amp;TrendSheetStgData[Trend],Threshold[#All],5,FALSE)</f>
        <v>5</v>
      </c>
      <c r="M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 spans="1:13" x14ac:dyDescent="0.25">
      <c r="A422" t="s">
        <v>90</v>
      </c>
      <c r="B422" t="s">
        <v>90</v>
      </c>
      <c r="C422" t="s">
        <v>78</v>
      </c>
      <c r="D422" s="1" t="s">
        <v>105</v>
      </c>
      <c r="E422" t="s">
        <v>93</v>
      </c>
      <c r="F422" t="s">
        <v>13</v>
      </c>
      <c r="G422">
        <v>2</v>
      </c>
      <c r="H422">
        <v>80.12</v>
      </c>
      <c r="I422" s="5">
        <f>VLOOKUP(TrendSheetStgData[Population]&amp;TrendSheetStgData[Cost Basis]&amp;TrendSheetStgData[Period]&amp;TrendSheetStgData[Trend],TrendSheetPrdData[#All],9,FALSE)</f>
        <v>80.12</v>
      </c>
      <c r="J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 s="5">
        <f>VLOOKUP(TrendSheetStgData[Population]&amp;TrendSheetStgData[Trend],Threshold[#All],4,FALSE)</f>
        <v>10</v>
      </c>
      <c r="L422" s="5">
        <f>VLOOKUP(TrendSheetStgData[Population]&amp;TrendSheetStgData[Trend],Threshold[#All],5,FALSE)</f>
        <v>5</v>
      </c>
      <c r="M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 spans="1:13" x14ac:dyDescent="0.25">
      <c r="A423" t="s">
        <v>90</v>
      </c>
      <c r="B423" t="s">
        <v>90</v>
      </c>
      <c r="C423" t="s">
        <v>78</v>
      </c>
      <c r="D423" s="1" t="s">
        <v>106</v>
      </c>
      <c r="E423" t="s">
        <v>93</v>
      </c>
      <c r="F423" t="s">
        <v>13</v>
      </c>
      <c r="G423">
        <v>2</v>
      </c>
      <c r="H423">
        <v>96.9</v>
      </c>
      <c r="I423" s="5">
        <f>VLOOKUP(TrendSheetStgData[Population]&amp;TrendSheetStgData[Cost Basis]&amp;TrendSheetStgData[Period]&amp;TrendSheetStgData[Trend],TrendSheetPrdData[#All],9,FALSE)</f>
        <v>96.9</v>
      </c>
      <c r="J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 s="5">
        <f>VLOOKUP(TrendSheetStgData[Population]&amp;TrendSheetStgData[Trend],Threshold[#All],4,FALSE)</f>
        <v>10</v>
      </c>
      <c r="L423" s="5">
        <f>VLOOKUP(TrendSheetStgData[Population]&amp;TrendSheetStgData[Trend],Threshold[#All],5,FALSE)</f>
        <v>5</v>
      </c>
      <c r="M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 spans="1:13" x14ac:dyDescent="0.25">
      <c r="A424" t="s">
        <v>90</v>
      </c>
      <c r="B424" t="s">
        <v>90</v>
      </c>
      <c r="C424" t="s">
        <v>78</v>
      </c>
      <c r="D424" s="1" t="s">
        <v>107</v>
      </c>
      <c r="E424" t="s">
        <v>108</v>
      </c>
      <c r="F424" t="s">
        <v>13</v>
      </c>
      <c r="G424">
        <v>2</v>
      </c>
      <c r="H424">
        <v>102.47</v>
      </c>
      <c r="I424" s="5">
        <f>VLOOKUP(TrendSheetStgData[Population]&amp;TrendSheetStgData[Cost Basis]&amp;TrendSheetStgData[Period]&amp;TrendSheetStgData[Trend],TrendSheetPrdData[#All],9,FALSE)</f>
        <v>102.47</v>
      </c>
      <c r="J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 s="5">
        <f>VLOOKUP(TrendSheetStgData[Population]&amp;TrendSheetStgData[Trend],Threshold[#All],4,FALSE)</f>
        <v>10</v>
      </c>
      <c r="L424" s="5">
        <f>VLOOKUP(TrendSheetStgData[Population]&amp;TrendSheetStgData[Trend],Threshold[#All],5,FALSE)</f>
        <v>5</v>
      </c>
      <c r="M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 spans="1:13" x14ac:dyDescent="0.25">
      <c r="A425" t="s">
        <v>90</v>
      </c>
      <c r="B425" t="s">
        <v>90</v>
      </c>
      <c r="C425" t="s">
        <v>78</v>
      </c>
      <c r="D425" s="1" t="s">
        <v>109</v>
      </c>
      <c r="E425" t="s">
        <v>108</v>
      </c>
      <c r="F425" t="s">
        <v>13</v>
      </c>
      <c r="G425">
        <v>2</v>
      </c>
      <c r="H425">
        <v>88.83</v>
      </c>
      <c r="I425" s="5">
        <f>VLOOKUP(TrendSheetStgData[Population]&amp;TrendSheetStgData[Cost Basis]&amp;TrendSheetStgData[Period]&amp;TrendSheetStgData[Trend],TrendSheetPrdData[#All],9,FALSE)</f>
        <v>88.83</v>
      </c>
      <c r="J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 s="5">
        <f>VLOOKUP(TrendSheetStgData[Population]&amp;TrendSheetStgData[Trend],Threshold[#All],4,FALSE)</f>
        <v>10</v>
      </c>
      <c r="L425" s="5">
        <f>VLOOKUP(TrendSheetStgData[Population]&amp;TrendSheetStgData[Trend],Threshold[#All],5,FALSE)</f>
        <v>5</v>
      </c>
      <c r="M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 spans="1:13" x14ac:dyDescent="0.25">
      <c r="A426" t="s">
        <v>90</v>
      </c>
      <c r="B426" t="s">
        <v>90</v>
      </c>
      <c r="C426" t="s">
        <v>78</v>
      </c>
      <c r="D426" s="1" t="s">
        <v>110</v>
      </c>
      <c r="E426" t="s">
        <v>108</v>
      </c>
      <c r="F426" t="s">
        <v>13</v>
      </c>
      <c r="G426">
        <v>2</v>
      </c>
      <c r="H426">
        <v>73.37</v>
      </c>
      <c r="I426" s="5">
        <f>VLOOKUP(TrendSheetStgData[Population]&amp;TrendSheetStgData[Cost Basis]&amp;TrendSheetStgData[Period]&amp;TrendSheetStgData[Trend],TrendSheetPrdData[#All],9,FALSE)</f>
        <v>73.37</v>
      </c>
      <c r="J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 s="5">
        <f>VLOOKUP(TrendSheetStgData[Population]&amp;TrendSheetStgData[Trend],Threshold[#All],4,FALSE)</f>
        <v>10</v>
      </c>
      <c r="L426" s="5">
        <f>VLOOKUP(TrendSheetStgData[Population]&amp;TrendSheetStgData[Trend],Threshold[#All],5,FALSE)</f>
        <v>5</v>
      </c>
      <c r="M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 spans="1:13" x14ac:dyDescent="0.25">
      <c r="A427" t="s">
        <v>90</v>
      </c>
      <c r="B427" t="s">
        <v>90</v>
      </c>
      <c r="C427" t="s">
        <v>78</v>
      </c>
      <c r="D427" s="1" t="s">
        <v>92</v>
      </c>
      <c r="E427" t="s">
        <v>93</v>
      </c>
      <c r="F427" t="s">
        <v>14</v>
      </c>
      <c r="G427">
        <v>3</v>
      </c>
      <c r="H427">
        <v>508.75</v>
      </c>
      <c r="I427" s="5">
        <f>VLOOKUP(TrendSheetStgData[Population]&amp;TrendSheetStgData[Cost Basis]&amp;TrendSheetStgData[Period]&amp;TrendSheetStgData[Trend],TrendSheetPrdData[#All],9,FALSE)</f>
        <v>508.75</v>
      </c>
      <c r="J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 s="5">
        <f>VLOOKUP(TrendSheetStgData[Population]&amp;TrendSheetStgData[Trend],Threshold[#All],4,FALSE)</f>
        <v>10</v>
      </c>
      <c r="L427" s="5">
        <f>VLOOKUP(TrendSheetStgData[Population]&amp;TrendSheetStgData[Trend],Threshold[#All],5,FALSE)</f>
        <v>5</v>
      </c>
      <c r="M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8" spans="1:13" x14ac:dyDescent="0.25">
      <c r="A428" t="s">
        <v>90</v>
      </c>
      <c r="B428" t="s">
        <v>90</v>
      </c>
      <c r="C428" t="s">
        <v>78</v>
      </c>
      <c r="D428" s="1" t="s">
        <v>94</v>
      </c>
      <c r="E428" t="s">
        <v>93</v>
      </c>
      <c r="F428" t="s">
        <v>14</v>
      </c>
      <c r="G428">
        <v>3</v>
      </c>
      <c r="H428">
        <v>544.72</v>
      </c>
      <c r="I428" s="5">
        <f>VLOOKUP(TrendSheetStgData[Population]&amp;TrendSheetStgData[Cost Basis]&amp;TrendSheetStgData[Period]&amp;TrendSheetStgData[Trend],TrendSheetPrdData[#All],9,FALSE)</f>
        <v>544.72</v>
      </c>
      <c r="J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8" s="5">
        <f>VLOOKUP(TrendSheetStgData[Population]&amp;TrendSheetStgData[Trend],Threshold[#All],4,FALSE)</f>
        <v>10</v>
      </c>
      <c r="L428" s="5">
        <f>VLOOKUP(TrendSheetStgData[Population]&amp;TrendSheetStgData[Trend],Threshold[#All],5,FALSE)</f>
        <v>5</v>
      </c>
      <c r="M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9" spans="1:13" x14ac:dyDescent="0.25">
      <c r="A429" t="s">
        <v>90</v>
      </c>
      <c r="B429" t="s">
        <v>90</v>
      </c>
      <c r="C429" t="s">
        <v>78</v>
      </c>
      <c r="D429" s="1" t="s">
        <v>95</v>
      </c>
      <c r="E429" t="s">
        <v>93</v>
      </c>
      <c r="F429" t="s">
        <v>14</v>
      </c>
      <c r="G429">
        <v>3</v>
      </c>
      <c r="H429">
        <v>520.35</v>
      </c>
      <c r="I429" s="5">
        <f>VLOOKUP(TrendSheetStgData[Population]&amp;TrendSheetStgData[Cost Basis]&amp;TrendSheetStgData[Period]&amp;TrendSheetStgData[Trend],TrendSheetPrdData[#All],9,FALSE)</f>
        <v>520.35</v>
      </c>
      <c r="J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9" s="5">
        <f>VLOOKUP(TrendSheetStgData[Population]&amp;TrendSheetStgData[Trend],Threshold[#All],4,FALSE)</f>
        <v>10</v>
      </c>
      <c r="L429" s="5">
        <f>VLOOKUP(TrendSheetStgData[Population]&amp;TrendSheetStgData[Trend],Threshold[#All],5,FALSE)</f>
        <v>5</v>
      </c>
      <c r="M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0" spans="1:13" x14ac:dyDescent="0.25">
      <c r="A430" t="s">
        <v>90</v>
      </c>
      <c r="B430" t="s">
        <v>90</v>
      </c>
      <c r="C430" t="s">
        <v>78</v>
      </c>
      <c r="D430" s="1" t="s">
        <v>96</v>
      </c>
      <c r="E430" t="s">
        <v>93</v>
      </c>
      <c r="F430" t="s">
        <v>14</v>
      </c>
      <c r="G430">
        <v>3</v>
      </c>
      <c r="H430">
        <v>599.12</v>
      </c>
      <c r="I430" s="5">
        <f>VLOOKUP(TrendSheetStgData[Population]&amp;TrendSheetStgData[Cost Basis]&amp;TrendSheetStgData[Period]&amp;TrendSheetStgData[Trend],TrendSheetPrdData[#All],9,FALSE)</f>
        <v>599.12</v>
      </c>
      <c r="J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0" s="5">
        <f>VLOOKUP(TrendSheetStgData[Population]&amp;TrendSheetStgData[Trend],Threshold[#All],4,FALSE)</f>
        <v>10</v>
      </c>
      <c r="L430" s="5">
        <f>VLOOKUP(TrendSheetStgData[Population]&amp;TrendSheetStgData[Trend],Threshold[#All],5,FALSE)</f>
        <v>5</v>
      </c>
      <c r="M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1" spans="1:13" x14ac:dyDescent="0.25">
      <c r="A431" t="s">
        <v>90</v>
      </c>
      <c r="B431" t="s">
        <v>90</v>
      </c>
      <c r="C431" t="s">
        <v>78</v>
      </c>
      <c r="D431" s="1" t="s">
        <v>97</v>
      </c>
      <c r="E431" t="s">
        <v>93</v>
      </c>
      <c r="F431" t="s">
        <v>14</v>
      </c>
      <c r="G431">
        <v>3</v>
      </c>
      <c r="H431">
        <v>538</v>
      </c>
      <c r="I431" s="5">
        <f>VLOOKUP(TrendSheetStgData[Population]&amp;TrendSheetStgData[Cost Basis]&amp;TrendSheetStgData[Period]&amp;TrendSheetStgData[Trend],TrendSheetPrdData[#All],9,FALSE)</f>
        <v>538</v>
      </c>
      <c r="J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1" s="5">
        <f>VLOOKUP(TrendSheetStgData[Population]&amp;TrendSheetStgData[Trend],Threshold[#All],4,FALSE)</f>
        <v>10</v>
      </c>
      <c r="L431" s="5">
        <f>VLOOKUP(TrendSheetStgData[Population]&amp;TrendSheetStgData[Trend],Threshold[#All],5,FALSE)</f>
        <v>5</v>
      </c>
      <c r="M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2" spans="1:13" x14ac:dyDescent="0.25">
      <c r="A432" t="s">
        <v>90</v>
      </c>
      <c r="B432" t="s">
        <v>90</v>
      </c>
      <c r="C432" t="s">
        <v>78</v>
      </c>
      <c r="D432" s="1" t="s">
        <v>98</v>
      </c>
      <c r="E432" t="s">
        <v>93</v>
      </c>
      <c r="F432" t="s">
        <v>14</v>
      </c>
      <c r="G432">
        <v>3</v>
      </c>
      <c r="H432">
        <v>495.64</v>
      </c>
      <c r="I432" s="5">
        <f>VLOOKUP(TrendSheetStgData[Population]&amp;TrendSheetStgData[Cost Basis]&amp;TrendSheetStgData[Period]&amp;TrendSheetStgData[Trend],TrendSheetPrdData[#All],9,FALSE)</f>
        <v>495.64</v>
      </c>
      <c r="J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2" s="5">
        <f>VLOOKUP(TrendSheetStgData[Population]&amp;TrendSheetStgData[Trend],Threshold[#All],4,FALSE)</f>
        <v>10</v>
      </c>
      <c r="L432" s="5">
        <f>VLOOKUP(TrendSheetStgData[Population]&amp;TrendSheetStgData[Trend],Threshold[#All],5,FALSE)</f>
        <v>5</v>
      </c>
      <c r="M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 spans="1:13" x14ac:dyDescent="0.25">
      <c r="A433" t="s">
        <v>90</v>
      </c>
      <c r="B433" t="s">
        <v>90</v>
      </c>
      <c r="C433" t="s">
        <v>78</v>
      </c>
      <c r="D433" s="1" t="s">
        <v>99</v>
      </c>
      <c r="E433" t="s">
        <v>93</v>
      </c>
      <c r="F433" t="s">
        <v>14</v>
      </c>
      <c r="G433">
        <v>3</v>
      </c>
      <c r="H433">
        <v>584.5</v>
      </c>
      <c r="I433" s="5">
        <f>VLOOKUP(TrendSheetStgData[Population]&amp;TrendSheetStgData[Cost Basis]&amp;TrendSheetStgData[Period]&amp;TrendSheetStgData[Trend],TrendSheetPrdData[#All],9,FALSE)</f>
        <v>584.5</v>
      </c>
      <c r="J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 s="5">
        <f>VLOOKUP(TrendSheetStgData[Population]&amp;TrendSheetStgData[Trend],Threshold[#All],4,FALSE)</f>
        <v>10</v>
      </c>
      <c r="L433" s="5">
        <f>VLOOKUP(TrendSheetStgData[Population]&amp;TrendSheetStgData[Trend],Threshold[#All],5,FALSE)</f>
        <v>5</v>
      </c>
      <c r="M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 spans="1:13" x14ac:dyDescent="0.25">
      <c r="A434" t="s">
        <v>90</v>
      </c>
      <c r="B434" t="s">
        <v>90</v>
      </c>
      <c r="C434" t="s">
        <v>78</v>
      </c>
      <c r="D434" s="1" t="s">
        <v>100</v>
      </c>
      <c r="E434" t="s">
        <v>93</v>
      </c>
      <c r="F434" t="s">
        <v>14</v>
      </c>
      <c r="G434">
        <v>3</v>
      </c>
      <c r="H434">
        <v>531.44000000000005</v>
      </c>
      <c r="I434" s="5">
        <f>VLOOKUP(TrendSheetStgData[Population]&amp;TrendSheetStgData[Cost Basis]&amp;TrendSheetStgData[Period]&amp;TrendSheetStgData[Trend],TrendSheetPrdData[#All],9,FALSE)</f>
        <v>531.44000000000005</v>
      </c>
      <c r="J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 s="5">
        <f>VLOOKUP(TrendSheetStgData[Population]&amp;TrendSheetStgData[Trend],Threshold[#All],4,FALSE)</f>
        <v>10</v>
      </c>
      <c r="L434" s="5">
        <f>VLOOKUP(TrendSheetStgData[Population]&amp;TrendSheetStgData[Trend],Threshold[#All],5,FALSE)</f>
        <v>5</v>
      </c>
      <c r="M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 spans="1:13" x14ac:dyDescent="0.25">
      <c r="A435" t="s">
        <v>90</v>
      </c>
      <c r="B435" t="s">
        <v>90</v>
      </c>
      <c r="C435" t="s">
        <v>78</v>
      </c>
      <c r="D435" s="1" t="s">
        <v>101</v>
      </c>
      <c r="E435" t="s">
        <v>93</v>
      </c>
      <c r="F435" t="s">
        <v>14</v>
      </c>
      <c r="G435">
        <v>3</v>
      </c>
      <c r="H435">
        <v>509.47</v>
      </c>
      <c r="I435" s="5">
        <f>VLOOKUP(TrendSheetStgData[Population]&amp;TrendSheetStgData[Cost Basis]&amp;TrendSheetStgData[Period]&amp;TrendSheetStgData[Trend],TrendSheetPrdData[#All],9,FALSE)</f>
        <v>509.47</v>
      </c>
      <c r="J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 s="5">
        <f>VLOOKUP(TrendSheetStgData[Population]&amp;TrendSheetStgData[Trend],Threshold[#All],4,FALSE)</f>
        <v>10</v>
      </c>
      <c r="L435" s="5">
        <f>VLOOKUP(TrendSheetStgData[Population]&amp;TrendSheetStgData[Trend],Threshold[#All],5,FALSE)</f>
        <v>5</v>
      </c>
      <c r="M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6" spans="1:13" x14ac:dyDescent="0.25">
      <c r="A436" t="s">
        <v>90</v>
      </c>
      <c r="B436" t="s">
        <v>90</v>
      </c>
      <c r="C436" t="s">
        <v>78</v>
      </c>
      <c r="D436" s="1" t="s">
        <v>102</v>
      </c>
      <c r="E436" t="s">
        <v>93</v>
      </c>
      <c r="F436" t="s">
        <v>14</v>
      </c>
      <c r="G436">
        <v>3</v>
      </c>
      <c r="H436">
        <v>449.4</v>
      </c>
      <c r="I436" s="5">
        <f>VLOOKUP(TrendSheetStgData[Population]&amp;TrendSheetStgData[Cost Basis]&amp;TrendSheetStgData[Period]&amp;TrendSheetStgData[Trend],TrendSheetPrdData[#All],9,FALSE)</f>
        <v>449.4</v>
      </c>
      <c r="J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6" s="5">
        <f>VLOOKUP(TrendSheetStgData[Population]&amp;TrendSheetStgData[Trend],Threshold[#All],4,FALSE)</f>
        <v>10</v>
      </c>
      <c r="L436" s="5">
        <f>VLOOKUP(TrendSheetStgData[Population]&amp;TrendSheetStgData[Trend],Threshold[#All],5,FALSE)</f>
        <v>5</v>
      </c>
      <c r="M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 spans="1:13" x14ac:dyDescent="0.25">
      <c r="A437" t="s">
        <v>90</v>
      </c>
      <c r="B437" t="s">
        <v>90</v>
      </c>
      <c r="C437" t="s">
        <v>78</v>
      </c>
      <c r="D437" s="1" t="s">
        <v>103</v>
      </c>
      <c r="E437" t="s">
        <v>93</v>
      </c>
      <c r="F437" t="s">
        <v>14</v>
      </c>
      <c r="G437">
        <v>3</v>
      </c>
      <c r="H437">
        <v>501.55</v>
      </c>
      <c r="I437" s="5">
        <f>VLOOKUP(TrendSheetStgData[Population]&amp;TrendSheetStgData[Cost Basis]&amp;TrendSheetStgData[Period]&amp;TrendSheetStgData[Trend],TrendSheetPrdData[#All],9,FALSE)</f>
        <v>501.55</v>
      </c>
      <c r="J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 s="5">
        <f>VLOOKUP(TrendSheetStgData[Population]&amp;TrendSheetStgData[Trend],Threshold[#All],4,FALSE)</f>
        <v>10</v>
      </c>
      <c r="L437" s="5">
        <f>VLOOKUP(TrendSheetStgData[Population]&amp;TrendSheetStgData[Trend],Threshold[#All],5,FALSE)</f>
        <v>5</v>
      </c>
      <c r="M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 spans="1:13" x14ac:dyDescent="0.25">
      <c r="A438" t="s">
        <v>90</v>
      </c>
      <c r="B438" t="s">
        <v>90</v>
      </c>
      <c r="C438" t="s">
        <v>78</v>
      </c>
      <c r="D438" s="1" t="s">
        <v>104</v>
      </c>
      <c r="E438" t="s">
        <v>93</v>
      </c>
      <c r="F438" t="s">
        <v>14</v>
      </c>
      <c r="G438">
        <v>3</v>
      </c>
      <c r="H438">
        <v>547.23</v>
      </c>
      <c r="I438" s="5">
        <f>VLOOKUP(TrendSheetStgData[Population]&amp;TrendSheetStgData[Cost Basis]&amp;TrendSheetStgData[Period]&amp;TrendSheetStgData[Trend],TrendSheetPrdData[#All],9,FALSE)</f>
        <v>547.23</v>
      </c>
      <c r="J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 s="5">
        <f>VLOOKUP(TrendSheetStgData[Population]&amp;TrendSheetStgData[Trend],Threshold[#All],4,FALSE)</f>
        <v>10</v>
      </c>
      <c r="L438" s="5">
        <f>VLOOKUP(TrendSheetStgData[Population]&amp;TrendSheetStgData[Trend],Threshold[#All],5,FALSE)</f>
        <v>5</v>
      </c>
      <c r="M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 spans="1:13" x14ac:dyDescent="0.25">
      <c r="A439" t="s">
        <v>90</v>
      </c>
      <c r="B439" t="s">
        <v>90</v>
      </c>
      <c r="C439" t="s">
        <v>78</v>
      </c>
      <c r="D439" s="1" t="s">
        <v>105</v>
      </c>
      <c r="E439" t="s">
        <v>93</v>
      </c>
      <c r="F439" t="s">
        <v>14</v>
      </c>
      <c r="G439">
        <v>3</v>
      </c>
      <c r="H439">
        <v>498.5</v>
      </c>
      <c r="I439" s="5">
        <f>VLOOKUP(TrendSheetStgData[Population]&amp;TrendSheetStgData[Cost Basis]&amp;TrendSheetStgData[Period]&amp;TrendSheetStgData[Trend],TrendSheetPrdData[#All],9,FALSE)</f>
        <v>498.5</v>
      </c>
      <c r="J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 s="5">
        <f>VLOOKUP(TrendSheetStgData[Population]&amp;TrendSheetStgData[Trend],Threshold[#All],4,FALSE)</f>
        <v>10</v>
      </c>
      <c r="L439" s="5">
        <f>VLOOKUP(TrendSheetStgData[Population]&amp;TrendSheetStgData[Trend],Threshold[#All],5,FALSE)</f>
        <v>5</v>
      </c>
      <c r="M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 spans="1:13" x14ac:dyDescent="0.25">
      <c r="A440" t="s">
        <v>90</v>
      </c>
      <c r="B440" t="s">
        <v>90</v>
      </c>
      <c r="C440" t="s">
        <v>78</v>
      </c>
      <c r="D440" s="1" t="s">
        <v>106</v>
      </c>
      <c r="E440" t="s">
        <v>93</v>
      </c>
      <c r="F440" t="s">
        <v>14</v>
      </c>
      <c r="G440">
        <v>3</v>
      </c>
      <c r="H440">
        <v>441.38</v>
      </c>
      <c r="I440" s="5">
        <f>VLOOKUP(TrendSheetStgData[Population]&amp;TrendSheetStgData[Cost Basis]&amp;TrendSheetStgData[Period]&amp;TrendSheetStgData[Trend],TrendSheetPrdData[#All],9,FALSE)</f>
        <v>441.38</v>
      </c>
      <c r="J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 s="5">
        <f>VLOOKUP(TrendSheetStgData[Population]&amp;TrendSheetStgData[Trend],Threshold[#All],4,FALSE)</f>
        <v>10</v>
      </c>
      <c r="L440" s="5">
        <f>VLOOKUP(TrendSheetStgData[Population]&amp;TrendSheetStgData[Trend],Threshold[#All],5,FALSE)</f>
        <v>5</v>
      </c>
      <c r="M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 spans="1:13" x14ac:dyDescent="0.25">
      <c r="A441" t="s">
        <v>90</v>
      </c>
      <c r="B441" t="s">
        <v>90</v>
      </c>
      <c r="C441" t="s">
        <v>78</v>
      </c>
      <c r="D441" s="1" t="s">
        <v>107</v>
      </c>
      <c r="E441" t="s">
        <v>108</v>
      </c>
      <c r="F441" t="s">
        <v>14</v>
      </c>
      <c r="G441">
        <v>3</v>
      </c>
      <c r="H441">
        <v>476.99</v>
      </c>
      <c r="I441" s="5">
        <f>VLOOKUP(TrendSheetStgData[Population]&amp;TrendSheetStgData[Cost Basis]&amp;TrendSheetStgData[Period]&amp;TrendSheetStgData[Trend],TrendSheetPrdData[#All],9,FALSE)</f>
        <v>476.99</v>
      </c>
      <c r="J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 s="5">
        <f>VLOOKUP(TrendSheetStgData[Population]&amp;TrendSheetStgData[Trend],Threshold[#All],4,FALSE)</f>
        <v>10</v>
      </c>
      <c r="L441" s="5">
        <f>VLOOKUP(TrendSheetStgData[Population]&amp;TrendSheetStgData[Trend],Threshold[#All],5,FALSE)</f>
        <v>5</v>
      </c>
      <c r="M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 spans="1:13" x14ac:dyDescent="0.25">
      <c r="A442" t="s">
        <v>90</v>
      </c>
      <c r="B442" t="s">
        <v>90</v>
      </c>
      <c r="C442" t="s">
        <v>78</v>
      </c>
      <c r="D442" s="1" t="s">
        <v>109</v>
      </c>
      <c r="E442" t="s">
        <v>108</v>
      </c>
      <c r="F442" t="s">
        <v>14</v>
      </c>
      <c r="G442">
        <v>3</v>
      </c>
      <c r="H442">
        <v>464.75</v>
      </c>
      <c r="I442" s="5">
        <f>VLOOKUP(TrendSheetStgData[Population]&amp;TrendSheetStgData[Cost Basis]&amp;TrendSheetStgData[Period]&amp;TrendSheetStgData[Trend],TrendSheetPrdData[#All],9,FALSE)</f>
        <v>464.75</v>
      </c>
      <c r="J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 s="5">
        <f>VLOOKUP(TrendSheetStgData[Population]&amp;TrendSheetStgData[Trend],Threshold[#All],4,FALSE)</f>
        <v>10</v>
      </c>
      <c r="L442" s="5">
        <f>VLOOKUP(TrendSheetStgData[Population]&amp;TrendSheetStgData[Trend],Threshold[#All],5,FALSE)</f>
        <v>5</v>
      </c>
      <c r="M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 spans="1:13" x14ac:dyDescent="0.25">
      <c r="A443" t="s">
        <v>90</v>
      </c>
      <c r="B443" t="s">
        <v>90</v>
      </c>
      <c r="C443" t="s">
        <v>78</v>
      </c>
      <c r="D443" s="1" t="s">
        <v>110</v>
      </c>
      <c r="E443" t="s">
        <v>108</v>
      </c>
      <c r="F443" t="s">
        <v>14</v>
      </c>
      <c r="G443">
        <v>3</v>
      </c>
      <c r="H443">
        <v>274.81</v>
      </c>
      <c r="I443" s="5">
        <f>VLOOKUP(TrendSheetStgData[Population]&amp;TrendSheetStgData[Cost Basis]&amp;TrendSheetStgData[Period]&amp;TrendSheetStgData[Trend],TrendSheetPrdData[#All],9,FALSE)</f>
        <v>274.81</v>
      </c>
      <c r="J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 s="5">
        <f>VLOOKUP(TrendSheetStgData[Population]&amp;TrendSheetStgData[Trend],Threshold[#All],4,FALSE)</f>
        <v>10</v>
      </c>
      <c r="L443" s="5">
        <f>VLOOKUP(TrendSheetStgData[Population]&amp;TrendSheetStgData[Trend],Threshold[#All],5,FALSE)</f>
        <v>5</v>
      </c>
      <c r="M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 spans="1:13" x14ac:dyDescent="0.25">
      <c r="A444" t="s">
        <v>90</v>
      </c>
      <c r="B444" t="s">
        <v>90</v>
      </c>
      <c r="C444" t="s">
        <v>78</v>
      </c>
      <c r="D444" s="1" t="s">
        <v>92</v>
      </c>
      <c r="E444" t="s">
        <v>93</v>
      </c>
      <c r="F444" t="s">
        <v>15</v>
      </c>
      <c r="G444">
        <v>4</v>
      </c>
      <c r="H444">
        <v>0</v>
      </c>
      <c r="I444" s="5">
        <f>VLOOKUP(TrendSheetStgData[Population]&amp;TrendSheetStgData[Cost Basis]&amp;TrendSheetStgData[Period]&amp;TrendSheetStgData[Trend],TrendSheetPrdData[#All],9,FALSE)</f>
        <v>0</v>
      </c>
      <c r="J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 s="5">
        <f>VLOOKUP(TrendSheetStgData[Population]&amp;TrendSheetStgData[Trend],Threshold[#All],4,FALSE)</f>
        <v>10</v>
      </c>
      <c r="L444" s="5">
        <f>VLOOKUP(TrendSheetStgData[Population]&amp;TrendSheetStgData[Trend],Threshold[#All],5,FALSE)</f>
        <v>5</v>
      </c>
      <c r="M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 spans="1:13" x14ac:dyDescent="0.25">
      <c r="A445" t="s">
        <v>90</v>
      </c>
      <c r="B445" t="s">
        <v>90</v>
      </c>
      <c r="C445" t="s">
        <v>78</v>
      </c>
      <c r="D445" s="1" t="s">
        <v>94</v>
      </c>
      <c r="E445" t="s">
        <v>93</v>
      </c>
      <c r="F445" t="s">
        <v>15</v>
      </c>
      <c r="G445">
        <v>4</v>
      </c>
      <c r="H445">
        <v>0</v>
      </c>
      <c r="I445" s="5">
        <f>VLOOKUP(TrendSheetStgData[Population]&amp;TrendSheetStgData[Cost Basis]&amp;TrendSheetStgData[Period]&amp;TrendSheetStgData[Trend],TrendSheetPrdData[#All],9,FALSE)</f>
        <v>0</v>
      </c>
      <c r="J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 s="5">
        <f>VLOOKUP(TrendSheetStgData[Population]&amp;TrendSheetStgData[Trend],Threshold[#All],4,FALSE)</f>
        <v>10</v>
      </c>
      <c r="L445" s="5">
        <f>VLOOKUP(TrendSheetStgData[Population]&amp;TrendSheetStgData[Trend],Threshold[#All],5,FALSE)</f>
        <v>5</v>
      </c>
      <c r="M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 spans="1:13" x14ac:dyDescent="0.25">
      <c r="A446" t="s">
        <v>90</v>
      </c>
      <c r="B446" t="s">
        <v>90</v>
      </c>
      <c r="C446" t="s">
        <v>78</v>
      </c>
      <c r="D446" s="1" t="s">
        <v>95</v>
      </c>
      <c r="E446" t="s">
        <v>93</v>
      </c>
      <c r="F446" t="s">
        <v>15</v>
      </c>
      <c r="G446">
        <v>4</v>
      </c>
      <c r="H446">
        <v>0</v>
      </c>
      <c r="I446" s="5">
        <f>VLOOKUP(TrendSheetStgData[Population]&amp;TrendSheetStgData[Cost Basis]&amp;TrendSheetStgData[Period]&amp;TrendSheetStgData[Trend],TrendSheetPrdData[#All],9,FALSE)</f>
        <v>0</v>
      </c>
      <c r="J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 s="5">
        <f>VLOOKUP(TrendSheetStgData[Population]&amp;TrendSheetStgData[Trend],Threshold[#All],4,FALSE)</f>
        <v>10</v>
      </c>
      <c r="L446" s="5">
        <f>VLOOKUP(TrendSheetStgData[Population]&amp;TrendSheetStgData[Trend],Threshold[#All],5,FALSE)</f>
        <v>5</v>
      </c>
      <c r="M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 spans="1:13" x14ac:dyDescent="0.25">
      <c r="A447" t="s">
        <v>90</v>
      </c>
      <c r="B447" t="s">
        <v>90</v>
      </c>
      <c r="C447" t="s">
        <v>78</v>
      </c>
      <c r="D447" s="1" t="s">
        <v>96</v>
      </c>
      <c r="E447" t="s">
        <v>93</v>
      </c>
      <c r="F447" t="s">
        <v>15</v>
      </c>
      <c r="G447">
        <v>4</v>
      </c>
      <c r="H447">
        <v>38215.160000000003</v>
      </c>
      <c r="I447" s="5">
        <f>VLOOKUP(TrendSheetStgData[Population]&amp;TrendSheetStgData[Cost Basis]&amp;TrendSheetStgData[Period]&amp;TrendSheetStgData[Trend],TrendSheetPrdData[#All],9,FALSE)</f>
        <v>38215.160000000003</v>
      </c>
      <c r="J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 s="5">
        <f>VLOOKUP(TrendSheetStgData[Population]&amp;TrendSheetStgData[Trend],Threshold[#All],4,FALSE)</f>
        <v>10</v>
      </c>
      <c r="L447" s="5">
        <f>VLOOKUP(TrendSheetStgData[Population]&amp;TrendSheetStgData[Trend],Threshold[#All],5,FALSE)</f>
        <v>5</v>
      </c>
      <c r="M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 spans="1:13" x14ac:dyDescent="0.25">
      <c r="A448" t="s">
        <v>90</v>
      </c>
      <c r="B448" t="s">
        <v>90</v>
      </c>
      <c r="C448" t="s">
        <v>78</v>
      </c>
      <c r="D448" s="1" t="s">
        <v>97</v>
      </c>
      <c r="E448" t="s">
        <v>93</v>
      </c>
      <c r="F448" t="s">
        <v>15</v>
      </c>
      <c r="G448">
        <v>4</v>
      </c>
      <c r="H448">
        <v>5503.48</v>
      </c>
      <c r="I448" s="5">
        <f>VLOOKUP(TrendSheetStgData[Population]&amp;TrendSheetStgData[Cost Basis]&amp;TrendSheetStgData[Period]&amp;TrendSheetStgData[Trend],TrendSheetPrdData[#All],9,FALSE)</f>
        <v>5503.48</v>
      </c>
      <c r="J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 s="5">
        <f>VLOOKUP(TrendSheetStgData[Population]&amp;TrendSheetStgData[Trend],Threshold[#All],4,FALSE)</f>
        <v>10</v>
      </c>
      <c r="L448" s="5">
        <f>VLOOKUP(TrendSheetStgData[Population]&amp;TrendSheetStgData[Trend],Threshold[#All],5,FALSE)</f>
        <v>5</v>
      </c>
      <c r="M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 spans="1:13" x14ac:dyDescent="0.25">
      <c r="A449" t="s">
        <v>90</v>
      </c>
      <c r="B449" t="s">
        <v>90</v>
      </c>
      <c r="C449" t="s">
        <v>78</v>
      </c>
      <c r="D449" s="1" t="s">
        <v>98</v>
      </c>
      <c r="E449" t="s">
        <v>93</v>
      </c>
      <c r="F449" t="s">
        <v>15</v>
      </c>
      <c r="G449">
        <v>4</v>
      </c>
      <c r="H449">
        <v>0</v>
      </c>
      <c r="I449" s="5">
        <f>VLOOKUP(TrendSheetStgData[Population]&amp;TrendSheetStgData[Cost Basis]&amp;TrendSheetStgData[Period]&amp;TrendSheetStgData[Trend],TrendSheetPrdData[#All],9,FALSE)</f>
        <v>0</v>
      </c>
      <c r="J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 s="5">
        <f>VLOOKUP(TrendSheetStgData[Population]&amp;TrendSheetStgData[Trend],Threshold[#All],4,FALSE)</f>
        <v>10</v>
      </c>
      <c r="L449" s="5">
        <f>VLOOKUP(TrendSheetStgData[Population]&amp;TrendSheetStgData[Trend],Threshold[#All],5,FALSE)</f>
        <v>5</v>
      </c>
      <c r="M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 spans="1:13" x14ac:dyDescent="0.25">
      <c r="A450" t="s">
        <v>90</v>
      </c>
      <c r="B450" t="s">
        <v>90</v>
      </c>
      <c r="C450" t="s">
        <v>78</v>
      </c>
      <c r="D450" s="1" t="s">
        <v>99</v>
      </c>
      <c r="E450" t="s">
        <v>93</v>
      </c>
      <c r="F450" t="s">
        <v>15</v>
      </c>
      <c r="G450">
        <v>4</v>
      </c>
      <c r="H450">
        <v>0</v>
      </c>
      <c r="I450" s="5">
        <f>VLOOKUP(TrendSheetStgData[Population]&amp;TrendSheetStgData[Cost Basis]&amp;TrendSheetStgData[Period]&amp;TrendSheetStgData[Trend],TrendSheetPrdData[#All],9,FALSE)</f>
        <v>0</v>
      </c>
      <c r="J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 s="5">
        <f>VLOOKUP(TrendSheetStgData[Population]&amp;TrendSheetStgData[Trend],Threshold[#All],4,FALSE)</f>
        <v>10</v>
      </c>
      <c r="L450" s="5">
        <f>VLOOKUP(TrendSheetStgData[Population]&amp;TrendSheetStgData[Trend],Threshold[#All],5,FALSE)</f>
        <v>5</v>
      </c>
      <c r="M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 spans="1:13" x14ac:dyDescent="0.25">
      <c r="A451" t="s">
        <v>90</v>
      </c>
      <c r="B451" t="s">
        <v>90</v>
      </c>
      <c r="C451" t="s">
        <v>78</v>
      </c>
      <c r="D451" s="1" t="s">
        <v>100</v>
      </c>
      <c r="E451" t="s">
        <v>93</v>
      </c>
      <c r="F451" t="s">
        <v>15</v>
      </c>
      <c r="G451">
        <v>4</v>
      </c>
      <c r="H451">
        <v>22432.23</v>
      </c>
      <c r="I451" s="5">
        <f>VLOOKUP(TrendSheetStgData[Population]&amp;TrendSheetStgData[Cost Basis]&amp;TrendSheetStgData[Period]&amp;TrendSheetStgData[Trend],TrendSheetPrdData[#All],9,FALSE)</f>
        <v>22432.23</v>
      </c>
      <c r="J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 s="5">
        <f>VLOOKUP(TrendSheetStgData[Population]&amp;TrendSheetStgData[Trend],Threshold[#All],4,FALSE)</f>
        <v>10</v>
      </c>
      <c r="L451" s="5">
        <f>VLOOKUP(TrendSheetStgData[Population]&amp;TrendSheetStgData[Trend],Threshold[#All],5,FALSE)</f>
        <v>5</v>
      </c>
      <c r="M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 spans="1:13" x14ac:dyDescent="0.25">
      <c r="A452" t="s">
        <v>90</v>
      </c>
      <c r="B452" t="s">
        <v>90</v>
      </c>
      <c r="C452" t="s">
        <v>78</v>
      </c>
      <c r="D452" s="1" t="s">
        <v>101</v>
      </c>
      <c r="E452" t="s">
        <v>93</v>
      </c>
      <c r="F452" t="s">
        <v>15</v>
      </c>
      <c r="G452">
        <v>4</v>
      </c>
      <c r="H452">
        <v>17070.05</v>
      </c>
      <c r="I452" s="5">
        <f>VLOOKUP(TrendSheetStgData[Population]&amp;TrendSheetStgData[Cost Basis]&amp;TrendSheetStgData[Period]&amp;TrendSheetStgData[Trend],TrendSheetPrdData[#All],9,FALSE)</f>
        <v>17070.05</v>
      </c>
      <c r="J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 s="5">
        <f>VLOOKUP(TrendSheetStgData[Population]&amp;TrendSheetStgData[Trend],Threshold[#All],4,FALSE)</f>
        <v>10</v>
      </c>
      <c r="L452" s="5">
        <f>VLOOKUP(TrendSheetStgData[Population]&amp;TrendSheetStgData[Trend],Threshold[#All],5,FALSE)</f>
        <v>5</v>
      </c>
      <c r="M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 spans="1:13" x14ac:dyDescent="0.25">
      <c r="A453" t="s">
        <v>90</v>
      </c>
      <c r="B453" t="s">
        <v>90</v>
      </c>
      <c r="C453" t="s">
        <v>78</v>
      </c>
      <c r="D453" s="1" t="s">
        <v>102</v>
      </c>
      <c r="E453" t="s">
        <v>93</v>
      </c>
      <c r="F453" t="s">
        <v>15</v>
      </c>
      <c r="G453">
        <v>4</v>
      </c>
      <c r="H453">
        <v>37819.94</v>
      </c>
      <c r="I453" s="5">
        <f>VLOOKUP(TrendSheetStgData[Population]&amp;TrendSheetStgData[Cost Basis]&amp;TrendSheetStgData[Period]&amp;TrendSheetStgData[Trend],TrendSheetPrdData[#All],9,FALSE)</f>
        <v>37819.94</v>
      </c>
      <c r="J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 s="5">
        <f>VLOOKUP(TrendSheetStgData[Population]&amp;TrendSheetStgData[Trend],Threshold[#All],4,FALSE)</f>
        <v>10</v>
      </c>
      <c r="L453" s="5">
        <f>VLOOKUP(TrendSheetStgData[Population]&amp;TrendSheetStgData[Trend],Threshold[#All],5,FALSE)</f>
        <v>5</v>
      </c>
      <c r="M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 spans="1:13" x14ac:dyDescent="0.25">
      <c r="A454" t="s">
        <v>90</v>
      </c>
      <c r="B454" t="s">
        <v>90</v>
      </c>
      <c r="C454" t="s">
        <v>78</v>
      </c>
      <c r="D454" s="1" t="s">
        <v>103</v>
      </c>
      <c r="E454" t="s">
        <v>93</v>
      </c>
      <c r="F454" t="s">
        <v>15</v>
      </c>
      <c r="G454">
        <v>4</v>
      </c>
      <c r="H454">
        <v>3830.39</v>
      </c>
      <c r="I454" s="5">
        <f>VLOOKUP(TrendSheetStgData[Population]&amp;TrendSheetStgData[Cost Basis]&amp;TrendSheetStgData[Period]&amp;TrendSheetStgData[Trend],TrendSheetPrdData[#All],9,FALSE)</f>
        <v>3830.39</v>
      </c>
      <c r="J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 s="5">
        <f>VLOOKUP(TrendSheetStgData[Population]&amp;TrendSheetStgData[Trend],Threshold[#All],4,FALSE)</f>
        <v>10</v>
      </c>
      <c r="L454" s="5">
        <f>VLOOKUP(TrendSheetStgData[Population]&amp;TrendSheetStgData[Trend],Threshold[#All],5,FALSE)</f>
        <v>5</v>
      </c>
      <c r="M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 spans="1:13" x14ac:dyDescent="0.25">
      <c r="A455" t="s">
        <v>90</v>
      </c>
      <c r="B455" t="s">
        <v>90</v>
      </c>
      <c r="C455" t="s">
        <v>78</v>
      </c>
      <c r="D455" s="1" t="s">
        <v>104</v>
      </c>
      <c r="E455" t="s">
        <v>93</v>
      </c>
      <c r="F455" t="s">
        <v>15</v>
      </c>
      <c r="G455">
        <v>4</v>
      </c>
      <c r="H455">
        <v>0</v>
      </c>
      <c r="I455" s="5">
        <f>VLOOKUP(TrendSheetStgData[Population]&amp;TrendSheetStgData[Cost Basis]&amp;TrendSheetStgData[Period]&amp;TrendSheetStgData[Trend],TrendSheetPrdData[#All],9,FALSE)</f>
        <v>0</v>
      </c>
      <c r="J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 s="5">
        <f>VLOOKUP(TrendSheetStgData[Population]&amp;TrendSheetStgData[Trend],Threshold[#All],4,FALSE)</f>
        <v>10</v>
      </c>
      <c r="L455" s="5">
        <f>VLOOKUP(TrendSheetStgData[Population]&amp;TrendSheetStgData[Trend],Threshold[#All],5,FALSE)</f>
        <v>5</v>
      </c>
      <c r="M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 spans="1:13" x14ac:dyDescent="0.25">
      <c r="A456" t="s">
        <v>90</v>
      </c>
      <c r="B456" t="s">
        <v>90</v>
      </c>
      <c r="C456" t="s">
        <v>78</v>
      </c>
      <c r="D456" s="1" t="s">
        <v>105</v>
      </c>
      <c r="E456" t="s">
        <v>93</v>
      </c>
      <c r="F456" t="s">
        <v>15</v>
      </c>
      <c r="G456">
        <v>4</v>
      </c>
      <c r="H456">
        <v>0</v>
      </c>
      <c r="I456" s="5">
        <f>VLOOKUP(TrendSheetStgData[Population]&amp;TrendSheetStgData[Cost Basis]&amp;TrendSheetStgData[Period]&amp;TrendSheetStgData[Trend],TrendSheetPrdData[#All],9,FALSE)</f>
        <v>0</v>
      </c>
      <c r="J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 s="5">
        <f>VLOOKUP(TrendSheetStgData[Population]&amp;TrendSheetStgData[Trend],Threshold[#All],4,FALSE)</f>
        <v>10</v>
      </c>
      <c r="L456" s="5">
        <f>VLOOKUP(TrendSheetStgData[Population]&amp;TrendSheetStgData[Trend],Threshold[#All],5,FALSE)</f>
        <v>5</v>
      </c>
      <c r="M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 spans="1:13" x14ac:dyDescent="0.25">
      <c r="A457" t="s">
        <v>90</v>
      </c>
      <c r="B457" t="s">
        <v>90</v>
      </c>
      <c r="C457" t="s">
        <v>78</v>
      </c>
      <c r="D457" s="1" t="s">
        <v>106</v>
      </c>
      <c r="E457" t="s">
        <v>93</v>
      </c>
      <c r="F457" t="s">
        <v>15</v>
      </c>
      <c r="G457">
        <v>4</v>
      </c>
      <c r="H457">
        <v>0</v>
      </c>
      <c r="I457" s="5">
        <f>VLOOKUP(TrendSheetStgData[Population]&amp;TrendSheetStgData[Cost Basis]&amp;TrendSheetStgData[Period]&amp;TrendSheetStgData[Trend],TrendSheetPrdData[#All],9,FALSE)</f>
        <v>0</v>
      </c>
      <c r="J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 s="5">
        <f>VLOOKUP(TrendSheetStgData[Population]&amp;TrendSheetStgData[Trend],Threshold[#All],4,FALSE)</f>
        <v>10</v>
      </c>
      <c r="L457" s="5">
        <f>VLOOKUP(TrendSheetStgData[Population]&amp;TrendSheetStgData[Trend],Threshold[#All],5,FALSE)</f>
        <v>5</v>
      </c>
      <c r="M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 spans="1:13" x14ac:dyDescent="0.25">
      <c r="A458" t="s">
        <v>90</v>
      </c>
      <c r="B458" t="s">
        <v>90</v>
      </c>
      <c r="C458" t="s">
        <v>78</v>
      </c>
      <c r="D458" s="1" t="s">
        <v>107</v>
      </c>
      <c r="E458" t="s">
        <v>108</v>
      </c>
      <c r="F458" t="s">
        <v>15</v>
      </c>
      <c r="G458">
        <v>4</v>
      </c>
      <c r="H458">
        <v>18856.55</v>
      </c>
      <c r="I458" s="5">
        <f>VLOOKUP(TrendSheetStgData[Population]&amp;TrendSheetStgData[Cost Basis]&amp;TrendSheetStgData[Period]&amp;TrendSheetStgData[Trend],TrendSheetPrdData[#All],9,FALSE)</f>
        <v>18856.55</v>
      </c>
      <c r="J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 s="5">
        <f>VLOOKUP(TrendSheetStgData[Population]&amp;TrendSheetStgData[Trend],Threshold[#All],4,FALSE)</f>
        <v>10</v>
      </c>
      <c r="L458" s="5">
        <f>VLOOKUP(TrendSheetStgData[Population]&amp;TrendSheetStgData[Trend],Threshold[#All],5,FALSE)</f>
        <v>5</v>
      </c>
      <c r="M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 spans="1:13" x14ac:dyDescent="0.25">
      <c r="A459" t="s">
        <v>90</v>
      </c>
      <c r="B459" t="s">
        <v>90</v>
      </c>
      <c r="C459" t="s">
        <v>78</v>
      </c>
      <c r="D459" s="1" t="s">
        <v>109</v>
      </c>
      <c r="E459" t="s">
        <v>108</v>
      </c>
      <c r="F459" t="s">
        <v>15</v>
      </c>
      <c r="G459">
        <v>4</v>
      </c>
      <c r="H459">
        <v>11457.42</v>
      </c>
      <c r="I459" s="5">
        <f>VLOOKUP(TrendSheetStgData[Population]&amp;TrendSheetStgData[Cost Basis]&amp;TrendSheetStgData[Period]&amp;TrendSheetStgData[Trend],TrendSheetPrdData[#All],9,FALSE)</f>
        <v>11457.42</v>
      </c>
      <c r="J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 s="5">
        <f>VLOOKUP(TrendSheetStgData[Population]&amp;TrendSheetStgData[Trend],Threshold[#All],4,FALSE)</f>
        <v>10</v>
      </c>
      <c r="L459" s="5">
        <f>VLOOKUP(TrendSheetStgData[Population]&amp;TrendSheetStgData[Trend],Threshold[#All],5,FALSE)</f>
        <v>5</v>
      </c>
      <c r="M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 spans="1:13" x14ac:dyDescent="0.25">
      <c r="A460" t="s">
        <v>90</v>
      </c>
      <c r="B460" t="s">
        <v>90</v>
      </c>
      <c r="C460" t="s">
        <v>78</v>
      </c>
      <c r="D460" s="1" t="s">
        <v>110</v>
      </c>
      <c r="E460" t="s">
        <v>108</v>
      </c>
      <c r="F460" t="s">
        <v>15</v>
      </c>
      <c r="G460">
        <v>4</v>
      </c>
      <c r="H460">
        <v>0</v>
      </c>
      <c r="I460" s="5">
        <f>VLOOKUP(TrendSheetStgData[Population]&amp;TrendSheetStgData[Cost Basis]&amp;TrendSheetStgData[Period]&amp;TrendSheetStgData[Trend],TrendSheetPrdData[#All],9,FALSE)</f>
        <v>0</v>
      </c>
      <c r="J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 s="5">
        <f>VLOOKUP(TrendSheetStgData[Population]&amp;TrendSheetStgData[Trend],Threshold[#All],4,FALSE)</f>
        <v>10</v>
      </c>
      <c r="L460" s="5">
        <f>VLOOKUP(TrendSheetStgData[Population]&amp;TrendSheetStgData[Trend],Threshold[#All],5,FALSE)</f>
        <v>5</v>
      </c>
      <c r="M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 spans="1:13" x14ac:dyDescent="0.25">
      <c r="A461" t="s">
        <v>90</v>
      </c>
      <c r="B461" t="s">
        <v>90</v>
      </c>
      <c r="C461" t="s">
        <v>78</v>
      </c>
      <c r="D461" s="1" t="s">
        <v>92</v>
      </c>
      <c r="E461" t="s">
        <v>93</v>
      </c>
      <c r="F461" t="s">
        <v>16</v>
      </c>
      <c r="G461">
        <v>5</v>
      </c>
      <c r="H461">
        <v>0</v>
      </c>
      <c r="I461" s="5">
        <f>VLOOKUP(TrendSheetStgData[Population]&amp;TrendSheetStgData[Cost Basis]&amp;TrendSheetStgData[Period]&amp;TrendSheetStgData[Trend],TrendSheetPrdData[#All],9,FALSE)</f>
        <v>0</v>
      </c>
      <c r="J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 s="5">
        <f>VLOOKUP(TrendSheetStgData[Population]&amp;TrendSheetStgData[Trend],Threshold[#All],4,FALSE)</f>
        <v>10</v>
      </c>
      <c r="L461" s="5">
        <f>VLOOKUP(TrendSheetStgData[Population]&amp;TrendSheetStgData[Trend],Threshold[#All],5,FALSE)</f>
        <v>5</v>
      </c>
      <c r="M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 spans="1:13" x14ac:dyDescent="0.25">
      <c r="A462" t="s">
        <v>90</v>
      </c>
      <c r="B462" t="s">
        <v>90</v>
      </c>
      <c r="C462" t="s">
        <v>78</v>
      </c>
      <c r="D462" s="1" t="s">
        <v>94</v>
      </c>
      <c r="E462" t="s">
        <v>93</v>
      </c>
      <c r="F462" t="s">
        <v>16</v>
      </c>
      <c r="G462">
        <v>5</v>
      </c>
      <c r="H462">
        <v>0</v>
      </c>
      <c r="I462" s="5">
        <f>VLOOKUP(TrendSheetStgData[Population]&amp;TrendSheetStgData[Cost Basis]&amp;TrendSheetStgData[Period]&amp;TrendSheetStgData[Trend],TrendSheetPrdData[#All],9,FALSE)</f>
        <v>0</v>
      </c>
      <c r="J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 s="5">
        <f>VLOOKUP(TrendSheetStgData[Population]&amp;TrendSheetStgData[Trend],Threshold[#All],4,FALSE)</f>
        <v>10</v>
      </c>
      <c r="L462" s="5">
        <f>VLOOKUP(TrendSheetStgData[Population]&amp;TrendSheetStgData[Trend],Threshold[#All],5,FALSE)</f>
        <v>5</v>
      </c>
      <c r="M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 spans="1:13" x14ac:dyDescent="0.25">
      <c r="A463" t="s">
        <v>90</v>
      </c>
      <c r="B463" t="s">
        <v>90</v>
      </c>
      <c r="C463" t="s">
        <v>78</v>
      </c>
      <c r="D463" s="1" t="s">
        <v>95</v>
      </c>
      <c r="E463" t="s">
        <v>93</v>
      </c>
      <c r="F463" t="s">
        <v>16</v>
      </c>
      <c r="G463">
        <v>5</v>
      </c>
      <c r="H463">
        <v>0</v>
      </c>
      <c r="I463" s="5">
        <f>VLOOKUP(TrendSheetStgData[Population]&amp;TrendSheetStgData[Cost Basis]&amp;TrendSheetStgData[Period]&amp;TrendSheetStgData[Trend],TrendSheetPrdData[#All],9,FALSE)</f>
        <v>0</v>
      </c>
      <c r="J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 s="5">
        <f>VLOOKUP(TrendSheetStgData[Population]&amp;TrendSheetStgData[Trend],Threshold[#All],4,FALSE)</f>
        <v>10</v>
      </c>
      <c r="L463" s="5">
        <f>VLOOKUP(TrendSheetStgData[Population]&amp;TrendSheetStgData[Trend],Threshold[#All],5,FALSE)</f>
        <v>5</v>
      </c>
      <c r="M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 spans="1:13" x14ac:dyDescent="0.25">
      <c r="A464" t="s">
        <v>90</v>
      </c>
      <c r="B464" t="s">
        <v>90</v>
      </c>
      <c r="C464" t="s">
        <v>78</v>
      </c>
      <c r="D464" s="1" t="s">
        <v>96</v>
      </c>
      <c r="E464" t="s">
        <v>93</v>
      </c>
      <c r="F464" t="s">
        <v>16</v>
      </c>
      <c r="G464">
        <v>5</v>
      </c>
      <c r="H464">
        <v>3</v>
      </c>
      <c r="I464" s="5">
        <f>VLOOKUP(TrendSheetStgData[Population]&amp;TrendSheetStgData[Cost Basis]&amp;TrendSheetStgData[Period]&amp;TrendSheetStgData[Trend],TrendSheetPrdData[#All],9,FALSE)</f>
        <v>3</v>
      </c>
      <c r="J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 s="5">
        <f>VLOOKUP(TrendSheetStgData[Population]&amp;TrendSheetStgData[Trend],Threshold[#All],4,FALSE)</f>
        <v>10</v>
      </c>
      <c r="L464" s="5">
        <f>VLOOKUP(TrendSheetStgData[Population]&amp;TrendSheetStgData[Trend],Threshold[#All],5,FALSE)</f>
        <v>5</v>
      </c>
      <c r="M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 spans="1:13" x14ac:dyDescent="0.25">
      <c r="A465" t="s">
        <v>90</v>
      </c>
      <c r="B465" t="s">
        <v>90</v>
      </c>
      <c r="C465" t="s">
        <v>78</v>
      </c>
      <c r="D465" s="1" t="s">
        <v>97</v>
      </c>
      <c r="E465" t="s">
        <v>93</v>
      </c>
      <c r="F465" t="s">
        <v>16</v>
      </c>
      <c r="G465">
        <v>5</v>
      </c>
      <c r="H465">
        <v>1</v>
      </c>
      <c r="I465" s="5">
        <f>VLOOKUP(TrendSheetStgData[Population]&amp;TrendSheetStgData[Cost Basis]&amp;TrendSheetStgData[Period]&amp;TrendSheetStgData[Trend],TrendSheetPrdData[#All],9,FALSE)</f>
        <v>1</v>
      </c>
      <c r="J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 s="5">
        <f>VLOOKUP(TrendSheetStgData[Population]&amp;TrendSheetStgData[Trend],Threshold[#All],4,FALSE)</f>
        <v>10</v>
      </c>
      <c r="L465" s="5">
        <f>VLOOKUP(TrendSheetStgData[Population]&amp;TrendSheetStgData[Trend],Threshold[#All],5,FALSE)</f>
        <v>5</v>
      </c>
      <c r="M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 spans="1:13" x14ac:dyDescent="0.25">
      <c r="A466" t="s">
        <v>90</v>
      </c>
      <c r="B466" t="s">
        <v>90</v>
      </c>
      <c r="C466" t="s">
        <v>78</v>
      </c>
      <c r="D466" s="1" t="s">
        <v>98</v>
      </c>
      <c r="E466" t="s">
        <v>93</v>
      </c>
      <c r="F466" t="s">
        <v>16</v>
      </c>
      <c r="G466">
        <v>5</v>
      </c>
      <c r="H466">
        <v>0</v>
      </c>
      <c r="I466" s="5">
        <f>VLOOKUP(TrendSheetStgData[Population]&amp;TrendSheetStgData[Cost Basis]&amp;TrendSheetStgData[Period]&amp;TrendSheetStgData[Trend],TrendSheetPrdData[#All],9,FALSE)</f>
        <v>0</v>
      </c>
      <c r="J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 s="5">
        <f>VLOOKUP(TrendSheetStgData[Population]&amp;TrendSheetStgData[Trend],Threshold[#All],4,FALSE)</f>
        <v>10</v>
      </c>
      <c r="L466" s="5">
        <f>VLOOKUP(TrendSheetStgData[Population]&amp;TrendSheetStgData[Trend],Threshold[#All],5,FALSE)</f>
        <v>5</v>
      </c>
      <c r="M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 spans="1:13" x14ac:dyDescent="0.25">
      <c r="A467" t="s">
        <v>90</v>
      </c>
      <c r="B467" t="s">
        <v>90</v>
      </c>
      <c r="C467" t="s">
        <v>78</v>
      </c>
      <c r="D467" s="1" t="s">
        <v>99</v>
      </c>
      <c r="E467" t="s">
        <v>93</v>
      </c>
      <c r="F467" t="s">
        <v>16</v>
      </c>
      <c r="G467">
        <v>5</v>
      </c>
      <c r="H467">
        <v>0</v>
      </c>
      <c r="I467" s="5">
        <f>VLOOKUP(TrendSheetStgData[Population]&amp;TrendSheetStgData[Cost Basis]&amp;TrendSheetStgData[Period]&amp;TrendSheetStgData[Trend],TrendSheetPrdData[#All],9,FALSE)</f>
        <v>0</v>
      </c>
      <c r="J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 s="5">
        <f>VLOOKUP(TrendSheetStgData[Population]&amp;TrendSheetStgData[Trend],Threshold[#All],4,FALSE)</f>
        <v>10</v>
      </c>
      <c r="L467" s="5">
        <f>VLOOKUP(TrendSheetStgData[Population]&amp;TrendSheetStgData[Trend],Threshold[#All],5,FALSE)</f>
        <v>5</v>
      </c>
      <c r="M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 spans="1:13" x14ac:dyDescent="0.25">
      <c r="A468" t="s">
        <v>90</v>
      </c>
      <c r="B468" t="s">
        <v>90</v>
      </c>
      <c r="C468" t="s">
        <v>78</v>
      </c>
      <c r="D468" s="1" t="s">
        <v>100</v>
      </c>
      <c r="E468" t="s">
        <v>93</v>
      </c>
      <c r="F468" t="s">
        <v>16</v>
      </c>
      <c r="G468">
        <v>5</v>
      </c>
      <c r="H468">
        <v>2</v>
      </c>
      <c r="I468" s="5">
        <f>VLOOKUP(TrendSheetStgData[Population]&amp;TrendSheetStgData[Cost Basis]&amp;TrendSheetStgData[Period]&amp;TrendSheetStgData[Trend],TrendSheetPrdData[#All],9,FALSE)</f>
        <v>2</v>
      </c>
      <c r="J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 s="5">
        <f>VLOOKUP(TrendSheetStgData[Population]&amp;TrendSheetStgData[Trend],Threshold[#All],4,FALSE)</f>
        <v>10</v>
      </c>
      <c r="L468" s="5">
        <f>VLOOKUP(TrendSheetStgData[Population]&amp;TrendSheetStgData[Trend],Threshold[#All],5,FALSE)</f>
        <v>5</v>
      </c>
      <c r="M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 spans="1:13" x14ac:dyDescent="0.25">
      <c r="A469" t="s">
        <v>90</v>
      </c>
      <c r="B469" t="s">
        <v>90</v>
      </c>
      <c r="C469" t="s">
        <v>78</v>
      </c>
      <c r="D469" s="1" t="s">
        <v>101</v>
      </c>
      <c r="E469" t="s">
        <v>93</v>
      </c>
      <c r="F469" t="s">
        <v>16</v>
      </c>
      <c r="G469">
        <v>5</v>
      </c>
      <c r="H469">
        <v>1</v>
      </c>
      <c r="I469" s="5">
        <f>VLOOKUP(TrendSheetStgData[Population]&amp;TrendSheetStgData[Cost Basis]&amp;TrendSheetStgData[Period]&amp;TrendSheetStgData[Trend],TrendSheetPrdData[#All],9,FALSE)</f>
        <v>1</v>
      </c>
      <c r="J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 s="5">
        <f>VLOOKUP(TrendSheetStgData[Population]&amp;TrendSheetStgData[Trend],Threshold[#All],4,FALSE)</f>
        <v>10</v>
      </c>
      <c r="L469" s="5">
        <f>VLOOKUP(TrendSheetStgData[Population]&amp;TrendSheetStgData[Trend],Threshold[#All],5,FALSE)</f>
        <v>5</v>
      </c>
      <c r="M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 spans="1:13" x14ac:dyDescent="0.25">
      <c r="A470" t="s">
        <v>90</v>
      </c>
      <c r="B470" t="s">
        <v>90</v>
      </c>
      <c r="C470" t="s">
        <v>78</v>
      </c>
      <c r="D470" s="1" t="s">
        <v>102</v>
      </c>
      <c r="E470" t="s">
        <v>93</v>
      </c>
      <c r="F470" t="s">
        <v>16</v>
      </c>
      <c r="G470">
        <v>5</v>
      </c>
      <c r="H470">
        <v>2</v>
      </c>
      <c r="I470" s="5">
        <f>VLOOKUP(TrendSheetStgData[Population]&amp;TrendSheetStgData[Cost Basis]&amp;TrendSheetStgData[Period]&amp;TrendSheetStgData[Trend],TrendSheetPrdData[#All],9,FALSE)</f>
        <v>2</v>
      </c>
      <c r="J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 s="5">
        <f>VLOOKUP(TrendSheetStgData[Population]&amp;TrendSheetStgData[Trend],Threshold[#All],4,FALSE)</f>
        <v>10</v>
      </c>
      <c r="L470" s="5">
        <f>VLOOKUP(TrendSheetStgData[Population]&amp;TrendSheetStgData[Trend],Threshold[#All],5,FALSE)</f>
        <v>5</v>
      </c>
      <c r="M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 spans="1:13" x14ac:dyDescent="0.25">
      <c r="A471" t="s">
        <v>90</v>
      </c>
      <c r="B471" t="s">
        <v>90</v>
      </c>
      <c r="C471" t="s">
        <v>78</v>
      </c>
      <c r="D471" s="1" t="s">
        <v>103</v>
      </c>
      <c r="E471" t="s">
        <v>93</v>
      </c>
      <c r="F471" t="s">
        <v>16</v>
      </c>
      <c r="G471">
        <v>5</v>
      </c>
      <c r="H471">
        <v>1</v>
      </c>
      <c r="I471" s="5">
        <f>VLOOKUP(TrendSheetStgData[Population]&amp;TrendSheetStgData[Cost Basis]&amp;TrendSheetStgData[Period]&amp;TrendSheetStgData[Trend],TrendSheetPrdData[#All],9,FALSE)</f>
        <v>1</v>
      </c>
      <c r="J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 s="5">
        <f>VLOOKUP(TrendSheetStgData[Population]&amp;TrendSheetStgData[Trend],Threshold[#All],4,FALSE)</f>
        <v>10</v>
      </c>
      <c r="L471" s="5">
        <f>VLOOKUP(TrendSheetStgData[Population]&amp;TrendSheetStgData[Trend],Threshold[#All],5,FALSE)</f>
        <v>5</v>
      </c>
      <c r="M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 spans="1:13" x14ac:dyDescent="0.25">
      <c r="A472" t="s">
        <v>90</v>
      </c>
      <c r="B472" t="s">
        <v>90</v>
      </c>
      <c r="C472" t="s">
        <v>78</v>
      </c>
      <c r="D472" s="1" t="s">
        <v>104</v>
      </c>
      <c r="E472" t="s">
        <v>93</v>
      </c>
      <c r="F472" t="s">
        <v>16</v>
      </c>
      <c r="G472">
        <v>5</v>
      </c>
      <c r="H472">
        <v>0</v>
      </c>
      <c r="I472" s="5">
        <f>VLOOKUP(TrendSheetStgData[Population]&amp;TrendSheetStgData[Cost Basis]&amp;TrendSheetStgData[Period]&amp;TrendSheetStgData[Trend],TrendSheetPrdData[#All],9,FALSE)</f>
        <v>0</v>
      </c>
      <c r="J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 s="5">
        <f>VLOOKUP(TrendSheetStgData[Population]&amp;TrendSheetStgData[Trend],Threshold[#All],4,FALSE)</f>
        <v>10</v>
      </c>
      <c r="L472" s="5">
        <f>VLOOKUP(TrendSheetStgData[Population]&amp;TrendSheetStgData[Trend],Threshold[#All],5,FALSE)</f>
        <v>5</v>
      </c>
      <c r="M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 spans="1:13" x14ac:dyDescent="0.25">
      <c r="A473" t="s">
        <v>90</v>
      </c>
      <c r="B473" t="s">
        <v>90</v>
      </c>
      <c r="C473" t="s">
        <v>78</v>
      </c>
      <c r="D473" s="1" t="s">
        <v>105</v>
      </c>
      <c r="E473" t="s">
        <v>93</v>
      </c>
      <c r="F473" t="s">
        <v>16</v>
      </c>
      <c r="G473">
        <v>5</v>
      </c>
      <c r="H473">
        <v>0</v>
      </c>
      <c r="I473" s="5">
        <f>VLOOKUP(TrendSheetStgData[Population]&amp;TrendSheetStgData[Cost Basis]&amp;TrendSheetStgData[Period]&amp;TrendSheetStgData[Trend],TrendSheetPrdData[#All],9,FALSE)</f>
        <v>0</v>
      </c>
      <c r="J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 s="5">
        <f>VLOOKUP(TrendSheetStgData[Population]&amp;TrendSheetStgData[Trend],Threshold[#All],4,FALSE)</f>
        <v>10</v>
      </c>
      <c r="L473" s="5">
        <f>VLOOKUP(TrendSheetStgData[Population]&amp;TrendSheetStgData[Trend],Threshold[#All],5,FALSE)</f>
        <v>5</v>
      </c>
      <c r="M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 spans="1:13" x14ac:dyDescent="0.25">
      <c r="A474" t="s">
        <v>90</v>
      </c>
      <c r="B474" t="s">
        <v>90</v>
      </c>
      <c r="C474" t="s">
        <v>78</v>
      </c>
      <c r="D474" s="1" t="s">
        <v>106</v>
      </c>
      <c r="E474" t="s">
        <v>93</v>
      </c>
      <c r="F474" t="s">
        <v>16</v>
      </c>
      <c r="G474">
        <v>5</v>
      </c>
      <c r="H474">
        <v>0</v>
      </c>
      <c r="I474" s="5">
        <f>VLOOKUP(TrendSheetStgData[Population]&amp;TrendSheetStgData[Cost Basis]&amp;TrendSheetStgData[Period]&amp;TrendSheetStgData[Trend],TrendSheetPrdData[#All],9,FALSE)</f>
        <v>0</v>
      </c>
      <c r="J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 s="5">
        <f>VLOOKUP(TrendSheetStgData[Population]&amp;TrendSheetStgData[Trend],Threshold[#All],4,FALSE)</f>
        <v>10</v>
      </c>
      <c r="L474" s="5">
        <f>VLOOKUP(TrendSheetStgData[Population]&amp;TrendSheetStgData[Trend],Threshold[#All],5,FALSE)</f>
        <v>5</v>
      </c>
      <c r="M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 spans="1:13" x14ac:dyDescent="0.25">
      <c r="A475" t="s">
        <v>90</v>
      </c>
      <c r="B475" t="s">
        <v>90</v>
      </c>
      <c r="C475" t="s">
        <v>78</v>
      </c>
      <c r="D475" s="1" t="s">
        <v>107</v>
      </c>
      <c r="E475" t="s">
        <v>108</v>
      </c>
      <c r="F475" t="s">
        <v>16</v>
      </c>
      <c r="G475">
        <v>5</v>
      </c>
      <c r="H475">
        <v>1</v>
      </c>
      <c r="I475" s="5">
        <f>VLOOKUP(TrendSheetStgData[Population]&amp;TrendSheetStgData[Cost Basis]&amp;TrendSheetStgData[Period]&amp;TrendSheetStgData[Trend],TrendSheetPrdData[#All],9,FALSE)</f>
        <v>1</v>
      </c>
      <c r="J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 s="5">
        <f>VLOOKUP(TrendSheetStgData[Population]&amp;TrendSheetStgData[Trend],Threshold[#All],4,FALSE)</f>
        <v>10</v>
      </c>
      <c r="L475" s="5">
        <f>VLOOKUP(TrendSheetStgData[Population]&amp;TrendSheetStgData[Trend],Threshold[#All],5,FALSE)</f>
        <v>5</v>
      </c>
      <c r="M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6" spans="1:13" x14ac:dyDescent="0.25">
      <c r="A476" t="s">
        <v>90</v>
      </c>
      <c r="B476" t="s">
        <v>90</v>
      </c>
      <c r="C476" t="s">
        <v>78</v>
      </c>
      <c r="D476" s="1" t="s">
        <v>109</v>
      </c>
      <c r="E476" t="s">
        <v>108</v>
      </c>
      <c r="F476" t="s">
        <v>16</v>
      </c>
      <c r="G476">
        <v>5</v>
      </c>
      <c r="H476">
        <v>1</v>
      </c>
      <c r="I476" s="5">
        <f>VLOOKUP(TrendSheetStgData[Population]&amp;TrendSheetStgData[Cost Basis]&amp;TrendSheetStgData[Period]&amp;TrendSheetStgData[Trend],TrendSheetPrdData[#All],9,FALSE)</f>
        <v>1</v>
      </c>
      <c r="J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6" s="5">
        <f>VLOOKUP(TrendSheetStgData[Population]&amp;TrendSheetStgData[Trend],Threshold[#All],4,FALSE)</f>
        <v>10</v>
      </c>
      <c r="L476" s="5">
        <f>VLOOKUP(TrendSheetStgData[Population]&amp;TrendSheetStgData[Trend],Threshold[#All],5,FALSE)</f>
        <v>5</v>
      </c>
      <c r="M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7" spans="1:13" x14ac:dyDescent="0.25">
      <c r="A477" t="s">
        <v>90</v>
      </c>
      <c r="B477" t="s">
        <v>90</v>
      </c>
      <c r="C477" t="s">
        <v>78</v>
      </c>
      <c r="D477" s="1" t="s">
        <v>110</v>
      </c>
      <c r="E477" t="s">
        <v>108</v>
      </c>
      <c r="F477" t="s">
        <v>16</v>
      </c>
      <c r="G477">
        <v>5</v>
      </c>
      <c r="H477">
        <v>0</v>
      </c>
      <c r="I477" s="5">
        <f>VLOOKUP(TrendSheetStgData[Population]&amp;TrendSheetStgData[Cost Basis]&amp;TrendSheetStgData[Period]&amp;TrendSheetStgData[Trend],TrendSheetPrdData[#All],9,FALSE)</f>
        <v>0</v>
      </c>
      <c r="J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7" s="5">
        <f>VLOOKUP(TrendSheetStgData[Population]&amp;TrendSheetStgData[Trend],Threshold[#All],4,FALSE)</f>
        <v>10</v>
      </c>
      <c r="L477" s="5">
        <f>VLOOKUP(TrendSheetStgData[Population]&amp;TrendSheetStgData[Trend],Threshold[#All],5,FALSE)</f>
        <v>5</v>
      </c>
      <c r="M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8" spans="1:13" x14ac:dyDescent="0.25">
      <c r="A478" t="s">
        <v>90</v>
      </c>
      <c r="B478" t="s">
        <v>90</v>
      </c>
      <c r="C478" t="s">
        <v>78</v>
      </c>
      <c r="D478" s="1" t="s">
        <v>92</v>
      </c>
      <c r="E478" t="s">
        <v>93</v>
      </c>
      <c r="F478" t="s">
        <v>17</v>
      </c>
      <c r="G478">
        <v>6</v>
      </c>
      <c r="H478">
        <v>10215.799999999999</v>
      </c>
      <c r="I478" s="5">
        <f>VLOOKUP(TrendSheetStgData[Population]&amp;TrendSheetStgData[Cost Basis]&amp;TrendSheetStgData[Period]&amp;TrendSheetStgData[Trend],TrendSheetPrdData[#All],9,FALSE)</f>
        <v>10215.799999999999</v>
      </c>
      <c r="J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8" s="5">
        <f>VLOOKUP(TrendSheetStgData[Population]&amp;TrendSheetStgData[Trend],Threshold[#All],4,FALSE)</f>
        <v>10</v>
      </c>
      <c r="L478" s="5">
        <f>VLOOKUP(TrendSheetStgData[Population]&amp;TrendSheetStgData[Trend],Threshold[#All],5,FALSE)</f>
        <v>5</v>
      </c>
      <c r="M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9" spans="1:13" x14ac:dyDescent="0.25">
      <c r="A479" t="s">
        <v>90</v>
      </c>
      <c r="B479" t="s">
        <v>90</v>
      </c>
      <c r="C479" t="s">
        <v>78</v>
      </c>
      <c r="D479" s="1" t="s">
        <v>94</v>
      </c>
      <c r="E479" t="s">
        <v>93</v>
      </c>
      <c r="F479" t="s">
        <v>17</v>
      </c>
      <c r="G479">
        <v>6</v>
      </c>
      <c r="H479">
        <v>30761.67</v>
      </c>
      <c r="I479" s="5">
        <f>VLOOKUP(TrendSheetStgData[Population]&amp;TrendSheetStgData[Cost Basis]&amp;TrendSheetStgData[Period]&amp;TrendSheetStgData[Trend],TrendSheetPrdData[#All],9,FALSE)</f>
        <v>30761.67</v>
      </c>
      <c r="J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9" s="5">
        <f>VLOOKUP(TrendSheetStgData[Population]&amp;TrendSheetStgData[Trend],Threshold[#All],4,FALSE)</f>
        <v>10</v>
      </c>
      <c r="L479" s="5">
        <f>VLOOKUP(TrendSheetStgData[Population]&amp;TrendSheetStgData[Trend],Threshold[#All],5,FALSE)</f>
        <v>5</v>
      </c>
      <c r="M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0" spans="1:13" x14ac:dyDescent="0.25">
      <c r="A480" t="s">
        <v>90</v>
      </c>
      <c r="B480" t="s">
        <v>90</v>
      </c>
      <c r="C480" t="s">
        <v>78</v>
      </c>
      <c r="D480" s="1" t="s">
        <v>95</v>
      </c>
      <c r="E480" t="s">
        <v>93</v>
      </c>
      <c r="F480" t="s">
        <v>17</v>
      </c>
      <c r="G480">
        <v>6</v>
      </c>
      <c r="H480">
        <v>0</v>
      </c>
      <c r="I480" s="5">
        <f>VLOOKUP(TrendSheetStgData[Population]&amp;TrendSheetStgData[Cost Basis]&amp;TrendSheetStgData[Period]&amp;TrendSheetStgData[Trend],TrendSheetPrdData[#All],9,FALSE)</f>
        <v>0</v>
      </c>
      <c r="J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0" s="5">
        <f>VLOOKUP(TrendSheetStgData[Population]&amp;TrendSheetStgData[Trend],Threshold[#All],4,FALSE)</f>
        <v>10</v>
      </c>
      <c r="L480" s="5">
        <f>VLOOKUP(TrendSheetStgData[Population]&amp;TrendSheetStgData[Trend],Threshold[#All],5,FALSE)</f>
        <v>5</v>
      </c>
      <c r="M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 spans="1:13" x14ac:dyDescent="0.25">
      <c r="A481" t="s">
        <v>90</v>
      </c>
      <c r="B481" t="s">
        <v>90</v>
      </c>
      <c r="C481" t="s">
        <v>78</v>
      </c>
      <c r="D481" s="1" t="s">
        <v>96</v>
      </c>
      <c r="E481" t="s">
        <v>93</v>
      </c>
      <c r="F481" t="s">
        <v>17</v>
      </c>
      <c r="G481">
        <v>6</v>
      </c>
      <c r="H481">
        <v>63454.91</v>
      </c>
      <c r="I481" s="5">
        <f>VLOOKUP(TrendSheetStgData[Population]&amp;TrendSheetStgData[Cost Basis]&amp;TrendSheetStgData[Period]&amp;TrendSheetStgData[Trend],TrendSheetPrdData[#All],9,FALSE)</f>
        <v>63454.91</v>
      </c>
      <c r="J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 s="5">
        <f>VLOOKUP(TrendSheetStgData[Population]&amp;TrendSheetStgData[Trend],Threshold[#All],4,FALSE)</f>
        <v>10</v>
      </c>
      <c r="L481" s="5">
        <f>VLOOKUP(TrendSheetStgData[Population]&amp;TrendSheetStgData[Trend],Threshold[#All],5,FALSE)</f>
        <v>5</v>
      </c>
      <c r="M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 spans="1:13" x14ac:dyDescent="0.25">
      <c r="A482" t="s">
        <v>90</v>
      </c>
      <c r="B482" t="s">
        <v>90</v>
      </c>
      <c r="C482" t="s">
        <v>78</v>
      </c>
      <c r="D482" s="1" t="s">
        <v>97</v>
      </c>
      <c r="E482" t="s">
        <v>93</v>
      </c>
      <c r="F482" t="s">
        <v>17</v>
      </c>
      <c r="G482">
        <v>6</v>
      </c>
      <c r="H482">
        <v>0</v>
      </c>
      <c r="I482" s="5">
        <f>VLOOKUP(TrendSheetStgData[Population]&amp;TrendSheetStgData[Cost Basis]&amp;TrendSheetStgData[Period]&amp;TrendSheetStgData[Trend],TrendSheetPrdData[#All],9,FALSE)</f>
        <v>0</v>
      </c>
      <c r="J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 s="5">
        <f>VLOOKUP(TrendSheetStgData[Population]&amp;TrendSheetStgData[Trend],Threshold[#All],4,FALSE)</f>
        <v>10</v>
      </c>
      <c r="L482" s="5">
        <f>VLOOKUP(TrendSheetStgData[Population]&amp;TrendSheetStgData[Trend],Threshold[#All],5,FALSE)</f>
        <v>5</v>
      </c>
      <c r="M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3" spans="1:13" x14ac:dyDescent="0.25">
      <c r="A483" t="s">
        <v>90</v>
      </c>
      <c r="B483" t="s">
        <v>90</v>
      </c>
      <c r="C483" t="s">
        <v>78</v>
      </c>
      <c r="D483" s="1" t="s">
        <v>98</v>
      </c>
      <c r="E483" t="s">
        <v>93</v>
      </c>
      <c r="F483" t="s">
        <v>17</v>
      </c>
      <c r="G483">
        <v>6</v>
      </c>
      <c r="H483">
        <v>5968.92</v>
      </c>
      <c r="I483" s="5">
        <f>VLOOKUP(TrendSheetStgData[Population]&amp;TrendSheetStgData[Cost Basis]&amp;TrendSheetStgData[Period]&amp;TrendSheetStgData[Trend],TrendSheetPrdData[#All],9,FALSE)</f>
        <v>5968.92</v>
      </c>
      <c r="J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3" s="5">
        <f>VLOOKUP(TrendSheetStgData[Population]&amp;TrendSheetStgData[Trend],Threshold[#All],4,FALSE)</f>
        <v>10</v>
      </c>
      <c r="L483" s="5">
        <f>VLOOKUP(TrendSheetStgData[Population]&amp;TrendSheetStgData[Trend],Threshold[#All],5,FALSE)</f>
        <v>5</v>
      </c>
      <c r="M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4" spans="1:13" x14ac:dyDescent="0.25">
      <c r="A484" t="s">
        <v>90</v>
      </c>
      <c r="B484" t="s">
        <v>90</v>
      </c>
      <c r="C484" t="s">
        <v>78</v>
      </c>
      <c r="D484" s="1" t="s">
        <v>99</v>
      </c>
      <c r="E484" t="s">
        <v>93</v>
      </c>
      <c r="F484" t="s">
        <v>17</v>
      </c>
      <c r="G484">
        <v>6</v>
      </c>
      <c r="H484">
        <v>0</v>
      </c>
      <c r="I484" s="5">
        <f>VLOOKUP(TrendSheetStgData[Population]&amp;TrendSheetStgData[Cost Basis]&amp;TrendSheetStgData[Period]&amp;TrendSheetStgData[Trend],TrendSheetPrdData[#All],9,FALSE)</f>
        <v>0</v>
      </c>
      <c r="J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4" s="5">
        <f>VLOOKUP(TrendSheetStgData[Population]&amp;TrendSheetStgData[Trend],Threshold[#All],4,FALSE)</f>
        <v>10</v>
      </c>
      <c r="L484" s="5">
        <f>VLOOKUP(TrendSheetStgData[Population]&amp;TrendSheetStgData[Trend],Threshold[#All],5,FALSE)</f>
        <v>5</v>
      </c>
      <c r="M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5" spans="1:13" x14ac:dyDescent="0.25">
      <c r="A485" t="s">
        <v>90</v>
      </c>
      <c r="B485" t="s">
        <v>90</v>
      </c>
      <c r="C485" t="s">
        <v>78</v>
      </c>
      <c r="D485" s="1" t="s">
        <v>100</v>
      </c>
      <c r="E485" t="s">
        <v>93</v>
      </c>
      <c r="F485" t="s">
        <v>17</v>
      </c>
      <c r="G485">
        <v>6</v>
      </c>
      <c r="H485">
        <v>0</v>
      </c>
      <c r="I485" s="5">
        <f>VLOOKUP(TrendSheetStgData[Population]&amp;TrendSheetStgData[Cost Basis]&amp;TrendSheetStgData[Period]&amp;TrendSheetStgData[Trend],TrendSheetPrdData[#All],9,FALSE)</f>
        <v>0</v>
      </c>
      <c r="J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5" s="5">
        <f>VLOOKUP(TrendSheetStgData[Population]&amp;TrendSheetStgData[Trend],Threshold[#All],4,FALSE)</f>
        <v>10</v>
      </c>
      <c r="L485" s="5">
        <f>VLOOKUP(TrendSheetStgData[Population]&amp;TrendSheetStgData[Trend],Threshold[#All],5,FALSE)</f>
        <v>5</v>
      </c>
      <c r="M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6" spans="1:13" x14ac:dyDescent="0.25">
      <c r="A486" t="s">
        <v>90</v>
      </c>
      <c r="B486" t="s">
        <v>90</v>
      </c>
      <c r="C486" t="s">
        <v>78</v>
      </c>
      <c r="D486" s="1" t="s">
        <v>101</v>
      </c>
      <c r="E486" t="s">
        <v>93</v>
      </c>
      <c r="F486" t="s">
        <v>17</v>
      </c>
      <c r="G486">
        <v>6</v>
      </c>
      <c r="H486">
        <v>35351.68</v>
      </c>
      <c r="I486" s="5">
        <f>VLOOKUP(TrendSheetStgData[Population]&amp;TrendSheetStgData[Cost Basis]&amp;TrendSheetStgData[Period]&amp;TrendSheetStgData[Trend],TrendSheetPrdData[#All],9,FALSE)</f>
        <v>35351.68</v>
      </c>
      <c r="J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6" s="5">
        <f>VLOOKUP(TrendSheetStgData[Population]&amp;TrendSheetStgData[Trend],Threshold[#All],4,FALSE)</f>
        <v>10</v>
      </c>
      <c r="L486" s="5">
        <f>VLOOKUP(TrendSheetStgData[Population]&amp;TrendSheetStgData[Trend],Threshold[#All],5,FALSE)</f>
        <v>5</v>
      </c>
      <c r="M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7" spans="1:13" x14ac:dyDescent="0.25">
      <c r="A487" t="s">
        <v>90</v>
      </c>
      <c r="B487" t="s">
        <v>90</v>
      </c>
      <c r="C487" t="s">
        <v>78</v>
      </c>
      <c r="D487" s="1" t="s">
        <v>102</v>
      </c>
      <c r="E487" t="s">
        <v>93</v>
      </c>
      <c r="F487" t="s">
        <v>17</v>
      </c>
      <c r="G487">
        <v>6</v>
      </c>
      <c r="H487">
        <v>7329.46</v>
      </c>
      <c r="I487" s="5">
        <f>VLOOKUP(TrendSheetStgData[Population]&amp;TrendSheetStgData[Cost Basis]&amp;TrendSheetStgData[Period]&amp;TrendSheetStgData[Trend],TrendSheetPrdData[#All],9,FALSE)</f>
        <v>7329.46</v>
      </c>
      <c r="J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7" s="5">
        <f>VLOOKUP(TrendSheetStgData[Population]&amp;TrendSheetStgData[Trend],Threshold[#All],4,FALSE)</f>
        <v>10</v>
      </c>
      <c r="L487" s="5">
        <f>VLOOKUP(TrendSheetStgData[Population]&amp;TrendSheetStgData[Trend],Threshold[#All],5,FALSE)</f>
        <v>5</v>
      </c>
      <c r="M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8" spans="1:13" x14ac:dyDescent="0.25">
      <c r="A488" t="s">
        <v>90</v>
      </c>
      <c r="B488" t="s">
        <v>90</v>
      </c>
      <c r="C488" t="s">
        <v>78</v>
      </c>
      <c r="D488" s="1" t="s">
        <v>103</v>
      </c>
      <c r="E488" t="s">
        <v>93</v>
      </c>
      <c r="F488" t="s">
        <v>17</v>
      </c>
      <c r="G488">
        <v>6</v>
      </c>
      <c r="H488">
        <v>0</v>
      </c>
      <c r="I488" s="5">
        <f>VLOOKUP(TrendSheetStgData[Population]&amp;TrendSheetStgData[Cost Basis]&amp;TrendSheetStgData[Period]&amp;TrendSheetStgData[Trend],TrendSheetPrdData[#All],9,FALSE)</f>
        <v>0</v>
      </c>
      <c r="J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8" s="5">
        <f>VLOOKUP(TrendSheetStgData[Population]&amp;TrendSheetStgData[Trend],Threshold[#All],4,FALSE)</f>
        <v>10</v>
      </c>
      <c r="L488" s="5">
        <f>VLOOKUP(TrendSheetStgData[Population]&amp;TrendSheetStgData[Trend],Threshold[#All],5,FALSE)</f>
        <v>5</v>
      </c>
      <c r="M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 spans="1:13" x14ac:dyDescent="0.25">
      <c r="A489" t="s">
        <v>90</v>
      </c>
      <c r="B489" t="s">
        <v>90</v>
      </c>
      <c r="C489" t="s">
        <v>78</v>
      </c>
      <c r="D489" s="1" t="s">
        <v>104</v>
      </c>
      <c r="E489" t="s">
        <v>93</v>
      </c>
      <c r="F489" t="s">
        <v>17</v>
      </c>
      <c r="G489">
        <v>6</v>
      </c>
      <c r="H489">
        <v>7392.68</v>
      </c>
      <c r="I489" s="5">
        <f>VLOOKUP(TrendSheetStgData[Population]&amp;TrendSheetStgData[Cost Basis]&amp;TrendSheetStgData[Period]&amp;TrendSheetStgData[Trend],TrendSheetPrdData[#All],9,FALSE)</f>
        <v>7392.68</v>
      </c>
      <c r="J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 s="5">
        <f>VLOOKUP(TrendSheetStgData[Population]&amp;TrendSheetStgData[Trend],Threshold[#All],4,FALSE)</f>
        <v>10</v>
      </c>
      <c r="L489" s="5">
        <f>VLOOKUP(TrendSheetStgData[Population]&amp;TrendSheetStgData[Trend],Threshold[#All],5,FALSE)</f>
        <v>5</v>
      </c>
      <c r="M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 spans="1:13" x14ac:dyDescent="0.25">
      <c r="A490" t="s">
        <v>90</v>
      </c>
      <c r="B490" t="s">
        <v>90</v>
      </c>
      <c r="C490" t="s">
        <v>78</v>
      </c>
      <c r="D490" s="1" t="s">
        <v>105</v>
      </c>
      <c r="E490" t="s">
        <v>93</v>
      </c>
      <c r="F490" t="s">
        <v>17</v>
      </c>
      <c r="G490">
        <v>6</v>
      </c>
      <c r="H490">
        <v>7188.05</v>
      </c>
      <c r="I490" s="5">
        <f>VLOOKUP(TrendSheetStgData[Population]&amp;TrendSheetStgData[Cost Basis]&amp;TrendSheetStgData[Period]&amp;TrendSheetStgData[Trend],TrendSheetPrdData[#All],9,FALSE)</f>
        <v>7188.05</v>
      </c>
      <c r="J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 s="5">
        <f>VLOOKUP(TrendSheetStgData[Population]&amp;TrendSheetStgData[Trend],Threshold[#All],4,FALSE)</f>
        <v>10</v>
      </c>
      <c r="L490" s="5">
        <f>VLOOKUP(TrendSheetStgData[Population]&amp;TrendSheetStgData[Trend],Threshold[#All],5,FALSE)</f>
        <v>5</v>
      </c>
      <c r="M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 spans="1:13" x14ac:dyDescent="0.25">
      <c r="A491" t="s">
        <v>90</v>
      </c>
      <c r="B491" t="s">
        <v>90</v>
      </c>
      <c r="C491" t="s">
        <v>78</v>
      </c>
      <c r="D491" s="1" t="s">
        <v>106</v>
      </c>
      <c r="E491" t="s">
        <v>93</v>
      </c>
      <c r="F491" t="s">
        <v>17</v>
      </c>
      <c r="G491">
        <v>6</v>
      </c>
      <c r="H491">
        <v>0</v>
      </c>
      <c r="I491" s="5">
        <f>VLOOKUP(TrendSheetStgData[Population]&amp;TrendSheetStgData[Cost Basis]&amp;TrendSheetStgData[Period]&amp;TrendSheetStgData[Trend],TrendSheetPrdData[#All],9,FALSE)</f>
        <v>0</v>
      </c>
      <c r="J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 s="5">
        <f>VLOOKUP(TrendSheetStgData[Population]&amp;TrendSheetStgData[Trend],Threshold[#All],4,FALSE)</f>
        <v>10</v>
      </c>
      <c r="L491" s="5">
        <f>VLOOKUP(TrendSheetStgData[Population]&amp;TrendSheetStgData[Trend],Threshold[#All],5,FALSE)</f>
        <v>5</v>
      </c>
      <c r="M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 spans="1:13" x14ac:dyDescent="0.25">
      <c r="A492" t="s">
        <v>90</v>
      </c>
      <c r="B492" t="s">
        <v>90</v>
      </c>
      <c r="C492" t="s">
        <v>78</v>
      </c>
      <c r="D492" s="1" t="s">
        <v>107</v>
      </c>
      <c r="E492" t="s">
        <v>108</v>
      </c>
      <c r="F492" t="s">
        <v>17</v>
      </c>
      <c r="G492">
        <v>6</v>
      </c>
      <c r="H492">
        <v>10927.31</v>
      </c>
      <c r="I492" s="5">
        <f>VLOOKUP(TrendSheetStgData[Population]&amp;TrendSheetStgData[Cost Basis]&amp;TrendSheetStgData[Period]&amp;TrendSheetStgData[Trend],TrendSheetPrdData[#All],9,FALSE)</f>
        <v>10927.31</v>
      </c>
      <c r="J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 s="5">
        <f>VLOOKUP(TrendSheetStgData[Population]&amp;TrendSheetStgData[Trend],Threshold[#All],4,FALSE)</f>
        <v>10</v>
      </c>
      <c r="L492" s="5">
        <f>VLOOKUP(TrendSheetStgData[Population]&amp;TrendSheetStgData[Trend],Threshold[#All],5,FALSE)</f>
        <v>5</v>
      </c>
      <c r="M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 spans="1:13" x14ac:dyDescent="0.25">
      <c r="A493" t="s">
        <v>90</v>
      </c>
      <c r="B493" t="s">
        <v>90</v>
      </c>
      <c r="C493" t="s">
        <v>78</v>
      </c>
      <c r="D493" s="1" t="s">
        <v>109</v>
      </c>
      <c r="E493" t="s">
        <v>108</v>
      </c>
      <c r="F493" t="s">
        <v>17</v>
      </c>
      <c r="G493">
        <v>6</v>
      </c>
      <c r="H493">
        <v>0</v>
      </c>
      <c r="I493" s="5">
        <f>VLOOKUP(TrendSheetStgData[Population]&amp;TrendSheetStgData[Cost Basis]&amp;TrendSheetStgData[Period]&amp;TrendSheetStgData[Trend],TrendSheetPrdData[#All],9,FALSE)</f>
        <v>0</v>
      </c>
      <c r="J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 s="5">
        <f>VLOOKUP(TrendSheetStgData[Population]&amp;TrendSheetStgData[Trend],Threshold[#All],4,FALSE)</f>
        <v>10</v>
      </c>
      <c r="L493" s="5">
        <f>VLOOKUP(TrendSheetStgData[Population]&amp;TrendSheetStgData[Trend],Threshold[#All],5,FALSE)</f>
        <v>5</v>
      </c>
      <c r="M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 spans="1:13" x14ac:dyDescent="0.25">
      <c r="A494" t="s">
        <v>90</v>
      </c>
      <c r="B494" t="s">
        <v>90</v>
      </c>
      <c r="C494" t="s">
        <v>78</v>
      </c>
      <c r="D494" s="1" t="s">
        <v>110</v>
      </c>
      <c r="E494" t="s">
        <v>108</v>
      </c>
      <c r="F494" t="s">
        <v>17</v>
      </c>
      <c r="G494">
        <v>6</v>
      </c>
      <c r="H494">
        <v>9039.8799999999992</v>
      </c>
      <c r="I494" s="5">
        <f>VLOOKUP(TrendSheetStgData[Population]&amp;TrendSheetStgData[Cost Basis]&amp;TrendSheetStgData[Period]&amp;TrendSheetStgData[Trend],TrendSheetPrdData[#All],9,FALSE)</f>
        <v>9039.8799999999992</v>
      </c>
      <c r="J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 s="5">
        <f>VLOOKUP(TrendSheetStgData[Population]&amp;TrendSheetStgData[Trend],Threshold[#All],4,FALSE)</f>
        <v>10</v>
      </c>
      <c r="L494" s="5">
        <f>VLOOKUP(TrendSheetStgData[Population]&amp;TrendSheetStgData[Trend],Threshold[#All],5,FALSE)</f>
        <v>5</v>
      </c>
      <c r="M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 spans="1:13" x14ac:dyDescent="0.25">
      <c r="A495" t="s">
        <v>90</v>
      </c>
      <c r="B495" t="s">
        <v>90</v>
      </c>
      <c r="C495" t="s">
        <v>78</v>
      </c>
      <c r="D495" s="1" t="s">
        <v>92</v>
      </c>
      <c r="E495" t="s">
        <v>93</v>
      </c>
      <c r="F495" t="s">
        <v>18</v>
      </c>
      <c r="G495">
        <v>7</v>
      </c>
      <c r="H495">
        <v>1</v>
      </c>
      <c r="I495" s="5">
        <f>VLOOKUP(TrendSheetStgData[Population]&amp;TrendSheetStgData[Cost Basis]&amp;TrendSheetStgData[Period]&amp;TrendSheetStgData[Trend],TrendSheetPrdData[#All],9,FALSE)</f>
        <v>1</v>
      </c>
      <c r="J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 s="5">
        <f>VLOOKUP(TrendSheetStgData[Population]&amp;TrendSheetStgData[Trend],Threshold[#All],4,FALSE)</f>
        <v>10</v>
      </c>
      <c r="L495" s="5">
        <f>VLOOKUP(TrendSheetStgData[Population]&amp;TrendSheetStgData[Trend],Threshold[#All],5,FALSE)</f>
        <v>5</v>
      </c>
      <c r="M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 spans="1:13" x14ac:dyDescent="0.25">
      <c r="A496" t="s">
        <v>90</v>
      </c>
      <c r="B496" t="s">
        <v>90</v>
      </c>
      <c r="C496" t="s">
        <v>78</v>
      </c>
      <c r="D496" s="1" t="s">
        <v>94</v>
      </c>
      <c r="E496" t="s">
        <v>93</v>
      </c>
      <c r="F496" t="s">
        <v>18</v>
      </c>
      <c r="G496">
        <v>7</v>
      </c>
      <c r="H496">
        <v>1</v>
      </c>
      <c r="I496" s="5">
        <f>VLOOKUP(TrendSheetStgData[Population]&amp;TrendSheetStgData[Cost Basis]&amp;TrendSheetStgData[Period]&amp;TrendSheetStgData[Trend],TrendSheetPrdData[#All],9,FALSE)</f>
        <v>1</v>
      </c>
      <c r="J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 s="5">
        <f>VLOOKUP(TrendSheetStgData[Population]&amp;TrendSheetStgData[Trend],Threshold[#All],4,FALSE)</f>
        <v>10</v>
      </c>
      <c r="L496" s="5">
        <f>VLOOKUP(TrendSheetStgData[Population]&amp;TrendSheetStgData[Trend],Threshold[#All],5,FALSE)</f>
        <v>5</v>
      </c>
      <c r="M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 spans="1:13" x14ac:dyDescent="0.25">
      <c r="A497" t="s">
        <v>90</v>
      </c>
      <c r="B497" t="s">
        <v>90</v>
      </c>
      <c r="C497" t="s">
        <v>78</v>
      </c>
      <c r="D497" s="1" t="s">
        <v>95</v>
      </c>
      <c r="E497" t="s">
        <v>93</v>
      </c>
      <c r="F497" t="s">
        <v>18</v>
      </c>
      <c r="G497">
        <v>7</v>
      </c>
      <c r="H497">
        <v>0</v>
      </c>
      <c r="I497" s="5">
        <f>VLOOKUP(TrendSheetStgData[Population]&amp;TrendSheetStgData[Cost Basis]&amp;TrendSheetStgData[Period]&amp;TrendSheetStgData[Trend],TrendSheetPrdData[#All],9,FALSE)</f>
        <v>0</v>
      </c>
      <c r="J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 s="5">
        <f>VLOOKUP(TrendSheetStgData[Population]&amp;TrendSheetStgData[Trend],Threshold[#All],4,FALSE)</f>
        <v>10</v>
      </c>
      <c r="L497" s="5">
        <f>VLOOKUP(TrendSheetStgData[Population]&amp;TrendSheetStgData[Trend],Threshold[#All],5,FALSE)</f>
        <v>5</v>
      </c>
      <c r="M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 spans="1:13" x14ac:dyDescent="0.25">
      <c r="A498" t="s">
        <v>90</v>
      </c>
      <c r="B498" t="s">
        <v>90</v>
      </c>
      <c r="C498" t="s">
        <v>78</v>
      </c>
      <c r="D498" s="1" t="s">
        <v>96</v>
      </c>
      <c r="E498" t="s">
        <v>93</v>
      </c>
      <c r="F498" t="s">
        <v>18</v>
      </c>
      <c r="G498">
        <v>7</v>
      </c>
      <c r="H498">
        <v>3</v>
      </c>
      <c r="I498" s="5">
        <f>VLOOKUP(TrendSheetStgData[Population]&amp;TrendSheetStgData[Cost Basis]&amp;TrendSheetStgData[Period]&amp;TrendSheetStgData[Trend],TrendSheetPrdData[#All],9,FALSE)</f>
        <v>3</v>
      </c>
      <c r="J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 s="5">
        <f>VLOOKUP(TrendSheetStgData[Population]&amp;TrendSheetStgData[Trend],Threshold[#All],4,FALSE)</f>
        <v>10</v>
      </c>
      <c r="L498" s="5">
        <f>VLOOKUP(TrendSheetStgData[Population]&amp;TrendSheetStgData[Trend],Threshold[#All],5,FALSE)</f>
        <v>5</v>
      </c>
      <c r="M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 spans="1:13" x14ac:dyDescent="0.25">
      <c r="A499" t="s">
        <v>90</v>
      </c>
      <c r="B499" t="s">
        <v>90</v>
      </c>
      <c r="C499" t="s">
        <v>78</v>
      </c>
      <c r="D499" s="1" t="s">
        <v>97</v>
      </c>
      <c r="E499" t="s">
        <v>93</v>
      </c>
      <c r="F499" t="s">
        <v>18</v>
      </c>
      <c r="G499">
        <v>7</v>
      </c>
      <c r="H499">
        <v>0</v>
      </c>
      <c r="I499" s="5">
        <f>VLOOKUP(TrendSheetStgData[Population]&amp;TrendSheetStgData[Cost Basis]&amp;TrendSheetStgData[Period]&amp;TrendSheetStgData[Trend],TrendSheetPrdData[#All],9,FALSE)</f>
        <v>0</v>
      </c>
      <c r="J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 s="5">
        <f>VLOOKUP(TrendSheetStgData[Population]&amp;TrendSheetStgData[Trend],Threshold[#All],4,FALSE)</f>
        <v>10</v>
      </c>
      <c r="L499" s="5">
        <f>VLOOKUP(TrendSheetStgData[Population]&amp;TrendSheetStgData[Trend],Threshold[#All],5,FALSE)</f>
        <v>5</v>
      </c>
      <c r="M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 spans="1:13" x14ac:dyDescent="0.25">
      <c r="A500" t="s">
        <v>90</v>
      </c>
      <c r="B500" t="s">
        <v>90</v>
      </c>
      <c r="C500" t="s">
        <v>78</v>
      </c>
      <c r="D500" s="1" t="s">
        <v>98</v>
      </c>
      <c r="E500" t="s">
        <v>93</v>
      </c>
      <c r="F500" t="s">
        <v>18</v>
      </c>
      <c r="G500">
        <v>7</v>
      </c>
      <c r="H500">
        <v>1</v>
      </c>
      <c r="I500" s="5">
        <f>VLOOKUP(TrendSheetStgData[Population]&amp;TrendSheetStgData[Cost Basis]&amp;TrendSheetStgData[Period]&amp;TrendSheetStgData[Trend],TrendSheetPrdData[#All],9,FALSE)</f>
        <v>1</v>
      </c>
      <c r="J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 s="5">
        <f>VLOOKUP(TrendSheetStgData[Population]&amp;TrendSheetStgData[Trend],Threshold[#All],4,FALSE)</f>
        <v>10</v>
      </c>
      <c r="L500" s="5">
        <f>VLOOKUP(TrendSheetStgData[Population]&amp;TrendSheetStgData[Trend],Threshold[#All],5,FALSE)</f>
        <v>5</v>
      </c>
      <c r="M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 spans="1:13" x14ac:dyDescent="0.25">
      <c r="A501" t="s">
        <v>90</v>
      </c>
      <c r="B501" t="s">
        <v>90</v>
      </c>
      <c r="C501" t="s">
        <v>78</v>
      </c>
      <c r="D501" s="1" t="s">
        <v>99</v>
      </c>
      <c r="E501" t="s">
        <v>93</v>
      </c>
      <c r="F501" t="s">
        <v>18</v>
      </c>
      <c r="G501">
        <v>7</v>
      </c>
      <c r="H501">
        <v>0</v>
      </c>
      <c r="I501" s="5">
        <f>VLOOKUP(TrendSheetStgData[Population]&amp;TrendSheetStgData[Cost Basis]&amp;TrendSheetStgData[Period]&amp;TrendSheetStgData[Trend],TrendSheetPrdData[#All],9,FALSE)</f>
        <v>0</v>
      </c>
      <c r="J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 s="5">
        <f>VLOOKUP(TrendSheetStgData[Population]&amp;TrendSheetStgData[Trend],Threshold[#All],4,FALSE)</f>
        <v>10</v>
      </c>
      <c r="L501" s="5">
        <f>VLOOKUP(TrendSheetStgData[Population]&amp;TrendSheetStgData[Trend],Threshold[#All],5,FALSE)</f>
        <v>5</v>
      </c>
      <c r="M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 spans="1:13" x14ac:dyDescent="0.25">
      <c r="A502" t="s">
        <v>90</v>
      </c>
      <c r="B502" t="s">
        <v>90</v>
      </c>
      <c r="C502" t="s">
        <v>78</v>
      </c>
      <c r="D502" s="1" t="s">
        <v>100</v>
      </c>
      <c r="E502" t="s">
        <v>93</v>
      </c>
      <c r="F502" t="s">
        <v>18</v>
      </c>
      <c r="G502">
        <v>7</v>
      </c>
      <c r="H502">
        <v>0</v>
      </c>
      <c r="I502" s="5">
        <f>VLOOKUP(TrendSheetStgData[Population]&amp;TrendSheetStgData[Cost Basis]&amp;TrendSheetStgData[Period]&amp;TrendSheetStgData[Trend],TrendSheetPrdData[#All],9,FALSE)</f>
        <v>0</v>
      </c>
      <c r="J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 s="5">
        <f>VLOOKUP(TrendSheetStgData[Population]&amp;TrendSheetStgData[Trend],Threshold[#All],4,FALSE)</f>
        <v>10</v>
      </c>
      <c r="L502" s="5">
        <f>VLOOKUP(TrendSheetStgData[Population]&amp;TrendSheetStgData[Trend],Threshold[#All],5,FALSE)</f>
        <v>5</v>
      </c>
      <c r="M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 spans="1:13" x14ac:dyDescent="0.25">
      <c r="A503" t="s">
        <v>90</v>
      </c>
      <c r="B503" t="s">
        <v>90</v>
      </c>
      <c r="C503" t="s">
        <v>78</v>
      </c>
      <c r="D503" s="1" t="s">
        <v>101</v>
      </c>
      <c r="E503" t="s">
        <v>93</v>
      </c>
      <c r="F503" t="s">
        <v>18</v>
      </c>
      <c r="G503">
        <v>7</v>
      </c>
      <c r="H503">
        <v>3</v>
      </c>
      <c r="I503" s="5">
        <f>VLOOKUP(TrendSheetStgData[Population]&amp;TrendSheetStgData[Cost Basis]&amp;TrendSheetStgData[Period]&amp;TrendSheetStgData[Trend],TrendSheetPrdData[#All],9,FALSE)</f>
        <v>3</v>
      </c>
      <c r="J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 s="5">
        <f>VLOOKUP(TrendSheetStgData[Population]&amp;TrendSheetStgData[Trend],Threshold[#All],4,FALSE)</f>
        <v>10</v>
      </c>
      <c r="L503" s="5">
        <f>VLOOKUP(TrendSheetStgData[Population]&amp;TrendSheetStgData[Trend],Threshold[#All],5,FALSE)</f>
        <v>5</v>
      </c>
      <c r="M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 spans="1:13" x14ac:dyDescent="0.25">
      <c r="A504" t="s">
        <v>90</v>
      </c>
      <c r="B504" t="s">
        <v>90</v>
      </c>
      <c r="C504" t="s">
        <v>78</v>
      </c>
      <c r="D504" s="1" t="s">
        <v>102</v>
      </c>
      <c r="E504" t="s">
        <v>93</v>
      </c>
      <c r="F504" t="s">
        <v>18</v>
      </c>
      <c r="G504">
        <v>7</v>
      </c>
      <c r="H504">
        <v>1</v>
      </c>
      <c r="I504" s="5">
        <f>VLOOKUP(TrendSheetStgData[Population]&amp;TrendSheetStgData[Cost Basis]&amp;TrendSheetStgData[Period]&amp;TrendSheetStgData[Trend],TrendSheetPrdData[#All],9,FALSE)</f>
        <v>1</v>
      </c>
      <c r="J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 s="5">
        <f>VLOOKUP(TrendSheetStgData[Population]&amp;TrendSheetStgData[Trend],Threshold[#All],4,FALSE)</f>
        <v>10</v>
      </c>
      <c r="L504" s="5">
        <f>VLOOKUP(TrendSheetStgData[Population]&amp;TrendSheetStgData[Trend],Threshold[#All],5,FALSE)</f>
        <v>5</v>
      </c>
      <c r="M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 spans="1:13" x14ac:dyDescent="0.25">
      <c r="A505" t="s">
        <v>90</v>
      </c>
      <c r="B505" t="s">
        <v>90</v>
      </c>
      <c r="C505" t="s">
        <v>78</v>
      </c>
      <c r="D505" s="1" t="s">
        <v>103</v>
      </c>
      <c r="E505" t="s">
        <v>93</v>
      </c>
      <c r="F505" t="s">
        <v>18</v>
      </c>
      <c r="G505">
        <v>7</v>
      </c>
      <c r="H505">
        <v>0</v>
      </c>
      <c r="I505" s="5">
        <f>VLOOKUP(TrendSheetStgData[Population]&amp;TrendSheetStgData[Cost Basis]&amp;TrendSheetStgData[Period]&amp;TrendSheetStgData[Trend],TrendSheetPrdData[#All],9,FALSE)</f>
        <v>0</v>
      </c>
      <c r="J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 s="5">
        <f>VLOOKUP(TrendSheetStgData[Population]&amp;TrendSheetStgData[Trend],Threshold[#All],4,FALSE)</f>
        <v>10</v>
      </c>
      <c r="L505" s="5">
        <f>VLOOKUP(TrendSheetStgData[Population]&amp;TrendSheetStgData[Trend],Threshold[#All],5,FALSE)</f>
        <v>5</v>
      </c>
      <c r="M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 spans="1:13" x14ac:dyDescent="0.25">
      <c r="A506" t="s">
        <v>90</v>
      </c>
      <c r="B506" t="s">
        <v>90</v>
      </c>
      <c r="C506" t="s">
        <v>78</v>
      </c>
      <c r="D506" s="1" t="s">
        <v>104</v>
      </c>
      <c r="E506" t="s">
        <v>93</v>
      </c>
      <c r="F506" t="s">
        <v>18</v>
      </c>
      <c r="G506">
        <v>7</v>
      </c>
      <c r="H506">
        <v>1</v>
      </c>
      <c r="I506" s="5">
        <f>VLOOKUP(TrendSheetStgData[Population]&amp;TrendSheetStgData[Cost Basis]&amp;TrendSheetStgData[Period]&amp;TrendSheetStgData[Trend],TrendSheetPrdData[#All],9,FALSE)</f>
        <v>1</v>
      </c>
      <c r="J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 s="5">
        <f>VLOOKUP(TrendSheetStgData[Population]&amp;TrendSheetStgData[Trend],Threshold[#All],4,FALSE)</f>
        <v>10</v>
      </c>
      <c r="L506" s="5">
        <f>VLOOKUP(TrendSheetStgData[Population]&amp;TrendSheetStgData[Trend],Threshold[#All],5,FALSE)</f>
        <v>5</v>
      </c>
      <c r="M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 spans="1:13" x14ac:dyDescent="0.25">
      <c r="A507" t="s">
        <v>90</v>
      </c>
      <c r="B507" t="s">
        <v>90</v>
      </c>
      <c r="C507" t="s">
        <v>78</v>
      </c>
      <c r="D507" s="1" t="s">
        <v>105</v>
      </c>
      <c r="E507" t="s">
        <v>93</v>
      </c>
      <c r="F507" t="s">
        <v>18</v>
      </c>
      <c r="G507">
        <v>7</v>
      </c>
      <c r="H507">
        <v>1</v>
      </c>
      <c r="I507" s="5">
        <f>VLOOKUP(TrendSheetStgData[Population]&amp;TrendSheetStgData[Cost Basis]&amp;TrendSheetStgData[Period]&amp;TrendSheetStgData[Trend],TrendSheetPrdData[#All],9,FALSE)</f>
        <v>1</v>
      </c>
      <c r="J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 s="5">
        <f>VLOOKUP(TrendSheetStgData[Population]&amp;TrendSheetStgData[Trend],Threshold[#All],4,FALSE)</f>
        <v>10</v>
      </c>
      <c r="L507" s="5">
        <f>VLOOKUP(TrendSheetStgData[Population]&amp;TrendSheetStgData[Trend],Threshold[#All],5,FALSE)</f>
        <v>5</v>
      </c>
      <c r="M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 spans="1:13" x14ac:dyDescent="0.25">
      <c r="A508" t="s">
        <v>90</v>
      </c>
      <c r="B508" t="s">
        <v>90</v>
      </c>
      <c r="C508" t="s">
        <v>78</v>
      </c>
      <c r="D508" s="1" t="s">
        <v>106</v>
      </c>
      <c r="E508" t="s">
        <v>93</v>
      </c>
      <c r="F508" t="s">
        <v>18</v>
      </c>
      <c r="G508">
        <v>7</v>
      </c>
      <c r="H508">
        <v>0</v>
      </c>
      <c r="I508" s="5">
        <f>VLOOKUP(TrendSheetStgData[Population]&amp;TrendSheetStgData[Cost Basis]&amp;TrendSheetStgData[Period]&amp;TrendSheetStgData[Trend],TrendSheetPrdData[#All],9,FALSE)</f>
        <v>0</v>
      </c>
      <c r="J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 s="5">
        <f>VLOOKUP(TrendSheetStgData[Population]&amp;TrendSheetStgData[Trend],Threshold[#All],4,FALSE)</f>
        <v>10</v>
      </c>
      <c r="L508" s="5">
        <f>VLOOKUP(TrendSheetStgData[Population]&amp;TrendSheetStgData[Trend],Threshold[#All],5,FALSE)</f>
        <v>5</v>
      </c>
      <c r="M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 spans="1:13" x14ac:dyDescent="0.25">
      <c r="A509" t="s">
        <v>90</v>
      </c>
      <c r="B509" t="s">
        <v>90</v>
      </c>
      <c r="C509" t="s">
        <v>78</v>
      </c>
      <c r="D509" s="1" t="s">
        <v>107</v>
      </c>
      <c r="E509" t="s">
        <v>108</v>
      </c>
      <c r="F509" t="s">
        <v>18</v>
      </c>
      <c r="G509">
        <v>7</v>
      </c>
      <c r="H509">
        <v>1</v>
      </c>
      <c r="I509" s="5">
        <f>VLOOKUP(TrendSheetStgData[Population]&amp;TrendSheetStgData[Cost Basis]&amp;TrendSheetStgData[Period]&amp;TrendSheetStgData[Trend],TrendSheetPrdData[#All],9,FALSE)</f>
        <v>1</v>
      </c>
      <c r="J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 s="5">
        <f>VLOOKUP(TrendSheetStgData[Population]&amp;TrendSheetStgData[Trend],Threshold[#All],4,FALSE)</f>
        <v>10</v>
      </c>
      <c r="L509" s="5">
        <f>VLOOKUP(TrendSheetStgData[Population]&amp;TrendSheetStgData[Trend],Threshold[#All],5,FALSE)</f>
        <v>5</v>
      </c>
      <c r="M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 spans="1:13" x14ac:dyDescent="0.25">
      <c r="A510" t="s">
        <v>90</v>
      </c>
      <c r="B510" t="s">
        <v>90</v>
      </c>
      <c r="C510" t="s">
        <v>78</v>
      </c>
      <c r="D510" s="1" t="s">
        <v>109</v>
      </c>
      <c r="E510" t="s">
        <v>108</v>
      </c>
      <c r="F510" t="s">
        <v>18</v>
      </c>
      <c r="G510">
        <v>7</v>
      </c>
      <c r="H510">
        <v>0</v>
      </c>
      <c r="I510" s="5">
        <f>VLOOKUP(TrendSheetStgData[Population]&amp;TrendSheetStgData[Cost Basis]&amp;TrendSheetStgData[Period]&amp;TrendSheetStgData[Trend],TrendSheetPrdData[#All],9,FALSE)</f>
        <v>0</v>
      </c>
      <c r="J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 s="5">
        <f>VLOOKUP(TrendSheetStgData[Population]&amp;TrendSheetStgData[Trend],Threshold[#All],4,FALSE)</f>
        <v>10</v>
      </c>
      <c r="L510" s="5">
        <f>VLOOKUP(TrendSheetStgData[Population]&amp;TrendSheetStgData[Trend],Threshold[#All],5,FALSE)</f>
        <v>5</v>
      </c>
      <c r="M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 spans="1:13" x14ac:dyDescent="0.25">
      <c r="A511" t="s">
        <v>90</v>
      </c>
      <c r="B511" t="s">
        <v>90</v>
      </c>
      <c r="C511" t="s">
        <v>78</v>
      </c>
      <c r="D511" s="1" t="s">
        <v>110</v>
      </c>
      <c r="E511" t="s">
        <v>108</v>
      </c>
      <c r="F511" t="s">
        <v>18</v>
      </c>
      <c r="G511">
        <v>7</v>
      </c>
      <c r="H511">
        <v>1</v>
      </c>
      <c r="I511" s="5">
        <f>VLOOKUP(TrendSheetStgData[Population]&amp;TrendSheetStgData[Cost Basis]&amp;TrendSheetStgData[Period]&amp;TrendSheetStgData[Trend],TrendSheetPrdData[#All],9,FALSE)</f>
        <v>1</v>
      </c>
      <c r="J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 s="5">
        <f>VLOOKUP(TrendSheetStgData[Population]&amp;TrendSheetStgData[Trend],Threshold[#All],4,FALSE)</f>
        <v>10</v>
      </c>
      <c r="L511" s="5">
        <f>VLOOKUP(TrendSheetStgData[Population]&amp;TrendSheetStgData[Trend],Threshold[#All],5,FALSE)</f>
        <v>5</v>
      </c>
      <c r="M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 spans="1:13" x14ac:dyDescent="0.25">
      <c r="A512" t="s">
        <v>90</v>
      </c>
      <c r="B512" t="s">
        <v>90</v>
      </c>
      <c r="C512" t="s">
        <v>78</v>
      </c>
      <c r="D512" s="1" t="s">
        <v>92</v>
      </c>
      <c r="E512" t="s">
        <v>93</v>
      </c>
      <c r="F512" t="s">
        <v>19</v>
      </c>
      <c r="G512">
        <v>8</v>
      </c>
      <c r="H512">
        <v>19415.509999999998</v>
      </c>
      <c r="I512" s="5">
        <f>VLOOKUP(TrendSheetStgData[Population]&amp;TrendSheetStgData[Cost Basis]&amp;TrendSheetStgData[Period]&amp;TrendSheetStgData[Trend],TrendSheetPrdData[#All],9,FALSE)</f>
        <v>19415.509999999998</v>
      </c>
      <c r="J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 s="5">
        <f>VLOOKUP(TrendSheetStgData[Population]&amp;TrendSheetStgData[Trend],Threshold[#All],4,FALSE)</f>
        <v>10</v>
      </c>
      <c r="L512" s="5">
        <f>VLOOKUP(TrendSheetStgData[Population]&amp;TrendSheetStgData[Trend],Threshold[#All],5,FALSE)</f>
        <v>5</v>
      </c>
      <c r="M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 spans="1:13" x14ac:dyDescent="0.25">
      <c r="A513" t="s">
        <v>90</v>
      </c>
      <c r="B513" t="s">
        <v>90</v>
      </c>
      <c r="C513" t="s">
        <v>78</v>
      </c>
      <c r="D513" s="1" t="s">
        <v>94</v>
      </c>
      <c r="E513" t="s">
        <v>93</v>
      </c>
      <c r="F513" t="s">
        <v>19</v>
      </c>
      <c r="G513">
        <v>8</v>
      </c>
      <c r="H513">
        <v>26087.14</v>
      </c>
      <c r="I513" s="5">
        <f>VLOOKUP(TrendSheetStgData[Population]&amp;TrendSheetStgData[Cost Basis]&amp;TrendSheetStgData[Period]&amp;TrendSheetStgData[Trend],TrendSheetPrdData[#All],9,FALSE)</f>
        <v>26087.14</v>
      </c>
      <c r="J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 s="5">
        <f>VLOOKUP(TrendSheetStgData[Population]&amp;TrendSheetStgData[Trend],Threshold[#All],4,FALSE)</f>
        <v>10</v>
      </c>
      <c r="L513" s="5">
        <f>VLOOKUP(TrendSheetStgData[Population]&amp;TrendSheetStgData[Trend],Threshold[#All],5,FALSE)</f>
        <v>5</v>
      </c>
      <c r="M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4" spans="1:13" x14ac:dyDescent="0.25">
      <c r="A514" t="s">
        <v>90</v>
      </c>
      <c r="B514" t="s">
        <v>90</v>
      </c>
      <c r="C514" t="s">
        <v>78</v>
      </c>
      <c r="D514" s="1" t="s">
        <v>95</v>
      </c>
      <c r="E514" t="s">
        <v>93</v>
      </c>
      <c r="F514" t="s">
        <v>19</v>
      </c>
      <c r="G514">
        <v>8</v>
      </c>
      <c r="H514">
        <v>42231.95</v>
      </c>
      <c r="I514" s="5">
        <f>VLOOKUP(TrendSheetStgData[Population]&amp;TrendSheetStgData[Cost Basis]&amp;TrendSheetStgData[Period]&amp;TrendSheetStgData[Trend],TrendSheetPrdData[#All],9,FALSE)</f>
        <v>42231.95</v>
      </c>
      <c r="J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 s="5">
        <f>VLOOKUP(TrendSheetStgData[Population]&amp;TrendSheetStgData[Trend],Threshold[#All],4,FALSE)</f>
        <v>10</v>
      </c>
      <c r="L514" s="5">
        <f>VLOOKUP(TrendSheetStgData[Population]&amp;TrendSheetStgData[Trend],Threshold[#All],5,FALSE)</f>
        <v>5</v>
      </c>
      <c r="M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 spans="1:13" x14ac:dyDescent="0.25">
      <c r="A515" t="s">
        <v>90</v>
      </c>
      <c r="B515" t="s">
        <v>90</v>
      </c>
      <c r="C515" t="s">
        <v>78</v>
      </c>
      <c r="D515" s="1" t="s">
        <v>96</v>
      </c>
      <c r="E515" t="s">
        <v>93</v>
      </c>
      <c r="F515" t="s">
        <v>19</v>
      </c>
      <c r="G515">
        <v>8</v>
      </c>
      <c r="H515">
        <v>38042.269999999997</v>
      </c>
      <c r="I515" s="5">
        <f>VLOOKUP(TrendSheetStgData[Population]&amp;TrendSheetStgData[Cost Basis]&amp;TrendSheetStgData[Period]&amp;TrendSheetStgData[Trend],TrendSheetPrdData[#All],9,FALSE)</f>
        <v>38042.269999999997</v>
      </c>
      <c r="J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 s="5">
        <f>VLOOKUP(TrendSheetStgData[Population]&amp;TrendSheetStgData[Trend],Threshold[#All],4,FALSE)</f>
        <v>10</v>
      </c>
      <c r="L515" s="5">
        <f>VLOOKUP(TrendSheetStgData[Population]&amp;TrendSheetStgData[Trend],Threshold[#All],5,FALSE)</f>
        <v>5</v>
      </c>
      <c r="M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 spans="1:13" x14ac:dyDescent="0.25">
      <c r="A516" t="s">
        <v>90</v>
      </c>
      <c r="B516" t="s">
        <v>90</v>
      </c>
      <c r="C516" t="s">
        <v>78</v>
      </c>
      <c r="D516" s="1" t="s">
        <v>97</v>
      </c>
      <c r="E516" t="s">
        <v>93</v>
      </c>
      <c r="F516" t="s">
        <v>19</v>
      </c>
      <c r="G516">
        <v>8</v>
      </c>
      <c r="H516">
        <v>34888.71</v>
      </c>
      <c r="I516" s="5">
        <f>VLOOKUP(TrendSheetStgData[Population]&amp;TrendSheetStgData[Cost Basis]&amp;TrendSheetStgData[Period]&amp;TrendSheetStgData[Trend],TrendSheetPrdData[#All],9,FALSE)</f>
        <v>34888.71</v>
      </c>
      <c r="J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 s="5">
        <f>VLOOKUP(TrendSheetStgData[Population]&amp;TrendSheetStgData[Trend],Threshold[#All],4,FALSE)</f>
        <v>10</v>
      </c>
      <c r="L516" s="5">
        <f>VLOOKUP(TrendSheetStgData[Population]&amp;TrendSheetStgData[Trend],Threshold[#All],5,FALSE)</f>
        <v>5</v>
      </c>
      <c r="M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7" spans="1:13" x14ac:dyDescent="0.25">
      <c r="A517" t="s">
        <v>90</v>
      </c>
      <c r="B517" t="s">
        <v>90</v>
      </c>
      <c r="C517" t="s">
        <v>78</v>
      </c>
      <c r="D517" s="1" t="s">
        <v>98</v>
      </c>
      <c r="E517" t="s">
        <v>93</v>
      </c>
      <c r="F517" t="s">
        <v>19</v>
      </c>
      <c r="G517">
        <v>8</v>
      </c>
      <c r="H517">
        <v>38225.019999999997</v>
      </c>
      <c r="I517" s="5">
        <f>VLOOKUP(TrendSheetStgData[Population]&amp;TrendSheetStgData[Cost Basis]&amp;TrendSheetStgData[Period]&amp;TrendSheetStgData[Trend],TrendSheetPrdData[#All],9,FALSE)</f>
        <v>38225.019999999997</v>
      </c>
      <c r="J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7" s="5">
        <f>VLOOKUP(TrendSheetStgData[Population]&amp;TrendSheetStgData[Trend],Threshold[#All],4,FALSE)</f>
        <v>10</v>
      </c>
      <c r="L517" s="5">
        <f>VLOOKUP(TrendSheetStgData[Population]&amp;TrendSheetStgData[Trend],Threshold[#All],5,FALSE)</f>
        <v>5</v>
      </c>
      <c r="M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8" spans="1:13" x14ac:dyDescent="0.25">
      <c r="A518" t="s">
        <v>90</v>
      </c>
      <c r="B518" t="s">
        <v>90</v>
      </c>
      <c r="C518" t="s">
        <v>78</v>
      </c>
      <c r="D518" s="1" t="s">
        <v>99</v>
      </c>
      <c r="E518" t="s">
        <v>93</v>
      </c>
      <c r="F518" t="s">
        <v>19</v>
      </c>
      <c r="G518">
        <v>8</v>
      </c>
      <c r="H518">
        <v>31438.02</v>
      </c>
      <c r="I518" s="5">
        <f>VLOOKUP(TrendSheetStgData[Population]&amp;TrendSheetStgData[Cost Basis]&amp;TrendSheetStgData[Period]&amp;TrendSheetStgData[Trend],TrendSheetPrdData[#All],9,FALSE)</f>
        <v>31438.02</v>
      </c>
      <c r="J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8" s="5">
        <f>VLOOKUP(TrendSheetStgData[Population]&amp;TrendSheetStgData[Trend],Threshold[#All],4,FALSE)</f>
        <v>10</v>
      </c>
      <c r="L518" s="5">
        <f>VLOOKUP(TrendSheetStgData[Population]&amp;TrendSheetStgData[Trend],Threshold[#All],5,FALSE)</f>
        <v>5</v>
      </c>
      <c r="M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9" spans="1:13" x14ac:dyDescent="0.25">
      <c r="A519" t="s">
        <v>90</v>
      </c>
      <c r="B519" t="s">
        <v>90</v>
      </c>
      <c r="C519" t="s">
        <v>78</v>
      </c>
      <c r="D519" s="1" t="s">
        <v>100</v>
      </c>
      <c r="E519" t="s">
        <v>93</v>
      </c>
      <c r="F519" t="s">
        <v>19</v>
      </c>
      <c r="G519">
        <v>8</v>
      </c>
      <c r="H519">
        <v>44517.84</v>
      </c>
      <c r="I519" s="5">
        <f>VLOOKUP(TrendSheetStgData[Population]&amp;TrendSheetStgData[Cost Basis]&amp;TrendSheetStgData[Period]&amp;TrendSheetStgData[Trend],TrendSheetPrdData[#All],9,FALSE)</f>
        <v>44517.84</v>
      </c>
      <c r="J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9" s="5">
        <f>VLOOKUP(TrendSheetStgData[Population]&amp;TrendSheetStgData[Trend],Threshold[#All],4,FALSE)</f>
        <v>10</v>
      </c>
      <c r="L519" s="5">
        <f>VLOOKUP(TrendSheetStgData[Population]&amp;TrendSheetStgData[Trend],Threshold[#All],5,FALSE)</f>
        <v>5</v>
      </c>
      <c r="M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0" spans="1:13" x14ac:dyDescent="0.25">
      <c r="A520" t="s">
        <v>90</v>
      </c>
      <c r="B520" t="s">
        <v>90</v>
      </c>
      <c r="C520" t="s">
        <v>78</v>
      </c>
      <c r="D520" s="1" t="s">
        <v>101</v>
      </c>
      <c r="E520" t="s">
        <v>93</v>
      </c>
      <c r="F520" t="s">
        <v>19</v>
      </c>
      <c r="G520">
        <v>8</v>
      </c>
      <c r="H520">
        <v>38412.1</v>
      </c>
      <c r="I520" s="5">
        <f>VLOOKUP(TrendSheetStgData[Population]&amp;TrendSheetStgData[Cost Basis]&amp;TrendSheetStgData[Period]&amp;TrendSheetStgData[Trend],TrendSheetPrdData[#All],9,FALSE)</f>
        <v>38412.1</v>
      </c>
      <c r="J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0" s="5">
        <f>VLOOKUP(TrendSheetStgData[Population]&amp;TrendSheetStgData[Trend],Threshold[#All],4,FALSE)</f>
        <v>10</v>
      </c>
      <c r="L520" s="5">
        <f>VLOOKUP(TrendSheetStgData[Population]&amp;TrendSheetStgData[Trend],Threshold[#All],5,FALSE)</f>
        <v>5</v>
      </c>
      <c r="M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 spans="1:13" x14ac:dyDescent="0.25">
      <c r="A521" t="s">
        <v>90</v>
      </c>
      <c r="B521" t="s">
        <v>90</v>
      </c>
      <c r="C521" t="s">
        <v>78</v>
      </c>
      <c r="D521" s="1" t="s">
        <v>102</v>
      </c>
      <c r="E521" t="s">
        <v>93</v>
      </c>
      <c r="F521" t="s">
        <v>19</v>
      </c>
      <c r="G521">
        <v>8</v>
      </c>
      <c r="H521">
        <v>30592.91</v>
      </c>
      <c r="I521" s="5">
        <f>VLOOKUP(TrendSheetStgData[Population]&amp;TrendSheetStgData[Cost Basis]&amp;TrendSheetStgData[Period]&amp;TrendSheetStgData[Trend],TrendSheetPrdData[#All],9,FALSE)</f>
        <v>30592.91</v>
      </c>
      <c r="J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 s="5">
        <f>VLOOKUP(TrendSheetStgData[Population]&amp;TrendSheetStgData[Trend],Threshold[#All],4,FALSE)</f>
        <v>10</v>
      </c>
      <c r="L521" s="5">
        <f>VLOOKUP(TrendSheetStgData[Population]&amp;TrendSheetStgData[Trend],Threshold[#All],5,FALSE)</f>
        <v>5</v>
      </c>
      <c r="M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 spans="1:13" x14ac:dyDescent="0.25">
      <c r="A522" t="s">
        <v>90</v>
      </c>
      <c r="B522" t="s">
        <v>90</v>
      </c>
      <c r="C522" t="s">
        <v>78</v>
      </c>
      <c r="D522" s="1" t="s">
        <v>103</v>
      </c>
      <c r="E522" t="s">
        <v>93</v>
      </c>
      <c r="F522" t="s">
        <v>19</v>
      </c>
      <c r="G522">
        <v>8</v>
      </c>
      <c r="H522">
        <v>30043.759999999998</v>
      </c>
      <c r="I522" s="5">
        <f>VLOOKUP(TrendSheetStgData[Population]&amp;TrendSheetStgData[Cost Basis]&amp;TrendSheetStgData[Period]&amp;TrendSheetStgData[Trend],TrendSheetPrdData[#All],9,FALSE)</f>
        <v>30043.759999999998</v>
      </c>
      <c r="J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 s="5">
        <f>VLOOKUP(TrendSheetStgData[Population]&amp;TrendSheetStgData[Trend],Threshold[#All],4,FALSE)</f>
        <v>10</v>
      </c>
      <c r="L522" s="5">
        <f>VLOOKUP(TrendSheetStgData[Population]&amp;TrendSheetStgData[Trend],Threshold[#All],5,FALSE)</f>
        <v>5</v>
      </c>
      <c r="M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 spans="1:13" x14ac:dyDescent="0.25">
      <c r="A523" t="s">
        <v>90</v>
      </c>
      <c r="B523" t="s">
        <v>90</v>
      </c>
      <c r="C523" t="s">
        <v>78</v>
      </c>
      <c r="D523" s="1" t="s">
        <v>104</v>
      </c>
      <c r="E523" t="s">
        <v>93</v>
      </c>
      <c r="F523" t="s">
        <v>19</v>
      </c>
      <c r="G523">
        <v>8</v>
      </c>
      <c r="H523">
        <v>38302.339999999997</v>
      </c>
      <c r="I523" s="5">
        <f>VLOOKUP(TrendSheetStgData[Population]&amp;TrendSheetStgData[Cost Basis]&amp;TrendSheetStgData[Period]&amp;TrendSheetStgData[Trend],TrendSheetPrdData[#All],9,FALSE)</f>
        <v>38302.339999999997</v>
      </c>
      <c r="J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 s="5">
        <f>VLOOKUP(TrendSheetStgData[Population]&amp;TrendSheetStgData[Trend],Threshold[#All],4,FALSE)</f>
        <v>10</v>
      </c>
      <c r="L523" s="5">
        <f>VLOOKUP(TrendSheetStgData[Population]&amp;TrendSheetStgData[Trend],Threshold[#All],5,FALSE)</f>
        <v>5</v>
      </c>
      <c r="M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4" spans="1:13" x14ac:dyDescent="0.25">
      <c r="A524" t="s">
        <v>90</v>
      </c>
      <c r="B524" t="s">
        <v>90</v>
      </c>
      <c r="C524" t="s">
        <v>78</v>
      </c>
      <c r="D524" s="1" t="s">
        <v>105</v>
      </c>
      <c r="E524" t="s">
        <v>93</v>
      </c>
      <c r="F524" t="s">
        <v>19</v>
      </c>
      <c r="G524">
        <v>8</v>
      </c>
      <c r="H524">
        <v>26309.14</v>
      </c>
      <c r="I524" s="5">
        <f>VLOOKUP(TrendSheetStgData[Population]&amp;TrendSheetStgData[Cost Basis]&amp;TrendSheetStgData[Period]&amp;TrendSheetStgData[Trend],TrendSheetPrdData[#All],9,FALSE)</f>
        <v>26309.14</v>
      </c>
      <c r="J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4" s="5">
        <f>VLOOKUP(TrendSheetStgData[Population]&amp;TrendSheetStgData[Trend],Threshold[#All],4,FALSE)</f>
        <v>10</v>
      </c>
      <c r="L524" s="5">
        <f>VLOOKUP(TrendSheetStgData[Population]&amp;TrendSheetStgData[Trend],Threshold[#All],5,FALSE)</f>
        <v>5</v>
      </c>
      <c r="M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5" spans="1:13" x14ac:dyDescent="0.25">
      <c r="A525" t="s">
        <v>90</v>
      </c>
      <c r="B525" t="s">
        <v>90</v>
      </c>
      <c r="C525" t="s">
        <v>78</v>
      </c>
      <c r="D525" s="1" t="s">
        <v>106</v>
      </c>
      <c r="E525" t="s">
        <v>93</v>
      </c>
      <c r="F525" t="s">
        <v>19</v>
      </c>
      <c r="G525">
        <v>8</v>
      </c>
      <c r="H525">
        <v>28688.63</v>
      </c>
      <c r="I525" s="5">
        <f>VLOOKUP(TrendSheetStgData[Population]&amp;TrendSheetStgData[Cost Basis]&amp;TrendSheetStgData[Period]&amp;TrendSheetStgData[Trend],TrendSheetPrdData[#All],9,FALSE)</f>
        <v>28688.63</v>
      </c>
      <c r="J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5" s="5">
        <f>VLOOKUP(TrendSheetStgData[Population]&amp;TrendSheetStgData[Trend],Threshold[#All],4,FALSE)</f>
        <v>10</v>
      </c>
      <c r="L525" s="5">
        <f>VLOOKUP(TrendSheetStgData[Population]&amp;TrendSheetStgData[Trend],Threshold[#All],5,FALSE)</f>
        <v>5</v>
      </c>
      <c r="M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6" spans="1:13" x14ac:dyDescent="0.25">
      <c r="A526" t="s">
        <v>90</v>
      </c>
      <c r="B526" t="s">
        <v>90</v>
      </c>
      <c r="C526" t="s">
        <v>78</v>
      </c>
      <c r="D526" s="1" t="s">
        <v>107</v>
      </c>
      <c r="E526" t="s">
        <v>108</v>
      </c>
      <c r="F526" t="s">
        <v>19</v>
      </c>
      <c r="G526">
        <v>8</v>
      </c>
      <c r="H526">
        <v>36813.69</v>
      </c>
      <c r="I526" s="5">
        <f>VLOOKUP(TrendSheetStgData[Population]&amp;TrendSheetStgData[Cost Basis]&amp;TrendSheetStgData[Period]&amp;TrendSheetStgData[Trend],TrendSheetPrdData[#All],9,FALSE)</f>
        <v>36813.69</v>
      </c>
      <c r="J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6" s="5">
        <f>VLOOKUP(TrendSheetStgData[Population]&amp;TrendSheetStgData[Trend],Threshold[#All],4,FALSE)</f>
        <v>10</v>
      </c>
      <c r="L526" s="5">
        <f>VLOOKUP(TrendSheetStgData[Population]&amp;TrendSheetStgData[Trend],Threshold[#All],5,FALSE)</f>
        <v>5</v>
      </c>
      <c r="M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 spans="1:13" x14ac:dyDescent="0.25">
      <c r="A527" t="s">
        <v>90</v>
      </c>
      <c r="B527" t="s">
        <v>90</v>
      </c>
      <c r="C527" t="s">
        <v>78</v>
      </c>
      <c r="D527" s="1" t="s">
        <v>109</v>
      </c>
      <c r="E527" t="s">
        <v>108</v>
      </c>
      <c r="F527" t="s">
        <v>19</v>
      </c>
      <c r="G527">
        <v>8</v>
      </c>
      <c r="H527">
        <v>27408.71</v>
      </c>
      <c r="I527" s="5">
        <f>VLOOKUP(TrendSheetStgData[Population]&amp;TrendSheetStgData[Cost Basis]&amp;TrendSheetStgData[Period]&amp;TrendSheetStgData[Trend],TrendSheetPrdData[#All],9,FALSE)</f>
        <v>27408.71</v>
      </c>
      <c r="J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7" s="5">
        <f>VLOOKUP(TrendSheetStgData[Population]&amp;TrendSheetStgData[Trend],Threshold[#All],4,FALSE)</f>
        <v>10</v>
      </c>
      <c r="L527" s="5">
        <f>VLOOKUP(TrendSheetStgData[Population]&amp;TrendSheetStgData[Trend],Threshold[#All],5,FALSE)</f>
        <v>5</v>
      </c>
      <c r="M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8" spans="1:13" x14ac:dyDescent="0.25">
      <c r="A528" t="s">
        <v>90</v>
      </c>
      <c r="B528" t="s">
        <v>90</v>
      </c>
      <c r="C528" t="s">
        <v>78</v>
      </c>
      <c r="D528" s="1" t="s">
        <v>110</v>
      </c>
      <c r="E528" t="s">
        <v>108</v>
      </c>
      <c r="F528" t="s">
        <v>19</v>
      </c>
      <c r="G528">
        <v>8</v>
      </c>
      <c r="H528">
        <v>16095.77</v>
      </c>
      <c r="I528" s="5">
        <f>VLOOKUP(TrendSheetStgData[Population]&amp;TrendSheetStgData[Cost Basis]&amp;TrendSheetStgData[Period]&amp;TrendSheetStgData[Trend],TrendSheetPrdData[#All],9,FALSE)</f>
        <v>16095.77</v>
      </c>
      <c r="J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8" s="5">
        <f>VLOOKUP(TrendSheetStgData[Population]&amp;TrendSheetStgData[Trend],Threshold[#All],4,FALSE)</f>
        <v>10</v>
      </c>
      <c r="L528" s="5">
        <f>VLOOKUP(TrendSheetStgData[Population]&amp;TrendSheetStgData[Trend],Threshold[#All],5,FALSE)</f>
        <v>5</v>
      </c>
      <c r="M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 spans="1:13" x14ac:dyDescent="0.25">
      <c r="A529" t="s">
        <v>90</v>
      </c>
      <c r="B529" t="s">
        <v>90</v>
      </c>
      <c r="C529" t="s">
        <v>78</v>
      </c>
      <c r="D529" s="1" t="s">
        <v>92</v>
      </c>
      <c r="E529" t="s">
        <v>93</v>
      </c>
      <c r="F529" t="s">
        <v>20</v>
      </c>
      <c r="G529">
        <v>9</v>
      </c>
      <c r="H529">
        <v>32</v>
      </c>
      <c r="I529" s="5">
        <f>VLOOKUP(TrendSheetStgData[Population]&amp;TrendSheetStgData[Cost Basis]&amp;TrendSheetStgData[Period]&amp;TrendSheetStgData[Trend],TrendSheetPrdData[#All],9,FALSE)</f>
        <v>32</v>
      </c>
      <c r="J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 s="5">
        <f>VLOOKUP(TrendSheetStgData[Population]&amp;TrendSheetStgData[Trend],Threshold[#All],4,FALSE)</f>
        <v>10</v>
      </c>
      <c r="L529" s="5">
        <f>VLOOKUP(TrendSheetStgData[Population]&amp;TrendSheetStgData[Trend],Threshold[#All],5,FALSE)</f>
        <v>5</v>
      </c>
      <c r="M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 spans="1:13" x14ac:dyDescent="0.25">
      <c r="A530" t="s">
        <v>90</v>
      </c>
      <c r="B530" t="s">
        <v>90</v>
      </c>
      <c r="C530" t="s">
        <v>78</v>
      </c>
      <c r="D530" s="1" t="s">
        <v>94</v>
      </c>
      <c r="E530" t="s">
        <v>93</v>
      </c>
      <c r="F530" t="s">
        <v>20</v>
      </c>
      <c r="G530">
        <v>9</v>
      </c>
      <c r="H530">
        <v>45</v>
      </c>
      <c r="I530" s="5">
        <f>VLOOKUP(TrendSheetStgData[Population]&amp;TrendSheetStgData[Cost Basis]&amp;TrendSheetStgData[Period]&amp;TrendSheetStgData[Trend],TrendSheetPrdData[#All],9,FALSE)</f>
        <v>45</v>
      </c>
      <c r="J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 s="5">
        <f>VLOOKUP(TrendSheetStgData[Population]&amp;TrendSheetStgData[Trend],Threshold[#All],4,FALSE)</f>
        <v>10</v>
      </c>
      <c r="L530" s="5">
        <f>VLOOKUP(TrendSheetStgData[Population]&amp;TrendSheetStgData[Trend],Threshold[#All],5,FALSE)</f>
        <v>5</v>
      </c>
      <c r="M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1" spans="1:13" x14ac:dyDescent="0.25">
      <c r="A531" t="s">
        <v>90</v>
      </c>
      <c r="B531" t="s">
        <v>90</v>
      </c>
      <c r="C531" t="s">
        <v>78</v>
      </c>
      <c r="D531" s="1" t="s">
        <v>95</v>
      </c>
      <c r="E531" t="s">
        <v>93</v>
      </c>
      <c r="F531" t="s">
        <v>20</v>
      </c>
      <c r="G531">
        <v>9</v>
      </c>
      <c r="H531">
        <v>72</v>
      </c>
      <c r="I531" s="5">
        <f>VLOOKUP(TrendSheetStgData[Population]&amp;TrendSheetStgData[Cost Basis]&amp;TrendSheetStgData[Period]&amp;TrendSheetStgData[Trend],TrendSheetPrdData[#All],9,FALSE)</f>
        <v>72</v>
      </c>
      <c r="J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1" s="5">
        <f>VLOOKUP(TrendSheetStgData[Population]&amp;TrendSheetStgData[Trend],Threshold[#All],4,FALSE)</f>
        <v>10</v>
      </c>
      <c r="L531" s="5">
        <f>VLOOKUP(TrendSheetStgData[Population]&amp;TrendSheetStgData[Trend],Threshold[#All],5,FALSE)</f>
        <v>5</v>
      </c>
      <c r="M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2" spans="1:13" x14ac:dyDescent="0.25">
      <c r="A532" t="s">
        <v>90</v>
      </c>
      <c r="B532" t="s">
        <v>90</v>
      </c>
      <c r="C532" t="s">
        <v>78</v>
      </c>
      <c r="D532" s="1" t="s">
        <v>96</v>
      </c>
      <c r="E532" t="s">
        <v>93</v>
      </c>
      <c r="F532" t="s">
        <v>20</v>
      </c>
      <c r="G532">
        <v>9</v>
      </c>
      <c r="H532">
        <v>49</v>
      </c>
      <c r="I532" s="5">
        <f>VLOOKUP(TrendSheetStgData[Population]&amp;TrendSheetStgData[Cost Basis]&amp;TrendSheetStgData[Period]&amp;TrendSheetStgData[Trend],TrendSheetPrdData[#All],9,FALSE)</f>
        <v>49</v>
      </c>
      <c r="J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2" s="5">
        <f>VLOOKUP(TrendSheetStgData[Population]&amp;TrendSheetStgData[Trend],Threshold[#All],4,FALSE)</f>
        <v>10</v>
      </c>
      <c r="L532" s="5">
        <f>VLOOKUP(TrendSheetStgData[Population]&amp;TrendSheetStgData[Trend],Threshold[#All],5,FALSE)</f>
        <v>5</v>
      </c>
      <c r="M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3" spans="1:13" x14ac:dyDescent="0.25">
      <c r="A533" t="s">
        <v>90</v>
      </c>
      <c r="B533" t="s">
        <v>90</v>
      </c>
      <c r="C533" t="s">
        <v>78</v>
      </c>
      <c r="D533" s="1" t="s">
        <v>97</v>
      </c>
      <c r="E533" t="s">
        <v>93</v>
      </c>
      <c r="F533" t="s">
        <v>20</v>
      </c>
      <c r="G533">
        <v>9</v>
      </c>
      <c r="H533">
        <v>58</v>
      </c>
      <c r="I533" s="5">
        <f>VLOOKUP(TrendSheetStgData[Population]&amp;TrendSheetStgData[Cost Basis]&amp;TrendSheetStgData[Period]&amp;TrendSheetStgData[Trend],TrendSheetPrdData[#All],9,FALSE)</f>
        <v>58</v>
      </c>
      <c r="J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3" s="5">
        <f>VLOOKUP(TrendSheetStgData[Population]&amp;TrendSheetStgData[Trend],Threshold[#All],4,FALSE)</f>
        <v>10</v>
      </c>
      <c r="L533" s="5">
        <f>VLOOKUP(TrendSheetStgData[Population]&amp;TrendSheetStgData[Trend],Threshold[#All],5,FALSE)</f>
        <v>5</v>
      </c>
      <c r="M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4" spans="1:13" x14ac:dyDescent="0.25">
      <c r="A534" t="s">
        <v>90</v>
      </c>
      <c r="B534" t="s">
        <v>90</v>
      </c>
      <c r="C534" t="s">
        <v>78</v>
      </c>
      <c r="D534" s="1" t="s">
        <v>98</v>
      </c>
      <c r="E534" t="s">
        <v>93</v>
      </c>
      <c r="F534" t="s">
        <v>20</v>
      </c>
      <c r="G534">
        <v>9</v>
      </c>
      <c r="H534">
        <v>48</v>
      </c>
      <c r="I534" s="5">
        <f>VLOOKUP(TrendSheetStgData[Population]&amp;TrendSheetStgData[Cost Basis]&amp;TrendSheetStgData[Period]&amp;TrendSheetStgData[Trend],TrendSheetPrdData[#All],9,FALSE)</f>
        <v>48</v>
      </c>
      <c r="J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4" s="5">
        <f>VLOOKUP(TrendSheetStgData[Population]&amp;TrendSheetStgData[Trend],Threshold[#All],4,FALSE)</f>
        <v>10</v>
      </c>
      <c r="L534" s="5">
        <f>VLOOKUP(TrendSheetStgData[Population]&amp;TrendSheetStgData[Trend],Threshold[#All],5,FALSE)</f>
        <v>5</v>
      </c>
      <c r="M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5" spans="1:13" x14ac:dyDescent="0.25">
      <c r="A535" t="s">
        <v>90</v>
      </c>
      <c r="B535" t="s">
        <v>90</v>
      </c>
      <c r="C535" t="s">
        <v>78</v>
      </c>
      <c r="D535" s="1" t="s">
        <v>99</v>
      </c>
      <c r="E535" t="s">
        <v>93</v>
      </c>
      <c r="F535" t="s">
        <v>20</v>
      </c>
      <c r="G535">
        <v>9</v>
      </c>
      <c r="H535">
        <v>57</v>
      </c>
      <c r="I535" s="5">
        <f>VLOOKUP(TrendSheetStgData[Population]&amp;TrendSheetStgData[Cost Basis]&amp;TrendSheetStgData[Period]&amp;TrendSheetStgData[Trend],TrendSheetPrdData[#All],9,FALSE)</f>
        <v>57</v>
      </c>
      <c r="J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5" s="5">
        <f>VLOOKUP(TrendSheetStgData[Population]&amp;TrendSheetStgData[Trend],Threshold[#All],4,FALSE)</f>
        <v>10</v>
      </c>
      <c r="L535" s="5">
        <f>VLOOKUP(TrendSheetStgData[Population]&amp;TrendSheetStgData[Trend],Threshold[#All],5,FALSE)</f>
        <v>5</v>
      </c>
      <c r="M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6" spans="1:13" x14ac:dyDescent="0.25">
      <c r="A536" t="s">
        <v>90</v>
      </c>
      <c r="B536" t="s">
        <v>90</v>
      </c>
      <c r="C536" t="s">
        <v>78</v>
      </c>
      <c r="D536" s="1" t="s">
        <v>100</v>
      </c>
      <c r="E536" t="s">
        <v>93</v>
      </c>
      <c r="F536" t="s">
        <v>20</v>
      </c>
      <c r="G536">
        <v>9</v>
      </c>
      <c r="H536">
        <v>73</v>
      </c>
      <c r="I536" s="5">
        <f>VLOOKUP(TrendSheetStgData[Population]&amp;TrendSheetStgData[Cost Basis]&amp;TrendSheetStgData[Period]&amp;TrendSheetStgData[Trend],TrendSheetPrdData[#All],9,FALSE)</f>
        <v>73</v>
      </c>
      <c r="J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6" s="5">
        <f>VLOOKUP(TrendSheetStgData[Population]&amp;TrendSheetStgData[Trend],Threshold[#All],4,FALSE)</f>
        <v>10</v>
      </c>
      <c r="L536" s="5">
        <f>VLOOKUP(TrendSheetStgData[Population]&amp;TrendSheetStgData[Trend],Threshold[#All],5,FALSE)</f>
        <v>5</v>
      </c>
      <c r="M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7" spans="1:13" x14ac:dyDescent="0.25">
      <c r="A537" t="s">
        <v>90</v>
      </c>
      <c r="B537" t="s">
        <v>90</v>
      </c>
      <c r="C537" t="s">
        <v>78</v>
      </c>
      <c r="D537" s="1" t="s">
        <v>101</v>
      </c>
      <c r="E537" t="s">
        <v>93</v>
      </c>
      <c r="F537" t="s">
        <v>20</v>
      </c>
      <c r="G537">
        <v>9</v>
      </c>
      <c r="H537">
        <v>86</v>
      </c>
      <c r="I537" s="5">
        <f>VLOOKUP(TrendSheetStgData[Population]&amp;TrendSheetStgData[Cost Basis]&amp;TrendSheetStgData[Period]&amp;TrendSheetStgData[Trend],TrendSheetPrdData[#All],9,FALSE)</f>
        <v>86</v>
      </c>
      <c r="J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7" s="5">
        <f>VLOOKUP(TrendSheetStgData[Population]&amp;TrendSheetStgData[Trend],Threshold[#All],4,FALSE)</f>
        <v>10</v>
      </c>
      <c r="L537" s="5">
        <f>VLOOKUP(TrendSheetStgData[Population]&amp;TrendSheetStgData[Trend],Threshold[#All],5,FALSE)</f>
        <v>5</v>
      </c>
      <c r="M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 spans="1:13" x14ac:dyDescent="0.25">
      <c r="A538" t="s">
        <v>90</v>
      </c>
      <c r="B538" t="s">
        <v>90</v>
      </c>
      <c r="C538" t="s">
        <v>78</v>
      </c>
      <c r="D538" s="1" t="s">
        <v>102</v>
      </c>
      <c r="E538" t="s">
        <v>93</v>
      </c>
      <c r="F538" t="s">
        <v>20</v>
      </c>
      <c r="G538">
        <v>9</v>
      </c>
      <c r="H538">
        <v>39</v>
      </c>
      <c r="I538" s="5">
        <f>VLOOKUP(TrendSheetStgData[Population]&amp;TrendSheetStgData[Cost Basis]&amp;TrendSheetStgData[Period]&amp;TrendSheetStgData[Trend],TrendSheetPrdData[#All],9,FALSE)</f>
        <v>39</v>
      </c>
      <c r="J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 s="5">
        <f>VLOOKUP(TrendSheetStgData[Population]&amp;TrendSheetStgData[Trend],Threshold[#All],4,FALSE)</f>
        <v>10</v>
      </c>
      <c r="L538" s="5">
        <f>VLOOKUP(TrendSheetStgData[Population]&amp;TrendSheetStgData[Trend],Threshold[#All],5,FALSE)</f>
        <v>5</v>
      </c>
      <c r="M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 spans="1:13" x14ac:dyDescent="0.25">
      <c r="A539" t="s">
        <v>90</v>
      </c>
      <c r="B539" t="s">
        <v>90</v>
      </c>
      <c r="C539" t="s">
        <v>78</v>
      </c>
      <c r="D539" s="1" t="s">
        <v>103</v>
      </c>
      <c r="E539" t="s">
        <v>93</v>
      </c>
      <c r="F539" t="s">
        <v>20</v>
      </c>
      <c r="G539">
        <v>9</v>
      </c>
      <c r="H539">
        <v>55</v>
      </c>
      <c r="I539" s="5">
        <f>VLOOKUP(TrendSheetStgData[Population]&amp;TrendSheetStgData[Cost Basis]&amp;TrendSheetStgData[Period]&amp;TrendSheetStgData[Trend],TrendSheetPrdData[#All],9,FALSE)</f>
        <v>55</v>
      </c>
      <c r="J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 s="5">
        <f>VLOOKUP(TrendSheetStgData[Population]&amp;TrendSheetStgData[Trend],Threshold[#All],4,FALSE)</f>
        <v>10</v>
      </c>
      <c r="L539" s="5">
        <f>VLOOKUP(TrendSheetStgData[Population]&amp;TrendSheetStgData[Trend],Threshold[#All],5,FALSE)</f>
        <v>5</v>
      </c>
      <c r="M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 spans="1:13" x14ac:dyDescent="0.25">
      <c r="A540" t="s">
        <v>90</v>
      </c>
      <c r="B540" t="s">
        <v>90</v>
      </c>
      <c r="C540" t="s">
        <v>78</v>
      </c>
      <c r="D540" s="1" t="s">
        <v>104</v>
      </c>
      <c r="E540" t="s">
        <v>93</v>
      </c>
      <c r="F540" t="s">
        <v>20</v>
      </c>
      <c r="G540">
        <v>9</v>
      </c>
      <c r="H540">
        <v>64</v>
      </c>
      <c r="I540" s="5">
        <f>VLOOKUP(TrendSheetStgData[Population]&amp;TrendSheetStgData[Cost Basis]&amp;TrendSheetStgData[Period]&amp;TrendSheetStgData[Trend],TrendSheetPrdData[#All],9,FALSE)</f>
        <v>64</v>
      </c>
      <c r="J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 s="5">
        <f>VLOOKUP(TrendSheetStgData[Population]&amp;TrendSheetStgData[Trend],Threshold[#All],4,FALSE)</f>
        <v>10</v>
      </c>
      <c r="L540" s="5">
        <f>VLOOKUP(TrendSheetStgData[Population]&amp;TrendSheetStgData[Trend],Threshold[#All],5,FALSE)</f>
        <v>5</v>
      </c>
      <c r="M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 spans="1:13" x14ac:dyDescent="0.25">
      <c r="A541" t="s">
        <v>90</v>
      </c>
      <c r="B541" t="s">
        <v>90</v>
      </c>
      <c r="C541" t="s">
        <v>78</v>
      </c>
      <c r="D541" s="1" t="s">
        <v>105</v>
      </c>
      <c r="E541" t="s">
        <v>93</v>
      </c>
      <c r="F541" t="s">
        <v>20</v>
      </c>
      <c r="G541">
        <v>9</v>
      </c>
      <c r="H541">
        <v>38</v>
      </c>
      <c r="I541" s="5">
        <f>VLOOKUP(TrendSheetStgData[Population]&amp;TrendSheetStgData[Cost Basis]&amp;TrendSheetStgData[Period]&amp;TrendSheetStgData[Trend],TrendSheetPrdData[#All],9,FALSE)</f>
        <v>38</v>
      </c>
      <c r="J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 s="5">
        <f>VLOOKUP(TrendSheetStgData[Population]&amp;TrendSheetStgData[Trend],Threshold[#All],4,FALSE)</f>
        <v>10</v>
      </c>
      <c r="L541" s="5">
        <f>VLOOKUP(TrendSheetStgData[Population]&amp;TrendSheetStgData[Trend],Threshold[#All],5,FALSE)</f>
        <v>5</v>
      </c>
      <c r="M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 spans="1:13" x14ac:dyDescent="0.25">
      <c r="A542" t="s">
        <v>90</v>
      </c>
      <c r="B542" t="s">
        <v>90</v>
      </c>
      <c r="C542" t="s">
        <v>78</v>
      </c>
      <c r="D542" s="1" t="s">
        <v>106</v>
      </c>
      <c r="E542" t="s">
        <v>93</v>
      </c>
      <c r="F542" t="s">
        <v>20</v>
      </c>
      <c r="G542">
        <v>9</v>
      </c>
      <c r="H542">
        <v>29</v>
      </c>
      <c r="I542" s="5">
        <f>VLOOKUP(TrendSheetStgData[Population]&amp;TrendSheetStgData[Cost Basis]&amp;TrendSheetStgData[Period]&amp;TrendSheetStgData[Trend],TrendSheetPrdData[#All],9,FALSE)</f>
        <v>29</v>
      </c>
      <c r="J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 s="5">
        <f>VLOOKUP(TrendSheetStgData[Population]&amp;TrendSheetStgData[Trend],Threshold[#All],4,FALSE)</f>
        <v>10</v>
      </c>
      <c r="L542" s="5">
        <f>VLOOKUP(TrendSheetStgData[Population]&amp;TrendSheetStgData[Trend],Threshold[#All],5,FALSE)</f>
        <v>5</v>
      </c>
      <c r="M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 spans="1:13" x14ac:dyDescent="0.25">
      <c r="A543" t="s">
        <v>90</v>
      </c>
      <c r="B543" t="s">
        <v>90</v>
      </c>
      <c r="C543" t="s">
        <v>78</v>
      </c>
      <c r="D543" s="1" t="s">
        <v>107</v>
      </c>
      <c r="E543" t="s">
        <v>108</v>
      </c>
      <c r="F543" t="s">
        <v>20</v>
      </c>
      <c r="G543">
        <v>9</v>
      </c>
      <c r="H543">
        <v>46</v>
      </c>
      <c r="I543" s="5">
        <f>VLOOKUP(TrendSheetStgData[Population]&amp;TrendSheetStgData[Cost Basis]&amp;TrendSheetStgData[Period]&amp;TrendSheetStgData[Trend],TrendSheetPrdData[#All],9,FALSE)</f>
        <v>46</v>
      </c>
      <c r="J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 s="5">
        <f>VLOOKUP(TrendSheetStgData[Population]&amp;TrendSheetStgData[Trend],Threshold[#All],4,FALSE)</f>
        <v>10</v>
      </c>
      <c r="L543" s="5">
        <f>VLOOKUP(TrendSheetStgData[Population]&amp;TrendSheetStgData[Trend],Threshold[#All],5,FALSE)</f>
        <v>5</v>
      </c>
      <c r="M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 spans="1:13" x14ac:dyDescent="0.25">
      <c r="A544" t="s">
        <v>90</v>
      </c>
      <c r="B544" t="s">
        <v>90</v>
      </c>
      <c r="C544" t="s">
        <v>78</v>
      </c>
      <c r="D544" s="1" t="s">
        <v>109</v>
      </c>
      <c r="E544" t="s">
        <v>108</v>
      </c>
      <c r="F544" t="s">
        <v>20</v>
      </c>
      <c r="G544">
        <v>9</v>
      </c>
      <c r="H544">
        <v>71</v>
      </c>
      <c r="I544" s="5">
        <f>VLOOKUP(TrendSheetStgData[Population]&amp;TrendSheetStgData[Cost Basis]&amp;TrendSheetStgData[Period]&amp;TrendSheetStgData[Trend],TrendSheetPrdData[#All],9,FALSE)</f>
        <v>71</v>
      </c>
      <c r="J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 s="5">
        <f>VLOOKUP(TrendSheetStgData[Population]&amp;TrendSheetStgData[Trend],Threshold[#All],4,FALSE)</f>
        <v>10</v>
      </c>
      <c r="L544" s="5">
        <f>VLOOKUP(TrendSheetStgData[Population]&amp;TrendSheetStgData[Trend],Threshold[#All],5,FALSE)</f>
        <v>5</v>
      </c>
      <c r="M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 spans="1:13" x14ac:dyDescent="0.25">
      <c r="A545" t="s">
        <v>90</v>
      </c>
      <c r="B545" t="s">
        <v>90</v>
      </c>
      <c r="C545" t="s">
        <v>78</v>
      </c>
      <c r="D545" s="1" t="s">
        <v>110</v>
      </c>
      <c r="E545" t="s">
        <v>108</v>
      </c>
      <c r="F545" t="s">
        <v>20</v>
      </c>
      <c r="G545">
        <v>9</v>
      </c>
      <c r="H545">
        <v>37</v>
      </c>
      <c r="I545" s="5">
        <f>VLOOKUP(TrendSheetStgData[Population]&amp;TrendSheetStgData[Cost Basis]&amp;TrendSheetStgData[Period]&amp;TrendSheetStgData[Trend],TrendSheetPrdData[#All],9,FALSE)</f>
        <v>37</v>
      </c>
      <c r="J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 s="5">
        <f>VLOOKUP(TrendSheetStgData[Population]&amp;TrendSheetStgData[Trend],Threshold[#All],4,FALSE)</f>
        <v>10</v>
      </c>
      <c r="L545" s="5">
        <f>VLOOKUP(TrendSheetStgData[Population]&amp;TrendSheetStgData[Trend],Threshold[#All],5,FALSE)</f>
        <v>5</v>
      </c>
      <c r="M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 spans="1:13" x14ac:dyDescent="0.25">
      <c r="A546" t="s">
        <v>90</v>
      </c>
      <c r="B546" t="s">
        <v>90</v>
      </c>
      <c r="C546" t="s">
        <v>78</v>
      </c>
      <c r="D546" s="1" t="s">
        <v>92</v>
      </c>
      <c r="E546" t="s">
        <v>93</v>
      </c>
      <c r="F546" t="s">
        <v>21</v>
      </c>
      <c r="G546">
        <v>10</v>
      </c>
      <c r="H546">
        <v>37</v>
      </c>
      <c r="I546" s="5">
        <f>VLOOKUP(TrendSheetStgData[Population]&amp;TrendSheetStgData[Cost Basis]&amp;TrendSheetStgData[Period]&amp;TrendSheetStgData[Trend],TrendSheetPrdData[#All],9,FALSE)</f>
        <v>37</v>
      </c>
      <c r="J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 s="5">
        <f>VLOOKUP(TrendSheetStgData[Population]&amp;TrendSheetStgData[Trend],Threshold[#All],4,FALSE)</f>
        <v>10</v>
      </c>
      <c r="L546" s="5">
        <f>VLOOKUP(TrendSheetStgData[Population]&amp;TrendSheetStgData[Trend],Threshold[#All],5,FALSE)</f>
        <v>5</v>
      </c>
      <c r="M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 spans="1:13" x14ac:dyDescent="0.25">
      <c r="A547" t="s">
        <v>90</v>
      </c>
      <c r="B547" t="s">
        <v>90</v>
      </c>
      <c r="C547" t="s">
        <v>78</v>
      </c>
      <c r="D547" s="1" t="s">
        <v>94</v>
      </c>
      <c r="E547" t="s">
        <v>93</v>
      </c>
      <c r="F547" t="s">
        <v>21</v>
      </c>
      <c r="G547">
        <v>10</v>
      </c>
      <c r="H547">
        <v>50</v>
      </c>
      <c r="I547" s="5">
        <f>VLOOKUP(TrendSheetStgData[Population]&amp;TrendSheetStgData[Cost Basis]&amp;TrendSheetStgData[Period]&amp;TrendSheetStgData[Trend],TrendSheetPrdData[#All],9,FALSE)</f>
        <v>50</v>
      </c>
      <c r="J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 s="5">
        <f>VLOOKUP(TrendSheetStgData[Population]&amp;TrendSheetStgData[Trend],Threshold[#All],4,FALSE)</f>
        <v>10</v>
      </c>
      <c r="L547" s="5">
        <f>VLOOKUP(TrendSheetStgData[Population]&amp;TrendSheetStgData[Trend],Threshold[#All],5,FALSE)</f>
        <v>5</v>
      </c>
      <c r="M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 spans="1:13" x14ac:dyDescent="0.25">
      <c r="A548" t="s">
        <v>90</v>
      </c>
      <c r="B548" t="s">
        <v>90</v>
      </c>
      <c r="C548" t="s">
        <v>78</v>
      </c>
      <c r="D548" s="1" t="s">
        <v>95</v>
      </c>
      <c r="E548" t="s">
        <v>93</v>
      </c>
      <c r="F548" t="s">
        <v>21</v>
      </c>
      <c r="G548">
        <v>10</v>
      </c>
      <c r="H548">
        <v>72</v>
      </c>
      <c r="I548" s="5">
        <f>VLOOKUP(TrendSheetStgData[Population]&amp;TrendSheetStgData[Cost Basis]&amp;TrendSheetStgData[Period]&amp;TrendSheetStgData[Trend],TrendSheetPrdData[#All],9,FALSE)</f>
        <v>72</v>
      </c>
      <c r="J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 s="5">
        <f>VLOOKUP(TrendSheetStgData[Population]&amp;TrendSheetStgData[Trend],Threshold[#All],4,FALSE)</f>
        <v>10</v>
      </c>
      <c r="L548" s="5">
        <f>VLOOKUP(TrendSheetStgData[Population]&amp;TrendSheetStgData[Trend],Threshold[#All],5,FALSE)</f>
        <v>5</v>
      </c>
      <c r="M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 spans="1:13" x14ac:dyDescent="0.25">
      <c r="A549" t="s">
        <v>90</v>
      </c>
      <c r="B549" t="s">
        <v>90</v>
      </c>
      <c r="C549" t="s">
        <v>78</v>
      </c>
      <c r="D549" s="1" t="s">
        <v>96</v>
      </c>
      <c r="E549" t="s">
        <v>93</v>
      </c>
      <c r="F549" t="s">
        <v>21</v>
      </c>
      <c r="G549">
        <v>10</v>
      </c>
      <c r="H549">
        <v>67</v>
      </c>
      <c r="I549" s="5">
        <f>VLOOKUP(TrendSheetStgData[Population]&amp;TrendSheetStgData[Cost Basis]&amp;TrendSheetStgData[Period]&amp;TrendSheetStgData[Trend],TrendSheetPrdData[#All],9,FALSE)</f>
        <v>67</v>
      </c>
      <c r="J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 s="5">
        <f>VLOOKUP(TrendSheetStgData[Population]&amp;TrendSheetStgData[Trend],Threshold[#All],4,FALSE)</f>
        <v>10</v>
      </c>
      <c r="L549" s="5">
        <f>VLOOKUP(TrendSheetStgData[Population]&amp;TrendSheetStgData[Trend],Threshold[#All],5,FALSE)</f>
        <v>5</v>
      </c>
      <c r="M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 spans="1:13" x14ac:dyDescent="0.25">
      <c r="A550" t="s">
        <v>90</v>
      </c>
      <c r="B550" t="s">
        <v>90</v>
      </c>
      <c r="C550" t="s">
        <v>78</v>
      </c>
      <c r="D550" s="1" t="s">
        <v>97</v>
      </c>
      <c r="E550" t="s">
        <v>93</v>
      </c>
      <c r="F550" t="s">
        <v>21</v>
      </c>
      <c r="G550">
        <v>10</v>
      </c>
      <c r="H550">
        <v>54</v>
      </c>
      <c r="I550" s="5">
        <f>VLOOKUP(TrendSheetStgData[Population]&amp;TrendSheetStgData[Cost Basis]&amp;TrendSheetStgData[Period]&amp;TrendSheetStgData[Trend],TrendSheetPrdData[#All],9,FALSE)</f>
        <v>54</v>
      </c>
      <c r="J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 s="5">
        <f>VLOOKUP(TrendSheetStgData[Population]&amp;TrendSheetStgData[Trend],Threshold[#All],4,FALSE)</f>
        <v>10</v>
      </c>
      <c r="L550" s="5">
        <f>VLOOKUP(TrendSheetStgData[Population]&amp;TrendSheetStgData[Trend],Threshold[#All],5,FALSE)</f>
        <v>5</v>
      </c>
      <c r="M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 spans="1:13" x14ac:dyDescent="0.25">
      <c r="A551" t="s">
        <v>90</v>
      </c>
      <c r="B551" t="s">
        <v>90</v>
      </c>
      <c r="C551" t="s">
        <v>78</v>
      </c>
      <c r="D551" s="1" t="s">
        <v>98</v>
      </c>
      <c r="E551" t="s">
        <v>93</v>
      </c>
      <c r="F551" t="s">
        <v>21</v>
      </c>
      <c r="G551">
        <v>10</v>
      </c>
      <c r="H551">
        <v>136</v>
      </c>
      <c r="I551" s="5">
        <f>VLOOKUP(TrendSheetStgData[Population]&amp;TrendSheetStgData[Cost Basis]&amp;TrendSheetStgData[Period]&amp;TrendSheetStgData[Trend],TrendSheetPrdData[#All],9,FALSE)</f>
        <v>136</v>
      </c>
      <c r="J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 s="5">
        <f>VLOOKUP(TrendSheetStgData[Population]&amp;TrendSheetStgData[Trend],Threshold[#All],4,FALSE)</f>
        <v>10</v>
      </c>
      <c r="L551" s="5">
        <f>VLOOKUP(TrendSheetStgData[Population]&amp;TrendSheetStgData[Trend],Threshold[#All],5,FALSE)</f>
        <v>5</v>
      </c>
      <c r="M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 spans="1:13" x14ac:dyDescent="0.25">
      <c r="A552" t="s">
        <v>90</v>
      </c>
      <c r="B552" t="s">
        <v>90</v>
      </c>
      <c r="C552" t="s">
        <v>78</v>
      </c>
      <c r="D552" s="1" t="s">
        <v>99</v>
      </c>
      <c r="E552" t="s">
        <v>93</v>
      </c>
      <c r="F552" t="s">
        <v>21</v>
      </c>
      <c r="G552">
        <v>10</v>
      </c>
      <c r="H552">
        <v>35</v>
      </c>
      <c r="I552" s="5">
        <f>VLOOKUP(TrendSheetStgData[Population]&amp;TrendSheetStgData[Cost Basis]&amp;TrendSheetStgData[Period]&amp;TrendSheetStgData[Trend],TrendSheetPrdData[#All],9,FALSE)</f>
        <v>35</v>
      </c>
      <c r="J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 s="5">
        <f>VLOOKUP(TrendSheetStgData[Population]&amp;TrendSheetStgData[Trend],Threshold[#All],4,FALSE)</f>
        <v>10</v>
      </c>
      <c r="L552" s="5">
        <f>VLOOKUP(TrendSheetStgData[Population]&amp;TrendSheetStgData[Trend],Threshold[#All],5,FALSE)</f>
        <v>5</v>
      </c>
      <c r="M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 spans="1:13" x14ac:dyDescent="0.25">
      <c r="A553" t="s">
        <v>90</v>
      </c>
      <c r="B553" t="s">
        <v>90</v>
      </c>
      <c r="C553" t="s">
        <v>78</v>
      </c>
      <c r="D553" s="1" t="s">
        <v>100</v>
      </c>
      <c r="E553" t="s">
        <v>93</v>
      </c>
      <c r="F553" t="s">
        <v>21</v>
      </c>
      <c r="G553">
        <v>10</v>
      </c>
      <c r="H553">
        <v>73</v>
      </c>
      <c r="I553" s="5">
        <f>VLOOKUP(TrendSheetStgData[Population]&amp;TrendSheetStgData[Cost Basis]&amp;TrendSheetStgData[Period]&amp;TrendSheetStgData[Trend],TrendSheetPrdData[#All],9,FALSE)</f>
        <v>73</v>
      </c>
      <c r="J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 s="5">
        <f>VLOOKUP(TrendSheetStgData[Population]&amp;TrendSheetStgData[Trend],Threshold[#All],4,FALSE)</f>
        <v>10</v>
      </c>
      <c r="L553" s="5">
        <f>VLOOKUP(TrendSheetStgData[Population]&amp;TrendSheetStgData[Trend],Threshold[#All],5,FALSE)</f>
        <v>5</v>
      </c>
      <c r="M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 spans="1:13" x14ac:dyDescent="0.25">
      <c r="A554" t="s">
        <v>90</v>
      </c>
      <c r="B554" t="s">
        <v>90</v>
      </c>
      <c r="C554" t="s">
        <v>78</v>
      </c>
      <c r="D554" s="1" t="s">
        <v>101</v>
      </c>
      <c r="E554" t="s">
        <v>93</v>
      </c>
      <c r="F554" t="s">
        <v>21</v>
      </c>
      <c r="G554">
        <v>10</v>
      </c>
      <c r="H554">
        <v>81</v>
      </c>
      <c r="I554" s="5">
        <f>VLOOKUP(TrendSheetStgData[Population]&amp;TrendSheetStgData[Cost Basis]&amp;TrendSheetStgData[Period]&amp;TrendSheetStgData[Trend],TrendSheetPrdData[#All],9,FALSE)</f>
        <v>81</v>
      </c>
      <c r="J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 s="5">
        <f>VLOOKUP(TrendSheetStgData[Population]&amp;TrendSheetStgData[Trend],Threshold[#All],4,FALSE)</f>
        <v>10</v>
      </c>
      <c r="L554" s="5">
        <f>VLOOKUP(TrendSheetStgData[Population]&amp;TrendSheetStgData[Trend],Threshold[#All],5,FALSE)</f>
        <v>5</v>
      </c>
      <c r="M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 spans="1:13" x14ac:dyDescent="0.25">
      <c r="A555" t="s">
        <v>90</v>
      </c>
      <c r="B555" t="s">
        <v>90</v>
      </c>
      <c r="C555" t="s">
        <v>78</v>
      </c>
      <c r="D555" s="1" t="s">
        <v>102</v>
      </c>
      <c r="E555" t="s">
        <v>93</v>
      </c>
      <c r="F555" t="s">
        <v>21</v>
      </c>
      <c r="G555">
        <v>10</v>
      </c>
      <c r="H555">
        <v>43</v>
      </c>
      <c r="I555" s="5">
        <f>VLOOKUP(TrendSheetStgData[Population]&amp;TrendSheetStgData[Cost Basis]&amp;TrendSheetStgData[Period]&amp;TrendSheetStgData[Trend],TrendSheetPrdData[#All],9,FALSE)</f>
        <v>43</v>
      </c>
      <c r="J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 s="5">
        <f>VLOOKUP(TrendSheetStgData[Population]&amp;TrendSheetStgData[Trend],Threshold[#All],4,FALSE)</f>
        <v>10</v>
      </c>
      <c r="L555" s="5">
        <f>VLOOKUP(TrendSheetStgData[Population]&amp;TrendSheetStgData[Trend],Threshold[#All],5,FALSE)</f>
        <v>5</v>
      </c>
      <c r="M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 spans="1:13" x14ac:dyDescent="0.25">
      <c r="A556" t="s">
        <v>90</v>
      </c>
      <c r="B556" t="s">
        <v>90</v>
      </c>
      <c r="C556" t="s">
        <v>78</v>
      </c>
      <c r="D556" s="1" t="s">
        <v>103</v>
      </c>
      <c r="E556" t="s">
        <v>93</v>
      </c>
      <c r="F556" t="s">
        <v>21</v>
      </c>
      <c r="G556">
        <v>10</v>
      </c>
      <c r="H556">
        <v>43</v>
      </c>
      <c r="I556" s="5">
        <f>VLOOKUP(TrendSheetStgData[Population]&amp;TrendSheetStgData[Cost Basis]&amp;TrendSheetStgData[Period]&amp;TrendSheetStgData[Trend],TrendSheetPrdData[#All],9,FALSE)</f>
        <v>43</v>
      </c>
      <c r="J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 s="5">
        <f>VLOOKUP(TrendSheetStgData[Population]&amp;TrendSheetStgData[Trend],Threshold[#All],4,FALSE)</f>
        <v>10</v>
      </c>
      <c r="L556" s="5">
        <f>VLOOKUP(TrendSheetStgData[Population]&amp;TrendSheetStgData[Trend],Threshold[#All],5,FALSE)</f>
        <v>5</v>
      </c>
      <c r="M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 spans="1:13" x14ac:dyDescent="0.25">
      <c r="A557" t="s">
        <v>90</v>
      </c>
      <c r="B557" t="s">
        <v>90</v>
      </c>
      <c r="C557" t="s">
        <v>78</v>
      </c>
      <c r="D557" s="1" t="s">
        <v>104</v>
      </c>
      <c r="E557" t="s">
        <v>93</v>
      </c>
      <c r="F557" t="s">
        <v>21</v>
      </c>
      <c r="G557">
        <v>10</v>
      </c>
      <c r="H557">
        <v>94</v>
      </c>
      <c r="I557" s="5">
        <f>VLOOKUP(TrendSheetStgData[Population]&amp;TrendSheetStgData[Cost Basis]&amp;TrendSheetStgData[Period]&amp;TrendSheetStgData[Trend],TrendSheetPrdData[#All],9,FALSE)</f>
        <v>94</v>
      </c>
      <c r="J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 s="5">
        <f>VLOOKUP(TrendSheetStgData[Population]&amp;TrendSheetStgData[Trend],Threshold[#All],4,FALSE)</f>
        <v>10</v>
      </c>
      <c r="L557" s="5">
        <f>VLOOKUP(TrendSheetStgData[Population]&amp;TrendSheetStgData[Trend],Threshold[#All],5,FALSE)</f>
        <v>5</v>
      </c>
      <c r="M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 spans="1:13" x14ac:dyDescent="0.25">
      <c r="A558" t="s">
        <v>90</v>
      </c>
      <c r="B558" t="s">
        <v>90</v>
      </c>
      <c r="C558" t="s">
        <v>78</v>
      </c>
      <c r="D558" s="1" t="s">
        <v>105</v>
      </c>
      <c r="E558" t="s">
        <v>93</v>
      </c>
      <c r="F558" t="s">
        <v>21</v>
      </c>
      <c r="G558">
        <v>10</v>
      </c>
      <c r="H558">
        <v>63</v>
      </c>
      <c r="I558" s="5">
        <f>VLOOKUP(TrendSheetStgData[Population]&amp;TrendSheetStgData[Cost Basis]&amp;TrendSheetStgData[Period]&amp;TrendSheetStgData[Trend],TrendSheetPrdData[#All],9,FALSE)</f>
        <v>63</v>
      </c>
      <c r="J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 s="5">
        <f>VLOOKUP(TrendSheetStgData[Population]&amp;TrendSheetStgData[Trend],Threshold[#All],4,FALSE)</f>
        <v>10</v>
      </c>
      <c r="L558" s="5">
        <f>VLOOKUP(TrendSheetStgData[Population]&amp;TrendSheetStgData[Trend],Threshold[#All],5,FALSE)</f>
        <v>5</v>
      </c>
      <c r="M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 spans="1:13" x14ac:dyDescent="0.25">
      <c r="A559" t="s">
        <v>90</v>
      </c>
      <c r="B559" t="s">
        <v>90</v>
      </c>
      <c r="C559" t="s">
        <v>78</v>
      </c>
      <c r="D559" s="1" t="s">
        <v>106</v>
      </c>
      <c r="E559" t="s">
        <v>93</v>
      </c>
      <c r="F559" t="s">
        <v>21</v>
      </c>
      <c r="G559">
        <v>10</v>
      </c>
      <c r="H559">
        <v>54</v>
      </c>
      <c r="I559" s="5">
        <f>VLOOKUP(TrendSheetStgData[Population]&amp;TrendSheetStgData[Cost Basis]&amp;TrendSheetStgData[Period]&amp;TrendSheetStgData[Trend],TrendSheetPrdData[#All],9,FALSE)</f>
        <v>54</v>
      </c>
      <c r="J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 s="5">
        <f>VLOOKUP(TrendSheetStgData[Population]&amp;TrendSheetStgData[Trend],Threshold[#All],4,FALSE)</f>
        <v>10</v>
      </c>
      <c r="L559" s="5">
        <f>VLOOKUP(TrendSheetStgData[Population]&amp;TrendSheetStgData[Trend],Threshold[#All],5,FALSE)</f>
        <v>5</v>
      </c>
      <c r="M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 spans="1:13" x14ac:dyDescent="0.25">
      <c r="A560" t="s">
        <v>90</v>
      </c>
      <c r="B560" t="s">
        <v>90</v>
      </c>
      <c r="C560" t="s">
        <v>78</v>
      </c>
      <c r="D560" s="1" t="s">
        <v>107</v>
      </c>
      <c r="E560" t="s">
        <v>108</v>
      </c>
      <c r="F560" t="s">
        <v>21</v>
      </c>
      <c r="G560">
        <v>10</v>
      </c>
      <c r="H560">
        <v>62</v>
      </c>
      <c r="I560" s="5">
        <f>VLOOKUP(TrendSheetStgData[Population]&amp;TrendSheetStgData[Cost Basis]&amp;TrendSheetStgData[Period]&amp;TrendSheetStgData[Trend],TrendSheetPrdData[#All],9,FALSE)</f>
        <v>62</v>
      </c>
      <c r="J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 s="5">
        <f>VLOOKUP(TrendSheetStgData[Population]&amp;TrendSheetStgData[Trend],Threshold[#All],4,FALSE)</f>
        <v>10</v>
      </c>
      <c r="L560" s="5">
        <f>VLOOKUP(TrendSheetStgData[Population]&amp;TrendSheetStgData[Trend],Threshold[#All],5,FALSE)</f>
        <v>5</v>
      </c>
      <c r="M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 spans="1:13" x14ac:dyDescent="0.25">
      <c r="A561" t="s">
        <v>90</v>
      </c>
      <c r="B561" t="s">
        <v>90</v>
      </c>
      <c r="C561" t="s">
        <v>78</v>
      </c>
      <c r="D561" s="1" t="s">
        <v>109</v>
      </c>
      <c r="E561" t="s">
        <v>108</v>
      </c>
      <c r="F561" t="s">
        <v>21</v>
      </c>
      <c r="G561">
        <v>10</v>
      </c>
      <c r="H561">
        <v>29</v>
      </c>
      <c r="I561" s="5">
        <f>VLOOKUP(TrendSheetStgData[Population]&amp;TrendSheetStgData[Cost Basis]&amp;TrendSheetStgData[Period]&amp;TrendSheetStgData[Trend],TrendSheetPrdData[#All],9,FALSE)</f>
        <v>29</v>
      </c>
      <c r="J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 s="5">
        <f>VLOOKUP(TrendSheetStgData[Population]&amp;TrendSheetStgData[Trend],Threshold[#All],4,FALSE)</f>
        <v>10</v>
      </c>
      <c r="L561" s="5">
        <f>VLOOKUP(TrendSheetStgData[Population]&amp;TrendSheetStgData[Trend],Threshold[#All],5,FALSE)</f>
        <v>5</v>
      </c>
      <c r="M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 spans="1:13" x14ac:dyDescent="0.25">
      <c r="A562" t="s">
        <v>90</v>
      </c>
      <c r="B562" t="s">
        <v>90</v>
      </c>
      <c r="C562" t="s">
        <v>78</v>
      </c>
      <c r="D562" s="1" t="s">
        <v>110</v>
      </c>
      <c r="E562" t="s">
        <v>108</v>
      </c>
      <c r="F562" t="s">
        <v>21</v>
      </c>
      <c r="G562">
        <v>10</v>
      </c>
      <c r="H562">
        <v>21</v>
      </c>
      <c r="I562" s="5">
        <f>VLOOKUP(TrendSheetStgData[Population]&amp;TrendSheetStgData[Cost Basis]&amp;TrendSheetStgData[Period]&amp;TrendSheetStgData[Trend],TrendSheetPrdData[#All],9,FALSE)</f>
        <v>21</v>
      </c>
      <c r="J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 s="5">
        <f>VLOOKUP(TrendSheetStgData[Population]&amp;TrendSheetStgData[Trend],Threshold[#All],4,FALSE)</f>
        <v>10</v>
      </c>
      <c r="L562" s="5">
        <f>VLOOKUP(TrendSheetStgData[Population]&amp;TrendSheetStgData[Trend],Threshold[#All],5,FALSE)</f>
        <v>5</v>
      </c>
      <c r="M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 spans="1:13" x14ac:dyDescent="0.25">
      <c r="A563" t="s">
        <v>90</v>
      </c>
      <c r="B563" t="s">
        <v>90</v>
      </c>
      <c r="C563" t="s">
        <v>78</v>
      </c>
      <c r="D563" s="1" t="s">
        <v>92</v>
      </c>
      <c r="E563" t="s">
        <v>93</v>
      </c>
      <c r="F563" t="s">
        <v>22</v>
      </c>
      <c r="G563">
        <v>11</v>
      </c>
      <c r="H563">
        <v>0</v>
      </c>
      <c r="I563" s="5">
        <f>VLOOKUP(TrendSheetStgData[Population]&amp;TrendSheetStgData[Cost Basis]&amp;TrendSheetStgData[Period]&amp;TrendSheetStgData[Trend],TrendSheetPrdData[#All],9,FALSE)</f>
        <v>0</v>
      </c>
      <c r="J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 s="5">
        <f>VLOOKUP(TrendSheetStgData[Population]&amp;TrendSheetStgData[Trend],Threshold[#All],4,FALSE)</f>
        <v>10</v>
      </c>
      <c r="L563" s="5">
        <f>VLOOKUP(TrendSheetStgData[Population]&amp;TrendSheetStgData[Trend],Threshold[#All],5,FALSE)</f>
        <v>5</v>
      </c>
      <c r="M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 spans="1:13" x14ac:dyDescent="0.25">
      <c r="A564" t="s">
        <v>90</v>
      </c>
      <c r="B564" t="s">
        <v>90</v>
      </c>
      <c r="C564" t="s">
        <v>78</v>
      </c>
      <c r="D564" s="1" t="s">
        <v>94</v>
      </c>
      <c r="E564" t="s">
        <v>93</v>
      </c>
      <c r="F564" t="s">
        <v>22</v>
      </c>
      <c r="G564">
        <v>11</v>
      </c>
      <c r="H564">
        <v>0</v>
      </c>
      <c r="I564" s="5">
        <f>VLOOKUP(TrendSheetStgData[Population]&amp;TrendSheetStgData[Cost Basis]&amp;TrendSheetStgData[Period]&amp;TrendSheetStgData[Trend],TrendSheetPrdData[#All],9,FALSE)</f>
        <v>0</v>
      </c>
      <c r="J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 s="5">
        <f>VLOOKUP(TrendSheetStgData[Population]&amp;TrendSheetStgData[Trend],Threshold[#All],4,FALSE)</f>
        <v>10</v>
      </c>
      <c r="L564" s="5">
        <f>VLOOKUP(TrendSheetStgData[Population]&amp;TrendSheetStgData[Trend],Threshold[#All],5,FALSE)</f>
        <v>5</v>
      </c>
      <c r="M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 spans="1:13" x14ac:dyDescent="0.25">
      <c r="A565" t="s">
        <v>90</v>
      </c>
      <c r="B565" t="s">
        <v>90</v>
      </c>
      <c r="C565" t="s">
        <v>78</v>
      </c>
      <c r="D565" s="1" t="s">
        <v>95</v>
      </c>
      <c r="E565" t="s">
        <v>93</v>
      </c>
      <c r="F565" t="s">
        <v>22</v>
      </c>
      <c r="G565">
        <v>11</v>
      </c>
      <c r="H565">
        <v>0</v>
      </c>
      <c r="I565" s="5">
        <f>VLOOKUP(TrendSheetStgData[Population]&amp;TrendSheetStgData[Cost Basis]&amp;TrendSheetStgData[Period]&amp;TrendSheetStgData[Trend],TrendSheetPrdData[#All],9,FALSE)</f>
        <v>0</v>
      </c>
      <c r="J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5" s="5">
        <f>VLOOKUP(TrendSheetStgData[Population]&amp;TrendSheetStgData[Trend],Threshold[#All],4,FALSE)</f>
        <v>10</v>
      </c>
      <c r="L565" s="5">
        <f>VLOOKUP(TrendSheetStgData[Population]&amp;TrendSheetStgData[Trend],Threshold[#All],5,FALSE)</f>
        <v>5</v>
      </c>
      <c r="M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6" spans="1:13" x14ac:dyDescent="0.25">
      <c r="A566" t="s">
        <v>90</v>
      </c>
      <c r="B566" t="s">
        <v>90</v>
      </c>
      <c r="C566" t="s">
        <v>78</v>
      </c>
      <c r="D566" s="1" t="s">
        <v>96</v>
      </c>
      <c r="E566" t="s">
        <v>93</v>
      </c>
      <c r="F566" t="s">
        <v>22</v>
      </c>
      <c r="G566">
        <v>11</v>
      </c>
      <c r="H566">
        <v>0</v>
      </c>
      <c r="I566" s="5">
        <f>VLOOKUP(TrendSheetStgData[Population]&amp;TrendSheetStgData[Cost Basis]&amp;TrendSheetStgData[Period]&amp;TrendSheetStgData[Trend],TrendSheetPrdData[#All],9,FALSE)</f>
        <v>0</v>
      </c>
      <c r="J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6" s="5">
        <f>VLOOKUP(TrendSheetStgData[Population]&amp;TrendSheetStgData[Trend],Threshold[#All],4,FALSE)</f>
        <v>10</v>
      </c>
      <c r="L566" s="5">
        <f>VLOOKUP(TrendSheetStgData[Population]&amp;TrendSheetStgData[Trend],Threshold[#All],5,FALSE)</f>
        <v>5</v>
      </c>
      <c r="M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7" spans="1:13" x14ac:dyDescent="0.25">
      <c r="A567" t="s">
        <v>90</v>
      </c>
      <c r="B567" t="s">
        <v>90</v>
      </c>
      <c r="C567" t="s">
        <v>78</v>
      </c>
      <c r="D567" s="1" t="s">
        <v>97</v>
      </c>
      <c r="E567" t="s">
        <v>93</v>
      </c>
      <c r="F567" t="s">
        <v>22</v>
      </c>
      <c r="G567">
        <v>11</v>
      </c>
      <c r="H567">
        <v>0</v>
      </c>
      <c r="I567" s="5">
        <f>VLOOKUP(TrendSheetStgData[Population]&amp;TrendSheetStgData[Cost Basis]&amp;TrendSheetStgData[Period]&amp;TrendSheetStgData[Trend],TrendSheetPrdData[#All],9,FALSE)</f>
        <v>0</v>
      </c>
      <c r="J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7" s="5">
        <f>VLOOKUP(TrendSheetStgData[Population]&amp;TrendSheetStgData[Trend],Threshold[#All],4,FALSE)</f>
        <v>10</v>
      </c>
      <c r="L567" s="5">
        <f>VLOOKUP(TrendSheetStgData[Population]&amp;TrendSheetStgData[Trend],Threshold[#All],5,FALSE)</f>
        <v>5</v>
      </c>
      <c r="M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 spans="1:13" x14ac:dyDescent="0.25">
      <c r="A568" t="s">
        <v>90</v>
      </c>
      <c r="B568" t="s">
        <v>90</v>
      </c>
      <c r="C568" t="s">
        <v>78</v>
      </c>
      <c r="D568" s="1" t="s">
        <v>98</v>
      </c>
      <c r="E568" t="s">
        <v>93</v>
      </c>
      <c r="F568" t="s">
        <v>22</v>
      </c>
      <c r="G568">
        <v>11</v>
      </c>
      <c r="H568">
        <v>0</v>
      </c>
      <c r="I568" s="5">
        <f>VLOOKUP(TrendSheetStgData[Population]&amp;TrendSheetStgData[Cost Basis]&amp;TrendSheetStgData[Period]&amp;TrendSheetStgData[Trend],TrendSheetPrdData[#All],9,FALSE)</f>
        <v>0</v>
      </c>
      <c r="J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 s="5">
        <f>VLOOKUP(TrendSheetStgData[Population]&amp;TrendSheetStgData[Trend],Threshold[#All],4,FALSE)</f>
        <v>10</v>
      </c>
      <c r="L568" s="5">
        <f>VLOOKUP(TrendSheetStgData[Population]&amp;TrendSheetStgData[Trend],Threshold[#All],5,FALSE)</f>
        <v>5</v>
      </c>
      <c r="M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 spans="1:13" x14ac:dyDescent="0.25">
      <c r="A569" t="s">
        <v>90</v>
      </c>
      <c r="B569" t="s">
        <v>90</v>
      </c>
      <c r="C569" t="s">
        <v>78</v>
      </c>
      <c r="D569" s="1" t="s">
        <v>99</v>
      </c>
      <c r="E569" t="s">
        <v>93</v>
      </c>
      <c r="F569" t="s">
        <v>22</v>
      </c>
      <c r="G569">
        <v>11</v>
      </c>
      <c r="H569">
        <v>0</v>
      </c>
      <c r="I569" s="5">
        <f>VLOOKUP(TrendSheetStgData[Population]&amp;TrendSheetStgData[Cost Basis]&amp;TrendSheetStgData[Period]&amp;TrendSheetStgData[Trend],TrendSheetPrdData[#All],9,FALSE)</f>
        <v>0</v>
      </c>
      <c r="J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 s="5">
        <f>VLOOKUP(TrendSheetStgData[Population]&amp;TrendSheetStgData[Trend],Threshold[#All],4,FALSE)</f>
        <v>10</v>
      </c>
      <c r="L569" s="5">
        <f>VLOOKUP(TrendSheetStgData[Population]&amp;TrendSheetStgData[Trend],Threshold[#All],5,FALSE)</f>
        <v>5</v>
      </c>
      <c r="M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 spans="1:13" x14ac:dyDescent="0.25">
      <c r="A570" t="s">
        <v>90</v>
      </c>
      <c r="B570" t="s">
        <v>90</v>
      </c>
      <c r="C570" t="s">
        <v>78</v>
      </c>
      <c r="D570" s="1" t="s">
        <v>100</v>
      </c>
      <c r="E570" t="s">
        <v>93</v>
      </c>
      <c r="F570" t="s">
        <v>22</v>
      </c>
      <c r="G570">
        <v>11</v>
      </c>
      <c r="H570">
        <v>0</v>
      </c>
      <c r="I570" s="5">
        <f>VLOOKUP(TrendSheetStgData[Population]&amp;TrendSheetStgData[Cost Basis]&amp;TrendSheetStgData[Period]&amp;TrendSheetStgData[Trend],TrendSheetPrdData[#All],9,FALSE)</f>
        <v>0</v>
      </c>
      <c r="J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 s="5">
        <f>VLOOKUP(TrendSheetStgData[Population]&amp;TrendSheetStgData[Trend],Threshold[#All],4,FALSE)</f>
        <v>10</v>
      </c>
      <c r="L570" s="5">
        <f>VLOOKUP(TrendSheetStgData[Population]&amp;TrendSheetStgData[Trend],Threshold[#All],5,FALSE)</f>
        <v>5</v>
      </c>
      <c r="M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1" spans="1:13" x14ac:dyDescent="0.25">
      <c r="A571" t="s">
        <v>90</v>
      </c>
      <c r="B571" t="s">
        <v>90</v>
      </c>
      <c r="C571" t="s">
        <v>78</v>
      </c>
      <c r="D571" s="1" t="s">
        <v>101</v>
      </c>
      <c r="E571" t="s">
        <v>93</v>
      </c>
      <c r="F571" t="s">
        <v>22</v>
      </c>
      <c r="G571">
        <v>11</v>
      </c>
      <c r="H571">
        <v>0</v>
      </c>
      <c r="I571" s="5">
        <f>VLOOKUP(TrendSheetStgData[Population]&amp;TrendSheetStgData[Cost Basis]&amp;TrendSheetStgData[Period]&amp;TrendSheetStgData[Trend],TrendSheetPrdData[#All],9,FALSE)</f>
        <v>0</v>
      </c>
      <c r="J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1" s="5">
        <f>VLOOKUP(TrendSheetStgData[Population]&amp;TrendSheetStgData[Trend],Threshold[#All],4,FALSE)</f>
        <v>10</v>
      </c>
      <c r="L571" s="5">
        <f>VLOOKUP(TrendSheetStgData[Population]&amp;TrendSheetStgData[Trend],Threshold[#All],5,FALSE)</f>
        <v>5</v>
      </c>
      <c r="M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 spans="1:13" x14ac:dyDescent="0.25">
      <c r="A572" t="s">
        <v>90</v>
      </c>
      <c r="B572" t="s">
        <v>90</v>
      </c>
      <c r="C572" t="s">
        <v>78</v>
      </c>
      <c r="D572" s="1" t="s">
        <v>102</v>
      </c>
      <c r="E572" t="s">
        <v>93</v>
      </c>
      <c r="F572" t="s">
        <v>22</v>
      </c>
      <c r="G572">
        <v>11</v>
      </c>
      <c r="H572">
        <v>0</v>
      </c>
      <c r="I572" s="5">
        <f>VLOOKUP(TrendSheetStgData[Population]&amp;TrendSheetStgData[Cost Basis]&amp;TrendSheetStgData[Period]&amp;TrendSheetStgData[Trend],TrendSheetPrdData[#All],9,FALSE)</f>
        <v>0</v>
      </c>
      <c r="J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2" s="5">
        <f>VLOOKUP(TrendSheetStgData[Population]&amp;TrendSheetStgData[Trend],Threshold[#All],4,FALSE)</f>
        <v>10</v>
      </c>
      <c r="L572" s="5">
        <f>VLOOKUP(TrendSheetStgData[Population]&amp;TrendSheetStgData[Trend],Threshold[#All],5,FALSE)</f>
        <v>5</v>
      </c>
      <c r="M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3" spans="1:13" x14ac:dyDescent="0.25">
      <c r="A573" t="s">
        <v>90</v>
      </c>
      <c r="B573" t="s">
        <v>90</v>
      </c>
      <c r="C573" t="s">
        <v>78</v>
      </c>
      <c r="D573" s="1" t="s">
        <v>103</v>
      </c>
      <c r="E573" t="s">
        <v>93</v>
      </c>
      <c r="F573" t="s">
        <v>22</v>
      </c>
      <c r="G573">
        <v>11</v>
      </c>
      <c r="H573">
        <v>0</v>
      </c>
      <c r="I573" s="5">
        <f>VLOOKUP(TrendSheetStgData[Population]&amp;TrendSheetStgData[Cost Basis]&amp;TrendSheetStgData[Period]&amp;TrendSheetStgData[Trend],TrendSheetPrdData[#All],9,FALSE)</f>
        <v>0</v>
      </c>
      <c r="J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3" s="5">
        <f>VLOOKUP(TrendSheetStgData[Population]&amp;TrendSheetStgData[Trend],Threshold[#All],4,FALSE)</f>
        <v>10</v>
      </c>
      <c r="L573" s="5">
        <f>VLOOKUP(TrendSheetStgData[Population]&amp;TrendSheetStgData[Trend],Threshold[#All],5,FALSE)</f>
        <v>5</v>
      </c>
      <c r="M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4" spans="1:13" x14ac:dyDescent="0.25">
      <c r="A574" t="s">
        <v>90</v>
      </c>
      <c r="B574" t="s">
        <v>90</v>
      </c>
      <c r="C574" t="s">
        <v>78</v>
      </c>
      <c r="D574" s="1" t="s">
        <v>104</v>
      </c>
      <c r="E574" t="s">
        <v>93</v>
      </c>
      <c r="F574" t="s">
        <v>22</v>
      </c>
      <c r="G574">
        <v>11</v>
      </c>
      <c r="H574">
        <v>0</v>
      </c>
      <c r="I574" s="5">
        <f>VLOOKUP(TrendSheetStgData[Population]&amp;TrendSheetStgData[Cost Basis]&amp;TrendSheetStgData[Period]&amp;TrendSheetStgData[Trend],TrendSheetPrdData[#All],9,FALSE)</f>
        <v>0</v>
      </c>
      <c r="J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4" s="5">
        <f>VLOOKUP(TrendSheetStgData[Population]&amp;TrendSheetStgData[Trend],Threshold[#All],4,FALSE)</f>
        <v>10</v>
      </c>
      <c r="L574" s="5">
        <f>VLOOKUP(TrendSheetStgData[Population]&amp;TrendSheetStgData[Trend],Threshold[#All],5,FALSE)</f>
        <v>5</v>
      </c>
      <c r="M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5" spans="1:13" x14ac:dyDescent="0.25">
      <c r="A575" t="s">
        <v>90</v>
      </c>
      <c r="B575" t="s">
        <v>90</v>
      </c>
      <c r="C575" t="s">
        <v>78</v>
      </c>
      <c r="D575" s="1" t="s">
        <v>105</v>
      </c>
      <c r="E575" t="s">
        <v>93</v>
      </c>
      <c r="F575" t="s">
        <v>22</v>
      </c>
      <c r="G575">
        <v>11</v>
      </c>
      <c r="H575">
        <v>0</v>
      </c>
      <c r="I575" s="5">
        <f>VLOOKUP(TrendSheetStgData[Population]&amp;TrendSheetStgData[Cost Basis]&amp;TrendSheetStgData[Period]&amp;TrendSheetStgData[Trend],TrendSheetPrdData[#All],9,FALSE)</f>
        <v>0</v>
      </c>
      <c r="J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5" s="5">
        <f>VLOOKUP(TrendSheetStgData[Population]&amp;TrendSheetStgData[Trend],Threshold[#All],4,FALSE)</f>
        <v>10</v>
      </c>
      <c r="L575" s="5">
        <f>VLOOKUP(TrendSheetStgData[Population]&amp;TrendSheetStgData[Trend],Threshold[#All],5,FALSE)</f>
        <v>5</v>
      </c>
      <c r="M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6" spans="1:13" x14ac:dyDescent="0.25">
      <c r="A576" t="s">
        <v>90</v>
      </c>
      <c r="B576" t="s">
        <v>90</v>
      </c>
      <c r="C576" t="s">
        <v>78</v>
      </c>
      <c r="D576" s="1" t="s">
        <v>106</v>
      </c>
      <c r="E576" t="s">
        <v>93</v>
      </c>
      <c r="F576" t="s">
        <v>22</v>
      </c>
      <c r="G576">
        <v>11</v>
      </c>
      <c r="H576">
        <v>0</v>
      </c>
      <c r="I576" s="5">
        <f>VLOOKUP(TrendSheetStgData[Population]&amp;TrendSheetStgData[Cost Basis]&amp;TrendSheetStgData[Period]&amp;TrendSheetStgData[Trend],TrendSheetPrdData[#All],9,FALSE)</f>
        <v>0</v>
      </c>
      <c r="J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6" s="5">
        <f>VLOOKUP(TrendSheetStgData[Population]&amp;TrendSheetStgData[Trend],Threshold[#All],4,FALSE)</f>
        <v>10</v>
      </c>
      <c r="L576" s="5">
        <f>VLOOKUP(TrendSheetStgData[Population]&amp;TrendSheetStgData[Trend],Threshold[#All],5,FALSE)</f>
        <v>5</v>
      </c>
      <c r="M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7" spans="1:13" x14ac:dyDescent="0.25">
      <c r="A577" t="s">
        <v>90</v>
      </c>
      <c r="B577" t="s">
        <v>90</v>
      </c>
      <c r="C577" t="s">
        <v>78</v>
      </c>
      <c r="D577" s="1" t="s">
        <v>107</v>
      </c>
      <c r="E577" t="s">
        <v>108</v>
      </c>
      <c r="F577" t="s">
        <v>22</v>
      </c>
      <c r="G577">
        <v>11</v>
      </c>
      <c r="H577">
        <v>0</v>
      </c>
      <c r="I577" s="5">
        <f>VLOOKUP(TrendSheetStgData[Population]&amp;TrendSheetStgData[Cost Basis]&amp;TrendSheetStgData[Period]&amp;TrendSheetStgData[Trend],TrendSheetPrdData[#All],9,FALSE)</f>
        <v>0</v>
      </c>
      <c r="J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 s="5">
        <f>VLOOKUP(TrendSheetStgData[Population]&amp;TrendSheetStgData[Trend],Threshold[#All],4,FALSE)</f>
        <v>10</v>
      </c>
      <c r="L577" s="5">
        <f>VLOOKUP(TrendSheetStgData[Population]&amp;TrendSheetStgData[Trend],Threshold[#All],5,FALSE)</f>
        <v>5</v>
      </c>
      <c r="M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 spans="1:13" x14ac:dyDescent="0.25">
      <c r="A578" t="s">
        <v>90</v>
      </c>
      <c r="B578" t="s">
        <v>90</v>
      </c>
      <c r="C578" t="s">
        <v>78</v>
      </c>
      <c r="D578" s="1" t="s">
        <v>109</v>
      </c>
      <c r="E578" t="s">
        <v>108</v>
      </c>
      <c r="F578" t="s">
        <v>22</v>
      </c>
      <c r="G578">
        <v>11</v>
      </c>
      <c r="H578">
        <v>0</v>
      </c>
      <c r="I578" s="5">
        <f>VLOOKUP(TrendSheetStgData[Population]&amp;TrendSheetStgData[Cost Basis]&amp;TrendSheetStgData[Period]&amp;TrendSheetStgData[Trend],TrendSheetPrdData[#All],9,FALSE)</f>
        <v>0</v>
      </c>
      <c r="J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 s="5">
        <f>VLOOKUP(TrendSheetStgData[Population]&amp;TrendSheetStgData[Trend],Threshold[#All],4,FALSE)</f>
        <v>10</v>
      </c>
      <c r="L578" s="5">
        <f>VLOOKUP(TrendSheetStgData[Population]&amp;TrendSheetStgData[Trend],Threshold[#All],5,FALSE)</f>
        <v>5</v>
      </c>
      <c r="M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 spans="1:13" x14ac:dyDescent="0.25">
      <c r="A579" t="s">
        <v>90</v>
      </c>
      <c r="B579" t="s">
        <v>90</v>
      </c>
      <c r="C579" t="s">
        <v>78</v>
      </c>
      <c r="D579" s="1" t="s">
        <v>110</v>
      </c>
      <c r="E579" t="s">
        <v>108</v>
      </c>
      <c r="F579" t="s">
        <v>22</v>
      </c>
      <c r="G579">
        <v>11</v>
      </c>
      <c r="H579">
        <v>0</v>
      </c>
      <c r="I579" s="5">
        <f>VLOOKUP(TrendSheetStgData[Population]&amp;TrendSheetStgData[Cost Basis]&amp;TrendSheetStgData[Period]&amp;TrendSheetStgData[Trend],TrendSheetPrdData[#All],9,FALSE)</f>
        <v>0</v>
      </c>
      <c r="J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 s="5">
        <f>VLOOKUP(TrendSheetStgData[Population]&amp;TrendSheetStgData[Trend],Threshold[#All],4,FALSE)</f>
        <v>10</v>
      </c>
      <c r="L579" s="5">
        <f>VLOOKUP(TrendSheetStgData[Population]&amp;TrendSheetStgData[Trend],Threshold[#All],5,FALSE)</f>
        <v>5</v>
      </c>
      <c r="M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0" spans="1:13" x14ac:dyDescent="0.25">
      <c r="A580" t="s">
        <v>90</v>
      </c>
      <c r="B580" t="s">
        <v>90</v>
      </c>
      <c r="C580" t="s">
        <v>78</v>
      </c>
      <c r="D580" s="1" t="s">
        <v>92</v>
      </c>
      <c r="E580" t="s">
        <v>93</v>
      </c>
      <c r="F580" t="s">
        <v>23</v>
      </c>
      <c r="G580">
        <v>12</v>
      </c>
      <c r="H580">
        <v>0</v>
      </c>
      <c r="I580" s="5">
        <f>VLOOKUP(TrendSheetStgData[Population]&amp;TrendSheetStgData[Cost Basis]&amp;TrendSheetStgData[Period]&amp;TrendSheetStgData[Trend],TrendSheetPrdData[#All],9,FALSE)</f>
        <v>0</v>
      </c>
      <c r="J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0" s="5">
        <f>VLOOKUP(TrendSheetStgData[Population]&amp;TrendSheetStgData[Trend],Threshold[#All],4,FALSE)</f>
        <v>10</v>
      </c>
      <c r="L580" s="5">
        <f>VLOOKUP(TrendSheetStgData[Population]&amp;TrendSheetStgData[Trend],Threshold[#All],5,FALSE)</f>
        <v>5</v>
      </c>
      <c r="M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1" spans="1:13" x14ac:dyDescent="0.25">
      <c r="A581" t="s">
        <v>90</v>
      </c>
      <c r="B581" t="s">
        <v>90</v>
      </c>
      <c r="C581" t="s">
        <v>78</v>
      </c>
      <c r="D581" s="1" t="s">
        <v>94</v>
      </c>
      <c r="E581" t="s">
        <v>93</v>
      </c>
      <c r="F581" t="s">
        <v>23</v>
      </c>
      <c r="G581">
        <v>12</v>
      </c>
      <c r="H581">
        <v>5</v>
      </c>
      <c r="I581" s="5">
        <f>VLOOKUP(TrendSheetStgData[Population]&amp;TrendSheetStgData[Cost Basis]&amp;TrendSheetStgData[Period]&amp;TrendSheetStgData[Trend],TrendSheetPrdData[#All],9,FALSE)</f>
        <v>5</v>
      </c>
      <c r="J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1" s="5">
        <f>VLOOKUP(TrendSheetStgData[Population]&amp;TrendSheetStgData[Trend],Threshold[#All],4,FALSE)</f>
        <v>10</v>
      </c>
      <c r="L581" s="5">
        <f>VLOOKUP(TrendSheetStgData[Population]&amp;TrendSheetStgData[Trend],Threshold[#All],5,FALSE)</f>
        <v>5</v>
      </c>
      <c r="M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2" spans="1:13" x14ac:dyDescent="0.25">
      <c r="A582" t="s">
        <v>90</v>
      </c>
      <c r="B582" t="s">
        <v>90</v>
      </c>
      <c r="C582" t="s">
        <v>78</v>
      </c>
      <c r="D582" s="1" t="s">
        <v>95</v>
      </c>
      <c r="E582" t="s">
        <v>93</v>
      </c>
      <c r="F582" t="s">
        <v>23</v>
      </c>
      <c r="G582">
        <v>12</v>
      </c>
      <c r="H582">
        <v>5</v>
      </c>
      <c r="I582" s="5">
        <f>VLOOKUP(TrendSheetStgData[Population]&amp;TrendSheetStgData[Cost Basis]&amp;TrendSheetStgData[Period]&amp;TrendSheetStgData[Trend],TrendSheetPrdData[#All],9,FALSE)</f>
        <v>5</v>
      </c>
      <c r="J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2" s="5">
        <f>VLOOKUP(TrendSheetStgData[Population]&amp;TrendSheetStgData[Trend],Threshold[#All],4,FALSE)</f>
        <v>10</v>
      </c>
      <c r="L582" s="5">
        <f>VLOOKUP(TrendSheetStgData[Population]&amp;TrendSheetStgData[Trend],Threshold[#All],5,FALSE)</f>
        <v>5</v>
      </c>
      <c r="M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3" spans="1:13" x14ac:dyDescent="0.25">
      <c r="A583" t="s">
        <v>90</v>
      </c>
      <c r="B583" t="s">
        <v>90</v>
      </c>
      <c r="C583" t="s">
        <v>78</v>
      </c>
      <c r="D583" s="1" t="s">
        <v>96</v>
      </c>
      <c r="E583" t="s">
        <v>93</v>
      </c>
      <c r="F583" t="s">
        <v>23</v>
      </c>
      <c r="G583">
        <v>12</v>
      </c>
      <c r="H583">
        <v>9</v>
      </c>
      <c r="I583" s="5">
        <f>VLOOKUP(TrendSheetStgData[Population]&amp;TrendSheetStgData[Cost Basis]&amp;TrendSheetStgData[Period]&amp;TrendSheetStgData[Trend],TrendSheetPrdData[#All],9,FALSE)</f>
        <v>9</v>
      </c>
      <c r="J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3" s="5">
        <f>VLOOKUP(TrendSheetStgData[Population]&amp;TrendSheetStgData[Trend],Threshold[#All],4,FALSE)</f>
        <v>10</v>
      </c>
      <c r="L583" s="5">
        <f>VLOOKUP(TrendSheetStgData[Population]&amp;TrendSheetStgData[Trend],Threshold[#All],5,FALSE)</f>
        <v>5</v>
      </c>
      <c r="M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4" spans="1:13" x14ac:dyDescent="0.25">
      <c r="A584" t="s">
        <v>90</v>
      </c>
      <c r="B584" t="s">
        <v>90</v>
      </c>
      <c r="C584" t="s">
        <v>78</v>
      </c>
      <c r="D584" s="1" t="s">
        <v>97</v>
      </c>
      <c r="E584" t="s">
        <v>93</v>
      </c>
      <c r="F584" t="s">
        <v>23</v>
      </c>
      <c r="G584">
        <v>12</v>
      </c>
      <c r="H584">
        <v>0</v>
      </c>
      <c r="I584" s="5">
        <f>VLOOKUP(TrendSheetStgData[Population]&amp;TrendSheetStgData[Cost Basis]&amp;TrendSheetStgData[Period]&amp;TrendSheetStgData[Trend],TrendSheetPrdData[#All],9,FALSE)</f>
        <v>0</v>
      </c>
      <c r="J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4" s="5">
        <f>VLOOKUP(TrendSheetStgData[Population]&amp;TrendSheetStgData[Trend],Threshold[#All],4,FALSE)</f>
        <v>10</v>
      </c>
      <c r="L584" s="5">
        <f>VLOOKUP(TrendSheetStgData[Population]&amp;TrendSheetStgData[Trend],Threshold[#All],5,FALSE)</f>
        <v>5</v>
      </c>
      <c r="M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5" spans="1:13" x14ac:dyDescent="0.25">
      <c r="A585" t="s">
        <v>90</v>
      </c>
      <c r="B585" t="s">
        <v>90</v>
      </c>
      <c r="C585" t="s">
        <v>78</v>
      </c>
      <c r="D585" s="1" t="s">
        <v>98</v>
      </c>
      <c r="E585" t="s">
        <v>93</v>
      </c>
      <c r="F585" t="s">
        <v>23</v>
      </c>
      <c r="G585">
        <v>12</v>
      </c>
      <c r="H585">
        <v>0</v>
      </c>
      <c r="I585" s="5">
        <f>VLOOKUP(TrendSheetStgData[Population]&amp;TrendSheetStgData[Cost Basis]&amp;TrendSheetStgData[Period]&amp;TrendSheetStgData[Trend],TrendSheetPrdData[#All],9,FALSE)</f>
        <v>0</v>
      </c>
      <c r="J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5" s="5">
        <f>VLOOKUP(TrendSheetStgData[Population]&amp;TrendSheetStgData[Trend],Threshold[#All],4,FALSE)</f>
        <v>10</v>
      </c>
      <c r="L585" s="5">
        <f>VLOOKUP(TrendSheetStgData[Population]&amp;TrendSheetStgData[Trend],Threshold[#All],5,FALSE)</f>
        <v>5</v>
      </c>
      <c r="M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6" spans="1:13" x14ac:dyDescent="0.25">
      <c r="A586" t="s">
        <v>90</v>
      </c>
      <c r="B586" t="s">
        <v>90</v>
      </c>
      <c r="C586" t="s">
        <v>78</v>
      </c>
      <c r="D586" s="1" t="s">
        <v>99</v>
      </c>
      <c r="E586" t="s">
        <v>93</v>
      </c>
      <c r="F586" t="s">
        <v>23</v>
      </c>
      <c r="G586">
        <v>12</v>
      </c>
      <c r="H586">
        <v>0</v>
      </c>
      <c r="I586" s="5">
        <f>VLOOKUP(TrendSheetStgData[Population]&amp;TrendSheetStgData[Cost Basis]&amp;TrendSheetStgData[Period]&amp;TrendSheetStgData[Trend],TrendSheetPrdData[#All],9,FALSE)</f>
        <v>0</v>
      </c>
      <c r="J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6" s="5">
        <f>VLOOKUP(TrendSheetStgData[Population]&amp;TrendSheetStgData[Trend],Threshold[#All],4,FALSE)</f>
        <v>10</v>
      </c>
      <c r="L586" s="5">
        <f>VLOOKUP(TrendSheetStgData[Population]&amp;TrendSheetStgData[Trend],Threshold[#All],5,FALSE)</f>
        <v>5</v>
      </c>
      <c r="M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7" spans="1:13" x14ac:dyDescent="0.25">
      <c r="A587" t="s">
        <v>90</v>
      </c>
      <c r="B587" t="s">
        <v>90</v>
      </c>
      <c r="C587" t="s">
        <v>78</v>
      </c>
      <c r="D587" s="1" t="s">
        <v>100</v>
      </c>
      <c r="E587" t="s">
        <v>93</v>
      </c>
      <c r="F587" t="s">
        <v>23</v>
      </c>
      <c r="G587">
        <v>12</v>
      </c>
      <c r="H587">
        <v>0</v>
      </c>
      <c r="I587" s="5">
        <f>VLOOKUP(TrendSheetStgData[Population]&amp;TrendSheetStgData[Cost Basis]&amp;TrendSheetStgData[Period]&amp;TrendSheetStgData[Trend],TrendSheetPrdData[#All],9,FALSE)</f>
        <v>0</v>
      </c>
      <c r="J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7" s="5">
        <f>VLOOKUP(TrendSheetStgData[Population]&amp;TrendSheetStgData[Trend],Threshold[#All],4,FALSE)</f>
        <v>10</v>
      </c>
      <c r="L587" s="5">
        <f>VLOOKUP(TrendSheetStgData[Population]&amp;TrendSheetStgData[Trend],Threshold[#All],5,FALSE)</f>
        <v>5</v>
      </c>
      <c r="M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8" spans="1:13" x14ac:dyDescent="0.25">
      <c r="A588" t="s">
        <v>90</v>
      </c>
      <c r="B588" t="s">
        <v>90</v>
      </c>
      <c r="C588" t="s">
        <v>78</v>
      </c>
      <c r="D588" s="1" t="s">
        <v>101</v>
      </c>
      <c r="E588" t="s">
        <v>93</v>
      </c>
      <c r="F588" t="s">
        <v>23</v>
      </c>
      <c r="G588">
        <v>12</v>
      </c>
      <c r="H588">
        <v>0</v>
      </c>
      <c r="I588" s="5">
        <f>VLOOKUP(TrendSheetStgData[Population]&amp;TrendSheetStgData[Cost Basis]&amp;TrendSheetStgData[Period]&amp;TrendSheetStgData[Trend],TrendSheetPrdData[#All],9,FALSE)</f>
        <v>0</v>
      </c>
      <c r="J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8" s="5">
        <f>VLOOKUP(TrendSheetStgData[Population]&amp;TrendSheetStgData[Trend],Threshold[#All],4,FALSE)</f>
        <v>10</v>
      </c>
      <c r="L588" s="5">
        <f>VLOOKUP(TrendSheetStgData[Population]&amp;TrendSheetStgData[Trend],Threshold[#All],5,FALSE)</f>
        <v>5</v>
      </c>
      <c r="M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9" spans="1:13" x14ac:dyDescent="0.25">
      <c r="A589" t="s">
        <v>90</v>
      </c>
      <c r="B589" t="s">
        <v>90</v>
      </c>
      <c r="C589" t="s">
        <v>78</v>
      </c>
      <c r="D589" s="1" t="s">
        <v>102</v>
      </c>
      <c r="E589" t="s">
        <v>93</v>
      </c>
      <c r="F589" t="s">
        <v>23</v>
      </c>
      <c r="G589">
        <v>12</v>
      </c>
      <c r="H589">
        <v>0</v>
      </c>
      <c r="I589" s="5">
        <f>VLOOKUP(TrendSheetStgData[Population]&amp;TrendSheetStgData[Cost Basis]&amp;TrendSheetStgData[Period]&amp;TrendSheetStgData[Trend],TrendSheetPrdData[#All],9,FALSE)</f>
        <v>0</v>
      </c>
      <c r="J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9" s="5">
        <f>VLOOKUP(TrendSheetStgData[Population]&amp;TrendSheetStgData[Trend],Threshold[#All],4,FALSE)</f>
        <v>10</v>
      </c>
      <c r="L589" s="5">
        <f>VLOOKUP(TrendSheetStgData[Population]&amp;TrendSheetStgData[Trend],Threshold[#All],5,FALSE)</f>
        <v>5</v>
      </c>
      <c r="M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0" spans="1:13" x14ac:dyDescent="0.25">
      <c r="A590" t="s">
        <v>90</v>
      </c>
      <c r="B590" t="s">
        <v>90</v>
      </c>
      <c r="C590" t="s">
        <v>78</v>
      </c>
      <c r="D590" s="1" t="s">
        <v>103</v>
      </c>
      <c r="E590" t="s">
        <v>93</v>
      </c>
      <c r="F590" t="s">
        <v>23</v>
      </c>
      <c r="G590">
        <v>12</v>
      </c>
      <c r="H590">
        <v>0</v>
      </c>
      <c r="I590" s="5">
        <f>VLOOKUP(TrendSheetStgData[Population]&amp;TrendSheetStgData[Cost Basis]&amp;TrendSheetStgData[Period]&amp;TrendSheetStgData[Trend],TrendSheetPrdData[#All],9,FALSE)</f>
        <v>0</v>
      </c>
      <c r="J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0" s="5">
        <f>VLOOKUP(TrendSheetStgData[Population]&amp;TrendSheetStgData[Trend],Threshold[#All],4,FALSE)</f>
        <v>10</v>
      </c>
      <c r="L590" s="5">
        <f>VLOOKUP(TrendSheetStgData[Population]&amp;TrendSheetStgData[Trend],Threshold[#All],5,FALSE)</f>
        <v>5</v>
      </c>
      <c r="M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1" spans="1:13" x14ac:dyDescent="0.25">
      <c r="A591" t="s">
        <v>90</v>
      </c>
      <c r="B591" t="s">
        <v>90</v>
      </c>
      <c r="C591" t="s">
        <v>78</v>
      </c>
      <c r="D591" s="1" t="s">
        <v>104</v>
      </c>
      <c r="E591" t="s">
        <v>93</v>
      </c>
      <c r="F591" t="s">
        <v>23</v>
      </c>
      <c r="G591">
        <v>12</v>
      </c>
      <c r="H591">
        <v>0</v>
      </c>
      <c r="I591" s="5">
        <f>VLOOKUP(TrendSheetStgData[Population]&amp;TrendSheetStgData[Cost Basis]&amp;TrendSheetStgData[Period]&amp;TrendSheetStgData[Trend],TrendSheetPrdData[#All],9,FALSE)</f>
        <v>0</v>
      </c>
      <c r="J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1" s="5">
        <f>VLOOKUP(TrendSheetStgData[Population]&amp;TrendSheetStgData[Trend],Threshold[#All],4,FALSE)</f>
        <v>10</v>
      </c>
      <c r="L591" s="5">
        <f>VLOOKUP(TrendSheetStgData[Population]&amp;TrendSheetStgData[Trend],Threshold[#All],5,FALSE)</f>
        <v>5</v>
      </c>
      <c r="M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2" spans="1:13" x14ac:dyDescent="0.25">
      <c r="A592" t="s">
        <v>90</v>
      </c>
      <c r="B592" t="s">
        <v>90</v>
      </c>
      <c r="C592" t="s">
        <v>78</v>
      </c>
      <c r="D592" s="1" t="s">
        <v>105</v>
      </c>
      <c r="E592" t="s">
        <v>93</v>
      </c>
      <c r="F592" t="s">
        <v>23</v>
      </c>
      <c r="G592">
        <v>12</v>
      </c>
      <c r="H592">
        <v>0</v>
      </c>
      <c r="I592" s="5">
        <f>VLOOKUP(TrendSheetStgData[Population]&amp;TrendSheetStgData[Cost Basis]&amp;TrendSheetStgData[Period]&amp;TrendSheetStgData[Trend],TrendSheetPrdData[#All],9,FALSE)</f>
        <v>0</v>
      </c>
      <c r="J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2" s="5">
        <f>VLOOKUP(TrendSheetStgData[Population]&amp;TrendSheetStgData[Trend],Threshold[#All],4,FALSE)</f>
        <v>10</v>
      </c>
      <c r="L592" s="5">
        <f>VLOOKUP(TrendSheetStgData[Population]&amp;TrendSheetStgData[Trend],Threshold[#All],5,FALSE)</f>
        <v>5</v>
      </c>
      <c r="M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3" spans="1:13" x14ac:dyDescent="0.25">
      <c r="A593" t="s">
        <v>90</v>
      </c>
      <c r="B593" t="s">
        <v>90</v>
      </c>
      <c r="C593" t="s">
        <v>78</v>
      </c>
      <c r="D593" s="1" t="s">
        <v>106</v>
      </c>
      <c r="E593" t="s">
        <v>93</v>
      </c>
      <c r="F593" t="s">
        <v>23</v>
      </c>
      <c r="G593">
        <v>12</v>
      </c>
      <c r="H593">
        <v>0</v>
      </c>
      <c r="I593" s="5">
        <f>VLOOKUP(TrendSheetStgData[Population]&amp;TrendSheetStgData[Cost Basis]&amp;TrendSheetStgData[Period]&amp;TrendSheetStgData[Trend],TrendSheetPrdData[#All],9,FALSE)</f>
        <v>0</v>
      </c>
      <c r="J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3" s="5">
        <f>VLOOKUP(TrendSheetStgData[Population]&amp;TrendSheetStgData[Trend],Threshold[#All],4,FALSE)</f>
        <v>10</v>
      </c>
      <c r="L593" s="5">
        <f>VLOOKUP(TrendSheetStgData[Population]&amp;TrendSheetStgData[Trend],Threshold[#All],5,FALSE)</f>
        <v>5</v>
      </c>
      <c r="M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4" spans="1:13" x14ac:dyDescent="0.25">
      <c r="A594" t="s">
        <v>90</v>
      </c>
      <c r="B594" t="s">
        <v>90</v>
      </c>
      <c r="C594" t="s">
        <v>78</v>
      </c>
      <c r="D594" s="1" t="s">
        <v>107</v>
      </c>
      <c r="E594" t="s">
        <v>108</v>
      </c>
      <c r="F594" t="s">
        <v>23</v>
      </c>
      <c r="G594">
        <v>12</v>
      </c>
      <c r="H594">
        <v>0</v>
      </c>
      <c r="I594" s="5">
        <f>VLOOKUP(TrendSheetStgData[Population]&amp;TrendSheetStgData[Cost Basis]&amp;TrendSheetStgData[Period]&amp;TrendSheetStgData[Trend],TrendSheetPrdData[#All],9,FALSE)</f>
        <v>0</v>
      </c>
      <c r="J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4" s="5">
        <f>VLOOKUP(TrendSheetStgData[Population]&amp;TrendSheetStgData[Trend],Threshold[#All],4,FALSE)</f>
        <v>10</v>
      </c>
      <c r="L594" s="5">
        <f>VLOOKUP(TrendSheetStgData[Population]&amp;TrendSheetStgData[Trend],Threshold[#All],5,FALSE)</f>
        <v>5</v>
      </c>
      <c r="M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5" spans="1:13" x14ac:dyDescent="0.25">
      <c r="A595" t="s">
        <v>90</v>
      </c>
      <c r="B595" t="s">
        <v>90</v>
      </c>
      <c r="C595" t="s">
        <v>78</v>
      </c>
      <c r="D595" s="1" t="s">
        <v>109</v>
      </c>
      <c r="E595" t="s">
        <v>108</v>
      </c>
      <c r="F595" t="s">
        <v>23</v>
      </c>
      <c r="G595">
        <v>12</v>
      </c>
      <c r="H595">
        <v>0</v>
      </c>
      <c r="I595" s="5">
        <f>VLOOKUP(TrendSheetStgData[Population]&amp;TrendSheetStgData[Cost Basis]&amp;TrendSheetStgData[Period]&amp;TrendSheetStgData[Trend],TrendSheetPrdData[#All],9,FALSE)</f>
        <v>0</v>
      </c>
      <c r="J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5" s="5">
        <f>VLOOKUP(TrendSheetStgData[Population]&amp;TrendSheetStgData[Trend],Threshold[#All],4,FALSE)</f>
        <v>10</v>
      </c>
      <c r="L595" s="5">
        <f>VLOOKUP(TrendSheetStgData[Population]&amp;TrendSheetStgData[Trend],Threshold[#All],5,FALSE)</f>
        <v>5</v>
      </c>
      <c r="M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6" spans="1:13" x14ac:dyDescent="0.25">
      <c r="A596" t="s">
        <v>90</v>
      </c>
      <c r="B596" t="s">
        <v>90</v>
      </c>
      <c r="C596" t="s">
        <v>78</v>
      </c>
      <c r="D596" s="1" t="s">
        <v>110</v>
      </c>
      <c r="E596" t="s">
        <v>108</v>
      </c>
      <c r="F596" t="s">
        <v>23</v>
      </c>
      <c r="G596">
        <v>12</v>
      </c>
      <c r="H596">
        <v>0</v>
      </c>
      <c r="I596" s="5">
        <f>VLOOKUP(TrendSheetStgData[Population]&amp;TrendSheetStgData[Cost Basis]&amp;TrendSheetStgData[Period]&amp;TrendSheetStgData[Trend],TrendSheetPrdData[#All],9,FALSE)</f>
        <v>0</v>
      </c>
      <c r="J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6" s="5">
        <f>VLOOKUP(TrendSheetStgData[Population]&amp;TrendSheetStgData[Trend],Threshold[#All],4,FALSE)</f>
        <v>10</v>
      </c>
      <c r="L596" s="5">
        <f>VLOOKUP(TrendSheetStgData[Population]&amp;TrendSheetStgData[Trend],Threshold[#All],5,FALSE)</f>
        <v>5</v>
      </c>
      <c r="M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7" spans="1:13" x14ac:dyDescent="0.25">
      <c r="A597" t="s">
        <v>90</v>
      </c>
      <c r="B597" t="s">
        <v>90</v>
      </c>
      <c r="C597" t="s">
        <v>78</v>
      </c>
      <c r="D597" s="1" t="s">
        <v>92</v>
      </c>
      <c r="E597" t="s">
        <v>93</v>
      </c>
      <c r="F597" t="s">
        <v>24</v>
      </c>
      <c r="G597">
        <v>13</v>
      </c>
      <c r="H597">
        <v>117506</v>
      </c>
      <c r="I597" s="5">
        <f>VLOOKUP(TrendSheetStgData[Population]&amp;TrendSheetStgData[Cost Basis]&amp;TrendSheetStgData[Period]&amp;TrendSheetStgData[Trend],TrendSheetPrdData[#All],9,FALSE)</f>
        <v>117506</v>
      </c>
      <c r="J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7" s="5">
        <f>VLOOKUP(TrendSheetStgData[Population]&amp;TrendSheetStgData[Trend],Threshold[#All],4,FALSE)</f>
        <v>10</v>
      </c>
      <c r="L597" s="5">
        <f>VLOOKUP(TrendSheetStgData[Population]&amp;TrendSheetStgData[Trend],Threshold[#All],5,FALSE)</f>
        <v>5</v>
      </c>
      <c r="M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8" spans="1:13" x14ac:dyDescent="0.25">
      <c r="A598" t="s">
        <v>90</v>
      </c>
      <c r="B598" t="s">
        <v>90</v>
      </c>
      <c r="C598" t="s">
        <v>78</v>
      </c>
      <c r="D598" s="1" t="s">
        <v>94</v>
      </c>
      <c r="E598" t="s">
        <v>93</v>
      </c>
      <c r="F598" t="s">
        <v>24</v>
      </c>
      <c r="G598">
        <v>13</v>
      </c>
      <c r="H598">
        <v>83381</v>
      </c>
      <c r="I598" s="5">
        <f>VLOOKUP(TrendSheetStgData[Population]&amp;TrendSheetStgData[Cost Basis]&amp;TrendSheetStgData[Period]&amp;TrendSheetStgData[Trend],TrendSheetPrdData[#All],9,FALSE)</f>
        <v>83381</v>
      </c>
      <c r="J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8" s="5">
        <f>VLOOKUP(TrendSheetStgData[Population]&amp;TrendSheetStgData[Trend],Threshold[#All],4,FALSE)</f>
        <v>10</v>
      </c>
      <c r="L598" s="5">
        <f>VLOOKUP(TrendSheetStgData[Population]&amp;TrendSheetStgData[Trend],Threshold[#All],5,FALSE)</f>
        <v>5</v>
      </c>
      <c r="M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9" spans="1:13" x14ac:dyDescent="0.25">
      <c r="A599" t="s">
        <v>90</v>
      </c>
      <c r="B599" t="s">
        <v>90</v>
      </c>
      <c r="C599" t="s">
        <v>78</v>
      </c>
      <c r="D599" s="1" t="s">
        <v>95</v>
      </c>
      <c r="E599" t="s">
        <v>93</v>
      </c>
      <c r="F599" t="s">
        <v>24</v>
      </c>
      <c r="G599">
        <v>13</v>
      </c>
      <c r="H599">
        <v>84357</v>
      </c>
      <c r="I599" s="5">
        <f>VLOOKUP(TrendSheetStgData[Population]&amp;TrendSheetStgData[Cost Basis]&amp;TrendSheetStgData[Period]&amp;TrendSheetStgData[Trend],TrendSheetPrdData[#All],9,FALSE)</f>
        <v>84357</v>
      </c>
      <c r="J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9" s="5">
        <f>VLOOKUP(TrendSheetStgData[Population]&amp;TrendSheetStgData[Trend],Threshold[#All],4,FALSE)</f>
        <v>10</v>
      </c>
      <c r="L599" s="5">
        <f>VLOOKUP(TrendSheetStgData[Population]&amp;TrendSheetStgData[Trend],Threshold[#All],5,FALSE)</f>
        <v>5</v>
      </c>
      <c r="M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0" spans="1:13" x14ac:dyDescent="0.25">
      <c r="A600" t="s">
        <v>90</v>
      </c>
      <c r="B600" t="s">
        <v>90</v>
      </c>
      <c r="C600" t="s">
        <v>78</v>
      </c>
      <c r="D600" s="1" t="s">
        <v>96</v>
      </c>
      <c r="E600" t="s">
        <v>93</v>
      </c>
      <c r="F600" t="s">
        <v>24</v>
      </c>
      <c r="G600">
        <v>13</v>
      </c>
      <c r="H600">
        <v>102313</v>
      </c>
      <c r="I600" s="5">
        <f>VLOOKUP(TrendSheetStgData[Population]&amp;TrendSheetStgData[Cost Basis]&amp;TrendSheetStgData[Period]&amp;TrendSheetStgData[Trend],TrendSheetPrdData[#All],9,FALSE)</f>
        <v>102313</v>
      </c>
      <c r="J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0" s="5">
        <f>VLOOKUP(TrendSheetStgData[Population]&amp;TrendSheetStgData[Trend],Threshold[#All],4,FALSE)</f>
        <v>10</v>
      </c>
      <c r="L600" s="5">
        <f>VLOOKUP(TrendSheetStgData[Population]&amp;TrendSheetStgData[Trend],Threshold[#All],5,FALSE)</f>
        <v>5</v>
      </c>
      <c r="M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1" spans="1:13" x14ac:dyDescent="0.25">
      <c r="A601" t="s">
        <v>90</v>
      </c>
      <c r="B601" t="s">
        <v>90</v>
      </c>
      <c r="C601" t="s">
        <v>78</v>
      </c>
      <c r="D601" s="1" t="s">
        <v>97</v>
      </c>
      <c r="E601" t="s">
        <v>93</v>
      </c>
      <c r="F601" t="s">
        <v>24</v>
      </c>
      <c r="G601">
        <v>13</v>
      </c>
      <c r="H601">
        <v>50376</v>
      </c>
      <c r="I601" s="5">
        <f>VLOOKUP(TrendSheetStgData[Population]&amp;TrendSheetStgData[Cost Basis]&amp;TrendSheetStgData[Period]&amp;TrendSheetStgData[Trend],TrendSheetPrdData[#All],9,FALSE)</f>
        <v>50376</v>
      </c>
      <c r="J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1" s="5">
        <f>VLOOKUP(TrendSheetStgData[Population]&amp;TrendSheetStgData[Trend],Threshold[#All],4,FALSE)</f>
        <v>10</v>
      </c>
      <c r="L601" s="5">
        <f>VLOOKUP(TrendSheetStgData[Population]&amp;TrendSheetStgData[Trend],Threshold[#All],5,FALSE)</f>
        <v>5</v>
      </c>
      <c r="M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2" spans="1:13" x14ac:dyDescent="0.25">
      <c r="A602" t="s">
        <v>90</v>
      </c>
      <c r="B602" t="s">
        <v>90</v>
      </c>
      <c r="C602" t="s">
        <v>78</v>
      </c>
      <c r="D602" s="1" t="s">
        <v>98</v>
      </c>
      <c r="E602" t="s">
        <v>93</v>
      </c>
      <c r="F602" t="s">
        <v>24</v>
      </c>
      <c r="G602">
        <v>13</v>
      </c>
      <c r="H602">
        <v>64747</v>
      </c>
      <c r="I602" s="5">
        <f>VLOOKUP(TrendSheetStgData[Population]&amp;TrendSheetStgData[Cost Basis]&amp;TrendSheetStgData[Period]&amp;TrendSheetStgData[Trend],TrendSheetPrdData[#All],9,FALSE)</f>
        <v>64747</v>
      </c>
      <c r="J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2" s="5">
        <f>VLOOKUP(TrendSheetStgData[Population]&amp;TrendSheetStgData[Trend],Threshold[#All],4,FALSE)</f>
        <v>10</v>
      </c>
      <c r="L602" s="5">
        <f>VLOOKUP(TrendSheetStgData[Population]&amp;TrendSheetStgData[Trend],Threshold[#All],5,FALSE)</f>
        <v>5</v>
      </c>
      <c r="M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3" spans="1:13" x14ac:dyDescent="0.25">
      <c r="A603" t="s">
        <v>90</v>
      </c>
      <c r="B603" t="s">
        <v>90</v>
      </c>
      <c r="C603" t="s">
        <v>78</v>
      </c>
      <c r="D603" s="1" t="s">
        <v>99</v>
      </c>
      <c r="E603" t="s">
        <v>93</v>
      </c>
      <c r="F603" t="s">
        <v>24</v>
      </c>
      <c r="G603">
        <v>13</v>
      </c>
      <c r="H603">
        <v>116827</v>
      </c>
      <c r="I603" s="5">
        <f>VLOOKUP(TrendSheetStgData[Population]&amp;TrendSheetStgData[Cost Basis]&amp;TrendSheetStgData[Period]&amp;TrendSheetStgData[Trend],TrendSheetPrdData[#All],9,FALSE)</f>
        <v>116827</v>
      </c>
      <c r="J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3" s="5">
        <f>VLOOKUP(TrendSheetStgData[Population]&amp;TrendSheetStgData[Trend],Threshold[#All],4,FALSE)</f>
        <v>10</v>
      </c>
      <c r="L603" s="5">
        <f>VLOOKUP(TrendSheetStgData[Population]&amp;TrendSheetStgData[Trend],Threshold[#All],5,FALSE)</f>
        <v>5</v>
      </c>
      <c r="M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4" spans="1:13" x14ac:dyDescent="0.25">
      <c r="A604" t="s">
        <v>90</v>
      </c>
      <c r="B604" t="s">
        <v>90</v>
      </c>
      <c r="C604" t="s">
        <v>78</v>
      </c>
      <c r="D604" s="1" t="s">
        <v>100</v>
      </c>
      <c r="E604" t="s">
        <v>93</v>
      </c>
      <c r="F604" t="s">
        <v>24</v>
      </c>
      <c r="G604">
        <v>13</v>
      </c>
      <c r="H604">
        <v>56786</v>
      </c>
      <c r="I604" s="5">
        <f>VLOOKUP(TrendSheetStgData[Population]&amp;TrendSheetStgData[Cost Basis]&amp;TrendSheetStgData[Period]&amp;TrendSheetStgData[Trend],TrendSheetPrdData[#All],9,FALSE)</f>
        <v>56786</v>
      </c>
      <c r="J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4" s="5">
        <f>VLOOKUP(TrendSheetStgData[Population]&amp;TrendSheetStgData[Trend],Threshold[#All],4,FALSE)</f>
        <v>10</v>
      </c>
      <c r="L604" s="5">
        <f>VLOOKUP(TrendSheetStgData[Population]&amp;TrendSheetStgData[Trend],Threshold[#All],5,FALSE)</f>
        <v>5</v>
      </c>
      <c r="M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5" spans="1:13" x14ac:dyDescent="0.25">
      <c r="A605" t="s">
        <v>90</v>
      </c>
      <c r="B605" t="s">
        <v>90</v>
      </c>
      <c r="C605" t="s">
        <v>78</v>
      </c>
      <c r="D605" s="1" t="s">
        <v>101</v>
      </c>
      <c r="E605" t="s">
        <v>93</v>
      </c>
      <c r="F605" t="s">
        <v>24</v>
      </c>
      <c r="G605">
        <v>13</v>
      </c>
      <c r="H605">
        <v>62601</v>
      </c>
      <c r="I605" s="5">
        <f>VLOOKUP(TrendSheetStgData[Population]&amp;TrendSheetStgData[Cost Basis]&amp;TrendSheetStgData[Period]&amp;TrendSheetStgData[Trend],TrendSheetPrdData[#All],9,FALSE)</f>
        <v>62601</v>
      </c>
      <c r="J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5" s="5">
        <f>VLOOKUP(TrendSheetStgData[Population]&amp;TrendSheetStgData[Trend],Threshold[#All],4,FALSE)</f>
        <v>10</v>
      </c>
      <c r="L605" s="5">
        <f>VLOOKUP(TrendSheetStgData[Population]&amp;TrendSheetStgData[Trend],Threshold[#All],5,FALSE)</f>
        <v>5</v>
      </c>
      <c r="M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6" spans="1:13" x14ac:dyDescent="0.25">
      <c r="A606" t="s">
        <v>90</v>
      </c>
      <c r="B606" t="s">
        <v>90</v>
      </c>
      <c r="C606" t="s">
        <v>78</v>
      </c>
      <c r="D606" s="1" t="s">
        <v>102</v>
      </c>
      <c r="E606" t="s">
        <v>93</v>
      </c>
      <c r="F606" t="s">
        <v>24</v>
      </c>
      <c r="G606">
        <v>13</v>
      </c>
      <c r="H606">
        <v>56553</v>
      </c>
      <c r="I606" s="5">
        <f>VLOOKUP(TrendSheetStgData[Population]&amp;TrendSheetStgData[Cost Basis]&amp;TrendSheetStgData[Period]&amp;TrendSheetStgData[Trend],TrendSheetPrdData[#All],9,FALSE)</f>
        <v>56553</v>
      </c>
      <c r="J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6" s="5">
        <f>VLOOKUP(TrendSheetStgData[Population]&amp;TrendSheetStgData[Trend],Threshold[#All],4,FALSE)</f>
        <v>10</v>
      </c>
      <c r="L606" s="5">
        <f>VLOOKUP(TrendSheetStgData[Population]&amp;TrendSheetStgData[Trend],Threshold[#All],5,FALSE)</f>
        <v>5</v>
      </c>
      <c r="M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7" spans="1:13" x14ac:dyDescent="0.25">
      <c r="A607" t="s">
        <v>90</v>
      </c>
      <c r="B607" t="s">
        <v>90</v>
      </c>
      <c r="C607" t="s">
        <v>78</v>
      </c>
      <c r="D607" s="1" t="s">
        <v>103</v>
      </c>
      <c r="E607" t="s">
        <v>93</v>
      </c>
      <c r="F607" t="s">
        <v>24</v>
      </c>
      <c r="G607">
        <v>13</v>
      </c>
      <c r="H607">
        <v>80193</v>
      </c>
      <c r="I607" s="5">
        <f>VLOOKUP(TrendSheetStgData[Population]&amp;TrendSheetStgData[Cost Basis]&amp;TrendSheetStgData[Period]&amp;TrendSheetStgData[Trend],TrendSheetPrdData[#All],9,FALSE)</f>
        <v>80193</v>
      </c>
      <c r="J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7" s="5">
        <f>VLOOKUP(TrendSheetStgData[Population]&amp;TrendSheetStgData[Trend],Threshold[#All],4,FALSE)</f>
        <v>10</v>
      </c>
      <c r="L607" s="5">
        <f>VLOOKUP(TrendSheetStgData[Population]&amp;TrendSheetStgData[Trend],Threshold[#All],5,FALSE)</f>
        <v>5</v>
      </c>
      <c r="M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8" spans="1:13" x14ac:dyDescent="0.25">
      <c r="A608" t="s">
        <v>90</v>
      </c>
      <c r="B608" t="s">
        <v>90</v>
      </c>
      <c r="C608" t="s">
        <v>78</v>
      </c>
      <c r="D608" s="1" t="s">
        <v>104</v>
      </c>
      <c r="E608" t="s">
        <v>93</v>
      </c>
      <c r="F608" t="s">
        <v>24</v>
      </c>
      <c r="G608">
        <v>13</v>
      </c>
      <c r="H608">
        <v>69133</v>
      </c>
      <c r="I608" s="5">
        <f>VLOOKUP(TrendSheetStgData[Population]&amp;TrendSheetStgData[Cost Basis]&amp;TrendSheetStgData[Period]&amp;TrendSheetStgData[Trend],TrendSheetPrdData[#All],9,FALSE)</f>
        <v>69133</v>
      </c>
      <c r="J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8" s="5">
        <f>VLOOKUP(TrendSheetStgData[Population]&amp;TrendSheetStgData[Trend],Threshold[#All],4,FALSE)</f>
        <v>10</v>
      </c>
      <c r="L608" s="5">
        <f>VLOOKUP(TrendSheetStgData[Population]&amp;TrendSheetStgData[Trend],Threshold[#All],5,FALSE)</f>
        <v>5</v>
      </c>
      <c r="M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9" spans="1:13" x14ac:dyDescent="0.25">
      <c r="A609" t="s">
        <v>90</v>
      </c>
      <c r="B609" t="s">
        <v>90</v>
      </c>
      <c r="C609" t="s">
        <v>78</v>
      </c>
      <c r="D609" s="1" t="s">
        <v>105</v>
      </c>
      <c r="E609" t="s">
        <v>93</v>
      </c>
      <c r="F609" t="s">
        <v>24</v>
      </c>
      <c r="G609">
        <v>13</v>
      </c>
      <c r="H609">
        <v>75022</v>
      </c>
      <c r="I609" s="5">
        <f>VLOOKUP(TrendSheetStgData[Population]&amp;TrendSheetStgData[Cost Basis]&amp;TrendSheetStgData[Period]&amp;TrendSheetStgData[Trend],TrendSheetPrdData[#All],9,FALSE)</f>
        <v>75022</v>
      </c>
      <c r="J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9" s="5">
        <f>VLOOKUP(TrendSheetStgData[Population]&amp;TrendSheetStgData[Trend],Threshold[#All],4,FALSE)</f>
        <v>10</v>
      </c>
      <c r="L609" s="5">
        <f>VLOOKUP(TrendSheetStgData[Population]&amp;TrendSheetStgData[Trend],Threshold[#All],5,FALSE)</f>
        <v>5</v>
      </c>
      <c r="M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0" spans="1:13" x14ac:dyDescent="0.25">
      <c r="A610" t="s">
        <v>90</v>
      </c>
      <c r="B610" t="s">
        <v>90</v>
      </c>
      <c r="C610" t="s">
        <v>78</v>
      </c>
      <c r="D610" s="1" t="s">
        <v>106</v>
      </c>
      <c r="E610" t="s">
        <v>93</v>
      </c>
      <c r="F610" t="s">
        <v>24</v>
      </c>
      <c r="G610">
        <v>13</v>
      </c>
      <c r="H610">
        <v>64292</v>
      </c>
      <c r="I610" s="5">
        <f>VLOOKUP(TrendSheetStgData[Population]&amp;TrendSheetStgData[Cost Basis]&amp;TrendSheetStgData[Period]&amp;TrendSheetStgData[Trend],TrendSheetPrdData[#All],9,FALSE)</f>
        <v>64292</v>
      </c>
      <c r="J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0" s="5">
        <f>VLOOKUP(TrendSheetStgData[Population]&amp;TrendSheetStgData[Trend],Threshold[#All],4,FALSE)</f>
        <v>10</v>
      </c>
      <c r="L610" s="5">
        <f>VLOOKUP(TrendSheetStgData[Population]&amp;TrendSheetStgData[Trend],Threshold[#All],5,FALSE)</f>
        <v>5</v>
      </c>
      <c r="M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1" spans="1:13" x14ac:dyDescent="0.25">
      <c r="A611" t="s">
        <v>90</v>
      </c>
      <c r="B611" t="s">
        <v>90</v>
      </c>
      <c r="C611" t="s">
        <v>78</v>
      </c>
      <c r="D611" s="1" t="s">
        <v>107</v>
      </c>
      <c r="E611" t="s">
        <v>108</v>
      </c>
      <c r="F611" t="s">
        <v>24</v>
      </c>
      <c r="G611">
        <v>13</v>
      </c>
      <c r="H611">
        <v>113879</v>
      </c>
      <c r="I611" s="5">
        <f>VLOOKUP(TrendSheetStgData[Population]&amp;TrendSheetStgData[Cost Basis]&amp;TrendSheetStgData[Period]&amp;TrendSheetStgData[Trend],TrendSheetPrdData[#All],9,FALSE)</f>
        <v>113879</v>
      </c>
      <c r="J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1" s="5">
        <f>VLOOKUP(TrendSheetStgData[Population]&amp;TrendSheetStgData[Trend],Threshold[#All],4,FALSE)</f>
        <v>10</v>
      </c>
      <c r="L611" s="5">
        <f>VLOOKUP(TrendSheetStgData[Population]&amp;TrendSheetStgData[Trend],Threshold[#All],5,FALSE)</f>
        <v>5</v>
      </c>
      <c r="M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2" spans="1:13" x14ac:dyDescent="0.25">
      <c r="A612" t="s">
        <v>90</v>
      </c>
      <c r="B612" t="s">
        <v>90</v>
      </c>
      <c r="C612" t="s">
        <v>78</v>
      </c>
      <c r="D612" s="1" t="s">
        <v>109</v>
      </c>
      <c r="E612" t="s">
        <v>108</v>
      </c>
      <c r="F612" t="s">
        <v>24</v>
      </c>
      <c r="G612">
        <v>13</v>
      </c>
      <c r="H612">
        <v>60835</v>
      </c>
      <c r="I612" s="5">
        <f>VLOOKUP(TrendSheetStgData[Population]&amp;TrendSheetStgData[Cost Basis]&amp;TrendSheetStgData[Period]&amp;TrendSheetStgData[Trend],TrendSheetPrdData[#All],9,FALSE)</f>
        <v>60835</v>
      </c>
      <c r="J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2" s="5">
        <f>VLOOKUP(TrendSheetStgData[Population]&amp;TrendSheetStgData[Trend],Threshold[#All],4,FALSE)</f>
        <v>10</v>
      </c>
      <c r="L612" s="5">
        <f>VLOOKUP(TrendSheetStgData[Population]&amp;TrendSheetStgData[Trend],Threshold[#All],5,FALSE)</f>
        <v>5</v>
      </c>
      <c r="M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3" spans="1:13" x14ac:dyDescent="0.25">
      <c r="A613" t="s">
        <v>90</v>
      </c>
      <c r="B613" t="s">
        <v>90</v>
      </c>
      <c r="C613" t="s">
        <v>78</v>
      </c>
      <c r="D613" s="1" t="s">
        <v>110</v>
      </c>
      <c r="E613" t="s">
        <v>108</v>
      </c>
      <c r="F613" t="s">
        <v>24</v>
      </c>
      <c r="G613">
        <v>13</v>
      </c>
      <c r="H613">
        <v>59139</v>
      </c>
      <c r="I613" s="5">
        <f>VLOOKUP(TrendSheetStgData[Population]&amp;TrendSheetStgData[Cost Basis]&amp;TrendSheetStgData[Period]&amp;TrendSheetStgData[Trend],TrendSheetPrdData[#All],9,FALSE)</f>
        <v>59139</v>
      </c>
      <c r="J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3" s="5">
        <f>VLOOKUP(TrendSheetStgData[Population]&amp;TrendSheetStgData[Trend],Threshold[#All],4,FALSE)</f>
        <v>10</v>
      </c>
      <c r="L613" s="5">
        <f>VLOOKUP(TrendSheetStgData[Population]&amp;TrendSheetStgData[Trend],Threshold[#All],5,FALSE)</f>
        <v>5</v>
      </c>
      <c r="M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4" spans="1:13" x14ac:dyDescent="0.25">
      <c r="A614" t="s">
        <v>90</v>
      </c>
      <c r="B614" t="s">
        <v>90</v>
      </c>
      <c r="C614" t="s">
        <v>78</v>
      </c>
      <c r="D614" s="1" t="s">
        <v>92</v>
      </c>
      <c r="E614" t="s">
        <v>93</v>
      </c>
      <c r="F614" t="s">
        <v>25</v>
      </c>
      <c r="G614">
        <v>14</v>
      </c>
      <c r="H614">
        <v>207</v>
      </c>
      <c r="I614" s="5">
        <f>VLOOKUP(TrendSheetStgData[Population]&amp;TrendSheetStgData[Cost Basis]&amp;TrendSheetStgData[Period]&amp;TrendSheetStgData[Trend],TrendSheetPrdData[#All],9,FALSE)</f>
        <v>207</v>
      </c>
      <c r="J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4" s="5">
        <f>VLOOKUP(TrendSheetStgData[Population]&amp;TrendSheetStgData[Trend],Threshold[#All],4,FALSE)</f>
        <v>10</v>
      </c>
      <c r="L614" s="5">
        <f>VLOOKUP(TrendSheetStgData[Population]&amp;TrendSheetStgData[Trend],Threshold[#All],5,FALSE)</f>
        <v>5</v>
      </c>
      <c r="M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5" spans="1:13" x14ac:dyDescent="0.25">
      <c r="A615" t="s">
        <v>90</v>
      </c>
      <c r="B615" t="s">
        <v>90</v>
      </c>
      <c r="C615" t="s">
        <v>78</v>
      </c>
      <c r="D615" s="1" t="s">
        <v>94</v>
      </c>
      <c r="E615" t="s">
        <v>93</v>
      </c>
      <c r="F615" t="s">
        <v>25</v>
      </c>
      <c r="G615">
        <v>14</v>
      </c>
      <c r="H615">
        <v>172</v>
      </c>
      <c r="I615" s="5">
        <f>VLOOKUP(TrendSheetStgData[Population]&amp;TrendSheetStgData[Cost Basis]&amp;TrendSheetStgData[Period]&amp;TrendSheetStgData[Trend],TrendSheetPrdData[#All],9,FALSE)</f>
        <v>172</v>
      </c>
      <c r="J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5" s="5">
        <f>VLOOKUP(TrendSheetStgData[Population]&amp;TrendSheetStgData[Trend],Threshold[#All],4,FALSE)</f>
        <v>10</v>
      </c>
      <c r="L615" s="5">
        <f>VLOOKUP(TrendSheetStgData[Population]&amp;TrendSheetStgData[Trend],Threshold[#All],5,FALSE)</f>
        <v>5</v>
      </c>
      <c r="M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6" spans="1:13" x14ac:dyDescent="0.25">
      <c r="A616" t="s">
        <v>90</v>
      </c>
      <c r="B616" t="s">
        <v>90</v>
      </c>
      <c r="C616" t="s">
        <v>78</v>
      </c>
      <c r="D616" s="1" t="s">
        <v>95</v>
      </c>
      <c r="E616" t="s">
        <v>93</v>
      </c>
      <c r="F616" t="s">
        <v>25</v>
      </c>
      <c r="G616">
        <v>14</v>
      </c>
      <c r="H616">
        <v>212</v>
      </c>
      <c r="I616" s="5">
        <f>VLOOKUP(TrendSheetStgData[Population]&amp;TrendSheetStgData[Cost Basis]&amp;TrendSheetStgData[Period]&amp;TrendSheetStgData[Trend],TrendSheetPrdData[#All],9,FALSE)</f>
        <v>212</v>
      </c>
      <c r="J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6" s="5">
        <f>VLOOKUP(TrendSheetStgData[Population]&amp;TrendSheetStgData[Trend],Threshold[#All],4,FALSE)</f>
        <v>10</v>
      </c>
      <c r="L616" s="5">
        <f>VLOOKUP(TrendSheetStgData[Population]&amp;TrendSheetStgData[Trend],Threshold[#All],5,FALSE)</f>
        <v>5</v>
      </c>
      <c r="M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7" spans="1:13" x14ac:dyDescent="0.25">
      <c r="A617" t="s">
        <v>90</v>
      </c>
      <c r="B617" t="s">
        <v>90</v>
      </c>
      <c r="C617" t="s">
        <v>78</v>
      </c>
      <c r="D617" s="1" t="s">
        <v>96</v>
      </c>
      <c r="E617" t="s">
        <v>93</v>
      </c>
      <c r="F617" t="s">
        <v>25</v>
      </c>
      <c r="G617">
        <v>14</v>
      </c>
      <c r="H617">
        <v>261</v>
      </c>
      <c r="I617" s="5">
        <f>VLOOKUP(TrendSheetStgData[Population]&amp;TrendSheetStgData[Cost Basis]&amp;TrendSheetStgData[Period]&amp;TrendSheetStgData[Trend],TrendSheetPrdData[#All],9,FALSE)</f>
        <v>261</v>
      </c>
      <c r="J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7" s="5">
        <f>VLOOKUP(TrendSheetStgData[Population]&amp;TrendSheetStgData[Trend],Threshold[#All],4,FALSE)</f>
        <v>10</v>
      </c>
      <c r="L617" s="5">
        <f>VLOOKUP(TrendSheetStgData[Population]&amp;TrendSheetStgData[Trend],Threshold[#All],5,FALSE)</f>
        <v>5</v>
      </c>
      <c r="M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8" spans="1:13" x14ac:dyDescent="0.25">
      <c r="A618" t="s">
        <v>90</v>
      </c>
      <c r="B618" t="s">
        <v>90</v>
      </c>
      <c r="C618" t="s">
        <v>78</v>
      </c>
      <c r="D618" s="1" t="s">
        <v>97</v>
      </c>
      <c r="E618" t="s">
        <v>93</v>
      </c>
      <c r="F618" t="s">
        <v>25</v>
      </c>
      <c r="G618">
        <v>14</v>
      </c>
      <c r="H618">
        <v>156</v>
      </c>
      <c r="I618" s="5">
        <f>VLOOKUP(TrendSheetStgData[Population]&amp;TrendSheetStgData[Cost Basis]&amp;TrendSheetStgData[Period]&amp;TrendSheetStgData[Trend],TrendSheetPrdData[#All],9,FALSE)</f>
        <v>156</v>
      </c>
      <c r="J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8" s="5">
        <f>VLOOKUP(TrendSheetStgData[Population]&amp;TrendSheetStgData[Trend],Threshold[#All],4,FALSE)</f>
        <v>10</v>
      </c>
      <c r="L618" s="5">
        <f>VLOOKUP(TrendSheetStgData[Population]&amp;TrendSheetStgData[Trend],Threshold[#All],5,FALSE)</f>
        <v>5</v>
      </c>
      <c r="M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9" spans="1:13" x14ac:dyDescent="0.25">
      <c r="A619" t="s">
        <v>90</v>
      </c>
      <c r="B619" t="s">
        <v>90</v>
      </c>
      <c r="C619" t="s">
        <v>78</v>
      </c>
      <c r="D619" s="1" t="s">
        <v>98</v>
      </c>
      <c r="E619" t="s">
        <v>93</v>
      </c>
      <c r="F619" t="s">
        <v>25</v>
      </c>
      <c r="G619">
        <v>14</v>
      </c>
      <c r="H619">
        <v>171</v>
      </c>
      <c r="I619" s="5">
        <f>VLOOKUP(TrendSheetStgData[Population]&amp;TrendSheetStgData[Cost Basis]&amp;TrendSheetStgData[Period]&amp;TrendSheetStgData[Trend],TrendSheetPrdData[#All],9,FALSE)</f>
        <v>171</v>
      </c>
      <c r="J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9" s="5">
        <f>VLOOKUP(TrendSheetStgData[Population]&amp;TrendSheetStgData[Trend],Threshold[#All],4,FALSE)</f>
        <v>10</v>
      </c>
      <c r="L619" s="5">
        <f>VLOOKUP(TrendSheetStgData[Population]&amp;TrendSheetStgData[Trend],Threshold[#All],5,FALSE)</f>
        <v>5</v>
      </c>
      <c r="M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0" spans="1:13" x14ac:dyDescent="0.25">
      <c r="A620" t="s">
        <v>90</v>
      </c>
      <c r="B620" t="s">
        <v>90</v>
      </c>
      <c r="C620" t="s">
        <v>78</v>
      </c>
      <c r="D620" s="1" t="s">
        <v>99</v>
      </c>
      <c r="E620" t="s">
        <v>93</v>
      </c>
      <c r="F620" t="s">
        <v>25</v>
      </c>
      <c r="G620">
        <v>14</v>
      </c>
      <c r="H620">
        <v>244</v>
      </c>
      <c r="I620" s="5">
        <f>VLOOKUP(TrendSheetStgData[Population]&amp;TrendSheetStgData[Cost Basis]&amp;TrendSheetStgData[Period]&amp;TrendSheetStgData[Trend],TrendSheetPrdData[#All],9,FALSE)</f>
        <v>244</v>
      </c>
      <c r="J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0" s="5">
        <f>VLOOKUP(TrendSheetStgData[Population]&amp;TrendSheetStgData[Trend],Threshold[#All],4,FALSE)</f>
        <v>10</v>
      </c>
      <c r="L620" s="5">
        <f>VLOOKUP(TrendSheetStgData[Population]&amp;TrendSheetStgData[Trend],Threshold[#All],5,FALSE)</f>
        <v>5</v>
      </c>
      <c r="M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1" spans="1:13" x14ac:dyDescent="0.25">
      <c r="A621" t="s">
        <v>90</v>
      </c>
      <c r="B621" t="s">
        <v>90</v>
      </c>
      <c r="C621" t="s">
        <v>78</v>
      </c>
      <c r="D621" s="1" t="s">
        <v>100</v>
      </c>
      <c r="E621" t="s">
        <v>93</v>
      </c>
      <c r="F621" t="s">
        <v>25</v>
      </c>
      <c r="G621">
        <v>14</v>
      </c>
      <c r="H621">
        <v>160</v>
      </c>
      <c r="I621" s="5">
        <f>VLOOKUP(TrendSheetStgData[Population]&amp;TrendSheetStgData[Cost Basis]&amp;TrendSheetStgData[Period]&amp;TrendSheetStgData[Trend],TrendSheetPrdData[#All],9,FALSE)</f>
        <v>160</v>
      </c>
      <c r="J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1" s="5">
        <f>VLOOKUP(TrendSheetStgData[Population]&amp;TrendSheetStgData[Trend],Threshold[#All],4,FALSE)</f>
        <v>10</v>
      </c>
      <c r="L621" s="5">
        <f>VLOOKUP(TrendSheetStgData[Population]&amp;TrendSheetStgData[Trend],Threshold[#All],5,FALSE)</f>
        <v>5</v>
      </c>
      <c r="M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2" spans="1:13" x14ac:dyDescent="0.25">
      <c r="A622" t="s">
        <v>90</v>
      </c>
      <c r="B622" t="s">
        <v>90</v>
      </c>
      <c r="C622" t="s">
        <v>78</v>
      </c>
      <c r="D622" s="1" t="s">
        <v>101</v>
      </c>
      <c r="E622" t="s">
        <v>93</v>
      </c>
      <c r="F622" t="s">
        <v>25</v>
      </c>
      <c r="G622">
        <v>14</v>
      </c>
      <c r="H622">
        <v>154</v>
      </c>
      <c r="I622" s="5">
        <f>VLOOKUP(TrendSheetStgData[Population]&amp;TrendSheetStgData[Cost Basis]&amp;TrendSheetStgData[Period]&amp;TrendSheetStgData[Trend],TrendSheetPrdData[#All],9,FALSE)</f>
        <v>154</v>
      </c>
      <c r="J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2" s="5">
        <f>VLOOKUP(TrendSheetStgData[Population]&amp;TrendSheetStgData[Trend],Threshold[#All],4,FALSE)</f>
        <v>10</v>
      </c>
      <c r="L622" s="5">
        <f>VLOOKUP(TrendSheetStgData[Population]&amp;TrendSheetStgData[Trend],Threshold[#All],5,FALSE)</f>
        <v>5</v>
      </c>
      <c r="M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3" spans="1:13" x14ac:dyDescent="0.25">
      <c r="A623" t="s">
        <v>90</v>
      </c>
      <c r="B623" t="s">
        <v>90</v>
      </c>
      <c r="C623" t="s">
        <v>78</v>
      </c>
      <c r="D623" s="1" t="s">
        <v>102</v>
      </c>
      <c r="E623" t="s">
        <v>93</v>
      </c>
      <c r="F623" t="s">
        <v>25</v>
      </c>
      <c r="G623">
        <v>14</v>
      </c>
      <c r="H623">
        <v>141</v>
      </c>
      <c r="I623" s="5">
        <f>VLOOKUP(TrendSheetStgData[Population]&amp;TrendSheetStgData[Cost Basis]&amp;TrendSheetStgData[Period]&amp;TrendSheetStgData[Trend],TrendSheetPrdData[#All],9,FALSE)</f>
        <v>141</v>
      </c>
      <c r="J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3" s="5">
        <f>VLOOKUP(TrendSheetStgData[Population]&amp;TrendSheetStgData[Trend],Threshold[#All],4,FALSE)</f>
        <v>10</v>
      </c>
      <c r="L623" s="5">
        <f>VLOOKUP(TrendSheetStgData[Population]&amp;TrendSheetStgData[Trend],Threshold[#All],5,FALSE)</f>
        <v>5</v>
      </c>
      <c r="M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4" spans="1:13" x14ac:dyDescent="0.25">
      <c r="A624" t="s">
        <v>90</v>
      </c>
      <c r="B624" t="s">
        <v>90</v>
      </c>
      <c r="C624" t="s">
        <v>78</v>
      </c>
      <c r="D624" s="1" t="s">
        <v>103</v>
      </c>
      <c r="E624" t="s">
        <v>93</v>
      </c>
      <c r="F624" t="s">
        <v>25</v>
      </c>
      <c r="G624">
        <v>14</v>
      </c>
      <c r="H624">
        <v>192</v>
      </c>
      <c r="I624" s="5">
        <f>VLOOKUP(TrendSheetStgData[Population]&amp;TrendSheetStgData[Cost Basis]&amp;TrendSheetStgData[Period]&amp;TrendSheetStgData[Trend],TrendSheetPrdData[#All],9,FALSE)</f>
        <v>192</v>
      </c>
      <c r="J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4" s="5">
        <f>VLOOKUP(TrendSheetStgData[Population]&amp;TrendSheetStgData[Trend],Threshold[#All],4,FALSE)</f>
        <v>10</v>
      </c>
      <c r="L624" s="5">
        <f>VLOOKUP(TrendSheetStgData[Population]&amp;TrendSheetStgData[Trend],Threshold[#All],5,FALSE)</f>
        <v>5</v>
      </c>
      <c r="M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5" spans="1:13" x14ac:dyDescent="0.25">
      <c r="A625" t="s">
        <v>90</v>
      </c>
      <c r="B625" t="s">
        <v>90</v>
      </c>
      <c r="C625" t="s">
        <v>78</v>
      </c>
      <c r="D625" s="1" t="s">
        <v>104</v>
      </c>
      <c r="E625" t="s">
        <v>93</v>
      </c>
      <c r="F625" t="s">
        <v>25</v>
      </c>
      <c r="G625">
        <v>14</v>
      </c>
      <c r="H625">
        <v>179</v>
      </c>
      <c r="I625" s="5">
        <f>VLOOKUP(TrendSheetStgData[Population]&amp;TrendSheetStgData[Cost Basis]&amp;TrendSheetStgData[Period]&amp;TrendSheetStgData[Trend],TrendSheetPrdData[#All],9,FALSE)</f>
        <v>179</v>
      </c>
      <c r="J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5" s="5">
        <f>VLOOKUP(TrendSheetStgData[Population]&amp;TrendSheetStgData[Trend],Threshold[#All],4,FALSE)</f>
        <v>10</v>
      </c>
      <c r="L625" s="5">
        <f>VLOOKUP(TrendSheetStgData[Population]&amp;TrendSheetStgData[Trend],Threshold[#All],5,FALSE)</f>
        <v>5</v>
      </c>
      <c r="M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6" spans="1:13" x14ac:dyDescent="0.25">
      <c r="A626" t="s">
        <v>90</v>
      </c>
      <c r="B626" t="s">
        <v>90</v>
      </c>
      <c r="C626" t="s">
        <v>78</v>
      </c>
      <c r="D626" s="1" t="s">
        <v>105</v>
      </c>
      <c r="E626" t="s">
        <v>93</v>
      </c>
      <c r="F626" t="s">
        <v>25</v>
      </c>
      <c r="G626">
        <v>14</v>
      </c>
      <c r="H626">
        <v>190</v>
      </c>
      <c r="I626" s="5">
        <f>VLOOKUP(TrendSheetStgData[Population]&amp;TrendSheetStgData[Cost Basis]&amp;TrendSheetStgData[Period]&amp;TrendSheetStgData[Trend],TrendSheetPrdData[#All],9,FALSE)</f>
        <v>190</v>
      </c>
      <c r="J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6" s="5">
        <f>VLOOKUP(TrendSheetStgData[Population]&amp;TrendSheetStgData[Trend],Threshold[#All],4,FALSE)</f>
        <v>10</v>
      </c>
      <c r="L626" s="5">
        <f>VLOOKUP(TrendSheetStgData[Population]&amp;TrendSheetStgData[Trend],Threshold[#All],5,FALSE)</f>
        <v>5</v>
      </c>
      <c r="M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7" spans="1:13" x14ac:dyDescent="0.25">
      <c r="A627" t="s">
        <v>90</v>
      </c>
      <c r="B627" t="s">
        <v>90</v>
      </c>
      <c r="C627" t="s">
        <v>78</v>
      </c>
      <c r="D627" s="1" t="s">
        <v>106</v>
      </c>
      <c r="E627" t="s">
        <v>93</v>
      </c>
      <c r="F627" t="s">
        <v>25</v>
      </c>
      <c r="G627">
        <v>14</v>
      </c>
      <c r="H627">
        <v>187</v>
      </c>
      <c r="I627" s="5">
        <f>VLOOKUP(TrendSheetStgData[Population]&amp;TrendSheetStgData[Cost Basis]&amp;TrendSheetStgData[Period]&amp;TrendSheetStgData[Trend],TrendSheetPrdData[#All],9,FALSE)</f>
        <v>187</v>
      </c>
      <c r="J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7" s="5">
        <f>VLOOKUP(TrendSheetStgData[Population]&amp;TrendSheetStgData[Trend],Threshold[#All],4,FALSE)</f>
        <v>10</v>
      </c>
      <c r="L627" s="5">
        <f>VLOOKUP(TrendSheetStgData[Population]&amp;TrendSheetStgData[Trend],Threshold[#All],5,FALSE)</f>
        <v>5</v>
      </c>
      <c r="M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8" spans="1:13" x14ac:dyDescent="0.25">
      <c r="A628" t="s">
        <v>90</v>
      </c>
      <c r="B628" t="s">
        <v>90</v>
      </c>
      <c r="C628" t="s">
        <v>78</v>
      </c>
      <c r="D628" s="1" t="s">
        <v>107</v>
      </c>
      <c r="E628" t="s">
        <v>108</v>
      </c>
      <c r="F628" t="s">
        <v>25</v>
      </c>
      <c r="G628">
        <v>14</v>
      </c>
      <c r="H628">
        <v>262</v>
      </c>
      <c r="I628" s="5">
        <f>VLOOKUP(TrendSheetStgData[Population]&amp;TrendSheetStgData[Cost Basis]&amp;TrendSheetStgData[Period]&amp;TrendSheetStgData[Trend],TrendSheetPrdData[#All],9,FALSE)</f>
        <v>262</v>
      </c>
      <c r="J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8" s="5">
        <f>VLOOKUP(TrendSheetStgData[Population]&amp;TrendSheetStgData[Trend],Threshold[#All],4,FALSE)</f>
        <v>10</v>
      </c>
      <c r="L628" s="5">
        <f>VLOOKUP(TrendSheetStgData[Population]&amp;TrendSheetStgData[Trend],Threshold[#All],5,FALSE)</f>
        <v>5</v>
      </c>
      <c r="M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9" spans="1:13" x14ac:dyDescent="0.25">
      <c r="A629" t="s">
        <v>90</v>
      </c>
      <c r="B629" t="s">
        <v>90</v>
      </c>
      <c r="C629" t="s">
        <v>78</v>
      </c>
      <c r="D629" s="1" t="s">
        <v>109</v>
      </c>
      <c r="E629" t="s">
        <v>108</v>
      </c>
      <c r="F629" t="s">
        <v>25</v>
      </c>
      <c r="G629">
        <v>14</v>
      </c>
      <c r="H629">
        <v>150</v>
      </c>
      <c r="I629" s="5">
        <f>VLOOKUP(TrendSheetStgData[Population]&amp;TrendSheetStgData[Cost Basis]&amp;TrendSheetStgData[Period]&amp;TrendSheetStgData[Trend],TrendSheetPrdData[#All],9,FALSE)</f>
        <v>150</v>
      </c>
      <c r="J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9" s="5">
        <f>VLOOKUP(TrendSheetStgData[Population]&amp;TrendSheetStgData[Trend],Threshold[#All],4,FALSE)</f>
        <v>10</v>
      </c>
      <c r="L629" s="5">
        <f>VLOOKUP(TrendSheetStgData[Population]&amp;TrendSheetStgData[Trend],Threshold[#All],5,FALSE)</f>
        <v>5</v>
      </c>
      <c r="M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0" spans="1:13" x14ac:dyDescent="0.25">
      <c r="A630" t="s">
        <v>90</v>
      </c>
      <c r="B630" t="s">
        <v>90</v>
      </c>
      <c r="C630" t="s">
        <v>78</v>
      </c>
      <c r="D630" s="1" t="s">
        <v>110</v>
      </c>
      <c r="E630" t="s">
        <v>108</v>
      </c>
      <c r="F630" t="s">
        <v>25</v>
      </c>
      <c r="G630">
        <v>14</v>
      </c>
      <c r="H630">
        <v>141</v>
      </c>
      <c r="I630" s="5">
        <f>VLOOKUP(TrendSheetStgData[Population]&amp;TrendSheetStgData[Cost Basis]&amp;TrendSheetStgData[Period]&amp;TrendSheetStgData[Trend],TrendSheetPrdData[#All],9,FALSE)</f>
        <v>141</v>
      </c>
      <c r="J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0" s="5">
        <f>VLOOKUP(TrendSheetStgData[Population]&amp;TrendSheetStgData[Trend],Threshold[#All],4,FALSE)</f>
        <v>10</v>
      </c>
      <c r="L630" s="5">
        <f>VLOOKUP(TrendSheetStgData[Population]&amp;TrendSheetStgData[Trend],Threshold[#All],5,FALSE)</f>
        <v>5</v>
      </c>
      <c r="M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1" spans="1:13" x14ac:dyDescent="0.25">
      <c r="A631" t="s">
        <v>90</v>
      </c>
      <c r="B631" t="s">
        <v>90</v>
      </c>
      <c r="C631" t="s">
        <v>78</v>
      </c>
      <c r="D631" s="1" t="s">
        <v>92</v>
      </c>
      <c r="E631" t="s">
        <v>93</v>
      </c>
      <c r="F631" t="s">
        <v>26</v>
      </c>
      <c r="G631">
        <v>15</v>
      </c>
      <c r="H631">
        <v>155734</v>
      </c>
      <c r="I631" s="5">
        <f>VLOOKUP(TrendSheetStgData[Population]&amp;TrendSheetStgData[Cost Basis]&amp;TrendSheetStgData[Period]&amp;TrendSheetStgData[Trend],TrendSheetPrdData[#All],9,FALSE)</f>
        <v>155734</v>
      </c>
      <c r="J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1" s="5">
        <f>VLOOKUP(TrendSheetStgData[Population]&amp;TrendSheetStgData[Trend],Threshold[#All],4,FALSE)</f>
        <v>10</v>
      </c>
      <c r="L631" s="5">
        <f>VLOOKUP(TrendSheetStgData[Population]&amp;TrendSheetStgData[Trend],Threshold[#All],5,FALSE)</f>
        <v>5</v>
      </c>
      <c r="M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2" spans="1:13" x14ac:dyDescent="0.25">
      <c r="A632" t="s">
        <v>90</v>
      </c>
      <c r="B632" t="s">
        <v>90</v>
      </c>
      <c r="C632" t="s">
        <v>78</v>
      </c>
      <c r="D632" s="1" t="s">
        <v>94</v>
      </c>
      <c r="E632" t="s">
        <v>93</v>
      </c>
      <c r="F632" t="s">
        <v>26</v>
      </c>
      <c r="G632">
        <v>15</v>
      </c>
      <c r="H632">
        <v>201639</v>
      </c>
      <c r="I632" s="5">
        <f>VLOOKUP(TrendSheetStgData[Population]&amp;TrendSheetStgData[Cost Basis]&amp;TrendSheetStgData[Period]&amp;TrendSheetStgData[Trend],TrendSheetPrdData[#All],9,FALSE)</f>
        <v>201639</v>
      </c>
      <c r="J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2" s="5">
        <f>VLOOKUP(TrendSheetStgData[Population]&amp;TrendSheetStgData[Trend],Threshold[#All],4,FALSE)</f>
        <v>10</v>
      </c>
      <c r="L632" s="5">
        <f>VLOOKUP(TrendSheetStgData[Population]&amp;TrendSheetStgData[Trend],Threshold[#All],5,FALSE)</f>
        <v>5</v>
      </c>
      <c r="M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3" spans="1:13" x14ac:dyDescent="0.25">
      <c r="A633" t="s">
        <v>90</v>
      </c>
      <c r="B633" t="s">
        <v>90</v>
      </c>
      <c r="C633" t="s">
        <v>78</v>
      </c>
      <c r="D633" s="1" t="s">
        <v>95</v>
      </c>
      <c r="E633" t="s">
        <v>93</v>
      </c>
      <c r="F633" t="s">
        <v>26</v>
      </c>
      <c r="G633">
        <v>15</v>
      </c>
      <c r="H633">
        <v>172268</v>
      </c>
      <c r="I633" s="5">
        <f>VLOOKUP(TrendSheetStgData[Population]&amp;TrendSheetStgData[Cost Basis]&amp;TrendSheetStgData[Period]&amp;TrendSheetStgData[Trend],TrendSheetPrdData[#All],9,FALSE)</f>
        <v>172268</v>
      </c>
      <c r="J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3" s="5">
        <f>VLOOKUP(TrendSheetStgData[Population]&amp;TrendSheetStgData[Trend],Threshold[#All],4,FALSE)</f>
        <v>10</v>
      </c>
      <c r="L633" s="5">
        <f>VLOOKUP(TrendSheetStgData[Population]&amp;TrendSheetStgData[Trend],Threshold[#All],5,FALSE)</f>
        <v>5</v>
      </c>
      <c r="M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4" spans="1:13" x14ac:dyDescent="0.25">
      <c r="A634" t="s">
        <v>90</v>
      </c>
      <c r="B634" t="s">
        <v>90</v>
      </c>
      <c r="C634" t="s">
        <v>78</v>
      </c>
      <c r="D634" s="1" t="s">
        <v>96</v>
      </c>
      <c r="E634" t="s">
        <v>93</v>
      </c>
      <c r="F634" t="s">
        <v>26</v>
      </c>
      <c r="G634">
        <v>15</v>
      </c>
      <c r="H634">
        <v>175090</v>
      </c>
      <c r="I634" s="5">
        <f>VLOOKUP(TrendSheetStgData[Population]&amp;TrendSheetStgData[Cost Basis]&amp;TrendSheetStgData[Period]&amp;TrendSheetStgData[Trend],TrendSheetPrdData[#All],9,FALSE)</f>
        <v>175090</v>
      </c>
      <c r="J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4" s="5">
        <f>VLOOKUP(TrendSheetStgData[Population]&amp;TrendSheetStgData[Trend],Threshold[#All],4,FALSE)</f>
        <v>10</v>
      </c>
      <c r="L634" s="5">
        <f>VLOOKUP(TrendSheetStgData[Population]&amp;TrendSheetStgData[Trend],Threshold[#All],5,FALSE)</f>
        <v>5</v>
      </c>
      <c r="M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5" spans="1:13" x14ac:dyDescent="0.25">
      <c r="A635" t="s">
        <v>90</v>
      </c>
      <c r="B635" t="s">
        <v>90</v>
      </c>
      <c r="C635" t="s">
        <v>78</v>
      </c>
      <c r="D635" s="1" t="s">
        <v>97</v>
      </c>
      <c r="E635" t="s">
        <v>93</v>
      </c>
      <c r="F635" t="s">
        <v>26</v>
      </c>
      <c r="G635">
        <v>15</v>
      </c>
      <c r="H635">
        <v>190755</v>
      </c>
      <c r="I635" s="5">
        <f>VLOOKUP(TrendSheetStgData[Population]&amp;TrendSheetStgData[Cost Basis]&amp;TrendSheetStgData[Period]&amp;TrendSheetStgData[Trend],TrendSheetPrdData[#All],9,FALSE)</f>
        <v>190755</v>
      </c>
      <c r="J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5" s="5">
        <f>VLOOKUP(TrendSheetStgData[Population]&amp;TrendSheetStgData[Trend],Threshold[#All],4,FALSE)</f>
        <v>10</v>
      </c>
      <c r="L635" s="5">
        <f>VLOOKUP(TrendSheetStgData[Population]&amp;TrendSheetStgData[Trend],Threshold[#All],5,FALSE)</f>
        <v>5</v>
      </c>
      <c r="M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6" spans="1:13" x14ac:dyDescent="0.25">
      <c r="A636" t="s">
        <v>90</v>
      </c>
      <c r="B636" t="s">
        <v>90</v>
      </c>
      <c r="C636" t="s">
        <v>78</v>
      </c>
      <c r="D636" s="1" t="s">
        <v>98</v>
      </c>
      <c r="E636" t="s">
        <v>93</v>
      </c>
      <c r="F636" t="s">
        <v>26</v>
      </c>
      <c r="G636">
        <v>15</v>
      </c>
      <c r="H636">
        <v>159734</v>
      </c>
      <c r="I636" s="5">
        <f>VLOOKUP(TrendSheetStgData[Population]&amp;TrendSheetStgData[Cost Basis]&amp;TrendSheetStgData[Period]&amp;TrendSheetStgData[Trend],TrendSheetPrdData[#All],9,FALSE)</f>
        <v>159734</v>
      </c>
      <c r="J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6" s="5">
        <f>VLOOKUP(TrendSheetStgData[Population]&amp;TrendSheetStgData[Trend],Threshold[#All],4,FALSE)</f>
        <v>10</v>
      </c>
      <c r="L636" s="5">
        <f>VLOOKUP(TrendSheetStgData[Population]&amp;TrendSheetStgData[Trend],Threshold[#All],5,FALSE)</f>
        <v>5</v>
      </c>
      <c r="M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7" spans="1:13" x14ac:dyDescent="0.25">
      <c r="A637" t="s">
        <v>90</v>
      </c>
      <c r="B637" t="s">
        <v>90</v>
      </c>
      <c r="C637" t="s">
        <v>78</v>
      </c>
      <c r="D637" s="1" t="s">
        <v>99</v>
      </c>
      <c r="E637" t="s">
        <v>93</v>
      </c>
      <c r="F637" t="s">
        <v>26</v>
      </c>
      <c r="G637">
        <v>15</v>
      </c>
      <c r="H637">
        <v>156584</v>
      </c>
      <c r="I637" s="5">
        <f>VLOOKUP(TrendSheetStgData[Population]&amp;TrendSheetStgData[Cost Basis]&amp;TrendSheetStgData[Period]&amp;TrendSheetStgData[Trend],TrendSheetPrdData[#All],9,FALSE)</f>
        <v>156584</v>
      </c>
      <c r="J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7" s="5">
        <f>VLOOKUP(TrendSheetStgData[Population]&amp;TrendSheetStgData[Trend],Threshold[#All],4,FALSE)</f>
        <v>10</v>
      </c>
      <c r="L637" s="5">
        <f>VLOOKUP(TrendSheetStgData[Population]&amp;TrendSheetStgData[Trend],Threshold[#All],5,FALSE)</f>
        <v>5</v>
      </c>
      <c r="M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8" spans="1:13" x14ac:dyDescent="0.25">
      <c r="A638" t="s">
        <v>90</v>
      </c>
      <c r="B638" t="s">
        <v>90</v>
      </c>
      <c r="C638" t="s">
        <v>78</v>
      </c>
      <c r="D638" s="1" t="s">
        <v>100</v>
      </c>
      <c r="E638" t="s">
        <v>93</v>
      </c>
      <c r="F638" t="s">
        <v>26</v>
      </c>
      <c r="G638">
        <v>15</v>
      </c>
      <c r="H638">
        <v>232804</v>
      </c>
      <c r="I638" s="5">
        <f>VLOOKUP(TrendSheetStgData[Population]&amp;TrendSheetStgData[Cost Basis]&amp;TrendSheetStgData[Period]&amp;TrendSheetStgData[Trend],TrendSheetPrdData[#All],9,FALSE)</f>
        <v>232804</v>
      </c>
      <c r="J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8" s="5">
        <f>VLOOKUP(TrendSheetStgData[Population]&amp;TrendSheetStgData[Trend],Threshold[#All],4,FALSE)</f>
        <v>10</v>
      </c>
      <c r="L638" s="5">
        <f>VLOOKUP(TrendSheetStgData[Population]&amp;TrendSheetStgData[Trend],Threshold[#All],5,FALSE)</f>
        <v>5</v>
      </c>
      <c r="M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9" spans="1:13" x14ac:dyDescent="0.25">
      <c r="A639" t="s">
        <v>90</v>
      </c>
      <c r="B639" t="s">
        <v>90</v>
      </c>
      <c r="C639" t="s">
        <v>78</v>
      </c>
      <c r="D639" s="1" t="s">
        <v>101</v>
      </c>
      <c r="E639" t="s">
        <v>93</v>
      </c>
      <c r="F639" t="s">
        <v>26</v>
      </c>
      <c r="G639">
        <v>15</v>
      </c>
      <c r="H639">
        <v>172723</v>
      </c>
      <c r="I639" s="5">
        <f>VLOOKUP(TrendSheetStgData[Population]&amp;TrendSheetStgData[Cost Basis]&amp;TrendSheetStgData[Period]&amp;TrendSheetStgData[Trend],TrendSheetPrdData[#All],9,FALSE)</f>
        <v>172723</v>
      </c>
      <c r="J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9" s="5">
        <f>VLOOKUP(TrendSheetStgData[Population]&amp;TrendSheetStgData[Trend],Threshold[#All],4,FALSE)</f>
        <v>10</v>
      </c>
      <c r="L639" s="5">
        <f>VLOOKUP(TrendSheetStgData[Population]&amp;TrendSheetStgData[Trend],Threshold[#All],5,FALSE)</f>
        <v>5</v>
      </c>
      <c r="M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0" spans="1:13" x14ac:dyDescent="0.25">
      <c r="A640" t="s">
        <v>90</v>
      </c>
      <c r="B640" t="s">
        <v>90</v>
      </c>
      <c r="C640" t="s">
        <v>78</v>
      </c>
      <c r="D640" s="1" t="s">
        <v>102</v>
      </c>
      <c r="E640" t="s">
        <v>93</v>
      </c>
      <c r="F640" t="s">
        <v>26</v>
      </c>
      <c r="G640">
        <v>15</v>
      </c>
      <c r="H640">
        <v>194325</v>
      </c>
      <c r="I640" s="5">
        <f>VLOOKUP(TrendSheetStgData[Population]&amp;TrendSheetStgData[Cost Basis]&amp;TrendSheetStgData[Period]&amp;TrendSheetStgData[Trend],TrendSheetPrdData[#All],9,FALSE)</f>
        <v>194325</v>
      </c>
      <c r="J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0" s="5">
        <f>VLOOKUP(TrendSheetStgData[Population]&amp;TrendSheetStgData[Trend],Threshold[#All],4,FALSE)</f>
        <v>10</v>
      </c>
      <c r="L640" s="5">
        <f>VLOOKUP(TrendSheetStgData[Population]&amp;TrendSheetStgData[Trend],Threshold[#All],5,FALSE)</f>
        <v>5</v>
      </c>
      <c r="M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1" spans="1:13" x14ac:dyDescent="0.25">
      <c r="A641" t="s">
        <v>90</v>
      </c>
      <c r="B641" t="s">
        <v>90</v>
      </c>
      <c r="C641" t="s">
        <v>78</v>
      </c>
      <c r="D641" s="1" t="s">
        <v>103</v>
      </c>
      <c r="E641" t="s">
        <v>93</v>
      </c>
      <c r="F641" t="s">
        <v>26</v>
      </c>
      <c r="G641">
        <v>15</v>
      </c>
      <c r="H641">
        <v>276084</v>
      </c>
      <c r="I641" s="5">
        <f>VLOOKUP(TrendSheetStgData[Population]&amp;TrendSheetStgData[Cost Basis]&amp;TrendSheetStgData[Period]&amp;TrendSheetStgData[Trend],TrendSheetPrdData[#All],9,FALSE)</f>
        <v>276084</v>
      </c>
      <c r="J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1" s="5">
        <f>VLOOKUP(TrendSheetStgData[Population]&amp;TrendSheetStgData[Trend],Threshold[#All],4,FALSE)</f>
        <v>10</v>
      </c>
      <c r="L641" s="5">
        <f>VLOOKUP(TrendSheetStgData[Population]&amp;TrendSheetStgData[Trend],Threshold[#All],5,FALSE)</f>
        <v>5</v>
      </c>
      <c r="M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2" spans="1:13" x14ac:dyDescent="0.25">
      <c r="A642" t="s">
        <v>90</v>
      </c>
      <c r="B642" t="s">
        <v>90</v>
      </c>
      <c r="C642" t="s">
        <v>78</v>
      </c>
      <c r="D642" s="1" t="s">
        <v>104</v>
      </c>
      <c r="E642" t="s">
        <v>93</v>
      </c>
      <c r="F642" t="s">
        <v>26</v>
      </c>
      <c r="G642">
        <v>15</v>
      </c>
      <c r="H642">
        <v>129115</v>
      </c>
      <c r="I642" s="5">
        <f>VLOOKUP(TrendSheetStgData[Population]&amp;TrendSheetStgData[Cost Basis]&amp;TrendSheetStgData[Period]&amp;TrendSheetStgData[Trend],TrendSheetPrdData[#All],9,FALSE)</f>
        <v>129115</v>
      </c>
      <c r="J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2" s="5">
        <f>VLOOKUP(TrendSheetStgData[Population]&amp;TrendSheetStgData[Trend],Threshold[#All],4,FALSE)</f>
        <v>10</v>
      </c>
      <c r="L642" s="5">
        <f>VLOOKUP(TrendSheetStgData[Population]&amp;TrendSheetStgData[Trend],Threshold[#All],5,FALSE)</f>
        <v>5</v>
      </c>
      <c r="M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3" spans="1:13" x14ac:dyDescent="0.25">
      <c r="A643" t="s">
        <v>90</v>
      </c>
      <c r="B643" t="s">
        <v>90</v>
      </c>
      <c r="C643" t="s">
        <v>78</v>
      </c>
      <c r="D643" s="1" t="s">
        <v>105</v>
      </c>
      <c r="E643" t="s">
        <v>93</v>
      </c>
      <c r="F643" t="s">
        <v>26</v>
      </c>
      <c r="G643">
        <v>15</v>
      </c>
      <c r="H643">
        <v>228014</v>
      </c>
      <c r="I643" s="5">
        <f>VLOOKUP(TrendSheetStgData[Population]&amp;TrendSheetStgData[Cost Basis]&amp;TrendSheetStgData[Period]&amp;TrendSheetStgData[Trend],TrendSheetPrdData[#All],9,FALSE)</f>
        <v>228014</v>
      </c>
      <c r="J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3" s="5">
        <f>VLOOKUP(TrendSheetStgData[Population]&amp;TrendSheetStgData[Trend],Threshold[#All],4,FALSE)</f>
        <v>10</v>
      </c>
      <c r="L643" s="5">
        <f>VLOOKUP(TrendSheetStgData[Population]&amp;TrendSheetStgData[Trend],Threshold[#All],5,FALSE)</f>
        <v>5</v>
      </c>
      <c r="M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4" spans="1:13" x14ac:dyDescent="0.25">
      <c r="A644" t="s">
        <v>90</v>
      </c>
      <c r="B644" t="s">
        <v>90</v>
      </c>
      <c r="C644" t="s">
        <v>78</v>
      </c>
      <c r="D644" s="1" t="s">
        <v>106</v>
      </c>
      <c r="E644" t="s">
        <v>93</v>
      </c>
      <c r="F644" t="s">
        <v>26</v>
      </c>
      <c r="G644">
        <v>15</v>
      </c>
      <c r="H644">
        <v>279449</v>
      </c>
      <c r="I644" s="5">
        <f>VLOOKUP(TrendSheetStgData[Population]&amp;TrendSheetStgData[Cost Basis]&amp;TrendSheetStgData[Period]&amp;TrendSheetStgData[Trend],TrendSheetPrdData[#All],9,FALSE)</f>
        <v>279449</v>
      </c>
      <c r="J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4" s="5">
        <f>VLOOKUP(TrendSheetStgData[Population]&amp;TrendSheetStgData[Trend],Threshold[#All],4,FALSE)</f>
        <v>10</v>
      </c>
      <c r="L644" s="5">
        <f>VLOOKUP(TrendSheetStgData[Population]&amp;TrendSheetStgData[Trend],Threshold[#All],5,FALSE)</f>
        <v>5</v>
      </c>
      <c r="M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5" spans="1:13" x14ac:dyDescent="0.25">
      <c r="A645" t="s">
        <v>90</v>
      </c>
      <c r="B645" t="s">
        <v>90</v>
      </c>
      <c r="C645" t="s">
        <v>78</v>
      </c>
      <c r="D645" s="1" t="s">
        <v>107</v>
      </c>
      <c r="E645" t="s">
        <v>108</v>
      </c>
      <c r="F645" t="s">
        <v>26</v>
      </c>
      <c r="G645">
        <v>15</v>
      </c>
      <c r="H645">
        <v>295838</v>
      </c>
      <c r="I645" s="5">
        <f>VLOOKUP(TrendSheetStgData[Population]&amp;TrendSheetStgData[Cost Basis]&amp;TrendSheetStgData[Period]&amp;TrendSheetStgData[Trend],TrendSheetPrdData[#All],9,FALSE)</f>
        <v>295838</v>
      </c>
      <c r="J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5" s="5">
        <f>VLOOKUP(TrendSheetStgData[Population]&amp;TrendSheetStgData[Trend],Threshold[#All],4,FALSE)</f>
        <v>10</v>
      </c>
      <c r="L645" s="5">
        <f>VLOOKUP(TrendSheetStgData[Population]&amp;TrendSheetStgData[Trend],Threshold[#All],5,FALSE)</f>
        <v>5</v>
      </c>
      <c r="M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6" spans="1:13" x14ac:dyDescent="0.25">
      <c r="A646" t="s">
        <v>90</v>
      </c>
      <c r="B646" t="s">
        <v>90</v>
      </c>
      <c r="C646" t="s">
        <v>78</v>
      </c>
      <c r="D646" s="1" t="s">
        <v>109</v>
      </c>
      <c r="E646" t="s">
        <v>108</v>
      </c>
      <c r="F646" t="s">
        <v>26</v>
      </c>
      <c r="G646">
        <v>15</v>
      </c>
      <c r="H646">
        <v>256173</v>
      </c>
      <c r="I646" s="5">
        <f>VLOOKUP(TrendSheetStgData[Population]&amp;TrendSheetStgData[Cost Basis]&amp;TrendSheetStgData[Period]&amp;TrendSheetStgData[Trend],TrendSheetPrdData[#All],9,FALSE)</f>
        <v>256173</v>
      </c>
      <c r="J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6" s="5">
        <f>VLOOKUP(TrendSheetStgData[Population]&amp;TrendSheetStgData[Trend],Threshold[#All],4,FALSE)</f>
        <v>10</v>
      </c>
      <c r="L646" s="5">
        <f>VLOOKUP(TrendSheetStgData[Population]&amp;TrendSheetStgData[Trend],Threshold[#All],5,FALSE)</f>
        <v>5</v>
      </c>
      <c r="M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7" spans="1:13" x14ac:dyDescent="0.25">
      <c r="A647" t="s">
        <v>90</v>
      </c>
      <c r="B647" t="s">
        <v>90</v>
      </c>
      <c r="C647" t="s">
        <v>78</v>
      </c>
      <c r="D647" s="1" t="s">
        <v>110</v>
      </c>
      <c r="E647" t="s">
        <v>108</v>
      </c>
      <c r="F647" t="s">
        <v>26</v>
      </c>
      <c r="G647">
        <v>15</v>
      </c>
      <c r="H647">
        <v>212109</v>
      </c>
      <c r="I647" s="5">
        <f>VLOOKUP(TrendSheetStgData[Population]&amp;TrendSheetStgData[Cost Basis]&amp;TrendSheetStgData[Period]&amp;TrendSheetStgData[Trend],TrendSheetPrdData[#All],9,FALSE)</f>
        <v>212109</v>
      </c>
      <c r="J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7" s="5">
        <f>VLOOKUP(TrendSheetStgData[Population]&amp;TrendSheetStgData[Trend],Threshold[#All],4,FALSE)</f>
        <v>10</v>
      </c>
      <c r="L647" s="5">
        <f>VLOOKUP(TrendSheetStgData[Population]&amp;TrendSheetStgData[Trend],Threshold[#All],5,FALSE)</f>
        <v>5</v>
      </c>
      <c r="M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8" spans="1:13" x14ac:dyDescent="0.25">
      <c r="A648" t="s">
        <v>90</v>
      </c>
      <c r="B648" t="s">
        <v>90</v>
      </c>
      <c r="C648" t="s">
        <v>78</v>
      </c>
      <c r="D648" s="1" t="s">
        <v>92</v>
      </c>
      <c r="E648" t="s">
        <v>93</v>
      </c>
      <c r="F648" t="s">
        <v>27</v>
      </c>
      <c r="G648">
        <v>16</v>
      </c>
      <c r="H648">
        <v>0.87</v>
      </c>
      <c r="I648" s="5">
        <f>VLOOKUP(TrendSheetStgData[Population]&amp;TrendSheetStgData[Cost Basis]&amp;TrendSheetStgData[Period]&amp;TrendSheetStgData[Trend],TrendSheetPrdData[#All],9,FALSE)</f>
        <v>0.87</v>
      </c>
      <c r="J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8" s="5">
        <f>VLOOKUP(TrendSheetStgData[Population]&amp;TrendSheetStgData[Trend],Threshold[#All],4,FALSE)</f>
        <v>10</v>
      </c>
      <c r="L648" s="5">
        <f>VLOOKUP(TrendSheetStgData[Population]&amp;TrendSheetStgData[Trend],Threshold[#All],5,FALSE)</f>
        <v>5</v>
      </c>
      <c r="M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9" spans="1:13" x14ac:dyDescent="0.25">
      <c r="A649" t="s">
        <v>90</v>
      </c>
      <c r="B649" t="s">
        <v>90</v>
      </c>
      <c r="C649" t="s">
        <v>78</v>
      </c>
      <c r="D649" s="1" t="s">
        <v>94</v>
      </c>
      <c r="E649" t="s">
        <v>93</v>
      </c>
      <c r="F649" t="s">
        <v>27</v>
      </c>
      <c r="G649">
        <v>16</v>
      </c>
      <c r="H649">
        <v>0.87</v>
      </c>
      <c r="I649" s="5">
        <f>VLOOKUP(TrendSheetStgData[Population]&amp;TrendSheetStgData[Cost Basis]&amp;TrendSheetStgData[Period]&amp;TrendSheetStgData[Trend],TrendSheetPrdData[#All],9,FALSE)</f>
        <v>0.87</v>
      </c>
      <c r="J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9" s="5">
        <f>VLOOKUP(TrendSheetStgData[Population]&amp;TrendSheetStgData[Trend],Threshold[#All],4,FALSE)</f>
        <v>10</v>
      </c>
      <c r="L649" s="5">
        <f>VLOOKUP(TrendSheetStgData[Population]&amp;TrendSheetStgData[Trend],Threshold[#All],5,FALSE)</f>
        <v>5</v>
      </c>
      <c r="M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0" spans="1:13" x14ac:dyDescent="0.25">
      <c r="A650" t="s">
        <v>90</v>
      </c>
      <c r="B650" t="s">
        <v>90</v>
      </c>
      <c r="C650" t="s">
        <v>78</v>
      </c>
      <c r="D650" s="1" t="s">
        <v>95</v>
      </c>
      <c r="E650" t="s">
        <v>93</v>
      </c>
      <c r="F650" t="s">
        <v>27</v>
      </c>
      <c r="G650">
        <v>16</v>
      </c>
      <c r="H650">
        <v>0.87</v>
      </c>
      <c r="I650" s="5">
        <f>VLOOKUP(TrendSheetStgData[Population]&amp;TrendSheetStgData[Cost Basis]&amp;TrendSheetStgData[Period]&amp;TrendSheetStgData[Trend],TrendSheetPrdData[#All],9,FALSE)</f>
        <v>0.87</v>
      </c>
      <c r="J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0" s="5">
        <f>VLOOKUP(TrendSheetStgData[Population]&amp;TrendSheetStgData[Trend],Threshold[#All],4,FALSE)</f>
        <v>10</v>
      </c>
      <c r="L650" s="5">
        <f>VLOOKUP(TrendSheetStgData[Population]&amp;TrendSheetStgData[Trend],Threshold[#All],5,FALSE)</f>
        <v>5</v>
      </c>
      <c r="M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1" spans="1:13" x14ac:dyDescent="0.25">
      <c r="A651" t="s">
        <v>90</v>
      </c>
      <c r="B651" t="s">
        <v>90</v>
      </c>
      <c r="C651" t="s">
        <v>78</v>
      </c>
      <c r="D651" s="1" t="s">
        <v>96</v>
      </c>
      <c r="E651" t="s">
        <v>93</v>
      </c>
      <c r="F651" t="s">
        <v>27</v>
      </c>
      <c r="G651">
        <v>16</v>
      </c>
      <c r="H651">
        <v>0.86</v>
      </c>
      <c r="I651" s="5">
        <f>VLOOKUP(TrendSheetStgData[Population]&amp;TrendSheetStgData[Cost Basis]&amp;TrendSheetStgData[Period]&amp;TrendSheetStgData[Trend],TrendSheetPrdData[#All],9,FALSE)</f>
        <v>0.86</v>
      </c>
      <c r="J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1" s="5">
        <f>VLOOKUP(TrendSheetStgData[Population]&amp;TrendSheetStgData[Trend],Threshold[#All],4,FALSE)</f>
        <v>10</v>
      </c>
      <c r="L651" s="5">
        <f>VLOOKUP(TrendSheetStgData[Population]&amp;TrendSheetStgData[Trend],Threshold[#All],5,FALSE)</f>
        <v>5</v>
      </c>
      <c r="M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2" spans="1:13" x14ac:dyDescent="0.25">
      <c r="A652" t="s">
        <v>90</v>
      </c>
      <c r="B652" t="s">
        <v>90</v>
      </c>
      <c r="C652" t="s">
        <v>78</v>
      </c>
      <c r="D652" s="1" t="s">
        <v>97</v>
      </c>
      <c r="E652" t="s">
        <v>93</v>
      </c>
      <c r="F652" t="s">
        <v>27</v>
      </c>
      <c r="G652">
        <v>16</v>
      </c>
      <c r="H652">
        <v>0.88</v>
      </c>
      <c r="I652" s="5">
        <f>VLOOKUP(TrendSheetStgData[Population]&amp;TrendSheetStgData[Cost Basis]&amp;TrendSheetStgData[Period]&amp;TrendSheetStgData[Trend],TrendSheetPrdData[#All],9,FALSE)</f>
        <v>0.88</v>
      </c>
      <c r="J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2" s="5">
        <f>VLOOKUP(TrendSheetStgData[Population]&amp;TrendSheetStgData[Trend],Threshold[#All],4,FALSE)</f>
        <v>10</v>
      </c>
      <c r="L652" s="5">
        <f>VLOOKUP(TrendSheetStgData[Population]&amp;TrendSheetStgData[Trend],Threshold[#All],5,FALSE)</f>
        <v>5</v>
      </c>
      <c r="M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3" spans="1:13" x14ac:dyDescent="0.25">
      <c r="A653" t="s">
        <v>90</v>
      </c>
      <c r="B653" t="s">
        <v>90</v>
      </c>
      <c r="C653" t="s">
        <v>78</v>
      </c>
      <c r="D653" s="1" t="s">
        <v>98</v>
      </c>
      <c r="E653" t="s">
        <v>93</v>
      </c>
      <c r="F653" t="s">
        <v>27</v>
      </c>
      <c r="G653">
        <v>16</v>
      </c>
      <c r="H653">
        <v>0.88</v>
      </c>
      <c r="I653" s="5">
        <f>VLOOKUP(TrendSheetStgData[Population]&amp;TrendSheetStgData[Cost Basis]&amp;TrendSheetStgData[Period]&amp;TrendSheetStgData[Trend],TrendSheetPrdData[#All],9,FALSE)</f>
        <v>0.88</v>
      </c>
      <c r="J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3" s="5">
        <f>VLOOKUP(TrendSheetStgData[Population]&amp;TrendSheetStgData[Trend],Threshold[#All],4,FALSE)</f>
        <v>10</v>
      </c>
      <c r="L653" s="5">
        <f>VLOOKUP(TrendSheetStgData[Population]&amp;TrendSheetStgData[Trend],Threshold[#All],5,FALSE)</f>
        <v>5</v>
      </c>
      <c r="M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4" spans="1:13" x14ac:dyDescent="0.25">
      <c r="A654" t="s">
        <v>90</v>
      </c>
      <c r="B654" t="s">
        <v>90</v>
      </c>
      <c r="C654" t="s">
        <v>78</v>
      </c>
      <c r="D654" s="1" t="s">
        <v>99</v>
      </c>
      <c r="E654" t="s">
        <v>93</v>
      </c>
      <c r="F654" t="s">
        <v>27</v>
      </c>
      <c r="G654">
        <v>16</v>
      </c>
      <c r="H654">
        <v>0.87</v>
      </c>
      <c r="I654" s="5">
        <f>VLOOKUP(TrendSheetStgData[Population]&amp;TrendSheetStgData[Cost Basis]&amp;TrendSheetStgData[Period]&amp;TrendSheetStgData[Trend],TrendSheetPrdData[#All],9,FALSE)</f>
        <v>0.87</v>
      </c>
      <c r="J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4" s="5">
        <f>VLOOKUP(TrendSheetStgData[Population]&amp;TrendSheetStgData[Trend],Threshold[#All],4,FALSE)</f>
        <v>10</v>
      </c>
      <c r="L654" s="5">
        <f>VLOOKUP(TrendSheetStgData[Population]&amp;TrendSheetStgData[Trend],Threshold[#All],5,FALSE)</f>
        <v>5</v>
      </c>
      <c r="M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5" spans="1:13" x14ac:dyDescent="0.25">
      <c r="A655" t="s">
        <v>90</v>
      </c>
      <c r="B655" t="s">
        <v>90</v>
      </c>
      <c r="C655" t="s">
        <v>78</v>
      </c>
      <c r="D655" s="1" t="s">
        <v>100</v>
      </c>
      <c r="E655" t="s">
        <v>93</v>
      </c>
      <c r="F655" t="s">
        <v>27</v>
      </c>
      <c r="G655">
        <v>16</v>
      </c>
      <c r="H655">
        <v>0.87</v>
      </c>
      <c r="I655" s="5">
        <f>VLOOKUP(TrendSheetStgData[Population]&amp;TrendSheetStgData[Cost Basis]&amp;TrendSheetStgData[Period]&amp;TrendSheetStgData[Trend],TrendSheetPrdData[#All],9,FALSE)</f>
        <v>0.87</v>
      </c>
      <c r="J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5" s="5">
        <f>VLOOKUP(TrendSheetStgData[Population]&amp;TrendSheetStgData[Trend],Threshold[#All],4,FALSE)</f>
        <v>10</v>
      </c>
      <c r="L655" s="5">
        <f>VLOOKUP(TrendSheetStgData[Population]&amp;TrendSheetStgData[Trend],Threshold[#All],5,FALSE)</f>
        <v>5</v>
      </c>
      <c r="M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6" spans="1:13" x14ac:dyDescent="0.25">
      <c r="A656" t="s">
        <v>90</v>
      </c>
      <c r="B656" t="s">
        <v>90</v>
      </c>
      <c r="C656" t="s">
        <v>78</v>
      </c>
      <c r="D656" s="1" t="s">
        <v>101</v>
      </c>
      <c r="E656" t="s">
        <v>93</v>
      </c>
      <c r="F656" t="s">
        <v>27</v>
      </c>
      <c r="G656">
        <v>16</v>
      </c>
      <c r="H656">
        <v>0.89</v>
      </c>
      <c r="I656" s="5">
        <f>VLOOKUP(TrendSheetStgData[Population]&amp;TrendSheetStgData[Cost Basis]&amp;TrendSheetStgData[Period]&amp;TrendSheetStgData[Trend],TrendSheetPrdData[#All],9,FALSE)</f>
        <v>0.89</v>
      </c>
      <c r="J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6" s="5">
        <f>VLOOKUP(TrendSheetStgData[Population]&amp;TrendSheetStgData[Trend],Threshold[#All],4,FALSE)</f>
        <v>10</v>
      </c>
      <c r="L656" s="5">
        <f>VLOOKUP(TrendSheetStgData[Population]&amp;TrendSheetStgData[Trend],Threshold[#All],5,FALSE)</f>
        <v>5</v>
      </c>
      <c r="M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7" spans="1:13" x14ac:dyDescent="0.25">
      <c r="A657" t="s">
        <v>90</v>
      </c>
      <c r="B657" t="s">
        <v>90</v>
      </c>
      <c r="C657" t="s">
        <v>78</v>
      </c>
      <c r="D657" s="1" t="s">
        <v>102</v>
      </c>
      <c r="E657" t="s">
        <v>93</v>
      </c>
      <c r="F657" t="s">
        <v>27</v>
      </c>
      <c r="G657">
        <v>16</v>
      </c>
      <c r="H657">
        <v>0.89</v>
      </c>
      <c r="I657" s="5">
        <f>VLOOKUP(TrendSheetStgData[Population]&amp;TrendSheetStgData[Cost Basis]&amp;TrendSheetStgData[Period]&amp;TrendSheetStgData[Trend],TrendSheetPrdData[#All],9,FALSE)</f>
        <v>0.89</v>
      </c>
      <c r="J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7" s="5">
        <f>VLOOKUP(TrendSheetStgData[Population]&amp;TrendSheetStgData[Trend],Threshold[#All],4,FALSE)</f>
        <v>10</v>
      </c>
      <c r="L657" s="5">
        <f>VLOOKUP(TrendSheetStgData[Population]&amp;TrendSheetStgData[Trend],Threshold[#All],5,FALSE)</f>
        <v>5</v>
      </c>
      <c r="M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8" spans="1:13" x14ac:dyDescent="0.25">
      <c r="A658" t="s">
        <v>90</v>
      </c>
      <c r="B658" t="s">
        <v>90</v>
      </c>
      <c r="C658" t="s">
        <v>78</v>
      </c>
      <c r="D658" s="1" t="s">
        <v>103</v>
      </c>
      <c r="E658" t="s">
        <v>93</v>
      </c>
      <c r="F658" t="s">
        <v>27</v>
      </c>
      <c r="G658">
        <v>16</v>
      </c>
      <c r="H658">
        <v>0.88</v>
      </c>
      <c r="I658" s="5">
        <f>VLOOKUP(TrendSheetStgData[Population]&amp;TrendSheetStgData[Cost Basis]&amp;TrendSheetStgData[Period]&amp;TrendSheetStgData[Trend],TrendSheetPrdData[#All],9,FALSE)</f>
        <v>0.88</v>
      </c>
      <c r="J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8" s="5">
        <f>VLOOKUP(TrendSheetStgData[Population]&amp;TrendSheetStgData[Trend],Threshold[#All],4,FALSE)</f>
        <v>10</v>
      </c>
      <c r="L658" s="5">
        <f>VLOOKUP(TrendSheetStgData[Population]&amp;TrendSheetStgData[Trend],Threshold[#All],5,FALSE)</f>
        <v>5</v>
      </c>
      <c r="M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9" spans="1:13" x14ac:dyDescent="0.25">
      <c r="A659" t="s">
        <v>90</v>
      </c>
      <c r="B659" t="s">
        <v>90</v>
      </c>
      <c r="C659" t="s">
        <v>78</v>
      </c>
      <c r="D659" s="1" t="s">
        <v>104</v>
      </c>
      <c r="E659" t="s">
        <v>93</v>
      </c>
      <c r="F659" t="s">
        <v>27</v>
      </c>
      <c r="G659">
        <v>16</v>
      </c>
      <c r="H659">
        <v>0.89</v>
      </c>
      <c r="I659" s="5">
        <f>VLOOKUP(TrendSheetStgData[Population]&amp;TrendSheetStgData[Cost Basis]&amp;TrendSheetStgData[Period]&amp;TrendSheetStgData[Trend],TrendSheetPrdData[#All],9,FALSE)</f>
        <v>0.89</v>
      </c>
      <c r="J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9" s="5">
        <f>VLOOKUP(TrendSheetStgData[Population]&amp;TrendSheetStgData[Trend],Threshold[#All],4,FALSE)</f>
        <v>10</v>
      </c>
      <c r="L659" s="5">
        <f>VLOOKUP(TrendSheetStgData[Population]&amp;TrendSheetStgData[Trend],Threshold[#All],5,FALSE)</f>
        <v>5</v>
      </c>
      <c r="M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0" spans="1:13" x14ac:dyDescent="0.25">
      <c r="A660" t="s">
        <v>90</v>
      </c>
      <c r="B660" t="s">
        <v>90</v>
      </c>
      <c r="C660" t="s">
        <v>78</v>
      </c>
      <c r="D660" s="1" t="s">
        <v>105</v>
      </c>
      <c r="E660" t="s">
        <v>93</v>
      </c>
      <c r="F660" t="s">
        <v>27</v>
      </c>
      <c r="G660">
        <v>16</v>
      </c>
      <c r="H660">
        <v>0.88</v>
      </c>
      <c r="I660" s="5">
        <f>VLOOKUP(TrendSheetStgData[Population]&amp;TrendSheetStgData[Cost Basis]&amp;TrendSheetStgData[Period]&amp;TrendSheetStgData[Trend],TrendSheetPrdData[#All],9,FALSE)</f>
        <v>0.88</v>
      </c>
      <c r="J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0" s="5">
        <f>VLOOKUP(TrendSheetStgData[Population]&amp;TrendSheetStgData[Trend],Threshold[#All],4,FALSE)</f>
        <v>10</v>
      </c>
      <c r="L660" s="5">
        <f>VLOOKUP(TrendSheetStgData[Population]&amp;TrendSheetStgData[Trend],Threshold[#All],5,FALSE)</f>
        <v>5</v>
      </c>
      <c r="M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1" spans="1:13" x14ac:dyDescent="0.25">
      <c r="A661" t="s">
        <v>90</v>
      </c>
      <c r="B661" t="s">
        <v>90</v>
      </c>
      <c r="C661" t="s">
        <v>78</v>
      </c>
      <c r="D661" s="1" t="s">
        <v>106</v>
      </c>
      <c r="E661" t="s">
        <v>93</v>
      </c>
      <c r="F661" t="s">
        <v>27</v>
      </c>
      <c r="G661">
        <v>16</v>
      </c>
      <c r="H661">
        <v>0.9</v>
      </c>
      <c r="I661" s="5">
        <f>VLOOKUP(TrendSheetStgData[Population]&amp;TrendSheetStgData[Cost Basis]&amp;TrendSheetStgData[Period]&amp;TrendSheetStgData[Trend],TrendSheetPrdData[#All],9,FALSE)</f>
        <v>0.9</v>
      </c>
      <c r="J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1" s="5">
        <f>VLOOKUP(TrendSheetStgData[Population]&amp;TrendSheetStgData[Trend],Threshold[#All],4,FALSE)</f>
        <v>10</v>
      </c>
      <c r="L661" s="5">
        <f>VLOOKUP(TrendSheetStgData[Population]&amp;TrendSheetStgData[Trend],Threshold[#All],5,FALSE)</f>
        <v>5</v>
      </c>
      <c r="M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2" spans="1:13" x14ac:dyDescent="0.25">
      <c r="A662" t="s">
        <v>90</v>
      </c>
      <c r="B662" t="s">
        <v>90</v>
      </c>
      <c r="C662" t="s">
        <v>78</v>
      </c>
      <c r="D662" s="1" t="s">
        <v>107</v>
      </c>
      <c r="E662" t="s">
        <v>108</v>
      </c>
      <c r="F662" t="s">
        <v>27</v>
      </c>
      <c r="G662">
        <v>16</v>
      </c>
      <c r="H662">
        <v>0.89</v>
      </c>
      <c r="I662" s="5">
        <f>VLOOKUP(TrendSheetStgData[Population]&amp;TrendSheetStgData[Cost Basis]&amp;TrendSheetStgData[Period]&amp;TrendSheetStgData[Trend],TrendSheetPrdData[#All],9,FALSE)</f>
        <v>0.89</v>
      </c>
      <c r="J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2" s="5">
        <f>VLOOKUP(TrendSheetStgData[Population]&amp;TrendSheetStgData[Trend],Threshold[#All],4,FALSE)</f>
        <v>10</v>
      </c>
      <c r="L662" s="5">
        <f>VLOOKUP(TrendSheetStgData[Population]&amp;TrendSheetStgData[Trend],Threshold[#All],5,FALSE)</f>
        <v>5</v>
      </c>
      <c r="M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3" spans="1:13" x14ac:dyDescent="0.25">
      <c r="A663" t="s">
        <v>90</v>
      </c>
      <c r="B663" t="s">
        <v>90</v>
      </c>
      <c r="C663" t="s">
        <v>78</v>
      </c>
      <c r="D663" s="1" t="s">
        <v>109</v>
      </c>
      <c r="E663" t="s">
        <v>108</v>
      </c>
      <c r="F663" t="s">
        <v>27</v>
      </c>
      <c r="G663">
        <v>16</v>
      </c>
      <c r="H663">
        <v>0.89</v>
      </c>
      <c r="I663" s="5">
        <f>VLOOKUP(TrendSheetStgData[Population]&amp;TrendSheetStgData[Cost Basis]&amp;TrendSheetStgData[Period]&amp;TrendSheetStgData[Trend],TrendSheetPrdData[#All],9,FALSE)</f>
        <v>0.89</v>
      </c>
      <c r="J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3" s="5">
        <f>VLOOKUP(TrendSheetStgData[Population]&amp;TrendSheetStgData[Trend],Threshold[#All],4,FALSE)</f>
        <v>10</v>
      </c>
      <c r="L663" s="5">
        <f>VLOOKUP(TrendSheetStgData[Population]&amp;TrendSheetStgData[Trend],Threshold[#All],5,FALSE)</f>
        <v>5</v>
      </c>
      <c r="M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4" spans="1:13" x14ac:dyDescent="0.25">
      <c r="A664" t="s">
        <v>90</v>
      </c>
      <c r="B664" t="s">
        <v>90</v>
      </c>
      <c r="C664" t="s">
        <v>78</v>
      </c>
      <c r="D664" s="1" t="s">
        <v>110</v>
      </c>
      <c r="E664" t="s">
        <v>108</v>
      </c>
      <c r="F664" t="s">
        <v>27</v>
      </c>
      <c r="G664">
        <v>16</v>
      </c>
      <c r="H664">
        <v>0.89</v>
      </c>
      <c r="I664" s="5">
        <f>VLOOKUP(TrendSheetStgData[Population]&amp;TrendSheetStgData[Cost Basis]&amp;TrendSheetStgData[Period]&amp;TrendSheetStgData[Trend],TrendSheetPrdData[#All],9,FALSE)</f>
        <v>0.89</v>
      </c>
      <c r="J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4" s="5">
        <f>VLOOKUP(TrendSheetStgData[Population]&amp;TrendSheetStgData[Trend],Threshold[#All],4,FALSE)</f>
        <v>10</v>
      </c>
      <c r="L664" s="5">
        <f>VLOOKUP(TrendSheetStgData[Population]&amp;TrendSheetStgData[Trend],Threshold[#All],5,FALSE)</f>
        <v>5</v>
      </c>
      <c r="M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5" spans="1:13" x14ac:dyDescent="0.25">
      <c r="A665" t="s">
        <v>90</v>
      </c>
      <c r="B665" t="s">
        <v>90</v>
      </c>
      <c r="C665" t="s">
        <v>78</v>
      </c>
      <c r="D665" s="1" t="s">
        <v>92</v>
      </c>
      <c r="E665" t="s">
        <v>93</v>
      </c>
      <c r="F665" t="s">
        <v>28</v>
      </c>
      <c r="G665">
        <v>17</v>
      </c>
      <c r="H665">
        <v>1045326</v>
      </c>
      <c r="I665" s="5">
        <f>VLOOKUP(TrendSheetStgData[Population]&amp;TrendSheetStgData[Cost Basis]&amp;TrendSheetStgData[Period]&amp;TrendSheetStgData[Trend],TrendSheetPrdData[#All],9,FALSE)</f>
        <v>1045326</v>
      </c>
      <c r="J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5" s="5">
        <f>VLOOKUP(TrendSheetStgData[Population]&amp;TrendSheetStgData[Trend],Threshold[#All],4,FALSE)</f>
        <v>10</v>
      </c>
      <c r="L665" s="5">
        <f>VLOOKUP(TrendSheetStgData[Population]&amp;TrendSheetStgData[Trend],Threshold[#All],5,FALSE)</f>
        <v>5</v>
      </c>
      <c r="M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6" spans="1:13" x14ac:dyDescent="0.25">
      <c r="A666" t="s">
        <v>90</v>
      </c>
      <c r="B666" t="s">
        <v>90</v>
      </c>
      <c r="C666" t="s">
        <v>78</v>
      </c>
      <c r="D666" s="1" t="s">
        <v>94</v>
      </c>
      <c r="E666" t="s">
        <v>93</v>
      </c>
      <c r="F666" t="s">
        <v>28</v>
      </c>
      <c r="G666">
        <v>17</v>
      </c>
      <c r="H666">
        <v>982964</v>
      </c>
      <c r="I666" s="5">
        <f>VLOOKUP(TrendSheetStgData[Population]&amp;TrendSheetStgData[Cost Basis]&amp;TrendSheetStgData[Period]&amp;TrendSheetStgData[Trend],TrendSheetPrdData[#All],9,FALSE)</f>
        <v>982964</v>
      </c>
      <c r="J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6" s="5">
        <f>VLOOKUP(TrendSheetStgData[Population]&amp;TrendSheetStgData[Trend],Threshold[#All],4,FALSE)</f>
        <v>10</v>
      </c>
      <c r="L666" s="5">
        <f>VLOOKUP(TrendSheetStgData[Population]&amp;TrendSheetStgData[Trend],Threshold[#All],5,FALSE)</f>
        <v>5</v>
      </c>
      <c r="M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7" spans="1:13" x14ac:dyDescent="0.25">
      <c r="A667" t="s">
        <v>90</v>
      </c>
      <c r="B667" t="s">
        <v>90</v>
      </c>
      <c r="C667" t="s">
        <v>78</v>
      </c>
      <c r="D667" s="1" t="s">
        <v>95</v>
      </c>
      <c r="E667" t="s">
        <v>93</v>
      </c>
      <c r="F667" t="s">
        <v>28</v>
      </c>
      <c r="G667">
        <v>17</v>
      </c>
      <c r="H667">
        <v>1078201</v>
      </c>
      <c r="I667" s="5">
        <f>VLOOKUP(TrendSheetStgData[Population]&amp;TrendSheetStgData[Cost Basis]&amp;TrendSheetStgData[Period]&amp;TrendSheetStgData[Trend],TrendSheetPrdData[#All],9,FALSE)</f>
        <v>1078201</v>
      </c>
      <c r="J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7" s="5">
        <f>VLOOKUP(TrendSheetStgData[Population]&amp;TrendSheetStgData[Trend],Threshold[#All],4,FALSE)</f>
        <v>10</v>
      </c>
      <c r="L667" s="5">
        <f>VLOOKUP(TrendSheetStgData[Population]&amp;TrendSheetStgData[Trend],Threshold[#All],5,FALSE)</f>
        <v>5</v>
      </c>
      <c r="M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8" spans="1:13" x14ac:dyDescent="0.25">
      <c r="A668" t="s">
        <v>90</v>
      </c>
      <c r="B668" t="s">
        <v>90</v>
      </c>
      <c r="C668" t="s">
        <v>78</v>
      </c>
      <c r="D668" s="1" t="s">
        <v>96</v>
      </c>
      <c r="E668" t="s">
        <v>93</v>
      </c>
      <c r="F668" t="s">
        <v>28</v>
      </c>
      <c r="G668">
        <v>17</v>
      </c>
      <c r="H668">
        <v>1346044</v>
      </c>
      <c r="I668" s="5">
        <f>VLOOKUP(TrendSheetStgData[Population]&amp;TrendSheetStgData[Cost Basis]&amp;TrendSheetStgData[Period]&amp;TrendSheetStgData[Trend],TrendSheetPrdData[#All],9,FALSE)</f>
        <v>1346044</v>
      </c>
      <c r="J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8" s="5">
        <f>VLOOKUP(TrendSheetStgData[Population]&amp;TrendSheetStgData[Trend],Threshold[#All],4,FALSE)</f>
        <v>10</v>
      </c>
      <c r="L668" s="5">
        <f>VLOOKUP(TrendSheetStgData[Population]&amp;TrendSheetStgData[Trend],Threshold[#All],5,FALSE)</f>
        <v>5</v>
      </c>
      <c r="M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9" spans="1:13" x14ac:dyDescent="0.25">
      <c r="A669" t="s">
        <v>90</v>
      </c>
      <c r="B669" t="s">
        <v>90</v>
      </c>
      <c r="C669" t="s">
        <v>78</v>
      </c>
      <c r="D669" s="1" t="s">
        <v>97</v>
      </c>
      <c r="E669" t="s">
        <v>93</v>
      </c>
      <c r="F669" t="s">
        <v>28</v>
      </c>
      <c r="G669">
        <v>17</v>
      </c>
      <c r="H669">
        <v>1228220</v>
      </c>
      <c r="I669" s="5">
        <f>VLOOKUP(TrendSheetStgData[Population]&amp;TrendSheetStgData[Cost Basis]&amp;TrendSheetStgData[Period]&amp;TrendSheetStgData[Trend],TrendSheetPrdData[#All],9,FALSE)</f>
        <v>1228220</v>
      </c>
      <c r="J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9" s="5">
        <f>VLOOKUP(TrendSheetStgData[Population]&amp;TrendSheetStgData[Trend],Threshold[#All],4,FALSE)</f>
        <v>10</v>
      </c>
      <c r="L669" s="5">
        <f>VLOOKUP(TrendSheetStgData[Population]&amp;TrendSheetStgData[Trend],Threshold[#All],5,FALSE)</f>
        <v>5</v>
      </c>
      <c r="M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0" spans="1:13" x14ac:dyDescent="0.25">
      <c r="A670" t="s">
        <v>90</v>
      </c>
      <c r="B670" t="s">
        <v>90</v>
      </c>
      <c r="C670" t="s">
        <v>78</v>
      </c>
      <c r="D670" s="1" t="s">
        <v>98</v>
      </c>
      <c r="E670" t="s">
        <v>93</v>
      </c>
      <c r="F670" t="s">
        <v>28</v>
      </c>
      <c r="G670">
        <v>17</v>
      </c>
      <c r="H670">
        <v>1122928</v>
      </c>
      <c r="I670" s="5">
        <f>VLOOKUP(TrendSheetStgData[Population]&amp;TrendSheetStgData[Cost Basis]&amp;TrendSheetStgData[Period]&amp;TrendSheetStgData[Trend],TrendSheetPrdData[#All],9,FALSE)</f>
        <v>1122928</v>
      </c>
      <c r="J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0" s="5">
        <f>VLOOKUP(TrendSheetStgData[Population]&amp;TrendSheetStgData[Trend],Threshold[#All],4,FALSE)</f>
        <v>10</v>
      </c>
      <c r="L670" s="5">
        <f>VLOOKUP(TrendSheetStgData[Population]&amp;TrendSheetStgData[Trend],Threshold[#All],5,FALSE)</f>
        <v>5</v>
      </c>
      <c r="M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1" spans="1:13" x14ac:dyDescent="0.25">
      <c r="A671" t="s">
        <v>90</v>
      </c>
      <c r="B671" t="s">
        <v>90</v>
      </c>
      <c r="C671" t="s">
        <v>78</v>
      </c>
      <c r="D671" s="1" t="s">
        <v>99</v>
      </c>
      <c r="E671" t="s">
        <v>93</v>
      </c>
      <c r="F671" t="s">
        <v>28</v>
      </c>
      <c r="G671">
        <v>17</v>
      </c>
      <c r="H671">
        <v>1268156</v>
      </c>
      <c r="I671" s="5">
        <f>VLOOKUP(TrendSheetStgData[Population]&amp;TrendSheetStgData[Cost Basis]&amp;TrendSheetStgData[Period]&amp;TrendSheetStgData[Trend],TrendSheetPrdData[#All],9,FALSE)</f>
        <v>1268156</v>
      </c>
      <c r="J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1" s="5">
        <f>VLOOKUP(TrendSheetStgData[Population]&amp;TrendSheetStgData[Trend],Threshold[#All],4,FALSE)</f>
        <v>10</v>
      </c>
      <c r="L671" s="5">
        <f>VLOOKUP(TrendSheetStgData[Population]&amp;TrendSheetStgData[Trend],Threshold[#All],5,FALSE)</f>
        <v>5</v>
      </c>
      <c r="M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2" spans="1:13" x14ac:dyDescent="0.25">
      <c r="A672" t="s">
        <v>90</v>
      </c>
      <c r="B672" t="s">
        <v>90</v>
      </c>
      <c r="C672" t="s">
        <v>78</v>
      </c>
      <c r="D672" s="1" t="s">
        <v>100</v>
      </c>
      <c r="E672" t="s">
        <v>93</v>
      </c>
      <c r="F672" t="s">
        <v>28</v>
      </c>
      <c r="G672">
        <v>17</v>
      </c>
      <c r="H672">
        <v>1260094</v>
      </c>
      <c r="I672" s="5">
        <f>VLOOKUP(TrendSheetStgData[Population]&amp;TrendSheetStgData[Cost Basis]&amp;TrendSheetStgData[Period]&amp;TrendSheetStgData[Trend],TrendSheetPrdData[#All],9,FALSE)</f>
        <v>1260094</v>
      </c>
      <c r="J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2" s="5">
        <f>VLOOKUP(TrendSheetStgData[Population]&amp;TrendSheetStgData[Trend],Threshold[#All],4,FALSE)</f>
        <v>10</v>
      </c>
      <c r="L672" s="5">
        <f>VLOOKUP(TrendSheetStgData[Population]&amp;TrendSheetStgData[Trend],Threshold[#All],5,FALSE)</f>
        <v>5</v>
      </c>
      <c r="M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3" spans="1:13" x14ac:dyDescent="0.25">
      <c r="A673" t="s">
        <v>90</v>
      </c>
      <c r="B673" t="s">
        <v>90</v>
      </c>
      <c r="C673" t="s">
        <v>78</v>
      </c>
      <c r="D673" s="1" t="s">
        <v>101</v>
      </c>
      <c r="E673" t="s">
        <v>93</v>
      </c>
      <c r="F673" t="s">
        <v>28</v>
      </c>
      <c r="G673">
        <v>17</v>
      </c>
      <c r="H673">
        <v>1210499</v>
      </c>
      <c r="I673" s="5">
        <f>VLOOKUP(TrendSheetStgData[Population]&amp;TrendSheetStgData[Cost Basis]&amp;TrendSheetStgData[Period]&amp;TrendSheetStgData[Trend],TrendSheetPrdData[#All],9,FALSE)</f>
        <v>1210499</v>
      </c>
      <c r="J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3" s="5">
        <f>VLOOKUP(TrendSheetStgData[Population]&amp;TrendSheetStgData[Trend],Threshold[#All],4,FALSE)</f>
        <v>10</v>
      </c>
      <c r="L673" s="5">
        <f>VLOOKUP(TrendSheetStgData[Population]&amp;TrendSheetStgData[Trend],Threshold[#All],5,FALSE)</f>
        <v>5</v>
      </c>
      <c r="M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4" spans="1:13" x14ac:dyDescent="0.25">
      <c r="A674" t="s">
        <v>90</v>
      </c>
      <c r="B674" t="s">
        <v>90</v>
      </c>
      <c r="C674" t="s">
        <v>78</v>
      </c>
      <c r="D674" s="1" t="s">
        <v>102</v>
      </c>
      <c r="E674" t="s">
        <v>93</v>
      </c>
      <c r="F674" t="s">
        <v>28</v>
      </c>
      <c r="G674">
        <v>17</v>
      </c>
      <c r="H674">
        <v>1069856</v>
      </c>
      <c r="I674" s="5">
        <f>VLOOKUP(TrendSheetStgData[Population]&amp;TrendSheetStgData[Cost Basis]&amp;TrendSheetStgData[Period]&amp;TrendSheetStgData[Trend],TrendSheetPrdData[#All],9,FALSE)</f>
        <v>1069856</v>
      </c>
      <c r="J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4" s="5">
        <f>VLOOKUP(TrendSheetStgData[Population]&amp;TrendSheetStgData[Trend],Threshold[#All],4,FALSE)</f>
        <v>10</v>
      </c>
      <c r="L674" s="5">
        <f>VLOOKUP(TrendSheetStgData[Population]&amp;TrendSheetStgData[Trend],Threshold[#All],5,FALSE)</f>
        <v>5</v>
      </c>
      <c r="M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5" spans="1:13" x14ac:dyDescent="0.25">
      <c r="A675" t="s">
        <v>90</v>
      </c>
      <c r="B675" t="s">
        <v>90</v>
      </c>
      <c r="C675" t="s">
        <v>78</v>
      </c>
      <c r="D675" s="1" t="s">
        <v>103</v>
      </c>
      <c r="E675" t="s">
        <v>93</v>
      </c>
      <c r="F675" t="s">
        <v>28</v>
      </c>
      <c r="G675">
        <v>17</v>
      </c>
      <c r="H675">
        <v>1148468</v>
      </c>
      <c r="I675" s="5">
        <f>VLOOKUP(TrendSheetStgData[Population]&amp;TrendSheetStgData[Cost Basis]&amp;TrendSheetStgData[Period]&amp;TrendSheetStgData[Trend],TrendSheetPrdData[#All],9,FALSE)</f>
        <v>1148468</v>
      </c>
      <c r="J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5" s="5">
        <f>VLOOKUP(TrendSheetStgData[Population]&amp;TrendSheetStgData[Trend],Threshold[#All],4,FALSE)</f>
        <v>10</v>
      </c>
      <c r="L675" s="5">
        <f>VLOOKUP(TrendSheetStgData[Population]&amp;TrendSheetStgData[Trend],Threshold[#All],5,FALSE)</f>
        <v>5</v>
      </c>
      <c r="M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6" spans="1:13" x14ac:dyDescent="0.25">
      <c r="A676" t="s">
        <v>90</v>
      </c>
      <c r="B676" t="s">
        <v>90</v>
      </c>
      <c r="C676" t="s">
        <v>78</v>
      </c>
      <c r="D676" s="1" t="s">
        <v>104</v>
      </c>
      <c r="E676" t="s">
        <v>93</v>
      </c>
      <c r="F676" t="s">
        <v>28</v>
      </c>
      <c r="G676">
        <v>17</v>
      </c>
      <c r="H676">
        <v>1314372</v>
      </c>
      <c r="I676" s="5">
        <f>VLOOKUP(TrendSheetStgData[Population]&amp;TrendSheetStgData[Cost Basis]&amp;TrendSheetStgData[Period]&amp;TrendSheetStgData[Trend],TrendSheetPrdData[#All],9,FALSE)</f>
        <v>1314372</v>
      </c>
      <c r="J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6" s="5">
        <f>VLOOKUP(TrendSheetStgData[Population]&amp;TrendSheetStgData[Trend],Threshold[#All],4,FALSE)</f>
        <v>10</v>
      </c>
      <c r="L676" s="5">
        <f>VLOOKUP(TrendSheetStgData[Population]&amp;TrendSheetStgData[Trend],Threshold[#All],5,FALSE)</f>
        <v>5</v>
      </c>
      <c r="M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7" spans="1:13" x14ac:dyDescent="0.25">
      <c r="A677" t="s">
        <v>90</v>
      </c>
      <c r="B677" t="s">
        <v>90</v>
      </c>
      <c r="C677" t="s">
        <v>78</v>
      </c>
      <c r="D677" s="1" t="s">
        <v>105</v>
      </c>
      <c r="E677" t="s">
        <v>93</v>
      </c>
      <c r="F677" t="s">
        <v>28</v>
      </c>
      <c r="G677">
        <v>17</v>
      </c>
      <c r="H677">
        <v>1184649</v>
      </c>
      <c r="I677" s="5">
        <f>VLOOKUP(TrendSheetStgData[Population]&amp;TrendSheetStgData[Cost Basis]&amp;TrendSheetStgData[Period]&amp;TrendSheetStgData[Trend],TrendSheetPrdData[#All],9,FALSE)</f>
        <v>1184649</v>
      </c>
      <c r="J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7" s="5">
        <f>VLOOKUP(TrendSheetStgData[Population]&amp;TrendSheetStgData[Trend],Threshold[#All],4,FALSE)</f>
        <v>10</v>
      </c>
      <c r="L677" s="5">
        <f>VLOOKUP(TrendSheetStgData[Population]&amp;TrendSheetStgData[Trend],Threshold[#All],5,FALSE)</f>
        <v>5</v>
      </c>
      <c r="M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8" spans="1:13" x14ac:dyDescent="0.25">
      <c r="A678" t="s">
        <v>90</v>
      </c>
      <c r="B678" t="s">
        <v>90</v>
      </c>
      <c r="C678" t="s">
        <v>78</v>
      </c>
      <c r="D678" s="1" t="s">
        <v>106</v>
      </c>
      <c r="E678" t="s">
        <v>93</v>
      </c>
      <c r="F678" t="s">
        <v>28</v>
      </c>
      <c r="G678">
        <v>17</v>
      </c>
      <c r="H678">
        <v>1122861</v>
      </c>
      <c r="I678" s="5">
        <f>VLOOKUP(TrendSheetStgData[Population]&amp;TrendSheetStgData[Cost Basis]&amp;TrendSheetStgData[Period]&amp;TrendSheetStgData[Trend],TrendSheetPrdData[#All],9,FALSE)</f>
        <v>1122861</v>
      </c>
      <c r="J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8" s="5">
        <f>VLOOKUP(TrendSheetStgData[Population]&amp;TrendSheetStgData[Trend],Threshold[#All],4,FALSE)</f>
        <v>10</v>
      </c>
      <c r="L678" s="5">
        <f>VLOOKUP(TrendSheetStgData[Population]&amp;TrendSheetStgData[Trend],Threshold[#All],5,FALSE)</f>
        <v>5</v>
      </c>
      <c r="M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9" spans="1:13" x14ac:dyDescent="0.25">
      <c r="A679" t="s">
        <v>90</v>
      </c>
      <c r="B679" t="s">
        <v>90</v>
      </c>
      <c r="C679" t="s">
        <v>78</v>
      </c>
      <c r="D679" s="1" t="s">
        <v>107</v>
      </c>
      <c r="E679" t="s">
        <v>108</v>
      </c>
      <c r="F679" t="s">
        <v>28</v>
      </c>
      <c r="G679">
        <v>17</v>
      </c>
      <c r="H679">
        <v>1170832</v>
      </c>
      <c r="I679" s="5">
        <f>VLOOKUP(TrendSheetStgData[Population]&amp;TrendSheetStgData[Cost Basis]&amp;TrendSheetStgData[Period]&amp;TrendSheetStgData[Trend],TrendSheetPrdData[#All],9,FALSE)</f>
        <v>1170832</v>
      </c>
      <c r="J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9" s="5">
        <f>VLOOKUP(TrendSheetStgData[Population]&amp;TrendSheetStgData[Trend],Threshold[#All],4,FALSE)</f>
        <v>10</v>
      </c>
      <c r="L679" s="5">
        <f>VLOOKUP(TrendSheetStgData[Population]&amp;TrendSheetStgData[Trend],Threshold[#All],5,FALSE)</f>
        <v>5</v>
      </c>
      <c r="M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0" spans="1:13" x14ac:dyDescent="0.25">
      <c r="A680" t="s">
        <v>90</v>
      </c>
      <c r="B680" t="s">
        <v>90</v>
      </c>
      <c r="C680" t="s">
        <v>78</v>
      </c>
      <c r="D680" s="1" t="s">
        <v>109</v>
      </c>
      <c r="E680" t="s">
        <v>108</v>
      </c>
      <c r="F680" t="s">
        <v>28</v>
      </c>
      <c r="G680">
        <v>17</v>
      </c>
      <c r="H680">
        <v>1046287</v>
      </c>
      <c r="I680" s="5">
        <f>VLOOKUP(TrendSheetStgData[Population]&amp;TrendSheetStgData[Cost Basis]&amp;TrendSheetStgData[Period]&amp;TrendSheetStgData[Trend],TrendSheetPrdData[#All],9,FALSE)</f>
        <v>1046287</v>
      </c>
      <c r="J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0" s="5">
        <f>VLOOKUP(TrendSheetStgData[Population]&amp;TrendSheetStgData[Trend],Threshold[#All],4,FALSE)</f>
        <v>10</v>
      </c>
      <c r="L680" s="5">
        <f>VLOOKUP(TrendSheetStgData[Population]&amp;TrendSheetStgData[Trend],Threshold[#All],5,FALSE)</f>
        <v>5</v>
      </c>
      <c r="M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1" spans="1:13" x14ac:dyDescent="0.25">
      <c r="A681" t="s">
        <v>90</v>
      </c>
      <c r="B681" t="s">
        <v>90</v>
      </c>
      <c r="C681" t="s">
        <v>78</v>
      </c>
      <c r="D681" s="1" t="s">
        <v>110</v>
      </c>
      <c r="E681" t="s">
        <v>108</v>
      </c>
      <c r="F681" t="s">
        <v>28</v>
      </c>
      <c r="G681">
        <v>17</v>
      </c>
      <c r="H681">
        <v>631934</v>
      </c>
      <c r="I681" s="5">
        <f>VLOOKUP(TrendSheetStgData[Population]&amp;TrendSheetStgData[Cost Basis]&amp;TrendSheetStgData[Period]&amp;TrendSheetStgData[Trend],TrendSheetPrdData[#All],9,FALSE)</f>
        <v>631934</v>
      </c>
      <c r="J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1" s="5">
        <f>VLOOKUP(TrendSheetStgData[Population]&amp;TrendSheetStgData[Trend],Threshold[#All],4,FALSE)</f>
        <v>10</v>
      </c>
      <c r="L681" s="5">
        <f>VLOOKUP(TrendSheetStgData[Population]&amp;TrendSheetStgData[Trend],Threshold[#All],5,FALSE)</f>
        <v>5</v>
      </c>
      <c r="M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2" spans="1:13" x14ac:dyDescent="0.25">
      <c r="A682" t="s">
        <v>90</v>
      </c>
      <c r="B682" t="s">
        <v>90</v>
      </c>
      <c r="C682" t="s">
        <v>78</v>
      </c>
      <c r="D682" s="1" t="s">
        <v>92</v>
      </c>
      <c r="E682" t="s">
        <v>93</v>
      </c>
      <c r="F682" t="s">
        <v>29</v>
      </c>
      <c r="G682">
        <v>18</v>
      </c>
      <c r="H682">
        <v>487.37</v>
      </c>
      <c r="I682" s="5">
        <f>VLOOKUP(TrendSheetStgData[Population]&amp;TrendSheetStgData[Cost Basis]&amp;TrendSheetStgData[Period]&amp;TrendSheetStgData[Trend],TrendSheetPrdData[#All],9,FALSE)</f>
        <v>487.37</v>
      </c>
      <c r="J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2" s="5">
        <f>VLOOKUP(TrendSheetStgData[Population]&amp;TrendSheetStgData[Trend],Threshold[#All],4,FALSE)</f>
        <v>10</v>
      </c>
      <c r="L682" s="5">
        <f>VLOOKUP(TrendSheetStgData[Population]&amp;TrendSheetStgData[Trend],Threshold[#All],5,FALSE)</f>
        <v>5</v>
      </c>
      <c r="M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3" spans="1:13" x14ac:dyDescent="0.25">
      <c r="A683" t="s">
        <v>90</v>
      </c>
      <c r="B683" t="s">
        <v>90</v>
      </c>
      <c r="C683" t="s">
        <v>78</v>
      </c>
      <c r="D683" s="1" t="s">
        <v>94</v>
      </c>
      <c r="E683" t="s">
        <v>93</v>
      </c>
      <c r="F683" t="s">
        <v>29</v>
      </c>
      <c r="G683">
        <v>18</v>
      </c>
      <c r="H683">
        <v>487.9</v>
      </c>
      <c r="I683" s="5">
        <f>VLOOKUP(TrendSheetStgData[Population]&amp;TrendSheetStgData[Cost Basis]&amp;TrendSheetStgData[Period]&amp;TrendSheetStgData[Trend],TrendSheetPrdData[#All],9,FALSE)</f>
        <v>487.9</v>
      </c>
      <c r="J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3" s="5">
        <f>VLOOKUP(TrendSheetStgData[Population]&amp;TrendSheetStgData[Trend],Threshold[#All],4,FALSE)</f>
        <v>10</v>
      </c>
      <c r="L683" s="5">
        <f>VLOOKUP(TrendSheetStgData[Population]&amp;TrendSheetStgData[Trend],Threshold[#All],5,FALSE)</f>
        <v>5</v>
      </c>
      <c r="M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4" spans="1:13" x14ac:dyDescent="0.25">
      <c r="A684" t="s">
        <v>90</v>
      </c>
      <c r="B684" t="s">
        <v>90</v>
      </c>
      <c r="C684" t="s">
        <v>78</v>
      </c>
      <c r="D684" s="1" t="s">
        <v>95</v>
      </c>
      <c r="E684" t="s">
        <v>93</v>
      </c>
      <c r="F684" t="s">
        <v>29</v>
      </c>
      <c r="G684">
        <v>18</v>
      </c>
      <c r="H684">
        <v>487.39</v>
      </c>
      <c r="I684" s="5">
        <f>VLOOKUP(TrendSheetStgData[Population]&amp;TrendSheetStgData[Cost Basis]&amp;TrendSheetStgData[Period]&amp;TrendSheetStgData[Trend],TrendSheetPrdData[#All],9,FALSE)</f>
        <v>487.39</v>
      </c>
      <c r="J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4" s="5">
        <f>VLOOKUP(TrendSheetStgData[Population]&amp;TrendSheetStgData[Trend],Threshold[#All],4,FALSE)</f>
        <v>10</v>
      </c>
      <c r="L684" s="5">
        <f>VLOOKUP(TrendSheetStgData[Population]&amp;TrendSheetStgData[Trend],Threshold[#All],5,FALSE)</f>
        <v>5</v>
      </c>
      <c r="M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5" spans="1:13" x14ac:dyDescent="0.25">
      <c r="A685" t="s">
        <v>90</v>
      </c>
      <c r="B685" t="s">
        <v>90</v>
      </c>
      <c r="C685" t="s">
        <v>78</v>
      </c>
      <c r="D685" s="1" t="s">
        <v>96</v>
      </c>
      <c r="E685" t="s">
        <v>93</v>
      </c>
      <c r="F685" t="s">
        <v>29</v>
      </c>
      <c r="G685">
        <v>18</v>
      </c>
      <c r="H685">
        <v>481.63</v>
      </c>
      <c r="I685" s="5">
        <f>VLOOKUP(TrendSheetStgData[Population]&amp;TrendSheetStgData[Cost Basis]&amp;TrendSheetStgData[Period]&amp;TrendSheetStgData[Trend],TrendSheetPrdData[#All],9,FALSE)</f>
        <v>481.63</v>
      </c>
      <c r="J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5" s="5">
        <f>VLOOKUP(TrendSheetStgData[Population]&amp;TrendSheetStgData[Trend],Threshold[#All],4,FALSE)</f>
        <v>10</v>
      </c>
      <c r="L685" s="5">
        <f>VLOOKUP(TrendSheetStgData[Population]&amp;TrendSheetStgData[Trend],Threshold[#All],5,FALSE)</f>
        <v>5</v>
      </c>
      <c r="M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6" spans="1:13" x14ac:dyDescent="0.25">
      <c r="A686" t="s">
        <v>90</v>
      </c>
      <c r="B686" t="s">
        <v>90</v>
      </c>
      <c r="C686" t="s">
        <v>78</v>
      </c>
      <c r="D686" s="1" t="s">
        <v>97</v>
      </c>
      <c r="E686" t="s">
        <v>93</v>
      </c>
      <c r="F686" t="s">
        <v>29</v>
      </c>
      <c r="G686">
        <v>18</v>
      </c>
      <c r="H686">
        <v>481</v>
      </c>
      <c r="I686" s="5">
        <f>VLOOKUP(TrendSheetStgData[Population]&amp;TrendSheetStgData[Cost Basis]&amp;TrendSheetStgData[Period]&amp;TrendSheetStgData[Trend],TrendSheetPrdData[#All],9,FALSE)</f>
        <v>481</v>
      </c>
      <c r="J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6" s="5">
        <f>VLOOKUP(TrendSheetStgData[Population]&amp;TrendSheetStgData[Trend],Threshold[#All],4,FALSE)</f>
        <v>10</v>
      </c>
      <c r="L686" s="5">
        <f>VLOOKUP(TrendSheetStgData[Population]&amp;TrendSheetStgData[Trend],Threshold[#All],5,FALSE)</f>
        <v>5</v>
      </c>
      <c r="M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7" spans="1:13" x14ac:dyDescent="0.25">
      <c r="A687" t="s">
        <v>90</v>
      </c>
      <c r="B687" t="s">
        <v>90</v>
      </c>
      <c r="C687" t="s">
        <v>78</v>
      </c>
      <c r="D687" s="1" t="s">
        <v>98</v>
      </c>
      <c r="E687" t="s">
        <v>93</v>
      </c>
      <c r="F687" t="s">
        <v>29</v>
      </c>
      <c r="G687">
        <v>18</v>
      </c>
      <c r="H687">
        <v>473.84</v>
      </c>
      <c r="I687" s="5">
        <f>VLOOKUP(TrendSheetStgData[Population]&amp;TrendSheetStgData[Cost Basis]&amp;TrendSheetStgData[Period]&amp;TrendSheetStgData[Trend],TrendSheetPrdData[#All],9,FALSE)</f>
        <v>473.84</v>
      </c>
      <c r="J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7" s="5">
        <f>VLOOKUP(TrendSheetStgData[Population]&amp;TrendSheetStgData[Trend],Threshold[#All],4,FALSE)</f>
        <v>10</v>
      </c>
      <c r="L687" s="5">
        <f>VLOOKUP(TrendSheetStgData[Population]&amp;TrendSheetStgData[Trend],Threshold[#All],5,FALSE)</f>
        <v>5</v>
      </c>
      <c r="M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8" spans="1:13" x14ac:dyDescent="0.25">
      <c r="A688" t="s">
        <v>90</v>
      </c>
      <c r="B688" t="s">
        <v>90</v>
      </c>
      <c r="C688" t="s">
        <v>78</v>
      </c>
      <c r="D688" s="1" t="s">
        <v>99</v>
      </c>
      <c r="E688" t="s">
        <v>93</v>
      </c>
      <c r="F688" t="s">
        <v>29</v>
      </c>
      <c r="G688">
        <v>18</v>
      </c>
      <c r="H688">
        <v>473.17</v>
      </c>
      <c r="I688" s="5">
        <f>VLOOKUP(TrendSheetStgData[Population]&amp;TrendSheetStgData[Cost Basis]&amp;TrendSheetStgData[Period]&amp;TrendSheetStgData[Trend],TrendSheetPrdData[#All],9,FALSE)</f>
        <v>473.17</v>
      </c>
      <c r="J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8" s="5">
        <f>VLOOKUP(TrendSheetStgData[Population]&amp;TrendSheetStgData[Trend],Threshold[#All],4,FALSE)</f>
        <v>10</v>
      </c>
      <c r="L688" s="5">
        <f>VLOOKUP(TrendSheetStgData[Population]&amp;TrendSheetStgData[Trend],Threshold[#All],5,FALSE)</f>
        <v>5</v>
      </c>
      <c r="M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9" spans="1:13" x14ac:dyDescent="0.25">
      <c r="A689" t="s">
        <v>90</v>
      </c>
      <c r="B689" t="s">
        <v>90</v>
      </c>
      <c r="C689" t="s">
        <v>78</v>
      </c>
      <c r="D689" s="1" t="s">
        <v>100</v>
      </c>
      <c r="E689" t="s">
        <v>93</v>
      </c>
      <c r="F689" t="s">
        <v>29</v>
      </c>
      <c r="G689">
        <v>18</v>
      </c>
      <c r="H689">
        <v>477.7</v>
      </c>
      <c r="I689" s="5">
        <f>VLOOKUP(TrendSheetStgData[Population]&amp;TrendSheetStgData[Cost Basis]&amp;TrendSheetStgData[Period]&amp;TrendSheetStgData[Trend],TrendSheetPrdData[#All],9,FALSE)</f>
        <v>477.7</v>
      </c>
      <c r="J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9" s="5">
        <f>VLOOKUP(TrendSheetStgData[Population]&amp;TrendSheetStgData[Trend],Threshold[#All],4,FALSE)</f>
        <v>10</v>
      </c>
      <c r="L689" s="5">
        <f>VLOOKUP(TrendSheetStgData[Population]&amp;TrendSheetStgData[Trend],Threshold[#All],5,FALSE)</f>
        <v>5</v>
      </c>
      <c r="M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0" spans="1:13" x14ac:dyDescent="0.25">
      <c r="A690" t="s">
        <v>90</v>
      </c>
      <c r="B690" t="s">
        <v>90</v>
      </c>
      <c r="C690" t="s">
        <v>78</v>
      </c>
      <c r="D690" s="1" t="s">
        <v>101</v>
      </c>
      <c r="E690" t="s">
        <v>93</v>
      </c>
      <c r="F690" t="s">
        <v>29</v>
      </c>
      <c r="G690">
        <v>18</v>
      </c>
      <c r="H690">
        <v>477.14</v>
      </c>
      <c r="I690" s="5">
        <f>VLOOKUP(TrendSheetStgData[Population]&amp;TrendSheetStgData[Cost Basis]&amp;TrendSheetStgData[Period]&amp;TrendSheetStgData[Trend],TrendSheetPrdData[#All],9,FALSE)</f>
        <v>477.14</v>
      </c>
      <c r="J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0" s="5">
        <f>VLOOKUP(TrendSheetStgData[Population]&amp;TrendSheetStgData[Trend],Threshold[#All],4,FALSE)</f>
        <v>10</v>
      </c>
      <c r="L690" s="5">
        <f>VLOOKUP(TrendSheetStgData[Population]&amp;TrendSheetStgData[Trend],Threshold[#All],5,FALSE)</f>
        <v>5</v>
      </c>
      <c r="M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1" spans="1:13" x14ac:dyDescent="0.25">
      <c r="A691" t="s">
        <v>90</v>
      </c>
      <c r="B691" t="s">
        <v>90</v>
      </c>
      <c r="C691" t="s">
        <v>78</v>
      </c>
      <c r="D691" s="1" t="s">
        <v>102</v>
      </c>
      <c r="E691" t="s">
        <v>93</v>
      </c>
      <c r="F691" t="s">
        <v>29</v>
      </c>
      <c r="G691">
        <v>18</v>
      </c>
      <c r="H691">
        <v>478.23</v>
      </c>
      <c r="I691" s="5">
        <f>VLOOKUP(TrendSheetStgData[Population]&amp;TrendSheetStgData[Cost Basis]&amp;TrendSheetStgData[Period]&amp;TrendSheetStgData[Trend],TrendSheetPrdData[#All],9,FALSE)</f>
        <v>478.23</v>
      </c>
      <c r="J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1" s="5">
        <f>VLOOKUP(TrendSheetStgData[Population]&amp;TrendSheetStgData[Trend],Threshold[#All],4,FALSE)</f>
        <v>10</v>
      </c>
      <c r="L691" s="5">
        <f>VLOOKUP(TrendSheetStgData[Population]&amp;TrendSheetStgData[Trend],Threshold[#All],5,FALSE)</f>
        <v>5</v>
      </c>
      <c r="M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2" spans="1:13" x14ac:dyDescent="0.25">
      <c r="A692" t="s">
        <v>90</v>
      </c>
      <c r="B692" t="s">
        <v>90</v>
      </c>
      <c r="C692" t="s">
        <v>78</v>
      </c>
      <c r="D692" s="1" t="s">
        <v>103</v>
      </c>
      <c r="E692" t="s">
        <v>93</v>
      </c>
      <c r="F692" t="s">
        <v>29</v>
      </c>
      <c r="G692">
        <v>18</v>
      </c>
      <c r="H692">
        <v>474.77</v>
      </c>
      <c r="I692" s="5">
        <f>VLOOKUP(TrendSheetStgData[Population]&amp;TrendSheetStgData[Cost Basis]&amp;TrendSheetStgData[Period]&amp;TrendSheetStgData[Trend],TrendSheetPrdData[#All],9,FALSE)</f>
        <v>474.77</v>
      </c>
      <c r="J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2" s="5">
        <f>VLOOKUP(TrendSheetStgData[Population]&amp;TrendSheetStgData[Trend],Threshold[#All],4,FALSE)</f>
        <v>10</v>
      </c>
      <c r="L692" s="5">
        <f>VLOOKUP(TrendSheetStgData[Population]&amp;TrendSheetStgData[Trend],Threshold[#All],5,FALSE)</f>
        <v>5</v>
      </c>
      <c r="M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3" spans="1:13" x14ac:dyDescent="0.25">
      <c r="A693" t="s">
        <v>90</v>
      </c>
      <c r="B693" t="s">
        <v>90</v>
      </c>
      <c r="C693" t="s">
        <v>78</v>
      </c>
      <c r="D693" s="1" t="s">
        <v>104</v>
      </c>
      <c r="E693" t="s">
        <v>93</v>
      </c>
      <c r="F693" t="s">
        <v>29</v>
      </c>
      <c r="G693">
        <v>18</v>
      </c>
      <c r="H693">
        <v>476.17</v>
      </c>
      <c r="I693" s="5">
        <f>VLOOKUP(TrendSheetStgData[Population]&amp;TrendSheetStgData[Cost Basis]&amp;TrendSheetStgData[Period]&amp;TrendSheetStgData[Trend],TrendSheetPrdData[#All],9,FALSE)</f>
        <v>476.17</v>
      </c>
      <c r="J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3" s="5">
        <f>VLOOKUP(TrendSheetStgData[Population]&amp;TrendSheetStgData[Trend],Threshold[#All],4,FALSE)</f>
        <v>10</v>
      </c>
      <c r="L693" s="5">
        <f>VLOOKUP(TrendSheetStgData[Population]&amp;TrendSheetStgData[Trend],Threshold[#All],5,FALSE)</f>
        <v>5</v>
      </c>
      <c r="M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4" spans="1:13" x14ac:dyDescent="0.25">
      <c r="A694" t="s">
        <v>90</v>
      </c>
      <c r="B694" t="s">
        <v>90</v>
      </c>
      <c r="C694" t="s">
        <v>78</v>
      </c>
      <c r="D694" s="1" t="s">
        <v>105</v>
      </c>
      <c r="E694" t="s">
        <v>93</v>
      </c>
      <c r="F694" t="s">
        <v>29</v>
      </c>
      <c r="G694">
        <v>18</v>
      </c>
      <c r="H694">
        <v>478.57</v>
      </c>
      <c r="I694" s="5">
        <f>VLOOKUP(TrendSheetStgData[Population]&amp;TrendSheetStgData[Cost Basis]&amp;TrendSheetStgData[Period]&amp;TrendSheetStgData[Trend],TrendSheetPrdData[#All],9,FALSE)</f>
        <v>478.57</v>
      </c>
      <c r="J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4" s="5">
        <f>VLOOKUP(TrendSheetStgData[Population]&amp;TrendSheetStgData[Trend],Threshold[#All],4,FALSE)</f>
        <v>10</v>
      </c>
      <c r="L694" s="5">
        <f>VLOOKUP(TrendSheetStgData[Population]&amp;TrendSheetStgData[Trend],Threshold[#All],5,FALSE)</f>
        <v>5</v>
      </c>
      <c r="M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5" spans="1:13" x14ac:dyDescent="0.25">
      <c r="A695" t="s">
        <v>90</v>
      </c>
      <c r="B695" t="s">
        <v>90</v>
      </c>
      <c r="C695" t="s">
        <v>78</v>
      </c>
      <c r="D695" s="1" t="s">
        <v>106</v>
      </c>
      <c r="E695" t="s">
        <v>93</v>
      </c>
      <c r="F695" t="s">
        <v>29</v>
      </c>
      <c r="G695">
        <v>18</v>
      </c>
      <c r="H695">
        <v>471.22</v>
      </c>
      <c r="I695" s="5">
        <f>VLOOKUP(TrendSheetStgData[Population]&amp;TrendSheetStgData[Cost Basis]&amp;TrendSheetStgData[Period]&amp;TrendSheetStgData[Trend],TrendSheetPrdData[#All],9,FALSE)</f>
        <v>471.22</v>
      </c>
      <c r="J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5" s="5">
        <f>VLOOKUP(TrendSheetStgData[Population]&amp;TrendSheetStgData[Trend],Threshold[#All],4,FALSE)</f>
        <v>10</v>
      </c>
      <c r="L695" s="5">
        <f>VLOOKUP(TrendSheetStgData[Population]&amp;TrendSheetStgData[Trend],Threshold[#All],5,FALSE)</f>
        <v>5</v>
      </c>
      <c r="M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6" spans="1:13" x14ac:dyDescent="0.25">
      <c r="A696" t="s">
        <v>90</v>
      </c>
      <c r="B696" t="s">
        <v>90</v>
      </c>
      <c r="C696" t="s">
        <v>78</v>
      </c>
      <c r="D696" s="1" t="s">
        <v>107</v>
      </c>
      <c r="E696" t="s">
        <v>108</v>
      </c>
      <c r="F696" t="s">
        <v>29</v>
      </c>
      <c r="G696">
        <v>18</v>
      </c>
      <c r="H696">
        <v>466.23</v>
      </c>
      <c r="I696" s="5">
        <f>VLOOKUP(TrendSheetStgData[Population]&amp;TrendSheetStgData[Cost Basis]&amp;TrendSheetStgData[Period]&amp;TrendSheetStgData[Trend],TrendSheetPrdData[#All],9,FALSE)</f>
        <v>466.23</v>
      </c>
      <c r="J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6" s="5">
        <f>VLOOKUP(TrendSheetStgData[Population]&amp;TrendSheetStgData[Trend],Threshold[#All],4,FALSE)</f>
        <v>10</v>
      </c>
      <c r="L696" s="5">
        <f>VLOOKUP(TrendSheetStgData[Population]&amp;TrendSheetStgData[Trend],Threshold[#All],5,FALSE)</f>
        <v>5</v>
      </c>
      <c r="M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7" spans="1:13" x14ac:dyDescent="0.25">
      <c r="A697" t="s">
        <v>90</v>
      </c>
      <c r="B697" t="s">
        <v>90</v>
      </c>
      <c r="C697" t="s">
        <v>78</v>
      </c>
      <c r="D697" s="1" t="s">
        <v>109</v>
      </c>
      <c r="E697" t="s">
        <v>108</v>
      </c>
      <c r="F697" t="s">
        <v>29</v>
      </c>
      <c r="G697">
        <v>18</v>
      </c>
      <c r="H697">
        <v>464.29</v>
      </c>
      <c r="I697" s="5">
        <f>VLOOKUP(TrendSheetStgData[Population]&amp;TrendSheetStgData[Cost Basis]&amp;TrendSheetStgData[Period]&amp;TrendSheetStgData[Trend],TrendSheetPrdData[#All],9,FALSE)</f>
        <v>464.29</v>
      </c>
      <c r="J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7" s="5">
        <f>VLOOKUP(TrendSheetStgData[Population]&amp;TrendSheetStgData[Trend],Threshold[#All],4,FALSE)</f>
        <v>10</v>
      </c>
      <c r="L697" s="5">
        <f>VLOOKUP(TrendSheetStgData[Population]&amp;TrendSheetStgData[Trend],Threshold[#All],5,FALSE)</f>
        <v>5</v>
      </c>
      <c r="M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8" spans="1:13" x14ac:dyDescent="0.25">
      <c r="A698" t="s">
        <v>90</v>
      </c>
      <c r="B698" t="s">
        <v>90</v>
      </c>
      <c r="C698" t="s">
        <v>78</v>
      </c>
      <c r="D698" s="1" t="s">
        <v>110</v>
      </c>
      <c r="E698" t="s">
        <v>108</v>
      </c>
      <c r="F698" t="s">
        <v>29</v>
      </c>
      <c r="G698">
        <v>18</v>
      </c>
      <c r="H698">
        <v>460.05</v>
      </c>
      <c r="I698" s="5">
        <f>VLOOKUP(TrendSheetStgData[Population]&amp;TrendSheetStgData[Cost Basis]&amp;TrendSheetStgData[Period]&amp;TrendSheetStgData[Trend],TrendSheetPrdData[#All],9,FALSE)</f>
        <v>460.05</v>
      </c>
      <c r="J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8" s="5">
        <f>VLOOKUP(TrendSheetStgData[Population]&amp;TrendSheetStgData[Trend],Threshold[#All],4,FALSE)</f>
        <v>10</v>
      </c>
      <c r="L698" s="5">
        <f>VLOOKUP(TrendSheetStgData[Population]&amp;TrendSheetStgData[Trend],Threshold[#All],5,FALSE)</f>
        <v>5</v>
      </c>
      <c r="M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9" spans="1:13" x14ac:dyDescent="0.25">
      <c r="A699" t="s">
        <v>90</v>
      </c>
      <c r="B699" t="s">
        <v>90</v>
      </c>
      <c r="C699" t="s">
        <v>78</v>
      </c>
      <c r="D699" s="1" t="s">
        <v>92</v>
      </c>
      <c r="E699" t="s">
        <v>93</v>
      </c>
      <c r="F699" t="s">
        <v>30</v>
      </c>
      <c r="G699">
        <v>19</v>
      </c>
      <c r="H699">
        <v>425</v>
      </c>
      <c r="I699" s="5">
        <f>VLOOKUP(TrendSheetStgData[Population]&amp;TrendSheetStgData[Cost Basis]&amp;TrendSheetStgData[Period]&amp;TrendSheetStgData[Trend],TrendSheetPrdData[#All],9,FALSE)</f>
        <v>425</v>
      </c>
      <c r="J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9" s="5">
        <f>VLOOKUP(TrendSheetStgData[Population]&amp;TrendSheetStgData[Trend],Threshold[#All],4,FALSE)</f>
        <v>10</v>
      </c>
      <c r="L699" s="5">
        <f>VLOOKUP(TrendSheetStgData[Population]&amp;TrendSheetStgData[Trend],Threshold[#All],5,FALSE)</f>
        <v>5</v>
      </c>
      <c r="M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0" spans="1:13" x14ac:dyDescent="0.25">
      <c r="A700" t="s">
        <v>90</v>
      </c>
      <c r="B700" t="s">
        <v>90</v>
      </c>
      <c r="C700" t="s">
        <v>78</v>
      </c>
      <c r="D700" s="1" t="s">
        <v>94</v>
      </c>
      <c r="E700" t="s">
        <v>93</v>
      </c>
      <c r="F700" t="s">
        <v>30</v>
      </c>
      <c r="G700">
        <v>19</v>
      </c>
      <c r="H700">
        <v>341</v>
      </c>
      <c r="I700" s="5">
        <f>VLOOKUP(TrendSheetStgData[Population]&amp;TrendSheetStgData[Cost Basis]&amp;TrendSheetStgData[Period]&amp;TrendSheetStgData[Trend],TrendSheetPrdData[#All],9,FALSE)</f>
        <v>341</v>
      </c>
      <c r="J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0" s="5">
        <f>VLOOKUP(TrendSheetStgData[Population]&amp;TrendSheetStgData[Trend],Threshold[#All],4,FALSE)</f>
        <v>10</v>
      </c>
      <c r="L700" s="5">
        <f>VLOOKUP(TrendSheetStgData[Population]&amp;TrendSheetStgData[Trend],Threshold[#All],5,FALSE)</f>
        <v>5</v>
      </c>
      <c r="M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1" spans="1:13" x14ac:dyDescent="0.25">
      <c r="A701" t="s">
        <v>90</v>
      </c>
      <c r="B701" t="s">
        <v>90</v>
      </c>
      <c r="C701" t="s">
        <v>78</v>
      </c>
      <c r="D701" s="1" t="s">
        <v>95</v>
      </c>
      <c r="E701" t="s">
        <v>93</v>
      </c>
      <c r="F701" t="s">
        <v>30</v>
      </c>
      <c r="G701">
        <v>19</v>
      </c>
      <c r="H701">
        <v>234</v>
      </c>
      <c r="I701" s="5">
        <f>VLOOKUP(TrendSheetStgData[Population]&amp;TrendSheetStgData[Cost Basis]&amp;TrendSheetStgData[Period]&amp;TrendSheetStgData[Trend],TrendSheetPrdData[#All],9,FALSE)</f>
        <v>234</v>
      </c>
      <c r="J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1" s="5">
        <f>VLOOKUP(TrendSheetStgData[Population]&amp;TrendSheetStgData[Trend],Threshold[#All],4,FALSE)</f>
        <v>10</v>
      </c>
      <c r="L701" s="5">
        <f>VLOOKUP(TrendSheetStgData[Population]&amp;TrendSheetStgData[Trend],Threshold[#All],5,FALSE)</f>
        <v>5</v>
      </c>
      <c r="M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2" spans="1:13" x14ac:dyDescent="0.25">
      <c r="A702" t="s">
        <v>90</v>
      </c>
      <c r="B702" t="s">
        <v>90</v>
      </c>
      <c r="C702" t="s">
        <v>78</v>
      </c>
      <c r="D702" s="1" t="s">
        <v>96</v>
      </c>
      <c r="E702" t="s">
        <v>93</v>
      </c>
      <c r="F702" t="s">
        <v>30</v>
      </c>
      <c r="G702">
        <v>19</v>
      </c>
      <c r="H702">
        <v>326</v>
      </c>
      <c r="I702" s="5">
        <f>VLOOKUP(TrendSheetStgData[Population]&amp;TrendSheetStgData[Cost Basis]&amp;TrendSheetStgData[Period]&amp;TrendSheetStgData[Trend],TrendSheetPrdData[#All],9,FALSE)</f>
        <v>326</v>
      </c>
      <c r="J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2" s="5">
        <f>VLOOKUP(TrendSheetStgData[Population]&amp;TrendSheetStgData[Trend],Threshold[#All],4,FALSE)</f>
        <v>10</v>
      </c>
      <c r="L702" s="5">
        <f>VLOOKUP(TrendSheetStgData[Population]&amp;TrendSheetStgData[Trend],Threshold[#All],5,FALSE)</f>
        <v>5</v>
      </c>
      <c r="M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3" spans="1:13" x14ac:dyDescent="0.25">
      <c r="A703" t="s">
        <v>90</v>
      </c>
      <c r="B703" t="s">
        <v>90</v>
      </c>
      <c r="C703" t="s">
        <v>78</v>
      </c>
      <c r="D703" s="1" t="s">
        <v>97</v>
      </c>
      <c r="E703" t="s">
        <v>93</v>
      </c>
      <c r="F703" t="s">
        <v>30</v>
      </c>
      <c r="G703">
        <v>19</v>
      </c>
      <c r="H703">
        <v>343</v>
      </c>
      <c r="I703" s="5">
        <f>VLOOKUP(TrendSheetStgData[Population]&amp;TrendSheetStgData[Cost Basis]&amp;TrendSheetStgData[Period]&amp;TrendSheetStgData[Trend],TrendSheetPrdData[#All],9,FALSE)</f>
        <v>343</v>
      </c>
      <c r="J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3" s="5">
        <f>VLOOKUP(TrendSheetStgData[Population]&amp;TrendSheetStgData[Trend],Threshold[#All],4,FALSE)</f>
        <v>10</v>
      </c>
      <c r="L703" s="5">
        <f>VLOOKUP(TrendSheetStgData[Population]&amp;TrendSheetStgData[Trend],Threshold[#All],5,FALSE)</f>
        <v>5</v>
      </c>
      <c r="M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4" spans="1:13" x14ac:dyDescent="0.25">
      <c r="A704" t="s">
        <v>90</v>
      </c>
      <c r="B704" t="s">
        <v>90</v>
      </c>
      <c r="C704" t="s">
        <v>78</v>
      </c>
      <c r="D704" s="1" t="s">
        <v>98</v>
      </c>
      <c r="E704" t="s">
        <v>93</v>
      </c>
      <c r="F704" t="s">
        <v>30</v>
      </c>
      <c r="G704">
        <v>19</v>
      </c>
      <c r="H704">
        <v>212</v>
      </c>
      <c r="I704" s="5">
        <f>VLOOKUP(TrendSheetStgData[Population]&amp;TrendSheetStgData[Cost Basis]&amp;TrendSheetStgData[Period]&amp;TrendSheetStgData[Trend],TrendSheetPrdData[#All],9,FALSE)</f>
        <v>212</v>
      </c>
      <c r="J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4" s="5">
        <f>VLOOKUP(TrendSheetStgData[Population]&amp;TrendSheetStgData[Trend],Threshold[#All],4,FALSE)</f>
        <v>10</v>
      </c>
      <c r="L704" s="5">
        <f>VLOOKUP(TrendSheetStgData[Population]&amp;TrendSheetStgData[Trend],Threshold[#All],5,FALSE)</f>
        <v>5</v>
      </c>
      <c r="M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5" spans="1:13" x14ac:dyDescent="0.25">
      <c r="A705" t="s">
        <v>90</v>
      </c>
      <c r="B705" t="s">
        <v>90</v>
      </c>
      <c r="C705" t="s">
        <v>78</v>
      </c>
      <c r="D705" s="1" t="s">
        <v>99</v>
      </c>
      <c r="E705" t="s">
        <v>93</v>
      </c>
      <c r="F705" t="s">
        <v>30</v>
      </c>
      <c r="G705">
        <v>19</v>
      </c>
      <c r="H705">
        <v>423</v>
      </c>
      <c r="I705" s="5">
        <f>VLOOKUP(TrendSheetStgData[Population]&amp;TrendSheetStgData[Cost Basis]&amp;TrendSheetStgData[Period]&amp;TrendSheetStgData[Trend],TrendSheetPrdData[#All],9,FALSE)</f>
        <v>423</v>
      </c>
      <c r="J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5" s="5">
        <f>VLOOKUP(TrendSheetStgData[Population]&amp;TrendSheetStgData[Trend],Threshold[#All],4,FALSE)</f>
        <v>10</v>
      </c>
      <c r="L705" s="5">
        <f>VLOOKUP(TrendSheetStgData[Population]&amp;TrendSheetStgData[Trend],Threshold[#All],5,FALSE)</f>
        <v>5</v>
      </c>
      <c r="M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6" spans="1:13" x14ac:dyDescent="0.25">
      <c r="A706" t="s">
        <v>90</v>
      </c>
      <c r="B706" t="s">
        <v>90</v>
      </c>
      <c r="C706" t="s">
        <v>78</v>
      </c>
      <c r="D706" s="1" t="s">
        <v>100</v>
      </c>
      <c r="E706" t="s">
        <v>93</v>
      </c>
      <c r="F706" t="s">
        <v>30</v>
      </c>
      <c r="G706">
        <v>19</v>
      </c>
      <c r="H706">
        <v>319</v>
      </c>
      <c r="I706" s="5">
        <f>VLOOKUP(TrendSheetStgData[Population]&amp;TrendSheetStgData[Cost Basis]&amp;TrendSheetStgData[Period]&amp;TrendSheetStgData[Trend],TrendSheetPrdData[#All],9,FALSE)</f>
        <v>319</v>
      </c>
      <c r="J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6" s="5">
        <f>VLOOKUP(TrendSheetStgData[Population]&amp;TrendSheetStgData[Trend],Threshold[#All],4,FALSE)</f>
        <v>10</v>
      </c>
      <c r="L706" s="5">
        <f>VLOOKUP(TrendSheetStgData[Population]&amp;TrendSheetStgData[Trend],Threshold[#All],5,FALSE)</f>
        <v>5</v>
      </c>
      <c r="M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7" spans="1:13" x14ac:dyDescent="0.25">
      <c r="A707" t="s">
        <v>90</v>
      </c>
      <c r="B707" t="s">
        <v>90</v>
      </c>
      <c r="C707" t="s">
        <v>78</v>
      </c>
      <c r="D707" s="1" t="s">
        <v>101</v>
      </c>
      <c r="E707" t="s">
        <v>93</v>
      </c>
      <c r="F707" t="s">
        <v>30</v>
      </c>
      <c r="G707">
        <v>19</v>
      </c>
      <c r="H707">
        <v>317</v>
      </c>
      <c r="I707" s="5">
        <f>VLOOKUP(TrendSheetStgData[Population]&amp;TrendSheetStgData[Cost Basis]&amp;TrendSheetStgData[Period]&amp;TrendSheetStgData[Trend],TrendSheetPrdData[#All],9,FALSE)</f>
        <v>317</v>
      </c>
      <c r="J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7" s="5">
        <f>VLOOKUP(TrendSheetStgData[Population]&amp;TrendSheetStgData[Trend],Threshold[#All],4,FALSE)</f>
        <v>10</v>
      </c>
      <c r="L707" s="5">
        <f>VLOOKUP(TrendSheetStgData[Population]&amp;TrendSheetStgData[Trend],Threshold[#All],5,FALSE)</f>
        <v>5</v>
      </c>
      <c r="M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8" spans="1:13" x14ac:dyDescent="0.25">
      <c r="A708" t="s">
        <v>90</v>
      </c>
      <c r="B708" t="s">
        <v>90</v>
      </c>
      <c r="C708" t="s">
        <v>78</v>
      </c>
      <c r="D708" s="1" t="s">
        <v>102</v>
      </c>
      <c r="E708" t="s">
        <v>93</v>
      </c>
      <c r="F708" t="s">
        <v>30</v>
      </c>
      <c r="G708">
        <v>19</v>
      </c>
      <c r="H708">
        <v>277</v>
      </c>
      <c r="I708" s="5">
        <f>VLOOKUP(TrendSheetStgData[Population]&amp;TrendSheetStgData[Cost Basis]&amp;TrendSheetStgData[Period]&amp;TrendSheetStgData[Trend],TrendSheetPrdData[#All],9,FALSE)</f>
        <v>277</v>
      </c>
      <c r="J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8" s="5">
        <f>VLOOKUP(TrendSheetStgData[Population]&amp;TrendSheetStgData[Trend],Threshold[#All],4,FALSE)</f>
        <v>10</v>
      </c>
      <c r="L708" s="5">
        <f>VLOOKUP(TrendSheetStgData[Population]&amp;TrendSheetStgData[Trend],Threshold[#All],5,FALSE)</f>
        <v>5</v>
      </c>
      <c r="M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9" spans="1:13" x14ac:dyDescent="0.25">
      <c r="A709" t="s">
        <v>90</v>
      </c>
      <c r="B709" t="s">
        <v>90</v>
      </c>
      <c r="C709" t="s">
        <v>78</v>
      </c>
      <c r="D709" s="1" t="s">
        <v>103</v>
      </c>
      <c r="E709" t="s">
        <v>93</v>
      </c>
      <c r="F709" t="s">
        <v>30</v>
      </c>
      <c r="G709">
        <v>19</v>
      </c>
      <c r="H709">
        <v>194</v>
      </c>
      <c r="I709" s="5">
        <f>VLOOKUP(TrendSheetStgData[Population]&amp;TrendSheetStgData[Cost Basis]&amp;TrendSheetStgData[Period]&amp;TrendSheetStgData[Trend],TrendSheetPrdData[#All],9,FALSE)</f>
        <v>194</v>
      </c>
      <c r="J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9" s="5">
        <f>VLOOKUP(TrendSheetStgData[Population]&amp;TrendSheetStgData[Trend],Threshold[#All],4,FALSE)</f>
        <v>10</v>
      </c>
      <c r="L709" s="5">
        <f>VLOOKUP(TrendSheetStgData[Population]&amp;TrendSheetStgData[Trend],Threshold[#All],5,FALSE)</f>
        <v>5</v>
      </c>
      <c r="M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0" spans="1:13" x14ac:dyDescent="0.25">
      <c r="A710" t="s">
        <v>90</v>
      </c>
      <c r="B710" t="s">
        <v>90</v>
      </c>
      <c r="C710" t="s">
        <v>78</v>
      </c>
      <c r="D710" s="1" t="s">
        <v>104</v>
      </c>
      <c r="E710" t="s">
        <v>93</v>
      </c>
      <c r="F710" t="s">
        <v>30</v>
      </c>
      <c r="G710">
        <v>19</v>
      </c>
      <c r="H710">
        <v>261</v>
      </c>
      <c r="I710" s="5">
        <f>VLOOKUP(TrendSheetStgData[Population]&amp;TrendSheetStgData[Cost Basis]&amp;TrendSheetStgData[Period]&amp;TrendSheetStgData[Trend],TrendSheetPrdData[#All],9,FALSE)</f>
        <v>261</v>
      </c>
      <c r="J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0" s="5">
        <f>VLOOKUP(TrendSheetStgData[Population]&amp;TrendSheetStgData[Trend],Threshold[#All],4,FALSE)</f>
        <v>10</v>
      </c>
      <c r="L710" s="5">
        <f>VLOOKUP(TrendSheetStgData[Population]&amp;TrendSheetStgData[Trend],Threshold[#All],5,FALSE)</f>
        <v>5</v>
      </c>
      <c r="M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1" spans="1:13" x14ac:dyDescent="0.25">
      <c r="A711" t="s">
        <v>90</v>
      </c>
      <c r="B711" t="s">
        <v>90</v>
      </c>
      <c r="C711" t="s">
        <v>78</v>
      </c>
      <c r="D711" s="1" t="s">
        <v>105</v>
      </c>
      <c r="E711" t="s">
        <v>93</v>
      </c>
      <c r="F711" t="s">
        <v>30</v>
      </c>
      <c r="G711">
        <v>19</v>
      </c>
      <c r="H711">
        <v>206</v>
      </c>
      <c r="I711" s="5">
        <f>VLOOKUP(TrendSheetStgData[Population]&amp;TrendSheetStgData[Cost Basis]&amp;TrendSheetStgData[Period]&amp;TrendSheetStgData[Trend],TrendSheetPrdData[#All],9,FALSE)</f>
        <v>206</v>
      </c>
      <c r="J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1" s="5">
        <f>VLOOKUP(TrendSheetStgData[Population]&amp;TrendSheetStgData[Trend],Threshold[#All],4,FALSE)</f>
        <v>10</v>
      </c>
      <c r="L711" s="5">
        <f>VLOOKUP(TrendSheetStgData[Population]&amp;TrendSheetStgData[Trend],Threshold[#All],5,FALSE)</f>
        <v>5</v>
      </c>
      <c r="M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2" spans="1:13" x14ac:dyDescent="0.25">
      <c r="A712" t="s">
        <v>90</v>
      </c>
      <c r="B712" t="s">
        <v>90</v>
      </c>
      <c r="C712" t="s">
        <v>78</v>
      </c>
      <c r="D712" s="1" t="s">
        <v>106</v>
      </c>
      <c r="E712" t="s">
        <v>93</v>
      </c>
      <c r="F712" t="s">
        <v>30</v>
      </c>
      <c r="G712">
        <v>19</v>
      </c>
      <c r="H712">
        <v>264</v>
      </c>
      <c r="I712" s="5">
        <f>VLOOKUP(TrendSheetStgData[Population]&amp;TrendSheetStgData[Cost Basis]&amp;TrendSheetStgData[Period]&amp;TrendSheetStgData[Trend],TrendSheetPrdData[#All],9,FALSE)</f>
        <v>264</v>
      </c>
      <c r="J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2" s="5">
        <f>VLOOKUP(TrendSheetStgData[Population]&amp;TrendSheetStgData[Trend],Threshold[#All],4,FALSE)</f>
        <v>10</v>
      </c>
      <c r="L712" s="5">
        <f>VLOOKUP(TrendSheetStgData[Population]&amp;TrendSheetStgData[Trend],Threshold[#All],5,FALSE)</f>
        <v>5</v>
      </c>
      <c r="M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3" spans="1:13" x14ac:dyDescent="0.25">
      <c r="A713" t="s">
        <v>90</v>
      </c>
      <c r="B713" t="s">
        <v>90</v>
      </c>
      <c r="C713" t="s">
        <v>78</v>
      </c>
      <c r="D713" s="1" t="s">
        <v>107</v>
      </c>
      <c r="E713" t="s">
        <v>108</v>
      </c>
      <c r="F713" t="s">
        <v>30</v>
      </c>
      <c r="G713">
        <v>19</v>
      </c>
      <c r="H713">
        <v>257</v>
      </c>
      <c r="I713" s="5">
        <f>VLOOKUP(TrendSheetStgData[Population]&amp;TrendSheetStgData[Cost Basis]&amp;TrendSheetStgData[Period]&amp;TrendSheetStgData[Trend],TrendSheetPrdData[#All],9,FALSE)</f>
        <v>257</v>
      </c>
      <c r="J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3" s="5">
        <f>VLOOKUP(TrendSheetStgData[Population]&amp;TrendSheetStgData[Trend],Threshold[#All],4,FALSE)</f>
        <v>10</v>
      </c>
      <c r="L713" s="5">
        <f>VLOOKUP(TrendSheetStgData[Population]&amp;TrendSheetStgData[Trend],Threshold[#All],5,FALSE)</f>
        <v>5</v>
      </c>
      <c r="M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4" spans="1:13" x14ac:dyDescent="0.25">
      <c r="A714" t="s">
        <v>90</v>
      </c>
      <c r="B714" t="s">
        <v>90</v>
      </c>
      <c r="C714" t="s">
        <v>78</v>
      </c>
      <c r="D714" s="1" t="s">
        <v>109</v>
      </c>
      <c r="E714" t="s">
        <v>108</v>
      </c>
      <c r="F714" t="s">
        <v>30</v>
      </c>
      <c r="G714">
        <v>19</v>
      </c>
      <c r="H714">
        <v>155</v>
      </c>
      <c r="I714" s="5">
        <f>VLOOKUP(TrendSheetStgData[Population]&amp;TrendSheetStgData[Cost Basis]&amp;TrendSheetStgData[Period]&amp;TrendSheetStgData[Trend],TrendSheetPrdData[#All],9,FALSE)</f>
        <v>155</v>
      </c>
      <c r="J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4" s="5">
        <f>VLOOKUP(TrendSheetStgData[Population]&amp;TrendSheetStgData[Trend],Threshold[#All],4,FALSE)</f>
        <v>10</v>
      </c>
      <c r="L714" s="5">
        <f>VLOOKUP(TrendSheetStgData[Population]&amp;TrendSheetStgData[Trend],Threshold[#All],5,FALSE)</f>
        <v>5</v>
      </c>
      <c r="M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5" spans="1:13" x14ac:dyDescent="0.25">
      <c r="A715" t="s">
        <v>90</v>
      </c>
      <c r="B715" t="s">
        <v>90</v>
      </c>
      <c r="C715" t="s">
        <v>78</v>
      </c>
      <c r="D715" s="1" t="s">
        <v>110</v>
      </c>
      <c r="E715" t="s">
        <v>108</v>
      </c>
      <c r="F715" t="s">
        <v>30</v>
      </c>
      <c r="G715">
        <v>19</v>
      </c>
      <c r="H715">
        <v>133</v>
      </c>
      <c r="I715" s="5">
        <f>VLOOKUP(TrendSheetStgData[Population]&amp;TrendSheetStgData[Cost Basis]&amp;TrendSheetStgData[Period]&amp;TrendSheetStgData[Trend],TrendSheetPrdData[#All],9,FALSE)</f>
        <v>133</v>
      </c>
      <c r="J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5" s="5">
        <f>VLOOKUP(TrendSheetStgData[Population]&amp;TrendSheetStgData[Trend],Threshold[#All],4,FALSE)</f>
        <v>10</v>
      </c>
      <c r="L715" s="5">
        <f>VLOOKUP(TrendSheetStgData[Population]&amp;TrendSheetStgData[Trend],Threshold[#All],5,FALSE)</f>
        <v>5</v>
      </c>
      <c r="M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6" spans="1:13" x14ac:dyDescent="0.25">
      <c r="A716" t="s">
        <v>90</v>
      </c>
      <c r="B716" t="s">
        <v>90</v>
      </c>
      <c r="C716" t="s">
        <v>78</v>
      </c>
      <c r="D716" s="1" t="s">
        <v>92</v>
      </c>
      <c r="E716" t="s">
        <v>93</v>
      </c>
      <c r="F716" t="s">
        <v>31</v>
      </c>
      <c r="G716">
        <v>20</v>
      </c>
      <c r="H716">
        <v>3984</v>
      </c>
      <c r="I716" s="5">
        <f>VLOOKUP(TrendSheetStgData[Population]&amp;TrendSheetStgData[Cost Basis]&amp;TrendSheetStgData[Period]&amp;TrendSheetStgData[Trend],TrendSheetPrdData[#All],9,FALSE)</f>
        <v>3984</v>
      </c>
      <c r="J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6" s="5">
        <f>VLOOKUP(TrendSheetStgData[Population]&amp;TrendSheetStgData[Trend],Threshold[#All],4,FALSE)</f>
        <v>10</v>
      </c>
      <c r="L716" s="5">
        <f>VLOOKUP(TrendSheetStgData[Population]&amp;TrendSheetStgData[Trend],Threshold[#All],5,FALSE)</f>
        <v>5</v>
      </c>
      <c r="M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7" spans="1:13" x14ac:dyDescent="0.25">
      <c r="A717" t="s">
        <v>90</v>
      </c>
      <c r="B717" t="s">
        <v>90</v>
      </c>
      <c r="C717" t="s">
        <v>78</v>
      </c>
      <c r="D717" s="1" t="s">
        <v>94</v>
      </c>
      <c r="E717" t="s">
        <v>93</v>
      </c>
      <c r="F717" t="s">
        <v>31</v>
      </c>
      <c r="G717">
        <v>20</v>
      </c>
      <c r="H717">
        <v>3674</v>
      </c>
      <c r="I717" s="5">
        <f>VLOOKUP(TrendSheetStgData[Population]&amp;TrendSheetStgData[Cost Basis]&amp;TrendSheetStgData[Period]&amp;TrendSheetStgData[Trend],TrendSheetPrdData[#All],9,FALSE)</f>
        <v>3674</v>
      </c>
      <c r="J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7" s="5">
        <f>VLOOKUP(TrendSheetStgData[Population]&amp;TrendSheetStgData[Trend],Threshold[#All],4,FALSE)</f>
        <v>10</v>
      </c>
      <c r="L717" s="5">
        <f>VLOOKUP(TrendSheetStgData[Population]&amp;TrendSheetStgData[Trend],Threshold[#All],5,FALSE)</f>
        <v>5</v>
      </c>
      <c r="M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8" spans="1:13" x14ac:dyDescent="0.25">
      <c r="A718" t="s">
        <v>90</v>
      </c>
      <c r="B718" t="s">
        <v>90</v>
      </c>
      <c r="C718" t="s">
        <v>78</v>
      </c>
      <c r="D718" s="1" t="s">
        <v>95</v>
      </c>
      <c r="E718" t="s">
        <v>93</v>
      </c>
      <c r="F718" t="s">
        <v>31</v>
      </c>
      <c r="G718">
        <v>20</v>
      </c>
      <c r="H718">
        <v>3747</v>
      </c>
      <c r="I718" s="5">
        <f>VLOOKUP(TrendSheetStgData[Population]&amp;TrendSheetStgData[Cost Basis]&amp;TrendSheetStgData[Period]&amp;TrendSheetStgData[Trend],TrendSheetPrdData[#All],9,FALSE)</f>
        <v>3747</v>
      </c>
      <c r="J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8" s="5">
        <f>VLOOKUP(TrendSheetStgData[Population]&amp;TrendSheetStgData[Trend],Threshold[#All],4,FALSE)</f>
        <v>10</v>
      </c>
      <c r="L718" s="5">
        <f>VLOOKUP(TrendSheetStgData[Population]&amp;TrendSheetStgData[Trend],Threshold[#All],5,FALSE)</f>
        <v>5</v>
      </c>
      <c r="M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9" spans="1:13" x14ac:dyDescent="0.25">
      <c r="A719" t="s">
        <v>90</v>
      </c>
      <c r="B719" t="s">
        <v>90</v>
      </c>
      <c r="C719" t="s">
        <v>78</v>
      </c>
      <c r="D719" s="1" t="s">
        <v>96</v>
      </c>
      <c r="E719" t="s">
        <v>93</v>
      </c>
      <c r="F719" t="s">
        <v>31</v>
      </c>
      <c r="G719">
        <v>20</v>
      </c>
      <c r="H719">
        <v>3976</v>
      </c>
      <c r="I719" s="5">
        <f>VLOOKUP(TrendSheetStgData[Population]&amp;TrendSheetStgData[Cost Basis]&amp;TrendSheetStgData[Period]&amp;TrendSheetStgData[Trend],TrendSheetPrdData[#All],9,FALSE)</f>
        <v>3976</v>
      </c>
      <c r="J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9" s="5">
        <f>VLOOKUP(TrendSheetStgData[Population]&amp;TrendSheetStgData[Trend],Threshold[#All],4,FALSE)</f>
        <v>10</v>
      </c>
      <c r="L719" s="5">
        <f>VLOOKUP(TrendSheetStgData[Population]&amp;TrendSheetStgData[Trend],Threshold[#All],5,FALSE)</f>
        <v>5</v>
      </c>
      <c r="M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0" spans="1:13" x14ac:dyDescent="0.25">
      <c r="A720" t="s">
        <v>90</v>
      </c>
      <c r="B720" t="s">
        <v>90</v>
      </c>
      <c r="C720" t="s">
        <v>78</v>
      </c>
      <c r="D720" s="1" t="s">
        <v>97</v>
      </c>
      <c r="E720" t="s">
        <v>93</v>
      </c>
      <c r="F720" t="s">
        <v>31</v>
      </c>
      <c r="G720">
        <v>20</v>
      </c>
      <c r="H720">
        <v>3343</v>
      </c>
      <c r="I720" s="5">
        <f>VLOOKUP(TrendSheetStgData[Population]&amp;TrendSheetStgData[Cost Basis]&amp;TrendSheetStgData[Period]&amp;TrendSheetStgData[Trend],TrendSheetPrdData[#All],9,FALSE)</f>
        <v>3343</v>
      </c>
      <c r="J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0" s="5">
        <f>VLOOKUP(TrendSheetStgData[Population]&amp;TrendSheetStgData[Trend],Threshold[#All],4,FALSE)</f>
        <v>10</v>
      </c>
      <c r="L720" s="5">
        <f>VLOOKUP(TrendSheetStgData[Population]&amp;TrendSheetStgData[Trend],Threshold[#All],5,FALSE)</f>
        <v>5</v>
      </c>
      <c r="M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1" spans="1:13" x14ac:dyDescent="0.25">
      <c r="A721" t="s">
        <v>90</v>
      </c>
      <c r="B721" t="s">
        <v>90</v>
      </c>
      <c r="C721" t="s">
        <v>78</v>
      </c>
      <c r="D721" s="1" t="s">
        <v>98</v>
      </c>
      <c r="E721" t="s">
        <v>93</v>
      </c>
      <c r="F721" t="s">
        <v>31</v>
      </c>
      <c r="G721">
        <v>20</v>
      </c>
      <c r="H721">
        <v>3510</v>
      </c>
      <c r="I721" s="5">
        <f>VLOOKUP(TrendSheetStgData[Population]&amp;TrendSheetStgData[Cost Basis]&amp;TrendSheetStgData[Period]&amp;TrendSheetStgData[Trend],TrendSheetPrdData[#All],9,FALSE)</f>
        <v>3510</v>
      </c>
      <c r="J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1" s="5">
        <f>VLOOKUP(TrendSheetStgData[Population]&amp;TrendSheetStgData[Trend],Threshold[#All],4,FALSE)</f>
        <v>10</v>
      </c>
      <c r="L721" s="5">
        <f>VLOOKUP(TrendSheetStgData[Population]&amp;TrendSheetStgData[Trend],Threshold[#All],5,FALSE)</f>
        <v>5</v>
      </c>
      <c r="M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2" spans="1:13" x14ac:dyDescent="0.25">
      <c r="A722" t="s">
        <v>90</v>
      </c>
      <c r="B722" t="s">
        <v>90</v>
      </c>
      <c r="C722" t="s">
        <v>78</v>
      </c>
      <c r="D722" s="1" t="s">
        <v>99</v>
      </c>
      <c r="E722" t="s">
        <v>93</v>
      </c>
      <c r="F722" t="s">
        <v>31</v>
      </c>
      <c r="G722">
        <v>20</v>
      </c>
      <c r="H722">
        <v>2866</v>
      </c>
      <c r="I722" s="5">
        <f>VLOOKUP(TrendSheetStgData[Population]&amp;TrendSheetStgData[Cost Basis]&amp;TrendSheetStgData[Period]&amp;TrendSheetStgData[Trend],TrendSheetPrdData[#All],9,FALSE)</f>
        <v>2866</v>
      </c>
      <c r="J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2" s="5">
        <f>VLOOKUP(TrendSheetStgData[Population]&amp;TrendSheetStgData[Trend],Threshold[#All],4,FALSE)</f>
        <v>10</v>
      </c>
      <c r="L722" s="5">
        <f>VLOOKUP(TrendSheetStgData[Population]&amp;TrendSheetStgData[Trend],Threshold[#All],5,FALSE)</f>
        <v>5</v>
      </c>
      <c r="M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3" spans="1:13" x14ac:dyDescent="0.25">
      <c r="A723" t="s">
        <v>90</v>
      </c>
      <c r="B723" t="s">
        <v>90</v>
      </c>
      <c r="C723" t="s">
        <v>78</v>
      </c>
      <c r="D723" s="1" t="s">
        <v>100</v>
      </c>
      <c r="E723" t="s">
        <v>93</v>
      </c>
      <c r="F723" t="s">
        <v>31</v>
      </c>
      <c r="G723">
        <v>20</v>
      </c>
      <c r="H723">
        <v>3160</v>
      </c>
      <c r="I723" s="5">
        <f>VLOOKUP(TrendSheetStgData[Population]&amp;TrendSheetStgData[Cost Basis]&amp;TrendSheetStgData[Period]&amp;TrendSheetStgData[Trend],TrendSheetPrdData[#All],9,FALSE)</f>
        <v>3160</v>
      </c>
      <c r="J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3" s="5">
        <f>VLOOKUP(TrendSheetStgData[Population]&amp;TrendSheetStgData[Trend],Threshold[#All],4,FALSE)</f>
        <v>10</v>
      </c>
      <c r="L723" s="5">
        <f>VLOOKUP(TrendSheetStgData[Population]&amp;TrendSheetStgData[Trend],Threshold[#All],5,FALSE)</f>
        <v>5</v>
      </c>
      <c r="M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4" spans="1:13" x14ac:dyDescent="0.25">
      <c r="A724" t="s">
        <v>90</v>
      </c>
      <c r="B724" t="s">
        <v>90</v>
      </c>
      <c r="C724" t="s">
        <v>78</v>
      </c>
      <c r="D724" s="1" t="s">
        <v>101</v>
      </c>
      <c r="E724" t="s">
        <v>93</v>
      </c>
      <c r="F724" t="s">
        <v>31</v>
      </c>
      <c r="G724">
        <v>20</v>
      </c>
      <c r="H724">
        <v>2983</v>
      </c>
      <c r="I724" s="5">
        <f>VLOOKUP(TrendSheetStgData[Population]&amp;TrendSheetStgData[Cost Basis]&amp;TrendSheetStgData[Period]&amp;TrendSheetStgData[Trend],TrendSheetPrdData[#All],9,FALSE)</f>
        <v>2983</v>
      </c>
      <c r="J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4" s="5">
        <f>VLOOKUP(TrendSheetStgData[Population]&amp;TrendSheetStgData[Trend],Threshold[#All],4,FALSE)</f>
        <v>10</v>
      </c>
      <c r="L724" s="5">
        <f>VLOOKUP(TrendSheetStgData[Population]&amp;TrendSheetStgData[Trend],Threshold[#All],5,FALSE)</f>
        <v>5</v>
      </c>
      <c r="M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5" spans="1:13" x14ac:dyDescent="0.25">
      <c r="A725" t="s">
        <v>90</v>
      </c>
      <c r="B725" t="s">
        <v>90</v>
      </c>
      <c r="C725" t="s">
        <v>78</v>
      </c>
      <c r="D725" s="1" t="s">
        <v>102</v>
      </c>
      <c r="E725" t="s">
        <v>93</v>
      </c>
      <c r="F725" t="s">
        <v>31</v>
      </c>
      <c r="G725">
        <v>20</v>
      </c>
      <c r="H725">
        <v>3085</v>
      </c>
      <c r="I725" s="5">
        <f>VLOOKUP(TrendSheetStgData[Population]&amp;TrendSheetStgData[Cost Basis]&amp;TrendSheetStgData[Period]&amp;TrendSheetStgData[Trend],TrendSheetPrdData[#All],9,FALSE)</f>
        <v>3085</v>
      </c>
      <c r="J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5" s="5">
        <f>VLOOKUP(TrendSheetStgData[Population]&amp;TrendSheetStgData[Trend],Threshold[#All],4,FALSE)</f>
        <v>10</v>
      </c>
      <c r="L725" s="5">
        <f>VLOOKUP(TrendSheetStgData[Population]&amp;TrendSheetStgData[Trend],Threshold[#All],5,FALSE)</f>
        <v>5</v>
      </c>
      <c r="M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6" spans="1:13" x14ac:dyDescent="0.25">
      <c r="A726" t="s">
        <v>90</v>
      </c>
      <c r="B726" t="s">
        <v>90</v>
      </c>
      <c r="C726" t="s">
        <v>78</v>
      </c>
      <c r="D726" s="1" t="s">
        <v>103</v>
      </c>
      <c r="E726" t="s">
        <v>93</v>
      </c>
      <c r="F726" t="s">
        <v>31</v>
      </c>
      <c r="G726">
        <v>20</v>
      </c>
      <c r="H726">
        <v>3212</v>
      </c>
      <c r="I726" s="5">
        <f>VLOOKUP(TrendSheetStgData[Population]&amp;TrendSheetStgData[Cost Basis]&amp;TrendSheetStgData[Period]&amp;TrendSheetStgData[Trend],TrendSheetPrdData[#All],9,FALSE)</f>
        <v>3212</v>
      </c>
      <c r="J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6" s="5">
        <f>VLOOKUP(TrendSheetStgData[Population]&amp;TrendSheetStgData[Trend],Threshold[#All],4,FALSE)</f>
        <v>10</v>
      </c>
      <c r="L726" s="5">
        <f>VLOOKUP(TrendSheetStgData[Population]&amp;TrendSheetStgData[Trend],Threshold[#All],5,FALSE)</f>
        <v>5</v>
      </c>
      <c r="M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7" spans="1:13" x14ac:dyDescent="0.25">
      <c r="A727" t="s">
        <v>90</v>
      </c>
      <c r="B727" t="s">
        <v>90</v>
      </c>
      <c r="C727" t="s">
        <v>78</v>
      </c>
      <c r="D727" s="1" t="s">
        <v>104</v>
      </c>
      <c r="E727" t="s">
        <v>93</v>
      </c>
      <c r="F727" t="s">
        <v>31</v>
      </c>
      <c r="G727">
        <v>20</v>
      </c>
      <c r="H727">
        <v>3042</v>
      </c>
      <c r="I727" s="5">
        <f>VLOOKUP(TrendSheetStgData[Population]&amp;TrendSheetStgData[Cost Basis]&amp;TrendSheetStgData[Period]&amp;TrendSheetStgData[Trend],TrendSheetPrdData[#All],9,FALSE)</f>
        <v>3042</v>
      </c>
      <c r="J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7" s="5">
        <f>VLOOKUP(TrendSheetStgData[Population]&amp;TrendSheetStgData[Trend],Threshold[#All],4,FALSE)</f>
        <v>10</v>
      </c>
      <c r="L727" s="5">
        <f>VLOOKUP(TrendSheetStgData[Population]&amp;TrendSheetStgData[Trend],Threshold[#All],5,FALSE)</f>
        <v>5</v>
      </c>
      <c r="M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8" spans="1:13" x14ac:dyDescent="0.25">
      <c r="A728" t="s">
        <v>90</v>
      </c>
      <c r="B728" t="s">
        <v>90</v>
      </c>
      <c r="C728" t="s">
        <v>78</v>
      </c>
      <c r="D728" s="1" t="s">
        <v>105</v>
      </c>
      <c r="E728" t="s">
        <v>93</v>
      </c>
      <c r="F728" t="s">
        <v>31</v>
      </c>
      <c r="G728">
        <v>20</v>
      </c>
      <c r="H728">
        <v>3456</v>
      </c>
      <c r="I728" s="5">
        <f>VLOOKUP(TrendSheetStgData[Population]&amp;TrendSheetStgData[Cost Basis]&amp;TrendSheetStgData[Period]&amp;TrendSheetStgData[Trend],TrendSheetPrdData[#All],9,FALSE)</f>
        <v>3456</v>
      </c>
      <c r="J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8" s="5">
        <f>VLOOKUP(TrendSheetStgData[Population]&amp;TrendSheetStgData[Trend],Threshold[#All],4,FALSE)</f>
        <v>10</v>
      </c>
      <c r="L728" s="5">
        <f>VLOOKUP(TrendSheetStgData[Population]&amp;TrendSheetStgData[Trend],Threshold[#All],5,FALSE)</f>
        <v>5</v>
      </c>
      <c r="M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9" spans="1:13" x14ac:dyDescent="0.25">
      <c r="A729" t="s">
        <v>90</v>
      </c>
      <c r="B729" t="s">
        <v>90</v>
      </c>
      <c r="C729" t="s">
        <v>78</v>
      </c>
      <c r="D729" s="1" t="s">
        <v>106</v>
      </c>
      <c r="E729" t="s">
        <v>93</v>
      </c>
      <c r="F729" t="s">
        <v>31</v>
      </c>
      <c r="G729">
        <v>20</v>
      </c>
      <c r="H729">
        <v>3184</v>
      </c>
      <c r="I729" s="5">
        <f>VLOOKUP(TrendSheetStgData[Population]&amp;TrendSheetStgData[Cost Basis]&amp;TrendSheetStgData[Period]&amp;TrendSheetStgData[Trend],TrendSheetPrdData[#All],9,FALSE)</f>
        <v>3184</v>
      </c>
      <c r="J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9" s="5">
        <f>VLOOKUP(TrendSheetStgData[Population]&amp;TrendSheetStgData[Trend],Threshold[#All],4,FALSE)</f>
        <v>10</v>
      </c>
      <c r="L729" s="5">
        <f>VLOOKUP(TrendSheetStgData[Population]&amp;TrendSheetStgData[Trend],Threshold[#All],5,FALSE)</f>
        <v>5</v>
      </c>
      <c r="M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0" spans="1:13" x14ac:dyDescent="0.25">
      <c r="A730" t="s">
        <v>90</v>
      </c>
      <c r="B730" t="s">
        <v>90</v>
      </c>
      <c r="C730" t="s">
        <v>78</v>
      </c>
      <c r="D730" s="1" t="s">
        <v>107</v>
      </c>
      <c r="E730" t="s">
        <v>108</v>
      </c>
      <c r="F730" t="s">
        <v>31</v>
      </c>
      <c r="G730">
        <v>20</v>
      </c>
      <c r="H730">
        <v>3451</v>
      </c>
      <c r="I730" s="5">
        <f>VLOOKUP(TrendSheetStgData[Population]&amp;TrendSheetStgData[Cost Basis]&amp;TrendSheetStgData[Period]&amp;TrendSheetStgData[Trend],TrendSheetPrdData[#All],9,FALSE)</f>
        <v>3451</v>
      </c>
      <c r="J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0" s="5">
        <f>VLOOKUP(TrendSheetStgData[Population]&amp;TrendSheetStgData[Trend],Threshold[#All],4,FALSE)</f>
        <v>10</v>
      </c>
      <c r="L730" s="5">
        <f>VLOOKUP(TrendSheetStgData[Population]&amp;TrendSheetStgData[Trend],Threshold[#All],5,FALSE)</f>
        <v>5</v>
      </c>
      <c r="M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1" spans="1:13" x14ac:dyDescent="0.25">
      <c r="A731" t="s">
        <v>90</v>
      </c>
      <c r="B731" t="s">
        <v>90</v>
      </c>
      <c r="C731" t="s">
        <v>78</v>
      </c>
      <c r="D731" s="1" t="s">
        <v>109</v>
      </c>
      <c r="E731" t="s">
        <v>108</v>
      </c>
      <c r="F731" t="s">
        <v>31</v>
      </c>
      <c r="G731">
        <v>20</v>
      </c>
      <c r="H731">
        <v>2689</v>
      </c>
      <c r="I731" s="5">
        <f>VLOOKUP(TrendSheetStgData[Population]&amp;TrendSheetStgData[Cost Basis]&amp;TrendSheetStgData[Period]&amp;TrendSheetStgData[Trend],TrendSheetPrdData[#All],9,FALSE)</f>
        <v>2689</v>
      </c>
      <c r="J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1" s="5">
        <f>VLOOKUP(TrendSheetStgData[Population]&amp;TrendSheetStgData[Trend],Threshold[#All],4,FALSE)</f>
        <v>10</v>
      </c>
      <c r="L731" s="5">
        <f>VLOOKUP(TrendSheetStgData[Population]&amp;TrendSheetStgData[Trend],Threshold[#All],5,FALSE)</f>
        <v>5</v>
      </c>
      <c r="M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2" spans="1:13" x14ac:dyDescent="0.25">
      <c r="A732" t="s">
        <v>90</v>
      </c>
      <c r="B732" t="s">
        <v>90</v>
      </c>
      <c r="C732" t="s">
        <v>78</v>
      </c>
      <c r="D732" s="1" t="s">
        <v>110</v>
      </c>
      <c r="E732" t="s">
        <v>108</v>
      </c>
      <c r="F732" t="s">
        <v>31</v>
      </c>
      <c r="G732">
        <v>20</v>
      </c>
      <c r="H732">
        <v>1823</v>
      </c>
      <c r="I732" s="5">
        <f>VLOOKUP(TrendSheetStgData[Population]&amp;TrendSheetStgData[Cost Basis]&amp;TrendSheetStgData[Period]&amp;TrendSheetStgData[Trend],TrendSheetPrdData[#All],9,FALSE)</f>
        <v>1823</v>
      </c>
      <c r="J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2" s="5">
        <f>VLOOKUP(TrendSheetStgData[Population]&amp;TrendSheetStgData[Trend],Threshold[#All],4,FALSE)</f>
        <v>10</v>
      </c>
      <c r="L732" s="5">
        <f>VLOOKUP(TrendSheetStgData[Population]&amp;TrendSheetStgData[Trend],Threshold[#All],5,FALSE)</f>
        <v>5</v>
      </c>
      <c r="M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3" spans="1:13" x14ac:dyDescent="0.25">
      <c r="A733" t="s">
        <v>90</v>
      </c>
      <c r="B733" t="s">
        <v>90</v>
      </c>
      <c r="C733" t="s">
        <v>78</v>
      </c>
      <c r="D733" s="1" t="s">
        <v>92</v>
      </c>
      <c r="E733" t="s">
        <v>93</v>
      </c>
      <c r="F733" t="s">
        <v>32</v>
      </c>
      <c r="G733">
        <v>21</v>
      </c>
      <c r="H733">
        <v>3024</v>
      </c>
      <c r="I733" s="5">
        <f>VLOOKUP(TrendSheetStgData[Population]&amp;TrendSheetStgData[Cost Basis]&amp;TrendSheetStgData[Period]&amp;TrendSheetStgData[Trend],TrendSheetPrdData[#All],9,FALSE)</f>
        <v>3024</v>
      </c>
      <c r="J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3" s="5">
        <f>VLOOKUP(TrendSheetStgData[Population]&amp;TrendSheetStgData[Trend],Threshold[#All],4,FALSE)</f>
        <v>10</v>
      </c>
      <c r="L733" s="5">
        <f>VLOOKUP(TrendSheetStgData[Population]&amp;TrendSheetStgData[Trend],Threshold[#All],5,FALSE)</f>
        <v>5</v>
      </c>
      <c r="M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4" spans="1:13" x14ac:dyDescent="0.25">
      <c r="A734" t="s">
        <v>90</v>
      </c>
      <c r="B734" t="s">
        <v>90</v>
      </c>
      <c r="C734" t="s">
        <v>78</v>
      </c>
      <c r="D734" s="1" t="s">
        <v>94</v>
      </c>
      <c r="E734" t="s">
        <v>93</v>
      </c>
      <c r="F734" t="s">
        <v>32</v>
      </c>
      <c r="G734">
        <v>21</v>
      </c>
      <c r="H734">
        <v>3401</v>
      </c>
      <c r="I734" s="5">
        <f>VLOOKUP(TrendSheetStgData[Population]&amp;TrendSheetStgData[Cost Basis]&amp;TrendSheetStgData[Period]&amp;TrendSheetStgData[Trend],TrendSheetPrdData[#All],9,FALSE)</f>
        <v>3401</v>
      </c>
      <c r="J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4" s="5">
        <f>VLOOKUP(TrendSheetStgData[Population]&amp;TrendSheetStgData[Trend],Threshold[#All],4,FALSE)</f>
        <v>10</v>
      </c>
      <c r="L734" s="5">
        <f>VLOOKUP(TrendSheetStgData[Population]&amp;TrendSheetStgData[Trend],Threshold[#All],5,FALSE)</f>
        <v>5</v>
      </c>
      <c r="M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5" spans="1:13" x14ac:dyDescent="0.25">
      <c r="A735" t="s">
        <v>90</v>
      </c>
      <c r="B735" t="s">
        <v>90</v>
      </c>
      <c r="C735" t="s">
        <v>78</v>
      </c>
      <c r="D735" s="1" t="s">
        <v>95</v>
      </c>
      <c r="E735" t="s">
        <v>93</v>
      </c>
      <c r="F735" t="s">
        <v>32</v>
      </c>
      <c r="G735">
        <v>21</v>
      </c>
      <c r="H735">
        <v>3547</v>
      </c>
      <c r="I735" s="5">
        <f>VLOOKUP(TrendSheetStgData[Population]&amp;TrendSheetStgData[Cost Basis]&amp;TrendSheetStgData[Period]&amp;TrendSheetStgData[Trend],TrendSheetPrdData[#All],9,FALSE)</f>
        <v>3547</v>
      </c>
      <c r="J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5" s="5">
        <f>VLOOKUP(TrendSheetStgData[Population]&amp;TrendSheetStgData[Trend],Threshold[#All],4,FALSE)</f>
        <v>10</v>
      </c>
      <c r="L735" s="5">
        <f>VLOOKUP(TrendSheetStgData[Population]&amp;TrendSheetStgData[Trend],Threshold[#All],5,FALSE)</f>
        <v>5</v>
      </c>
      <c r="M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6" spans="1:13" x14ac:dyDescent="0.25">
      <c r="A736" t="s">
        <v>90</v>
      </c>
      <c r="B736" t="s">
        <v>90</v>
      </c>
      <c r="C736" t="s">
        <v>78</v>
      </c>
      <c r="D736" s="1" t="s">
        <v>96</v>
      </c>
      <c r="E736" t="s">
        <v>93</v>
      </c>
      <c r="F736" t="s">
        <v>32</v>
      </c>
      <c r="G736">
        <v>21</v>
      </c>
      <c r="H736">
        <v>3018</v>
      </c>
      <c r="I736" s="5">
        <f>VLOOKUP(TrendSheetStgData[Population]&amp;TrendSheetStgData[Cost Basis]&amp;TrendSheetStgData[Period]&amp;TrendSheetStgData[Trend],TrendSheetPrdData[#All],9,FALSE)</f>
        <v>3018</v>
      </c>
      <c r="J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6" s="5">
        <f>VLOOKUP(TrendSheetStgData[Population]&amp;TrendSheetStgData[Trend],Threshold[#All],4,FALSE)</f>
        <v>10</v>
      </c>
      <c r="L736" s="5">
        <f>VLOOKUP(TrendSheetStgData[Population]&amp;TrendSheetStgData[Trend],Threshold[#All],5,FALSE)</f>
        <v>5</v>
      </c>
      <c r="M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7" spans="1:13" x14ac:dyDescent="0.25">
      <c r="A737" t="s">
        <v>90</v>
      </c>
      <c r="B737" t="s">
        <v>90</v>
      </c>
      <c r="C737" t="s">
        <v>78</v>
      </c>
      <c r="D737" s="1" t="s">
        <v>97</v>
      </c>
      <c r="E737" t="s">
        <v>93</v>
      </c>
      <c r="F737" t="s">
        <v>32</v>
      </c>
      <c r="G737">
        <v>21</v>
      </c>
      <c r="H737">
        <v>2932</v>
      </c>
      <c r="I737" s="5">
        <f>VLOOKUP(TrendSheetStgData[Population]&amp;TrendSheetStgData[Cost Basis]&amp;TrendSheetStgData[Period]&amp;TrendSheetStgData[Trend],TrendSheetPrdData[#All],9,FALSE)</f>
        <v>2932</v>
      </c>
      <c r="J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7" s="5">
        <f>VLOOKUP(TrendSheetStgData[Population]&amp;TrendSheetStgData[Trend],Threshold[#All],4,FALSE)</f>
        <v>10</v>
      </c>
      <c r="L737" s="5">
        <f>VLOOKUP(TrendSheetStgData[Population]&amp;TrendSheetStgData[Trend],Threshold[#All],5,FALSE)</f>
        <v>5</v>
      </c>
      <c r="M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8" spans="1:13" x14ac:dyDescent="0.25">
      <c r="A738" t="s">
        <v>90</v>
      </c>
      <c r="B738" t="s">
        <v>90</v>
      </c>
      <c r="C738" t="s">
        <v>78</v>
      </c>
      <c r="D738" s="1" t="s">
        <v>98</v>
      </c>
      <c r="E738" t="s">
        <v>93</v>
      </c>
      <c r="F738" t="s">
        <v>32</v>
      </c>
      <c r="G738">
        <v>21</v>
      </c>
      <c r="H738">
        <v>2635</v>
      </c>
      <c r="I738" s="5">
        <f>VLOOKUP(TrendSheetStgData[Population]&amp;TrendSheetStgData[Cost Basis]&amp;TrendSheetStgData[Period]&amp;TrendSheetStgData[Trend],TrendSheetPrdData[#All],9,FALSE)</f>
        <v>2635</v>
      </c>
      <c r="J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8" s="5">
        <f>VLOOKUP(TrendSheetStgData[Population]&amp;TrendSheetStgData[Trend],Threshold[#All],4,FALSE)</f>
        <v>10</v>
      </c>
      <c r="L738" s="5">
        <f>VLOOKUP(TrendSheetStgData[Population]&amp;TrendSheetStgData[Trend],Threshold[#All],5,FALSE)</f>
        <v>5</v>
      </c>
      <c r="M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9" spans="1:13" x14ac:dyDescent="0.25">
      <c r="A739" t="s">
        <v>90</v>
      </c>
      <c r="B739" t="s">
        <v>90</v>
      </c>
      <c r="C739" t="s">
        <v>78</v>
      </c>
      <c r="D739" s="1" t="s">
        <v>99</v>
      </c>
      <c r="E739" t="s">
        <v>93</v>
      </c>
      <c r="F739" t="s">
        <v>32</v>
      </c>
      <c r="G739">
        <v>21</v>
      </c>
      <c r="H739">
        <v>2709</v>
      </c>
      <c r="I739" s="5">
        <f>VLOOKUP(TrendSheetStgData[Population]&amp;TrendSheetStgData[Cost Basis]&amp;TrendSheetStgData[Period]&amp;TrendSheetStgData[Trend],TrendSheetPrdData[#All],9,FALSE)</f>
        <v>2709</v>
      </c>
      <c r="J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9" s="5">
        <f>VLOOKUP(TrendSheetStgData[Population]&amp;TrendSheetStgData[Trend],Threshold[#All],4,FALSE)</f>
        <v>10</v>
      </c>
      <c r="L739" s="5">
        <f>VLOOKUP(TrendSheetStgData[Population]&amp;TrendSheetStgData[Trend],Threshold[#All],5,FALSE)</f>
        <v>5</v>
      </c>
      <c r="M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0" spans="1:13" x14ac:dyDescent="0.25">
      <c r="A740" t="s">
        <v>90</v>
      </c>
      <c r="B740" t="s">
        <v>90</v>
      </c>
      <c r="C740" t="s">
        <v>78</v>
      </c>
      <c r="D740" s="1" t="s">
        <v>100</v>
      </c>
      <c r="E740" t="s">
        <v>93</v>
      </c>
      <c r="F740" t="s">
        <v>32</v>
      </c>
      <c r="G740">
        <v>21</v>
      </c>
      <c r="H740">
        <v>3042</v>
      </c>
      <c r="I740" s="5">
        <f>VLOOKUP(TrendSheetStgData[Population]&amp;TrendSheetStgData[Cost Basis]&amp;TrendSheetStgData[Period]&amp;TrendSheetStgData[Trend],TrendSheetPrdData[#All],9,FALSE)</f>
        <v>3042</v>
      </c>
      <c r="J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0" s="5">
        <f>VLOOKUP(TrendSheetStgData[Population]&amp;TrendSheetStgData[Trend],Threshold[#All],4,FALSE)</f>
        <v>10</v>
      </c>
      <c r="L740" s="5">
        <f>VLOOKUP(TrendSheetStgData[Population]&amp;TrendSheetStgData[Trend],Threshold[#All],5,FALSE)</f>
        <v>5</v>
      </c>
      <c r="M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1" spans="1:13" x14ac:dyDescent="0.25">
      <c r="A741" t="s">
        <v>90</v>
      </c>
      <c r="B741" t="s">
        <v>90</v>
      </c>
      <c r="C741" t="s">
        <v>78</v>
      </c>
      <c r="D741" s="1" t="s">
        <v>101</v>
      </c>
      <c r="E741" t="s">
        <v>93</v>
      </c>
      <c r="F741" t="s">
        <v>32</v>
      </c>
      <c r="G741">
        <v>21</v>
      </c>
      <c r="H741">
        <v>2556</v>
      </c>
      <c r="I741" s="5">
        <f>VLOOKUP(TrendSheetStgData[Population]&amp;TrendSheetStgData[Cost Basis]&amp;TrendSheetStgData[Period]&amp;TrendSheetStgData[Trend],TrendSheetPrdData[#All],9,FALSE)</f>
        <v>2556</v>
      </c>
      <c r="J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1" s="5">
        <f>VLOOKUP(TrendSheetStgData[Population]&amp;TrendSheetStgData[Trend],Threshold[#All],4,FALSE)</f>
        <v>10</v>
      </c>
      <c r="L741" s="5">
        <f>VLOOKUP(TrendSheetStgData[Population]&amp;TrendSheetStgData[Trend],Threshold[#All],5,FALSE)</f>
        <v>5</v>
      </c>
      <c r="M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2" spans="1:13" x14ac:dyDescent="0.25">
      <c r="A742" t="s">
        <v>90</v>
      </c>
      <c r="B742" t="s">
        <v>90</v>
      </c>
      <c r="C742" t="s">
        <v>78</v>
      </c>
      <c r="D742" s="1" t="s">
        <v>102</v>
      </c>
      <c r="E742" t="s">
        <v>93</v>
      </c>
      <c r="F742" t="s">
        <v>32</v>
      </c>
      <c r="G742">
        <v>21</v>
      </c>
      <c r="H742">
        <v>2929</v>
      </c>
      <c r="I742" s="5">
        <f>VLOOKUP(TrendSheetStgData[Population]&amp;TrendSheetStgData[Cost Basis]&amp;TrendSheetStgData[Period]&amp;TrendSheetStgData[Trend],TrendSheetPrdData[#All],9,FALSE)</f>
        <v>2929</v>
      </c>
      <c r="J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2" s="5">
        <f>VLOOKUP(TrendSheetStgData[Population]&amp;TrendSheetStgData[Trend],Threshold[#All],4,FALSE)</f>
        <v>10</v>
      </c>
      <c r="L742" s="5">
        <f>VLOOKUP(TrendSheetStgData[Population]&amp;TrendSheetStgData[Trend],Threshold[#All],5,FALSE)</f>
        <v>5</v>
      </c>
      <c r="M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3" spans="1:13" x14ac:dyDescent="0.25">
      <c r="A743" t="s">
        <v>90</v>
      </c>
      <c r="B743" t="s">
        <v>90</v>
      </c>
      <c r="C743" t="s">
        <v>78</v>
      </c>
      <c r="D743" s="1" t="s">
        <v>103</v>
      </c>
      <c r="E743" t="s">
        <v>93</v>
      </c>
      <c r="F743" t="s">
        <v>32</v>
      </c>
      <c r="G743">
        <v>21</v>
      </c>
      <c r="H743">
        <v>2510</v>
      </c>
      <c r="I743" s="5">
        <f>VLOOKUP(TrendSheetStgData[Population]&amp;TrendSheetStgData[Cost Basis]&amp;TrendSheetStgData[Period]&amp;TrendSheetStgData[Trend],TrendSheetPrdData[#All],9,FALSE)</f>
        <v>2510</v>
      </c>
      <c r="J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3" s="5">
        <f>VLOOKUP(TrendSheetStgData[Population]&amp;TrendSheetStgData[Trend],Threshold[#All],4,FALSE)</f>
        <v>10</v>
      </c>
      <c r="L743" s="5">
        <f>VLOOKUP(TrendSheetStgData[Population]&amp;TrendSheetStgData[Trend],Threshold[#All],5,FALSE)</f>
        <v>5</v>
      </c>
      <c r="M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4" spans="1:13" x14ac:dyDescent="0.25">
      <c r="A744" t="s">
        <v>90</v>
      </c>
      <c r="B744" t="s">
        <v>90</v>
      </c>
      <c r="C744" t="s">
        <v>78</v>
      </c>
      <c r="D744" s="1" t="s">
        <v>104</v>
      </c>
      <c r="E744" t="s">
        <v>93</v>
      </c>
      <c r="F744" t="s">
        <v>32</v>
      </c>
      <c r="G744">
        <v>21</v>
      </c>
      <c r="H744">
        <v>2705</v>
      </c>
      <c r="I744" s="5">
        <f>VLOOKUP(TrendSheetStgData[Population]&amp;TrendSheetStgData[Cost Basis]&amp;TrendSheetStgData[Period]&amp;TrendSheetStgData[Trend],TrendSheetPrdData[#All],9,FALSE)</f>
        <v>2705</v>
      </c>
      <c r="J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4" s="5">
        <f>VLOOKUP(TrendSheetStgData[Population]&amp;TrendSheetStgData[Trend],Threshold[#All],4,FALSE)</f>
        <v>10</v>
      </c>
      <c r="L744" s="5">
        <f>VLOOKUP(TrendSheetStgData[Population]&amp;TrendSheetStgData[Trend],Threshold[#All],5,FALSE)</f>
        <v>5</v>
      </c>
      <c r="M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5" spans="1:13" x14ac:dyDescent="0.25">
      <c r="A745" t="s">
        <v>90</v>
      </c>
      <c r="B745" t="s">
        <v>90</v>
      </c>
      <c r="C745" t="s">
        <v>78</v>
      </c>
      <c r="D745" s="1" t="s">
        <v>105</v>
      </c>
      <c r="E745" t="s">
        <v>93</v>
      </c>
      <c r="F745" t="s">
        <v>32</v>
      </c>
      <c r="G745">
        <v>21</v>
      </c>
      <c r="H745">
        <v>2841</v>
      </c>
      <c r="I745" s="5">
        <f>VLOOKUP(TrendSheetStgData[Population]&amp;TrendSheetStgData[Cost Basis]&amp;TrendSheetStgData[Period]&amp;TrendSheetStgData[Trend],TrendSheetPrdData[#All],9,FALSE)</f>
        <v>2841</v>
      </c>
      <c r="J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5" s="5">
        <f>VLOOKUP(TrendSheetStgData[Population]&amp;TrendSheetStgData[Trend],Threshold[#All],4,FALSE)</f>
        <v>10</v>
      </c>
      <c r="L745" s="5">
        <f>VLOOKUP(TrendSheetStgData[Population]&amp;TrendSheetStgData[Trend],Threshold[#All],5,FALSE)</f>
        <v>5</v>
      </c>
      <c r="M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6" spans="1:13" x14ac:dyDescent="0.25">
      <c r="A746" t="s">
        <v>90</v>
      </c>
      <c r="B746" t="s">
        <v>90</v>
      </c>
      <c r="C746" t="s">
        <v>78</v>
      </c>
      <c r="D746" s="1" t="s">
        <v>106</v>
      </c>
      <c r="E746" t="s">
        <v>93</v>
      </c>
      <c r="F746" t="s">
        <v>32</v>
      </c>
      <c r="G746">
        <v>21</v>
      </c>
      <c r="H746">
        <v>2545</v>
      </c>
      <c r="I746" s="5">
        <f>VLOOKUP(TrendSheetStgData[Population]&amp;TrendSheetStgData[Cost Basis]&amp;TrendSheetStgData[Period]&amp;TrendSheetStgData[Trend],TrendSheetPrdData[#All],9,FALSE)</f>
        <v>2545</v>
      </c>
      <c r="J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6" s="5">
        <f>VLOOKUP(TrendSheetStgData[Population]&amp;TrendSheetStgData[Trend],Threshold[#All],4,FALSE)</f>
        <v>10</v>
      </c>
      <c r="L746" s="5">
        <f>VLOOKUP(TrendSheetStgData[Population]&amp;TrendSheetStgData[Trend],Threshold[#All],5,FALSE)</f>
        <v>5</v>
      </c>
      <c r="M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7" spans="1:13" x14ac:dyDescent="0.25">
      <c r="A747" t="s">
        <v>90</v>
      </c>
      <c r="B747" t="s">
        <v>90</v>
      </c>
      <c r="C747" t="s">
        <v>78</v>
      </c>
      <c r="D747" s="1" t="s">
        <v>107</v>
      </c>
      <c r="E747" t="s">
        <v>108</v>
      </c>
      <c r="F747" t="s">
        <v>32</v>
      </c>
      <c r="G747">
        <v>21</v>
      </c>
      <c r="H747">
        <v>2795</v>
      </c>
      <c r="I747" s="5">
        <f>VLOOKUP(TrendSheetStgData[Population]&amp;TrendSheetStgData[Cost Basis]&amp;TrendSheetStgData[Period]&amp;TrendSheetStgData[Trend],TrendSheetPrdData[#All],9,FALSE)</f>
        <v>2795</v>
      </c>
      <c r="J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7" s="5">
        <f>VLOOKUP(TrendSheetStgData[Population]&amp;TrendSheetStgData[Trend],Threshold[#All],4,FALSE)</f>
        <v>10</v>
      </c>
      <c r="L747" s="5">
        <f>VLOOKUP(TrendSheetStgData[Population]&amp;TrendSheetStgData[Trend],Threshold[#All],5,FALSE)</f>
        <v>5</v>
      </c>
      <c r="M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8" spans="1:13" x14ac:dyDescent="0.25">
      <c r="A748" t="s">
        <v>90</v>
      </c>
      <c r="B748" t="s">
        <v>90</v>
      </c>
      <c r="C748" t="s">
        <v>78</v>
      </c>
      <c r="D748" s="1" t="s">
        <v>109</v>
      </c>
      <c r="E748" t="s">
        <v>108</v>
      </c>
      <c r="F748" t="s">
        <v>32</v>
      </c>
      <c r="G748">
        <v>21</v>
      </c>
      <c r="H748">
        <v>2372</v>
      </c>
      <c r="I748" s="5">
        <f>VLOOKUP(TrendSheetStgData[Population]&amp;TrendSheetStgData[Cost Basis]&amp;TrendSheetStgData[Period]&amp;TrendSheetStgData[Trend],TrendSheetPrdData[#All],9,FALSE)</f>
        <v>2372</v>
      </c>
      <c r="J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8" s="5">
        <f>VLOOKUP(TrendSheetStgData[Population]&amp;TrendSheetStgData[Trend],Threshold[#All],4,FALSE)</f>
        <v>10</v>
      </c>
      <c r="L748" s="5">
        <f>VLOOKUP(TrendSheetStgData[Population]&amp;TrendSheetStgData[Trend],Threshold[#All],5,FALSE)</f>
        <v>5</v>
      </c>
      <c r="M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9" spans="1:13" x14ac:dyDescent="0.25">
      <c r="A749" t="s">
        <v>90</v>
      </c>
      <c r="B749" t="s">
        <v>90</v>
      </c>
      <c r="C749" t="s">
        <v>78</v>
      </c>
      <c r="D749" s="1" t="s">
        <v>110</v>
      </c>
      <c r="E749" t="s">
        <v>108</v>
      </c>
      <c r="F749" t="s">
        <v>32</v>
      </c>
      <c r="G749">
        <v>21</v>
      </c>
      <c r="H749">
        <v>1938</v>
      </c>
      <c r="I749" s="5">
        <f>VLOOKUP(TrendSheetStgData[Population]&amp;TrendSheetStgData[Cost Basis]&amp;TrendSheetStgData[Period]&amp;TrendSheetStgData[Trend],TrendSheetPrdData[#All],9,FALSE)</f>
        <v>1938</v>
      </c>
      <c r="J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9" s="5">
        <f>VLOOKUP(TrendSheetStgData[Population]&amp;TrendSheetStgData[Trend],Threshold[#All],4,FALSE)</f>
        <v>10</v>
      </c>
      <c r="L749" s="5">
        <f>VLOOKUP(TrendSheetStgData[Population]&amp;TrendSheetStgData[Trend],Threshold[#All],5,FALSE)</f>
        <v>5</v>
      </c>
      <c r="M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0" spans="1:13" x14ac:dyDescent="0.25">
      <c r="A750" t="s">
        <v>90</v>
      </c>
      <c r="B750" t="s">
        <v>90</v>
      </c>
      <c r="C750" t="s">
        <v>78</v>
      </c>
      <c r="D750" s="1" t="s">
        <v>92</v>
      </c>
      <c r="E750" t="s">
        <v>93</v>
      </c>
      <c r="F750" t="s">
        <v>33</v>
      </c>
      <c r="G750">
        <v>22</v>
      </c>
      <c r="H750">
        <v>76</v>
      </c>
      <c r="I750" s="5">
        <f>VLOOKUP(TrendSheetStgData[Population]&amp;TrendSheetStgData[Cost Basis]&amp;TrendSheetStgData[Period]&amp;TrendSheetStgData[Trend],TrendSheetPrdData[#All],9,FALSE)</f>
        <v>76</v>
      </c>
      <c r="J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0" s="5">
        <f>VLOOKUP(TrendSheetStgData[Population]&amp;TrendSheetStgData[Trend],Threshold[#All],4,FALSE)</f>
        <v>10</v>
      </c>
      <c r="L750" s="5">
        <f>VLOOKUP(TrendSheetStgData[Population]&amp;TrendSheetStgData[Trend],Threshold[#All],5,FALSE)</f>
        <v>5</v>
      </c>
      <c r="M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1" spans="1:13" x14ac:dyDescent="0.25">
      <c r="A751" t="s">
        <v>90</v>
      </c>
      <c r="B751" t="s">
        <v>90</v>
      </c>
      <c r="C751" t="s">
        <v>78</v>
      </c>
      <c r="D751" s="1" t="s">
        <v>94</v>
      </c>
      <c r="E751" t="s">
        <v>93</v>
      </c>
      <c r="F751" t="s">
        <v>33</v>
      </c>
      <c r="G751">
        <v>22</v>
      </c>
      <c r="H751">
        <v>84</v>
      </c>
      <c r="I751" s="5">
        <f>VLOOKUP(TrendSheetStgData[Population]&amp;TrendSheetStgData[Cost Basis]&amp;TrendSheetStgData[Period]&amp;TrendSheetStgData[Trend],TrendSheetPrdData[#All],9,FALSE)</f>
        <v>84</v>
      </c>
      <c r="J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1" s="5">
        <f>VLOOKUP(TrendSheetStgData[Population]&amp;TrendSheetStgData[Trend],Threshold[#All],4,FALSE)</f>
        <v>10</v>
      </c>
      <c r="L751" s="5">
        <f>VLOOKUP(TrendSheetStgData[Population]&amp;TrendSheetStgData[Trend],Threshold[#All],5,FALSE)</f>
        <v>5</v>
      </c>
      <c r="M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2" spans="1:13" x14ac:dyDescent="0.25">
      <c r="A752" t="s">
        <v>90</v>
      </c>
      <c r="B752" t="s">
        <v>90</v>
      </c>
      <c r="C752" t="s">
        <v>78</v>
      </c>
      <c r="D752" s="1" t="s">
        <v>95</v>
      </c>
      <c r="E752" t="s">
        <v>93</v>
      </c>
      <c r="F752" t="s">
        <v>33</v>
      </c>
      <c r="G752">
        <v>22</v>
      </c>
      <c r="H752">
        <v>127</v>
      </c>
      <c r="I752" s="5">
        <f>VLOOKUP(TrendSheetStgData[Population]&amp;TrendSheetStgData[Cost Basis]&amp;TrendSheetStgData[Period]&amp;TrendSheetStgData[Trend],TrendSheetPrdData[#All],9,FALSE)</f>
        <v>127</v>
      </c>
      <c r="J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2" s="5">
        <f>VLOOKUP(TrendSheetStgData[Population]&amp;TrendSheetStgData[Trend],Threshold[#All],4,FALSE)</f>
        <v>10</v>
      </c>
      <c r="L752" s="5">
        <f>VLOOKUP(TrendSheetStgData[Population]&amp;TrendSheetStgData[Trend],Threshold[#All],5,FALSE)</f>
        <v>5</v>
      </c>
      <c r="M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3" spans="1:13" x14ac:dyDescent="0.25">
      <c r="A753" t="s">
        <v>90</v>
      </c>
      <c r="B753" t="s">
        <v>90</v>
      </c>
      <c r="C753" t="s">
        <v>78</v>
      </c>
      <c r="D753" s="1" t="s">
        <v>96</v>
      </c>
      <c r="E753" t="s">
        <v>93</v>
      </c>
      <c r="F753" t="s">
        <v>33</v>
      </c>
      <c r="G753">
        <v>22</v>
      </c>
      <c r="H753">
        <v>111</v>
      </c>
      <c r="I753" s="5">
        <f>VLOOKUP(TrendSheetStgData[Population]&amp;TrendSheetStgData[Cost Basis]&amp;TrendSheetStgData[Period]&amp;TrendSheetStgData[Trend],TrendSheetPrdData[#All],9,FALSE)</f>
        <v>111</v>
      </c>
      <c r="J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3" s="5">
        <f>VLOOKUP(TrendSheetStgData[Population]&amp;TrendSheetStgData[Trend],Threshold[#All],4,FALSE)</f>
        <v>10</v>
      </c>
      <c r="L753" s="5">
        <f>VLOOKUP(TrendSheetStgData[Population]&amp;TrendSheetStgData[Trend],Threshold[#All],5,FALSE)</f>
        <v>5</v>
      </c>
      <c r="M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4" spans="1:13" x14ac:dyDescent="0.25">
      <c r="A754" t="s">
        <v>90</v>
      </c>
      <c r="B754" t="s">
        <v>90</v>
      </c>
      <c r="C754" t="s">
        <v>78</v>
      </c>
      <c r="D754" s="1" t="s">
        <v>97</v>
      </c>
      <c r="E754" t="s">
        <v>93</v>
      </c>
      <c r="F754" t="s">
        <v>33</v>
      </c>
      <c r="G754">
        <v>22</v>
      </c>
      <c r="H754">
        <v>119</v>
      </c>
      <c r="I754" s="5">
        <f>VLOOKUP(TrendSheetStgData[Population]&amp;TrendSheetStgData[Cost Basis]&amp;TrendSheetStgData[Period]&amp;TrendSheetStgData[Trend],TrendSheetPrdData[#All],9,FALSE)</f>
        <v>119</v>
      </c>
      <c r="J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4" s="5">
        <f>VLOOKUP(TrendSheetStgData[Population]&amp;TrendSheetStgData[Trend],Threshold[#All],4,FALSE)</f>
        <v>10</v>
      </c>
      <c r="L754" s="5">
        <f>VLOOKUP(TrendSheetStgData[Population]&amp;TrendSheetStgData[Trend],Threshold[#All],5,FALSE)</f>
        <v>5</v>
      </c>
      <c r="M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5" spans="1:13" x14ac:dyDescent="0.25">
      <c r="A755" t="s">
        <v>90</v>
      </c>
      <c r="B755" t="s">
        <v>90</v>
      </c>
      <c r="C755" t="s">
        <v>78</v>
      </c>
      <c r="D755" s="1" t="s">
        <v>98</v>
      </c>
      <c r="E755" t="s">
        <v>93</v>
      </c>
      <c r="F755" t="s">
        <v>33</v>
      </c>
      <c r="G755">
        <v>22</v>
      </c>
      <c r="H755">
        <v>140</v>
      </c>
      <c r="I755" s="5">
        <f>VLOOKUP(TrendSheetStgData[Population]&amp;TrendSheetStgData[Cost Basis]&amp;TrendSheetStgData[Period]&amp;TrendSheetStgData[Trend],TrendSheetPrdData[#All],9,FALSE)</f>
        <v>140</v>
      </c>
      <c r="J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5" s="5">
        <f>VLOOKUP(TrendSheetStgData[Population]&amp;TrendSheetStgData[Trend],Threshold[#All],4,FALSE)</f>
        <v>10</v>
      </c>
      <c r="L755" s="5">
        <f>VLOOKUP(TrendSheetStgData[Population]&amp;TrendSheetStgData[Trend],Threshold[#All],5,FALSE)</f>
        <v>5</v>
      </c>
      <c r="M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6" spans="1:13" x14ac:dyDescent="0.25">
      <c r="A756" t="s">
        <v>90</v>
      </c>
      <c r="B756" t="s">
        <v>90</v>
      </c>
      <c r="C756" t="s">
        <v>78</v>
      </c>
      <c r="D756" s="1" t="s">
        <v>99</v>
      </c>
      <c r="E756" t="s">
        <v>93</v>
      </c>
      <c r="F756" t="s">
        <v>33</v>
      </c>
      <c r="G756">
        <v>22</v>
      </c>
      <c r="H756">
        <v>87</v>
      </c>
      <c r="I756" s="5">
        <f>VLOOKUP(TrendSheetStgData[Population]&amp;TrendSheetStgData[Cost Basis]&amp;TrendSheetStgData[Period]&amp;TrendSheetStgData[Trend],TrendSheetPrdData[#All],9,FALSE)</f>
        <v>87</v>
      </c>
      <c r="J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6" s="5">
        <f>VLOOKUP(TrendSheetStgData[Population]&amp;TrendSheetStgData[Trend],Threshold[#All],4,FALSE)</f>
        <v>10</v>
      </c>
      <c r="L756" s="5">
        <f>VLOOKUP(TrendSheetStgData[Population]&amp;TrendSheetStgData[Trend],Threshold[#All],5,FALSE)</f>
        <v>5</v>
      </c>
      <c r="M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7" spans="1:13" x14ac:dyDescent="0.25">
      <c r="A757" t="s">
        <v>90</v>
      </c>
      <c r="B757" t="s">
        <v>90</v>
      </c>
      <c r="C757" t="s">
        <v>78</v>
      </c>
      <c r="D757" s="1" t="s">
        <v>100</v>
      </c>
      <c r="E757" t="s">
        <v>93</v>
      </c>
      <c r="F757" t="s">
        <v>33</v>
      </c>
      <c r="G757">
        <v>22</v>
      </c>
      <c r="H757">
        <v>123</v>
      </c>
      <c r="I757" s="5">
        <f>VLOOKUP(TrendSheetStgData[Population]&amp;TrendSheetStgData[Cost Basis]&amp;TrendSheetStgData[Period]&amp;TrendSheetStgData[Trend],TrendSheetPrdData[#All],9,FALSE)</f>
        <v>123</v>
      </c>
      <c r="J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7" s="5">
        <f>VLOOKUP(TrendSheetStgData[Population]&amp;TrendSheetStgData[Trend],Threshold[#All],4,FALSE)</f>
        <v>10</v>
      </c>
      <c r="L757" s="5">
        <f>VLOOKUP(TrendSheetStgData[Population]&amp;TrendSheetStgData[Trend],Threshold[#All],5,FALSE)</f>
        <v>5</v>
      </c>
      <c r="M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8" spans="1:13" x14ac:dyDescent="0.25">
      <c r="A758" t="s">
        <v>90</v>
      </c>
      <c r="B758" t="s">
        <v>90</v>
      </c>
      <c r="C758" t="s">
        <v>78</v>
      </c>
      <c r="D758" s="1" t="s">
        <v>101</v>
      </c>
      <c r="E758" t="s">
        <v>93</v>
      </c>
      <c r="F758" t="s">
        <v>33</v>
      </c>
      <c r="G758">
        <v>22</v>
      </c>
      <c r="H758">
        <v>128</v>
      </c>
      <c r="I758" s="5">
        <f>VLOOKUP(TrendSheetStgData[Population]&amp;TrendSheetStgData[Cost Basis]&amp;TrendSheetStgData[Period]&amp;TrendSheetStgData[Trend],TrendSheetPrdData[#All],9,FALSE)</f>
        <v>128</v>
      </c>
      <c r="J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8" s="5">
        <f>VLOOKUP(TrendSheetStgData[Population]&amp;TrendSheetStgData[Trend],Threshold[#All],4,FALSE)</f>
        <v>10</v>
      </c>
      <c r="L758" s="5">
        <f>VLOOKUP(TrendSheetStgData[Population]&amp;TrendSheetStgData[Trend],Threshold[#All],5,FALSE)</f>
        <v>5</v>
      </c>
      <c r="M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9" spans="1:13" x14ac:dyDescent="0.25">
      <c r="A759" t="s">
        <v>90</v>
      </c>
      <c r="B759" t="s">
        <v>90</v>
      </c>
      <c r="C759" t="s">
        <v>78</v>
      </c>
      <c r="D759" s="1" t="s">
        <v>102</v>
      </c>
      <c r="E759" t="s">
        <v>93</v>
      </c>
      <c r="F759" t="s">
        <v>33</v>
      </c>
      <c r="G759">
        <v>22</v>
      </c>
      <c r="H759">
        <v>118</v>
      </c>
      <c r="I759" s="5">
        <f>VLOOKUP(TrendSheetStgData[Population]&amp;TrendSheetStgData[Cost Basis]&amp;TrendSheetStgData[Period]&amp;TrendSheetStgData[Trend],TrendSheetPrdData[#All],9,FALSE)</f>
        <v>118</v>
      </c>
      <c r="J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9" s="5">
        <f>VLOOKUP(TrendSheetStgData[Population]&amp;TrendSheetStgData[Trend],Threshold[#All],4,FALSE)</f>
        <v>10</v>
      </c>
      <c r="L759" s="5">
        <f>VLOOKUP(TrendSheetStgData[Population]&amp;TrendSheetStgData[Trend],Threshold[#All],5,FALSE)</f>
        <v>5</v>
      </c>
      <c r="M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0" spans="1:13" x14ac:dyDescent="0.25">
      <c r="A760" t="s">
        <v>90</v>
      </c>
      <c r="B760" t="s">
        <v>90</v>
      </c>
      <c r="C760" t="s">
        <v>78</v>
      </c>
      <c r="D760" s="1" t="s">
        <v>103</v>
      </c>
      <c r="E760" t="s">
        <v>93</v>
      </c>
      <c r="F760" t="s">
        <v>33</v>
      </c>
      <c r="G760">
        <v>22</v>
      </c>
      <c r="H760">
        <v>114</v>
      </c>
      <c r="I760" s="5">
        <f>VLOOKUP(TrendSheetStgData[Population]&amp;TrendSheetStgData[Cost Basis]&amp;TrendSheetStgData[Period]&amp;TrendSheetStgData[Trend],TrendSheetPrdData[#All],9,FALSE)</f>
        <v>114</v>
      </c>
      <c r="J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0" s="5">
        <f>VLOOKUP(TrendSheetStgData[Population]&amp;TrendSheetStgData[Trend],Threshold[#All],4,FALSE)</f>
        <v>10</v>
      </c>
      <c r="L760" s="5">
        <f>VLOOKUP(TrendSheetStgData[Population]&amp;TrendSheetStgData[Trend],Threshold[#All],5,FALSE)</f>
        <v>5</v>
      </c>
      <c r="M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1" spans="1:13" x14ac:dyDescent="0.25">
      <c r="A761" t="s">
        <v>90</v>
      </c>
      <c r="B761" t="s">
        <v>90</v>
      </c>
      <c r="C761" t="s">
        <v>78</v>
      </c>
      <c r="D761" s="1" t="s">
        <v>104</v>
      </c>
      <c r="E761" t="s">
        <v>93</v>
      </c>
      <c r="F761" t="s">
        <v>33</v>
      </c>
      <c r="G761">
        <v>22</v>
      </c>
      <c r="H761">
        <v>128</v>
      </c>
      <c r="I761" s="5">
        <f>VLOOKUP(TrendSheetStgData[Population]&amp;TrendSheetStgData[Cost Basis]&amp;TrendSheetStgData[Period]&amp;TrendSheetStgData[Trend],TrendSheetPrdData[#All],9,FALSE)</f>
        <v>128</v>
      </c>
      <c r="J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1" s="5">
        <f>VLOOKUP(TrendSheetStgData[Population]&amp;TrendSheetStgData[Trend],Threshold[#All],4,FALSE)</f>
        <v>10</v>
      </c>
      <c r="L761" s="5">
        <f>VLOOKUP(TrendSheetStgData[Population]&amp;TrendSheetStgData[Trend],Threshold[#All],5,FALSE)</f>
        <v>5</v>
      </c>
      <c r="M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2" spans="1:13" x14ac:dyDescent="0.25">
      <c r="A762" t="s">
        <v>90</v>
      </c>
      <c r="B762" t="s">
        <v>90</v>
      </c>
      <c r="C762" t="s">
        <v>78</v>
      </c>
      <c r="D762" s="1" t="s">
        <v>105</v>
      </c>
      <c r="E762" t="s">
        <v>93</v>
      </c>
      <c r="F762" t="s">
        <v>33</v>
      </c>
      <c r="G762">
        <v>22</v>
      </c>
      <c r="H762">
        <v>169</v>
      </c>
      <c r="I762" s="5">
        <f>VLOOKUP(TrendSheetStgData[Population]&amp;TrendSheetStgData[Cost Basis]&amp;TrendSheetStgData[Period]&amp;TrendSheetStgData[Trend],TrendSheetPrdData[#All],9,FALSE)</f>
        <v>169</v>
      </c>
      <c r="J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2" s="5">
        <f>VLOOKUP(TrendSheetStgData[Population]&amp;TrendSheetStgData[Trend],Threshold[#All],4,FALSE)</f>
        <v>10</v>
      </c>
      <c r="L762" s="5">
        <f>VLOOKUP(TrendSheetStgData[Population]&amp;TrendSheetStgData[Trend],Threshold[#All],5,FALSE)</f>
        <v>5</v>
      </c>
      <c r="M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3" spans="1:13" x14ac:dyDescent="0.25">
      <c r="A763" t="s">
        <v>90</v>
      </c>
      <c r="B763" t="s">
        <v>90</v>
      </c>
      <c r="C763" t="s">
        <v>78</v>
      </c>
      <c r="D763" s="1" t="s">
        <v>106</v>
      </c>
      <c r="E763" t="s">
        <v>93</v>
      </c>
      <c r="F763" t="s">
        <v>33</v>
      </c>
      <c r="G763">
        <v>22</v>
      </c>
      <c r="H763">
        <v>106</v>
      </c>
      <c r="I763" s="5">
        <f>VLOOKUP(TrendSheetStgData[Population]&amp;TrendSheetStgData[Cost Basis]&amp;TrendSheetStgData[Period]&amp;TrendSheetStgData[Trend],TrendSheetPrdData[#All],9,FALSE)</f>
        <v>106</v>
      </c>
      <c r="J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3" s="5">
        <f>VLOOKUP(TrendSheetStgData[Population]&amp;TrendSheetStgData[Trend],Threshold[#All],4,FALSE)</f>
        <v>10</v>
      </c>
      <c r="L763" s="5">
        <f>VLOOKUP(TrendSheetStgData[Population]&amp;TrendSheetStgData[Trend],Threshold[#All],5,FALSE)</f>
        <v>5</v>
      </c>
      <c r="M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4" spans="1:13" x14ac:dyDescent="0.25">
      <c r="A764" t="s">
        <v>90</v>
      </c>
      <c r="B764" t="s">
        <v>90</v>
      </c>
      <c r="C764" t="s">
        <v>78</v>
      </c>
      <c r="D764" s="1" t="s">
        <v>107</v>
      </c>
      <c r="E764" t="s">
        <v>108</v>
      </c>
      <c r="F764" t="s">
        <v>33</v>
      </c>
      <c r="G764">
        <v>22</v>
      </c>
      <c r="H764">
        <v>96</v>
      </c>
      <c r="I764" s="5">
        <f>VLOOKUP(TrendSheetStgData[Population]&amp;TrendSheetStgData[Cost Basis]&amp;TrendSheetStgData[Period]&amp;TrendSheetStgData[Trend],TrendSheetPrdData[#All],9,FALSE)</f>
        <v>96</v>
      </c>
      <c r="J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4" s="5">
        <f>VLOOKUP(TrendSheetStgData[Population]&amp;TrendSheetStgData[Trend],Threshold[#All],4,FALSE)</f>
        <v>10</v>
      </c>
      <c r="L764" s="5">
        <f>VLOOKUP(TrendSheetStgData[Population]&amp;TrendSheetStgData[Trend],Threshold[#All],5,FALSE)</f>
        <v>5</v>
      </c>
      <c r="M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5" spans="1:13" x14ac:dyDescent="0.25">
      <c r="A765" t="s">
        <v>90</v>
      </c>
      <c r="B765" t="s">
        <v>90</v>
      </c>
      <c r="C765" t="s">
        <v>78</v>
      </c>
      <c r="D765" s="1" t="s">
        <v>109</v>
      </c>
      <c r="E765" t="s">
        <v>108</v>
      </c>
      <c r="F765" t="s">
        <v>33</v>
      </c>
      <c r="G765">
        <v>22</v>
      </c>
      <c r="H765">
        <v>109</v>
      </c>
      <c r="I765" s="5">
        <f>VLOOKUP(TrendSheetStgData[Population]&amp;TrendSheetStgData[Cost Basis]&amp;TrendSheetStgData[Period]&amp;TrendSheetStgData[Trend],TrendSheetPrdData[#All],9,FALSE)</f>
        <v>109</v>
      </c>
      <c r="J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5" s="5">
        <f>VLOOKUP(TrendSheetStgData[Population]&amp;TrendSheetStgData[Trend],Threshold[#All],4,FALSE)</f>
        <v>10</v>
      </c>
      <c r="L765" s="5">
        <f>VLOOKUP(TrendSheetStgData[Population]&amp;TrendSheetStgData[Trend],Threshold[#All],5,FALSE)</f>
        <v>5</v>
      </c>
      <c r="M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6" spans="1:13" x14ac:dyDescent="0.25">
      <c r="A766" t="s">
        <v>90</v>
      </c>
      <c r="B766" t="s">
        <v>90</v>
      </c>
      <c r="C766" t="s">
        <v>78</v>
      </c>
      <c r="D766" s="1" t="s">
        <v>110</v>
      </c>
      <c r="E766" t="s">
        <v>108</v>
      </c>
      <c r="F766" t="s">
        <v>33</v>
      </c>
      <c r="G766">
        <v>22</v>
      </c>
      <c r="H766">
        <v>72</v>
      </c>
      <c r="I766" s="5">
        <f>VLOOKUP(TrendSheetStgData[Population]&amp;TrendSheetStgData[Cost Basis]&amp;TrendSheetStgData[Period]&amp;TrendSheetStgData[Trend],TrendSheetPrdData[#All],9,FALSE)</f>
        <v>72</v>
      </c>
      <c r="J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6" s="5">
        <f>VLOOKUP(TrendSheetStgData[Population]&amp;TrendSheetStgData[Trend],Threshold[#All],4,FALSE)</f>
        <v>10</v>
      </c>
      <c r="L766" s="5">
        <f>VLOOKUP(TrendSheetStgData[Population]&amp;TrendSheetStgData[Trend],Threshold[#All],5,FALSE)</f>
        <v>5</v>
      </c>
      <c r="M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7" spans="1:13" x14ac:dyDescent="0.25">
      <c r="A767" t="s">
        <v>90</v>
      </c>
      <c r="B767" t="s">
        <v>90</v>
      </c>
      <c r="C767" t="s">
        <v>78</v>
      </c>
      <c r="D767" s="1" t="s">
        <v>92</v>
      </c>
      <c r="E767" t="s">
        <v>93</v>
      </c>
      <c r="F767" t="s">
        <v>34</v>
      </c>
      <c r="G767">
        <v>23</v>
      </c>
      <c r="H767">
        <v>3248</v>
      </c>
      <c r="I767" s="5">
        <f>VLOOKUP(TrendSheetStgData[Population]&amp;TrendSheetStgData[Cost Basis]&amp;TrendSheetStgData[Period]&amp;TrendSheetStgData[Trend],TrendSheetPrdData[#All],9,FALSE)</f>
        <v>3248</v>
      </c>
      <c r="J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7" s="5">
        <f>VLOOKUP(TrendSheetStgData[Population]&amp;TrendSheetStgData[Trend],Threshold[#All],4,FALSE)</f>
        <v>10</v>
      </c>
      <c r="L767" s="5">
        <f>VLOOKUP(TrendSheetStgData[Population]&amp;TrendSheetStgData[Trend],Threshold[#All],5,FALSE)</f>
        <v>5</v>
      </c>
      <c r="M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8" spans="1:13" x14ac:dyDescent="0.25">
      <c r="A768" t="s">
        <v>90</v>
      </c>
      <c r="B768" t="s">
        <v>90</v>
      </c>
      <c r="C768" t="s">
        <v>78</v>
      </c>
      <c r="D768" s="1" t="s">
        <v>94</v>
      </c>
      <c r="E768" t="s">
        <v>93</v>
      </c>
      <c r="F768" t="s">
        <v>34</v>
      </c>
      <c r="G768">
        <v>23</v>
      </c>
      <c r="H768">
        <v>3397</v>
      </c>
      <c r="I768" s="5">
        <f>VLOOKUP(TrendSheetStgData[Population]&amp;TrendSheetStgData[Cost Basis]&amp;TrendSheetStgData[Period]&amp;TrendSheetStgData[Trend],TrendSheetPrdData[#All],9,FALSE)</f>
        <v>3397</v>
      </c>
      <c r="J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8" s="5">
        <f>VLOOKUP(TrendSheetStgData[Population]&amp;TrendSheetStgData[Trend],Threshold[#All],4,FALSE)</f>
        <v>10</v>
      </c>
      <c r="L768" s="5">
        <f>VLOOKUP(TrendSheetStgData[Population]&amp;TrendSheetStgData[Trend],Threshold[#All],5,FALSE)</f>
        <v>5</v>
      </c>
      <c r="M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9" spans="1:13" x14ac:dyDescent="0.25">
      <c r="A769" t="s">
        <v>90</v>
      </c>
      <c r="B769" t="s">
        <v>90</v>
      </c>
      <c r="C769" t="s">
        <v>78</v>
      </c>
      <c r="D769" s="1" t="s">
        <v>95</v>
      </c>
      <c r="E769" t="s">
        <v>93</v>
      </c>
      <c r="F769" t="s">
        <v>34</v>
      </c>
      <c r="G769">
        <v>23</v>
      </c>
      <c r="H769">
        <v>3437</v>
      </c>
      <c r="I769" s="5">
        <f>VLOOKUP(TrendSheetStgData[Population]&amp;TrendSheetStgData[Cost Basis]&amp;TrendSheetStgData[Period]&amp;TrendSheetStgData[Trend],TrendSheetPrdData[#All],9,FALSE)</f>
        <v>3437</v>
      </c>
      <c r="J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9" s="5">
        <f>VLOOKUP(TrendSheetStgData[Population]&amp;TrendSheetStgData[Trend],Threshold[#All],4,FALSE)</f>
        <v>10</v>
      </c>
      <c r="L769" s="5">
        <f>VLOOKUP(TrendSheetStgData[Population]&amp;TrendSheetStgData[Trend],Threshold[#All],5,FALSE)</f>
        <v>5</v>
      </c>
      <c r="M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0" spans="1:13" x14ac:dyDescent="0.25">
      <c r="A770" t="s">
        <v>90</v>
      </c>
      <c r="B770" t="s">
        <v>90</v>
      </c>
      <c r="C770" t="s">
        <v>78</v>
      </c>
      <c r="D770" s="1" t="s">
        <v>96</v>
      </c>
      <c r="E770" t="s">
        <v>93</v>
      </c>
      <c r="F770" t="s">
        <v>34</v>
      </c>
      <c r="G770">
        <v>23</v>
      </c>
      <c r="H770">
        <v>3333</v>
      </c>
      <c r="I770" s="5">
        <f>VLOOKUP(TrendSheetStgData[Population]&amp;TrendSheetStgData[Cost Basis]&amp;TrendSheetStgData[Period]&amp;TrendSheetStgData[Trend],TrendSheetPrdData[#All],9,FALSE)</f>
        <v>3333</v>
      </c>
      <c r="J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0" s="5">
        <f>VLOOKUP(TrendSheetStgData[Population]&amp;TrendSheetStgData[Trend],Threshold[#All],4,FALSE)</f>
        <v>10</v>
      </c>
      <c r="L770" s="5">
        <f>VLOOKUP(TrendSheetStgData[Population]&amp;TrendSheetStgData[Trend],Threshold[#All],5,FALSE)</f>
        <v>5</v>
      </c>
      <c r="M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1" spans="1:13" x14ac:dyDescent="0.25">
      <c r="A771" t="s">
        <v>90</v>
      </c>
      <c r="B771" t="s">
        <v>90</v>
      </c>
      <c r="C771" t="s">
        <v>78</v>
      </c>
      <c r="D771" s="1" t="s">
        <v>97</v>
      </c>
      <c r="E771" t="s">
        <v>93</v>
      </c>
      <c r="F771" t="s">
        <v>34</v>
      </c>
      <c r="G771">
        <v>23</v>
      </c>
      <c r="H771">
        <v>3344</v>
      </c>
      <c r="I771" s="5">
        <f>VLOOKUP(TrendSheetStgData[Population]&amp;TrendSheetStgData[Cost Basis]&amp;TrendSheetStgData[Period]&amp;TrendSheetStgData[Trend],TrendSheetPrdData[#All],9,FALSE)</f>
        <v>3344</v>
      </c>
      <c r="J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1" s="5">
        <f>VLOOKUP(TrendSheetStgData[Population]&amp;TrendSheetStgData[Trend],Threshold[#All],4,FALSE)</f>
        <v>10</v>
      </c>
      <c r="L771" s="5">
        <f>VLOOKUP(TrendSheetStgData[Population]&amp;TrendSheetStgData[Trend],Threshold[#All],5,FALSE)</f>
        <v>5</v>
      </c>
      <c r="M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2" spans="1:13" x14ac:dyDescent="0.25">
      <c r="A772" t="s">
        <v>90</v>
      </c>
      <c r="B772" t="s">
        <v>90</v>
      </c>
      <c r="C772" t="s">
        <v>78</v>
      </c>
      <c r="D772" s="1" t="s">
        <v>98</v>
      </c>
      <c r="E772" t="s">
        <v>93</v>
      </c>
      <c r="F772" t="s">
        <v>34</v>
      </c>
      <c r="G772">
        <v>23</v>
      </c>
      <c r="H772">
        <v>3135</v>
      </c>
      <c r="I772" s="5">
        <f>VLOOKUP(TrendSheetStgData[Population]&amp;TrendSheetStgData[Cost Basis]&amp;TrendSheetStgData[Period]&amp;TrendSheetStgData[Trend],TrendSheetPrdData[#All],9,FALSE)</f>
        <v>3135</v>
      </c>
      <c r="J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2" s="5">
        <f>VLOOKUP(TrendSheetStgData[Population]&amp;TrendSheetStgData[Trend],Threshold[#All],4,FALSE)</f>
        <v>10</v>
      </c>
      <c r="L772" s="5">
        <f>VLOOKUP(TrendSheetStgData[Population]&amp;TrendSheetStgData[Trend],Threshold[#All],5,FALSE)</f>
        <v>5</v>
      </c>
      <c r="M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3" spans="1:13" x14ac:dyDescent="0.25">
      <c r="A773" t="s">
        <v>90</v>
      </c>
      <c r="B773" t="s">
        <v>90</v>
      </c>
      <c r="C773" t="s">
        <v>78</v>
      </c>
      <c r="D773" s="1" t="s">
        <v>99</v>
      </c>
      <c r="E773" t="s">
        <v>93</v>
      </c>
      <c r="F773" t="s">
        <v>34</v>
      </c>
      <c r="G773">
        <v>23</v>
      </c>
      <c r="H773">
        <v>3206</v>
      </c>
      <c r="I773" s="5">
        <f>VLOOKUP(TrendSheetStgData[Population]&amp;TrendSheetStgData[Cost Basis]&amp;TrendSheetStgData[Period]&amp;TrendSheetStgData[Trend],TrendSheetPrdData[#All],9,FALSE)</f>
        <v>3206</v>
      </c>
      <c r="J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3" s="5">
        <f>VLOOKUP(TrendSheetStgData[Population]&amp;TrendSheetStgData[Trend],Threshold[#All],4,FALSE)</f>
        <v>10</v>
      </c>
      <c r="L773" s="5">
        <f>VLOOKUP(TrendSheetStgData[Population]&amp;TrendSheetStgData[Trend],Threshold[#All],5,FALSE)</f>
        <v>5</v>
      </c>
      <c r="M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4" spans="1:13" x14ac:dyDescent="0.25">
      <c r="A774" t="s">
        <v>90</v>
      </c>
      <c r="B774" t="s">
        <v>90</v>
      </c>
      <c r="C774" t="s">
        <v>78</v>
      </c>
      <c r="D774" s="1" t="s">
        <v>100</v>
      </c>
      <c r="E774" t="s">
        <v>93</v>
      </c>
      <c r="F774" t="s">
        <v>34</v>
      </c>
      <c r="G774">
        <v>23</v>
      </c>
      <c r="H774">
        <v>3490</v>
      </c>
      <c r="I774" s="5">
        <f>VLOOKUP(TrendSheetStgData[Population]&amp;TrendSheetStgData[Cost Basis]&amp;TrendSheetStgData[Period]&amp;TrendSheetStgData[Trend],TrendSheetPrdData[#All],9,FALSE)</f>
        <v>3490</v>
      </c>
      <c r="J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4" s="5">
        <f>VLOOKUP(TrendSheetStgData[Population]&amp;TrendSheetStgData[Trend],Threshold[#All],4,FALSE)</f>
        <v>10</v>
      </c>
      <c r="L774" s="5">
        <f>VLOOKUP(TrendSheetStgData[Population]&amp;TrendSheetStgData[Trend],Threshold[#All],5,FALSE)</f>
        <v>5</v>
      </c>
      <c r="M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5" spans="1:13" x14ac:dyDescent="0.25">
      <c r="A775" t="s">
        <v>90</v>
      </c>
      <c r="B775" t="s">
        <v>90</v>
      </c>
      <c r="C775" t="s">
        <v>78</v>
      </c>
      <c r="D775" s="1" t="s">
        <v>101</v>
      </c>
      <c r="E775" t="s">
        <v>93</v>
      </c>
      <c r="F775" t="s">
        <v>34</v>
      </c>
      <c r="G775">
        <v>23</v>
      </c>
      <c r="H775">
        <v>3290</v>
      </c>
      <c r="I775" s="5">
        <f>VLOOKUP(TrendSheetStgData[Population]&amp;TrendSheetStgData[Cost Basis]&amp;TrendSheetStgData[Period]&amp;TrendSheetStgData[Trend],TrendSheetPrdData[#All],9,FALSE)</f>
        <v>3290</v>
      </c>
      <c r="J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5" s="5">
        <f>VLOOKUP(TrendSheetStgData[Population]&amp;TrendSheetStgData[Trend],Threshold[#All],4,FALSE)</f>
        <v>10</v>
      </c>
      <c r="L775" s="5">
        <f>VLOOKUP(TrendSheetStgData[Population]&amp;TrendSheetStgData[Trend],Threshold[#All],5,FALSE)</f>
        <v>5</v>
      </c>
      <c r="M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6" spans="1:13" x14ac:dyDescent="0.25">
      <c r="A776" t="s">
        <v>90</v>
      </c>
      <c r="B776" t="s">
        <v>90</v>
      </c>
      <c r="C776" t="s">
        <v>78</v>
      </c>
      <c r="D776" s="1" t="s">
        <v>102</v>
      </c>
      <c r="E776" t="s">
        <v>93</v>
      </c>
      <c r="F776" t="s">
        <v>34</v>
      </c>
      <c r="G776">
        <v>23</v>
      </c>
      <c r="H776">
        <v>3417</v>
      </c>
      <c r="I776" s="5">
        <f>VLOOKUP(TrendSheetStgData[Population]&amp;TrendSheetStgData[Cost Basis]&amp;TrendSheetStgData[Period]&amp;TrendSheetStgData[Trend],TrendSheetPrdData[#All],9,FALSE)</f>
        <v>3417</v>
      </c>
      <c r="J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6" s="5">
        <f>VLOOKUP(TrendSheetStgData[Population]&amp;TrendSheetStgData[Trend],Threshold[#All],4,FALSE)</f>
        <v>10</v>
      </c>
      <c r="L776" s="5">
        <f>VLOOKUP(TrendSheetStgData[Population]&amp;TrendSheetStgData[Trend],Threshold[#All],5,FALSE)</f>
        <v>5</v>
      </c>
      <c r="M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7" spans="1:13" x14ac:dyDescent="0.25">
      <c r="A777" t="s">
        <v>90</v>
      </c>
      <c r="B777" t="s">
        <v>90</v>
      </c>
      <c r="C777" t="s">
        <v>78</v>
      </c>
      <c r="D777" s="1" t="s">
        <v>103</v>
      </c>
      <c r="E777" t="s">
        <v>93</v>
      </c>
      <c r="F777" t="s">
        <v>34</v>
      </c>
      <c r="G777">
        <v>23</v>
      </c>
      <c r="H777">
        <v>3435</v>
      </c>
      <c r="I777" s="5">
        <f>VLOOKUP(TrendSheetStgData[Population]&amp;TrendSheetStgData[Cost Basis]&amp;TrendSheetStgData[Period]&amp;TrendSheetStgData[Trend],TrendSheetPrdData[#All],9,FALSE)</f>
        <v>3435</v>
      </c>
      <c r="J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7" s="5">
        <f>VLOOKUP(TrendSheetStgData[Population]&amp;TrendSheetStgData[Trend],Threshold[#All],4,FALSE)</f>
        <v>10</v>
      </c>
      <c r="L777" s="5">
        <f>VLOOKUP(TrendSheetStgData[Population]&amp;TrendSheetStgData[Trend],Threshold[#All],5,FALSE)</f>
        <v>5</v>
      </c>
      <c r="M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8" spans="1:13" x14ac:dyDescent="0.25">
      <c r="A778" t="s">
        <v>90</v>
      </c>
      <c r="B778" t="s">
        <v>90</v>
      </c>
      <c r="C778" t="s">
        <v>78</v>
      </c>
      <c r="D778" s="1" t="s">
        <v>104</v>
      </c>
      <c r="E778" t="s">
        <v>93</v>
      </c>
      <c r="F778" t="s">
        <v>34</v>
      </c>
      <c r="G778">
        <v>23</v>
      </c>
      <c r="H778">
        <v>3460</v>
      </c>
      <c r="I778" s="5">
        <f>VLOOKUP(TrendSheetStgData[Population]&amp;TrendSheetStgData[Cost Basis]&amp;TrendSheetStgData[Period]&amp;TrendSheetStgData[Trend],TrendSheetPrdData[#All],9,FALSE)</f>
        <v>3460</v>
      </c>
      <c r="J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8" s="5">
        <f>VLOOKUP(TrendSheetStgData[Population]&amp;TrendSheetStgData[Trend],Threshold[#All],4,FALSE)</f>
        <v>10</v>
      </c>
      <c r="L778" s="5">
        <f>VLOOKUP(TrendSheetStgData[Population]&amp;TrendSheetStgData[Trend],Threshold[#All],5,FALSE)</f>
        <v>5</v>
      </c>
      <c r="M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9" spans="1:13" x14ac:dyDescent="0.25">
      <c r="A779" t="s">
        <v>90</v>
      </c>
      <c r="B779" t="s">
        <v>90</v>
      </c>
      <c r="C779" t="s">
        <v>78</v>
      </c>
      <c r="D779" s="1" t="s">
        <v>105</v>
      </c>
      <c r="E779" t="s">
        <v>93</v>
      </c>
      <c r="F779" t="s">
        <v>34</v>
      </c>
      <c r="G779">
        <v>23</v>
      </c>
      <c r="H779">
        <v>3898</v>
      </c>
      <c r="I779" s="5">
        <f>VLOOKUP(TrendSheetStgData[Population]&amp;TrendSheetStgData[Cost Basis]&amp;TrendSheetStgData[Period]&amp;TrendSheetStgData[Trend],TrendSheetPrdData[#All],9,FALSE)</f>
        <v>3898</v>
      </c>
      <c r="J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9" s="5">
        <f>VLOOKUP(TrendSheetStgData[Population]&amp;TrendSheetStgData[Trend],Threshold[#All],4,FALSE)</f>
        <v>10</v>
      </c>
      <c r="L779" s="5">
        <f>VLOOKUP(TrendSheetStgData[Population]&amp;TrendSheetStgData[Trend],Threshold[#All],5,FALSE)</f>
        <v>5</v>
      </c>
      <c r="M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0" spans="1:13" x14ac:dyDescent="0.25">
      <c r="A780" t="s">
        <v>90</v>
      </c>
      <c r="B780" t="s">
        <v>90</v>
      </c>
      <c r="C780" t="s">
        <v>78</v>
      </c>
      <c r="D780" s="1" t="s">
        <v>106</v>
      </c>
      <c r="E780" t="s">
        <v>93</v>
      </c>
      <c r="F780" t="s">
        <v>34</v>
      </c>
      <c r="G780">
        <v>23</v>
      </c>
      <c r="H780">
        <v>3409</v>
      </c>
      <c r="I780" s="5">
        <f>VLOOKUP(TrendSheetStgData[Population]&amp;TrendSheetStgData[Cost Basis]&amp;TrendSheetStgData[Period]&amp;TrendSheetStgData[Trend],TrendSheetPrdData[#All],9,FALSE)</f>
        <v>3409</v>
      </c>
      <c r="J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0" s="5">
        <f>VLOOKUP(TrendSheetStgData[Population]&amp;TrendSheetStgData[Trend],Threshold[#All],4,FALSE)</f>
        <v>10</v>
      </c>
      <c r="L780" s="5">
        <f>VLOOKUP(TrendSheetStgData[Population]&amp;TrendSheetStgData[Trend],Threshold[#All],5,FALSE)</f>
        <v>5</v>
      </c>
      <c r="M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1" spans="1:13" x14ac:dyDescent="0.25">
      <c r="A781" t="s">
        <v>90</v>
      </c>
      <c r="B781" t="s">
        <v>90</v>
      </c>
      <c r="C781" t="s">
        <v>78</v>
      </c>
      <c r="D781" s="1" t="s">
        <v>107</v>
      </c>
      <c r="E781" t="s">
        <v>108</v>
      </c>
      <c r="F781" t="s">
        <v>34</v>
      </c>
      <c r="G781">
        <v>23</v>
      </c>
      <c r="H781">
        <v>3783</v>
      </c>
      <c r="I781" s="5">
        <f>VLOOKUP(TrendSheetStgData[Population]&amp;TrendSheetStgData[Cost Basis]&amp;TrendSheetStgData[Period]&amp;TrendSheetStgData[Trend],TrendSheetPrdData[#All],9,FALSE)</f>
        <v>3783</v>
      </c>
      <c r="J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1" s="5">
        <f>VLOOKUP(TrendSheetStgData[Population]&amp;TrendSheetStgData[Trend],Threshold[#All],4,FALSE)</f>
        <v>10</v>
      </c>
      <c r="L781" s="5">
        <f>VLOOKUP(TrendSheetStgData[Population]&amp;TrendSheetStgData[Trend],Threshold[#All],5,FALSE)</f>
        <v>5</v>
      </c>
      <c r="M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2" spans="1:13" x14ac:dyDescent="0.25">
      <c r="A782" t="s">
        <v>90</v>
      </c>
      <c r="B782" t="s">
        <v>90</v>
      </c>
      <c r="C782" t="s">
        <v>78</v>
      </c>
      <c r="D782" s="1" t="s">
        <v>109</v>
      </c>
      <c r="E782" t="s">
        <v>108</v>
      </c>
      <c r="F782" t="s">
        <v>34</v>
      </c>
      <c r="G782">
        <v>23</v>
      </c>
      <c r="H782">
        <v>3411</v>
      </c>
      <c r="I782" s="5">
        <f>VLOOKUP(TrendSheetStgData[Population]&amp;TrendSheetStgData[Cost Basis]&amp;TrendSheetStgData[Period]&amp;TrendSheetStgData[Trend],TrendSheetPrdData[#All],9,FALSE)</f>
        <v>3411</v>
      </c>
      <c r="J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2" s="5">
        <f>VLOOKUP(TrendSheetStgData[Population]&amp;TrendSheetStgData[Trend],Threshold[#All],4,FALSE)</f>
        <v>10</v>
      </c>
      <c r="L782" s="5">
        <f>VLOOKUP(TrendSheetStgData[Population]&amp;TrendSheetStgData[Trend],Threshold[#All],5,FALSE)</f>
        <v>5</v>
      </c>
      <c r="M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3" spans="1:13" x14ac:dyDescent="0.25">
      <c r="A783" t="s">
        <v>90</v>
      </c>
      <c r="B783" t="s">
        <v>90</v>
      </c>
      <c r="C783" t="s">
        <v>78</v>
      </c>
      <c r="D783" s="1" t="s">
        <v>110</v>
      </c>
      <c r="E783" t="s">
        <v>108</v>
      </c>
      <c r="F783" t="s">
        <v>34</v>
      </c>
      <c r="G783">
        <v>23</v>
      </c>
      <c r="H783">
        <v>3090</v>
      </c>
      <c r="I783" s="5">
        <f>VLOOKUP(TrendSheetStgData[Population]&amp;TrendSheetStgData[Cost Basis]&amp;TrendSheetStgData[Period]&amp;TrendSheetStgData[Trend],TrendSheetPrdData[#All],9,FALSE)</f>
        <v>3090</v>
      </c>
      <c r="J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3" s="5">
        <f>VLOOKUP(TrendSheetStgData[Population]&amp;TrendSheetStgData[Trend],Threshold[#All],4,FALSE)</f>
        <v>10</v>
      </c>
      <c r="L783" s="5">
        <f>VLOOKUP(TrendSheetStgData[Population]&amp;TrendSheetStgData[Trend],Threshold[#All],5,FALSE)</f>
        <v>5</v>
      </c>
      <c r="M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4" spans="1:13" x14ac:dyDescent="0.25">
      <c r="A784" t="s">
        <v>111</v>
      </c>
      <c r="B784" t="s">
        <v>111</v>
      </c>
      <c r="C784" t="s">
        <v>91</v>
      </c>
      <c r="D784" s="1" t="s">
        <v>92</v>
      </c>
      <c r="E784" t="s">
        <v>93</v>
      </c>
      <c r="F784" t="s">
        <v>12</v>
      </c>
      <c r="G784">
        <v>1</v>
      </c>
      <c r="H784">
        <v>338.36</v>
      </c>
      <c r="I784" s="5">
        <f>VLOOKUP(TrendSheetStgData[Population]&amp;TrendSheetStgData[Cost Basis]&amp;TrendSheetStgData[Period]&amp;TrendSheetStgData[Trend],TrendSheetPrdData[#All],9,FALSE)</f>
        <v>338.36</v>
      </c>
      <c r="J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4" s="5">
        <f>VLOOKUP(TrendSheetStgData[Population]&amp;TrendSheetStgData[Trend],Threshold[#All],4,FALSE)</f>
        <v>10</v>
      </c>
      <c r="L784" s="5">
        <f>VLOOKUP(TrendSheetStgData[Population]&amp;TrendSheetStgData[Trend],Threshold[#All],5,FALSE)</f>
        <v>5</v>
      </c>
      <c r="M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5" spans="1:13" x14ac:dyDescent="0.25">
      <c r="A785" t="s">
        <v>111</v>
      </c>
      <c r="B785" t="s">
        <v>111</v>
      </c>
      <c r="C785" t="s">
        <v>91</v>
      </c>
      <c r="D785" s="1" t="s">
        <v>94</v>
      </c>
      <c r="E785" t="s">
        <v>93</v>
      </c>
      <c r="F785" t="s">
        <v>12</v>
      </c>
      <c r="G785">
        <v>1</v>
      </c>
      <c r="H785">
        <v>329</v>
      </c>
      <c r="I785" s="5">
        <f>VLOOKUP(TrendSheetStgData[Population]&amp;TrendSheetStgData[Cost Basis]&amp;TrendSheetStgData[Period]&amp;TrendSheetStgData[Trend],TrendSheetPrdData[#All],9,FALSE)</f>
        <v>329</v>
      </c>
      <c r="J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5" s="5">
        <f>VLOOKUP(TrendSheetStgData[Population]&amp;TrendSheetStgData[Trend],Threshold[#All],4,FALSE)</f>
        <v>10</v>
      </c>
      <c r="L785" s="5">
        <f>VLOOKUP(TrendSheetStgData[Population]&amp;TrendSheetStgData[Trend],Threshold[#All],5,FALSE)</f>
        <v>5</v>
      </c>
      <c r="M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6" spans="1:13" x14ac:dyDescent="0.25">
      <c r="A786" t="s">
        <v>111</v>
      </c>
      <c r="B786" t="s">
        <v>111</v>
      </c>
      <c r="C786" t="s">
        <v>91</v>
      </c>
      <c r="D786" s="1" t="s">
        <v>95</v>
      </c>
      <c r="E786" t="s">
        <v>93</v>
      </c>
      <c r="F786" t="s">
        <v>12</v>
      </c>
      <c r="G786">
        <v>1</v>
      </c>
      <c r="H786">
        <v>303.70999999999998</v>
      </c>
      <c r="I786" s="5">
        <f>VLOOKUP(TrendSheetStgData[Population]&amp;TrendSheetStgData[Cost Basis]&amp;TrendSheetStgData[Period]&amp;TrendSheetStgData[Trend],TrendSheetPrdData[#All],9,FALSE)</f>
        <v>303.70999999999998</v>
      </c>
      <c r="J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6" s="5">
        <f>VLOOKUP(TrendSheetStgData[Population]&amp;TrendSheetStgData[Trend],Threshold[#All],4,FALSE)</f>
        <v>10</v>
      </c>
      <c r="L786" s="5">
        <f>VLOOKUP(TrendSheetStgData[Population]&amp;TrendSheetStgData[Trend],Threshold[#All],5,FALSE)</f>
        <v>5</v>
      </c>
      <c r="M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7" spans="1:13" x14ac:dyDescent="0.25">
      <c r="A787" t="s">
        <v>111</v>
      </c>
      <c r="B787" t="s">
        <v>111</v>
      </c>
      <c r="C787" t="s">
        <v>91</v>
      </c>
      <c r="D787" s="1" t="s">
        <v>96</v>
      </c>
      <c r="E787" t="s">
        <v>93</v>
      </c>
      <c r="F787" t="s">
        <v>12</v>
      </c>
      <c r="G787">
        <v>1</v>
      </c>
      <c r="H787">
        <v>462.02</v>
      </c>
      <c r="I787" s="5">
        <f>VLOOKUP(TrendSheetStgData[Population]&amp;TrendSheetStgData[Cost Basis]&amp;TrendSheetStgData[Period]&amp;TrendSheetStgData[Trend],TrendSheetPrdData[#All],9,FALSE)</f>
        <v>462.02</v>
      </c>
      <c r="J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7" s="5">
        <f>VLOOKUP(TrendSheetStgData[Population]&amp;TrendSheetStgData[Trend],Threshold[#All],4,FALSE)</f>
        <v>10</v>
      </c>
      <c r="L787" s="5">
        <f>VLOOKUP(TrendSheetStgData[Population]&amp;TrendSheetStgData[Trend],Threshold[#All],5,FALSE)</f>
        <v>5</v>
      </c>
      <c r="M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8" spans="1:13" x14ac:dyDescent="0.25">
      <c r="A788" t="s">
        <v>111</v>
      </c>
      <c r="B788" t="s">
        <v>111</v>
      </c>
      <c r="C788" t="s">
        <v>91</v>
      </c>
      <c r="D788" s="1" t="s">
        <v>97</v>
      </c>
      <c r="E788" t="s">
        <v>93</v>
      </c>
      <c r="F788" t="s">
        <v>12</v>
      </c>
      <c r="G788">
        <v>1</v>
      </c>
      <c r="H788">
        <v>271.79000000000002</v>
      </c>
      <c r="I788" s="5">
        <f>VLOOKUP(TrendSheetStgData[Population]&amp;TrendSheetStgData[Cost Basis]&amp;TrendSheetStgData[Period]&amp;TrendSheetStgData[Trend],TrendSheetPrdData[#All],9,FALSE)</f>
        <v>271.79000000000002</v>
      </c>
      <c r="J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8" s="5">
        <f>VLOOKUP(TrendSheetStgData[Population]&amp;TrendSheetStgData[Trend],Threshold[#All],4,FALSE)</f>
        <v>10</v>
      </c>
      <c r="L788" s="5">
        <f>VLOOKUP(TrendSheetStgData[Population]&amp;TrendSheetStgData[Trend],Threshold[#All],5,FALSE)</f>
        <v>5</v>
      </c>
      <c r="M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9" spans="1:13" x14ac:dyDescent="0.25">
      <c r="A789" t="s">
        <v>111</v>
      </c>
      <c r="B789" t="s">
        <v>111</v>
      </c>
      <c r="C789" t="s">
        <v>91</v>
      </c>
      <c r="D789" s="1" t="s">
        <v>98</v>
      </c>
      <c r="E789" t="s">
        <v>93</v>
      </c>
      <c r="F789" t="s">
        <v>12</v>
      </c>
      <c r="G789">
        <v>1</v>
      </c>
      <c r="H789">
        <v>268.02</v>
      </c>
      <c r="I789" s="5">
        <f>VLOOKUP(TrendSheetStgData[Population]&amp;TrendSheetStgData[Cost Basis]&amp;TrendSheetStgData[Period]&amp;TrendSheetStgData[Trend],TrendSheetPrdData[#All],9,FALSE)</f>
        <v>268.02</v>
      </c>
      <c r="J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9" s="5">
        <f>VLOOKUP(TrendSheetStgData[Population]&amp;TrendSheetStgData[Trend],Threshold[#All],4,FALSE)</f>
        <v>10</v>
      </c>
      <c r="L789" s="5">
        <f>VLOOKUP(TrendSheetStgData[Population]&amp;TrendSheetStgData[Trend],Threshold[#All],5,FALSE)</f>
        <v>5</v>
      </c>
      <c r="M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0" spans="1:13" x14ac:dyDescent="0.25">
      <c r="A790" t="s">
        <v>111</v>
      </c>
      <c r="B790" t="s">
        <v>111</v>
      </c>
      <c r="C790" t="s">
        <v>91</v>
      </c>
      <c r="D790" s="1" t="s">
        <v>99</v>
      </c>
      <c r="E790" t="s">
        <v>93</v>
      </c>
      <c r="F790" t="s">
        <v>12</v>
      </c>
      <c r="G790">
        <v>1</v>
      </c>
      <c r="H790">
        <v>300.16000000000003</v>
      </c>
      <c r="I790" s="5">
        <f>VLOOKUP(TrendSheetStgData[Population]&amp;TrendSheetStgData[Cost Basis]&amp;TrendSheetStgData[Period]&amp;TrendSheetStgData[Trend],TrendSheetPrdData[#All],9,FALSE)</f>
        <v>300.16000000000003</v>
      </c>
      <c r="J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0" s="5">
        <f>VLOOKUP(TrendSheetStgData[Population]&amp;TrendSheetStgData[Trend],Threshold[#All],4,FALSE)</f>
        <v>10</v>
      </c>
      <c r="L790" s="5">
        <f>VLOOKUP(TrendSheetStgData[Population]&amp;TrendSheetStgData[Trend],Threshold[#All],5,FALSE)</f>
        <v>5</v>
      </c>
      <c r="M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1" spans="1:13" x14ac:dyDescent="0.25">
      <c r="A791" t="s">
        <v>111</v>
      </c>
      <c r="B791" t="s">
        <v>111</v>
      </c>
      <c r="C791" t="s">
        <v>91</v>
      </c>
      <c r="D791" s="1" t="s">
        <v>100</v>
      </c>
      <c r="E791" t="s">
        <v>93</v>
      </c>
      <c r="F791" t="s">
        <v>12</v>
      </c>
      <c r="G791">
        <v>1</v>
      </c>
      <c r="H791">
        <v>300.48</v>
      </c>
      <c r="I791" s="5">
        <f>VLOOKUP(TrendSheetStgData[Population]&amp;TrendSheetStgData[Cost Basis]&amp;TrendSheetStgData[Period]&amp;TrendSheetStgData[Trend],TrendSheetPrdData[#All],9,FALSE)</f>
        <v>300.48</v>
      </c>
      <c r="J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1" s="5">
        <f>VLOOKUP(TrendSheetStgData[Population]&amp;TrendSheetStgData[Trend],Threshold[#All],4,FALSE)</f>
        <v>10</v>
      </c>
      <c r="L791" s="5">
        <f>VLOOKUP(TrendSheetStgData[Population]&amp;TrendSheetStgData[Trend],Threshold[#All],5,FALSE)</f>
        <v>5</v>
      </c>
      <c r="M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2" spans="1:13" x14ac:dyDescent="0.25">
      <c r="A792" t="s">
        <v>111</v>
      </c>
      <c r="B792" t="s">
        <v>111</v>
      </c>
      <c r="C792" t="s">
        <v>91</v>
      </c>
      <c r="D792" s="1" t="s">
        <v>101</v>
      </c>
      <c r="E792" t="s">
        <v>93</v>
      </c>
      <c r="F792" t="s">
        <v>12</v>
      </c>
      <c r="G792">
        <v>1</v>
      </c>
      <c r="H792">
        <v>284.07</v>
      </c>
      <c r="I792" s="5">
        <f>VLOOKUP(TrendSheetStgData[Population]&amp;TrendSheetStgData[Cost Basis]&amp;TrendSheetStgData[Period]&amp;TrendSheetStgData[Trend],TrendSheetPrdData[#All],9,FALSE)</f>
        <v>284.07</v>
      </c>
      <c r="J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2" s="5">
        <f>VLOOKUP(TrendSheetStgData[Population]&amp;TrendSheetStgData[Trend],Threshold[#All],4,FALSE)</f>
        <v>10</v>
      </c>
      <c r="L792" s="5">
        <f>VLOOKUP(TrendSheetStgData[Population]&amp;TrendSheetStgData[Trend],Threshold[#All],5,FALSE)</f>
        <v>5</v>
      </c>
      <c r="M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3" spans="1:13" x14ac:dyDescent="0.25">
      <c r="A793" t="s">
        <v>111</v>
      </c>
      <c r="B793" t="s">
        <v>111</v>
      </c>
      <c r="C793" t="s">
        <v>91</v>
      </c>
      <c r="D793" s="1" t="s">
        <v>102</v>
      </c>
      <c r="E793" t="s">
        <v>93</v>
      </c>
      <c r="F793" t="s">
        <v>12</v>
      </c>
      <c r="G793">
        <v>1</v>
      </c>
      <c r="H793">
        <v>317.18</v>
      </c>
      <c r="I793" s="5">
        <f>VLOOKUP(TrendSheetStgData[Population]&amp;TrendSheetStgData[Cost Basis]&amp;TrendSheetStgData[Period]&amp;TrendSheetStgData[Trend],TrendSheetPrdData[#All],9,FALSE)</f>
        <v>317.18</v>
      </c>
      <c r="J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3" s="5">
        <f>VLOOKUP(TrendSheetStgData[Population]&amp;TrendSheetStgData[Trend],Threshold[#All],4,FALSE)</f>
        <v>10</v>
      </c>
      <c r="L793" s="5">
        <f>VLOOKUP(TrendSheetStgData[Population]&amp;TrendSheetStgData[Trend],Threshold[#All],5,FALSE)</f>
        <v>5</v>
      </c>
      <c r="M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4" spans="1:13" x14ac:dyDescent="0.25">
      <c r="A794" t="s">
        <v>111</v>
      </c>
      <c r="B794" t="s">
        <v>111</v>
      </c>
      <c r="C794" t="s">
        <v>91</v>
      </c>
      <c r="D794" s="1" t="s">
        <v>103</v>
      </c>
      <c r="E794" t="s">
        <v>93</v>
      </c>
      <c r="F794" t="s">
        <v>12</v>
      </c>
      <c r="G794">
        <v>1</v>
      </c>
      <c r="H794">
        <v>286.60000000000002</v>
      </c>
      <c r="I794" s="5">
        <f>VLOOKUP(TrendSheetStgData[Population]&amp;TrendSheetStgData[Cost Basis]&amp;TrendSheetStgData[Period]&amp;TrendSheetStgData[Trend],TrendSheetPrdData[#All],9,FALSE)</f>
        <v>286.60000000000002</v>
      </c>
      <c r="J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4" s="5">
        <f>VLOOKUP(TrendSheetStgData[Population]&amp;TrendSheetStgData[Trend],Threshold[#All],4,FALSE)</f>
        <v>10</v>
      </c>
      <c r="L794" s="5">
        <f>VLOOKUP(TrendSheetStgData[Population]&amp;TrendSheetStgData[Trend],Threshold[#All],5,FALSE)</f>
        <v>5</v>
      </c>
      <c r="M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5" spans="1:13" x14ac:dyDescent="0.25">
      <c r="A795" t="s">
        <v>111</v>
      </c>
      <c r="B795" t="s">
        <v>111</v>
      </c>
      <c r="C795" t="s">
        <v>91</v>
      </c>
      <c r="D795" s="1" t="s">
        <v>104</v>
      </c>
      <c r="E795" t="s">
        <v>93</v>
      </c>
      <c r="F795" t="s">
        <v>12</v>
      </c>
      <c r="G795">
        <v>1</v>
      </c>
      <c r="H795">
        <v>268.45999999999998</v>
      </c>
      <c r="I795" s="5">
        <f>VLOOKUP(TrendSheetStgData[Population]&amp;TrendSheetStgData[Cost Basis]&amp;TrendSheetStgData[Period]&amp;TrendSheetStgData[Trend],TrendSheetPrdData[#All],9,FALSE)</f>
        <v>268.45999999999998</v>
      </c>
      <c r="J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5" s="5">
        <f>VLOOKUP(TrendSheetStgData[Population]&amp;TrendSheetStgData[Trend],Threshold[#All],4,FALSE)</f>
        <v>10</v>
      </c>
      <c r="L795" s="5">
        <f>VLOOKUP(TrendSheetStgData[Population]&amp;TrendSheetStgData[Trend],Threshold[#All],5,FALSE)</f>
        <v>5</v>
      </c>
      <c r="M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6" spans="1:13" x14ac:dyDescent="0.25">
      <c r="A796" t="s">
        <v>111</v>
      </c>
      <c r="B796" t="s">
        <v>111</v>
      </c>
      <c r="C796" t="s">
        <v>91</v>
      </c>
      <c r="D796" s="1" t="s">
        <v>105</v>
      </c>
      <c r="E796" t="s">
        <v>108</v>
      </c>
      <c r="F796" t="s">
        <v>12</v>
      </c>
      <c r="G796">
        <v>1</v>
      </c>
      <c r="H796">
        <v>276.62</v>
      </c>
      <c r="I796" s="5">
        <f>VLOOKUP(TrendSheetStgData[Population]&amp;TrendSheetStgData[Cost Basis]&amp;TrendSheetStgData[Period]&amp;TrendSheetStgData[Trend],TrendSheetPrdData[#All],9,FALSE)</f>
        <v>276.62</v>
      </c>
      <c r="J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6" s="5">
        <f>VLOOKUP(TrendSheetStgData[Population]&amp;TrendSheetStgData[Trend],Threshold[#All],4,FALSE)</f>
        <v>10</v>
      </c>
      <c r="L796" s="5">
        <f>VLOOKUP(TrendSheetStgData[Population]&amp;TrendSheetStgData[Trend],Threshold[#All],5,FALSE)</f>
        <v>5</v>
      </c>
      <c r="M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7" spans="1:13" x14ac:dyDescent="0.25">
      <c r="A797" t="s">
        <v>111</v>
      </c>
      <c r="B797" t="s">
        <v>111</v>
      </c>
      <c r="C797" t="s">
        <v>91</v>
      </c>
      <c r="D797" s="1" t="s">
        <v>106</v>
      </c>
      <c r="E797" t="s">
        <v>108</v>
      </c>
      <c r="F797" t="s">
        <v>12</v>
      </c>
      <c r="G797">
        <v>1</v>
      </c>
      <c r="H797">
        <v>260.04000000000002</v>
      </c>
      <c r="I797" s="5">
        <f>VLOOKUP(TrendSheetStgData[Population]&amp;TrendSheetStgData[Cost Basis]&amp;TrendSheetStgData[Period]&amp;TrendSheetStgData[Trend],TrendSheetPrdData[#All],9,FALSE)</f>
        <v>260.04000000000002</v>
      </c>
      <c r="J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7" s="5">
        <f>VLOOKUP(TrendSheetStgData[Population]&amp;TrendSheetStgData[Trend],Threshold[#All],4,FALSE)</f>
        <v>10</v>
      </c>
      <c r="L797" s="5">
        <f>VLOOKUP(TrendSheetStgData[Population]&amp;TrendSheetStgData[Trend],Threshold[#All],5,FALSE)</f>
        <v>5</v>
      </c>
      <c r="M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8" spans="1:13" x14ac:dyDescent="0.25">
      <c r="A798" t="s">
        <v>111</v>
      </c>
      <c r="B798" t="s">
        <v>111</v>
      </c>
      <c r="C798" t="s">
        <v>91</v>
      </c>
      <c r="D798" s="1" t="s">
        <v>107</v>
      </c>
      <c r="E798" t="s">
        <v>108</v>
      </c>
      <c r="F798" t="s">
        <v>12</v>
      </c>
      <c r="G798">
        <v>1</v>
      </c>
      <c r="H798">
        <v>241.13</v>
      </c>
      <c r="I798" s="5">
        <f>VLOOKUP(TrendSheetStgData[Population]&amp;TrendSheetStgData[Cost Basis]&amp;TrendSheetStgData[Period]&amp;TrendSheetStgData[Trend],TrendSheetPrdData[#All],9,FALSE)</f>
        <v>241.13</v>
      </c>
      <c r="J7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8" s="5">
        <f>VLOOKUP(TrendSheetStgData[Population]&amp;TrendSheetStgData[Trend],Threshold[#All],4,FALSE)</f>
        <v>10</v>
      </c>
      <c r="L798" s="5">
        <f>VLOOKUP(TrendSheetStgData[Population]&amp;TrendSheetStgData[Trend],Threshold[#All],5,FALSE)</f>
        <v>5</v>
      </c>
      <c r="M7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9" spans="1:13" x14ac:dyDescent="0.25">
      <c r="A799" t="s">
        <v>111</v>
      </c>
      <c r="B799" t="s">
        <v>111</v>
      </c>
      <c r="C799" t="s">
        <v>91</v>
      </c>
      <c r="D799" s="1" t="s">
        <v>109</v>
      </c>
      <c r="E799" t="s">
        <v>108</v>
      </c>
      <c r="F799" t="s">
        <v>12</v>
      </c>
      <c r="G799">
        <v>1</v>
      </c>
      <c r="H799">
        <v>200.81</v>
      </c>
      <c r="I799" s="5">
        <f>VLOOKUP(TrendSheetStgData[Population]&amp;TrendSheetStgData[Cost Basis]&amp;TrendSheetStgData[Period]&amp;TrendSheetStgData[Trend],TrendSheetPrdData[#All],9,FALSE)</f>
        <v>200.81</v>
      </c>
      <c r="J7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9" s="5">
        <f>VLOOKUP(TrendSheetStgData[Population]&amp;TrendSheetStgData[Trend],Threshold[#All],4,FALSE)</f>
        <v>10</v>
      </c>
      <c r="L799" s="5">
        <f>VLOOKUP(TrendSheetStgData[Population]&amp;TrendSheetStgData[Trend],Threshold[#All],5,FALSE)</f>
        <v>5</v>
      </c>
      <c r="M7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0" spans="1:13" x14ac:dyDescent="0.25">
      <c r="A800" t="s">
        <v>111</v>
      </c>
      <c r="B800" t="s">
        <v>111</v>
      </c>
      <c r="C800" t="s">
        <v>91</v>
      </c>
      <c r="D800" s="1" t="s">
        <v>110</v>
      </c>
      <c r="E800" t="s">
        <v>108</v>
      </c>
      <c r="F800" t="s">
        <v>12</v>
      </c>
      <c r="G800">
        <v>1</v>
      </c>
      <c r="H800">
        <v>77.23</v>
      </c>
      <c r="I800" s="5">
        <f>VLOOKUP(TrendSheetStgData[Population]&amp;TrendSheetStgData[Cost Basis]&amp;TrendSheetStgData[Period]&amp;TrendSheetStgData[Trend],TrendSheetPrdData[#All],9,FALSE)</f>
        <v>77.23</v>
      </c>
      <c r="J8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0" s="5">
        <f>VLOOKUP(TrendSheetStgData[Population]&amp;TrendSheetStgData[Trend],Threshold[#All],4,FALSE)</f>
        <v>10</v>
      </c>
      <c r="L800" s="5">
        <f>VLOOKUP(TrendSheetStgData[Population]&amp;TrendSheetStgData[Trend],Threshold[#All],5,FALSE)</f>
        <v>5</v>
      </c>
      <c r="M8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1" spans="1:13" x14ac:dyDescent="0.25">
      <c r="A801" t="s">
        <v>111</v>
      </c>
      <c r="B801" t="s">
        <v>111</v>
      </c>
      <c r="C801" t="s">
        <v>91</v>
      </c>
      <c r="D801" s="1" t="s">
        <v>92</v>
      </c>
      <c r="E801" t="s">
        <v>93</v>
      </c>
      <c r="F801" t="s">
        <v>13</v>
      </c>
      <c r="G801">
        <v>2</v>
      </c>
      <c r="H801">
        <v>59.03</v>
      </c>
      <c r="I801" s="5">
        <f>VLOOKUP(TrendSheetStgData[Population]&amp;TrendSheetStgData[Cost Basis]&amp;TrendSheetStgData[Period]&amp;TrendSheetStgData[Trend],TrendSheetPrdData[#All],9,FALSE)</f>
        <v>59.03</v>
      </c>
      <c r="J8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1" s="5">
        <f>VLOOKUP(TrendSheetStgData[Population]&amp;TrendSheetStgData[Trend],Threshold[#All],4,FALSE)</f>
        <v>10</v>
      </c>
      <c r="L801" s="5">
        <f>VLOOKUP(TrendSheetStgData[Population]&amp;TrendSheetStgData[Trend],Threshold[#All],5,FALSE)</f>
        <v>5</v>
      </c>
      <c r="M8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2" spans="1:13" x14ac:dyDescent="0.25">
      <c r="A802" t="s">
        <v>111</v>
      </c>
      <c r="B802" t="s">
        <v>111</v>
      </c>
      <c r="C802" t="s">
        <v>91</v>
      </c>
      <c r="D802" s="1" t="s">
        <v>94</v>
      </c>
      <c r="E802" t="s">
        <v>93</v>
      </c>
      <c r="F802" t="s">
        <v>13</v>
      </c>
      <c r="G802">
        <v>2</v>
      </c>
      <c r="H802">
        <v>61.35</v>
      </c>
      <c r="I802" s="5">
        <f>VLOOKUP(TrendSheetStgData[Population]&amp;TrendSheetStgData[Cost Basis]&amp;TrendSheetStgData[Period]&amp;TrendSheetStgData[Trend],TrendSheetPrdData[#All],9,FALSE)</f>
        <v>61.35</v>
      </c>
      <c r="J8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2" s="5">
        <f>VLOOKUP(TrendSheetStgData[Population]&amp;TrendSheetStgData[Trend],Threshold[#All],4,FALSE)</f>
        <v>10</v>
      </c>
      <c r="L802" s="5">
        <f>VLOOKUP(TrendSheetStgData[Population]&amp;TrendSheetStgData[Trend],Threshold[#All],5,FALSE)</f>
        <v>5</v>
      </c>
      <c r="M8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3" spans="1:13" x14ac:dyDescent="0.25">
      <c r="A803" t="s">
        <v>111</v>
      </c>
      <c r="B803" t="s">
        <v>111</v>
      </c>
      <c r="C803" t="s">
        <v>91</v>
      </c>
      <c r="D803" s="1" t="s">
        <v>95</v>
      </c>
      <c r="E803" t="s">
        <v>93</v>
      </c>
      <c r="F803" t="s">
        <v>13</v>
      </c>
      <c r="G803">
        <v>2</v>
      </c>
      <c r="H803">
        <v>46.85</v>
      </c>
      <c r="I803" s="5">
        <f>VLOOKUP(TrendSheetStgData[Population]&amp;TrendSheetStgData[Cost Basis]&amp;TrendSheetStgData[Period]&amp;TrendSheetStgData[Trend],TrendSheetPrdData[#All],9,FALSE)</f>
        <v>46.85</v>
      </c>
      <c r="J8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3" s="5">
        <f>VLOOKUP(TrendSheetStgData[Population]&amp;TrendSheetStgData[Trend],Threshold[#All],4,FALSE)</f>
        <v>10</v>
      </c>
      <c r="L803" s="5">
        <f>VLOOKUP(TrendSheetStgData[Population]&amp;TrendSheetStgData[Trend],Threshold[#All],5,FALSE)</f>
        <v>5</v>
      </c>
      <c r="M8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4" spans="1:13" x14ac:dyDescent="0.25">
      <c r="A804" t="s">
        <v>111</v>
      </c>
      <c r="B804" t="s">
        <v>111</v>
      </c>
      <c r="C804" t="s">
        <v>91</v>
      </c>
      <c r="D804" s="1" t="s">
        <v>96</v>
      </c>
      <c r="E804" t="s">
        <v>93</v>
      </c>
      <c r="F804" t="s">
        <v>13</v>
      </c>
      <c r="G804">
        <v>2</v>
      </c>
      <c r="H804">
        <v>59.44</v>
      </c>
      <c r="I804" s="5">
        <f>VLOOKUP(TrendSheetStgData[Population]&amp;TrendSheetStgData[Cost Basis]&amp;TrendSheetStgData[Period]&amp;TrendSheetStgData[Trend],TrendSheetPrdData[#All],9,FALSE)</f>
        <v>59.44</v>
      </c>
      <c r="J8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4" s="5">
        <f>VLOOKUP(TrendSheetStgData[Population]&amp;TrendSheetStgData[Trend],Threshold[#All],4,FALSE)</f>
        <v>10</v>
      </c>
      <c r="L804" s="5">
        <f>VLOOKUP(TrendSheetStgData[Population]&amp;TrendSheetStgData[Trend],Threshold[#All],5,FALSE)</f>
        <v>5</v>
      </c>
      <c r="M8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5" spans="1:13" x14ac:dyDescent="0.25">
      <c r="A805" t="s">
        <v>111</v>
      </c>
      <c r="B805" t="s">
        <v>111</v>
      </c>
      <c r="C805" t="s">
        <v>91</v>
      </c>
      <c r="D805" s="1" t="s">
        <v>97</v>
      </c>
      <c r="E805" t="s">
        <v>93</v>
      </c>
      <c r="F805" t="s">
        <v>13</v>
      </c>
      <c r="G805">
        <v>2</v>
      </c>
      <c r="H805">
        <v>54.89</v>
      </c>
      <c r="I805" s="5">
        <f>VLOOKUP(TrendSheetStgData[Population]&amp;TrendSheetStgData[Cost Basis]&amp;TrendSheetStgData[Period]&amp;TrendSheetStgData[Trend],TrendSheetPrdData[#All],9,FALSE)</f>
        <v>54.89</v>
      </c>
      <c r="J8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5" s="5">
        <f>VLOOKUP(TrendSheetStgData[Population]&amp;TrendSheetStgData[Trend],Threshold[#All],4,FALSE)</f>
        <v>10</v>
      </c>
      <c r="L805" s="5">
        <f>VLOOKUP(TrendSheetStgData[Population]&amp;TrendSheetStgData[Trend],Threshold[#All],5,FALSE)</f>
        <v>5</v>
      </c>
      <c r="M8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6" spans="1:13" x14ac:dyDescent="0.25">
      <c r="A806" t="s">
        <v>111</v>
      </c>
      <c r="B806" t="s">
        <v>111</v>
      </c>
      <c r="C806" t="s">
        <v>91</v>
      </c>
      <c r="D806" s="1" t="s">
        <v>98</v>
      </c>
      <c r="E806" t="s">
        <v>93</v>
      </c>
      <c r="F806" t="s">
        <v>13</v>
      </c>
      <c r="G806">
        <v>2</v>
      </c>
      <c r="H806">
        <v>39.119999999999997</v>
      </c>
      <c r="I806" s="5">
        <f>VLOOKUP(TrendSheetStgData[Population]&amp;TrendSheetStgData[Cost Basis]&amp;TrendSheetStgData[Period]&amp;TrendSheetStgData[Trend],TrendSheetPrdData[#All],9,FALSE)</f>
        <v>39.119999999999997</v>
      </c>
      <c r="J8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6" s="5">
        <f>VLOOKUP(TrendSheetStgData[Population]&amp;TrendSheetStgData[Trend],Threshold[#All],4,FALSE)</f>
        <v>10</v>
      </c>
      <c r="L806" s="5">
        <f>VLOOKUP(TrendSheetStgData[Population]&amp;TrendSheetStgData[Trend],Threshold[#All],5,FALSE)</f>
        <v>5</v>
      </c>
      <c r="M8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7" spans="1:13" x14ac:dyDescent="0.25">
      <c r="A807" t="s">
        <v>111</v>
      </c>
      <c r="B807" t="s">
        <v>111</v>
      </c>
      <c r="C807" t="s">
        <v>91</v>
      </c>
      <c r="D807" s="1" t="s">
        <v>99</v>
      </c>
      <c r="E807" t="s">
        <v>93</v>
      </c>
      <c r="F807" t="s">
        <v>13</v>
      </c>
      <c r="G807">
        <v>2</v>
      </c>
      <c r="H807">
        <v>43.98</v>
      </c>
      <c r="I807" s="5">
        <f>VLOOKUP(TrendSheetStgData[Population]&amp;TrendSheetStgData[Cost Basis]&amp;TrendSheetStgData[Period]&amp;TrendSheetStgData[Trend],TrendSheetPrdData[#All],9,FALSE)</f>
        <v>43.98</v>
      </c>
      <c r="J8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7" s="5">
        <f>VLOOKUP(TrendSheetStgData[Population]&amp;TrendSheetStgData[Trend],Threshold[#All],4,FALSE)</f>
        <v>10</v>
      </c>
      <c r="L807" s="5">
        <f>VLOOKUP(TrendSheetStgData[Population]&amp;TrendSheetStgData[Trend],Threshold[#All],5,FALSE)</f>
        <v>5</v>
      </c>
      <c r="M8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8" spans="1:13" x14ac:dyDescent="0.25">
      <c r="A808" t="s">
        <v>111</v>
      </c>
      <c r="B808" t="s">
        <v>111</v>
      </c>
      <c r="C808" t="s">
        <v>91</v>
      </c>
      <c r="D808" s="1" t="s">
        <v>100</v>
      </c>
      <c r="E808" t="s">
        <v>93</v>
      </c>
      <c r="F808" t="s">
        <v>13</v>
      </c>
      <c r="G808">
        <v>2</v>
      </c>
      <c r="H808">
        <v>53.31</v>
      </c>
      <c r="I808" s="5">
        <f>VLOOKUP(TrendSheetStgData[Population]&amp;TrendSheetStgData[Cost Basis]&amp;TrendSheetStgData[Period]&amp;TrendSheetStgData[Trend],TrendSheetPrdData[#All],9,FALSE)</f>
        <v>53.31</v>
      </c>
      <c r="J8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8" s="5">
        <f>VLOOKUP(TrendSheetStgData[Population]&amp;TrendSheetStgData[Trend],Threshold[#All],4,FALSE)</f>
        <v>10</v>
      </c>
      <c r="L808" s="5">
        <f>VLOOKUP(TrendSheetStgData[Population]&amp;TrendSheetStgData[Trend],Threshold[#All],5,FALSE)</f>
        <v>5</v>
      </c>
      <c r="M8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9" spans="1:13" x14ac:dyDescent="0.25">
      <c r="A809" t="s">
        <v>111</v>
      </c>
      <c r="B809" t="s">
        <v>111</v>
      </c>
      <c r="C809" t="s">
        <v>91</v>
      </c>
      <c r="D809" s="1" t="s">
        <v>101</v>
      </c>
      <c r="E809" t="s">
        <v>93</v>
      </c>
      <c r="F809" t="s">
        <v>13</v>
      </c>
      <c r="G809">
        <v>2</v>
      </c>
      <c r="H809">
        <v>44.01</v>
      </c>
      <c r="I809" s="5">
        <f>VLOOKUP(TrendSheetStgData[Population]&amp;TrendSheetStgData[Cost Basis]&amp;TrendSheetStgData[Period]&amp;TrendSheetStgData[Trend],TrendSheetPrdData[#All],9,FALSE)</f>
        <v>44.01</v>
      </c>
      <c r="J8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9" s="5">
        <f>VLOOKUP(TrendSheetStgData[Population]&amp;TrendSheetStgData[Trend],Threshold[#All],4,FALSE)</f>
        <v>10</v>
      </c>
      <c r="L809" s="5">
        <f>VLOOKUP(TrendSheetStgData[Population]&amp;TrendSheetStgData[Trend],Threshold[#All],5,FALSE)</f>
        <v>5</v>
      </c>
      <c r="M8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0" spans="1:13" x14ac:dyDescent="0.25">
      <c r="A810" t="s">
        <v>111</v>
      </c>
      <c r="B810" t="s">
        <v>111</v>
      </c>
      <c r="C810" t="s">
        <v>91</v>
      </c>
      <c r="D810" s="1" t="s">
        <v>102</v>
      </c>
      <c r="E810" t="s">
        <v>93</v>
      </c>
      <c r="F810" t="s">
        <v>13</v>
      </c>
      <c r="G810">
        <v>2</v>
      </c>
      <c r="H810">
        <v>46.86</v>
      </c>
      <c r="I810" s="5">
        <f>VLOOKUP(TrendSheetStgData[Population]&amp;TrendSheetStgData[Cost Basis]&amp;TrendSheetStgData[Period]&amp;TrendSheetStgData[Trend],TrendSheetPrdData[#All],9,FALSE)</f>
        <v>46.86</v>
      </c>
      <c r="J8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0" s="5">
        <f>VLOOKUP(TrendSheetStgData[Population]&amp;TrendSheetStgData[Trend],Threshold[#All],4,FALSE)</f>
        <v>10</v>
      </c>
      <c r="L810" s="5">
        <f>VLOOKUP(TrendSheetStgData[Population]&amp;TrendSheetStgData[Trend],Threshold[#All],5,FALSE)</f>
        <v>5</v>
      </c>
      <c r="M8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1" spans="1:13" x14ac:dyDescent="0.25">
      <c r="A811" t="s">
        <v>111</v>
      </c>
      <c r="B811" t="s">
        <v>111</v>
      </c>
      <c r="C811" t="s">
        <v>91</v>
      </c>
      <c r="D811" s="1" t="s">
        <v>103</v>
      </c>
      <c r="E811" t="s">
        <v>93</v>
      </c>
      <c r="F811" t="s">
        <v>13</v>
      </c>
      <c r="G811">
        <v>2</v>
      </c>
      <c r="H811">
        <v>55.82</v>
      </c>
      <c r="I811" s="5">
        <f>VLOOKUP(TrendSheetStgData[Population]&amp;TrendSheetStgData[Cost Basis]&amp;TrendSheetStgData[Period]&amp;TrendSheetStgData[Trend],TrendSheetPrdData[#All],9,FALSE)</f>
        <v>55.82</v>
      </c>
      <c r="J8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1" s="5">
        <f>VLOOKUP(TrendSheetStgData[Population]&amp;TrendSheetStgData[Trend],Threshold[#All],4,FALSE)</f>
        <v>10</v>
      </c>
      <c r="L811" s="5">
        <f>VLOOKUP(TrendSheetStgData[Population]&amp;TrendSheetStgData[Trend],Threshold[#All],5,FALSE)</f>
        <v>5</v>
      </c>
      <c r="M8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2" spans="1:13" x14ac:dyDescent="0.25">
      <c r="A812" t="s">
        <v>111</v>
      </c>
      <c r="B812" t="s">
        <v>111</v>
      </c>
      <c r="C812" t="s">
        <v>91</v>
      </c>
      <c r="D812" s="1" t="s">
        <v>104</v>
      </c>
      <c r="E812" t="s">
        <v>93</v>
      </c>
      <c r="F812" t="s">
        <v>13</v>
      </c>
      <c r="G812">
        <v>2</v>
      </c>
      <c r="H812">
        <v>44.4</v>
      </c>
      <c r="I812" s="5">
        <f>VLOOKUP(TrendSheetStgData[Population]&amp;TrendSheetStgData[Cost Basis]&amp;TrendSheetStgData[Period]&amp;TrendSheetStgData[Trend],TrendSheetPrdData[#All],9,FALSE)</f>
        <v>44.4</v>
      </c>
      <c r="J8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2" s="5">
        <f>VLOOKUP(TrendSheetStgData[Population]&amp;TrendSheetStgData[Trend],Threshold[#All],4,FALSE)</f>
        <v>10</v>
      </c>
      <c r="L812" s="5">
        <f>VLOOKUP(TrendSheetStgData[Population]&amp;TrendSheetStgData[Trend],Threshold[#All],5,FALSE)</f>
        <v>5</v>
      </c>
      <c r="M8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3" spans="1:13" x14ac:dyDescent="0.25">
      <c r="A813" t="s">
        <v>111</v>
      </c>
      <c r="B813" t="s">
        <v>111</v>
      </c>
      <c r="C813" t="s">
        <v>91</v>
      </c>
      <c r="D813" s="1" t="s">
        <v>105</v>
      </c>
      <c r="E813" t="s">
        <v>108</v>
      </c>
      <c r="F813" t="s">
        <v>13</v>
      </c>
      <c r="G813">
        <v>2</v>
      </c>
      <c r="H813">
        <v>53.74</v>
      </c>
      <c r="I813" s="5">
        <f>VLOOKUP(TrendSheetStgData[Population]&amp;TrendSheetStgData[Cost Basis]&amp;TrendSheetStgData[Period]&amp;TrendSheetStgData[Trend],TrendSheetPrdData[#All],9,FALSE)</f>
        <v>53.74</v>
      </c>
      <c r="J8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3" s="5">
        <f>VLOOKUP(TrendSheetStgData[Population]&amp;TrendSheetStgData[Trend],Threshold[#All],4,FALSE)</f>
        <v>10</v>
      </c>
      <c r="L813" s="5">
        <f>VLOOKUP(TrendSheetStgData[Population]&amp;TrendSheetStgData[Trend],Threshold[#All],5,FALSE)</f>
        <v>5</v>
      </c>
      <c r="M8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4" spans="1:13" x14ac:dyDescent="0.25">
      <c r="A814" t="s">
        <v>111</v>
      </c>
      <c r="B814" t="s">
        <v>111</v>
      </c>
      <c r="C814" t="s">
        <v>91</v>
      </c>
      <c r="D814" s="1" t="s">
        <v>106</v>
      </c>
      <c r="E814" t="s">
        <v>108</v>
      </c>
      <c r="F814" t="s">
        <v>13</v>
      </c>
      <c r="G814">
        <v>2</v>
      </c>
      <c r="H814">
        <v>44.64</v>
      </c>
      <c r="I814" s="5">
        <f>VLOOKUP(TrendSheetStgData[Population]&amp;TrendSheetStgData[Cost Basis]&amp;TrendSheetStgData[Period]&amp;TrendSheetStgData[Trend],TrendSheetPrdData[#All],9,FALSE)</f>
        <v>44.64</v>
      </c>
      <c r="J8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4" s="5">
        <f>VLOOKUP(TrendSheetStgData[Population]&amp;TrendSheetStgData[Trend],Threshold[#All],4,FALSE)</f>
        <v>10</v>
      </c>
      <c r="L814" s="5">
        <f>VLOOKUP(TrendSheetStgData[Population]&amp;TrendSheetStgData[Trend],Threshold[#All],5,FALSE)</f>
        <v>5</v>
      </c>
      <c r="M8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5" spans="1:13" x14ac:dyDescent="0.25">
      <c r="A815" t="s">
        <v>111</v>
      </c>
      <c r="B815" t="s">
        <v>111</v>
      </c>
      <c r="C815" t="s">
        <v>91</v>
      </c>
      <c r="D815" s="1" t="s">
        <v>107</v>
      </c>
      <c r="E815" t="s">
        <v>108</v>
      </c>
      <c r="F815" t="s">
        <v>13</v>
      </c>
      <c r="G815">
        <v>2</v>
      </c>
      <c r="H815">
        <v>48.44</v>
      </c>
      <c r="I815" s="5">
        <f>VLOOKUP(TrendSheetStgData[Population]&amp;TrendSheetStgData[Cost Basis]&amp;TrendSheetStgData[Period]&amp;TrendSheetStgData[Trend],TrendSheetPrdData[#All],9,FALSE)</f>
        <v>48.44</v>
      </c>
      <c r="J8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5" s="5">
        <f>VLOOKUP(TrendSheetStgData[Population]&amp;TrendSheetStgData[Trend],Threshold[#All],4,FALSE)</f>
        <v>10</v>
      </c>
      <c r="L815" s="5">
        <f>VLOOKUP(TrendSheetStgData[Population]&amp;TrendSheetStgData[Trend],Threshold[#All],5,FALSE)</f>
        <v>5</v>
      </c>
      <c r="M8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6" spans="1:13" x14ac:dyDescent="0.25">
      <c r="A816" t="s">
        <v>111</v>
      </c>
      <c r="B816" t="s">
        <v>111</v>
      </c>
      <c r="C816" t="s">
        <v>91</v>
      </c>
      <c r="D816" s="1" t="s">
        <v>109</v>
      </c>
      <c r="E816" t="s">
        <v>108</v>
      </c>
      <c r="F816" t="s">
        <v>13</v>
      </c>
      <c r="G816">
        <v>2</v>
      </c>
      <c r="H816">
        <v>40.909999999999997</v>
      </c>
      <c r="I816" s="5">
        <f>VLOOKUP(TrendSheetStgData[Population]&amp;TrendSheetStgData[Cost Basis]&amp;TrendSheetStgData[Period]&amp;TrendSheetStgData[Trend],TrendSheetPrdData[#All],9,FALSE)</f>
        <v>40.909999999999997</v>
      </c>
      <c r="J8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6" s="5">
        <f>VLOOKUP(TrendSheetStgData[Population]&amp;TrendSheetStgData[Trend],Threshold[#All],4,FALSE)</f>
        <v>10</v>
      </c>
      <c r="L816" s="5">
        <f>VLOOKUP(TrendSheetStgData[Population]&amp;TrendSheetStgData[Trend],Threshold[#All],5,FALSE)</f>
        <v>5</v>
      </c>
      <c r="M8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7" spans="1:13" x14ac:dyDescent="0.25">
      <c r="A817" t="s">
        <v>111</v>
      </c>
      <c r="B817" t="s">
        <v>111</v>
      </c>
      <c r="C817" t="s">
        <v>91</v>
      </c>
      <c r="D817" s="1" t="s">
        <v>110</v>
      </c>
      <c r="E817" t="s">
        <v>108</v>
      </c>
      <c r="F817" t="s">
        <v>13</v>
      </c>
      <c r="G817">
        <v>2</v>
      </c>
      <c r="H817">
        <v>52.38</v>
      </c>
      <c r="I817" s="5">
        <f>VLOOKUP(TrendSheetStgData[Population]&amp;TrendSheetStgData[Cost Basis]&amp;TrendSheetStgData[Period]&amp;TrendSheetStgData[Trend],TrendSheetPrdData[#All],9,FALSE)</f>
        <v>52.38</v>
      </c>
      <c r="J8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7" s="5">
        <f>VLOOKUP(TrendSheetStgData[Population]&amp;TrendSheetStgData[Trend],Threshold[#All],4,FALSE)</f>
        <v>10</v>
      </c>
      <c r="L817" s="5">
        <f>VLOOKUP(TrendSheetStgData[Population]&amp;TrendSheetStgData[Trend],Threshold[#All],5,FALSE)</f>
        <v>5</v>
      </c>
      <c r="M8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8" spans="1:13" x14ac:dyDescent="0.25">
      <c r="A818" t="s">
        <v>111</v>
      </c>
      <c r="B818" t="s">
        <v>111</v>
      </c>
      <c r="C818" t="s">
        <v>91</v>
      </c>
      <c r="D818" s="1" t="s">
        <v>92</v>
      </c>
      <c r="E818" t="s">
        <v>93</v>
      </c>
      <c r="F818" t="s">
        <v>14</v>
      </c>
      <c r="G818">
        <v>3</v>
      </c>
      <c r="H818">
        <v>397.39</v>
      </c>
      <c r="I818" s="5">
        <f>VLOOKUP(TrendSheetStgData[Population]&amp;TrendSheetStgData[Cost Basis]&amp;TrendSheetStgData[Period]&amp;TrendSheetStgData[Trend],TrendSheetPrdData[#All],9,FALSE)</f>
        <v>397.39</v>
      </c>
      <c r="J8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8" s="5">
        <f>VLOOKUP(TrendSheetStgData[Population]&amp;TrendSheetStgData[Trend],Threshold[#All],4,FALSE)</f>
        <v>10</v>
      </c>
      <c r="L818" s="5">
        <f>VLOOKUP(TrendSheetStgData[Population]&amp;TrendSheetStgData[Trend],Threshold[#All],5,FALSE)</f>
        <v>5</v>
      </c>
      <c r="M8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9" spans="1:13" x14ac:dyDescent="0.25">
      <c r="A819" t="s">
        <v>111</v>
      </c>
      <c r="B819" t="s">
        <v>111</v>
      </c>
      <c r="C819" t="s">
        <v>91</v>
      </c>
      <c r="D819" s="1" t="s">
        <v>94</v>
      </c>
      <c r="E819" t="s">
        <v>93</v>
      </c>
      <c r="F819" t="s">
        <v>14</v>
      </c>
      <c r="G819">
        <v>3</v>
      </c>
      <c r="H819">
        <v>390.35</v>
      </c>
      <c r="I819" s="5">
        <f>VLOOKUP(TrendSheetStgData[Population]&amp;TrendSheetStgData[Cost Basis]&amp;TrendSheetStgData[Period]&amp;TrendSheetStgData[Trend],TrendSheetPrdData[#All],9,FALSE)</f>
        <v>390.35</v>
      </c>
      <c r="J8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9" s="5">
        <f>VLOOKUP(TrendSheetStgData[Population]&amp;TrendSheetStgData[Trend],Threshold[#All],4,FALSE)</f>
        <v>10</v>
      </c>
      <c r="L819" s="5">
        <f>VLOOKUP(TrendSheetStgData[Population]&amp;TrendSheetStgData[Trend],Threshold[#All],5,FALSE)</f>
        <v>5</v>
      </c>
      <c r="M8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0" spans="1:13" x14ac:dyDescent="0.25">
      <c r="A820" t="s">
        <v>111</v>
      </c>
      <c r="B820" t="s">
        <v>111</v>
      </c>
      <c r="C820" t="s">
        <v>91</v>
      </c>
      <c r="D820" s="1" t="s">
        <v>95</v>
      </c>
      <c r="E820" t="s">
        <v>93</v>
      </c>
      <c r="F820" t="s">
        <v>14</v>
      </c>
      <c r="G820">
        <v>3</v>
      </c>
      <c r="H820">
        <v>350.56</v>
      </c>
      <c r="I820" s="5">
        <f>VLOOKUP(TrendSheetStgData[Population]&amp;TrendSheetStgData[Cost Basis]&amp;TrendSheetStgData[Period]&amp;TrendSheetStgData[Trend],TrendSheetPrdData[#All],9,FALSE)</f>
        <v>350.56</v>
      </c>
      <c r="J8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0" s="5">
        <f>VLOOKUP(TrendSheetStgData[Population]&amp;TrendSheetStgData[Trend],Threshold[#All],4,FALSE)</f>
        <v>10</v>
      </c>
      <c r="L820" s="5">
        <f>VLOOKUP(TrendSheetStgData[Population]&amp;TrendSheetStgData[Trend],Threshold[#All],5,FALSE)</f>
        <v>5</v>
      </c>
      <c r="M8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1" spans="1:13" x14ac:dyDescent="0.25">
      <c r="A821" t="s">
        <v>111</v>
      </c>
      <c r="B821" t="s">
        <v>111</v>
      </c>
      <c r="C821" t="s">
        <v>91</v>
      </c>
      <c r="D821" s="1" t="s">
        <v>96</v>
      </c>
      <c r="E821" t="s">
        <v>93</v>
      </c>
      <c r="F821" t="s">
        <v>14</v>
      </c>
      <c r="G821">
        <v>3</v>
      </c>
      <c r="H821">
        <v>521.46</v>
      </c>
      <c r="I821" s="5">
        <f>VLOOKUP(TrendSheetStgData[Population]&amp;TrendSheetStgData[Cost Basis]&amp;TrendSheetStgData[Period]&amp;TrendSheetStgData[Trend],TrendSheetPrdData[#All],9,FALSE)</f>
        <v>521.46</v>
      </c>
      <c r="J8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1" s="5">
        <f>VLOOKUP(TrendSheetStgData[Population]&amp;TrendSheetStgData[Trend],Threshold[#All],4,FALSE)</f>
        <v>10</v>
      </c>
      <c r="L821" s="5">
        <f>VLOOKUP(TrendSheetStgData[Population]&amp;TrendSheetStgData[Trend],Threshold[#All],5,FALSE)</f>
        <v>5</v>
      </c>
      <c r="M8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2" spans="1:13" x14ac:dyDescent="0.25">
      <c r="A822" t="s">
        <v>111</v>
      </c>
      <c r="B822" t="s">
        <v>111</v>
      </c>
      <c r="C822" t="s">
        <v>91</v>
      </c>
      <c r="D822" s="1" t="s">
        <v>97</v>
      </c>
      <c r="E822" t="s">
        <v>93</v>
      </c>
      <c r="F822" t="s">
        <v>14</v>
      </c>
      <c r="G822">
        <v>3</v>
      </c>
      <c r="H822">
        <v>326.68</v>
      </c>
      <c r="I822" s="5">
        <f>VLOOKUP(TrendSheetStgData[Population]&amp;TrendSheetStgData[Cost Basis]&amp;TrendSheetStgData[Period]&amp;TrendSheetStgData[Trend],TrendSheetPrdData[#All],9,FALSE)</f>
        <v>326.68</v>
      </c>
      <c r="J8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2" s="5">
        <f>VLOOKUP(TrendSheetStgData[Population]&amp;TrendSheetStgData[Trend],Threshold[#All],4,FALSE)</f>
        <v>10</v>
      </c>
      <c r="L822" s="5">
        <f>VLOOKUP(TrendSheetStgData[Population]&amp;TrendSheetStgData[Trend],Threshold[#All],5,FALSE)</f>
        <v>5</v>
      </c>
      <c r="M8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3" spans="1:13" x14ac:dyDescent="0.25">
      <c r="A823" t="s">
        <v>111</v>
      </c>
      <c r="B823" t="s">
        <v>111</v>
      </c>
      <c r="C823" t="s">
        <v>91</v>
      </c>
      <c r="D823" s="1" t="s">
        <v>98</v>
      </c>
      <c r="E823" t="s">
        <v>93</v>
      </c>
      <c r="F823" t="s">
        <v>14</v>
      </c>
      <c r="G823">
        <v>3</v>
      </c>
      <c r="H823">
        <v>307.14</v>
      </c>
      <c r="I823" s="5">
        <f>VLOOKUP(TrendSheetStgData[Population]&amp;TrendSheetStgData[Cost Basis]&amp;TrendSheetStgData[Period]&amp;TrendSheetStgData[Trend],TrendSheetPrdData[#All],9,FALSE)</f>
        <v>307.14</v>
      </c>
      <c r="J8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3" s="5">
        <f>VLOOKUP(TrendSheetStgData[Population]&amp;TrendSheetStgData[Trend],Threshold[#All],4,FALSE)</f>
        <v>10</v>
      </c>
      <c r="L823" s="5">
        <f>VLOOKUP(TrendSheetStgData[Population]&amp;TrendSheetStgData[Trend],Threshold[#All],5,FALSE)</f>
        <v>5</v>
      </c>
      <c r="M8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4" spans="1:13" x14ac:dyDescent="0.25">
      <c r="A824" t="s">
        <v>111</v>
      </c>
      <c r="B824" t="s">
        <v>111</v>
      </c>
      <c r="C824" t="s">
        <v>91</v>
      </c>
      <c r="D824" s="1" t="s">
        <v>99</v>
      </c>
      <c r="E824" t="s">
        <v>93</v>
      </c>
      <c r="F824" t="s">
        <v>14</v>
      </c>
      <c r="G824">
        <v>3</v>
      </c>
      <c r="H824">
        <v>344.14</v>
      </c>
      <c r="I824" s="5">
        <f>VLOOKUP(TrendSheetStgData[Population]&amp;TrendSheetStgData[Cost Basis]&amp;TrendSheetStgData[Period]&amp;TrendSheetStgData[Trend],TrendSheetPrdData[#All],9,FALSE)</f>
        <v>344.14</v>
      </c>
      <c r="J8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4" s="5">
        <f>VLOOKUP(TrendSheetStgData[Population]&amp;TrendSheetStgData[Trend],Threshold[#All],4,FALSE)</f>
        <v>10</v>
      </c>
      <c r="L824" s="5">
        <f>VLOOKUP(TrendSheetStgData[Population]&amp;TrendSheetStgData[Trend],Threshold[#All],5,FALSE)</f>
        <v>5</v>
      </c>
      <c r="M8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5" spans="1:13" x14ac:dyDescent="0.25">
      <c r="A825" t="s">
        <v>111</v>
      </c>
      <c r="B825" t="s">
        <v>111</v>
      </c>
      <c r="C825" t="s">
        <v>91</v>
      </c>
      <c r="D825" s="1" t="s">
        <v>100</v>
      </c>
      <c r="E825" t="s">
        <v>93</v>
      </c>
      <c r="F825" t="s">
        <v>14</v>
      </c>
      <c r="G825">
        <v>3</v>
      </c>
      <c r="H825">
        <v>353.79</v>
      </c>
      <c r="I825" s="5">
        <f>VLOOKUP(TrendSheetStgData[Population]&amp;TrendSheetStgData[Cost Basis]&amp;TrendSheetStgData[Period]&amp;TrendSheetStgData[Trend],TrendSheetPrdData[#All],9,FALSE)</f>
        <v>353.79</v>
      </c>
      <c r="J8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5" s="5">
        <f>VLOOKUP(TrendSheetStgData[Population]&amp;TrendSheetStgData[Trend],Threshold[#All],4,FALSE)</f>
        <v>10</v>
      </c>
      <c r="L825" s="5">
        <f>VLOOKUP(TrendSheetStgData[Population]&amp;TrendSheetStgData[Trend],Threshold[#All],5,FALSE)</f>
        <v>5</v>
      </c>
      <c r="M8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6" spans="1:13" x14ac:dyDescent="0.25">
      <c r="A826" t="s">
        <v>111</v>
      </c>
      <c r="B826" t="s">
        <v>111</v>
      </c>
      <c r="C826" t="s">
        <v>91</v>
      </c>
      <c r="D826" s="1" t="s">
        <v>101</v>
      </c>
      <c r="E826" t="s">
        <v>93</v>
      </c>
      <c r="F826" t="s">
        <v>14</v>
      </c>
      <c r="G826">
        <v>3</v>
      </c>
      <c r="H826">
        <v>328.08</v>
      </c>
      <c r="I826" s="5">
        <f>VLOOKUP(TrendSheetStgData[Population]&amp;TrendSheetStgData[Cost Basis]&amp;TrendSheetStgData[Period]&amp;TrendSheetStgData[Trend],TrendSheetPrdData[#All],9,FALSE)</f>
        <v>328.08</v>
      </c>
      <c r="J8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6" s="5">
        <f>VLOOKUP(TrendSheetStgData[Population]&amp;TrendSheetStgData[Trend],Threshold[#All],4,FALSE)</f>
        <v>10</v>
      </c>
      <c r="L826" s="5">
        <f>VLOOKUP(TrendSheetStgData[Population]&amp;TrendSheetStgData[Trend],Threshold[#All],5,FALSE)</f>
        <v>5</v>
      </c>
      <c r="M8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7" spans="1:13" x14ac:dyDescent="0.25">
      <c r="A827" t="s">
        <v>111</v>
      </c>
      <c r="B827" t="s">
        <v>111</v>
      </c>
      <c r="C827" t="s">
        <v>91</v>
      </c>
      <c r="D827" s="1" t="s">
        <v>102</v>
      </c>
      <c r="E827" t="s">
        <v>93</v>
      </c>
      <c r="F827" t="s">
        <v>14</v>
      </c>
      <c r="G827">
        <v>3</v>
      </c>
      <c r="H827">
        <v>364.04</v>
      </c>
      <c r="I827" s="5">
        <f>VLOOKUP(TrendSheetStgData[Population]&amp;TrendSheetStgData[Cost Basis]&amp;TrendSheetStgData[Period]&amp;TrendSheetStgData[Trend],TrendSheetPrdData[#All],9,FALSE)</f>
        <v>364.04</v>
      </c>
      <c r="J8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7" s="5">
        <f>VLOOKUP(TrendSheetStgData[Population]&amp;TrendSheetStgData[Trend],Threshold[#All],4,FALSE)</f>
        <v>10</v>
      </c>
      <c r="L827" s="5">
        <f>VLOOKUP(TrendSheetStgData[Population]&amp;TrendSheetStgData[Trend],Threshold[#All],5,FALSE)</f>
        <v>5</v>
      </c>
      <c r="M8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8" spans="1:13" x14ac:dyDescent="0.25">
      <c r="A828" t="s">
        <v>111</v>
      </c>
      <c r="B828" t="s">
        <v>111</v>
      </c>
      <c r="C828" t="s">
        <v>91</v>
      </c>
      <c r="D828" s="1" t="s">
        <v>103</v>
      </c>
      <c r="E828" t="s">
        <v>93</v>
      </c>
      <c r="F828" t="s">
        <v>14</v>
      </c>
      <c r="G828">
        <v>3</v>
      </c>
      <c r="H828">
        <v>342.42</v>
      </c>
      <c r="I828" s="5">
        <f>VLOOKUP(TrendSheetStgData[Population]&amp;TrendSheetStgData[Cost Basis]&amp;TrendSheetStgData[Period]&amp;TrendSheetStgData[Trend],TrendSheetPrdData[#All],9,FALSE)</f>
        <v>342.42</v>
      </c>
      <c r="J8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8" s="5">
        <f>VLOOKUP(TrendSheetStgData[Population]&amp;TrendSheetStgData[Trend],Threshold[#All],4,FALSE)</f>
        <v>10</v>
      </c>
      <c r="L828" s="5">
        <f>VLOOKUP(TrendSheetStgData[Population]&amp;TrendSheetStgData[Trend],Threshold[#All],5,FALSE)</f>
        <v>5</v>
      </c>
      <c r="M8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9" spans="1:13" x14ac:dyDescent="0.25">
      <c r="A829" t="s">
        <v>111</v>
      </c>
      <c r="B829" t="s">
        <v>111</v>
      </c>
      <c r="C829" t="s">
        <v>91</v>
      </c>
      <c r="D829" s="1" t="s">
        <v>104</v>
      </c>
      <c r="E829" t="s">
        <v>93</v>
      </c>
      <c r="F829" t="s">
        <v>14</v>
      </c>
      <c r="G829">
        <v>3</v>
      </c>
      <c r="H829">
        <v>312.86</v>
      </c>
      <c r="I829" s="5">
        <f>VLOOKUP(TrendSheetStgData[Population]&amp;TrendSheetStgData[Cost Basis]&amp;TrendSheetStgData[Period]&amp;TrendSheetStgData[Trend],TrendSheetPrdData[#All],9,FALSE)</f>
        <v>312.86</v>
      </c>
      <c r="J8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29" s="5">
        <f>VLOOKUP(TrendSheetStgData[Population]&amp;TrendSheetStgData[Trend],Threshold[#All],4,FALSE)</f>
        <v>10</v>
      </c>
      <c r="L829" s="5">
        <f>VLOOKUP(TrendSheetStgData[Population]&amp;TrendSheetStgData[Trend],Threshold[#All],5,FALSE)</f>
        <v>5</v>
      </c>
      <c r="M8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0" spans="1:13" x14ac:dyDescent="0.25">
      <c r="A830" t="s">
        <v>111</v>
      </c>
      <c r="B830" t="s">
        <v>111</v>
      </c>
      <c r="C830" t="s">
        <v>91</v>
      </c>
      <c r="D830" s="1" t="s">
        <v>105</v>
      </c>
      <c r="E830" t="s">
        <v>108</v>
      </c>
      <c r="F830" t="s">
        <v>14</v>
      </c>
      <c r="G830">
        <v>3</v>
      </c>
      <c r="H830">
        <v>330.36</v>
      </c>
      <c r="I830" s="5">
        <f>VLOOKUP(TrendSheetStgData[Population]&amp;TrendSheetStgData[Cost Basis]&amp;TrendSheetStgData[Period]&amp;TrendSheetStgData[Trend],TrendSheetPrdData[#All],9,FALSE)</f>
        <v>330.36</v>
      </c>
      <c r="J8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0" s="5">
        <f>VLOOKUP(TrendSheetStgData[Population]&amp;TrendSheetStgData[Trend],Threshold[#All],4,FALSE)</f>
        <v>10</v>
      </c>
      <c r="L830" s="5">
        <f>VLOOKUP(TrendSheetStgData[Population]&amp;TrendSheetStgData[Trend],Threshold[#All],5,FALSE)</f>
        <v>5</v>
      </c>
      <c r="M8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1" spans="1:13" x14ac:dyDescent="0.25">
      <c r="A831" t="s">
        <v>111</v>
      </c>
      <c r="B831" t="s">
        <v>111</v>
      </c>
      <c r="C831" t="s">
        <v>91</v>
      </c>
      <c r="D831" s="1" t="s">
        <v>106</v>
      </c>
      <c r="E831" t="s">
        <v>108</v>
      </c>
      <c r="F831" t="s">
        <v>14</v>
      </c>
      <c r="G831">
        <v>3</v>
      </c>
      <c r="H831">
        <v>304.68</v>
      </c>
      <c r="I831" s="5">
        <f>VLOOKUP(TrendSheetStgData[Population]&amp;TrendSheetStgData[Cost Basis]&amp;TrendSheetStgData[Period]&amp;TrendSheetStgData[Trend],TrendSheetPrdData[#All],9,FALSE)</f>
        <v>304.68</v>
      </c>
      <c r="J8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1" s="5">
        <f>VLOOKUP(TrendSheetStgData[Population]&amp;TrendSheetStgData[Trend],Threshold[#All],4,FALSE)</f>
        <v>10</v>
      </c>
      <c r="L831" s="5">
        <f>VLOOKUP(TrendSheetStgData[Population]&amp;TrendSheetStgData[Trend],Threshold[#All],5,FALSE)</f>
        <v>5</v>
      </c>
      <c r="M8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2" spans="1:13" x14ac:dyDescent="0.25">
      <c r="A832" t="s">
        <v>111</v>
      </c>
      <c r="B832" t="s">
        <v>111</v>
      </c>
      <c r="C832" t="s">
        <v>91</v>
      </c>
      <c r="D832" s="1" t="s">
        <v>107</v>
      </c>
      <c r="E832" t="s">
        <v>108</v>
      </c>
      <c r="F832" t="s">
        <v>14</v>
      </c>
      <c r="G832">
        <v>3</v>
      </c>
      <c r="H832">
        <v>289.57</v>
      </c>
      <c r="I832" s="5">
        <f>VLOOKUP(TrendSheetStgData[Population]&amp;TrendSheetStgData[Cost Basis]&amp;TrendSheetStgData[Period]&amp;TrendSheetStgData[Trend],TrendSheetPrdData[#All],9,FALSE)</f>
        <v>289.57</v>
      </c>
      <c r="J8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2" s="5">
        <f>VLOOKUP(TrendSheetStgData[Population]&amp;TrendSheetStgData[Trend],Threshold[#All],4,FALSE)</f>
        <v>10</v>
      </c>
      <c r="L832" s="5">
        <f>VLOOKUP(TrendSheetStgData[Population]&amp;TrendSheetStgData[Trend],Threshold[#All],5,FALSE)</f>
        <v>5</v>
      </c>
      <c r="M8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3" spans="1:13" x14ac:dyDescent="0.25">
      <c r="A833" t="s">
        <v>111</v>
      </c>
      <c r="B833" t="s">
        <v>111</v>
      </c>
      <c r="C833" t="s">
        <v>91</v>
      </c>
      <c r="D833" s="1" t="s">
        <v>109</v>
      </c>
      <c r="E833" t="s">
        <v>108</v>
      </c>
      <c r="F833" t="s">
        <v>14</v>
      </c>
      <c r="G833">
        <v>3</v>
      </c>
      <c r="H833">
        <v>241.72</v>
      </c>
      <c r="I833" s="5">
        <f>VLOOKUP(TrendSheetStgData[Population]&amp;TrendSheetStgData[Cost Basis]&amp;TrendSheetStgData[Period]&amp;TrendSheetStgData[Trend],TrendSheetPrdData[#All],9,FALSE)</f>
        <v>241.72</v>
      </c>
      <c r="J8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3" s="5">
        <f>VLOOKUP(TrendSheetStgData[Population]&amp;TrendSheetStgData[Trend],Threshold[#All],4,FALSE)</f>
        <v>10</v>
      </c>
      <c r="L833" s="5">
        <f>VLOOKUP(TrendSheetStgData[Population]&amp;TrendSheetStgData[Trend],Threshold[#All],5,FALSE)</f>
        <v>5</v>
      </c>
      <c r="M8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4" spans="1:13" x14ac:dyDescent="0.25">
      <c r="A834" t="s">
        <v>111</v>
      </c>
      <c r="B834" t="s">
        <v>111</v>
      </c>
      <c r="C834" t="s">
        <v>91</v>
      </c>
      <c r="D834" s="1" t="s">
        <v>110</v>
      </c>
      <c r="E834" t="s">
        <v>108</v>
      </c>
      <c r="F834" t="s">
        <v>14</v>
      </c>
      <c r="G834">
        <v>3</v>
      </c>
      <c r="H834">
        <v>129.61000000000001</v>
      </c>
      <c r="I834" s="5">
        <f>VLOOKUP(TrendSheetStgData[Population]&amp;TrendSheetStgData[Cost Basis]&amp;TrendSheetStgData[Period]&amp;TrendSheetStgData[Trend],TrendSheetPrdData[#All],9,FALSE)</f>
        <v>129.61000000000001</v>
      </c>
      <c r="J8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4" s="5">
        <f>VLOOKUP(TrendSheetStgData[Population]&amp;TrendSheetStgData[Trend],Threshold[#All],4,FALSE)</f>
        <v>10</v>
      </c>
      <c r="L834" s="5">
        <f>VLOOKUP(TrendSheetStgData[Population]&amp;TrendSheetStgData[Trend],Threshold[#All],5,FALSE)</f>
        <v>5</v>
      </c>
      <c r="M8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5" spans="1:13" x14ac:dyDescent="0.25">
      <c r="A835" t="s">
        <v>111</v>
      </c>
      <c r="B835" t="s">
        <v>111</v>
      </c>
      <c r="C835" t="s">
        <v>91</v>
      </c>
      <c r="D835" s="1" t="s">
        <v>92</v>
      </c>
      <c r="E835" t="s">
        <v>93</v>
      </c>
      <c r="F835" t="s">
        <v>15</v>
      </c>
      <c r="G835">
        <v>4</v>
      </c>
      <c r="H835">
        <v>5816.06</v>
      </c>
      <c r="I835" s="5">
        <f>VLOOKUP(TrendSheetStgData[Population]&amp;TrendSheetStgData[Cost Basis]&amp;TrendSheetStgData[Period]&amp;TrendSheetStgData[Trend],TrendSheetPrdData[#All],9,FALSE)</f>
        <v>5816.06</v>
      </c>
      <c r="J8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5" s="5">
        <f>VLOOKUP(TrendSheetStgData[Population]&amp;TrendSheetStgData[Trend],Threshold[#All],4,FALSE)</f>
        <v>10</v>
      </c>
      <c r="L835" s="5">
        <f>VLOOKUP(TrendSheetStgData[Population]&amp;TrendSheetStgData[Trend],Threshold[#All],5,FALSE)</f>
        <v>5</v>
      </c>
      <c r="M8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6" spans="1:13" x14ac:dyDescent="0.25">
      <c r="A836" t="s">
        <v>111</v>
      </c>
      <c r="B836" t="s">
        <v>111</v>
      </c>
      <c r="C836" t="s">
        <v>91</v>
      </c>
      <c r="D836" s="1" t="s">
        <v>94</v>
      </c>
      <c r="E836" t="s">
        <v>93</v>
      </c>
      <c r="F836" t="s">
        <v>15</v>
      </c>
      <c r="G836">
        <v>4</v>
      </c>
      <c r="H836">
        <v>0</v>
      </c>
      <c r="I836" s="5">
        <f>VLOOKUP(TrendSheetStgData[Population]&amp;TrendSheetStgData[Cost Basis]&amp;TrendSheetStgData[Period]&amp;TrendSheetStgData[Trend],TrendSheetPrdData[#All],9,FALSE)</f>
        <v>0</v>
      </c>
      <c r="J8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6" s="5">
        <f>VLOOKUP(TrendSheetStgData[Population]&amp;TrendSheetStgData[Trend],Threshold[#All],4,FALSE)</f>
        <v>10</v>
      </c>
      <c r="L836" s="5">
        <f>VLOOKUP(TrendSheetStgData[Population]&amp;TrendSheetStgData[Trend],Threshold[#All],5,FALSE)</f>
        <v>5</v>
      </c>
      <c r="M8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7" spans="1:13" x14ac:dyDescent="0.25">
      <c r="A837" t="s">
        <v>111</v>
      </c>
      <c r="B837" t="s">
        <v>111</v>
      </c>
      <c r="C837" t="s">
        <v>91</v>
      </c>
      <c r="D837" s="1" t="s">
        <v>95</v>
      </c>
      <c r="E837" t="s">
        <v>93</v>
      </c>
      <c r="F837" t="s">
        <v>15</v>
      </c>
      <c r="G837">
        <v>4</v>
      </c>
      <c r="H837">
        <v>65240.55</v>
      </c>
      <c r="I837" s="5">
        <f>VLOOKUP(TrendSheetStgData[Population]&amp;TrendSheetStgData[Cost Basis]&amp;TrendSheetStgData[Period]&amp;TrendSheetStgData[Trend],TrendSheetPrdData[#All],9,FALSE)</f>
        <v>65240.55</v>
      </c>
      <c r="J8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7" s="5">
        <f>VLOOKUP(TrendSheetStgData[Population]&amp;TrendSheetStgData[Trend],Threshold[#All],4,FALSE)</f>
        <v>10</v>
      </c>
      <c r="L837" s="5">
        <f>VLOOKUP(TrendSheetStgData[Population]&amp;TrendSheetStgData[Trend],Threshold[#All],5,FALSE)</f>
        <v>5</v>
      </c>
      <c r="M8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8" spans="1:13" x14ac:dyDescent="0.25">
      <c r="A838" t="s">
        <v>111</v>
      </c>
      <c r="B838" t="s">
        <v>111</v>
      </c>
      <c r="C838" t="s">
        <v>91</v>
      </c>
      <c r="D838" s="1" t="s">
        <v>96</v>
      </c>
      <c r="E838" t="s">
        <v>93</v>
      </c>
      <c r="F838" t="s">
        <v>15</v>
      </c>
      <c r="G838">
        <v>4</v>
      </c>
      <c r="H838">
        <v>73918.95</v>
      </c>
      <c r="I838" s="5">
        <f>VLOOKUP(TrendSheetStgData[Population]&amp;TrendSheetStgData[Cost Basis]&amp;TrendSheetStgData[Period]&amp;TrendSheetStgData[Trend],TrendSheetPrdData[#All],9,FALSE)</f>
        <v>73918.95</v>
      </c>
      <c r="J8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8" s="5">
        <f>VLOOKUP(TrendSheetStgData[Population]&amp;TrendSheetStgData[Trend],Threshold[#All],4,FALSE)</f>
        <v>10</v>
      </c>
      <c r="L838" s="5">
        <f>VLOOKUP(TrendSheetStgData[Population]&amp;TrendSheetStgData[Trend],Threshold[#All],5,FALSE)</f>
        <v>5</v>
      </c>
      <c r="M8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39" spans="1:13" x14ac:dyDescent="0.25">
      <c r="A839" t="s">
        <v>111</v>
      </c>
      <c r="B839" t="s">
        <v>111</v>
      </c>
      <c r="C839" t="s">
        <v>91</v>
      </c>
      <c r="D839" s="1" t="s">
        <v>97</v>
      </c>
      <c r="E839" t="s">
        <v>93</v>
      </c>
      <c r="F839" t="s">
        <v>15</v>
      </c>
      <c r="G839">
        <v>4</v>
      </c>
      <c r="H839">
        <v>0</v>
      </c>
      <c r="I839" s="5">
        <f>VLOOKUP(TrendSheetStgData[Population]&amp;TrendSheetStgData[Cost Basis]&amp;TrendSheetStgData[Period]&amp;TrendSheetStgData[Trend],TrendSheetPrdData[#All],9,FALSE)</f>
        <v>0</v>
      </c>
      <c r="J8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39" s="5">
        <f>VLOOKUP(TrendSheetStgData[Population]&amp;TrendSheetStgData[Trend],Threshold[#All],4,FALSE)</f>
        <v>10</v>
      </c>
      <c r="L839" s="5">
        <f>VLOOKUP(TrendSheetStgData[Population]&amp;TrendSheetStgData[Trend],Threshold[#All],5,FALSE)</f>
        <v>5</v>
      </c>
      <c r="M8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0" spans="1:13" x14ac:dyDescent="0.25">
      <c r="A840" t="s">
        <v>111</v>
      </c>
      <c r="B840" t="s">
        <v>111</v>
      </c>
      <c r="C840" t="s">
        <v>91</v>
      </c>
      <c r="D840" s="1" t="s">
        <v>98</v>
      </c>
      <c r="E840" t="s">
        <v>93</v>
      </c>
      <c r="F840" t="s">
        <v>15</v>
      </c>
      <c r="G840">
        <v>4</v>
      </c>
      <c r="H840">
        <v>0</v>
      </c>
      <c r="I840" s="5">
        <f>VLOOKUP(TrendSheetStgData[Population]&amp;TrendSheetStgData[Cost Basis]&amp;TrendSheetStgData[Period]&amp;TrendSheetStgData[Trend],TrendSheetPrdData[#All],9,FALSE)</f>
        <v>0</v>
      </c>
      <c r="J8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0" s="5">
        <f>VLOOKUP(TrendSheetStgData[Population]&amp;TrendSheetStgData[Trend],Threshold[#All],4,FALSE)</f>
        <v>10</v>
      </c>
      <c r="L840" s="5">
        <f>VLOOKUP(TrendSheetStgData[Population]&amp;TrendSheetStgData[Trend],Threshold[#All],5,FALSE)</f>
        <v>5</v>
      </c>
      <c r="M8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1" spans="1:13" x14ac:dyDescent="0.25">
      <c r="A841" t="s">
        <v>111</v>
      </c>
      <c r="B841" t="s">
        <v>111</v>
      </c>
      <c r="C841" t="s">
        <v>91</v>
      </c>
      <c r="D841" s="1" t="s">
        <v>99</v>
      </c>
      <c r="E841" t="s">
        <v>93</v>
      </c>
      <c r="F841" t="s">
        <v>15</v>
      </c>
      <c r="G841">
        <v>4</v>
      </c>
      <c r="H841">
        <v>32806.5</v>
      </c>
      <c r="I841" s="5">
        <f>VLOOKUP(TrendSheetStgData[Population]&amp;TrendSheetStgData[Cost Basis]&amp;TrendSheetStgData[Period]&amp;TrendSheetStgData[Trend],TrendSheetPrdData[#All],9,FALSE)</f>
        <v>32806.5</v>
      </c>
      <c r="J8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1" s="5">
        <f>VLOOKUP(TrendSheetStgData[Population]&amp;TrendSheetStgData[Trend],Threshold[#All],4,FALSE)</f>
        <v>10</v>
      </c>
      <c r="L841" s="5">
        <f>VLOOKUP(TrendSheetStgData[Population]&amp;TrendSheetStgData[Trend],Threshold[#All],5,FALSE)</f>
        <v>5</v>
      </c>
      <c r="M8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2" spans="1:13" x14ac:dyDescent="0.25">
      <c r="A842" t="s">
        <v>111</v>
      </c>
      <c r="B842" t="s">
        <v>111</v>
      </c>
      <c r="C842" t="s">
        <v>91</v>
      </c>
      <c r="D842" s="1" t="s">
        <v>100</v>
      </c>
      <c r="E842" t="s">
        <v>93</v>
      </c>
      <c r="F842" t="s">
        <v>15</v>
      </c>
      <c r="G842">
        <v>4</v>
      </c>
      <c r="H842">
        <v>0</v>
      </c>
      <c r="I842" s="5">
        <f>VLOOKUP(TrendSheetStgData[Population]&amp;TrendSheetStgData[Cost Basis]&amp;TrendSheetStgData[Period]&amp;TrendSheetStgData[Trend],TrendSheetPrdData[#All],9,FALSE)</f>
        <v>0</v>
      </c>
      <c r="J8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2" s="5">
        <f>VLOOKUP(TrendSheetStgData[Population]&amp;TrendSheetStgData[Trend],Threshold[#All],4,FALSE)</f>
        <v>10</v>
      </c>
      <c r="L842" s="5">
        <f>VLOOKUP(TrendSheetStgData[Population]&amp;TrendSheetStgData[Trend],Threshold[#All],5,FALSE)</f>
        <v>5</v>
      </c>
      <c r="M8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3" spans="1:13" x14ac:dyDescent="0.25">
      <c r="A843" t="s">
        <v>111</v>
      </c>
      <c r="B843" t="s">
        <v>111</v>
      </c>
      <c r="C843" t="s">
        <v>91</v>
      </c>
      <c r="D843" s="1" t="s">
        <v>101</v>
      </c>
      <c r="E843" t="s">
        <v>93</v>
      </c>
      <c r="F843" t="s">
        <v>15</v>
      </c>
      <c r="G843">
        <v>4</v>
      </c>
      <c r="H843">
        <v>29541.15</v>
      </c>
      <c r="I843" s="5">
        <f>VLOOKUP(TrendSheetStgData[Population]&amp;TrendSheetStgData[Cost Basis]&amp;TrendSheetStgData[Period]&amp;TrendSheetStgData[Trend],TrendSheetPrdData[#All],9,FALSE)</f>
        <v>29541.15</v>
      </c>
      <c r="J8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3" s="5">
        <f>VLOOKUP(TrendSheetStgData[Population]&amp;TrendSheetStgData[Trend],Threshold[#All],4,FALSE)</f>
        <v>10</v>
      </c>
      <c r="L843" s="5">
        <f>VLOOKUP(TrendSheetStgData[Population]&amp;TrendSheetStgData[Trend],Threshold[#All],5,FALSE)</f>
        <v>5</v>
      </c>
      <c r="M8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4" spans="1:13" x14ac:dyDescent="0.25">
      <c r="A844" t="s">
        <v>111</v>
      </c>
      <c r="B844" t="s">
        <v>111</v>
      </c>
      <c r="C844" t="s">
        <v>91</v>
      </c>
      <c r="D844" s="1" t="s">
        <v>102</v>
      </c>
      <c r="E844" t="s">
        <v>93</v>
      </c>
      <c r="F844" t="s">
        <v>15</v>
      </c>
      <c r="G844">
        <v>4</v>
      </c>
      <c r="H844">
        <v>0</v>
      </c>
      <c r="I844" s="5">
        <f>VLOOKUP(TrendSheetStgData[Population]&amp;TrendSheetStgData[Cost Basis]&amp;TrendSheetStgData[Period]&amp;TrendSheetStgData[Trend],TrendSheetPrdData[#All],9,FALSE)</f>
        <v>0</v>
      </c>
      <c r="J8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4" s="5">
        <f>VLOOKUP(TrendSheetStgData[Population]&amp;TrendSheetStgData[Trend],Threshold[#All],4,FALSE)</f>
        <v>10</v>
      </c>
      <c r="L844" s="5">
        <f>VLOOKUP(TrendSheetStgData[Population]&amp;TrendSheetStgData[Trend],Threshold[#All],5,FALSE)</f>
        <v>5</v>
      </c>
      <c r="M8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5" spans="1:13" x14ac:dyDescent="0.25">
      <c r="A845" t="s">
        <v>111</v>
      </c>
      <c r="B845" t="s">
        <v>111</v>
      </c>
      <c r="C845" t="s">
        <v>91</v>
      </c>
      <c r="D845" s="1" t="s">
        <v>103</v>
      </c>
      <c r="E845" t="s">
        <v>93</v>
      </c>
      <c r="F845" t="s">
        <v>15</v>
      </c>
      <c r="G845">
        <v>4</v>
      </c>
      <c r="H845">
        <v>31659.06</v>
      </c>
      <c r="I845" s="5">
        <f>VLOOKUP(TrendSheetStgData[Population]&amp;TrendSheetStgData[Cost Basis]&amp;TrendSheetStgData[Period]&amp;TrendSheetStgData[Trend],TrendSheetPrdData[#All],9,FALSE)</f>
        <v>31659.06</v>
      </c>
      <c r="J8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5" s="5">
        <f>VLOOKUP(TrendSheetStgData[Population]&amp;TrendSheetStgData[Trend],Threshold[#All],4,FALSE)</f>
        <v>10</v>
      </c>
      <c r="L845" s="5">
        <f>VLOOKUP(TrendSheetStgData[Population]&amp;TrendSheetStgData[Trend],Threshold[#All],5,FALSE)</f>
        <v>5</v>
      </c>
      <c r="M8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6" spans="1:13" x14ac:dyDescent="0.25">
      <c r="A846" t="s">
        <v>111</v>
      </c>
      <c r="B846" t="s">
        <v>111</v>
      </c>
      <c r="C846" t="s">
        <v>91</v>
      </c>
      <c r="D846" s="1" t="s">
        <v>104</v>
      </c>
      <c r="E846" t="s">
        <v>93</v>
      </c>
      <c r="F846" t="s">
        <v>15</v>
      </c>
      <c r="G846">
        <v>4</v>
      </c>
      <c r="H846">
        <v>0</v>
      </c>
      <c r="I846" s="5">
        <f>VLOOKUP(TrendSheetStgData[Population]&amp;TrendSheetStgData[Cost Basis]&amp;TrendSheetStgData[Period]&amp;TrendSheetStgData[Trend],TrendSheetPrdData[#All],9,FALSE)</f>
        <v>0</v>
      </c>
      <c r="J8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6" s="5">
        <f>VLOOKUP(TrendSheetStgData[Population]&amp;TrendSheetStgData[Trend],Threshold[#All],4,FALSE)</f>
        <v>10</v>
      </c>
      <c r="L846" s="5">
        <f>VLOOKUP(TrendSheetStgData[Population]&amp;TrendSheetStgData[Trend],Threshold[#All],5,FALSE)</f>
        <v>5</v>
      </c>
      <c r="M8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7" spans="1:13" x14ac:dyDescent="0.25">
      <c r="A847" t="s">
        <v>111</v>
      </c>
      <c r="B847" t="s">
        <v>111</v>
      </c>
      <c r="C847" t="s">
        <v>91</v>
      </c>
      <c r="D847" s="1" t="s">
        <v>105</v>
      </c>
      <c r="E847" t="s">
        <v>108</v>
      </c>
      <c r="F847" t="s">
        <v>15</v>
      </c>
      <c r="G847">
        <v>4</v>
      </c>
      <c r="H847">
        <v>0</v>
      </c>
      <c r="I847" s="5">
        <f>VLOOKUP(TrendSheetStgData[Population]&amp;TrendSheetStgData[Cost Basis]&amp;TrendSheetStgData[Period]&amp;TrendSheetStgData[Trend],TrendSheetPrdData[#All],9,FALSE)</f>
        <v>0</v>
      </c>
      <c r="J8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7" s="5">
        <f>VLOOKUP(TrendSheetStgData[Population]&amp;TrendSheetStgData[Trend],Threshold[#All],4,FALSE)</f>
        <v>10</v>
      </c>
      <c r="L847" s="5">
        <f>VLOOKUP(TrendSheetStgData[Population]&amp;TrendSheetStgData[Trend],Threshold[#All],5,FALSE)</f>
        <v>5</v>
      </c>
      <c r="M8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8" spans="1:13" x14ac:dyDescent="0.25">
      <c r="A848" t="s">
        <v>111</v>
      </c>
      <c r="B848" t="s">
        <v>111</v>
      </c>
      <c r="C848" t="s">
        <v>91</v>
      </c>
      <c r="D848" s="1" t="s">
        <v>106</v>
      </c>
      <c r="E848" t="s">
        <v>108</v>
      </c>
      <c r="F848" t="s">
        <v>15</v>
      </c>
      <c r="G848">
        <v>4</v>
      </c>
      <c r="H848">
        <v>25079.97</v>
      </c>
      <c r="I848" s="5">
        <f>VLOOKUP(TrendSheetStgData[Population]&amp;TrendSheetStgData[Cost Basis]&amp;TrendSheetStgData[Period]&amp;TrendSheetStgData[Trend],TrendSheetPrdData[#All],9,FALSE)</f>
        <v>25079.97</v>
      </c>
      <c r="J8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8" s="5">
        <f>VLOOKUP(TrendSheetStgData[Population]&amp;TrendSheetStgData[Trend],Threshold[#All],4,FALSE)</f>
        <v>10</v>
      </c>
      <c r="L848" s="5">
        <f>VLOOKUP(TrendSheetStgData[Population]&amp;TrendSheetStgData[Trend],Threshold[#All],5,FALSE)</f>
        <v>5</v>
      </c>
      <c r="M8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49" spans="1:13" x14ac:dyDescent="0.25">
      <c r="A849" t="s">
        <v>111</v>
      </c>
      <c r="B849" t="s">
        <v>111</v>
      </c>
      <c r="C849" t="s">
        <v>91</v>
      </c>
      <c r="D849" s="1" t="s">
        <v>107</v>
      </c>
      <c r="E849" t="s">
        <v>108</v>
      </c>
      <c r="F849" t="s">
        <v>15</v>
      </c>
      <c r="G849">
        <v>4</v>
      </c>
      <c r="H849">
        <v>0</v>
      </c>
      <c r="I849" s="5">
        <f>VLOOKUP(TrendSheetStgData[Population]&amp;TrendSheetStgData[Cost Basis]&amp;TrendSheetStgData[Period]&amp;TrendSheetStgData[Trend],TrendSheetPrdData[#All],9,FALSE)</f>
        <v>0</v>
      </c>
      <c r="J8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9" s="5">
        <f>VLOOKUP(TrendSheetStgData[Population]&amp;TrendSheetStgData[Trend],Threshold[#All],4,FALSE)</f>
        <v>10</v>
      </c>
      <c r="L849" s="5">
        <f>VLOOKUP(TrendSheetStgData[Population]&amp;TrendSheetStgData[Trend],Threshold[#All],5,FALSE)</f>
        <v>5</v>
      </c>
      <c r="M8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0" spans="1:13" x14ac:dyDescent="0.25">
      <c r="A850" t="s">
        <v>111</v>
      </c>
      <c r="B850" t="s">
        <v>111</v>
      </c>
      <c r="C850" t="s">
        <v>91</v>
      </c>
      <c r="D850" s="1" t="s">
        <v>109</v>
      </c>
      <c r="E850" t="s">
        <v>108</v>
      </c>
      <c r="F850" t="s">
        <v>15</v>
      </c>
      <c r="G850">
        <v>4</v>
      </c>
      <c r="H850">
        <v>0</v>
      </c>
      <c r="I850" s="5">
        <f>VLOOKUP(TrendSheetStgData[Population]&amp;TrendSheetStgData[Cost Basis]&amp;TrendSheetStgData[Period]&amp;TrendSheetStgData[Trend],TrendSheetPrdData[#All],9,FALSE)</f>
        <v>0</v>
      </c>
      <c r="J8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0" s="5">
        <f>VLOOKUP(TrendSheetStgData[Population]&amp;TrendSheetStgData[Trend],Threshold[#All],4,FALSE)</f>
        <v>10</v>
      </c>
      <c r="L850" s="5">
        <f>VLOOKUP(TrendSheetStgData[Population]&amp;TrendSheetStgData[Trend],Threshold[#All],5,FALSE)</f>
        <v>5</v>
      </c>
      <c r="M8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1" spans="1:13" x14ac:dyDescent="0.25">
      <c r="A851" t="s">
        <v>111</v>
      </c>
      <c r="B851" t="s">
        <v>111</v>
      </c>
      <c r="C851" t="s">
        <v>91</v>
      </c>
      <c r="D851" s="1" t="s">
        <v>110</v>
      </c>
      <c r="E851" t="s">
        <v>108</v>
      </c>
      <c r="F851" t="s">
        <v>15</v>
      </c>
      <c r="G851">
        <v>4</v>
      </c>
      <c r="H851">
        <v>0</v>
      </c>
      <c r="I851" s="5">
        <f>VLOOKUP(TrendSheetStgData[Population]&amp;TrendSheetStgData[Cost Basis]&amp;TrendSheetStgData[Period]&amp;TrendSheetStgData[Trend],TrendSheetPrdData[#All],9,FALSE)</f>
        <v>0</v>
      </c>
      <c r="J8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1" s="5">
        <f>VLOOKUP(TrendSheetStgData[Population]&amp;TrendSheetStgData[Trend],Threshold[#All],4,FALSE)</f>
        <v>10</v>
      </c>
      <c r="L851" s="5">
        <f>VLOOKUP(TrendSheetStgData[Population]&amp;TrendSheetStgData[Trend],Threshold[#All],5,FALSE)</f>
        <v>5</v>
      </c>
      <c r="M8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2" spans="1:13" x14ac:dyDescent="0.25">
      <c r="A852" t="s">
        <v>111</v>
      </c>
      <c r="B852" t="s">
        <v>111</v>
      </c>
      <c r="C852" t="s">
        <v>91</v>
      </c>
      <c r="D852" s="1" t="s">
        <v>92</v>
      </c>
      <c r="E852" t="s">
        <v>93</v>
      </c>
      <c r="F852" t="s">
        <v>16</v>
      </c>
      <c r="G852">
        <v>5</v>
      </c>
      <c r="H852">
        <v>1</v>
      </c>
      <c r="I852" s="5">
        <f>VLOOKUP(TrendSheetStgData[Population]&amp;TrendSheetStgData[Cost Basis]&amp;TrendSheetStgData[Period]&amp;TrendSheetStgData[Trend],TrendSheetPrdData[#All],9,FALSE)</f>
        <v>1</v>
      </c>
      <c r="J8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2" s="5">
        <f>VLOOKUP(TrendSheetStgData[Population]&amp;TrendSheetStgData[Trend],Threshold[#All],4,FALSE)</f>
        <v>10</v>
      </c>
      <c r="L852" s="5">
        <f>VLOOKUP(TrendSheetStgData[Population]&amp;TrendSheetStgData[Trend],Threshold[#All],5,FALSE)</f>
        <v>5</v>
      </c>
      <c r="M8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3" spans="1:13" x14ac:dyDescent="0.25">
      <c r="A853" t="s">
        <v>111</v>
      </c>
      <c r="B853" t="s">
        <v>111</v>
      </c>
      <c r="C853" t="s">
        <v>91</v>
      </c>
      <c r="D853" s="1" t="s">
        <v>94</v>
      </c>
      <c r="E853" t="s">
        <v>93</v>
      </c>
      <c r="F853" t="s">
        <v>16</v>
      </c>
      <c r="G853">
        <v>5</v>
      </c>
      <c r="H853">
        <v>0</v>
      </c>
      <c r="I853" s="5">
        <f>VLOOKUP(TrendSheetStgData[Population]&amp;TrendSheetStgData[Cost Basis]&amp;TrendSheetStgData[Period]&amp;TrendSheetStgData[Trend],TrendSheetPrdData[#All],9,FALSE)</f>
        <v>0</v>
      </c>
      <c r="J8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3" s="5">
        <f>VLOOKUP(TrendSheetStgData[Population]&amp;TrendSheetStgData[Trend],Threshold[#All],4,FALSE)</f>
        <v>10</v>
      </c>
      <c r="L853" s="5">
        <f>VLOOKUP(TrendSheetStgData[Population]&amp;TrendSheetStgData[Trend],Threshold[#All],5,FALSE)</f>
        <v>5</v>
      </c>
      <c r="M8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4" spans="1:13" x14ac:dyDescent="0.25">
      <c r="A854" t="s">
        <v>111</v>
      </c>
      <c r="B854" t="s">
        <v>111</v>
      </c>
      <c r="C854" t="s">
        <v>91</v>
      </c>
      <c r="D854" s="1" t="s">
        <v>95</v>
      </c>
      <c r="E854" t="s">
        <v>93</v>
      </c>
      <c r="F854" t="s">
        <v>16</v>
      </c>
      <c r="G854">
        <v>5</v>
      </c>
      <c r="H854">
        <v>1</v>
      </c>
      <c r="I854" s="5">
        <f>VLOOKUP(TrendSheetStgData[Population]&amp;TrendSheetStgData[Cost Basis]&amp;TrendSheetStgData[Period]&amp;TrendSheetStgData[Trend],TrendSheetPrdData[#All],9,FALSE)</f>
        <v>1</v>
      </c>
      <c r="J8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4" s="5">
        <f>VLOOKUP(TrendSheetStgData[Population]&amp;TrendSheetStgData[Trend],Threshold[#All],4,FALSE)</f>
        <v>10</v>
      </c>
      <c r="L854" s="5">
        <f>VLOOKUP(TrendSheetStgData[Population]&amp;TrendSheetStgData[Trend],Threshold[#All],5,FALSE)</f>
        <v>5</v>
      </c>
      <c r="M8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5" spans="1:13" x14ac:dyDescent="0.25">
      <c r="A855" t="s">
        <v>111</v>
      </c>
      <c r="B855" t="s">
        <v>111</v>
      </c>
      <c r="C855" t="s">
        <v>91</v>
      </c>
      <c r="D855" s="1" t="s">
        <v>96</v>
      </c>
      <c r="E855" t="s">
        <v>93</v>
      </c>
      <c r="F855" t="s">
        <v>16</v>
      </c>
      <c r="G855">
        <v>5</v>
      </c>
      <c r="H855">
        <v>3</v>
      </c>
      <c r="I855" s="5">
        <f>VLOOKUP(TrendSheetStgData[Population]&amp;TrendSheetStgData[Cost Basis]&amp;TrendSheetStgData[Period]&amp;TrendSheetStgData[Trend],TrendSheetPrdData[#All],9,FALSE)</f>
        <v>3</v>
      </c>
      <c r="J8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5" s="5">
        <f>VLOOKUP(TrendSheetStgData[Population]&amp;TrendSheetStgData[Trend],Threshold[#All],4,FALSE)</f>
        <v>10</v>
      </c>
      <c r="L855" s="5">
        <f>VLOOKUP(TrendSheetStgData[Population]&amp;TrendSheetStgData[Trend],Threshold[#All],5,FALSE)</f>
        <v>5</v>
      </c>
      <c r="M8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6" spans="1:13" x14ac:dyDescent="0.25">
      <c r="A856" t="s">
        <v>111</v>
      </c>
      <c r="B856" t="s">
        <v>111</v>
      </c>
      <c r="C856" t="s">
        <v>91</v>
      </c>
      <c r="D856" s="1" t="s">
        <v>97</v>
      </c>
      <c r="E856" t="s">
        <v>93</v>
      </c>
      <c r="F856" t="s">
        <v>16</v>
      </c>
      <c r="G856">
        <v>5</v>
      </c>
      <c r="H856">
        <v>0</v>
      </c>
      <c r="I856" s="5">
        <f>VLOOKUP(TrendSheetStgData[Population]&amp;TrendSheetStgData[Cost Basis]&amp;TrendSheetStgData[Period]&amp;TrendSheetStgData[Trend],TrendSheetPrdData[#All],9,FALSE)</f>
        <v>0</v>
      </c>
      <c r="J8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6" s="5">
        <f>VLOOKUP(TrendSheetStgData[Population]&amp;TrendSheetStgData[Trend],Threshold[#All],4,FALSE)</f>
        <v>10</v>
      </c>
      <c r="L856" s="5">
        <f>VLOOKUP(TrendSheetStgData[Population]&amp;TrendSheetStgData[Trend],Threshold[#All],5,FALSE)</f>
        <v>5</v>
      </c>
      <c r="M8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7" spans="1:13" x14ac:dyDescent="0.25">
      <c r="A857" t="s">
        <v>111</v>
      </c>
      <c r="B857" t="s">
        <v>111</v>
      </c>
      <c r="C857" t="s">
        <v>91</v>
      </c>
      <c r="D857" s="1" t="s">
        <v>98</v>
      </c>
      <c r="E857" t="s">
        <v>93</v>
      </c>
      <c r="F857" t="s">
        <v>16</v>
      </c>
      <c r="G857">
        <v>5</v>
      </c>
      <c r="H857">
        <v>0</v>
      </c>
      <c r="I857" s="5">
        <f>VLOOKUP(TrendSheetStgData[Population]&amp;TrendSheetStgData[Cost Basis]&amp;TrendSheetStgData[Period]&amp;TrendSheetStgData[Trend],TrendSheetPrdData[#All],9,FALSE)</f>
        <v>0</v>
      </c>
      <c r="J8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7" s="5">
        <f>VLOOKUP(TrendSheetStgData[Population]&amp;TrendSheetStgData[Trend],Threshold[#All],4,FALSE)</f>
        <v>10</v>
      </c>
      <c r="L857" s="5">
        <f>VLOOKUP(TrendSheetStgData[Population]&amp;TrendSheetStgData[Trend],Threshold[#All],5,FALSE)</f>
        <v>5</v>
      </c>
      <c r="M8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8" spans="1:13" x14ac:dyDescent="0.25">
      <c r="A858" t="s">
        <v>111</v>
      </c>
      <c r="B858" t="s">
        <v>111</v>
      </c>
      <c r="C858" t="s">
        <v>91</v>
      </c>
      <c r="D858" s="1" t="s">
        <v>99</v>
      </c>
      <c r="E858" t="s">
        <v>93</v>
      </c>
      <c r="F858" t="s">
        <v>16</v>
      </c>
      <c r="G858">
        <v>5</v>
      </c>
      <c r="H858">
        <v>2</v>
      </c>
      <c r="I858" s="5">
        <f>VLOOKUP(TrendSheetStgData[Population]&amp;TrendSheetStgData[Cost Basis]&amp;TrendSheetStgData[Period]&amp;TrendSheetStgData[Trend],TrendSheetPrdData[#All],9,FALSE)</f>
        <v>2</v>
      </c>
      <c r="J8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8" s="5">
        <f>VLOOKUP(TrendSheetStgData[Population]&amp;TrendSheetStgData[Trend],Threshold[#All],4,FALSE)</f>
        <v>10</v>
      </c>
      <c r="L858" s="5">
        <f>VLOOKUP(TrendSheetStgData[Population]&amp;TrendSheetStgData[Trend],Threshold[#All],5,FALSE)</f>
        <v>5</v>
      </c>
      <c r="M8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9" spans="1:13" x14ac:dyDescent="0.25">
      <c r="A859" t="s">
        <v>111</v>
      </c>
      <c r="B859" t="s">
        <v>111</v>
      </c>
      <c r="C859" t="s">
        <v>91</v>
      </c>
      <c r="D859" s="1" t="s">
        <v>100</v>
      </c>
      <c r="E859" t="s">
        <v>93</v>
      </c>
      <c r="F859" t="s">
        <v>16</v>
      </c>
      <c r="G859">
        <v>5</v>
      </c>
      <c r="H859">
        <v>0</v>
      </c>
      <c r="I859" s="5">
        <f>VLOOKUP(TrendSheetStgData[Population]&amp;TrendSheetStgData[Cost Basis]&amp;TrendSheetStgData[Period]&amp;TrendSheetStgData[Trend],TrendSheetPrdData[#All],9,FALSE)</f>
        <v>0</v>
      </c>
      <c r="J8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9" s="5">
        <f>VLOOKUP(TrendSheetStgData[Population]&amp;TrendSheetStgData[Trend],Threshold[#All],4,FALSE)</f>
        <v>10</v>
      </c>
      <c r="L859" s="5">
        <f>VLOOKUP(TrendSheetStgData[Population]&amp;TrendSheetStgData[Trend],Threshold[#All],5,FALSE)</f>
        <v>5</v>
      </c>
      <c r="M8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0" spans="1:13" x14ac:dyDescent="0.25">
      <c r="A860" t="s">
        <v>111</v>
      </c>
      <c r="B860" t="s">
        <v>111</v>
      </c>
      <c r="C860" t="s">
        <v>91</v>
      </c>
      <c r="D860" s="1" t="s">
        <v>101</v>
      </c>
      <c r="E860" t="s">
        <v>93</v>
      </c>
      <c r="F860" t="s">
        <v>16</v>
      </c>
      <c r="G860">
        <v>5</v>
      </c>
      <c r="H860">
        <v>1</v>
      </c>
      <c r="I860" s="5">
        <f>VLOOKUP(TrendSheetStgData[Population]&amp;TrendSheetStgData[Cost Basis]&amp;TrendSheetStgData[Period]&amp;TrendSheetStgData[Trend],TrendSheetPrdData[#All],9,FALSE)</f>
        <v>1</v>
      </c>
      <c r="J8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0" s="5">
        <f>VLOOKUP(TrendSheetStgData[Population]&amp;TrendSheetStgData[Trend],Threshold[#All],4,FALSE)</f>
        <v>10</v>
      </c>
      <c r="L860" s="5">
        <f>VLOOKUP(TrendSheetStgData[Population]&amp;TrendSheetStgData[Trend],Threshold[#All],5,FALSE)</f>
        <v>5</v>
      </c>
      <c r="M8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1" spans="1:13" x14ac:dyDescent="0.25">
      <c r="A861" t="s">
        <v>111</v>
      </c>
      <c r="B861" t="s">
        <v>111</v>
      </c>
      <c r="C861" t="s">
        <v>91</v>
      </c>
      <c r="D861" s="1" t="s">
        <v>102</v>
      </c>
      <c r="E861" t="s">
        <v>93</v>
      </c>
      <c r="F861" t="s">
        <v>16</v>
      </c>
      <c r="G861">
        <v>5</v>
      </c>
      <c r="H861">
        <v>0</v>
      </c>
      <c r="I861" s="5">
        <f>VLOOKUP(TrendSheetStgData[Population]&amp;TrendSheetStgData[Cost Basis]&amp;TrendSheetStgData[Period]&amp;TrendSheetStgData[Trend],TrendSheetPrdData[#All],9,FALSE)</f>
        <v>0</v>
      </c>
      <c r="J8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1" s="5">
        <f>VLOOKUP(TrendSheetStgData[Population]&amp;TrendSheetStgData[Trend],Threshold[#All],4,FALSE)</f>
        <v>10</v>
      </c>
      <c r="L861" s="5">
        <f>VLOOKUP(TrendSheetStgData[Population]&amp;TrendSheetStgData[Trend],Threshold[#All],5,FALSE)</f>
        <v>5</v>
      </c>
      <c r="M8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2" spans="1:13" x14ac:dyDescent="0.25">
      <c r="A862" t="s">
        <v>111</v>
      </c>
      <c r="B862" t="s">
        <v>111</v>
      </c>
      <c r="C862" t="s">
        <v>91</v>
      </c>
      <c r="D862" s="1" t="s">
        <v>103</v>
      </c>
      <c r="E862" t="s">
        <v>93</v>
      </c>
      <c r="F862" t="s">
        <v>16</v>
      </c>
      <c r="G862">
        <v>5</v>
      </c>
      <c r="H862">
        <v>2</v>
      </c>
      <c r="I862" s="5">
        <f>VLOOKUP(TrendSheetStgData[Population]&amp;TrendSheetStgData[Cost Basis]&amp;TrendSheetStgData[Period]&amp;TrendSheetStgData[Trend],TrendSheetPrdData[#All],9,FALSE)</f>
        <v>2</v>
      </c>
      <c r="J8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2" s="5">
        <f>VLOOKUP(TrendSheetStgData[Population]&amp;TrendSheetStgData[Trend],Threshold[#All],4,FALSE)</f>
        <v>10</v>
      </c>
      <c r="L862" s="5">
        <f>VLOOKUP(TrendSheetStgData[Population]&amp;TrendSheetStgData[Trend],Threshold[#All],5,FALSE)</f>
        <v>5</v>
      </c>
      <c r="M8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3" spans="1:13" x14ac:dyDescent="0.25">
      <c r="A863" t="s">
        <v>111</v>
      </c>
      <c r="B863" t="s">
        <v>111</v>
      </c>
      <c r="C863" t="s">
        <v>91</v>
      </c>
      <c r="D863" s="1" t="s">
        <v>104</v>
      </c>
      <c r="E863" t="s">
        <v>93</v>
      </c>
      <c r="F863" t="s">
        <v>16</v>
      </c>
      <c r="G863">
        <v>5</v>
      </c>
      <c r="H863">
        <v>0</v>
      </c>
      <c r="I863" s="5">
        <f>VLOOKUP(TrendSheetStgData[Population]&amp;TrendSheetStgData[Cost Basis]&amp;TrendSheetStgData[Period]&amp;TrendSheetStgData[Trend],TrendSheetPrdData[#All],9,FALSE)</f>
        <v>0</v>
      </c>
      <c r="J8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3" s="5">
        <f>VLOOKUP(TrendSheetStgData[Population]&amp;TrendSheetStgData[Trend],Threshold[#All],4,FALSE)</f>
        <v>10</v>
      </c>
      <c r="L863" s="5">
        <f>VLOOKUP(TrendSheetStgData[Population]&amp;TrendSheetStgData[Trend],Threshold[#All],5,FALSE)</f>
        <v>5</v>
      </c>
      <c r="M8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4" spans="1:13" x14ac:dyDescent="0.25">
      <c r="A864" t="s">
        <v>111</v>
      </c>
      <c r="B864" t="s">
        <v>111</v>
      </c>
      <c r="C864" t="s">
        <v>91</v>
      </c>
      <c r="D864" s="1" t="s">
        <v>105</v>
      </c>
      <c r="E864" t="s">
        <v>108</v>
      </c>
      <c r="F864" t="s">
        <v>16</v>
      </c>
      <c r="G864">
        <v>5</v>
      </c>
      <c r="H864">
        <v>0</v>
      </c>
      <c r="I864" s="5">
        <f>VLOOKUP(TrendSheetStgData[Population]&amp;TrendSheetStgData[Cost Basis]&amp;TrendSheetStgData[Period]&amp;TrendSheetStgData[Trend],TrendSheetPrdData[#All],9,FALSE)</f>
        <v>0</v>
      </c>
      <c r="J8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4" s="5">
        <f>VLOOKUP(TrendSheetStgData[Population]&amp;TrendSheetStgData[Trend],Threshold[#All],4,FALSE)</f>
        <v>10</v>
      </c>
      <c r="L864" s="5">
        <f>VLOOKUP(TrendSheetStgData[Population]&amp;TrendSheetStgData[Trend],Threshold[#All],5,FALSE)</f>
        <v>5</v>
      </c>
      <c r="M8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5" spans="1:13" x14ac:dyDescent="0.25">
      <c r="A865" t="s">
        <v>111</v>
      </c>
      <c r="B865" t="s">
        <v>111</v>
      </c>
      <c r="C865" t="s">
        <v>91</v>
      </c>
      <c r="D865" s="1" t="s">
        <v>106</v>
      </c>
      <c r="E865" t="s">
        <v>108</v>
      </c>
      <c r="F865" t="s">
        <v>16</v>
      </c>
      <c r="G865">
        <v>5</v>
      </c>
      <c r="H865">
        <v>1</v>
      </c>
      <c r="I865" s="5">
        <f>VLOOKUP(TrendSheetStgData[Population]&amp;TrendSheetStgData[Cost Basis]&amp;TrendSheetStgData[Period]&amp;TrendSheetStgData[Trend],TrendSheetPrdData[#All],9,FALSE)</f>
        <v>1</v>
      </c>
      <c r="J8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5" s="5">
        <f>VLOOKUP(TrendSheetStgData[Population]&amp;TrendSheetStgData[Trend],Threshold[#All],4,FALSE)</f>
        <v>10</v>
      </c>
      <c r="L865" s="5">
        <f>VLOOKUP(TrendSheetStgData[Population]&amp;TrendSheetStgData[Trend],Threshold[#All],5,FALSE)</f>
        <v>5</v>
      </c>
      <c r="M8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6" spans="1:13" x14ac:dyDescent="0.25">
      <c r="A866" t="s">
        <v>111</v>
      </c>
      <c r="B866" t="s">
        <v>111</v>
      </c>
      <c r="C866" t="s">
        <v>91</v>
      </c>
      <c r="D866" s="1" t="s">
        <v>107</v>
      </c>
      <c r="E866" t="s">
        <v>108</v>
      </c>
      <c r="F866" t="s">
        <v>16</v>
      </c>
      <c r="G866">
        <v>5</v>
      </c>
      <c r="H866">
        <v>0</v>
      </c>
      <c r="I866" s="5">
        <f>VLOOKUP(TrendSheetStgData[Population]&amp;TrendSheetStgData[Cost Basis]&amp;TrendSheetStgData[Period]&amp;TrendSheetStgData[Trend],TrendSheetPrdData[#All],9,FALSE)</f>
        <v>0</v>
      </c>
      <c r="J8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6" s="5">
        <f>VLOOKUP(TrendSheetStgData[Population]&amp;TrendSheetStgData[Trend],Threshold[#All],4,FALSE)</f>
        <v>10</v>
      </c>
      <c r="L866" s="5">
        <f>VLOOKUP(TrendSheetStgData[Population]&amp;TrendSheetStgData[Trend],Threshold[#All],5,FALSE)</f>
        <v>5</v>
      </c>
      <c r="M8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7" spans="1:13" x14ac:dyDescent="0.25">
      <c r="A867" t="s">
        <v>111</v>
      </c>
      <c r="B867" t="s">
        <v>111</v>
      </c>
      <c r="C867" t="s">
        <v>91</v>
      </c>
      <c r="D867" s="1" t="s">
        <v>109</v>
      </c>
      <c r="E867" t="s">
        <v>108</v>
      </c>
      <c r="F867" t="s">
        <v>16</v>
      </c>
      <c r="G867">
        <v>5</v>
      </c>
      <c r="H867">
        <v>0</v>
      </c>
      <c r="I867" s="5">
        <f>VLOOKUP(TrendSheetStgData[Population]&amp;TrendSheetStgData[Cost Basis]&amp;TrendSheetStgData[Period]&amp;TrendSheetStgData[Trend],TrendSheetPrdData[#All],9,FALSE)</f>
        <v>0</v>
      </c>
      <c r="J8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7" s="5">
        <f>VLOOKUP(TrendSheetStgData[Population]&amp;TrendSheetStgData[Trend],Threshold[#All],4,FALSE)</f>
        <v>10</v>
      </c>
      <c r="L867" s="5">
        <f>VLOOKUP(TrendSheetStgData[Population]&amp;TrendSheetStgData[Trend],Threshold[#All],5,FALSE)</f>
        <v>5</v>
      </c>
      <c r="M8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8" spans="1:13" x14ac:dyDescent="0.25">
      <c r="A868" t="s">
        <v>111</v>
      </c>
      <c r="B868" t="s">
        <v>111</v>
      </c>
      <c r="C868" t="s">
        <v>91</v>
      </c>
      <c r="D868" s="1" t="s">
        <v>110</v>
      </c>
      <c r="E868" t="s">
        <v>108</v>
      </c>
      <c r="F868" t="s">
        <v>16</v>
      </c>
      <c r="G868">
        <v>5</v>
      </c>
      <c r="H868">
        <v>0</v>
      </c>
      <c r="I868" s="5">
        <f>VLOOKUP(TrendSheetStgData[Population]&amp;TrendSheetStgData[Cost Basis]&amp;TrendSheetStgData[Period]&amp;TrendSheetStgData[Trend],TrendSheetPrdData[#All],9,FALSE)</f>
        <v>0</v>
      </c>
      <c r="J8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8" s="5">
        <f>VLOOKUP(TrendSheetStgData[Population]&amp;TrendSheetStgData[Trend],Threshold[#All],4,FALSE)</f>
        <v>10</v>
      </c>
      <c r="L868" s="5">
        <f>VLOOKUP(TrendSheetStgData[Population]&amp;TrendSheetStgData[Trend],Threshold[#All],5,FALSE)</f>
        <v>5</v>
      </c>
      <c r="M8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9" spans="1:13" x14ac:dyDescent="0.25">
      <c r="A869" t="s">
        <v>111</v>
      </c>
      <c r="B869" t="s">
        <v>111</v>
      </c>
      <c r="C869" t="s">
        <v>91</v>
      </c>
      <c r="D869" s="1" t="s">
        <v>92</v>
      </c>
      <c r="E869" t="s">
        <v>93</v>
      </c>
      <c r="F869" t="s">
        <v>17</v>
      </c>
      <c r="G869">
        <v>6</v>
      </c>
      <c r="H869">
        <v>5268.9</v>
      </c>
      <c r="I869" s="5">
        <f>VLOOKUP(TrendSheetStgData[Population]&amp;TrendSheetStgData[Cost Basis]&amp;TrendSheetStgData[Period]&amp;TrendSheetStgData[Trend],TrendSheetPrdData[#All],9,FALSE)</f>
        <v>5268.9</v>
      </c>
      <c r="J8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9" s="5">
        <f>VLOOKUP(TrendSheetStgData[Population]&amp;TrendSheetStgData[Trend],Threshold[#All],4,FALSE)</f>
        <v>10</v>
      </c>
      <c r="L869" s="5">
        <f>VLOOKUP(TrendSheetStgData[Population]&amp;TrendSheetStgData[Trend],Threshold[#All],5,FALSE)</f>
        <v>5</v>
      </c>
      <c r="M8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0" spans="1:13" x14ac:dyDescent="0.25">
      <c r="A870" t="s">
        <v>111</v>
      </c>
      <c r="B870" t="s">
        <v>111</v>
      </c>
      <c r="C870" t="s">
        <v>91</v>
      </c>
      <c r="D870" s="1" t="s">
        <v>94</v>
      </c>
      <c r="E870" t="s">
        <v>93</v>
      </c>
      <c r="F870" t="s">
        <v>17</v>
      </c>
      <c r="G870">
        <v>6</v>
      </c>
      <c r="H870">
        <v>0</v>
      </c>
      <c r="I870" s="5">
        <f>VLOOKUP(TrendSheetStgData[Population]&amp;TrendSheetStgData[Cost Basis]&amp;TrendSheetStgData[Period]&amp;TrendSheetStgData[Trend],TrendSheetPrdData[#All],9,FALSE)</f>
        <v>0</v>
      </c>
      <c r="J8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0" s="5">
        <f>VLOOKUP(TrendSheetStgData[Population]&amp;TrendSheetStgData[Trend],Threshold[#All],4,FALSE)</f>
        <v>10</v>
      </c>
      <c r="L870" s="5">
        <f>VLOOKUP(TrendSheetStgData[Population]&amp;TrendSheetStgData[Trend],Threshold[#All],5,FALSE)</f>
        <v>5</v>
      </c>
      <c r="M8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1" spans="1:13" x14ac:dyDescent="0.25">
      <c r="A871" t="s">
        <v>111</v>
      </c>
      <c r="B871" t="s">
        <v>111</v>
      </c>
      <c r="C871" t="s">
        <v>91</v>
      </c>
      <c r="D871" s="1" t="s">
        <v>95</v>
      </c>
      <c r="E871" t="s">
        <v>93</v>
      </c>
      <c r="F871" t="s">
        <v>17</v>
      </c>
      <c r="G871">
        <v>6</v>
      </c>
      <c r="H871">
        <v>0</v>
      </c>
      <c r="I871" s="5">
        <f>VLOOKUP(TrendSheetStgData[Population]&amp;TrendSheetStgData[Cost Basis]&amp;TrendSheetStgData[Period]&amp;TrendSheetStgData[Trend],TrendSheetPrdData[#All],9,FALSE)</f>
        <v>0</v>
      </c>
      <c r="J8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1" s="5">
        <f>VLOOKUP(TrendSheetStgData[Population]&amp;TrendSheetStgData[Trend],Threshold[#All],4,FALSE)</f>
        <v>10</v>
      </c>
      <c r="L871" s="5">
        <f>VLOOKUP(TrendSheetStgData[Population]&amp;TrendSheetStgData[Trend],Threshold[#All],5,FALSE)</f>
        <v>5</v>
      </c>
      <c r="M8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2" spans="1:13" x14ac:dyDescent="0.25">
      <c r="A872" t="s">
        <v>111</v>
      </c>
      <c r="B872" t="s">
        <v>111</v>
      </c>
      <c r="C872" t="s">
        <v>91</v>
      </c>
      <c r="D872" s="1" t="s">
        <v>96</v>
      </c>
      <c r="E872" t="s">
        <v>93</v>
      </c>
      <c r="F872" t="s">
        <v>17</v>
      </c>
      <c r="G872">
        <v>6</v>
      </c>
      <c r="H872">
        <v>72800.25</v>
      </c>
      <c r="I872" s="5">
        <f>VLOOKUP(TrendSheetStgData[Population]&amp;TrendSheetStgData[Cost Basis]&amp;TrendSheetStgData[Period]&amp;TrendSheetStgData[Trend],TrendSheetPrdData[#All],9,FALSE)</f>
        <v>72800.25</v>
      </c>
      <c r="J8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2" s="5">
        <f>VLOOKUP(TrendSheetStgData[Population]&amp;TrendSheetStgData[Trend],Threshold[#All],4,FALSE)</f>
        <v>10</v>
      </c>
      <c r="L872" s="5">
        <f>VLOOKUP(TrendSheetStgData[Population]&amp;TrendSheetStgData[Trend],Threshold[#All],5,FALSE)</f>
        <v>5</v>
      </c>
      <c r="M8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3" spans="1:13" x14ac:dyDescent="0.25">
      <c r="A873" t="s">
        <v>111</v>
      </c>
      <c r="B873" t="s">
        <v>111</v>
      </c>
      <c r="C873" t="s">
        <v>91</v>
      </c>
      <c r="D873" s="1" t="s">
        <v>97</v>
      </c>
      <c r="E873" t="s">
        <v>93</v>
      </c>
      <c r="F873" t="s">
        <v>17</v>
      </c>
      <c r="G873">
        <v>6</v>
      </c>
      <c r="H873">
        <v>0</v>
      </c>
      <c r="I873" s="5">
        <f>VLOOKUP(TrendSheetStgData[Population]&amp;TrendSheetStgData[Cost Basis]&amp;TrendSheetStgData[Period]&amp;TrendSheetStgData[Trend],TrendSheetPrdData[#All],9,FALSE)</f>
        <v>0</v>
      </c>
      <c r="J8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3" s="5">
        <f>VLOOKUP(TrendSheetStgData[Population]&amp;TrendSheetStgData[Trend],Threshold[#All],4,FALSE)</f>
        <v>10</v>
      </c>
      <c r="L873" s="5">
        <f>VLOOKUP(TrendSheetStgData[Population]&amp;TrendSheetStgData[Trend],Threshold[#All],5,FALSE)</f>
        <v>5</v>
      </c>
      <c r="M8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4" spans="1:13" x14ac:dyDescent="0.25">
      <c r="A874" t="s">
        <v>111</v>
      </c>
      <c r="B874" t="s">
        <v>111</v>
      </c>
      <c r="C874" t="s">
        <v>91</v>
      </c>
      <c r="D874" s="1" t="s">
        <v>98</v>
      </c>
      <c r="E874" t="s">
        <v>93</v>
      </c>
      <c r="F874" t="s">
        <v>17</v>
      </c>
      <c r="G874">
        <v>6</v>
      </c>
      <c r="H874">
        <v>0</v>
      </c>
      <c r="I874" s="5">
        <f>VLOOKUP(TrendSheetStgData[Population]&amp;TrendSheetStgData[Cost Basis]&amp;TrendSheetStgData[Period]&amp;TrendSheetStgData[Trend],TrendSheetPrdData[#All],9,FALSE)</f>
        <v>0</v>
      </c>
      <c r="J8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4" s="5">
        <f>VLOOKUP(TrendSheetStgData[Population]&amp;TrendSheetStgData[Trend],Threshold[#All],4,FALSE)</f>
        <v>10</v>
      </c>
      <c r="L874" s="5">
        <f>VLOOKUP(TrendSheetStgData[Population]&amp;TrendSheetStgData[Trend],Threshold[#All],5,FALSE)</f>
        <v>5</v>
      </c>
      <c r="M8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5" spans="1:13" x14ac:dyDescent="0.25">
      <c r="A875" t="s">
        <v>111</v>
      </c>
      <c r="B875" t="s">
        <v>111</v>
      </c>
      <c r="C875" t="s">
        <v>91</v>
      </c>
      <c r="D875" s="1" t="s">
        <v>99</v>
      </c>
      <c r="E875" t="s">
        <v>93</v>
      </c>
      <c r="F875" t="s">
        <v>17</v>
      </c>
      <c r="G875">
        <v>6</v>
      </c>
      <c r="H875">
        <v>11207.61</v>
      </c>
      <c r="I875" s="5">
        <f>VLOOKUP(TrendSheetStgData[Population]&amp;TrendSheetStgData[Cost Basis]&amp;TrendSheetStgData[Period]&amp;TrendSheetStgData[Trend],TrendSheetPrdData[#All],9,FALSE)</f>
        <v>11207.61</v>
      </c>
      <c r="J8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5" s="5">
        <f>VLOOKUP(TrendSheetStgData[Population]&amp;TrendSheetStgData[Trend],Threshold[#All],4,FALSE)</f>
        <v>10</v>
      </c>
      <c r="L875" s="5">
        <f>VLOOKUP(TrendSheetStgData[Population]&amp;TrendSheetStgData[Trend],Threshold[#All],5,FALSE)</f>
        <v>5</v>
      </c>
      <c r="M8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6" spans="1:13" x14ac:dyDescent="0.25">
      <c r="A876" t="s">
        <v>111</v>
      </c>
      <c r="B876" t="s">
        <v>111</v>
      </c>
      <c r="C876" t="s">
        <v>91</v>
      </c>
      <c r="D876" s="1" t="s">
        <v>100</v>
      </c>
      <c r="E876" t="s">
        <v>93</v>
      </c>
      <c r="F876" t="s">
        <v>17</v>
      </c>
      <c r="G876">
        <v>6</v>
      </c>
      <c r="H876">
        <v>0</v>
      </c>
      <c r="I876" s="5">
        <f>VLOOKUP(TrendSheetStgData[Population]&amp;TrendSheetStgData[Cost Basis]&amp;TrendSheetStgData[Period]&amp;TrendSheetStgData[Trend],TrendSheetPrdData[#All],9,FALSE)</f>
        <v>0</v>
      </c>
      <c r="J8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6" s="5">
        <f>VLOOKUP(TrendSheetStgData[Population]&amp;TrendSheetStgData[Trend],Threshold[#All],4,FALSE)</f>
        <v>10</v>
      </c>
      <c r="L876" s="5">
        <f>VLOOKUP(TrendSheetStgData[Population]&amp;TrendSheetStgData[Trend],Threshold[#All],5,FALSE)</f>
        <v>5</v>
      </c>
      <c r="M8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7" spans="1:13" x14ac:dyDescent="0.25">
      <c r="A877" t="s">
        <v>111</v>
      </c>
      <c r="B877" t="s">
        <v>111</v>
      </c>
      <c r="C877" t="s">
        <v>91</v>
      </c>
      <c r="D877" s="1" t="s">
        <v>101</v>
      </c>
      <c r="E877" t="s">
        <v>93</v>
      </c>
      <c r="F877" t="s">
        <v>17</v>
      </c>
      <c r="G877">
        <v>6</v>
      </c>
      <c r="H877">
        <v>0</v>
      </c>
      <c r="I877" s="5">
        <f>VLOOKUP(TrendSheetStgData[Population]&amp;TrendSheetStgData[Cost Basis]&amp;TrendSheetStgData[Period]&amp;TrendSheetStgData[Trend],TrendSheetPrdData[#All],9,FALSE)</f>
        <v>0</v>
      </c>
      <c r="J8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7" s="5">
        <f>VLOOKUP(TrendSheetStgData[Population]&amp;TrendSheetStgData[Trend],Threshold[#All],4,FALSE)</f>
        <v>10</v>
      </c>
      <c r="L877" s="5">
        <f>VLOOKUP(TrendSheetStgData[Population]&amp;TrendSheetStgData[Trend],Threshold[#All],5,FALSE)</f>
        <v>5</v>
      </c>
      <c r="M8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8" spans="1:13" x14ac:dyDescent="0.25">
      <c r="A878" t="s">
        <v>111</v>
      </c>
      <c r="B878" t="s">
        <v>111</v>
      </c>
      <c r="C878" t="s">
        <v>91</v>
      </c>
      <c r="D878" s="1" t="s">
        <v>102</v>
      </c>
      <c r="E878" t="s">
        <v>93</v>
      </c>
      <c r="F878" t="s">
        <v>17</v>
      </c>
      <c r="G878">
        <v>6</v>
      </c>
      <c r="H878">
        <v>8351.01</v>
      </c>
      <c r="I878" s="5">
        <f>VLOOKUP(TrendSheetStgData[Population]&amp;TrendSheetStgData[Cost Basis]&amp;TrendSheetStgData[Period]&amp;TrendSheetStgData[Trend],TrendSheetPrdData[#All],9,FALSE)</f>
        <v>8351.01</v>
      </c>
      <c r="J8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8" s="5">
        <f>VLOOKUP(TrendSheetStgData[Population]&amp;TrendSheetStgData[Trend],Threshold[#All],4,FALSE)</f>
        <v>10</v>
      </c>
      <c r="L878" s="5">
        <f>VLOOKUP(TrendSheetStgData[Population]&amp;TrendSheetStgData[Trend],Threshold[#All],5,FALSE)</f>
        <v>5</v>
      </c>
      <c r="M8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9" spans="1:13" x14ac:dyDescent="0.25">
      <c r="A879" t="s">
        <v>111</v>
      </c>
      <c r="B879" t="s">
        <v>111</v>
      </c>
      <c r="C879" t="s">
        <v>91</v>
      </c>
      <c r="D879" s="1" t="s">
        <v>103</v>
      </c>
      <c r="E879" t="s">
        <v>93</v>
      </c>
      <c r="F879" t="s">
        <v>17</v>
      </c>
      <c r="G879">
        <v>6</v>
      </c>
      <c r="H879">
        <v>31217.65</v>
      </c>
      <c r="I879" s="5">
        <f>VLOOKUP(TrendSheetStgData[Population]&amp;TrendSheetStgData[Cost Basis]&amp;TrendSheetStgData[Period]&amp;TrendSheetStgData[Trend],TrendSheetPrdData[#All],9,FALSE)</f>
        <v>31217.65</v>
      </c>
      <c r="J8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9" s="5">
        <f>VLOOKUP(TrendSheetStgData[Population]&amp;TrendSheetStgData[Trend],Threshold[#All],4,FALSE)</f>
        <v>10</v>
      </c>
      <c r="L879" s="5">
        <f>VLOOKUP(TrendSheetStgData[Population]&amp;TrendSheetStgData[Trend],Threshold[#All],5,FALSE)</f>
        <v>5</v>
      </c>
      <c r="M8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0" spans="1:13" x14ac:dyDescent="0.25">
      <c r="A880" t="s">
        <v>111</v>
      </c>
      <c r="B880" t="s">
        <v>111</v>
      </c>
      <c r="C880" t="s">
        <v>91</v>
      </c>
      <c r="D880" s="1" t="s">
        <v>104</v>
      </c>
      <c r="E880" t="s">
        <v>93</v>
      </c>
      <c r="F880" t="s">
        <v>17</v>
      </c>
      <c r="G880">
        <v>6</v>
      </c>
      <c r="H880">
        <v>0</v>
      </c>
      <c r="I880" s="5">
        <f>VLOOKUP(TrendSheetStgData[Population]&amp;TrendSheetStgData[Cost Basis]&amp;TrendSheetStgData[Period]&amp;TrendSheetStgData[Trend],TrendSheetPrdData[#All],9,FALSE)</f>
        <v>0</v>
      </c>
      <c r="J8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0" s="5">
        <f>VLOOKUP(TrendSheetStgData[Population]&amp;TrendSheetStgData[Trend],Threshold[#All],4,FALSE)</f>
        <v>10</v>
      </c>
      <c r="L880" s="5">
        <f>VLOOKUP(TrendSheetStgData[Population]&amp;TrendSheetStgData[Trend],Threshold[#All],5,FALSE)</f>
        <v>5</v>
      </c>
      <c r="M8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1" spans="1:13" x14ac:dyDescent="0.25">
      <c r="A881" t="s">
        <v>111</v>
      </c>
      <c r="B881" t="s">
        <v>111</v>
      </c>
      <c r="C881" t="s">
        <v>91</v>
      </c>
      <c r="D881" s="1" t="s">
        <v>105</v>
      </c>
      <c r="E881" t="s">
        <v>108</v>
      </c>
      <c r="F881" t="s">
        <v>17</v>
      </c>
      <c r="G881">
        <v>6</v>
      </c>
      <c r="H881">
        <v>7888.05</v>
      </c>
      <c r="I881" s="5">
        <f>VLOOKUP(TrendSheetStgData[Population]&amp;TrendSheetStgData[Cost Basis]&amp;TrendSheetStgData[Period]&amp;TrendSheetStgData[Trend],TrendSheetPrdData[#All],9,FALSE)</f>
        <v>7888.05</v>
      </c>
      <c r="J8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1" s="5">
        <f>VLOOKUP(TrendSheetStgData[Population]&amp;TrendSheetStgData[Trend],Threshold[#All],4,FALSE)</f>
        <v>10</v>
      </c>
      <c r="L881" s="5">
        <f>VLOOKUP(TrendSheetStgData[Population]&amp;TrendSheetStgData[Trend],Threshold[#All],5,FALSE)</f>
        <v>5</v>
      </c>
      <c r="M8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2" spans="1:13" x14ac:dyDescent="0.25">
      <c r="A882" t="s">
        <v>111</v>
      </c>
      <c r="B882" t="s">
        <v>111</v>
      </c>
      <c r="C882" t="s">
        <v>91</v>
      </c>
      <c r="D882" s="1" t="s">
        <v>106</v>
      </c>
      <c r="E882" t="s">
        <v>108</v>
      </c>
      <c r="F882" t="s">
        <v>17</v>
      </c>
      <c r="G882">
        <v>6</v>
      </c>
      <c r="H882">
        <v>0</v>
      </c>
      <c r="I882" s="5">
        <f>VLOOKUP(TrendSheetStgData[Population]&amp;TrendSheetStgData[Cost Basis]&amp;TrendSheetStgData[Period]&amp;TrendSheetStgData[Trend],TrendSheetPrdData[#All],9,FALSE)</f>
        <v>0</v>
      </c>
      <c r="J8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2" s="5">
        <f>VLOOKUP(TrendSheetStgData[Population]&amp;TrendSheetStgData[Trend],Threshold[#All],4,FALSE)</f>
        <v>10</v>
      </c>
      <c r="L882" s="5">
        <f>VLOOKUP(TrendSheetStgData[Population]&amp;TrendSheetStgData[Trend],Threshold[#All],5,FALSE)</f>
        <v>5</v>
      </c>
      <c r="M8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3" spans="1:13" x14ac:dyDescent="0.25">
      <c r="A883" t="s">
        <v>111</v>
      </c>
      <c r="B883" t="s">
        <v>111</v>
      </c>
      <c r="C883" t="s">
        <v>91</v>
      </c>
      <c r="D883" s="1" t="s">
        <v>107</v>
      </c>
      <c r="E883" t="s">
        <v>108</v>
      </c>
      <c r="F883" t="s">
        <v>17</v>
      </c>
      <c r="G883">
        <v>6</v>
      </c>
      <c r="H883">
        <v>0</v>
      </c>
      <c r="I883" s="5">
        <f>VLOOKUP(TrendSheetStgData[Population]&amp;TrendSheetStgData[Cost Basis]&amp;TrendSheetStgData[Period]&amp;TrendSheetStgData[Trend],TrendSheetPrdData[#All],9,FALSE)</f>
        <v>0</v>
      </c>
      <c r="J8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3" s="5">
        <f>VLOOKUP(TrendSheetStgData[Population]&amp;TrendSheetStgData[Trend],Threshold[#All],4,FALSE)</f>
        <v>10</v>
      </c>
      <c r="L883" s="5">
        <f>VLOOKUP(TrendSheetStgData[Population]&amp;TrendSheetStgData[Trend],Threshold[#All],5,FALSE)</f>
        <v>5</v>
      </c>
      <c r="M8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4" spans="1:13" x14ac:dyDescent="0.25">
      <c r="A884" t="s">
        <v>111</v>
      </c>
      <c r="B884" t="s">
        <v>111</v>
      </c>
      <c r="C884" t="s">
        <v>91</v>
      </c>
      <c r="D884" s="1" t="s">
        <v>109</v>
      </c>
      <c r="E884" t="s">
        <v>108</v>
      </c>
      <c r="F884" t="s">
        <v>17</v>
      </c>
      <c r="G884">
        <v>6</v>
      </c>
      <c r="H884">
        <v>0</v>
      </c>
      <c r="I884" s="5">
        <f>VLOOKUP(TrendSheetStgData[Population]&amp;TrendSheetStgData[Cost Basis]&amp;TrendSheetStgData[Period]&amp;TrendSheetStgData[Trend],TrendSheetPrdData[#All],9,FALSE)</f>
        <v>0</v>
      </c>
      <c r="J8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4" s="5">
        <f>VLOOKUP(TrendSheetStgData[Population]&amp;TrendSheetStgData[Trend],Threshold[#All],4,FALSE)</f>
        <v>10</v>
      </c>
      <c r="L884" s="5">
        <f>VLOOKUP(TrendSheetStgData[Population]&amp;TrendSheetStgData[Trend],Threshold[#All],5,FALSE)</f>
        <v>5</v>
      </c>
      <c r="M8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5" spans="1:13" x14ac:dyDescent="0.25">
      <c r="A885" t="s">
        <v>111</v>
      </c>
      <c r="B885" t="s">
        <v>111</v>
      </c>
      <c r="C885" t="s">
        <v>91</v>
      </c>
      <c r="D885" s="1" t="s">
        <v>110</v>
      </c>
      <c r="E885" t="s">
        <v>108</v>
      </c>
      <c r="F885" t="s">
        <v>17</v>
      </c>
      <c r="G885">
        <v>6</v>
      </c>
      <c r="H885">
        <v>0</v>
      </c>
      <c r="I885" s="5">
        <f>VLOOKUP(TrendSheetStgData[Population]&amp;TrendSheetStgData[Cost Basis]&amp;TrendSheetStgData[Period]&amp;TrendSheetStgData[Trend],TrendSheetPrdData[#All],9,FALSE)</f>
        <v>0</v>
      </c>
      <c r="J8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5" s="5">
        <f>VLOOKUP(TrendSheetStgData[Population]&amp;TrendSheetStgData[Trend],Threshold[#All],4,FALSE)</f>
        <v>10</v>
      </c>
      <c r="L885" s="5">
        <f>VLOOKUP(TrendSheetStgData[Population]&amp;TrendSheetStgData[Trend],Threshold[#All],5,FALSE)</f>
        <v>5</v>
      </c>
      <c r="M8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6" spans="1:13" x14ac:dyDescent="0.25">
      <c r="A886" t="s">
        <v>111</v>
      </c>
      <c r="B886" t="s">
        <v>111</v>
      </c>
      <c r="C886" t="s">
        <v>91</v>
      </c>
      <c r="D886" s="1" t="s">
        <v>92</v>
      </c>
      <c r="E886" t="s">
        <v>93</v>
      </c>
      <c r="F886" t="s">
        <v>18</v>
      </c>
      <c r="G886">
        <v>7</v>
      </c>
      <c r="H886">
        <v>2</v>
      </c>
      <c r="I886" s="5">
        <f>VLOOKUP(TrendSheetStgData[Population]&amp;TrendSheetStgData[Cost Basis]&amp;TrendSheetStgData[Period]&amp;TrendSheetStgData[Trend],TrendSheetPrdData[#All],9,FALSE)</f>
        <v>2</v>
      </c>
      <c r="J8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6" s="5">
        <f>VLOOKUP(TrendSheetStgData[Population]&amp;TrendSheetStgData[Trend],Threshold[#All],4,FALSE)</f>
        <v>10</v>
      </c>
      <c r="L886" s="5">
        <f>VLOOKUP(TrendSheetStgData[Population]&amp;TrendSheetStgData[Trend],Threshold[#All],5,FALSE)</f>
        <v>5</v>
      </c>
      <c r="M8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7" spans="1:13" x14ac:dyDescent="0.25">
      <c r="A887" t="s">
        <v>111</v>
      </c>
      <c r="B887" t="s">
        <v>111</v>
      </c>
      <c r="C887" t="s">
        <v>91</v>
      </c>
      <c r="D887" s="1" t="s">
        <v>94</v>
      </c>
      <c r="E887" t="s">
        <v>93</v>
      </c>
      <c r="F887" t="s">
        <v>18</v>
      </c>
      <c r="G887">
        <v>7</v>
      </c>
      <c r="H887">
        <v>0</v>
      </c>
      <c r="I887" s="5">
        <f>VLOOKUP(TrendSheetStgData[Population]&amp;TrendSheetStgData[Cost Basis]&amp;TrendSheetStgData[Period]&amp;TrendSheetStgData[Trend],TrendSheetPrdData[#All],9,FALSE)</f>
        <v>0</v>
      </c>
      <c r="J8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7" s="5">
        <f>VLOOKUP(TrendSheetStgData[Population]&amp;TrendSheetStgData[Trend],Threshold[#All],4,FALSE)</f>
        <v>10</v>
      </c>
      <c r="L887" s="5">
        <f>VLOOKUP(TrendSheetStgData[Population]&amp;TrendSheetStgData[Trend],Threshold[#All],5,FALSE)</f>
        <v>5</v>
      </c>
      <c r="M8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8" spans="1:13" x14ac:dyDescent="0.25">
      <c r="A888" t="s">
        <v>111</v>
      </c>
      <c r="B888" t="s">
        <v>111</v>
      </c>
      <c r="C888" t="s">
        <v>91</v>
      </c>
      <c r="D888" s="1" t="s">
        <v>95</v>
      </c>
      <c r="E888" t="s">
        <v>93</v>
      </c>
      <c r="F888" t="s">
        <v>18</v>
      </c>
      <c r="G888">
        <v>7</v>
      </c>
      <c r="H888">
        <v>0</v>
      </c>
      <c r="I888" s="5">
        <f>VLOOKUP(TrendSheetStgData[Population]&amp;TrendSheetStgData[Cost Basis]&amp;TrendSheetStgData[Period]&amp;TrendSheetStgData[Trend],TrendSheetPrdData[#All],9,FALSE)</f>
        <v>0</v>
      </c>
      <c r="J8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8" s="5">
        <f>VLOOKUP(TrendSheetStgData[Population]&amp;TrendSheetStgData[Trend],Threshold[#All],4,FALSE)</f>
        <v>10</v>
      </c>
      <c r="L888" s="5">
        <f>VLOOKUP(TrendSheetStgData[Population]&amp;TrendSheetStgData[Trend],Threshold[#All],5,FALSE)</f>
        <v>5</v>
      </c>
      <c r="M8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9" spans="1:13" x14ac:dyDescent="0.25">
      <c r="A889" t="s">
        <v>111</v>
      </c>
      <c r="B889" t="s">
        <v>111</v>
      </c>
      <c r="C889" t="s">
        <v>91</v>
      </c>
      <c r="D889" s="1" t="s">
        <v>96</v>
      </c>
      <c r="E889" t="s">
        <v>93</v>
      </c>
      <c r="F889" t="s">
        <v>18</v>
      </c>
      <c r="G889">
        <v>7</v>
      </c>
      <c r="H889">
        <v>1</v>
      </c>
      <c r="I889" s="5">
        <f>VLOOKUP(TrendSheetStgData[Population]&amp;TrendSheetStgData[Cost Basis]&amp;TrendSheetStgData[Period]&amp;TrendSheetStgData[Trend],TrendSheetPrdData[#All],9,FALSE)</f>
        <v>1</v>
      </c>
      <c r="J8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9" s="5">
        <f>VLOOKUP(TrendSheetStgData[Population]&amp;TrendSheetStgData[Trend],Threshold[#All],4,FALSE)</f>
        <v>10</v>
      </c>
      <c r="L889" s="5">
        <f>VLOOKUP(TrendSheetStgData[Population]&amp;TrendSheetStgData[Trend],Threshold[#All],5,FALSE)</f>
        <v>5</v>
      </c>
      <c r="M8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0" spans="1:13" x14ac:dyDescent="0.25">
      <c r="A890" t="s">
        <v>111</v>
      </c>
      <c r="B890" t="s">
        <v>111</v>
      </c>
      <c r="C890" t="s">
        <v>91</v>
      </c>
      <c r="D890" s="1" t="s">
        <v>97</v>
      </c>
      <c r="E890" t="s">
        <v>93</v>
      </c>
      <c r="F890" t="s">
        <v>18</v>
      </c>
      <c r="G890">
        <v>7</v>
      </c>
      <c r="H890">
        <v>0</v>
      </c>
      <c r="I890" s="5">
        <f>VLOOKUP(TrendSheetStgData[Population]&amp;TrendSheetStgData[Cost Basis]&amp;TrendSheetStgData[Period]&amp;TrendSheetStgData[Trend],TrendSheetPrdData[#All],9,FALSE)</f>
        <v>0</v>
      </c>
      <c r="J8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0" s="5">
        <f>VLOOKUP(TrendSheetStgData[Population]&amp;TrendSheetStgData[Trend],Threshold[#All],4,FALSE)</f>
        <v>10</v>
      </c>
      <c r="L890" s="5">
        <f>VLOOKUP(TrendSheetStgData[Population]&amp;TrendSheetStgData[Trend],Threshold[#All],5,FALSE)</f>
        <v>5</v>
      </c>
      <c r="M8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1" spans="1:13" x14ac:dyDescent="0.25">
      <c r="A891" t="s">
        <v>111</v>
      </c>
      <c r="B891" t="s">
        <v>111</v>
      </c>
      <c r="C891" t="s">
        <v>91</v>
      </c>
      <c r="D891" s="1" t="s">
        <v>98</v>
      </c>
      <c r="E891" t="s">
        <v>93</v>
      </c>
      <c r="F891" t="s">
        <v>18</v>
      </c>
      <c r="G891">
        <v>7</v>
      </c>
      <c r="H891">
        <v>0</v>
      </c>
      <c r="I891" s="5">
        <f>VLOOKUP(TrendSheetStgData[Population]&amp;TrendSheetStgData[Cost Basis]&amp;TrendSheetStgData[Period]&amp;TrendSheetStgData[Trend],TrendSheetPrdData[#All],9,FALSE)</f>
        <v>0</v>
      </c>
      <c r="J8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1" s="5">
        <f>VLOOKUP(TrendSheetStgData[Population]&amp;TrendSheetStgData[Trend],Threshold[#All],4,FALSE)</f>
        <v>10</v>
      </c>
      <c r="L891" s="5">
        <f>VLOOKUP(TrendSheetStgData[Population]&amp;TrendSheetStgData[Trend],Threshold[#All],5,FALSE)</f>
        <v>5</v>
      </c>
      <c r="M8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2" spans="1:13" x14ac:dyDescent="0.25">
      <c r="A892" t="s">
        <v>111</v>
      </c>
      <c r="B892" t="s">
        <v>111</v>
      </c>
      <c r="C892" t="s">
        <v>91</v>
      </c>
      <c r="D892" s="1" t="s">
        <v>99</v>
      </c>
      <c r="E892" t="s">
        <v>93</v>
      </c>
      <c r="F892" t="s">
        <v>18</v>
      </c>
      <c r="G892">
        <v>7</v>
      </c>
      <c r="H892">
        <v>1</v>
      </c>
      <c r="I892" s="5">
        <f>VLOOKUP(TrendSheetStgData[Population]&amp;TrendSheetStgData[Cost Basis]&amp;TrendSheetStgData[Period]&amp;TrendSheetStgData[Trend],TrendSheetPrdData[#All],9,FALSE)</f>
        <v>1</v>
      </c>
      <c r="J8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2" s="5">
        <f>VLOOKUP(TrendSheetStgData[Population]&amp;TrendSheetStgData[Trend],Threshold[#All],4,FALSE)</f>
        <v>10</v>
      </c>
      <c r="L892" s="5">
        <f>VLOOKUP(TrendSheetStgData[Population]&amp;TrendSheetStgData[Trend],Threshold[#All],5,FALSE)</f>
        <v>5</v>
      </c>
      <c r="M8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3" spans="1:13" x14ac:dyDescent="0.25">
      <c r="A893" t="s">
        <v>111</v>
      </c>
      <c r="B893" t="s">
        <v>111</v>
      </c>
      <c r="C893" t="s">
        <v>91</v>
      </c>
      <c r="D893" s="1" t="s">
        <v>100</v>
      </c>
      <c r="E893" t="s">
        <v>93</v>
      </c>
      <c r="F893" t="s">
        <v>18</v>
      </c>
      <c r="G893">
        <v>7</v>
      </c>
      <c r="H893">
        <v>0</v>
      </c>
      <c r="I893" s="5">
        <f>VLOOKUP(TrendSheetStgData[Population]&amp;TrendSheetStgData[Cost Basis]&amp;TrendSheetStgData[Period]&amp;TrendSheetStgData[Trend],TrendSheetPrdData[#All],9,FALSE)</f>
        <v>0</v>
      </c>
      <c r="J8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3" s="5">
        <f>VLOOKUP(TrendSheetStgData[Population]&amp;TrendSheetStgData[Trend],Threshold[#All],4,FALSE)</f>
        <v>10</v>
      </c>
      <c r="L893" s="5">
        <f>VLOOKUP(TrendSheetStgData[Population]&amp;TrendSheetStgData[Trend],Threshold[#All],5,FALSE)</f>
        <v>5</v>
      </c>
      <c r="M8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4" spans="1:13" x14ac:dyDescent="0.25">
      <c r="A894" t="s">
        <v>111</v>
      </c>
      <c r="B894" t="s">
        <v>111</v>
      </c>
      <c r="C894" t="s">
        <v>91</v>
      </c>
      <c r="D894" s="1" t="s">
        <v>101</v>
      </c>
      <c r="E894" t="s">
        <v>93</v>
      </c>
      <c r="F894" t="s">
        <v>18</v>
      </c>
      <c r="G894">
        <v>7</v>
      </c>
      <c r="H894">
        <v>0</v>
      </c>
      <c r="I894" s="5">
        <f>VLOOKUP(TrendSheetStgData[Population]&amp;TrendSheetStgData[Cost Basis]&amp;TrendSheetStgData[Period]&amp;TrendSheetStgData[Trend],TrendSheetPrdData[#All],9,FALSE)</f>
        <v>0</v>
      </c>
      <c r="J8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4" s="5">
        <f>VLOOKUP(TrendSheetStgData[Population]&amp;TrendSheetStgData[Trend],Threshold[#All],4,FALSE)</f>
        <v>10</v>
      </c>
      <c r="L894" s="5">
        <f>VLOOKUP(TrendSheetStgData[Population]&amp;TrendSheetStgData[Trend],Threshold[#All],5,FALSE)</f>
        <v>5</v>
      </c>
      <c r="M8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5" spans="1:13" x14ac:dyDescent="0.25">
      <c r="A895" t="s">
        <v>111</v>
      </c>
      <c r="B895" t="s">
        <v>111</v>
      </c>
      <c r="C895" t="s">
        <v>91</v>
      </c>
      <c r="D895" s="1" t="s">
        <v>102</v>
      </c>
      <c r="E895" t="s">
        <v>93</v>
      </c>
      <c r="F895" t="s">
        <v>18</v>
      </c>
      <c r="G895">
        <v>7</v>
      </c>
      <c r="H895">
        <v>1</v>
      </c>
      <c r="I895" s="5">
        <f>VLOOKUP(TrendSheetStgData[Population]&amp;TrendSheetStgData[Cost Basis]&amp;TrendSheetStgData[Period]&amp;TrendSheetStgData[Trend],TrendSheetPrdData[#All],9,FALSE)</f>
        <v>1</v>
      </c>
      <c r="J8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5" s="5">
        <f>VLOOKUP(TrendSheetStgData[Population]&amp;TrendSheetStgData[Trend],Threshold[#All],4,FALSE)</f>
        <v>10</v>
      </c>
      <c r="L895" s="5">
        <f>VLOOKUP(TrendSheetStgData[Population]&amp;TrendSheetStgData[Trend],Threshold[#All],5,FALSE)</f>
        <v>5</v>
      </c>
      <c r="M8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6" spans="1:13" x14ac:dyDescent="0.25">
      <c r="A896" t="s">
        <v>111</v>
      </c>
      <c r="B896" t="s">
        <v>111</v>
      </c>
      <c r="C896" t="s">
        <v>91</v>
      </c>
      <c r="D896" s="1" t="s">
        <v>103</v>
      </c>
      <c r="E896" t="s">
        <v>93</v>
      </c>
      <c r="F896" t="s">
        <v>18</v>
      </c>
      <c r="G896">
        <v>7</v>
      </c>
      <c r="H896">
        <v>2</v>
      </c>
      <c r="I896" s="5">
        <f>VLOOKUP(TrendSheetStgData[Population]&amp;TrendSheetStgData[Cost Basis]&amp;TrendSheetStgData[Period]&amp;TrendSheetStgData[Trend],TrendSheetPrdData[#All],9,FALSE)</f>
        <v>2</v>
      </c>
      <c r="J8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6" s="5">
        <f>VLOOKUP(TrendSheetStgData[Population]&amp;TrendSheetStgData[Trend],Threshold[#All],4,FALSE)</f>
        <v>10</v>
      </c>
      <c r="L896" s="5">
        <f>VLOOKUP(TrendSheetStgData[Population]&amp;TrendSheetStgData[Trend],Threshold[#All],5,FALSE)</f>
        <v>5</v>
      </c>
      <c r="M8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7" spans="1:13" x14ac:dyDescent="0.25">
      <c r="A897" t="s">
        <v>111</v>
      </c>
      <c r="B897" t="s">
        <v>111</v>
      </c>
      <c r="C897" t="s">
        <v>91</v>
      </c>
      <c r="D897" s="1" t="s">
        <v>104</v>
      </c>
      <c r="E897" t="s">
        <v>93</v>
      </c>
      <c r="F897" t="s">
        <v>18</v>
      </c>
      <c r="G897">
        <v>7</v>
      </c>
      <c r="H897">
        <v>0</v>
      </c>
      <c r="I897" s="5">
        <f>VLOOKUP(TrendSheetStgData[Population]&amp;TrendSheetStgData[Cost Basis]&amp;TrendSheetStgData[Period]&amp;TrendSheetStgData[Trend],TrendSheetPrdData[#All],9,FALSE)</f>
        <v>0</v>
      </c>
      <c r="J8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7" s="5">
        <f>VLOOKUP(TrendSheetStgData[Population]&amp;TrendSheetStgData[Trend],Threshold[#All],4,FALSE)</f>
        <v>10</v>
      </c>
      <c r="L897" s="5">
        <f>VLOOKUP(TrendSheetStgData[Population]&amp;TrendSheetStgData[Trend],Threshold[#All],5,FALSE)</f>
        <v>5</v>
      </c>
      <c r="M8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8" spans="1:13" x14ac:dyDescent="0.25">
      <c r="A898" t="s">
        <v>111</v>
      </c>
      <c r="B898" t="s">
        <v>111</v>
      </c>
      <c r="C898" t="s">
        <v>91</v>
      </c>
      <c r="D898" s="1" t="s">
        <v>105</v>
      </c>
      <c r="E898" t="s">
        <v>108</v>
      </c>
      <c r="F898" t="s">
        <v>18</v>
      </c>
      <c r="G898">
        <v>7</v>
      </c>
      <c r="H898">
        <v>1</v>
      </c>
      <c r="I898" s="5">
        <f>VLOOKUP(TrendSheetStgData[Population]&amp;TrendSheetStgData[Cost Basis]&amp;TrendSheetStgData[Period]&amp;TrendSheetStgData[Trend],TrendSheetPrdData[#All],9,FALSE)</f>
        <v>1</v>
      </c>
      <c r="J8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8" s="5">
        <f>VLOOKUP(TrendSheetStgData[Population]&amp;TrendSheetStgData[Trend],Threshold[#All],4,FALSE)</f>
        <v>10</v>
      </c>
      <c r="L898" s="5">
        <f>VLOOKUP(TrendSheetStgData[Population]&amp;TrendSheetStgData[Trend],Threshold[#All],5,FALSE)</f>
        <v>5</v>
      </c>
      <c r="M8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9" spans="1:13" x14ac:dyDescent="0.25">
      <c r="A899" t="s">
        <v>111</v>
      </c>
      <c r="B899" t="s">
        <v>111</v>
      </c>
      <c r="C899" t="s">
        <v>91</v>
      </c>
      <c r="D899" s="1" t="s">
        <v>106</v>
      </c>
      <c r="E899" t="s">
        <v>108</v>
      </c>
      <c r="F899" t="s">
        <v>18</v>
      </c>
      <c r="G899">
        <v>7</v>
      </c>
      <c r="H899">
        <v>0</v>
      </c>
      <c r="I899" s="5">
        <f>VLOOKUP(TrendSheetStgData[Population]&amp;TrendSheetStgData[Cost Basis]&amp;TrendSheetStgData[Period]&amp;TrendSheetStgData[Trend],TrendSheetPrdData[#All],9,FALSE)</f>
        <v>0</v>
      </c>
      <c r="J8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9" s="5">
        <f>VLOOKUP(TrendSheetStgData[Population]&amp;TrendSheetStgData[Trend],Threshold[#All],4,FALSE)</f>
        <v>10</v>
      </c>
      <c r="L899" s="5">
        <f>VLOOKUP(TrendSheetStgData[Population]&amp;TrendSheetStgData[Trend],Threshold[#All],5,FALSE)</f>
        <v>5</v>
      </c>
      <c r="M8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0" spans="1:13" x14ac:dyDescent="0.25">
      <c r="A900" t="s">
        <v>111</v>
      </c>
      <c r="B900" t="s">
        <v>111</v>
      </c>
      <c r="C900" t="s">
        <v>91</v>
      </c>
      <c r="D900" s="1" t="s">
        <v>107</v>
      </c>
      <c r="E900" t="s">
        <v>108</v>
      </c>
      <c r="F900" t="s">
        <v>18</v>
      </c>
      <c r="G900">
        <v>7</v>
      </c>
      <c r="H900">
        <v>0</v>
      </c>
      <c r="I900" s="5">
        <f>VLOOKUP(TrendSheetStgData[Population]&amp;TrendSheetStgData[Cost Basis]&amp;TrendSheetStgData[Period]&amp;TrendSheetStgData[Trend],TrendSheetPrdData[#All],9,FALSE)</f>
        <v>0</v>
      </c>
      <c r="J9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0" s="5">
        <f>VLOOKUP(TrendSheetStgData[Population]&amp;TrendSheetStgData[Trend],Threshold[#All],4,FALSE)</f>
        <v>10</v>
      </c>
      <c r="L900" s="5">
        <f>VLOOKUP(TrendSheetStgData[Population]&amp;TrendSheetStgData[Trend],Threshold[#All],5,FALSE)</f>
        <v>5</v>
      </c>
      <c r="M9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1" spans="1:13" x14ac:dyDescent="0.25">
      <c r="A901" t="s">
        <v>111</v>
      </c>
      <c r="B901" t="s">
        <v>111</v>
      </c>
      <c r="C901" t="s">
        <v>91</v>
      </c>
      <c r="D901" s="1" t="s">
        <v>109</v>
      </c>
      <c r="E901" t="s">
        <v>108</v>
      </c>
      <c r="F901" t="s">
        <v>18</v>
      </c>
      <c r="G901">
        <v>7</v>
      </c>
      <c r="H901">
        <v>0</v>
      </c>
      <c r="I901" s="5">
        <f>VLOOKUP(TrendSheetStgData[Population]&amp;TrendSheetStgData[Cost Basis]&amp;TrendSheetStgData[Period]&amp;TrendSheetStgData[Trend],TrendSheetPrdData[#All],9,FALSE)</f>
        <v>0</v>
      </c>
      <c r="J9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1" s="5">
        <f>VLOOKUP(TrendSheetStgData[Population]&amp;TrendSheetStgData[Trend],Threshold[#All],4,FALSE)</f>
        <v>10</v>
      </c>
      <c r="L901" s="5">
        <f>VLOOKUP(TrendSheetStgData[Population]&amp;TrendSheetStgData[Trend],Threshold[#All],5,FALSE)</f>
        <v>5</v>
      </c>
      <c r="M9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2" spans="1:13" x14ac:dyDescent="0.25">
      <c r="A902" t="s">
        <v>111</v>
      </c>
      <c r="B902" t="s">
        <v>111</v>
      </c>
      <c r="C902" t="s">
        <v>91</v>
      </c>
      <c r="D902" s="1" t="s">
        <v>110</v>
      </c>
      <c r="E902" t="s">
        <v>108</v>
      </c>
      <c r="F902" t="s">
        <v>18</v>
      </c>
      <c r="G902">
        <v>7</v>
      </c>
      <c r="H902">
        <v>0</v>
      </c>
      <c r="I902" s="5">
        <f>VLOOKUP(TrendSheetStgData[Population]&amp;TrendSheetStgData[Cost Basis]&amp;TrendSheetStgData[Period]&amp;TrendSheetStgData[Trend],TrendSheetPrdData[#All],9,FALSE)</f>
        <v>0</v>
      </c>
      <c r="J9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2" s="5">
        <f>VLOOKUP(TrendSheetStgData[Population]&amp;TrendSheetStgData[Trend],Threshold[#All],4,FALSE)</f>
        <v>10</v>
      </c>
      <c r="L902" s="5">
        <f>VLOOKUP(TrendSheetStgData[Population]&amp;TrendSheetStgData[Trend],Threshold[#All],5,FALSE)</f>
        <v>5</v>
      </c>
      <c r="M9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3" spans="1:13" x14ac:dyDescent="0.25">
      <c r="A903" t="s">
        <v>111</v>
      </c>
      <c r="B903" t="s">
        <v>111</v>
      </c>
      <c r="C903" t="s">
        <v>91</v>
      </c>
      <c r="D903" s="1" t="s">
        <v>92</v>
      </c>
      <c r="E903" t="s">
        <v>93</v>
      </c>
      <c r="F903" t="s">
        <v>19</v>
      </c>
      <c r="G903">
        <v>8</v>
      </c>
      <c r="H903">
        <v>45989.1</v>
      </c>
      <c r="I903" s="5">
        <f>VLOOKUP(TrendSheetStgData[Population]&amp;TrendSheetStgData[Cost Basis]&amp;TrendSheetStgData[Period]&amp;TrendSheetStgData[Trend],TrendSheetPrdData[#All],9,FALSE)</f>
        <v>45989.1</v>
      </c>
      <c r="J9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3" s="5">
        <f>VLOOKUP(TrendSheetStgData[Population]&amp;TrendSheetStgData[Trend],Threshold[#All],4,FALSE)</f>
        <v>10</v>
      </c>
      <c r="L903" s="5">
        <f>VLOOKUP(TrendSheetStgData[Population]&amp;TrendSheetStgData[Trend],Threshold[#All],5,FALSE)</f>
        <v>5</v>
      </c>
      <c r="M9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4" spans="1:13" x14ac:dyDescent="0.25">
      <c r="A904" t="s">
        <v>111</v>
      </c>
      <c r="B904" t="s">
        <v>111</v>
      </c>
      <c r="C904" t="s">
        <v>91</v>
      </c>
      <c r="D904" s="1" t="s">
        <v>94</v>
      </c>
      <c r="E904" t="s">
        <v>93</v>
      </c>
      <c r="F904" t="s">
        <v>19</v>
      </c>
      <c r="G904">
        <v>8</v>
      </c>
      <c r="H904">
        <v>45230.47</v>
      </c>
      <c r="I904" s="5">
        <f>VLOOKUP(TrendSheetStgData[Population]&amp;TrendSheetStgData[Cost Basis]&amp;TrendSheetStgData[Period]&amp;TrendSheetStgData[Trend],TrendSheetPrdData[#All],9,FALSE)</f>
        <v>45230.47</v>
      </c>
      <c r="J9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4" s="5">
        <f>VLOOKUP(TrendSheetStgData[Population]&amp;TrendSheetStgData[Trend],Threshold[#All],4,FALSE)</f>
        <v>10</v>
      </c>
      <c r="L904" s="5">
        <f>VLOOKUP(TrendSheetStgData[Population]&amp;TrendSheetStgData[Trend],Threshold[#All],5,FALSE)</f>
        <v>5</v>
      </c>
      <c r="M9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5" spans="1:13" x14ac:dyDescent="0.25">
      <c r="A905" t="s">
        <v>111</v>
      </c>
      <c r="B905" t="s">
        <v>111</v>
      </c>
      <c r="C905" t="s">
        <v>91</v>
      </c>
      <c r="D905" s="1" t="s">
        <v>95</v>
      </c>
      <c r="E905" t="s">
        <v>93</v>
      </c>
      <c r="F905" t="s">
        <v>19</v>
      </c>
      <c r="G905">
        <v>8</v>
      </c>
      <c r="H905">
        <v>34656.620000000003</v>
      </c>
      <c r="I905" s="5">
        <f>VLOOKUP(TrendSheetStgData[Population]&amp;TrendSheetStgData[Cost Basis]&amp;TrendSheetStgData[Period]&amp;TrendSheetStgData[Trend],TrendSheetPrdData[#All],9,FALSE)</f>
        <v>34656.620000000003</v>
      </c>
      <c r="J9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5" s="5">
        <f>VLOOKUP(TrendSheetStgData[Population]&amp;TrendSheetStgData[Trend],Threshold[#All],4,FALSE)</f>
        <v>10</v>
      </c>
      <c r="L905" s="5">
        <f>VLOOKUP(TrendSheetStgData[Population]&amp;TrendSheetStgData[Trend],Threshold[#All],5,FALSE)</f>
        <v>5</v>
      </c>
      <c r="M9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6" spans="1:13" x14ac:dyDescent="0.25">
      <c r="A906" t="s">
        <v>111</v>
      </c>
      <c r="B906" t="s">
        <v>111</v>
      </c>
      <c r="C906" t="s">
        <v>91</v>
      </c>
      <c r="D906" s="1" t="s">
        <v>96</v>
      </c>
      <c r="E906" t="s">
        <v>93</v>
      </c>
      <c r="F906" t="s">
        <v>19</v>
      </c>
      <c r="G906">
        <v>8</v>
      </c>
      <c r="H906">
        <v>23055.67</v>
      </c>
      <c r="I906" s="5">
        <f>VLOOKUP(TrendSheetStgData[Population]&amp;TrendSheetStgData[Cost Basis]&amp;TrendSheetStgData[Period]&amp;TrendSheetStgData[Trend],TrendSheetPrdData[#All],9,FALSE)</f>
        <v>23055.67</v>
      </c>
      <c r="J9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6" s="5">
        <f>VLOOKUP(TrendSheetStgData[Population]&amp;TrendSheetStgData[Trend],Threshold[#All],4,FALSE)</f>
        <v>10</v>
      </c>
      <c r="L906" s="5">
        <f>VLOOKUP(TrendSheetStgData[Population]&amp;TrendSheetStgData[Trend],Threshold[#All],5,FALSE)</f>
        <v>5</v>
      </c>
      <c r="M9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7" spans="1:13" x14ac:dyDescent="0.25">
      <c r="A907" t="s">
        <v>111</v>
      </c>
      <c r="B907" t="s">
        <v>111</v>
      </c>
      <c r="C907" t="s">
        <v>91</v>
      </c>
      <c r="D907" s="1" t="s">
        <v>97</v>
      </c>
      <c r="E907" t="s">
        <v>93</v>
      </c>
      <c r="F907" t="s">
        <v>19</v>
      </c>
      <c r="G907">
        <v>8</v>
      </c>
      <c r="H907">
        <v>26727.78</v>
      </c>
      <c r="I907" s="5">
        <f>VLOOKUP(TrendSheetStgData[Population]&amp;TrendSheetStgData[Cost Basis]&amp;TrendSheetStgData[Period]&amp;TrendSheetStgData[Trend],TrendSheetPrdData[#All],9,FALSE)</f>
        <v>26727.78</v>
      </c>
      <c r="J9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7" s="5">
        <f>VLOOKUP(TrendSheetStgData[Population]&amp;TrendSheetStgData[Trend],Threshold[#All],4,FALSE)</f>
        <v>10</v>
      </c>
      <c r="L907" s="5">
        <f>VLOOKUP(TrendSheetStgData[Population]&amp;TrendSheetStgData[Trend],Threshold[#All],5,FALSE)</f>
        <v>5</v>
      </c>
      <c r="M9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8" spans="1:13" x14ac:dyDescent="0.25">
      <c r="A908" t="s">
        <v>111</v>
      </c>
      <c r="B908" t="s">
        <v>111</v>
      </c>
      <c r="C908" t="s">
        <v>91</v>
      </c>
      <c r="D908" s="1" t="s">
        <v>98</v>
      </c>
      <c r="E908" t="s">
        <v>93</v>
      </c>
      <c r="F908" t="s">
        <v>19</v>
      </c>
      <c r="G908">
        <v>8</v>
      </c>
      <c r="H908">
        <v>32799.660000000003</v>
      </c>
      <c r="I908" s="5">
        <f>VLOOKUP(TrendSheetStgData[Population]&amp;TrendSheetStgData[Cost Basis]&amp;TrendSheetStgData[Period]&amp;TrendSheetStgData[Trend],TrendSheetPrdData[#All],9,FALSE)</f>
        <v>32799.660000000003</v>
      </c>
      <c r="J9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8" s="5">
        <f>VLOOKUP(TrendSheetStgData[Population]&amp;TrendSheetStgData[Trend],Threshold[#All],4,FALSE)</f>
        <v>10</v>
      </c>
      <c r="L908" s="5">
        <f>VLOOKUP(TrendSheetStgData[Population]&amp;TrendSheetStgData[Trend],Threshold[#All],5,FALSE)</f>
        <v>5</v>
      </c>
      <c r="M9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9" spans="1:13" x14ac:dyDescent="0.25">
      <c r="A909" t="s">
        <v>111</v>
      </c>
      <c r="B909" t="s">
        <v>111</v>
      </c>
      <c r="C909" t="s">
        <v>91</v>
      </c>
      <c r="D909" s="1" t="s">
        <v>99</v>
      </c>
      <c r="E909" t="s">
        <v>93</v>
      </c>
      <c r="F909" t="s">
        <v>19</v>
      </c>
      <c r="G909">
        <v>8</v>
      </c>
      <c r="H909">
        <v>37617.79</v>
      </c>
      <c r="I909" s="5">
        <f>VLOOKUP(TrendSheetStgData[Population]&amp;TrendSheetStgData[Cost Basis]&amp;TrendSheetStgData[Period]&amp;TrendSheetStgData[Trend],TrendSheetPrdData[#All],9,FALSE)</f>
        <v>37617.79</v>
      </c>
      <c r="J9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9" s="5">
        <f>VLOOKUP(TrendSheetStgData[Population]&amp;TrendSheetStgData[Trend],Threshold[#All],4,FALSE)</f>
        <v>10</v>
      </c>
      <c r="L909" s="5">
        <f>VLOOKUP(TrendSheetStgData[Population]&amp;TrendSheetStgData[Trend],Threshold[#All],5,FALSE)</f>
        <v>5</v>
      </c>
      <c r="M9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0" spans="1:13" x14ac:dyDescent="0.25">
      <c r="A910" t="s">
        <v>111</v>
      </c>
      <c r="B910" t="s">
        <v>111</v>
      </c>
      <c r="C910" t="s">
        <v>91</v>
      </c>
      <c r="D910" s="1" t="s">
        <v>100</v>
      </c>
      <c r="E910" t="s">
        <v>93</v>
      </c>
      <c r="F910" t="s">
        <v>19</v>
      </c>
      <c r="G910">
        <v>8</v>
      </c>
      <c r="H910">
        <v>28903.35</v>
      </c>
      <c r="I910" s="5">
        <f>VLOOKUP(TrendSheetStgData[Population]&amp;TrendSheetStgData[Cost Basis]&amp;TrendSheetStgData[Period]&amp;TrendSheetStgData[Trend],TrendSheetPrdData[#All],9,FALSE)</f>
        <v>28903.35</v>
      </c>
      <c r="J9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0" s="5">
        <f>VLOOKUP(TrendSheetStgData[Population]&amp;TrendSheetStgData[Trend],Threshold[#All],4,FALSE)</f>
        <v>10</v>
      </c>
      <c r="L910" s="5">
        <f>VLOOKUP(TrendSheetStgData[Population]&amp;TrendSheetStgData[Trend],Threshold[#All],5,FALSE)</f>
        <v>5</v>
      </c>
      <c r="M9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1" spans="1:13" x14ac:dyDescent="0.25">
      <c r="A911" t="s">
        <v>111</v>
      </c>
      <c r="B911" t="s">
        <v>111</v>
      </c>
      <c r="C911" t="s">
        <v>91</v>
      </c>
      <c r="D911" s="1" t="s">
        <v>101</v>
      </c>
      <c r="E911" t="s">
        <v>93</v>
      </c>
      <c r="F911" t="s">
        <v>19</v>
      </c>
      <c r="G911">
        <v>8</v>
      </c>
      <c r="H911">
        <v>22024.93</v>
      </c>
      <c r="I911" s="5">
        <f>VLOOKUP(TrendSheetStgData[Population]&amp;TrendSheetStgData[Cost Basis]&amp;TrendSheetStgData[Period]&amp;TrendSheetStgData[Trend],TrendSheetPrdData[#All],9,FALSE)</f>
        <v>22024.93</v>
      </c>
      <c r="J9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1" s="5">
        <f>VLOOKUP(TrendSheetStgData[Population]&amp;TrendSheetStgData[Trend],Threshold[#All],4,FALSE)</f>
        <v>10</v>
      </c>
      <c r="L911" s="5">
        <f>VLOOKUP(TrendSheetStgData[Population]&amp;TrendSheetStgData[Trend],Threshold[#All],5,FALSE)</f>
        <v>5</v>
      </c>
      <c r="M9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2" spans="1:13" x14ac:dyDescent="0.25">
      <c r="A912" t="s">
        <v>111</v>
      </c>
      <c r="B912" t="s">
        <v>111</v>
      </c>
      <c r="C912" t="s">
        <v>91</v>
      </c>
      <c r="D912" s="1" t="s">
        <v>102</v>
      </c>
      <c r="E912" t="s">
        <v>93</v>
      </c>
      <c r="F912" t="s">
        <v>19</v>
      </c>
      <c r="G912">
        <v>8</v>
      </c>
      <c r="H912">
        <v>31803.39</v>
      </c>
      <c r="I912" s="5">
        <f>VLOOKUP(TrendSheetStgData[Population]&amp;TrendSheetStgData[Cost Basis]&amp;TrendSheetStgData[Period]&amp;TrendSheetStgData[Trend],TrendSheetPrdData[#All],9,FALSE)</f>
        <v>31803.39</v>
      </c>
      <c r="J9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2" s="5">
        <f>VLOOKUP(TrendSheetStgData[Population]&amp;TrendSheetStgData[Trend],Threshold[#All],4,FALSE)</f>
        <v>10</v>
      </c>
      <c r="L912" s="5">
        <f>VLOOKUP(TrendSheetStgData[Population]&amp;TrendSheetStgData[Trend],Threshold[#All],5,FALSE)</f>
        <v>5</v>
      </c>
      <c r="M9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3" spans="1:13" x14ac:dyDescent="0.25">
      <c r="A913" t="s">
        <v>111</v>
      </c>
      <c r="B913" t="s">
        <v>111</v>
      </c>
      <c r="C913" t="s">
        <v>91</v>
      </c>
      <c r="D913" s="1" t="s">
        <v>103</v>
      </c>
      <c r="E913" t="s">
        <v>93</v>
      </c>
      <c r="F913" t="s">
        <v>19</v>
      </c>
      <c r="G913">
        <v>8</v>
      </c>
      <c r="H913">
        <v>54278.22</v>
      </c>
      <c r="I913" s="5">
        <f>VLOOKUP(TrendSheetStgData[Population]&amp;TrendSheetStgData[Cost Basis]&amp;TrendSheetStgData[Period]&amp;TrendSheetStgData[Trend],TrendSheetPrdData[#All],9,FALSE)</f>
        <v>54278.22</v>
      </c>
      <c r="J9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3" s="5">
        <f>VLOOKUP(TrendSheetStgData[Population]&amp;TrendSheetStgData[Trend],Threshold[#All],4,FALSE)</f>
        <v>10</v>
      </c>
      <c r="L913" s="5">
        <f>VLOOKUP(TrendSheetStgData[Population]&amp;TrendSheetStgData[Trend],Threshold[#All],5,FALSE)</f>
        <v>5</v>
      </c>
      <c r="M9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4" spans="1:13" x14ac:dyDescent="0.25">
      <c r="A914" t="s">
        <v>111</v>
      </c>
      <c r="B914" t="s">
        <v>111</v>
      </c>
      <c r="C914" t="s">
        <v>91</v>
      </c>
      <c r="D914" s="1" t="s">
        <v>104</v>
      </c>
      <c r="E914" t="s">
        <v>93</v>
      </c>
      <c r="F914" t="s">
        <v>19</v>
      </c>
      <c r="G914">
        <v>8</v>
      </c>
      <c r="H914">
        <v>37194.15</v>
      </c>
      <c r="I914" s="5">
        <f>VLOOKUP(TrendSheetStgData[Population]&amp;TrendSheetStgData[Cost Basis]&amp;TrendSheetStgData[Period]&amp;TrendSheetStgData[Trend],TrendSheetPrdData[#All],9,FALSE)</f>
        <v>37194.15</v>
      </c>
      <c r="J9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4" s="5">
        <f>VLOOKUP(TrendSheetStgData[Population]&amp;TrendSheetStgData[Trend],Threshold[#All],4,FALSE)</f>
        <v>10</v>
      </c>
      <c r="L914" s="5">
        <f>VLOOKUP(TrendSheetStgData[Population]&amp;TrendSheetStgData[Trend],Threshold[#All],5,FALSE)</f>
        <v>5</v>
      </c>
      <c r="M9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5" spans="1:13" x14ac:dyDescent="0.25">
      <c r="A915" t="s">
        <v>111</v>
      </c>
      <c r="B915" t="s">
        <v>111</v>
      </c>
      <c r="C915" t="s">
        <v>91</v>
      </c>
      <c r="D915" s="1" t="s">
        <v>105</v>
      </c>
      <c r="E915" t="s">
        <v>108</v>
      </c>
      <c r="F915" t="s">
        <v>19</v>
      </c>
      <c r="G915">
        <v>8</v>
      </c>
      <c r="H915">
        <v>27958.63</v>
      </c>
      <c r="I915" s="5">
        <f>VLOOKUP(TrendSheetStgData[Population]&amp;TrendSheetStgData[Cost Basis]&amp;TrendSheetStgData[Period]&amp;TrendSheetStgData[Trend],TrendSheetPrdData[#All],9,FALSE)</f>
        <v>27958.63</v>
      </c>
      <c r="J9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5" s="5">
        <f>VLOOKUP(TrendSheetStgData[Population]&amp;TrendSheetStgData[Trend],Threshold[#All],4,FALSE)</f>
        <v>10</v>
      </c>
      <c r="L915" s="5">
        <f>VLOOKUP(TrendSheetStgData[Population]&amp;TrendSheetStgData[Trend],Threshold[#All],5,FALSE)</f>
        <v>5</v>
      </c>
      <c r="M9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6" spans="1:13" x14ac:dyDescent="0.25">
      <c r="A916" t="s">
        <v>111</v>
      </c>
      <c r="B916" t="s">
        <v>111</v>
      </c>
      <c r="C916" t="s">
        <v>91</v>
      </c>
      <c r="D916" s="1" t="s">
        <v>106</v>
      </c>
      <c r="E916" t="s">
        <v>108</v>
      </c>
      <c r="F916" t="s">
        <v>19</v>
      </c>
      <c r="G916">
        <v>8</v>
      </c>
      <c r="H916">
        <v>33227.230000000003</v>
      </c>
      <c r="I916" s="5">
        <f>VLOOKUP(TrendSheetStgData[Population]&amp;TrendSheetStgData[Cost Basis]&amp;TrendSheetStgData[Period]&amp;TrendSheetStgData[Trend],TrendSheetPrdData[#All],9,FALSE)</f>
        <v>33227.230000000003</v>
      </c>
      <c r="J9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6" s="5">
        <f>VLOOKUP(TrendSheetStgData[Population]&amp;TrendSheetStgData[Trend],Threshold[#All],4,FALSE)</f>
        <v>10</v>
      </c>
      <c r="L916" s="5">
        <f>VLOOKUP(TrendSheetStgData[Population]&amp;TrendSheetStgData[Trend],Threshold[#All],5,FALSE)</f>
        <v>5</v>
      </c>
      <c r="M9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7" spans="1:13" x14ac:dyDescent="0.25">
      <c r="A917" t="s">
        <v>111</v>
      </c>
      <c r="B917" t="s">
        <v>111</v>
      </c>
      <c r="C917" t="s">
        <v>91</v>
      </c>
      <c r="D917" s="1" t="s">
        <v>107</v>
      </c>
      <c r="E917" t="s">
        <v>108</v>
      </c>
      <c r="F917" t="s">
        <v>19</v>
      </c>
      <c r="G917">
        <v>8</v>
      </c>
      <c r="H917">
        <v>24955.02</v>
      </c>
      <c r="I917" s="5">
        <f>VLOOKUP(TrendSheetStgData[Population]&amp;TrendSheetStgData[Cost Basis]&amp;TrendSheetStgData[Period]&amp;TrendSheetStgData[Trend],TrendSheetPrdData[#All],9,FALSE)</f>
        <v>24955.02</v>
      </c>
      <c r="J9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7" s="5">
        <f>VLOOKUP(TrendSheetStgData[Population]&amp;TrendSheetStgData[Trend],Threshold[#All],4,FALSE)</f>
        <v>10</v>
      </c>
      <c r="L917" s="5">
        <f>VLOOKUP(TrendSheetStgData[Population]&amp;TrendSheetStgData[Trend],Threshold[#All],5,FALSE)</f>
        <v>5</v>
      </c>
      <c r="M9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8" spans="1:13" x14ac:dyDescent="0.25">
      <c r="A918" t="s">
        <v>111</v>
      </c>
      <c r="B918" t="s">
        <v>111</v>
      </c>
      <c r="C918" t="s">
        <v>91</v>
      </c>
      <c r="D918" s="1" t="s">
        <v>109</v>
      </c>
      <c r="E918" t="s">
        <v>108</v>
      </c>
      <c r="F918" t="s">
        <v>19</v>
      </c>
      <c r="G918">
        <v>8</v>
      </c>
      <c r="H918">
        <v>23096.86</v>
      </c>
      <c r="I918" s="5">
        <f>VLOOKUP(TrendSheetStgData[Population]&amp;TrendSheetStgData[Cost Basis]&amp;TrendSheetStgData[Period]&amp;TrendSheetStgData[Trend],TrendSheetPrdData[#All],9,FALSE)</f>
        <v>23096.86</v>
      </c>
      <c r="J9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8" s="5">
        <f>VLOOKUP(TrendSheetStgData[Population]&amp;TrendSheetStgData[Trend],Threshold[#All],4,FALSE)</f>
        <v>10</v>
      </c>
      <c r="L918" s="5">
        <f>VLOOKUP(TrendSheetStgData[Population]&amp;TrendSheetStgData[Trend],Threshold[#All],5,FALSE)</f>
        <v>5</v>
      </c>
      <c r="M9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9" spans="1:13" x14ac:dyDescent="0.25">
      <c r="A919" t="s">
        <v>111</v>
      </c>
      <c r="B919" t="s">
        <v>111</v>
      </c>
      <c r="C919" t="s">
        <v>91</v>
      </c>
      <c r="D919" s="1" t="s">
        <v>110</v>
      </c>
      <c r="E919" t="s">
        <v>108</v>
      </c>
      <c r="F919" t="s">
        <v>19</v>
      </c>
      <c r="G919">
        <v>8</v>
      </c>
      <c r="H919">
        <v>8043.07</v>
      </c>
      <c r="I919" s="5">
        <f>VLOOKUP(TrendSheetStgData[Population]&amp;TrendSheetStgData[Cost Basis]&amp;TrendSheetStgData[Period]&amp;TrendSheetStgData[Trend],TrendSheetPrdData[#All],9,FALSE)</f>
        <v>8043.07</v>
      </c>
      <c r="J9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9" s="5">
        <f>VLOOKUP(TrendSheetStgData[Population]&amp;TrendSheetStgData[Trend],Threshold[#All],4,FALSE)</f>
        <v>10</v>
      </c>
      <c r="L919" s="5">
        <f>VLOOKUP(TrendSheetStgData[Population]&amp;TrendSheetStgData[Trend],Threshold[#All],5,FALSE)</f>
        <v>5</v>
      </c>
      <c r="M9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0" spans="1:13" x14ac:dyDescent="0.25">
      <c r="A920" t="s">
        <v>111</v>
      </c>
      <c r="B920" t="s">
        <v>111</v>
      </c>
      <c r="C920" t="s">
        <v>91</v>
      </c>
      <c r="D920" s="1" t="s">
        <v>92</v>
      </c>
      <c r="E920" t="s">
        <v>93</v>
      </c>
      <c r="F920" t="s">
        <v>20</v>
      </c>
      <c r="G920">
        <v>9</v>
      </c>
      <c r="H920">
        <v>41</v>
      </c>
      <c r="I920" s="5">
        <f>VLOOKUP(TrendSheetStgData[Population]&amp;TrendSheetStgData[Cost Basis]&amp;TrendSheetStgData[Period]&amp;TrendSheetStgData[Trend],TrendSheetPrdData[#All],9,FALSE)</f>
        <v>41</v>
      </c>
      <c r="J9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0" s="5">
        <f>VLOOKUP(TrendSheetStgData[Population]&amp;TrendSheetStgData[Trend],Threshold[#All],4,FALSE)</f>
        <v>10</v>
      </c>
      <c r="L920" s="5">
        <f>VLOOKUP(TrendSheetStgData[Population]&amp;TrendSheetStgData[Trend],Threshold[#All],5,FALSE)</f>
        <v>5</v>
      </c>
      <c r="M9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1" spans="1:13" x14ac:dyDescent="0.25">
      <c r="A921" t="s">
        <v>111</v>
      </c>
      <c r="B921" t="s">
        <v>111</v>
      </c>
      <c r="C921" t="s">
        <v>91</v>
      </c>
      <c r="D921" s="1" t="s">
        <v>94</v>
      </c>
      <c r="E921" t="s">
        <v>93</v>
      </c>
      <c r="F921" t="s">
        <v>20</v>
      </c>
      <c r="G921">
        <v>9</v>
      </c>
      <c r="H921">
        <v>49</v>
      </c>
      <c r="I921" s="5">
        <f>VLOOKUP(TrendSheetStgData[Population]&amp;TrendSheetStgData[Cost Basis]&amp;TrendSheetStgData[Period]&amp;TrendSheetStgData[Trend],TrendSheetPrdData[#All],9,FALSE)</f>
        <v>49</v>
      </c>
      <c r="J9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1" s="5">
        <f>VLOOKUP(TrendSheetStgData[Population]&amp;TrendSheetStgData[Trend],Threshold[#All],4,FALSE)</f>
        <v>10</v>
      </c>
      <c r="L921" s="5">
        <f>VLOOKUP(TrendSheetStgData[Population]&amp;TrendSheetStgData[Trend],Threshold[#All],5,FALSE)</f>
        <v>5</v>
      </c>
      <c r="M9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2" spans="1:13" x14ac:dyDescent="0.25">
      <c r="A922" t="s">
        <v>111</v>
      </c>
      <c r="B922" t="s">
        <v>111</v>
      </c>
      <c r="C922" t="s">
        <v>91</v>
      </c>
      <c r="D922" s="1" t="s">
        <v>95</v>
      </c>
      <c r="E922" t="s">
        <v>93</v>
      </c>
      <c r="F922" t="s">
        <v>20</v>
      </c>
      <c r="G922">
        <v>9</v>
      </c>
      <c r="H922">
        <v>20</v>
      </c>
      <c r="I922" s="5">
        <f>VLOOKUP(TrendSheetStgData[Population]&amp;TrendSheetStgData[Cost Basis]&amp;TrendSheetStgData[Period]&amp;TrendSheetStgData[Trend],TrendSheetPrdData[#All],9,FALSE)</f>
        <v>20</v>
      </c>
      <c r="J9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2" s="5">
        <f>VLOOKUP(TrendSheetStgData[Population]&amp;TrendSheetStgData[Trend],Threshold[#All],4,FALSE)</f>
        <v>10</v>
      </c>
      <c r="L922" s="5">
        <f>VLOOKUP(TrendSheetStgData[Population]&amp;TrendSheetStgData[Trend],Threshold[#All],5,FALSE)</f>
        <v>5</v>
      </c>
      <c r="M9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3" spans="1:13" x14ac:dyDescent="0.25">
      <c r="A923" t="s">
        <v>111</v>
      </c>
      <c r="B923" t="s">
        <v>111</v>
      </c>
      <c r="C923" t="s">
        <v>91</v>
      </c>
      <c r="D923" s="1" t="s">
        <v>96</v>
      </c>
      <c r="E923" t="s">
        <v>93</v>
      </c>
      <c r="F923" t="s">
        <v>20</v>
      </c>
      <c r="G923">
        <v>9</v>
      </c>
      <c r="H923">
        <v>14</v>
      </c>
      <c r="I923" s="5">
        <f>VLOOKUP(TrendSheetStgData[Population]&amp;TrendSheetStgData[Cost Basis]&amp;TrendSheetStgData[Period]&amp;TrendSheetStgData[Trend],TrendSheetPrdData[#All],9,FALSE)</f>
        <v>14</v>
      </c>
      <c r="J9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3" s="5">
        <f>VLOOKUP(TrendSheetStgData[Population]&amp;TrendSheetStgData[Trend],Threshold[#All],4,FALSE)</f>
        <v>10</v>
      </c>
      <c r="L923" s="5">
        <f>VLOOKUP(TrendSheetStgData[Population]&amp;TrendSheetStgData[Trend],Threshold[#All],5,FALSE)</f>
        <v>5</v>
      </c>
      <c r="M9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4" spans="1:13" x14ac:dyDescent="0.25">
      <c r="A924" t="s">
        <v>111</v>
      </c>
      <c r="B924" t="s">
        <v>111</v>
      </c>
      <c r="C924" t="s">
        <v>91</v>
      </c>
      <c r="D924" s="1" t="s">
        <v>97</v>
      </c>
      <c r="E924" t="s">
        <v>93</v>
      </c>
      <c r="F924" t="s">
        <v>20</v>
      </c>
      <c r="G924">
        <v>9</v>
      </c>
      <c r="H924">
        <v>28</v>
      </c>
      <c r="I924" s="5">
        <f>VLOOKUP(TrendSheetStgData[Population]&amp;TrendSheetStgData[Cost Basis]&amp;TrendSheetStgData[Period]&amp;TrendSheetStgData[Trend],TrendSheetPrdData[#All],9,FALSE)</f>
        <v>28</v>
      </c>
      <c r="J9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4" s="5">
        <f>VLOOKUP(TrendSheetStgData[Population]&amp;TrendSheetStgData[Trend],Threshold[#All],4,FALSE)</f>
        <v>10</v>
      </c>
      <c r="L924" s="5">
        <f>VLOOKUP(TrendSheetStgData[Population]&amp;TrendSheetStgData[Trend],Threshold[#All],5,FALSE)</f>
        <v>5</v>
      </c>
      <c r="M9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5" spans="1:13" x14ac:dyDescent="0.25">
      <c r="A925" t="s">
        <v>111</v>
      </c>
      <c r="B925" t="s">
        <v>111</v>
      </c>
      <c r="C925" t="s">
        <v>91</v>
      </c>
      <c r="D925" s="1" t="s">
        <v>98</v>
      </c>
      <c r="E925" t="s">
        <v>93</v>
      </c>
      <c r="F925" t="s">
        <v>20</v>
      </c>
      <c r="G925">
        <v>9</v>
      </c>
      <c r="H925">
        <v>25</v>
      </c>
      <c r="I925" s="5">
        <f>VLOOKUP(TrendSheetStgData[Population]&amp;TrendSheetStgData[Cost Basis]&amp;TrendSheetStgData[Period]&amp;TrendSheetStgData[Trend],TrendSheetPrdData[#All],9,FALSE)</f>
        <v>25</v>
      </c>
      <c r="J9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5" s="5">
        <f>VLOOKUP(TrendSheetStgData[Population]&amp;TrendSheetStgData[Trend],Threshold[#All],4,FALSE)</f>
        <v>10</v>
      </c>
      <c r="L925" s="5">
        <f>VLOOKUP(TrendSheetStgData[Population]&amp;TrendSheetStgData[Trend],Threshold[#All],5,FALSE)</f>
        <v>5</v>
      </c>
      <c r="M9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6" spans="1:13" x14ac:dyDescent="0.25">
      <c r="A926" t="s">
        <v>111</v>
      </c>
      <c r="B926" t="s">
        <v>111</v>
      </c>
      <c r="C926" t="s">
        <v>91</v>
      </c>
      <c r="D926" s="1" t="s">
        <v>99</v>
      </c>
      <c r="E926" t="s">
        <v>93</v>
      </c>
      <c r="F926" t="s">
        <v>20</v>
      </c>
      <c r="G926">
        <v>9</v>
      </c>
      <c r="H926">
        <v>22</v>
      </c>
      <c r="I926" s="5">
        <f>VLOOKUP(TrendSheetStgData[Population]&amp;TrendSheetStgData[Cost Basis]&amp;TrendSheetStgData[Period]&amp;TrendSheetStgData[Trend],TrendSheetPrdData[#All],9,FALSE)</f>
        <v>22</v>
      </c>
      <c r="J9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6" s="5">
        <f>VLOOKUP(TrendSheetStgData[Population]&amp;TrendSheetStgData[Trend],Threshold[#All],4,FALSE)</f>
        <v>10</v>
      </c>
      <c r="L926" s="5">
        <f>VLOOKUP(TrendSheetStgData[Population]&amp;TrendSheetStgData[Trend],Threshold[#All],5,FALSE)</f>
        <v>5</v>
      </c>
      <c r="M9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7" spans="1:13" x14ac:dyDescent="0.25">
      <c r="A927" t="s">
        <v>111</v>
      </c>
      <c r="B927" t="s">
        <v>111</v>
      </c>
      <c r="C927" t="s">
        <v>91</v>
      </c>
      <c r="D927" s="1" t="s">
        <v>100</v>
      </c>
      <c r="E927" t="s">
        <v>93</v>
      </c>
      <c r="F927" t="s">
        <v>20</v>
      </c>
      <c r="G927">
        <v>9</v>
      </c>
      <c r="H927">
        <v>38</v>
      </c>
      <c r="I927" s="5">
        <f>VLOOKUP(TrendSheetStgData[Population]&amp;TrendSheetStgData[Cost Basis]&amp;TrendSheetStgData[Period]&amp;TrendSheetStgData[Trend],TrendSheetPrdData[#All],9,FALSE)</f>
        <v>38</v>
      </c>
      <c r="J9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7" s="5">
        <f>VLOOKUP(TrendSheetStgData[Population]&amp;TrendSheetStgData[Trend],Threshold[#All],4,FALSE)</f>
        <v>10</v>
      </c>
      <c r="L927" s="5">
        <f>VLOOKUP(TrendSheetStgData[Population]&amp;TrendSheetStgData[Trend],Threshold[#All],5,FALSE)</f>
        <v>5</v>
      </c>
      <c r="M9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8" spans="1:13" x14ac:dyDescent="0.25">
      <c r="A928" t="s">
        <v>111</v>
      </c>
      <c r="B928" t="s">
        <v>111</v>
      </c>
      <c r="C928" t="s">
        <v>91</v>
      </c>
      <c r="D928" s="1" t="s">
        <v>101</v>
      </c>
      <c r="E928" t="s">
        <v>93</v>
      </c>
      <c r="F928" t="s">
        <v>20</v>
      </c>
      <c r="G928">
        <v>9</v>
      </c>
      <c r="H928">
        <v>25</v>
      </c>
      <c r="I928" s="5">
        <f>VLOOKUP(TrendSheetStgData[Population]&amp;TrendSheetStgData[Cost Basis]&amp;TrendSheetStgData[Period]&amp;TrendSheetStgData[Trend],TrendSheetPrdData[#All],9,FALSE)</f>
        <v>25</v>
      </c>
      <c r="J9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8" s="5">
        <f>VLOOKUP(TrendSheetStgData[Population]&amp;TrendSheetStgData[Trend],Threshold[#All],4,FALSE)</f>
        <v>10</v>
      </c>
      <c r="L928" s="5">
        <f>VLOOKUP(TrendSheetStgData[Population]&amp;TrendSheetStgData[Trend],Threshold[#All],5,FALSE)</f>
        <v>5</v>
      </c>
      <c r="M9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9" spans="1:13" x14ac:dyDescent="0.25">
      <c r="A929" t="s">
        <v>111</v>
      </c>
      <c r="B929" t="s">
        <v>111</v>
      </c>
      <c r="C929" t="s">
        <v>91</v>
      </c>
      <c r="D929" s="1" t="s">
        <v>102</v>
      </c>
      <c r="E929" t="s">
        <v>93</v>
      </c>
      <c r="F929" t="s">
        <v>20</v>
      </c>
      <c r="G929">
        <v>9</v>
      </c>
      <c r="H929">
        <v>33</v>
      </c>
      <c r="I929" s="5">
        <f>VLOOKUP(TrendSheetStgData[Population]&amp;TrendSheetStgData[Cost Basis]&amp;TrendSheetStgData[Period]&amp;TrendSheetStgData[Trend],TrendSheetPrdData[#All],9,FALSE)</f>
        <v>33</v>
      </c>
      <c r="J9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9" s="5">
        <f>VLOOKUP(TrendSheetStgData[Population]&amp;TrendSheetStgData[Trend],Threshold[#All],4,FALSE)</f>
        <v>10</v>
      </c>
      <c r="L929" s="5">
        <f>VLOOKUP(TrendSheetStgData[Population]&amp;TrendSheetStgData[Trend],Threshold[#All],5,FALSE)</f>
        <v>5</v>
      </c>
      <c r="M9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0" spans="1:13" x14ac:dyDescent="0.25">
      <c r="A930" t="s">
        <v>111</v>
      </c>
      <c r="B930" t="s">
        <v>111</v>
      </c>
      <c r="C930" t="s">
        <v>91</v>
      </c>
      <c r="D930" s="1" t="s">
        <v>103</v>
      </c>
      <c r="E930" t="s">
        <v>93</v>
      </c>
      <c r="F930" t="s">
        <v>20</v>
      </c>
      <c r="G930">
        <v>9</v>
      </c>
      <c r="H930">
        <v>35</v>
      </c>
      <c r="I930" s="5">
        <f>VLOOKUP(TrendSheetStgData[Population]&amp;TrendSheetStgData[Cost Basis]&amp;TrendSheetStgData[Period]&amp;TrendSheetStgData[Trend],TrendSheetPrdData[#All],9,FALSE)</f>
        <v>35</v>
      </c>
      <c r="J9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0" s="5">
        <f>VLOOKUP(TrendSheetStgData[Population]&amp;TrendSheetStgData[Trend],Threshold[#All],4,FALSE)</f>
        <v>10</v>
      </c>
      <c r="L930" s="5">
        <f>VLOOKUP(TrendSheetStgData[Population]&amp;TrendSheetStgData[Trend],Threshold[#All],5,FALSE)</f>
        <v>5</v>
      </c>
      <c r="M9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1" spans="1:13" x14ac:dyDescent="0.25">
      <c r="A931" t="s">
        <v>111</v>
      </c>
      <c r="B931" t="s">
        <v>111</v>
      </c>
      <c r="C931" t="s">
        <v>91</v>
      </c>
      <c r="D931" s="1" t="s">
        <v>104</v>
      </c>
      <c r="E931" t="s">
        <v>93</v>
      </c>
      <c r="F931" t="s">
        <v>20</v>
      </c>
      <c r="G931">
        <v>9</v>
      </c>
      <c r="H931">
        <v>22</v>
      </c>
      <c r="I931" s="5">
        <f>VLOOKUP(TrendSheetStgData[Population]&amp;TrendSheetStgData[Cost Basis]&amp;TrendSheetStgData[Period]&amp;TrendSheetStgData[Trend],TrendSheetPrdData[#All],9,FALSE)</f>
        <v>22</v>
      </c>
      <c r="J9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1" s="5">
        <f>VLOOKUP(TrendSheetStgData[Population]&amp;TrendSheetStgData[Trend],Threshold[#All],4,FALSE)</f>
        <v>10</v>
      </c>
      <c r="L931" s="5">
        <f>VLOOKUP(TrendSheetStgData[Population]&amp;TrendSheetStgData[Trend],Threshold[#All],5,FALSE)</f>
        <v>5</v>
      </c>
      <c r="M9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2" spans="1:13" x14ac:dyDescent="0.25">
      <c r="A932" t="s">
        <v>111</v>
      </c>
      <c r="B932" t="s">
        <v>111</v>
      </c>
      <c r="C932" t="s">
        <v>91</v>
      </c>
      <c r="D932" s="1" t="s">
        <v>105</v>
      </c>
      <c r="E932" t="s">
        <v>108</v>
      </c>
      <c r="F932" t="s">
        <v>20</v>
      </c>
      <c r="G932">
        <v>9</v>
      </c>
      <c r="H932">
        <v>24</v>
      </c>
      <c r="I932" s="5">
        <f>VLOOKUP(TrendSheetStgData[Population]&amp;TrendSheetStgData[Cost Basis]&amp;TrendSheetStgData[Period]&amp;TrendSheetStgData[Trend],TrendSheetPrdData[#All],9,FALSE)</f>
        <v>24</v>
      </c>
      <c r="J9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2" s="5">
        <f>VLOOKUP(TrendSheetStgData[Population]&amp;TrendSheetStgData[Trend],Threshold[#All],4,FALSE)</f>
        <v>10</v>
      </c>
      <c r="L932" s="5">
        <f>VLOOKUP(TrendSheetStgData[Population]&amp;TrendSheetStgData[Trend],Threshold[#All],5,FALSE)</f>
        <v>5</v>
      </c>
      <c r="M9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3" spans="1:13" x14ac:dyDescent="0.25">
      <c r="A933" t="s">
        <v>111</v>
      </c>
      <c r="B933" t="s">
        <v>111</v>
      </c>
      <c r="C933" t="s">
        <v>91</v>
      </c>
      <c r="D933" s="1" t="s">
        <v>106</v>
      </c>
      <c r="E933" t="s">
        <v>108</v>
      </c>
      <c r="F933" t="s">
        <v>20</v>
      </c>
      <c r="G933">
        <v>9</v>
      </c>
      <c r="H933">
        <v>32</v>
      </c>
      <c r="I933" s="5">
        <f>VLOOKUP(TrendSheetStgData[Population]&amp;TrendSheetStgData[Cost Basis]&amp;TrendSheetStgData[Period]&amp;TrendSheetStgData[Trend],TrendSheetPrdData[#All],9,FALSE)</f>
        <v>32</v>
      </c>
      <c r="J9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3" s="5">
        <f>VLOOKUP(TrendSheetStgData[Population]&amp;TrendSheetStgData[Trend],Threshold[#All],4,FALSE)</f>
        <v>10</v>
      </c>
      <c r="L933" s="5">
        <f>VLOOKUP(TrendSheetStgData[Population]&amp;TrendSheetStgData[Trend],Threshold[#All],5,FALSE)</f>
        <v>5</v>
      </c>
      <c r="M9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4" spans="1:13" x14ac:dyDescent="0.25">
      <c r="A934" t="s">
        <v>111</v>
      </c>
      <c r="B934" t="s">
        <v>111</v>
      </c>
      <c r="C934" t="s">
        <v>91</v>
      </c>
      <c r="D934" s="1" t="s">
        <v>107</v>
      </c>
      <c r="E934" t="s">
        <v>108</v>
      </c>
      <c r="F934" t="s">
        <v>20</v>
      </c>
      <c r="G934">
        <v>9</v>
      </c>
      <c r="H934">
        <v>34</v>
      </c>
      <c r="I934" s="5">
        <f>VLOOKUP(TrendSheetStgData[Population]&amp;TrendSheetStgData[Cost Basis]&amp;TrendSheetStgData[Period]&amp;TrendSheetStgData[Trend],TrendSheetPrdData[#All],9,FALSE)</f>
        <v>34</v>
      </c>
      <c r="J9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4" s="5">
        <f>VLOOKUP(TrendSheetStgData[Population]&amp;TrendSheetStgData[Trend],Threshold[#All],4,FALSE)</f>
        <v>10</v>
      </c>
      <c r="L934" s="5">
        <f>VLOOKUP(TrendSheetStgData[Population]&amp;TrendSheetStgData[Trend],Threshold[#All],5,FALSE)</f>
        <v>5</v>
      </c>
      <c r="M9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5" spans="1:13" x14ac:dyDescent="0.25">
      <c r="A935" t="s">
        <v>111</v>
      </c>
      <c r="B935" t="s">
        <v>111</v>
      </c>
      <c r="C935" t="s">
        <v>91</v>
      </c>
      <c r="D935" s="1" t="s">
        <v>109</v>
      </c>
      <c r="E935" t="s">
        <v>108</v>
      </c>
      <c r="F935" t="s">
        <v>20</v>
      </c>
      <c r="G935">
        <v>9</v>
      </c>
      <c r="H935">
        <v>26</v>
      </c>
      <c r="I935" s="5">
        <f>VLOOKUP(TrendSheetStgData[Population]&amp;TrendSheetStgData[Cost Basis]&amp;TrendSheetStgData[Period]&amp;TrendSheetStgData[Trend],TrendSheetPrdData[#All],9,FALSE)</f>
        <v>26</v>
      </c>
      <c r="J9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5" s="5">
        <f>VLOOKUP(TrendSheetStgData[Population]&amp;TrendSheetStgData[Trend],Threshold[#All],4,FALSE)</f>
        <v>10</v>
      </c>
      <c r="L935" s="5">
        <f>VLOOKUP(TrendSheetStgData[Population]&amp;TrendSheetStgData[Trend],Threshold[#All],5,FALSE)</f>
        <v>5</v>
      </c>
      <c r="M9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6" spans="1:13" x14ac:dyDescent="0.25">
      <c r="A936" t="s">
        <v>111</v>
      </c>
      <c r="B936" t="s">
        <v>111</v>
      </c>
      <c r="C936" t="s">
        <v>91</v>
      </c>
      <c r="D936" s="1" t="s">
        <v>110</v>
      </c>
      <c r="E936" t="s">
        <v>108</v>
      </c>
      <c r="F936" t="s">
        <v>20</v>
      </c>
      <c r="G936">
        <v>9</v>
      </c>
      <c r="H936">
        <v>8</v>
      </c>
      <c r="I936" s="5">
        <f>VLOOKUP(TrendSheetStgData[Population]&amp;TrendSheetStgData[Cost Basis]&amp;TrendSheetStgData[Period]&amp;TrendSheetStgData[Trend],TrendSheetPrdData[#All],9,FALSE)</f>
        <v>8</v>
      </c>
      <c r="J9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6" s="5">
        <f>VLOOKUP(TrendSheetStgData[Population]&amp;TrendSheetStgData[Trend],Threshold[#All],4,FALSE)</f>
        <v>10</v>
      </c>
      <c r="L936" s="5">
        <f>VLOOKUP(TrendSheetStgData[Population]&amp;TrendSheetStgData[Trend],Threshold[#All],5,FALSE)</f>
        <v>5</v>
      </c>
      <c r="M9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7" spans="1:13" x14ac:dyDescent="0.25">
      <c r="A937" t="s">
        <v>111</v>
      </c>
      <c r="B937" t="s">
        <v>111</v>
      </c>
      <c r="C937" t="s">
        <v>91</v>
      </c>
      <c r="D937" s="1" t="s">
        <v>92</v>
      </c>
      <c r="E937" t="s">
        <v>93</v>
      </c>
      <c r="F937" t="s">
        <v>21</v>
      </c>
      <c r="G937">
        <v>10</v>
      </c>
      <c r="H937">
        <v>35</v>
      </c>
      <c r="I937" s="5">
        <f>VLOOKUP(TrendSheetStgData[Population]&amp;TrendSheetStgData[Cost Basis]&amp;TrendSheetStgData[Period]&amp;TrendSheetStgData[Trend],TrendSheetPrdData[#All],9,FALSE)</f>
        <v>35</v>
      </c>
      <c r="J9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7" s="5">
        <f>VLOOKUP(TrendSheetStgData[Population]&amp;TrendSheetStgData[Trend],Threshold[#All],4,FALSE)</f>
        <v>10</v>
      </c>
      <c r="L937" s="5">
        <f>VLOOKUP(TrendSheetStgData[Population]&amp;TrendSheetStgData[Trend],Threshold[#All],5,FALSE)</f>
        <v>5</v>
      </c>
      <c r="M9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8" spans="1:13" x14ac:dyDescent="0.25">
      <c r="A938" t="s">
        <v>111</v>
      </c>
      <c r="B938" t="s">
        <v>111</v>
      </c>
      <c r="C938" t="s">
        <v>91</v>
      </c>
      <c r="D938" s="1" t="s">
        <v>94</v>
      </c>
      <c r="E938" t="s">
        <v>93</v>
      </c>
      <c r="F938" t="s">
        <v>21</v>
      </c>
      <c r="G938">
        <v>10</v>
      </c>
      <c r="H938">
        <v>26</v>
      </c>
      <c r="I938" s="5">
        <f>VLOOKUP(TrendSheetStgData[Population]&amp;TrendSheetStgData[Cost Basis]&amp;TrendSheetStgData[Period]&amp;TrendSheetStgData[Trend],TrendSheetPrdData[#All],9,FALSE)</f>
        <v>26</v>
      </c>
      <c r="J9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8" s="5">
        <f>VLOOKUP(TrendSheetStgData[Population]&amp;TrendSheetStgData[Trend],Threshold[#All],4,FALSE)</f>
        <v>10</v>
      </c>
      <c r="L938" s="5">
        <f>VLOOKUP(TrendSheetStgData[Population]&amp;TrendSheetStgData[Trend],Threshold[#All],5,FALSE)</f>
        <v>5</v>
      </c>
      <c r="M9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39" spans="1:13" x14ac:dyDescent="0.25">
      <c r="A939" t="s">
        <v>111</v>
      </c>
      <c r="B939" t="s">
        <v>111</v>
      </c>
      <c r="C939" t="s">
        <v>91</v>
      </c>
      <c r="D939" s="1" t="s">
        <v>95</v>
      </c>
      <c r="E939" t="s">
        <v>93</v>
      </c>
      <c r="F939" t="s">
        <v>21</v>
      </c>
      <c r="G939">
        <v>10</v>
      </c>
      <c r="H939">
        <v>77</v>
      </c>
      <c r="I939" s="5">
        <f>VLOOKUP(TrendSheetStgData[Population]&amp;TrendSheetStgData[Cost Basis]&amp;TrendSheetStgData[Period]&amp;TrendSheetStgData[Trend],TrendSheetPrdData[#All],9,FALSE)</f>
        <v>77</v>
      </c>
      <c r="J9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9" s="5">
        <f>VLOOKUP(TrendSheetStgData[Population]&amp;TrendSheetStgData[Trend],Threshold[#All],4,FALSE)</f>
        <v>10</v>
      </c>
      <c r="L939" s="5">
        <f>VLOOKUP(TrendSheetStgData[Population]&amp;TrendSheetStgData[Trend],Threshold[#All],5,FALSE)</f>
        <v>5</v>
      </c>
      <c r="M9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0" spans="1:13" x14ac:dyDescent="0.25">
      <c r="A940" t="s">
        <v>111</v>
      </c>
      <c r="B940" t="s">
        <v>111</v>
      </c>
      <c r="C940" t="s">
        <v>91</v>
      </c>
      <c r="D940" s="1" t="s">
        <v>96</v>
      </c>
      <c r="E940" t="s">
        <v>93</v>
      </c>
      <c r="F940" t="s">
        <v>21</v>
      </c>
      <c r="G940">
        <v>10</v>
      </c>
      <c r="H940">
        <v>31</v>
      </c>
      <c r="I940" s="5">
        <f>VLOOKUP(TrendSheetStgData[Population]&amp;TrendSheetStgData[Cost Basis]&amp;TrendSheetStgData[Period]&amp;TrendSheetStgData[Trend],TrendSheetPrdData[#All],9,FALSE)</f>
        <v>31</v>
      </c>
      <c r="J9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0" s="5">
        <f>VLOOKUP(TrendSheetStgData[Population]&amp;TrendSheetStgData[Trend],Threshold[#All],4,FALSE)</f>
        <v>10</v>
      </c>
      <c r="L940" s="5">
        <f>VLOOKUP(TrendSheetStgData[Population]&amp;TrendSheetStgData[Trend],Threshold[#All],5,FALSE)</f>
        <v>5</v>
      </c>
      <c r="M9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1" spans="1:13" x14ac:dyDescent="0.25">
      <c r="A941" t="s">
        <v>111</v>
      </c>
      <c r="B941" t="s">
        <v>111</v>
      </c>
      <c r="C941" t="s">
        <v>91</v>
      </c>
      <c r="D941" s="1" t="s">
        <v>97</v>
      </c>
      <c r="E941" t="s">
        <v>93</v>
      </c>
      <c r="F941" t="s">
        <v>21</v>
      </c>
      <c r="G941">
        <v>10</v>
      </c>
      <c r="H941">
        <v>17</v>
      </c>
      <c r="I941" s="5">
        <f>VLOOKUP(TrendSheetStgData[Population]&amp;TrendSheetStgData[Cost Basis]&amp;TrendSheetStgData[Period]&amp;TrendSheetStgData[Trend],TrendSheetPrdData[#All],9,FALSE)</f>
        <v>17</v>
      </c>
      <c r="J9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1" s="5">
        <f>VLOOKUP(TrendSheetStgData[Population]&amp;TrendSheetStgData[Trend],Threshold[#All],4,FALSE)</f>
        <v>10</v>
      </c>
      <c r="L941" s="5">
        <f>VLOOKUP(TrendSheetStgData[Population]&amp;TrendSheetStgData[Trend],Threshold[#All],5,FALSE)</f>
        <v>5</v>
      </c>
      <c r="M9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2" spans="1:13" x14ac:dyDescent="0.25">
      <c r="A942" t="s">
        <v>111</v>
      </c>
      <c r="B942" t="s">
        <v>111</v>
      </c>
      <c r="C942" t="s">
        <v>91</v>
      </c>
      <c r="D942" s="1" t="s">
        <v>98</v>
      </c>
      <c r="E942" t="s">
        <v>93</v>
      </c>
      <c r="F942" t="s">
        <v>21</v>
      </c>
      <c r="G942">
        <v>10</v>
      </c>
      <c r="H942">
        <v>36</v>
      </c>
      <c r="I942" s="5">
        <f>VLOOKUP(TrendSheetStgData[Population]&amp;TrendSheetStgData[Cost Basis]&amp;TrendSheetStgData[Period]&amp;TrendSheetStgData[Trend],TrendSheetPrdData[#All],9,FALSE)</f>
        <v>36</v>
      </c>
      <c r="J9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2" s="5">
        <f>VLOOKUP(TrendSheetStgData[Population]&amp;TrendSheetStgData[Trend],Threshold[#All],4,FALSE)</f>
        <v>10</v>
      </c>
      <c r="L942" s="5">
        <f>VLOOKUP(TrendSheetStgData[Population]&amp;TrendSheetStgData[Trend],Threshold[#All],5,FALSE)</f>
        <v>5</v>
      </c>
      <c r="M9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3" spans="1:13" x14ac:dyDescent="0.25">
      <c r="A943" t="s">
        <v>111</v>
      </c>
      <c r="B943" t="s">
        <v>111</v>
      </c>
      <c r="C943" t="s">
        <v>91</v>
      </c>
      <c r="D943" s="1" t="s">
        <v>99</v>
      </c>
      <c r="E943" t="s">
        <v>93</v>
      </c>
      <c r="F943" t="s">
        <v>21</v>
      </c>
      <c r="G943">
        <v>10</v>
      </c>
      <c r="H943">
        <v>19</v>
      </c>
      <c r="I943" s="5">
        <f>VLOOKUP(TrendSheetStgData[Population]&amp;TrendSheetStgData[Cost Basis]&amp;TrendSheetStgData[Period]&amp;TrendSheetStgData[Trend],TrendSheetPrdData[#All],9,FALSE)</f>
        <v>19</v>
      </c>
      <c r="J9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3" s="5">
        <f>VLOOKUP(TrendSheetStgData[Population]&amp;TrendSheetStgData[Trend],Threshold[#All],4,FALSE)</f>
        <v>10</v>
      </c>
      <c r="L943" s="5">
        <f>VLOOKUP(TrendSheetStgData[Population]&amp;TrendSheetStgData[Trend],Threshold[#All],5,FALSE)</f>
        <v>5</v>
      </c>
      <c r="M9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4" spans="1:13" x14ac:dyDescent="0.25">
      <c r="A944" t="s">
        <v>111</v>
      </c>
      <c r="B944" t="s">
        <v>111</v>
      </c>
      <c r="C944" t="s">
        <v>91</v>
      </c>
      <c r="D944" s="1" t="s">
        <v>100</v>
      </c>
      <c r="E944" t="s">
        <v>93</v>
      </c>
      <c r="F944" t="s">
        <v>21</v>
      </c>
      <c r="G944">
        <v>10</v>
      </c>
      <c r="H944">
        <v>19</v>
      </c>
      <c r="I944" s="5">
        <f>VLOOKUP(TrendSheetStgData[Population]&amp;TrendSheetStgData[Cost Basis]&amp;TrendSheetStgData[Period]&amp;TrendSheetStgData[Trend],TrendSheetPrdData[#All],9,FALSE)</f>
        <v>19</v>
      </c>
      <c r="J9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4" s="5">
        <f>VLOOKUP(TrendSheetStgData[Population]&amp;TrendSheetStgData[Trend],Threshold[#All],4,FALSE)</f>
        <v>10</v>
      </c>
      <c r="L944" s="5">
        <f>VLOOKUP(TrendSheetStgData[Population]&amp;TrendSheetStgData[Trend],Threshold[#All],5,FALSE)</f>
        <v>5</v>
      </c>
      <c r="M9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5" spans="1:13" x14ac:dyDescent="0.25">
      <c r="A945" t="s">
        <v>111</v>
      </c>
      <c r="B945" t="s">
        <v>111</v>
      </c>
      <c r="C945" t="s">
        <v>91</v>
      </c>
      <c r="D945" s="1" t="s">
        <v>101</v>
      </c>
      <c r="E945" t="s">
        <v>93</v>
      </c>
      <c r="F945" t="s">
        <v>21</v>
      </c>
      <c r="G945">
        <v>10</v>
      </c>
      <c r="H945">
        <v>65</v>
      </c>
      <c r="I945" s="5">
        <f>VLOOKUP(TrendSheetStgData[Population]&amp;TrendSheetStgData[Cost Basis]&amp;TrendSheetStgData[Period]&amp;TrendSheetStgData[Trend],TrendSheetPrdData[#All],9,FALSE)</f>
        <v>65</v>
      </c>
      <c r="J9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5" s="5">
        <f>VLOOKUP(TrendSheetStgData[Population]&amp;TrendSheetStgData[Trend],Threshold[#All],4,FALSE)</f>
        <v>10</v>
      </c>
      <c r="L945" s="5">
        <f>VLOOKUP(TrendSheetStgData[Population]&amp;TrendSheetStgData[Trend],Threshold[#All],5,FALSE)</f>
        <v>5</v>
      </c>
      <c r="M9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6" spans="1:13" x14ac:dyDescent="0.25">
      <c r="A946" t="s">
        <v>111</v>
      </c>
      <c r="B946" t="s">
        <v>111</v>
      </c>
      <c r="C946" t="s">
        <v>91</v>
      </c>
      <c r="D946" s="1" t="s">
        <v>102</v>
      </c>
      <c r="E946" t="s">
        <v>93</v>
      </c>
      <c r="F946" t="s">
        <v>21</v>
      </c>
      <c r="G946">
        <v>10</v>
      </c>
      <c r="H946">
        <v>76</v>
      </c>
      <c r="I946" s="5">
        <f>VLOOKUP(TrendSheetStgData[Population]&amp;TrendSheetStgData[Cost Basis]&amp;TrendSheetStgData[Period]&amp;TrendSheetStgData[Trend],TrendSheetPrdData[#All],9,FALSE)</f>
        <v>76</v>
      </c>
      <c r="J9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6" s="5">
        <f>VLOOKUP(TrendSheetStgData[Population]&amp;TrendSheetStgData[Trend],Threshold[#All],4,FALSE)</f>
        <v>10</v>
      </c>
      <c r="L946" s="5">
        <f>VLOOKUP(TrendSheetStgData[Population]&amp;TrendSheetStgData[Trend],Threshold[#All],5,FALSE)</f>
        <v>5</v>
      </c>
      <c r="M9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7" spans="1:13" x14ac:dyDescent="0.25">
      <c r="A947" t="s">
        <v>111</v>
      </c>
      <c r="B947" t="s">
        <v>111</v>
      </c>
      <c r="C947" t="s">
        <v>91</v>
      </c>
      <c r="D947" s="1" t="s">
        <v>103</v>
      </c>
      <c r="E947" t="s">
        <v>93</v>
      </c>
      <c r="F947" t="s">
        <v>21</v>
      </c>
      <c r="G947">
        <v>10</v>
      </c>
      <c r="H947">
        <v>46</v>
      </c>
      <c r="I947" s="5">
        <f>VLOOKUP(TrendSheetStgData[Population]&amp;TrendSheetStgData[Cost Basis]&amp;TrendSheetStgData[Period]&amp;TrendSheetStgData[Trend],TrendSheetPrdData[#All],9,FALSE)</f>
        <v>46</v>
      </c>
      <c r="J9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7" s="5">
        <f>VLOOKUP(TrendSheetStgData[Population]&amp;TrendSheetStgData[Trend],Threshold[#All],4,FALSE)</f>
        <v>10</v>
      </c>
      <c r="L947" s="5">
        <f>VLOOKUP(TrendSheetStgData[Population]&amp;TrendSheetStgData[Trend],Threshold[#All],5,FALSE)</f>
        <v>5</v>
      </c>
      <c r="M9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8" spans="1:13" x14ac:dyDescent="0.25">
      <c r="A948" t="s">
        <v>111</v>
      </c>
      <c r="B948" t="s">
        <v>111</v>
      </c>
      <c r="C948" t="s">
        <v>91</v>
      </c>
      <c r="D948" s="1" t="s">
        <v>104</v>
      </c>
      <c r="E948" t="s">
        <v>93</v>
      </c>
      <c r="F948" t="s">
        <v>21</v>
      </c>
      <c r="G948">
        <v>10</v>
      </c>
      <c r="H948">
        <v>57</v>
      </c>
      <c r="I948" s="5">
        <f>VLOOKUP(TrendSheetStgData[Population]&amp;TrendSheetStgData[Cost Basis]&amp;TrendSheetStgData[Period]&amp;TrendSheetStgData[Trend],TrendSheetPrdData[#All],9,FALSE)</f>
        <v>57</v>
      </c>
      <c r="J9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8" s="5">
        <f>VLOOKUP(TrendSheetStgData[Population]&amp;TrendSheetStgData[Trend],Threshold[#All],4,FALSE)</f>
        <v>10</v>
      </c>
      <c r="L948" s="5">
        <f>VLOOKUP(TrendSheetStgData[Population]&amp;TrendSheetStgData[Trend],Threshold[#All],5,FALSE)</f>
        <v>5</v>
      </c>
      <c r="M9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9" spans="1:13" x14ac:dyDescent="0.25">
      <c r="A949" t="s">
        <v>111</v>
      </c>
      <c r="B949" t="s">
        <v>111</v>
      </c>
      <c r="C949" t="s">
        <v>91</v>
      </c>
      <c r="D949" s="1" t="s">
        <v>105</v>
      </c>
      <c r="E949" t="s">
        <v>108</v>
      </c>
      <c r="F949" t="s">
        <v>21</v>
      </c>
      <c r="G949">
        <v>10</v>
      </c>
      <c r="H949">
        <v>29</v>
      </c>
      <c r="I949" s="5">
        <f>VLOOKUP(TrendSheetStgData[Population]&amp;TrendSheetStgData[Cost Basis]&amp;TrendSheetStgData[Period]&amp;TrendSheetStgData[Trend],TrendSheetPrdData[#All],9,FALSE)</f>
        <v>29</v>
      </c>
      <c r="J9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9" s="5">
        <f>VLOOKUP(TrendSheetStgData[Population]&amp;TrendSheetStgData[Trend],Threshold[#All],4,FALSE)</f>
        <v>10</v>
      </c>
      <c r="L949" s="5">
        <f>VLOOKUP(TrendSheetStgData[Population]&amp;TrendSheetStgData[Trend],Threshold[#All],5,FALSE)</f>
        <v>5</v>
      </c>
      <c r="M9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0" spans="1:13" x14ac:dyDescent="0.25">
      <c r="A950" t="s">
        <v>111</v>
      </c>
      <c r="B950" t="s">
        <v>111</v>
      </c>
      <c r="C950" t="s">
        <v>91</v>
      </c>
      <c r="D950" s="1" t="s">
        <v>106</v>
      </c>
      <c r="E950" t="s">
        <v>108</v>
      </c>
      <c r="F950" t="s">
        <v>21</v>
      </c>
      <c r="G950">
        <v>10</v>
      </c>
      <c r="H950">
        <v>53</v>
      </c>
      <c r="I950" s="5">
        <f>VLOOKUP(TrendSheetStgData[Population]&amp;TrendSheetStgData[Cost Basis]&amp;TrendSheetStgData[Period]&amp;TrendSheetStgData[Trend],TrendSheetPrdData[#All],9,FALSE)</f>
        <v>53</v>
      </c>
      <c r="J9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0" s="5">
        <f>VLOOKUP(TrendSheetStgData[Population]&amp;TrendSheetStgData[Trend],Threshold[#All],4,FALSE)</f>
        <v>10</v>
      </c>
      <c r="L950" s="5">
        <f>VLOOKUP(TrendSheetStgData[Population]&amp;TrendSheetStgData[Trend],Threshold[#All],5,FALSE)</f>
        <v>5</v>
      </c>
      <c r="M9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1" spans="1:13" x14ac:dyDescent="0.25">
      <c r="A951" t="s">
        <v>111</v>
      </c>
      <c r="B951" t="s">
        <v>111</v>
      </c>
      <c r="C951" t="s">
        <v>91</v>
      </c>
      <c r="D951" s="1" t="s">
        <v>107</v>
      </c>
      <c r="E951" t="s">
        <v>108</v>
      </c>
      <c r="F951" t="s">
        <v>21</v>
      </c>
      <c r="G951">
        <v>10</v>
      </c>
      <c r="H951">
        <v>18</v>
      </c>
      <c r="I951" s="5">
        <f>VLOOKUP(TrendSheetStgData[Population]&amp;TrendSheetStgData[Cost Basis]&amp;TrendSheetStgData[Period]&amp;TrendSheetStgData[Trend],TrendSheetPrdData[#All],9,FALSE)</f>
        <v>18</v>
      </c>
      <c r="J9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1" s="5">
        <f>VLOOKUP(TrendSheetStgData[Population]&amp;TrendSheetStgData[Trend],Threshold[#All],4,FALSE)</f>
        <v>10</v>
      </c>
      <c r="L951" s="5">
        <f>VLOOKUP(TrendSheetStgData[Population]&amp;TrendSheetStgData[Trend],Threshold[#All],5,FALSE)</f>
        <v>5</v>
      </c>
      <c r="M9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2" spans="1:13" x14ac:dyDescent="0.25">
      <c r="A952" t="s">
        <v>111</v>
      </c>
      <c r="B952" t="s">
        <v>111</v>
      </c>
      <c r="C952" t="s">
        <v>91</v>
      </c>
      <c r="D952" s="1" t="s">
        <v>109</v>
      </c>
      <c r="E952" t="s">
        <v>108</v>
      </c>
      <c r="F952" t="s">
        <v>21</v>
      </c>
      <c r="G952">
        <v>10</v>
      </c>
      <c r="H952">
        <v>18</v>
      </c>
      <c r="I952" s="5">
        <f>VLOOKUP(TrendSheetStgData[Population]&amp;TrendSheetStgData[Cost Basis]&amp;TrendSheetStgData[Period]&amp;TrendSheetStgData[Trend],TrendSheetPrdData[#All],9,FALSE)</f>
        <v>18</v>
      </c>
      <c r="J9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2" s="5">
        <f>VLOOKUP(TrendSheetStgData[Population]&amp;TrendSheetStgData[Trend],Threshold[#All],4,FALSE)</f>
        <v>10</v>
      </c>
      <c r="L952" s="5">
        <f>VLOOKUP(TrendSheetStgData[Population]&amp;TrendSheetStgData[Trend],Threshold[#All],5,FALSE)</f>
        <v>5</v>
      </c>
      <c r="M9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3" spans="1:13" x14ac:dyDescent="0.25">
      <c r="A953" t="s">
        <v>111</v>
      </c>
      <c r="B953" t="s">
        <v>111</v>
      </c>
      <c r="C953" t="s">
        <v>91</v>
      </c>
      <c r="D953" s="1" t="s">
        <v>110</v>
      </c>
      <c r="E953" t="s">
        <v>108</v>
      </c>
      <c r="F953" t="s">
        <v>21</v>
      </c>
      <c r="G953">
        <v>10</v>
      </c>
      <c r="H953">
        <v>8</v>
      </c>
      <c r="I953" s="5">
        <f>VLOOKUP(TrendSheetStgData[Population]&amp;TrendSheetStgData[Cost Basis]&amp;TrendSheetStgData[Period]&amp;TrendSheetStgData[Trend],TrendSheetPrdData[#All],9,FALSE)</f>
        <v>8</v>
      </c>
      <c r="J9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3" s="5">
        <f>VLOOKUP(TrendSheetStgData[Population]&amp;TrendSheetStgData[Trend],Threshold[#All],4,FALSE)</f>
        <v>10</v>
      </c>
      <c r="L953" s="5">
        <f>VLOOKUP(TrendSheetStgData[Population]&amp;TrendSheetStgData[Trend],Threshold[#All],5,FALSE)</f>
        <v>5</v>
      </c>
      <c r="M9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4" spans="1:13" x14ac:dyDescent="0.25">
      <c r="A954" t="s">
        <v>111</v>
      </c>
      <c r="B954" t="s">
        <v>111</v>
      </c>
      <c r="C954" t="s">
        <v>91</v>
      </c>
      <c r="D954" s="1" t="s">
        <v>92</v>
      </c>
      <c r="E954" t="s">
        <v>93</v>
      </c>
      <c r="F954" t="s">
        <v>22</v>
      </c>
      <c r="G954">
        <v>11</v>
      </c>
      <c r="H954">
        <v>0</v>
      </c>
      <c r="I954" s="5">
        <f>VLOOKUP(TrendSheetStgData[Population]&amp;TrendSheetStgData[Cost Basis]&amp;TrendSheetStgData[Period]&amp;TrendSheetStgData[Trend],TrendSheetPrdData[#All],9,FALSE)</f>
        <v>0</v>
      </c>
      <c r="J9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4" s="5">
        <f>VLOOKUP(TrendSheetStgData[Population]&amp;TrendSheetStgData[Trend],Threshold[#All],4,FALSE)</f>
        <v>10</v>
      </c>
      <c r="L954" s="5">
        <f>VLOOKUP(TrendSheetStgData[Population]&amp;TrendSheetStgData[Trend],Threshold[#All],5,FALSE)</f>
        <v>5</v>
      </c>
      <c r="M9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5" spans="1:13" x14ac:dyDescent="0.25">
      <c r="A955" t="s">
        <v>111</v>
      </c>
      <c r="B955" t="s">
        <v>111</v>
      </c>
      <c r="C955" t="s">
        <v>91</v>
      </c>
      <c r="D955" s="1" t="s">
        <v>94</v>
      </c>
      <c r="E955" t="s">
        <v>93</v>
      </c>
      <c r="F955" t="s">
        <v>22</v>
      </c>
      <c r="G955">
        <v>11</v>
      </c>
      <c r="H955">
        <v>0</v>
      </c>
      <c r="I955" s="5">
        <f>VLOOKUP(TrendSheetStgData[Population]&amp;TrendSheetStgData[Cost Basis]&amp;TrendSheetStgData[Period]&amp;TrendSheetStgData[Trend],TrendSheetPrdData[#All],9,FALSE)</f>
        <v>0</v>
      </c>
      <c r="J9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5" s="5">
        <f>VLOOKUP(TrendSheetStgData[Population]&amp;TrendSheetStgData[Trend],Threshold[#All],4,FALSE)</f>
        <v>10</v>
      </c>
      <c r="L955" s="5">
        <f>VLOOKUP(TrendSheetStgData[Population]&amp;TrendSheetStgData[Trend],Threshold[#All],5,FALSE)</f>
        <v>5</v>
      </c>
      <c r="M9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6" spans="1:13" x14ac:dyDescent="0.25">
      <c r="A956" t="s">
        <v>111</v>
      </c>
      <c r="B956" t="s">
        <v>111</v>
      </c>
      <c r="C956" t="s">
        <v>91</v>
      </c>
      <c r="D956" s="1" t="s">
        <v>95</v>
      </c>
      <c r="E956" t="s">
        <v>93</v>
      </c>
      <c r="F956" t="s">
        <v>22</v>
      </c>
      <c r="G956">
        <v>11</v>
      </c>
      <c r="H956">
        <v>0</v>
      </c>
      <c r="I956" s="5">
        <f>VLOOKUP(TrendSheetStgData[Population]&amp;TrendSheetStgData[Cost Basis]&amp;TrendSheetStgData[Period]&amp;TrendSheetStgData[Trend],TrendSheetPrdData[#All],9,FALSE)</f>
        <v>0</v>
      </c>
      <c r="J9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6" s="5">
        <f>VLOOKUP(TrendSheetStgData[Population]&amp;TrendSheetStgData[Trend],Threshold[#All],4,FALSE)</f>
        <v>10</v>
      </c>
      <c r="L956" s="5">
        <f>VLOOKUP(TrendSheetStgData[Population]&amp;TrendSheetStgData[Trend],Threshold[#All],5,FALSE)</f>
        <v>5</v>
      </c>
      <c r="M9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7" spans="1:13" x14ac:dyDescent="0.25">
      <c r="A957" t="s">
        <v>111</v>
      </c>
      <c r="B957" t="s">
        <v>111</v>
      </c>
      <c r="C957" t="s">
        <v>91</v>
      </c>
      <c r="D957" s="1" t="s">
        <v>96</v>
      </c>
      <c r="E957" t="s">
        <v>93</v>
      </c>
      <c r="F957" t="s">
        <v>22</v>
      </c>
      <c r="G957">
        <v>11</v>
      </c>
      <c r="H957">
        <v>0</v>
      </c>
      <c r="I957" s="5">
        <f>VLOOKUP(TrendSheetStgData[Population]&amp;TrendSheetStgData[Cost Basis]&amp;TrendSheetStgData[Period]&amp;TrendSheetStgData[Trend],TrendSheetPrdData[#All],9,FALSE)</f>
        <v>0</v>
      </c>
      <c r="J9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7" s="5">
        <f>VLOOKUP(TrendSheetStgData[Population]&amp;TrendSheetStgData[Trend],Threshold[#All],4,FALSE)</f>
        <v>10</v>
      </c>
      <c r="L957" s="5">
        <f>VLOOKUP(TrendSheetStgData[Population]&amp;TrendSheetStgData[Trend],Threshold[#All],5,FALSE)</f>
        <v>5</v>
      </c>
      <c r="M9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8" spans="1:13" x14ac:dyDescent="0.25">
      <c r="A958" t="s">
        <v>111</v>
      </c>
      <c r="B958" t="s">
        <v>111</v>
      </c>
      <c r="C958" t="s">
        <v>91</v>
      </c>
      <c r="D958" s="1" t="s">
        <v>97</v>
      </c>
      <c r="E958" t="s">
        <v>93</v>
      </c>
      <c r="F958" t="s">
        <v>22</v>
      </c>
      <c r="G958">
        <v>11</v>
      </c>
      <c r="H958">
        <v>0</v>
      </c>
      <c r="I958" s="5">
        <f>VLOOKUP(TrendSheetStgData[Population]&amp;TrendSheetStgData[Cost Basis]&amp;TrendSheetStgData[Period]&amp;TrendSheetStgData[Trend],TrendSheetPrdData[#All],9,FALSE)</f>
        <v>0</v>
      </c>
      <c r="J9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8" s="5">
        <f>VLOOKUP(TrendSheetStgData[Population]&amp;TrendSheetStgData[Trend],Threshold[#All],4,FALSE)</f>
        <v>10</v>
      </c>
      <c r="L958" s="5">
        <f>VLOOKUP(TrendSheetStgData[Population]&amp;TrendSheetStgData[Trend],Threshold[#All],5,FALSE)</f>
        <v>5</v>
      </c>
      <c r="M9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9" spans="1:13" x14ac:dyDescent="0.25">
      <c r="A959" t="s">
        <v>111</v>
      </c>
      <c r="B959" t="s">
        <v>111</v>
      </c>
      <c r="C959" t="s">
        <v>91</v>
      </c>
      <c r="D959" s="1" t="s">
        <v>98</v>
      </c>
      <c r="E959" t="s">
        <v>93</v>
      </c>
      <c r="F959" t="s">
        <v>22</v>
      </c>
      <c r="G959">
        <v>11</v>
      </c>
      <c r="H959">
        <v>0</v>
      </c>
      <c r="I959" s="5">
        <f>VLOOKUP(TrendSheetStgData[Population]&amp;TrendSheetStgData[Cost Basis]&amp;TrendSheetStgData[Period]&amp;TrendSheetStgData[Trend],TrendSheetPrdData[#All],9,FALSE)</f>
        <v>0</v>
      </c>
      <c r="J9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9" s="5">
        <f>VLOOKUP(TrendSheetStgData[Population]&amp;TrendSheetStgData[Trend],Threshold[#All],4,FALSE)</f>
        <v>10</v>
      </c>
      <c r="L959" s="5">
        <f>VLOOKUP(TrendSheetStgData[Population]&amp;TrendSheetStgData[Trend],Threshold[#All],5,FALSE)</f>
        <v>5</v>
      </c>
      <c r="M9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0" spans="1:13" x14ac:dyDescent="0.25">
      <c r="A960" t="s">
        <v>111</v>
      </c>
      <c r="B960" t="s">
        <v>111</v>
      </c>
      <c r="C960" t="s">
        <v>91</v>
      </c>
      <c r="D960" s="1" t="s">
        <v>99</v>
      </c>
      <c r="E960" t="s">
        <v>93</v>
      </c>
      <c r="F960" t="s">
        <v>22</v>
      </c>
      <c r="G960">
        <v>11</v>
      </c>
      <c r="H960">
        <v>0</v>
      </c>
      <c r="I960" s="5">
        <f>VLOOKUP(TrendSheetStgData[Population]&amp;TrendSheetStgData[Cost Basis]&amp;TrendSheetStgData[Period]&amp;TrendSheetStgData[Trend],TrendSheetPrdData[#All],9,FALSE)</f>
        <v>0</v>
      </c>
      <c r="J9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0" s="5">
        <f>VLOOKUP(TrendSheetStgData[Population]&amp;TrendSheetStgData[Trend],Threshold[#All],4,FALSE)</f>
        <v>10</v>
      </c>
      <c r="L960" s="5">
        <f>VLOOKUP(TrendSheetStgData[Population]&amp;TrendSheetStgData[Trend],Threshold[#All],5,FALSE)</f>
        <v>5</v>
      </c>
      <c r="M9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1" spans="1:13" x14ac:dyDescent="0.25">
      <c r="A961" t="s">
        <v>111</v>
      </c>
      <c r="B961" t="s">
        <v>111</v>
      </c>
      <c r="C961" t="s">
        <v>91</v>
      </c>
      <c r="D961" s="1" t="s">
        <v>100</v>
      </c>
      <c r="E961" t="s">
        <v>93</v>
      </c>
      <c r="F961" t="s">
        <v>22</v>
      </c>
      <c r="G961">
        <v>11</v>
      </c>
      <c r="H961">
        <v>0</v>
      </c>
      <c r="I961" s="5">
        <f>VLOOKUP(TrendSheetStgData[Population]&amp;TrendSheetStgData[Cost Basis]&amp;TrendSheetStgData[Period]&amp;TrendSheetStgData[Trend],TrendSheetPrdData[#All],9,FALSE)</f>
        <v>0</v>
      </c>
      <c r="J9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1" s="5">
        <f>VLOOKUP(TrendSheetStgData[Population]&amp;TrendSheetStgData[Trend],Threshold[#All],4,FALSE)</f>
        <v>10</v>
      </c>
      <c r="L961" s="5">
        <f>VLOOKUP(TrendSheetStgData[Population]&amp;TrendSheetStgData[Trend],Threshold[#All],5,FALSE)</f>
        <v>5</v>
      </c>
      <c r="M9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2" spans="1:13" x14ac:dyDescent="0.25">
      <c r="A962" t="s">
        <v>111</v>
      </c>
      <c r="B962" t="s">
        <v>111</v>
      </c>
      <c r="C962" t="s">
        <v>91</v>
      </c>
      <c r="D962" s="1" t="s">
        <v>101</v>
      </c>
      <c r="E962" t="s">
        <v>93</v>
      </c>
      <c r="F962" t="s">
        <v>22</v>
      </c>
      <c r="G962">
        <v>11</v>
      </c>
      <c r="H962">
        <v>0</v>
      </c>
      <c r="I962" s="5">
        <f>VLOOKUP(TrendSheetStgData[Population]&amp;TrendSheetStgData[Cost Basis]&amp;TrendSheetStgData[Period]&amp;TrendSheetStgData[Trend],TrendSheetPrdData[#All],9,FALSE)</f>
        <v>0</v>
      </c>
      <c r="J9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2" s="5">
        <f>VLOOKUP(TrendSheetStgData[Population]&amp;TrendSheetStgData[Trend],Threshold[#All],4,FALSE)</f>
        <v>10</v>
      </c>
      <c r="L962" s="5">
        <f>VLOOKUP(TrendSheetStgData[Population]&amp;TrendSheetStgData[Trend],Threshold[#All],5,FALSE)</f>
        <v>5</v>
      </c>
      <c r="M9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3" spans="1:13" x14ac:dyDescent="0.25">
      <c r="A963" t="s">
        <v>111</v>
      </c>
      <c r="B963" t="s">
        <v>111</v>
      </c>
      <c r="C963" t="s">
        <v>91</v>
      </c>
      <c r="D963" s="1" t="s">
        <v>102</v>
      </c>
      <c r="E963" t="s">
        <v>93</v>
      </c>
      <c r="F963" t="s">
        <v>22</v>
      </c>
      <c r="G963">
        <v>11</v>
      </c>
      <c r="H963">
        <v>0</v>
      </c>
      <c r="I963" s="5">
        <f>VLOOKUP(TrendSheetStgData[Population]&amp;TrendSheetStgData[Cost Basis]&amp;TrendSheetStgData[Period]&amp;TrendSheetStgData[Trend],TrendSheetPrdData[#All],9,FALSE)</f>
        <v>0</v>
      </c>
      <c r="J9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3" s="5">
        <f>VLOOKUP(TrendSheetStgData[Population]&amp;TrendSheetStgData[Trend],Threshold[#All],4,FALSE)</f>
        <v>10</v>
      </c>
      <c r="L963" s="5">
        <f>VLOOKUP(TrendSheetStgData[Population]&amp;TrendSheetStgData[Trend],Threshold[#All],5,FALSE)</f>
        <v>5</v>
      </c>
      <c r="M9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4" spans="1:13" x14ac:dyDescent="0.25">
      <c r="A964" t="s">
        <v>111</v>
      </c>
      <c r="B964" t="s">
        <v>111</v>
      </c>
      <c r="C964" t="s">
        <v>91</v>
      </c>
      <c r="D964" s="1" t="s">
        <v>103</v>
      </c>
      <c r="E964" t="s">
        <v>93</v>
      </c>
      <c r="F964" t="s">
        <v>22</v>
      </c>
      <c r="G964">
        <v>11</v>
      </c>
      <c r="H964">
        <v>0</v>
      </c>
      <c r="I964" s="5">
        <f>VLOOKUP(TrendSheetStgData[Population]&amp;TrendSheetStgData[Cost Basis]&amp;TrendSheetStgData[Period]&amp;TrendSheetStgData[Trend],TrendSheetPrdData[#All],9,FALSE)</f>
        <v>0</v>
      </c>
      <c r="J9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4" s="5">
        <f>VLOOKUP(TrendSheetStgData[Population]&amp;TrendSheetStgData[Trend],Threshold[#All],4,FALSE)</f>
        <v>10</v>
      </c>
      <c r="L964" s="5">
        <f>VLOOKUP(TrendSheetStgData[Population]&amp;TrendSheetStgData[Trend],Threshold[#All],5,FALSE)</f>
        <v>5</v>
      </c>
      <c r="M9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5" spans="1:13" x14ac:dyDescent="0.25">
      <c r="A965" t="s">
        <v>111</v>
      </c>
      <c r="B965" t="s">
        <v>111</v>
      </c>
      <c r="C965" t="s">
        <v>91</v>
      </c>
      <c r="D965" s="1" t="s">
        <v>104</v>
      </c>
      <c r="E965" t="s">
        <v>93</v>
      </c>
      <c r="F965" t="s">
        <v>22</v>
      </c>
      <c r="G965">
        <v>11</v>
      </c>
      <c r="H965">
        <v>0</v>
      </c>
      <c r="I965" s="5">
        <f>VLOOKUP(TrendSheetStgData[Population]&amp;TrendSheetStgData[Cost Basis]&amp;TrendSheetStgData[Period]&amp;TrendSheetStgData[Trend],TrendSheetPrdData[#All],9,FALSE)</f>
        <v>0</v>
      </c>
      <c r="J9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5" s="5">
        <f>VLOOKUP(TrendSheetStgData[Population]&amp;TrendSheetStgData[Trend],Threshold[#All],4,FALSE)</f>
        <v>10</v>
      </c>
      <c r="L965" s="5">
        <f>VLOOKUP(TrendSheetStgData[Population]&amp;TrendSheetStgData[Trend],Threshold[#All],5,FALSE)</f>
        <v>5</v>
      </c>
      <c r="M9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6" spans="1:13" x14ac:dyDescent="0.25">
      <c r="A966" t="s">
        <v>111</v>
      </c>
      <c r="B966" t="s">
        <v>111</v>
      </c>
      <c r="C966" t="s">
        <v>91</v>
      </c>
      <c r="D966" s="1" t="s">
        <v>105</v>
      </c>
      <c r="E966" t="s">
        <v>108</v>
      </c>
      <c r="F966" t="s">
        <v>22</v>
      </c>
      <c r="G966">
        <v>11</v>
      </c>
      <c r="H966">
        <v>3</v>
      </c>
      <c r="I966" s="5">
        <f>VLOOKUP(TrendSheetStgData[Population]&amp;TrendSheetStgData[Cost Basis]&amp;TrendSheetStgData[Period]&amp;TrendSheetStgData[Trend],TrendSheetPrdData[#All],9,FALSE)</f>
        <v>3</v>
      </c>
      <c r="J9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6" s="5">
        <f>VLOOKUP(TrendSheetStgData[Population]&amp;TrendSheetStgData[Trend],Threshold[#All],4,FALSE)</f>
        <v>10</v>
      </c>
      <c r="L966" s="5">
        <f>VLOOKUP(TrendSheetStgData[Population]&amp;TrendSheetStgData[Trend],Threshold[#All],5,FALSE)</f>
        <v>5</v>
      </c>
      <c r="M9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7" spans="1:13" x14ac:dyDescent="0.25">
      <c r="A967" t="s">
        <v>111</v>
      </c>
      <c r="B967" t="s">
        <v>111</v>
      </c>
      <c r="C967" t="s">
        <v>91</v>
      </c>
      <c r="D967" s="1" t="s">
        <v>106</v>
      </c>
      <c r="E967" t="s">
        <v>108</v>
      </c>
      <c r="F967" t="s">
        <v>22</v>
      </c>
      <c r="G967">
        <v>11</v>
      </c>
      <c r="H967">
        <v>0</v>
      </c>
      <c r="I967" s="5">
        <f>VLOOKUP(TrendSheetStgData[Population]&amp;TrendSheetStgData[Cost Basis]&amp;TrendSheetStgData[Period]&amp;TrendSheetStgData[Trend],TrendSheetPrdData[#All],9,FALSE)</f>
        <v>0</v>
      </c>
      <c r="J9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7" s="5">
        <f>VLOOKUP(TrendSheetStgData[Population]&amp;TrendSheetStgData[Trend],Threshold[#All],4,FALSE)</f>
        <v>10</v>
      </c>
      <c r="L967" s="5">
        <f>VLOOKUP(TrendSheetStgData[Population]&amp;TrendSheetStgData[Trend],Threshold[#All],5,FALSE)</f>
        <v>5</v>
      </c>
      <c r="M9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8" spans="1:13" x14ac:dyDescent="0.25">
      <c r="A968" t="s">
        <v>111</v>
      </c>
      <c r="B968" t="s">
        <v>111</v>
      </c>
      <c r="C968" t="s">
        <v>91</v>
      </c>
      <c r="D968" s="1" t="s">
        <v>107</v>
      </c>
      <c r="E968" t="s">
        <v>108</v>
      </c>
      <c r="F968" t="s">
        <v>22</v>
      </c>
      <c r="G968">
        <v>11</v>
      </c>
      <c r="H968">
        <v>0</v>
      </c>
      <c r="I968" s="5">
        <f>VLOOKUP(TrendSheetStgData[Population]&amp;TrendSheetStgData[Cost Basis]&amp;TrendSheetStgData[Period]&amp;TrendSheetStgData[Trend],TrendSheetPrdData[#All],9,FALSE)</f>
        <v>0</v>
      </c>
      <c r="J9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8" s="5">
        <f>VLOOKUP(TrendSheetStgData[Population]&amp;TrendSheetStgData[Trend],Threshold[#All],4,FALSE)</f>
        <v>10</v>
      </c>
      <c r="L968" s="5">
        <f>VLOOKUP(TrendSheetStgData[Population]&amp;TrendSheetStgData[Trend],Threshold[#All],5,FALSE)</f>
        <v>5</v>
      </c>
      <c r="M9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9" spans="1:13" x14ac:dyDescent="0.25">
      <c r="A969" t="s">
        <v>111</v>
      </c>
      <c r="B969" t="s">
        <v>111</v>
      </c>
      <c r="C969" t="s">
        <v>91</v>
      </c>
      <c r="D969" s="1" t="s">
        <v>109</v>
      </c>
      <c r="E969" t="s">
        <v>108</v>
      </c>
      <c r="F969" t="s">
        <v>22</v>
      </c>
      <c r="G969">
        <v>11</v>
      </c>
      <c r="H969">
        <v>0</v>
      </c>
      <c r="I969" s="5">
        <f>VLOOKUP(TrendSheetStgData[Population]&amp;TrendSheetStgData[Cost Basis]&amp;TrendSheetStgData[Period]&amp;TrendSheetStgData[Trend],TrendSheetPrdData[#All],9,FALSE)</f>
        <v>0</v>
      </c>
      <c r="J9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9" s="5">
        <f>VLOOKUP(TrendSheetStgData[Population]&amp;TrendSheetStgData[Trend],Threshold[#All],4,FALSE)</f>
        <v>10</v>
      </c>
      <c r="L969" s="5">
        <f>VLOOKUP(TrendSheetStgData[Population]&amp;TrendSheetStgData[Trend],Threshold[#All],5,FALSE)</f>
        <v>5</v>
      </c>
      <c r="M9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0" spans="1:13" x14ac:dyDescent="0.25">
      <c r="A970" t="s">
        <v>111</v>
      </c>
      <c r="B970" t="s">
        <v>111</v>
      </c>
      <c r="C970" t="s">
        <v>91</v>
      </c>
      <c r="D970" s="1" t="s">
        <v>110</v>
      </c>
      <c r="E970" t="s">
        <v>108</v>
      </c>
      <c r="F970" t="s">
        <v>22</v>
      </c>
      <c r="G970">
        <v>11</v>
      </c>
      <c r="H970">
        <v>0</v>
      </c>
      <c r="I970" s="5">
        <f>VLOOKUP(TrendSheetStgData[Population]&amp;TrendSheetStgData[Cost Basis]&amp;TrendSheetStgData[Period]&amp;TrendSheetStgData[Trend],TrendSheetPrdData[#All],9,FALSE)</f>
        <v>0</v>
      </c>
      <c r="J9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0" s="5">
        <f>VLOOKUP(TrendSheetStgData[Population]&amp;TrendSheetStgData[Trend],Threshold[#All],4,FALSE)</f>
        <v>10</v>
      </c>
      <c r="L970" s="5">
        <f>VLOOKUP(TrendSheetStgData[Population]&amp;TrendSheetStgData[Trend],Threshold[#All],5,FALSE)</f>
        <v>5</v>
      </c>
      <c r="M9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1" spans="1:13" x14ac:dyDescent="0.25">
      <c r="A971" t="s">
        <v>111</v>
      </c>
      <c r="B971" t="s">
        <v>111</v>
      </c>
      <c r="C971" t="s">
        <v>91</v>
      </c>
      <c r="D971" s="1" t="s">
        <v>92</v>
      </c>
      <c r="E971" t="s">
        <v>93</v>
      </c>
      <c r="F971" t="s">
        <v>23</v>
      </c>
      <c r="G971">
        <v>12</v>
      </c>
      <c r="H971">
        <v>0</v>
      </c>
      <c r="I971" s="5">
        <f>VLOOKUP(TrendSheetStgData[Population]&amp;TrendSheetStgData[Cost Basis]&amp;TrendSheetStgData[Period]&amp;TrendSheetStgData[Trend],TrendSheetPrdData[#All],9,FALSE)</f>
        <v>0</v>
      </c>
      <c r="J9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1" s="5">
        <f>VLOOKUP(TrendSheetStgData[Population]&amp;TrendSheetStgData[Trend],Threshold[#All],4,FALSE)</f>
        <v>10</v>
      </c>
      <c r="L971" s="5">
        <f>VLOOKUP(TrendSheetStgData[Population]&amp;TrendSheetStgData[Trend],Threshold[#All],5,FALSE)</f>
        <v>5</v>
      </c>
      <c r="M9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2" spans="1:13" x14ac:dyDescent="0.25">
      <c r="A972" t="s">
        <v>111</v>
      </c>
      <c r="B972" t="s">
        <v>111</v>
      </c>
      <c r="C972" t="s">
        <v>91</v>
      </c>
      <c r="D972" s="1" t="s">
        <v>94</v>
      </c>
      <c r="E972" t="s">
        <v>93</v>
      </c>
      <c r="F972" t="s">
        <v>23</v>
      </c>
      <c r="G972">
        <v>12</v>
      </c>
      <c r="H972">
        <v>0</v>
      </c>
      <c r="I972" s="5">
        <f>VLOOKUP(TrendSheetStgData[Population]&amp;TrendSheetStgData[Cost Basis]&amp;TrendSheetStgData[Period]&amp;TrendSheetStgData[Trend],TrendSheetPrdData[#All],9,FALSE)</f>
        <v>0</v>
      </c>
      <c r="J9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2" s="5">
        <f>VLOOKUP(TrendSheetStgData[Population]&amp;TrendSheetStgData[Trend],Threshold[#All],4,FALSE)</f>
        <v>10</v>
      </c>
      <c r="L972" s="5">
        <f>VLOOKUP(TrendSheetStgData[Population]&amp;TrendSheetStgData[Trend],Threshold[#All],5,FALSE)</f>
        <v>5</v>
      </c>
      <c r="M9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3" spans="1:13" x14ac:dyDescent="0.25">
      <c r="A973" t="s">
        <v>111</v>
      </c>
      <c r="B973" t="s">
        <v>111</v>
      </c>
      <c r="C973" t="s">
        <v>91</v>
      </c>
      <c r="D973" s="1" t="s">
        <v>95</v>
      </c>
      <c r="E973" t="s">
        <v>93</v>
      </c>
      <c r="F973" t="s">
        <v>23</v>
      </c>
      <c r="G973">
        <v>12</v>
      </c>
      <c r="H973">
        <v>3</v>
      </c>
      <c r="I973" s="5">
        <f>VLOOKUP(TrendSheetStgData[Population]&amp;TrendSheetStgData[Cost Basis]&amp;TrendSheetStgData[Period]&amp;TrendSheetStgData[Trend],TrendSheetPrdData[#All],9,FALSE)</f>
        <v>3</v>
      </c>
      <c r="J9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3" s="5">
        <f>VLOOKUP(TrendSheetStgData[Population]&amp;TrendSheetStgData[Trend],Threshold[#All],4,FALSE)</f>
        <v>10</v>
      </c>
      <c r="L973" s="5">
        <f>VLOOKUP(TrendSheetStgData[Population]&amp;TrendSheetStgData[Trend],Threshold[#All],5,FALSE)</f>
        <v>5</v>
      </c>
      <c r="M9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4" spans="1:13" x14ac:dyDescent="0.25">
      <c r="A974" t="s">
        <v>111</v>
      </c>
      <c r="B974" t="s">
        <v>111</v>
      </c>
      <c r="C974" t="s">
        <v>91</v>
      </c>
      <c r="D974" s="1" t="s">
        <v>96</v>
      </c>
      <c r="E974" t="s">
        <v>93</v>
      </c>
      <c r="F974" t="s">
        <v>23</v>
      </c>
      <c r="G974">
        <v>12</v>
      </c>
      <c r="H974">
        <v>3</v>
      </c>
      <c r="I974" s="5">
        <f>VLOOKUP(TrendSheetStgData[Population]&amp;TrendSheetStgData[Cost Basis]&amp;TrendSheetStgData[Period]&amp;TrendSheetStgData[Trend],TrendSheetPrdData[#All],9,FALSE)</f>
        <v>3</v>
      </c>
      <c r="J9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4" s="5">
        <f>VLOOKUP(TrendSheetStgData[Population]&amp;TrendSheetStgData[Trend],Threshold[#All],4,FALSE)</f>
        <v>10</v>
      </c>
      <c r="L974" s="5">
        <f>VLOOKUP(TrendSheetStgData[Population]&amp;TrendSheetStgData[Trend],Threshold[#All],5,FALSE)</f>
        <v>5</v>
      </c>
      <c r="M9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5" spans="1:13" x14ac:dyDescent="0.25">
      <c r="A975" t="s">
        <v>111</v>
      </c>
      <c r="B975" t="s">
        <v>111</v>
      </c>
      <c r="C975" t="s">
        <v>91</v>
      </c>
      <c r="D975" s="1" t="s">
        <v>97</v>
      </c>
      <c r="E975" t="s">
        <v>93</v>
      </c>
      <c r="F975" t="s">
        <v>23</v>
      </c>
      <c r="G975">
        <v>12</v>
      </c>
      <c r="H975">
        <v>3</v>
      </c>
      <c r="I975" s="5">
        <f>VLOOKUP(TrendSheetStgData[Population]&amp;TrendSheetStgData[Cost Basis]&amp;TrendSheetStgData[Period]&amp;TrendSheetStgData[Trend],TrendSheetPrdData[#All],9,FALSE)</f>
        <v>3</v>
      </c>
      <c r="J9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5" s="5">
        <f>VLOOKUP(TrendSheetStgData[Population]&amp;TrendSheetStgData[Trend],Threshold[#All],4,FALSE)</f>
        <v>10</v>
      </c>
      <c r="L975" s="5">
        <f>VLOOKUP(TrendSheetStgData[Population]&amp;TrendSheetStgData[Trend],Threshold[#All],5,FALSE)</f>
        <v>5</v>
      </c>
      <c r="M9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6" spans="1:13" x14ac:dyDescent="0.25">
      <c r="A976" t="s">
        <v>111</v>
      </c>
      <c r="B976" t="s">
        <v>111</v>
      </c>
      <c r="C976" t="s">
        <v>91</v>
      </c>
      <c r="D976" s="1" t="s">
        <v>98</v>
      </c>
      <c r="E976" t="s">
        <v>93</v>
      </c>
      <c r="F976" t="s">
        <v>23</v>
      </c>
      <c r="G976">
        <v>12</v>
      </c>
      <c r="H976">
        <v>3</v>
      </c>
      <c r="I976" s="5">
        <f>VLOOKUP(TrendSheetStgData[Population]&amp;TrendSheetStgData[Cost Basis]&amp;TrendSheetStgData[Period]&amp;TrendSheetStgData[Trend],TrendSheetPrdData[#All],9,FALSE)</f>
        <v>3</v>
      </c>
      <c r="J9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6" s="5">
        <f>VLOOKUP(TrendSheetStgData[Population]&amp;TrendSheetStgData[Trend],Threshold[#All],4,FALSE)</f>
        <v>10</v>
      </c>
      <c r="L976" s="5">
        <f>VLOOKUP(TrendSheetStgData[Population]&amp;TrendSheetStgData[Trend],Threshold[#All],5,FALSE)</f>
        <v>5</v>
      </c>
      <c r="M9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7" spans="1:13" x14ac:dyDescent="0.25">
      <c r="A977" t="s">
        <v>111</v>
      </c>
      <c r="B977" t="s">
        <v>111</v>
      </c>
      <c r="C977" t="s">
        <v>91</v>
      </c>
      <c r="D977" s="1" t="s">
        <v>99</v>
      </c>
      <c r="E977" t="s">
        <v>93</v>
      </c>
      <c r="F977" t="s">
        <v>23</v>
      </c>
      <c r="G977">
        <v>12</v>
      </c>
      <c r="H977">
        <v>0</v>
      </c>
      <c r="I977" s="5">
        <f>VLOOKUP(TrendSheetStgData[Population]&amp;TrendSheetStgData[Cost Basis]&amp;TrendSheetStgData[Period]&amp;TrendSheetStgData[Trend],TrendSheetPrdData[#All],9,FALSE)</f>
        <v>0</v>
      </c>
      <c r="J9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7" s="5">
        <f>VLOOKUP(TrendSheetStgData[Population]&amp;TrendSheetStgData[Trend],Threshold[#All],4,FALSE)</f>
        <v>10</v>
      </c>
      <c r="L977" s="5">
        <f>VLOOKUP(TrendSheetStgData[Population]&amp;TrendSheetStgData[Trend],Threshold[#All],5,FALSE)</f>
        <v>5</v>
      </c>
      <c r="M9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8" spans="1:13" x14ac:dyDescent="0.25">
      <c r="A978" t="s">
        <v>111</v>
      </c>
      <c r="B978" t="s">
        <v>111</v>
      </c>
      <c r="C978" t="s">
        <v>91</v>
      </c>
      <c r="D978" s="1" t="s">
        <v>100</v>
      </c>
      <c r="E978" t="s">
        <v>93</v>
      </c>
      <c r="F978" t="s">
        <v>23</v>
      </c>
      <c r="G978">
        <v>12</v>
      </c>
      <c r="H978">
        <v>3</v>
      </c>
      <c r="I978" s="5">
        <f>VLOOKUP(TrendSheetStgData[Population]&amp;TrendSheetStgData[Cost Basis]&amp;TrendSheetStgData[Period]&amp;TrendSheetStgData[Trend],TrendSheetPrdData[#All],9,FALSE)</f>
        <v>3</v>
      </c>
      <c r="J9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8" s="5">
        <f>VLOOKUP(TrendSheetStgData[Population]&amp;TrendSheetStgData[Trend],Threshold[#All],4,FALSE)</f>
        <v>10</v>
      </c>
      <c r="L978" s="5">
        <f>VLOOKUP(TrendSheetStgData[Population]&amp;TrendSheetStgData[Trend],Threshold[#All],5,FALSE)</f>
        <v>5</v>
      </c>
      <c r="M9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9" spans="1:13" x14ac:dyDescent="0.25">
      <c r="A979" t="s">
        <v>111</v>
      </c>
      <c r="B979" t="s">
        <v>111</v>
      </c>
      <c r="C979" t="s">
        <v>91</v>
      </c>
      <c r="D979" s="1" t="s">
        <v>101</v>
      </c>
      <c r="E979" t="s">
        <v>93</v>
      </c>
      <c r="F979" t="s">
        <v>23</v>
      </c>
      <c r="G979">
        <v>12</v>
      </c>
      <c r="H979">
        <v>3</v>
      </c>
      <c r="I979" s="5">
        <f>VLOOKUP(TrendSheetStgData[Population]&amp;TrendSheetStgData[Cost Basis]&amp;TrendSheetStgData[Period]&amp;TrendSheetStgData[Trend],TrendSheetPrdData[#All],9,FALSE)</f>
        <v>3</v>
      </c>
      <c r="J9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9" s="5">
        <f>VLOOKUP(TrendSheetStgData[Population]&amp;TrendSheetStgData[Trend],Threshold[#All],4,FALSE)</f>
        <v>10</v>
      </c>
      <c r="L979" s="5">
        <f>VLOOKUP(TrendSheetStgData[Population]&amp;TrendSheetStgData[Trend],Threshold[#All],5,FALSE)</f>
        <v>5</v>
      </c>
      <c r="M9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0" spans="1:13" x14ac:dyDescent="0.25">
      <c r="A980" t="s">
        <v>111</v>
      </c>
      <c r="B980" t="s">
        <v>111</v>
      </c>
      <c r="C980" t="s">
        <v>91</v>
      </c>
      <c r="D980" s="1" t="s">
        <v>102</v>
      </c>
      <c r="E980" t="s">
        <v>93</v>
      </c>
      <c r="F980" t="s">
        <v>23</v>
      </c>
      <c r="G980">
        <v>12</v>
      </c>
      <c r="H980">
        <v>0</v>
      </c>
      <c r="I980" s="5">
        <f>VLOOKUP(TrendSheetStgData[Population]&amp;TrendSheetStgData[Cost Basis]&amp;TrendSheetStgData[Period]&amp;TrendSheetStgData[Trend],TrendSheetPrdData[#All],9,FALSE)</f>
        <v>0</v>
      </c>
      <c r="J9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0" s="5">
        <f>VLOOKUP(TrendSheetStgData[Population]&amp;TrendSheetStgData[Trend],Threshold[#All],4,FALSE)</f>
        <v>10</v>
      </c>
      <c r="L980" s="5">
        <f>VLOOKUP(TrendSheetStgData[Population]&amp;TrendSheetStgData[Trend],Threshold[#All],5,FALSE)</f>
        <v>5</v>
      </c>
      <c r="M9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1" spans="1:13" x14ac:dyDescent="0.25">
      <c r="A981" t="s">
        <v>111</v>
      </c>
      <c r="B981" t="s">
        <v>111</v>
      </c>
      <c r="C981" t="s">
        <v>91</v>
      </c>
      <c r="D981" s="1" t="s">
        <v>103</v>
      </c>
      <c r="E981" t="s">
        <v>93</v>
      </c>
      <c r="F981" t="s">
        <v>23</v>
      </c>
      <c r="G981">
        <v>12</v>
      </c>
      <c r="H981">
        <v>0</v>
      </c>
      <c r="I981" s="5">
        <f>VLOOKUP(TrendSheetStgData[Population]&amp;TrendSheetStgData[Cost Basis]&amp;TrendSheetStgData[Period]&amp;TrendSheetStgData[Trend],TrendSheetPrdData[#All],9,FALSE)</f>
        <v>0</v>
      </c>
      <c r="J9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1" s="5">
        <f>VLOOKUP(TrendSheetStgData[Population]&amp;TrendSheetStgData[Trend],Threshold[#All],4,FALSE)</f>
        <v>10</v>
      </c>
      <c r="L981" s="5">
        <f>VLOOKUP(TrendSheetStgData[Population]&amp;TrendSheetStgData[Trend],Threshold[#All],5,FALSE)</f>
        <v>5</v>
      </c>
      <c r="M9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2" spans="1:13" x14ac:dyDescent="0.25">
      <c r="A982" t="s">
        <v>111</v>
      </c>
      <c r="B982" t="s">
        <v>111</v>
      </c>
      <c r="C982" t="s">
        <v>91</v>
      </c>
      <c r="D982" s="1" t="s">
        <v>104</v>
      </c>
      <c r="E982" t="s">
        <v>93</v>
      </c>
      <c r="F982" t="s">
        <v>23</v>
      </c>
      <c r="G982">
        <v>12</v>
      </c>
      <c r="H982">
        <v>0</v>
      </c>
      <c r="I982" s="5">
        <f>VLOOKUP(TrendSheetStgData[Population]&amp;TrendSheetStgData[Cost Basis]&amp;TrendSheetStgData[Period]&amp;TrendSheetStgData[Trend],TrendSheetPrdData[#All],9,FALSE)</f>
        <v>0</v>
      </c>
      <c r="J9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2" s="5">
        <f>VLOOKUP(TrendSheetStgData[Population]&amp;TrendSheetStgData[Trend],Threshold[#All],4,FALSE)</f>
        <v>10</v>
      </c>
      <c r="L982" s="5">
        <f>VLOOKUP(TrendSheetStgData[Population]&amp;TrendSheetStgData[Trend],Threshold[#All],5,FALSE)</f>
        <v>5</v>
      </c>
      <c r="M9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3" spans="1:13" x14ac:dyDescent="0.25">
      <c r="A983" t="s">
        <v>111</v>
      </c>
      <c r="B983" t="s">
        <v>111</v>
      </c>
      <c r="C983" t="s">
        <v>91</v>
      </c>
      <c r="D983" s="1" t="s">
        <v>105</v>
      </c>
      <c r="E983" t="s">
        <v>108</v>
      </c>
      <c r="F983" t="s">
        <v>23</v>
      </c>
      <c r="G983">
        <v>12</v>
      </c>
      <c r="H983">
        <v>0</v>
      </c>
      <c r="I983" s="5">
        <f>VLOOKUP(TrendSheetStgData[Population]&amp;TrendSheetStgData[Cost Basis]&amp;TrendSheetStgData[Period]&amp;TrendSheetStgData[Trend],TrendSheetPrdData[#All],9,FALSE)</f>
        <v>0</v>
      </c>
      <c r="J9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3" s="5">
        <f>VLOOKUP(TrendSheetStgData[Population]&amp;TrendSheetStgData[Trend],Threshold[#All],4,FALSE)</f>
        <v>10</v>
      </c>
      <c r="L983" s="5">
        <f>VLOOKUP(TrendSheetStgData[Population]&amp;TrendSheetStgData[Trend],Threshold[#All],5,FALSE)</f>
        <v>5</v>
      </c>
      <c r="M9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4" spans="1:13" x14ac:dyDescent="0.25">
      <c r="A984" t="s">
        <v>111</v>
      </c>
      <c r="B984" t="s">
        <v>111</v>
      </c>
      <c r="C984" t="s">
        <v>91</v>
      </c>
      <c r="D984" s="1" t="s">
        <v>106</v>
      </c>
      <c r="E984" t="s">
        <v>108</v>
      </c>
      <c r="F984" t="s">
        <v>23</v>
      </c>
      <c r="G984">
        <v>12</v>
      </c>
      <c r="H984">
        <v>0</v>
      </c>
      <c r="I984" s="5">
        <f>VLOOKUP(TrendSheetStgData[Population]&amp;TrendSheetStgData[Cost Basis]&amp;TrendSheetStgData[Period]&amp;TrendSheetStgData[Trend],TrendSheetPrdData[#All],9,FALSE)</f>
        <v>0</v>
      </c>
      <c r="J9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4" s="5">
        <f>VLOOKUP(TrendSheetStgData[Population]&amp;TrendSheetStgData[Trend],Threshold[#All],4,FALSE)</f>
        <v>10</v>
      </c>
      <c r="L984" s="5">
        <f>VLOOKUP(TrendSheetStgData[Population]&amp;TrendSheetStgData[Trend],Threshold[#All],5,FALSE)</f>
        <v>5</v>
      </c>
      <c r="M9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5" spans="1:13" x14ac:dyDescent="0.25">
      <c r="A985" t="s">
        <v>111</v>
      </c>
      <c r="B985" t="s">
        <v>111</v>
      </c>
      <c r="C985" t="s">
        <v>91</v>
      </c>
      <c r="D985" s="1" t="s">
        <v>107</v>
      </c>
      <c r="E985" t="s">
        <v>108</v>
      </c>
      <c r="F985" t="s">
        <v>23</v>
      </c>
      <c r="G985">
        <v>12</v>
      </c>
      <c r="H985">
        <v>0</v>
      </c>
      <c r="I985" s="5">
        <f>VLOOKUP(TrendSheetStgData[Population]&amp;TrendSheetStgData[Cost Basis]&amp;TrendSheetStgData[Period]&amp;TrendSheetStgData[Trend],TrendSheetPrdData[#All],9,FALSE)</f>
        <v>0</v>
      </c>
      <c r="J9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5" s="5">
        <f>VLOOKUP(TrendSheetStgData[Population]&amp;TrendSheetStgData[Trend],Threshold[#All],4,FALSE)</f>
        <v>10</v>
      </c>
      <c r="L985" s="5">
        <f>VLOOKUP(TrendSheetStgData[Population]&amp;TrendSheetStgData[Trend],Threshold[#All],5,FALSE)</f>
        <v>5</v>
      </c>
      <c r="M9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6" spans="1:13" x14ac:dyDescent="0.25">
      <c r="A986" t="s">
        <v>111</v>
      </c>
      <c r="B986" t="s">
        <v>111</v>
      </c>
      <c r="C986" t="s">
        <v>91</v>
      </c>
      <c r="D986" s="1" t="s">
        <v>109</v>
      </c>
      <c r="E986" t="s">
        <v>108</v>
      </c>
      <c r="F986" t="s">
        <v>23</v>
      </c>
      <c r="G986">
        <v>12</v>
      </c>
      <c r="H986">
        <v>3</v>
      </c>
      <c r="I986" s="5">
        <f>VLOOKUP(TrendSheetStgData[Population]&amp;TrendSheetStgData[Cost Basis]&amp;TrendSheetStgData[Period]&amp;TrendSheetStgData[Trend],TrendSheetPrdData[#All],9,FALSE)</f>
        <v>3</v>
      </c>
      <c r="J9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6" s="5">
        <f>VLOOKUP(TrendSheetStgData[Population]&amp;TrendSheetStgData[Trend],Threshold[#All],4,FALSE)</f>
        <v>10</v>
      </c>
      <c r="L986" s="5">
        <f>VLOOKUP(TrendSheetStgData[Population]&amp;TrendSheetStgData[Trend],Threshold[#All],5,FALSE)</f>
        <v>5</v>
      </c>
      <c r="M9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7" spans="1:13" x14ac:dyDescent="0.25">
      <c r="A987" t="s">
        <v>111</v>
      </c>
      <c r="B987" t="s">
        <v>111</v>
      </c>
      <c r="C987" t="s">
        <v>91</v>
      </c>
      <c r="D987" s="1" t="s">
        <v>110</v>
      </c>
      <c r="E987" t="s">
        <v>108</v>
      </c>
      <c r="F987" t="s">
        <v>23</v>
      </c>
      <c r="G987">
        <v>12</v>
      </c>
      <c r="H987">
        <v>0</v>
      </c>
      <c r="I987" s="5">
        <f>VLOOKUP(TrendSheetStgData[Population]&amp;TrendSheetStgData[Cost Basis]&amp;TrendSheetStgData[Period]&amp;TrendSheetStgData[Trend],TrendSheetPrdData[#All],9,FALSE)</f>
        <v>0</v>
      </c>
      <c r="J9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7" s="5">
        <f>VLOOKUP(TrendSheetStgData[Population]&amp;TrendSheetStgData[Trend],Threshold[#All],4,FALSE)</f>
        <v>10</v>
      </c>
      <c r="L987" s="5">
        <f>VLOOKUP(TrendSheetStgData[Population]&amp;TrendSheetStgData[Trend],Threshold[#All],5,FALSE)</f>
        <v>5</v>
      </c>
      <c r="M9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8" spans="1:13" x14ac:dyDescent="0.25">
      <c r="A988" t="s">
        <v>111</v>
      </c>
      <c r="B988" t="s">
        <v>111</v>
      </c>
      <c r="C988" t="s">
        <v>91</v>
      </c>
      <c r="D988" s="1" t="s">
        <v>92</v>
      </c>
      <c r="E988" t="s">
        <v>93</v>
      </c>
      <c r="F988" t="s">
        <v>24</v>
      </c>
      <c r="G988">
        <v>13</v>
      </c>
      <c r="H988">
        <v>106272</v>
      </c>
      <c r="I988" s="5">
        <f>VLOOKUP(TrendSheetStgData[Population]&amp;TrendSheetStgData[Cost Basis]&amp;TrendSheetStgData[Period]&amp;TrendSheetStgData[Trend],TrendSheetPrdData[#All],9,FALSE)</f>
        <v>106272</v>
      </c>
      <c r="J9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8" s="5">
        <f>VLOOKUP(TrendSheetStgData[Population]&amp;TrendSheetStgData[Trend],Threshold[#All],4,FALSE)</f>
        <v>10</v>
      </c>
      <c r="L988" s="5">
        <f>VLOOKUP(TrendSheetStgData[Population]&amp;TrendSheetStgData[Trend],Threshold[#All],5,FALSE)</f>
        <v>5</v>
      </c>
      <c r="M9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9" spans="1:13" x14ac:dyDescent="0.25">
      <c r="A989" t="s">
        <v>111</v>
      </c>
      <c r="B989" t="s">
        <v>111</v>
      </c>
      <c r="C989" t="s">
        <v>91</v>
      </c>
      <c r="D989" s="1" t="s">
        <v>94</v>
      </c>
      <c r="E989" t="s">
        <v>93</v>
      </c>
      <c r="F989" t="s">
        <v>24</v>
      </c>
      <c r="G989">
        <v>13</v>
      </c>
      <c r="H989">
        <v>108365</v>
      </c>
      <c r="I989" s="5">
        <f>VLOOKUP(TrendSheetStgData[Population]&amp;TrendSheetStgData[Cost Basis]&amp;TrendSheetStgData[Period]&amp;TrendSheetStgData[Trend],TrendSheetPrdData[#All],9,FALSE)</f>
        <v>108365</v>
      </c>
      <c r="J9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9" s="5">
        <f>VLOOKUP(TrendSheetStgData[Population]&amp;TrendSheetStgData[Trend],Threshold[#All],4,FALSE)</f>
        <v>10</v>
      </c>
      <c r="L989" s="5">
        <f>VLOOKUP(TrendSheetStgData[Population]&amp;TrendSheetStgData[Trend],Threshold[#All],5,FALSE)</f>
        <v>5</v>
      </c>
      <c r="M9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0" spans="1:13" x14ac:dyDescent="0.25">
      <c r="A990" t="s">
        <v>111</v>
      </c>
      <c r="B990" t="s">
        <v>111</v>
      </c>
      <c r="C990" t="s">
        <v>91</v>
      </c>
      <c r="D990" s="1" t="s">
        <v>95</v>
      </c>
      <c r="E990" t="s">
        <v>93</v>
      </c>
      <c r="F990" t="s">
        <v>24</v>
      </c>
      <c r="G990">
        <v>13</v>
      </c>
      <c r="H990">
        <v>89432</v>
      </c>
      <c r="I990" s="5">
        <f>VLOOKUP(TrendSheetStgData[Population]&amp;TrendSheetStgData[Cost Basis]&amp;TrendSheetStgData[Period]&amp;TrendSheetStgData[Trend],TrendSheetPrdData[#All],9,FALSE)</f>
        <v>89432</v>
      </c>
      <c r="J9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0" s="5">
        <f>VLOOKUP(TrendSheetStgData[Population]&amp;TrendSheetStgData[Trend],Threshold[#All],4,FALSE)</f>
        <v>10</v>
      </c>
      <c r="L990" s="5">
        <f>VLOOKUP(TrendSheetStgData[Population]&amp;TrendSheetStgData[Trend],Threshold[#All],5,FALSE)</f>
        <v>5</v>
      </c>
      <c r="M9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1" spans="1:13" x14ac:dyDescent="0.25">
      <c r="A991" t="s">
        <v>111</v>
      </c>
      <c r="B991" t="s">
        <v>111</v>
      </c>
      <c r="C991" t="s">
        <v>91</v>
      </c>
      <c r="D991" s="1" t="s">
        <v>96</v>
      </c>
      <c r="E991" t="s">
        <v>93</v>
      </c>
      <c r="F991" t="s">
        <v>24</v>
      </c>
      <c r="G991">
        <v>13</v>
      </c>
      <c r="H991">
        <v>122811</v>
      </c>
      <c r="I991" s="5">
        <f>VLOOKUP(TrendSheetStgData[Population]&amp;TrendSheetStgData[Cost Basis]&amp;TrendSheetStgData[Period]&amp;TrendSheetStgData[Trend],TrendSheetPrdData[#All],9,FALSE)</f>
        <v>122811</v>
      </c>
      <c r="J9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1" s="5">
        <f>VLOOKUP(TrendSheetStgData[Population]&amp;TrendSheetStgData[Trend],Threshold[#All],4,FALSE)</f>
        <v>10</v>
      </c>
      <c r="L991" s="5">
        <f>VLOOKUP(TrendSheetStgData[Population]&amp;TrendSheetStgData[Trend],Threshold[#All],5,FALSE)</f>
        <v>5</v>
      </c>
      <c r="M9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2" spans="1:13" x14ac:dyDescent="0.25">
      <c r="A992" t="s">
        <v>111</v>
      </c>
      <c r="B992" t="s">
        <v>111</v>
      </c>
      <c r="C992" t="s">
        <v>91</v>
      </c>
      <c r="D992" s="1" t="s">
        <v>97</v>
      </c>
      <c r="E992" t="s">
        <v>93</v>
      </c>
      <c r="F992" t="s">
        <v>24</v>
      </c>
      <c r="G992">
        <v>13</v>
      </c>
      <c r="H992">
        <v>82290</v>
      </c>
      <c r="I992" s="5">
        <f>VLOOKUP(TrendSheetStgData[Population]&amp;TrendSheetStgData[Cost Basis]&amp;TrendSheetStgData[Period]&amp;TrendSheetStgData[Trend],TrendSheetPrdData[#All],9,FALSE)</f>
        <v>82290</v>
      </c>
      <c r="J9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2" s="5">
        <f>VLOOKUP(TrendSheetStgData[Population]&amp;TrendSheetStgData[Trend],Threshold[#All],4,FALSE)</f>
        <v>10</v>
      </c>
      <c r="L992" s="5">
        <f>VLOOKUP(TrendSheetStgData[Population]&amp;TrendSheetStgData[Trend],Threshold[#All],5,FALSE)</f>
        <v>5</v>
      </c>
      <c r="M9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3" spans="1:13" x14ac:dyDescent="0.25">
      <c r="A993" t="s">
        <v>111</v>
      </c>
      <c r="B993" t="s">
        <v>111</v>
      </c>
      <c r="C993" t="s">
        <v>91</v>
      </c>
      <c r="D993" s="1" t="s">
        <v>98</v>
      </c>
      <c r="E993" t="s">
        <v>93</v>
      </c>
      <c r="F993" t="s">
        <v>24</v>
      </c>
      <c r="G993">
        <v>13</v>
      </c>
      <c r="H993">
        <v>79927</v>
      </c>
      <c r="I993" s="5">
        <f>VLOOKUP(TrendSheetStgData[Population]&amp;TrendSheetStgData[Cost Basis]&amp;TrendSheetStgData[Period]&amp;TrendSheetStgData[Trend],TrendSheetPrdData[#All],9,FALSE)</f>
        <v>79927</v>
      </c>
      <c r="J9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3" s="5">
        <f>VLOOKUP(TrendSheetStgData[Population]&amp;TrendSheetStgData[Trend],Threshold[#All],4,FALSE)</f>
        <v>10</v>
      </c>
      <c r="L993" s="5">
        <f>VLOOKUP(TrendSheetStgData[Population]&amp;TrendSheetStgData[Trend],Threshold[#All],5,FALSE)</f>
        <v>5</v>
      </c>
      <c r="M9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4" spans="1:13" x14ac:dyDescent="0.25">
      <c r="A994" t="s">
        <v>111</v>
      </c>
      <c r="B994" t="s">
        <v>111</v>
      </c>
      <c r="C994" t="s">
        <v>91</v>
      </c>
      <c r="D994" s="1" t="s">
        <v>99</v>
      </c>
      <c r="E994" t="s">
        <v>93</v>
      </c>
      <c r="F994" t="s">
        <v>24</v>
      </c>
      <c r="G994">
        <v>13</v>
      </c>
      <c r="H994">
        <v>109964</v>
      </c>
      <c r="I994" s="5">
        <f>VLOOKUP(TrendSheetStgData[Population]&amp;TrendSheetStgData[Cost Basis]&amp;TrendSheetStgData[Period]&amp;TrendSheetStgData[Trend],TrendSheetPrdData[#All],9,FALSE)</f>
        <v>109964</v>
      </c>
      <c r="J9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4" s="5">
        <f>VLOOKUP(TrendSheetStgData[Population]&amp;TrendSheetStgData[Trend],Threshold[#All],4,FALSE)</f>
        <v>10</v>
      </c>
      <c r="L994" s="5">
        <f>VLOOKUP(TrendSheetStgData[Population]&amp;TrendSheetStgData[Trend],Threshold[#All],5,FALSE)</f>
        <v>5</v>
      </c>
      <c r="M9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5" spans="1:13" x14ac:dyDescent="0.25">
      <c r="A995" t="s">
        <v>111</v>
      </c>
      <c r="B995" t="s">
        <v>111</v>
      </c>
      <c r="C995" t="s">
        <v>91</v>
      </c>
      <c r="D995" s="1" t="s">
        <v>100</v>
      </c>
      <c r="E995" t="s">
        <v>93</v>
      </c>
      <c r="F995" t="s">
        <v>24</v>
      </c>
      <c r="G995">
        <v>13</v>
      </c>
      <c r="H995">
        <v>93851</v>
      </c>
      <c r="I995" s="5">
        <f>VLOOKUP(TrendSheetStgData[Population]&amp;TrendSheetStgData[Cost Basis]&amp;TrendSheetStgData[Period]&amp;TrendSheetStgData[Trend],TrendSheetPrdData[#All],9,FALSE)</f>
        <v>93851</v>
      </c>
      <c r="J9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5" s="5">
        <f>VLOOKUP(TrendSheetStgData[Population]&amp;TrendSheetStgData[Trend],Threshold[#All],4,FALSE)</f>
        <v>10</v>
      </c>
      <c r="L995" s="5">
        <f>VLOOKUP(TrendSheetStgData[Population]&amp;TrendSheetStgData[Trend],Threshold[#All],5,FALSE)</f>
        <v>5</v>
      </c>
      <c r="M9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6" spans="1:13" x14ac:dyDescent="0.25">
      <c r="A996" t="s">
        <v>111</v>
      </c>
      <c r="B996" t="s">
        <v>111</v>
      </c>
      <c r="C996" t="s">
        <v>91</v>
      </c>
      <c r="D996" s="1" t="s">
        <v>101</v>
      </c>
      <c r="E996" t="s">
        <v>93</v>
      </c>
      <c r="F996" t="s">
        <v>24</v>
      </c>
      <c r="G996">
        <v>13</v>
      </c>
      <c r="H996">
        <v>106811</v>
      </c>
      <c r="I996" s="5">
        <f>VLOOKUP(TrendSheetStgData[Population]&amp;TrendSheetStgData[Cost Basis]&amp;TrendSheetStgData[Period]&amp;TrendSheetStgData[Trend],TrendSheetPrdData[#All],9,FALSE)</f>
        <v>106811</v>
      </c>
      <c r="J9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6" s="5">
        <f>VLOOKUP(TrendSheetStgData[Population]&amp;TrendSheetStgData[Trend],Threshold[#All],4,FALSE)</f>
        <v>10</v>
      </c>
      <c r="L996" s="5">
        <f>VLOOKUP(TrendSheetStgData[Population]&amp;TrendSheetStgData[Trend],Threshold[#All],5,FALSE)</f>
        <v>5</v>
      </c>
      <c r="M9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7" spans="1:13" x14ac:dyDescent="0.25">
      <c r="A997" t="s">
        <v>111</v>
      </c>
      <c r="B997" t="s">
        <v>111</v>
      </c>
      <c r="C997" t="s">
        <v>91</v>
      </c>
      <c r="D997" s="1" t="s">
        <v>102</v>
      </c>
      <c r="E997" t="s">
        <v>93</v>
      </c>
      <c r="F997" t="s">
        <v>24</v>
      </c>
      <c r="G997">
        <v>13</v>
      </c>
      <c r="H997">
        <v>84412</v>
      </c>
      <c r="I997" s="5">
        <f>VLOOKUP(TrendSheetStgData[Population]&amp;TrendSheetStgData[Cost Basis]&amp;TrendSheetStgData[Period]&amp;TrendSheetStgData[Trend],TrendSheetPrdData[#All],9,FALSE)</f>
        <v>84412</v>
      </c>
      <c r="J9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7" s="5">
        <f>VLOOKUP(TrendSheetStgData[Population]&amp;TrendSheetStgData[Trend],Threshold[#All],4,FALSE)</f>
        <v>10</v>
      </c>
      <c r="L997" s="5">
        <f>VLOOKUP(TrendSheetStgData[Population]&amp;TrendSheetStgData[Trend],Threshold[#All],5,FALSE)</f>
        <v>5</v>
      </c>
      <c r="M9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8" spans="1:13" x14ac:dyDescent="0.25">
      <c r="A998" t="s">
        <v>111</v>
      </c>
      <c r="B998" t="s">
        <v>111</v>
      </c>
      <c r="C998" t="s">
        <v>91</v>
      </c>
      <c r="D998" s="1" t="s">
        <v>103</v>
      </c>
      <c r="E998" t="s">
        <v>93</v>
      </c>
      <c r="F998" t="s">
        <v>24</v>
      </c>
      <c r="G998">
        <v>13</v>
      </c>
      <c r="H998">
        <v>101641</v>
      </c>
      <c r="I998" s="5">
        <f>VLOOKUP(TrendSheetStgData[Population]&amp;TrendSheetStgData[Cost Basis]&amp;TrendSheetStgData[Period]&amp;TrendSheetStgData[Trend],TrendSheetPrdData[#All],9,FALSE)</f>
        <v>101641</v>
      </c>
      <c r="J9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8" s="5">
        <f>VLOOKUP(TrendSheetStgData[Population]&amp;TrendSheetStgData[Trend],Threshold[#All],4,FALSE)</f>
        <v>10</v>
      </c>
      <c r="L998" s="5">
        <f>VLOOKUP(TrendSheetStgData[Population]&amp;TrendSheetStgData[Trend],Threshold[#All],5,FALSE)</f>
        <v>5</v>
      </c>
      <c r="M9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9" spans="1:13" x14ac:dyDescent="0.25">
      <c r="A999" t="s">
        <v>111</v>
      </c>
      <c r="B999" t="s">
        <v>111</v>
      </c>
      <c r="C999" t="s">
        <v>91</v>
      </c>
      <c r="D999" s="1" t="s">
        <v>104</v>
      </c>
      <c r="E999" t="s">
        <v>93</v>
      </c>
      <c r="F999" t="s">
        <v>24</v>
      </c>
      <c r="G999">
        <v>13</v>
      </c>
      <c r="H999">
        <v>86709</v>
      </c>
      <c r="I999" s="5">
        <f>VLOOKUP(TrendSheetStgData[Population]&amp;TrendSheetStgData[Cost Basis]&amp;TrendSheetStgData[Period]&amp;TrendSheetStgData[Trend],TrendSheetPrdData[#All],9,FALSE)</f>
        <v>86709</v>
      </c>
      <c r="J9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9" s="5">
        <f>VLOOKUP(TrendSheetStgData[Population]&amp;TrendSheetStgData[Trend],Threshold[#All],4,FALSE)</f>
        <v>10</v>
      </c>
      <c r="L999" s="5">
        <f>VLOOKUP(TrendSheetStgData[Population]&amp;TrendSheetStgData[Trend],Threshold[#All],5,FALSE)</f>
        <v>5</v>
      </c>
      <c r="M9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0" spans="1:13" x14ac:dyDescent="0.25">
      <c r="A1000" t="s">
        <v>111</v>
      </c>
      <c r="B1000" t="s">
        <v>111</v>
      </c>
      <c r="C1000" t="s">
        <v>91</v>
      </c>
      <c r="D1000" s="1" t="s">
        <v>105</v>
      </c>
      <c r="E1000" t="s">
        <v>108</v>
      </c>
      <c r="F1000" t="s">
        <v>24</v>
      </c>
      <c r="G1000">
        <v>13</v>
      </c>
      <c r="H1000">
        <v>90223</v>
      </c>
      <c r="I1000" s="5">
        <f>VLOOKUP(TrendSheetStgData[Population]&amp;TrendSheetStgData[Cost Basis]&amp;TrendSheetStgData[Period]&amp;TrendSheetStgData[Trend],TrendSheetPrdData[#All],9,FALSE)</f>
        <v>90223</v>
      </c>
      <c r="J10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0" s="5">
        <f>VLOOKUP(TrendSheetStgData[Population]&amp;TrendSheetStgData[Trend],Threshold[#All],4,FALSE)</f>
        <v>10</v>
      </c>
      <c r="L1000" s="5">
        <f>VLOOKUP(TrendSheetStgData[Population]&amp;TrendSheetStgData[Trend],Threshold[#All],5,FALSE)</f>
        <v>5</v>
      </c>
      <c r="M10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1" spans="1:13" x14ac:dyDescent="0.25">
      <c r="A1001" t="s">
        <v>111</v>
      </c>
      <c r="B1001" t="s">
        <v>111</v>
      </c>
      <c r="C1001" t="s">
        <v>91</v>
      </c>
      <c r="D1001" s="1" t="s">
        <v>106</v>
      </c>
      <c r="E1001" t="s">
        <v>108</v>
      </c>
      <c r="F1001" t="s">
        <v>24</v>
      </c>
      <c r="G1001">
        <v>13</v>
      </c>
      <c r="H1001">
        <v>111997</v>
      </c>
      <c r="I1001" s="5">
        <f>VLOOKUP(TrendSheetStgData[Population]&amp;TrendSheetStgData[Cost Basis]&amp;TrendSheetStgData[Period]&amp;TrendSheetStgData[Trend],TrendSheetPrdData[#All],9,FALSE)</f>
        <v>111997</v>
      </c>
      <c r="J10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1" s="5">
        <f>VLOOKUP(TrendSheetStgData[Population]&amp;TrendSheetStgData[Trend],Threshold[#All],4,FALSE)</f>
        <v>10</v>
      </c>
      <c r="L1001" s="5">
        <f>VLOOKUP(TrendSheetStgData[Population]&amp;TrendSheetStgData[Trend],Threshold[#All],5,FALSE)</f>
        <v>5</v>
      </c>
      <c r="M10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2" spans="1:13" x14ac:dyDescent="0.25">
      <c r="A1002" t="s">
        <v>111</v>
      </c>
      <c r="B1002" t="s">
        <v>111</v>
      </c>
      <c r="C1002" t="s">
        <v>91</v>
      </c>
      <c r="D1002" s="1" t="s">
        <v>107</v>
      </c>
      <c r="E1002" t="s">
        <v>108</v>
      </c>
      <c r="F1002" t="s">
        <v>24</v>
      </c>
      <c r="G1002">
        <v>13</v>
      </c>
      <c r="H1002">
        <v>85109</v>
      </c>
      <c r="I1002" s="5">
        <f>VLOOKUP(TrendSheetStgData[Population]&amp;TrendSheetStgData[Cost Basis]&amp;TrendSheetStgData[Period]&amp;TrendSheetStgData[Trend],TrendSheetPrdData[#All],9,FALSE)</f>
        <v>85109</v>
      </c>
      <c r="J10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2" s="5">
        <f>VLOOKUP(TrendSheetStgData[Population]&amp;TrendSheetStgData[Trend],Threshold[#All],4,FALSE)</f>
        <v>10</v>
      </c>
      <c r="L1002" s="5">
        <f>VLOOKUP(TrendSheetStgData[Population]&amp;TrendSheetStgData[Trend],Threshold[#All],5,FALSE)</f>
        <v>5</v>
      </c>
      <c r="M10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3" spans="1:13" x14ac:dyDescent="0.25">
      <c r="A1003" t="s">
        <v>111</v>
      </c>
      <c r="B1003" t="s">
        <v>111</v>
      </c>
      <c r="C1003" t="s">
        <v>91</v>
      </c>
      <c r="D1003" s="1" t="s">
        <v>109</v>
      </c>
      <c r="E1003" t="s">
        <v>108</v>
      </c>
      <c r="F1003" t="s">
        <v>24</v>
      </c>
      <c r="G1003">
        <v>13</v>
      </c>
      <c r="H1003">
        <v>82842</v>
      </c>
      <c r="I1003" s="5">
        <f>VLOOKUP(TrendSheetStgData[Population]&amp;TrendSheetStgData[Cost Basis]&amp;TrendSheetStgData[Period]&amp;TrendSheetStgData[Trend],TrendSheetPrdData[#All],9,FALSE)</f>
        <v>82842</v>
      </c>
      <c r="J10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3" s="5">
        <f>VLOOKUP(TrendSheetStgData[Population]&amp;TrendSheetStgData[Trend],Threshold[#All],4,FALSE)</f>
        <v>10</v>
      </c>
      <c r="L1003" s="5">
        <f>VLOOKUP(TrendSheetStgData[Population]&amp;TrendSheetStgData[Trend],Threshold[#All],5,FALSE)</f>
        <v>5</v>
      </c>
      <c r="M10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4" spans="1:13" x14ac:dyDescent="0.25">
      <c r="A1004" t="s">
        <v>111</v>
      </c>
      <c r="B1004" t="s">
        <v>111</v>
      </c>
      <c r="C1004" t="s">
        <v>91</v>
      </c>
      <c r="D1004" s="1" t="s">
        <v>110</v>
      </c>
      <c r="E1004" t="s">
        <v>108</v>
      </c>
      <c r="F1004" t="s">
        <v>24</v>
      </c>
      <c r="G1004">
        <v>13</v>
      </c>
      <c r="H1004">
        <v>24183</v>
      </c>
      <c r="I1004" s="5">
        <f>VLOOKUP(TrendSheetStgData[Population]&amp;TrendSheetStgData[Cost Basis]&amp;TrendSheetStgData[Period]&amp;TrendSheetStgData[Trend],TrendSheetPrdData[#All],9,FALSE)</f>
        <v>24183</v>
      </c>
      <c r="J10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4" s="5">
        <f>VLOOKUP(TrendSheetStgData[Population]&amp;TrendSheetStgData[Trend],Threshold[#All],4,FALSE)</f>
        <v>10</v>
      </c>
      <c r="L1004" s="5">
        <f>VLOOKUP(TrendSheetStgData[Population]&amp;TrendSheetStgData[Trend],Threshold[#All],5,FALSE)</f>
        <v>5</v>
      </c>
      <c r="M10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5" spans="1:13" x14ac:dyDescent="0.25">
      <c r="A1005" t="s">
        <v>111</v>
      </c>
      <c r="B1005" t="s">
        <v>111</v>
      </c>
      <c r="C1005" t="s">
        <v>91</v>
      </c>
      <c r="D1005" s="1" t="s">
        <v>92</v>
      </c>
      <c r="E1005" t="s">
        <v>93</v>
      </c>
      <c r="F1005" t="s">
        <v>25</v>
      </c>
      <c r="G1005">
        <v>14</v>
      </c>
      <c r="H1005">
        <v>209</v>
      </c>
      <c r="I1005" s="5">
        <f>VLOOKUP(TrendSheetStgData[Population]&amp;TrendSheetStgData[Cost Basis]&amp;TrendSheetStgData[Period]&amp;TrendSheetStgData[Trend],TrendSheetPrdData[#All],9,FALSE)</f>
        <v>209</v>
      </c>
      <c r="J10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5" s="5">
        <f>VLOOKUP(TrendSheetStgData[Population]&amp;TrendSheetStgData[Trend],Threshold[#All],4,FALSE)</f>
        <v>10</v>
      </c>
      <c r="L1005" s="5">
        <f>VLOOKUP(TrendSheetStgData[Population]&amp;TrendSheetStgData[Trend],Threshold[#All],5,FALSE)</f>
        <v>5</v>
      </c>
      <c r="M10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6" spans="1:13" x14ac:dyDescent="0.25">
      <c r="A1006" t="s">
        <v>111</v>
      </c>
      <c r="B1006" t="s">
        <v>111</v>
      </c>
      <c r="C1006" t="s">
        <v>91</v>
      </c>
      <c r="D1006" s="1" t="s">
        <v>94</v>
      </c>
      <c r="E1006" t="s">
        <v>93</v>
      </c>
      <c r="F1006" t="s">
        <v>25</v>
      </c>
      <c r="G1006">
        <v>14</v>
      </c>
      <c r="H1006">
        <v>207</v>
      </c>
      <c r="I1006" s="5">
        <f>VLOOKUP(TrendSheetStgData[Population]&amp;TrendSheetStgData[Cost Basis]&amp;TrendSheetStgData[Period]&amp;TrendSheetStgData[Trend],TrendSheetPrdData[#All],9,FALSE)</f>
        <v>207</v>
      </c>
      <c r="J10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6" s="5">
        <f>VLOOKUP(TrendSheetStgData[Population]&amp;TrendSheetStgData[Trend],Threshold[#All],4,FALSE)</f>
        <v>10</v>
      </c>
      <c r="L1006" s="5">
        <f>VLOOKUP(TrendSheetStgData[Population]&amp;TrendSheetStgData[Trend],Threshold[#All],5,FALSE)</f>
        <v>5</v>
      </c>
      <c r="M10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7" spans="1:13" x14ac:dyDescent="0.25">
      <c r="A1007" t="s">
        <v>111</v>
      </c>
      <c r="B1007" t="s">
        <v>111</v>
      </c>
      <c r="C1007" t="s">
        <v>91</v>
      </c>
      <c r="D1007" s="1" t="s">
        <v>95</v>
      </c>
      <c r="E1007" t="s">
        <v>93</v>
      </c>
      <c r="F1007" t="s">
        <v>25</v>
      </c>
      <c r="G1007">
        <v>14</v>
      </c>
      <c r="H1007">
        <v>183</v>
      </c>
      <c r="I1007" s="5">
        <f>VLOOKUP(TrendSheetStgData[Population]&amp;TrendSheetStgData[Cost Basis]&amp;TrendSheetStgData[Period]&amp;TrendSheetStgData[Trend],TrendSheetPrdData[#All],9,FALSE)</f>
        <v>183</v>
      </c>
      <c r="J10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7" s="5">
        <f>VLOOKUP(TrendSheetStgData[Population]&amp;TrendSheetStgData[Trend],Threshold[#All],4,FALSE)</f>
        <v>10</v>
      </c>
      <c r="L1007" s="5">
        <f>VLOOKUP(TrendSheetStgData[Population]&amp;TrendSheetStgData[Trend],Threshold[#All],5,FALSE)</f>
        <v>5</v>
      </c>
      <c r="M10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8" spans="1:13" x14ac:dyDescent="0.25">
      <c r="A1008" t="s">
        <v>111</v>
      </c>
      <c r="B1008" t="s">
        <v>111</v>
      </c>
      <c r="C1008" t="s">
        <v>91</v>
      </c>
      <c r="D1008" s="1" t="s">
        <v>96</v>
      </c>
      <c r="E1008" t="s">
        <v>93</v>
      </c>
      <c r="F1008" t="s">
        <v>25</v>
      </c>
      <c r="G1008">
        <v>14</v>
      </c>
      <c r="H1008">
        <v>177</v>
      </c>
      <c r="I1008" s="5">
        <f>VLOOKUP(TrendSheetStgData[Population]&amp;TrendSheetStgData[Cost Basis]&amp;TrendSheetStgData[Period]&amp;TrendSheetStgData[Trend],TrendSheetPrdData[#All],9,FALSE)</f>
        <v>177</v>
      </c>
      <c r="J10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8" s="5">
        <f>VLOOKUP(TrendSheetStgData[Population]&amp;TrendSheetStgData[Trend],Threshold[#All],4,FALSE)</f>
        <v>10</v>
      </c>
      <c r="L1008" s="5">
        <f>VLOOKUP(TrendSheetStgData[Population]&amp;TrendSheetStgData[Trend],Threshold[#All],5,FALSE)</f>
        <v>5</v>
      </c>
      <c r="M10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9" spans="1:13" x14ac:dyDescent="0.25">
      <c r="A1009" t="s">
        <v>111</v>
      </c>
      <c r="B1009" t="s">
        <v>111</v>
      </c>
      <c r="C1009" t="s">
        <v>91</v>
      </c>
      <c r="D1009" s="1" t="s">
        <v>97</v>
      </c>
      <c r="E1009" t="s">
        <v>93</v>
      </c>
      <c r="F1009" t="s">
        <v>25</v>
      </c>
      <c r="G1009">
        <v>14</v>
      </c>
      <c r="H1009">
        <v>153</v>
      </c>
      <c r="I1009" s="5">
        <f>VLOOKUP(TrendSheetStgData[Population]&amp;TrendSheetStgData[Cost Basis]&amp;TrendSheetStgData[Period]&amp;TrendSheetStgData[Trend],TrendSheetPrdData[#All],9,FALSE)</f>
        <v>153</v>
      </c>
      <c r="J10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9" s="5">
        <f>VLOOKUP(TrendSheetStgData[Population]&amp;TrendSheetStgData[Trend],Threshold[#All],4,FALSE)</f>
        <v>10</v>
      </c>
      <c r="L1009" s="5">
        <f>VLOOKUP(TrendSheetStgData[Population]&amp;TrendSheetStgData[Trend],Threshold[#All],5,FALSE)</f>
        <v>5</v>
      </c>
      <c r="M10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0" spans="1:13" x14ac:dyDescent="0.25">
      <c r="A1010" t="s">
        <v>111</v>
      </c>
      <c r="B1010" t="s">
        <v>111</v>
      </c>
      <c r="C1010" t="s">
        <v>91</v>
      </c>
      <c r="D1010" s="1" t="s">
        <v>98</v>
      </c>
      <c r="E1010" t="s">
        <v>93</v>
      </c>
      <c r="F1010" t="s">
        <v>25</v>
      </c>
      <c r="G1010">
        <v>14</v>
      </c>
      <c r="H1010">
        <v>154</v>
      </c>
      <c r="I1010" s="5">
        <f>VLOOKUP(TrendSheetStgData[Population]&amp;TrendSheetStgData[Cost Basis]&amp;TrendSheetStgData[Period]&amp;TrendSheetStgData[Trend],TrendSheetPrdData[#All],9,FALSE)</f>
        <v>154</v>
      </c>
      <c r="J10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0" s="5">
        <f>VLOOKUP(TrendSheetStgData[Population]&amp;TrendSheetStgData[Trend],Threshold[#All],4,FALSE)</f>
        <v>10</v>
      </c>
      <c r="L1010" s="5">
        <f>VLOOKUP(TrendSheetStgData[Population]&amp;TrendSheetStgData[Trend],Threshold[#All],5,FALSE)</f>
        <v>5</v>
      </c>
      <c r="M10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1" spans="1:13" x14ac:dyDescent="0.25">
      <c r="A1011" t="s">
        <v>111</v>
      </c>
      <c r="B1011" t="s">
        <v>111</v>
      </c>
      <c r="C1011" t="s">
        <v>91</v>
      </c>
      <c r="D1011" s="1" t="s">
        <v>99</v>
      </c>
      <c r="E1011" t="s">
        <v>93</v>
      </c>
      <c r="F1011" t="s">
        <v>25</v>
      </c>
      <c r="G1011">
        <v>14</v>
      </c>
      <c r="H1011">
        <v>188</v>
      </c>
      <c r="I1011" s="5">
        <f>VLOOKUP(TrendSheetStgData[Population]&amp;TrendSheetStgData[Cost Basis]&amp;TrendSheetStgData[Period]&amp;TrendSheetStgData[Trend],TrendSheetPrdData[#All],9,FALSE)</f>
        <v>188</v>
      </c>
      <c r="J10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1" s="5">
        <f>VLOOKUP(TrendSheetStgData[Population]&amp;TrendSheetStgData[Trend],Threshold[#All],4,FALSE)</f>
        <v>10</v>
      </c>
      <c r="L1011" s="5">
        <f>VLOOKUP(TrendSheetStgData[Population]&amp;TrendSheetStgData[Trend],Threshold[#All],5,FALSE)</f>
        <v>5</v>
      </c>
      <c r="M10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2" spans="1:13" x14ac:dyDescent="0.25">
      <c r="A1012" t="s">
        <v>111</v>
      </c>
      <c r="B1012" t="s">
        <v>111</v>
      </c>
      <c r="C1012" t="s">
        <v>91</v>
      </c>
      <c r="D1012" s="1" t="s">
        <v>100</v>
      </c>
      <c r="E1012" t="s">
        <v>93</v>
      </c>
      <c r="F1012" t="s">
        <v>25</v>
      </c>
      <c r="G1012">
        <v>14</v>
      </c>
      <c r="H1012">
        <v>172</v>
      </c>
      <c r="I1012" s="5">
        <f>VLOOKUP(TrendSheetStgData[Population]&amp;TrendSheetStgData[Cost Basis]&amp;TrendSheetStgData[Period]&amp;TrendSheetStgData[Trend],TrendSheetPrdData[#All],9,FALSE)</f>
        <v>172</v>
      </c>
      <c r="J10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2" s="5">
        <f>VLOOKUP(TrendSheetStgData[Population]&amp;TrendSheetStgData[Trend],Threshold[#All],4,FALSE)</f>
        <v>10</v>
      </c>
      <c r="L1012" s="5">
        <f>VLOOKUP(TrendSheetStgData[Population]&amp;TrendSheetStgData[Trend],Threshold[#All],5,FALSE)</f>
        <v>5</v>
      </c>
      <c r="M10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3" spans="1:13" x14ac:dyDescent="0.25">
      <c r="A1013" t="s">
        <v>111</v>
      </c>
      <c r="B1013" t="s">
        <v>111</v>
      </c>
      <c r="C1013" t="s">
        <v>91</v>
      </c>
      <c r="D1013" s="1" t="s">
        <v>101</v>
      </c>
      <c r="E1013" t="s">
        <v>93</v>
      </c>
      <c r="F1013" t="s">
        <v>25</v>
      </c>
      <c r="G1013">
        <v>14</v>
      </c>
      <c r="H1013">
        <v>171</v>
      </c>
      <c r="I1013" s="5">
        <f>VLOOKUP(TrendSheetStgData[Population]&amp;TrendSheetStgData[Cost Basis]&amp;TrendSheetStgData[Period]&amp;TrendSheetStgData[Trend],TrendSheetPrdData[#All],9,FALSE)</f>
        <v>171</v>
      </c>
      <c r="J10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3" s="5">
        <f>VLOOKUP(TrendSheetStgData[Population]&amp;TrendSheetStgData[Trend],Threshold[#All],4,FALSE)</f>
        <v>10</v>
      </c>
      <c r="L1013" s="5">
        <f>VLOOKUP(TrendSheetStgData[Population]&amp;TrendSheetStgData[Trend],Threshold[#All],5,FALSE)</f>
        <v>5</v>
      </c>
      <c r="M10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4" spans="1:13" x14ac:dyDescent="0.25">
      <c r="A1014" t="s">
        <v>111</v>
      </c>
      <c r="B1014" t="s">
        <v>111</v>
      </c>
      <c r="C1014" t="s">
        <v>91</v>
      </c>
      <c r="D1014" s="1" t="s">
        <v>102</v>
      </c>
      <c r="E1014" t="s">
        <v>93</v>
      </c>
      <c r="F1014" t="s">
        <v>25</v>
      </c>
      <c r="G1014">
        <v>14</v>
      </c>
      <c r="H1014">
        <v>136</v>
      </c>
      <c r="I1014" s="5">
        <f>VLOOKUP(TrendSheetStgData[Population]&amp;TrendSheetStgData[Cost Basis]&amp;TrendSheetStgData[Period]&amp;TrendSheetStgData[Trend],TrendSheetPrdData[#All],9,FALSE)</f>
        <v>136</v>
      </c>
      <c r="J10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4" s="5">
        <f>VLOOKUP(TrendSheetStgData[Population]&amp;TrendSheetStgData[Trend],Threshold[#All],4,FALSE)</f>
        <v>10</v>
      </c>
      <c r="L1014" s="5">
        <f>VLOOKUP(TrendSheetStgData[Population]&amp;TrendSheetStgData[Trend],Threshold[#All],5,FALSE)</f>
        <v>5</v>
      </c>
      <c r="M10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5" spans="1:13" x14ac:dyDescent="0.25">
      <c r="A1015" t="s">
        <v>111</v>
      </c>
      <c r="B1015" t="s">
        <v>111</v>
      </c>
      <c r="C1015" t="s">
        <v>91</v>
      </c>
      <c r="D1015" s="1" t="s">
        <v>103</v>
      </c>
      <c r="E1015" t="s">
        <v>93</v>
      </c>
      <c r="F1015" t="s">
        <v>25</v>
      </c>
      <c r="G1015">
        <v>14</v>
      </c>
      <c r="H1015">
        <v>157</v>
      </c>
      <c r="I1015" s="5">
        <f>VLOOKUP(TrendSheetStgData[Population]&amp;TrendSheetStgData[Cost Basis]&amp;TrendSheetStgData[Period]&amp;TrendSheetStgData[Trend],TrendSheetPrdData[#All],9,FALSE)</f>
        <v>157</v>
      </c>
      <c r="J10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5" s="5">
        <f>VLOOKUP(TrendSheetStgData[Population]&amp;TrendSheetStgData[Trend],Threshold[#All],4,FALSE)</f>
        <v>10</v>
      </c>
      <c r="L1015" s="5">
        <f>VLOOKUP(TrendSheetStgData[Population]&amp;TrendSheetStgData[Trend],Threshold[#All],5,FALSE)</f>
        <v>5</v>
      </c>
      <c r="M10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6" spans="1:13" x14ac:dyDescent="0.25">
      <c r="A1016" t="s">
        <v>111</v>
      </c>
      <c r="B1016" t="s">
        <v>111</v>
      </c>
      <c r="C1016" t="s">
        <v>91</v>
      </c>
      <c r="D1016" s="1" t="s">
        <v>104</v>
      </c>
      <c r="E1016" t="s">
        <v>93</v>
      </c>
      <c r="F1016" t="s">
        <v>25</v>
      </c>
      <c r="G1016">
        <v>14</v>
      </c>
      <c r="H1016">
        <v>156</v>
      </c>
      <c r="I1016" s="5">
        <f>VLOOKUP(TrendSheetStgData[Population]&amp;TrendSheetStgData[Cost Basis]&amp;TrendSheetStgData[Period]&amp;TrendSheetStgData[Trend],TrendSheetPrdData[#All],9,FALSE)</f>
        <v>156</v>
      </c>
      <c r="J10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6" s="5">
        <f>VLOOKUP(TrendSheetStgData[Population]&amp;TrendSheetStgData[Trend],Threshold[#All],4,FALSE)</f>
        <v>10</v>
      </c>
      <c r="L1016" s="5">
        <f>VLOOKUP(TrendSheetStgData[Population]&amp;TrendSheetStgData[Trend],Threshold[#All],5,FALSE)</f>
        <v>5</v>
      </c>
      <c r="M10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7" spans="1:13" x14ac:dyDescent="0.25">
      <c r="A1017" t="s">
        <v>111</v>
      </c>
      <c r="B1017" t="s">
        <v>111</v>
      </c>
      <c r="C1017" t="s">
        <v>91</v>
      </c>
      <c r="D1017" s="1" t="s">
        <v>105</v>
      </c>
      <c r="E1017" t="s">
        <v>108</v>
      </c>
      <c r="F1017" t="s">
        <v>25</v>
      </c>
      <c r="G1017">
        <v>14</v>
      </c>
      <c r="H1017">
        <v>157</v>
      </c>
      <c r="I1017" s="5">
        <f>VLOOKUP(TrendSheetStgData[Population]&amp;TrendSheetStgData[Cost Basis]&amp;TrendSheetStgData[Period]&amp;TrendSheetStgData[Trend],TrendSheetPrdData[#All],9,FALSE)</f>
        <v>157</v>
      </c>
      <c r="J10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7" s="5">
        <f>VLOOKUP(TrendSheetStgData[Population]&amp;TrendSheetStgData[Trend],Threshold[#All],4,FALSE)</f>
        <v>10</v>
      </c>
      <c r="L1017" s="5">
        <f>VLOOKUP(TrendSheetStgData[Population]&amp;TrendSheetStgData[Trend],Threshold[#All],5,FALSE)</f>
        <v>5</v>
      </c>
      <c r="M10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8" spans="1:13" x14ac:dyDescent="0.25">
      <c r="A1018" t="s">
        <v>111</v>
      </c>
      <c r="B1018" t="s">
        <v>111</v>
      </c>
      <c r="C1018" t="s">
        <v>91</v>
      </c>
      <c r="D1018" s="1" t="s">
        <v>106</v>
      </c>
      <c r="E1018" t="s">
        <v>108</v>
      </c>
      <c r="F1018" t="s">
        <v>25</v>
      </c>
      <c r="G1018">
        <v>14</v>
      </c>
      <c r="H1018">
        <v>158</v>
      </c>
      <c r="I1018" s="5">
        <f>VLOOKUP(TrendSheetStgData[Population]&amp;TrendSheetStgData[Cost Basis]&amp;TrendSheetStgData[Period]&amp;TrendSheetStgData[Trend],TrendSheetPrdData[#All],9,FALSE)</f>
        <v>158</v>
      </c>
      <c r="J10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8" s="5">
        <f>VLOOKUP(TrendSheetStgData[Population]&amp;TrendSheetStgData[Trend],Threshold[#All],4,FALSE)</f>
        <v>10</v>
      </c>
      <c r="L1018" s="5">
        <f>VLOOKUP(TrendSheetStgData[Population]&amp;TrendSheetStgData[Trend],Threshold[#All],5,FALSE)</f>
        <v>5</v>
      </c>
      <c r="M10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9" spans="1:13" x14ac:dyDescent="0.25">
      <c r="A1019" t="s">
        <v>111</v>
      </c>
      <c r="B1019" t="s">
        <v>111</v>
      </c>
      <c r="C1019" t="s">
        <v>91</v>
      </c>
      <c r="D1019" s="1" t="s">
        <v>107</v>
      </c>
      <c r="E1019" t="s">
        <v>108</v>
      </c>
      <c r="F1019" t="s">
        <v>25</v>
      </c>
      <c r="G1019">
        <v>14</v>
      </c>
      <c r="H1019">
        <v>142</v>
      </c>
      <c r="I1019" s="5">
        <f>VLOOKUP(TrendSheetStgData[Population]&amp;TrendSheetStgData[Cost Basis]&amp;TrendSheetStgData[Period]&amp;TrendSheetStgData[Trend],TrendSheetPrdData[#All],9,FALSE)</f>
        <v>142</v>
      </c>
      <c r="J10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9" s="5">
        <f>VLOOKUP(TrendSheetStgData[Population]&amp;TrendSheetStgData[Trend],Threshold[#All],4,FALSE)</f>
        <v>10</v>
      </c>
      <c r="L1019" s="5">
        <f>VLOOKUP(TrendSheetStgData[Population]&amp;TrendSheetStgData[Trend],Threshold[#All],5,FALSE)</f>
        <v>5</v>
      </c>
      <c r="M10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0" spans="1:13" x14ac:dyDescent="0.25">
      <c r="A1020" t="s">
        <v>111</v>
      </c>
      <c r="B1020" t="s">
        <v>111</v>
      </c>
      <c r="C1020" t="s">
        <v>91</v>
      </c>
      <c r="D1020" s="1" t="s">
        <v>109</v>
      </c>
      <c r="E1020" t="s">
        <v>108</v>
      </c>
      <c r="F1020" t="s">
        <v>25</v>
      </c>
      <c r="G1020">
        <v>14</v>
      </c>
      <c r="H1020">
        <v>158</v>
      </c>
      <c r="I1020" s="5">
        <f>VLOOKUP(TrendSheetStgData[Population]&amp;TrendSheetStgData[Cost Basis]&amp;TrendSheetStgData[Period]&amp;TrendSheetStgData[Trend],TrendSheetPrdData[#All],9,FALSE)</f>
        <v>158</v>
      </c>
      <c r="J10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0" s="5">
        <f>VLOOKUP(TrendSheetStgData[Population]&amp;TrendSheetStgData[Trend],Threshold[#All],4,FALSE)</f>
        <v>10</v>
      </c>
      <c r="L1020" s="5">
        <f>VLOOKUP(TrendSheetStgData[Population]&amp;TrendSheetStgData[Trend],Threshold[#All],5,FALSE)</f>
        <v>5</v>
      </c>
      <c r="M10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1" spans="1:13" x14ac:dyDescent="0.25">
      <c r="A1021" t="s">
        <v>111</v>
      </c>
      <c r="B1021" t="s">
        <v>111</v>
      </c>
      <c r="C1021" t="s">
        <v>91</v>
      </c>
      <c r="D1021" s="1" t="s">
        <v>110</v>
      </c>
      <c r="E1021" t="s">
        <v>108</v>
      </c>
      <c r="F1021" t="s">
        <v>25</v>
      </c>
      <c r="G1021">
        <v>14</v>
      </c>
      <c r="H1021">
        <v>58</v>
      </c>
      <c r="I1021" s="5">
        <f>VLOOKUP(TrendSheetStgData[Population]&amp;TrendSheetStgData[Cost Basis]&amp;TrendSheetStgData[Period]&amp;TrendSheetStgData[Trend],TrendSheetPrdData[#All],9,FALSE)</f>
        <v>58</v>
      </c>
      <c r="J10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1" s="5">
        <f>VLOOKUP(TrendSheetStgData[Population]&amp;TrendSheetStgData[Trend],Threshold[#All],4,FALSE)</f>
        <v>10</v>
      </c>
      <c r="L1021" s="5">
        <f>VLOOKUP(TrendSheetStgData[Population]&amp;TrendSheetStgData[Trend],Threshold[#All],5,FALSE)</f>
        <v>5</v>
      </c>
      <c r="M10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2" spans="1:13" x14ac:dyDescent="0.25">
      <c r="A1022" t="s">
        <v>111</v>
      </c>
      <c r="B1022" t="s">
        <v>111</v>
      </c>
      <c r="C1022" t="s">
        <v>91</v>
      </c>
      <c r="D1022" s="1" t="s">
        <v>92</v>
      </c>
      <c r="E1022" t="s">
        <v>93</v>
      </c>
      <c r="F1022" t="s">
        <v>26</v>
      </c>
      <c r="G1022">
        <v>15</v>
      </c>
      <c r="H1022">
        <v>244456</v>
      </c>
      <c r="I1022" s="5">
        <f>VLOOKUP(TrendSheetStgData[Population]&amp;TrendSheetStgData[Cost Basis]&amp;TrendSheetStgData[Period]&amp;TrendSheetStgData[Trend],TrendSheetPrdData[#All],9,FALSE)</f>
        <v>244456</v>
      </c>
      <c r="J10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2" s="5">
        <f>VLOOKUP(TrendSheetStgData[Population]&amp;TrendSheetStgData[Trend],Threshold[#All],4,FALSE)</f>
        <v>10</v>
      </c>
      <c r="L1022" s="5">
        <f>VLOOKUP(TrendSheetStgData[Population]&amp;TrendSheetStgData[Trend],Threshold[#All],5,FALSE)</f>
        <v>5</v>
      </c>
      <c r="M10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3" spans="1:13" x14ac:dyDescent="0.25">
      <c r="A1023" t="s">
        <v>111</v>
      </c>
      <c r="B1023" t="s">
        <v>111</v>
      </c>
      <c r="C1023" t="s">
        <v>91</v>
      </c>
      <c r="D1023" s="1" t="s">
        <v>94</v>
      </c>
      <c r="E1023" t="s">
        <v>93</v>
      </c>
      <c r="F1023" t="s">
        <v>26</v>
      </c>
      <c r="G1023">
        <v>15</v>
      </c>
      <c r="H1023">
        <v>256094</v>
      </c>
      <c r="I1023" s="5">
        <f>VLOOKUP(TrendSheetStgData[Population]&amp;TrendSheetStgData[Cost Basis]&amp;TrendSheetStgData[Period]&amp;TrendSheetStgData[Trend],TrendSheetPrdData[#All],9,FALSE)</f>
        <v>256094</v>
      </c>
      <c r="J10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3" s="5">
        <f>VLOOKUP(TrendSheetStgData[Population]&amp;TrendSheetStgData[Trend],Threshold[#All],4,FALSE)</f>
        <v>10</v>
      </c>
      <c r="L1023" s="5">
        <f>VLOOKUP(TrendSheetStgData[Population]&amp;TrendSheetStgData[Trend],Threshold[#All],5,FALSE)</f>
        <v>5</v>
      </c>
      <c r="M10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4" spans="1:13" x14ac:dyDescent="0.25">
      <c r="A1024" t="s">
        <v>111</v>
      </c>
      <c r="B1024" t="s">
        <v>111</v>
      </c>
      <c r="C1024" t="s">
        <v>91</v>
      </c>
      <c r="D1024" s="1" t="s">
        <v>95</v>
      </c>
      <c r="E1024" t="s">
        <v>93</v>
      </c>
      <c r="F1024" t="s">
        <v>26</v>
      </c>
      <c r="G1024">
        <v>15</v>
      </c>
      <c r="H1024">
        <v>196199</v>
      </c>
      <c r="I1024" s="5">
        <f>VLOOKUP(TrendSheetStgData[Population]&amp;TrendSheetStgData[Cost Basis]&amp;TrendSheetStgData[Period]&amp;TrendSheetStgData[Trend],TrendSheetPrdData[#All],9,FALSE)</f>
        <v>196199</v>
      </c>
      <c r="J10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4" s="5">
        <f>VLOOKUP(TrendSheetStgData[Population]&amp;TrendSheetStgData[Trend],Threshold[#All],4,FALSE)</f>
        <v>10</v>
      </c>
      <c r="L1024" s="5">
        <f>VLOOKUP(TrendSheetStgData[Population]&amp;TrendSheetStgData[Trend],Threshold[#All],5,FALSE)</f>
        <v>5</v>
      </c>
      <c r="M10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5" spans="1:13" x14ac:dyDescent="0.25">
      <c r="A1025" t="s">
        <v>111</v>
      </c>
      <c r="B1025" t="s">
        <v>111</v>
      </c>
      <c r="C1025" t="s">
        <v>91</v>
      </c>
      <c r="D1025" s="1" t="s">
        <v>96</v>
      </c>
      <c r="E1025" t="s">
        <v>93</v>
      </c>
      <c r="F1025" t="s">
        <v>26</v>
      </c>
      <c r="G1025">
        <v>15</v>
      </c>
      <c r="H1025">
        <v>250166</v>
      </c>
      <c r="I1025" s="5">
        <f>VLOOKUP(TrendSheetStgData[Population]&amp;TrendSheetStgData[Cost Basis]&amp;TrendSheetStgData[Period]&amp;TrendSheetStgData[Trend],TrendSheetPrdData[#All],9,FALSE)</f>
        <v>250166</v>
      </c>
      <c r="J10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5" s="5">
        <f>VLOOKUP(TrendSheetStgData[Population]&amp;TrendSheetStgData[Trend],Threshold[#All],4,FALSE)</f>
        <v>10</v>
      </c>
      <c r="L1025" s="5">
        <f>VLOOKUP(TrendSheetStgData[Population]&amp;TrendSheetStgData[Trend],Threshold[#All],5,FALSE)</f>
        <v>5</v>
      </c>
      <c r="M10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6" spans="1:13" x14ac:dyDescent="0.25">
      <c r="A1026" t="s">
        <v>111</v>
      </c>
      <c r="B1026" t="s">
        <v>111</v>
      </c>
      <c r="C1026" t="s">
        <v>91</v>
      </c>
      <c r="D1026" s="1" t="s">
        <v>97</v>
      </c>
      <c r="E1026" t="s">
        <v>93</v>
      </c>
      <c r="F1026" t="s">
        <v>26</v>
      </c>
      <c r="G1026">
        <v>15</v>
      </c>
      <c r="H1026">
        <v>232054</v>
      </c>
      <c r="I1026" s="5">
        <f>VLOOKUP(TrendSheetStgData[Population]&amp;TrendSheetStgData[Cost Basis]&amp;TrendSheetStgData[Period]&amp;TrendSheetStgData[Trend],TrendSheetPrdData[#All],9,FALSE)</f>
        <v>232054</v>
      </c>
      <c r="J10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6" s="5">
        <f>VLOOKUP(TrendSheetStgData[Population]&amp;TrendSheetStgData[Trend],Threshold[#All],4,FALSE)</f>
        <v>10</v>
      </c>
      <c r="L1026" s="5">
        <f>VLOOKUP(TrendSheetStgData[Population]&amp;TrendSheetStgData[Trend],Threshold[#All],5,FALSE)</f>
        <v>5</v>
      </c>
      <c r="M10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7" spans="1:13" x14ac:dyDescent="0.25">
      <c r="A1027" t="s">
        <v>111</v>
      </c>
      <c r="B1027" t="s">
        <v>111</v>
      </c>
      <c r="C1027" t="s">
        <v>91</v>
      </c>
      <c r="D1027" s="1" t="s">
        <v>98</v>
      </c>
      <c r="E1027" t="s">
        <v>93</v>
      </c>
      <c r="F1027" t="s">
        <v>26</v>
      </c>
      <c r="G1027">
        <v>15</v>
      </c>
      <c r="H1027">
        <v>167687</v>
      </c>
      <c r="I1027" s="5">
        <f>VLOOKUP(TrendSheetStgData[Population]&amp;TrendSheetStgData[Cost Basis]&amp;TrendSheetStgData[Period]&amp;TrendSheetStgData[Trend],TrendSheetPrdData[#All],9,FALSE)</f>
        <v>167687</v>
      </c>
      <c r="J10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7" s="5">
        <f>VLOOKUP(TrendSheetStgData[Population]&amp;TrendSheetStgData[Trend],Threshold[#All],4,FALSE)</f>
        <v>10</v>
      </c>
      <c r="L1027" s="5">
        <f>VLOOKUP(TrendSheetStgData[Population]&amp;TrendSheetStgData[Trend],Threshold[#All],5,FALSE)</f>
        <v>5</v>
      </c>
      <c r="M10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8" spans="1:13" x14ac:dyDescent="0.25">
      <c r="A1028" t="s">
        <v>111</v>
      </c>
      <c r="B1028" t="s">
        <v>111</v>
      </c>
      <c r="C1028" t="s">
        <v>91</v>
      </c>
      <c r="D1028" s="1" t="s">
        <v>99</v>
      </c>
      <c r="E1028" t="s">
        <v>93</v>
      </c>
      <c r="F1028" t="s">
        <v>26</v>
      </c>
      <c r="G1028">
        <v>15</v>
      </c>
      <c r="H1028">
        <v>190688</v>
      </c>
      <c r="I1028" s="5">
        <f>VLOOKUP(TrendSheetStgData[Population]&amp;TrendSheetStgData[Cost Basis]&amp;TrendSheetStgData[Period]&amp;TrendSheetStgData[Trend],TrendSheetPrdData[#All],9,FALSE)</f>
        <v>190688</v>
      </c>
      <c r="J10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8" s="5">
        <f>VLOOKUP(TrendSheetStgData[Population]&amp;TrendSheetStgData[Trend],Threshold[#All],4,FALSE)</f>
        <v>10</v>
      </c>
      <c r="L1028" s="5">
        <f>VLOOKUP(TrendSheetStgData[Population]&amp;TrendSheetStgData[Trend],Threshold[#All],5,FALSE)</f>
        <v>5</v>
      </c>
      <c r="M10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9" spans="1:13" x14ac:dyDescent="0.25">
      <c r="A1029" t="s">
        <v>111</v>
      </c>
      <c r="B1029" t="s">
        <v>111</v>
      </c>
      <c r="C1029" t="s">
        <v>91</v>
      </c>
      <c r="D1029" s="1" t="s">
        <v>100</v>
      </c>
      <c r="E1029" t="s">
        <v>93</v>
      </c>
      <c r="F1029" t="s">
        <v>26</v>
      </c>
      <c r="G1029">
        <v>15</v>
      </c>
      <c r="H1029">
        <v>234078</v>
      </c>
      <c r="I1029" s="5">
        <f>VLOOKUP(TrendSheetStgData[Population]&amp;TrendSheetStgData[Cost Basis]&amp;TrendSheetStgData[Period]&amp;TrendSheetStgData[Trend],TrendSheetPrdData[#All],9,FALSE)</f>
        <v>234078</v>
      </c>
      <c r="J10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9" s="5">
        <f>VLOOKUP(TrendSheetStgData[Population]&amp;TrendSheetStgData[Trend],Threshold[#All],4,FALSE)</f>
        <v>10</v>
      </c>
      <c r="L1029" s="5">
        <f>VLOOKUP(TrendSheetStgData[Population]&amp;TrendSheetStgData[Trend],Threshold[#All],5,FALSE)</f>
        <v>5</v>
      </c>
      <c r="M10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0" spans="1:13" x14ac:dyDescent="0.25">
      <c r="A1030" t="s">
        <v>111</v>
      </c>
      <c r="B1030" t="s">
        <v>111</v>
      </c>
      <c r="C1030" t="s">
        <v>91</v>
      </c>
      <c r="D1030" s="1" t="s">
        <v>101</v>
      </c>
      <c r="E1030" t="s">
        <v>93</v>
      </c>
      <c r="F1030" t="s">
        <v>26</v>
      </c>
      <c r="G1030">
        <v>15</v>
      </c>
      <c r="H1030">
        <v>194054</v>
      </c>
      <c r="I1030" s="5">
        <f>VLOOKUP(TrendSheetStgData[Population]&amp;TrendSheetStgData[Cost Basis]&amp;TrendSheetStgData[Period]&amp;TrendSheetStgData[Trend],TrendSheetPrdData[#All],9,FALSE)</f>
        <v>194054</v>
      </c>
      <c r="J10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0" s="5">
        <f>VLOOKUP(TrendSheetStgData[Population]&amp;TrendSheetStgData[Trend],Threshold[#All],4,FALSE)</f>
        <v>10</v>
      </c>
      <c r="L1030" s="5">
        <f>VLOOKUP(TrendSheetStgData[Population]&amp;TrendSheetStgData[Trend],Threshold[#All],5,FALSE)</f>
        <v>5</v>
      </c>
      <c r="M10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1" spans="1:13" x14ac:dyDescent="0.25">
      <c r="A1031" t="s">
        <v>111</v>
      </c>
      <c r="B1031" t="s">
        <v>111</v>
      </c>
      <c r="C1031" t="s">
        <v>91</v>
      </c>
      <c r="D1031" s="1" t="s">
        <v>102</v>
      </c>
      <c r="E1031" t="s">
        <v>93</v>
      </c>
      <c r="F1031" t="s">
        <v>26</v>
      </c>
      <c r="G1031">
        <v>15</v>
      </c>
      <c r="H1031">
        <v>207507</v>
      </c>
      <c r="I1031" s="5">
        <f>VLOOKUP(TrendSheetStgData[Population]&amp;TrendSheetStgData[Cost Basis]&amp;TrendSheetStgData[Period]&amp;TrendSheetStgData[Trend],TrendSheetPrdData[#All],9,FALSE)</f>
        <v>207507</v>
      </c>
      <c r="J10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1" s="5">
        <f>VLOOKUP(TrendSheetStgData[Population]&amp;TrendSheetStgData[Trend],Threshold[#All],4,FALSE)</f>
        <v>10</v>
      </c>
      <c r="L1031" s="5">
        <f>VLOOKUP(TrendSheetStgData[Population]&amp;TrendSheetStgData[Trend],Threshold[#All],5,FALSE)</f>
        <v>5</v>
      </c>
      <c r="M10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2" spans="1:13" x14ac:dyDescent="0.25">
      <c r="A1032" t="s">
        <v>111</v>
      </c>
      <c r="B1032" t="s">
        <v>111</v>
      </c>
      <c r="C1032" t="s">
        <v>91</v>
      </c>
      <c r="D1032" s="1" t="s">
        <v>103</v>
      </c>
      <c r="E1032" t="s">
        <v>93</v>
      </c>
      <c r="F1032" t="s">
        <v>26</v>
      </c>
      <c r="G1032">
        <v>15</v>
      </c>
      <c r="H1032">
        <v>248107</v>
      </c>
      <c r="I1032" s="5">
        <f>VLOOKUP(TrendSheetStgData[Population]&amp;TrendSheetStgData[Cost Basis]&amp;TrendSheetStgData[Period]&amp;TrendSheetStgData[Trend],TrendSheetPrdData[#All],9,FALSE)</f>
        <v>248107</v>
      </c>
      <c r="J10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2" s="5">
        <f>VLOOKUP(TrendSheetStgData[Population]&amp;TrendSheetStgData[Trend],Threshold[#All],4,FALSE)</f>
        <v>10</v>
      </c>
      <c r="L1032" s="5">
        <f>VLOOKUP(TrendSheetStgData[Population]&amp;TrendSheetStgData[Trend],Threshold[#All],5,FALSE)</f>
        <v>5</v>
      </c>
      <c r="M10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3" spans="1:13" x14ac:dyDescent="0.25">
      <c r="A1033" t="s">
        <v>111</v>
      </c>
      <c r="B1033" t="s">
        <v>111</v>
      </c>
      <c r="C1033" t="s">
        <v>91</v>
      </c>
      <c r="D1033" s="1" t="s">
        <v>104</v>
      </c>
      <c r="E1033" t="s">
        <v>93</v>
      </c>
      <c r="F1033" t="s">
        <v>26</v>
      </c>
      <c r="G1033">
        <v>15</v>
      </c>
      <c r="H1033">
        <v>197615</v>
      </c>
      <c r="I1033" s="5">
        <f>VLOOKUP(TrendSheetStgData[Population]&amp;TrendSheetStgData[Cost Basis]&amp;TrendSheetStgData[Period]&amp;TrendSheetStgData[Trend],TrendSheetPrdData[#All],9,FALSE)</f>
        <v>197615</v>
      </c>
      <c r="J10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3" s="5">
        <f>VLOOKUP(TrendSheetStgData[Population]&amp;TrendSheetStgData[Trend],Threshold[#All],4,FALSE)</f>
        <v>10</v>
      </c>
      <c r="L1033" s="5">
        <f>VLOOKUP(TrendSheetStgData[Population]&amp;TrendSheetStgData[Trend],Threshold[#All],5,FALSE)</f>
        <v>5</v>
      </c>
      <c r="M10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4" spans="1:13" x14ac:dyDescent="0.25">
      <c r="A1034" t="s">
        <v>111</v>
      </c>
      <c r="B1034" t="s">
        <v>111</v>
      </c>
      <c r="C1034" t="s">
        <v>91</v>
      </c>
      <c r="D1034" s="1" t="s">
        <v>105</v>
      </c>
      <c r="E1034" t="s">
        <v>108</v>
      </c>
      <c r="F1034" t="s">
        <v>26</v>
      </c>
      <c r="G1034">
        <v>15</v>
      </c>
      <c r="H1034">
        <v>242102</v>
      </c>
      <c r="I1034" s="5">
        <f>VLOOKUP(TrendSheetStgData[Population]&amp;TrendSheetStgData[Cost Basis]&amp;TrendSheetStgData[Period]&amp;TrendSheetStgData[Trend],TrendSheetPrdData[#All],9,FALSE)</f>
        <v>242102</v>
      </c>
      <c r="J10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4" s="5">
        <f>VLOOKUP(TrendSheetStgData[Population]&amp;TrendSheetStgData[Trend],Threshold[#All],4,FALSE)</f>
        <v>10</v>
      </c>
      <c r="L1034" s="5">
        <f>VLOOKUP(TrendSheetStgData[Population]&amp;TrendSheetStgData[Trend],Threshold[#All],5,FALSE)</f>
        <v>5</v>
      </c>
      <c r="M10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5" spans="1:13" x14ac:dyDescent="0.25">
      <c r="A1035" t="s">
        <v>111</v>
      </c>
      <c r="B1035" t="s">
        <v>111</v>
      </c>
      <c r="C1035" t="s">
        <v>91</v>
      </c>
      <c r="D1035" s="1" t="s">
        <v>106</v>
      </c>
      <c r="E1035" t="s">
        <v>108</v>
      </c>
      <c r="F1035" t="s">
        <v>26</v>
      </c>
      <c r="G1035">
        <v>15</v>
      </c>
      <c r="H1035">
        <v>203959</v>
      </c>
      <c r="I1035" s="5">
        <f>VLOOKUP(TrendSheetStgData[Population]&amp;TrendSheetStgData[Cost Basis]&amp;TrendSheetStgData[Period]&amp;TrendSheetStgData[Trend],TrendSheetPrdData[#All],9,FALSE)</f>
        <v>203959</v>
      </c>
      <c r="J10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5" s="5">
        <f>VLOOKUP(TrendSheetStgData[Population]&amp;TrendSheetStgData[Trend],Threshold[#All],4,FALSE)</f>
        <v>10</v>
      </c>
      <c r="L1035" s="5">
        <f>VLOOKUP(TrendSheetStgData[Population]&amp;TrendSheetStgData[Trend],Threshold[#All],5,FALSE)</f>
        <v>5</v>
      </c>
      <c r="M10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6" spans="1:13" x14ac:dyDescent="0.25">
      <c r="A1036" t="s">
        <v>111</v>
      </c>
      <c r="B1036" t="s">
        <v>111</v>
      </c>
      <c r="C1036" t="s">
        <v>91</v>
      </c>
      <c r="D1036" s="1" t="s">
        <v>107</v>
      </c>
      <c r="E1036" t="s">
        <v>108</v>
      </c>
      <c r="F1036" t="s">
        <v>26</v>
      </c>
      <c r="G1036">
        <v>15</v>
      </c>
      <c r="H1036">
        <v>220947</v>
      </c>
      <c r="I1036" s="5">
        <f>VLOOKUP(TrendSheetStgData[Population]&amp;TrendSheetStgData[Cost Basis]&amp;TrendSheetStgData[Period]&amp;TrendSheetStgData[Trend],TrendSheetPrdData[#All],9,FALSE)</f>
        <v>220947</v>
      </c>
      <c r="J10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6" s="5">
        <f>VLOOKUP(TrendSheetStgData[Population]&amp;TrendSheetStgData[Trend],Threshold[#All],4,FALSE)</f>
        <v>10</v>
      </c>
      <c r="L1036" s="5">
        <f>VLOOKUP(TrendSheetStgData[Population]&amp;TrendSheetStgData[Trend],Threshold[#All],5,FALSE)</f>
        <v>5</v>
      </c>
      <c r="M10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7" spans="1:13" x14ac:dyDescent="0.25">
      <c r="A1037" t="s">
        <v>111</v>
      </c>
      <c r="B1037" t="s">
        <v>111</v>
      </c>
      <c r="C1037" t="s">
        <v>91</v>
      </c>
      <c r="D1037" s="1" t="s">
        <v>109</v>
      </c>
      <c r="E1037" t="s">
        <v>108</v>
      </c>
      <c r="F1037" t="s">
        <v>26</v>
      </c>
      <c r="G1037">
        <v>15</v>
      </c>
      <c r="H1037">
        <v>186607</v>
      </c>
      <c r="I1037" s="5">
        <f>VLOOKUP(TrendSheetStgData[Population]&amp;TrendSheetStgData[Cost Basis]&amp;TrendSheetStgData[Period]&amp;TrendSheetStgData[Trend],TrendSheetPrdData[#All],9,FALSE)</f>
        <v>186607</v>
      </c>
      <c r="J10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7" s="5">
        <f>VLOOKUP(TrendSheetStgData[Population]&amp;TrendSheetStgData[Trend],Threshold[#All],4,FALSE)</f>
        <v>10</v>
      </c>
      <c r="L1037" s="5">
        <f>VLOOKUP(TrendSheetStgData[Population]&amp;TrendSheetStgData[Trend],Threshold[#All],5,FALSE)</f>
        <v>5</v>
      </c>
      <c r="M10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8" spans="1:13" x14ac:dyDescent="0.25">
      <c r="A1038" t="s">
        <v>111</v>
      </c>
      <c r="B1038" t="s">
        <v>111</v>
      </c>
      <c r="C1038" t="s">
        <v>91</v>
      </c>
      <c r="D1038" s="1" t="s">
        <v>110</v>
      </c>
      <c r="E1038" t="s">
        <v>108</v>
      </c>
      <c r="F1038" t="s">
        <v>26</v>
      </c>
      <c r="G1038">
        <v>15</v>
      </c>
      <c r="H1038">
        <v>239198</v>
      </c>
      <c r="I1038" s="5">
        <f>VLOOKUP(TrendSheetStgData[Population]&amp;TrendSheetStgData[Cost Basis]&amp;TrendSheetStgData[Period]&amp;TrendSheetStgData[Trend],TrendSheetPrdData[#All],9,FALSE)</f>
        <v>239198</v>
      </c>
      <c r="J10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8" s="5">
        <f>VLOOKUP(TrendSheetStgData[Population]&amp;TrendSheetStgData[Trend],Threshold[#All],4,FALSE)</f>
        <v>10</v>
      </c>
      <c r="L1038" s="5">
        <f>VLOOKUP(TrendSheetStgData[Population]&amp;TrendSheetStgData[Trend],Threshold[#All],5,FALSE)</f>
        <v>5</v>
      </c>
      <c r="M10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9" spans="1:13" x14ac:dyDescent="0.25">
      <c r="A1039" t="s">
        <v>111</v>
      </c>
      <c r="B1039" t="s">
        <v>111</v>
      </c>
      <c r="C1039" t="s">
        <v>91</v>
      </c>
      <c r="D1039" s="1" t="s">
        <v>92</v>
      </c>
      <c r="E1039" t="s">
        <v>93</v>
      </c>
      <c r="F1039" t="s">
        <v>27</v>
      </c>
      <c r="G1039">
        <v>16</v>
      </c>
      <c r="H1039">
        <v>0.84</v>
      </c>
      <c r="I1039" s="5">
        <f>VLOOKUP(TrendSheetStgData[Population]&amp;TrendSheetStgData[Cost Basis]&amp;TrendSheetStgData[Period]&amp;TrendSheetStgData[Trend],TrendSheetPrdData[#All],9,FALSE)</f>
        <v>0.84</v>
      </c>
      <c r="J10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9" s="5">
        <f>VLOOKUP(TrendSheetStgData[Population]&amp;TrendSheetStgData[Trend],Threshold[#All],4,FALSE)</f>
        <v>10</v>
      </c>
      <c r="L1039" s="5">
        <f>VLOOKUP(TrendSheetStgData[Population]&amp;TrendSheetStgData[Trend],Threshold[#All],5,FALSE)</f>
        <v>5</v>
      </c>
      <c r="M10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0" spans="1:13" x14ac:dyDescent="0.25">
      <c r="A1040" t="s">
        <v>111</v>
      </c>
      <c r="B1040" t="s">
        <v>111</v>
      </c>
      <c r="C1040" t="s">
        <v>91</v>
      </c>
      <c r="D1040" s="1" t="s">
        <v>94</v>
      </c>
      <c r="E1040" t="s">
        <v>93</v>
      </c>
      <c r="F1040" t="s">
        <v>27</v>
      </c>
      <c r="G1040">
        <v>16</v>
      </c>
      <c r="H1040">
        <v>0.86</v>
      </c>
      <c r="I1040" s="5">
        <f>VLOOKUP(TrendSheetStgData[Population]&amp;TrendSheetStgData[Cost Basis]&amp;TrendSheetStgData[Period]&amp;TrendSheetStgData[Trend],TrendSheetPrdData[#All],9,FALSE)</f>
        <v>0.86</v>
      </c>
      <c r="J10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0" s="5">
        <f>VLOOKUP(TrendSheetStgData[Population]&amp;TrendSheetStgData[Trend],Threshold[#All],4,FALSE)</f>
        <v>10</v>
      </c>
      <c r="L1040" s="5">
        <f>VLOOKUP(TrendSheetStgData[Population]&amp;TrendSheetStgData[Trend],Threshold[#All],5,FALSE)</f>
        <v>5</v>
      </c>
      <c r="M10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1" spans="1:13" x14ac:dyDescent="0.25">
      <c r="A1041" t="s">
        <v>111</v>
      </c>
      <c r="B1041" t="s">
        <v>111</v>
      </c>
      <c r="C1041" t="s">
        <v>91</v>
      </c>
      <c r="D1041" s="1" t="s">
        <v>95</v>
      </c>
      <c r="E1041" t="s">
        <v>93</v>
      </c>
      <c r="F1041" t="s">
        <v>27</v>
      </c>
      <c r="G1041">
        <v>16</v>
      </c>
      <c r="H1041">
        <v>0.86</v>
      </c>
      <c r="I1041" s="5">
        <f>VLOOKUP(TrendSheetStgData[Population]&amp;TrendSheetStgData[Cost Basis]&amp;TrendSheetStgData[Period]&amp;TrendSheetStgData[Trend],TrendSheetPrdData[#All],9,FALSE)</f>
        <v>0.86</v>
      </c>
      <c r="J10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1" s="5">
        <f>VLOOKUP(TrendSheetStgData[Population]&amp;TrendSheetStgData[Trend],Threshold[#All],4,FALSE)</f>
        <v>10</v>
      </c>
      <c r="L1041" s="5">
        <f>VLOOKUP(TrendSheetStgData[Population]&amp;TrendSheetStgData[Trend],Threshold[#All],5,FALSE)</f>
        <v>5</v>
      </c>
      <c r="M10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2" spans="1:13" x14ac:dyDescent="0.25">
      <c r="A1042" t="s">
        <v>111</v>
      </c>
      <c r="B1042" t="s">
        <v>111</v>
      </c>
      <c r="C1042" t="s">
        <v>91</v>
      </c>
      <c r="D1042" s="1" t="s">
        <v>96</v>
      </c>
      <c r="E1042" t="s">
        <v>93</v>
      </c>
      <c r="F1042" t="s">
        <v>27</v>
      </c>
      <c r="G1042">
        <v>16</v>
      </c>
      <c r="H1042">
        <v>0.84</v>
      </c>
      <c r="I1042" s="5">
        <f>VLOOKUP(TrendSheetStgData[Population]&amp;TrendSheetStgData[Cost Basis]&amp;TrendSheetStgData[Period]&amp;TrendSheetStgData[Trend],TrendSheetPrdData[#All],9,FALSE)</f>
        <v>0.84</v>
      </c>
      <c r="J10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2" s="5">
        <f>VLOOKUP(TrendSheetStgData[Population]&amp;TrendSheetStgData[Trend],Threshold[#All],4,FALSE)</f>
        <v>10</v>
      </c>
      <c r="L1042" s="5">
        <f>VLOOKUP(TrendSheetStgData[Population]&amp;TrendSheetStgData[Trend],Threshold[#All],5,FALSE)</f>
        <v>5</v>
      </c>
      <c r="M10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3" spans="1:13" x14ac:dyDescent="0.25">
      <c r="A1043" t="s">
        <v>111</v>
      </c>
      <c r="B1043" t="s">
        <v>111</v>
      </c>
      <c r="C1043" t="s">
        <v>91</v>
      </c>
      <c r="D1043" s="1" t="s">
        <v>97</v>
      </c>
      <c r="E1043" t="s">
        <v>93</v>
      </c>
      <c r="F1043" t="s">
        <v>27</v>
      </c>
      <c r="G1043">
        <v>16</v>
      </c>
      <c r="H1043">
        <v>0.87</v>
      </c>
      <c r="I1043" s="5">
        <f>VLOOKUP(TrendSheetStgData[Population]&amp;TrendSheetStgData[Cost Basis]&amp;TrendSheetStgData[Period]&amp;TrendSheetStgData[Trend],TrendSheetPrdData[#All],9,FALSE)</f>
        <v>0.87</v>
      </c>
      <c r="J10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3" s="5">
        <f>VLOOKUP(TrendSheetStgData[Population]&amp;TrendSheetStgData[Trend],Threshold[#All],4,FALSE)</f>
        <v>10</v>
      </c>
      <c r="L1043" s="5">
        <f>VLOOKUP(TrendSheetStgData[Population]&amp;TrendSheetStgData[Trend],Threshold[#All],5,FALSE)</f>
        <v>5</v>
      </c>
      <c r="M10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4" spans="1:13" x14ac:dyDescent="0.25">
      <c r="A1044" t="s">
        <v>111</v>
      </c>
      <c r="B1044" t="s">
        <v>111</v>
      </c>
      <c r="C1044" t="s">
        <v>91</v>
      </c>
      <c r="D1044" s="1" t="s">
        <v>98</v>
      </c>
      <c r="E1044" t="s">
        <v>93</v>
      </c>
      <c r="F1044" t="s">
        <v>27</v>
      </c>
      <c r="G1044">
        <v>16</v>
      </c>
      <c r="H1044">
        <v>0.88</v>
      </c>
      <c r="I1044" s="5">
        <f>VLOOKUP(TrendSheetStgData[Population]&amp;TrendSheetStgData[Cost Basis]&amp;TrendSheetStgData[Period]&amp;TrendSheetStgData[Trend],TrendSheetPrdData[#All],9,FALSE)</f>
        <v>0.88</v>
      </c>
      <c r="J10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4" s="5">
        <f>VLOOKUP(TrendSheetStgData[Population]&amp;TrendSheetStgData[Trend],Threshold[#All],4,FALSE)</f>
        <v>10</v>
      </c>
      <c r="L1044" s="5">
        <f>VLOOKUP(TrendSheetStgData[Population]&amp;TrendSheetStgData[Trend],Threshold[#All],5,FALSE)</f>
        <v>5</v>
      </c>
      <c r="M10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5" spans="1:13" x14ac:dyDescent="0.25">
      <c r="A1045" t="s">
        <v>111</v>
      </c>
      <c r="B1045" t="s">
        <v>111</v>
      </c>
      <c r="C1045" t="s">
        <v>91</v>
      </c>
      <c r="D1045" s="1" t="s">
        <v>99</v>
      </c>
      <c r="E1045" t="s">
        <v>93</v>
      </c>
      <c r="F1045" t="s">
        <v>27</v>
      </c>
      <c r="G1045">
        <v>16</v>
      </c>
      <c r="H1045">
        <v>0.87</v>
      </c>
      <c r="I1045" s="5">
        <f>VLOOKUP(TrendSheetStgData[Population]&amp;TrendSheetStgData[Cost Basis]&amp;TrendSheetStgData[Period]&amp;TrendSheetStgData[Trend],TrendSheetPrdData[#All],9,FALSE)</f>
        <v>0.87</v>
      </c>
      <c r="J10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5" s="5">
        <f>VLOOKUP(TrendSheetStgData[Population]&amp;TrendSheetStgData[Trend],Threshold[#All],4,FALSE)</f>
        <v>10</v>
      </c>
      <c r="L1045" s="5">
        <f>VLOOKUP(TrendSheetStgData[Population]&amp;TrendSheetStgData[Trend],Threshold[#All],5,FALSE)</f>
        <v>5</v>
      </c>
      <c r="M10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6" spans="1:13" x14ac:dyDescent="0.25">
      <c r="A1046" t="s">
        <v>111</v>
      </c>
      <c r="B1046" t="s">
        <v>111</v>
      </c>
      <c r="C1046" t="s">
        <v>91</v>
      </c>
      <c r="D1046" s="1" t="s">
        <v>100</v>
      </c>
      <c r="E1046" t="s">
        <v>93</v>
      </c>
      <c r="F1046" t="s">
        <v>27</v>
      </c>
      <c r="G1046">
        <v>16</v>
      </c>
      <c r="H1046">
        <v>0.84</v>
      </c>
      <c r="I1046" s="5">
        <f>VLOOKUP(TrendSheetStgData[Population]&amp;TrendSheetStgData[Cost Basis]&amp;TrendSheetStgData[Period]&amp;TrendSheetStgData[Trend],TrendSheetPrdData[#All],9,FALSE)</f>
        <v>0.84</v>
      </c>
      <c r="J10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6" s="5">
        <f>VLOOKUP(TrendSheetStgData[Population]&amp;TrendSheetStgData[Trend],Threshold[#All],4,FALSE)</f>
        <v>10</v>
      </c>
      <c r="L1046" s="5">
        <f>VLOOKUP(TrendSheetStgData[Population]&amp;TrendSheetStgData[Trend],Threshold[#All],5,FALSE)</f>
        <v>5</v>
      </c>
      <c r="M10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7" spans="1:13" x14ac:dyDescent="0.25">
      <c r="A1047" t="s">
        <v>111</v>
      </c>
      <c r="B1047" t="s">
        <v>111</v>
      </c>
      <c r="C1047" t="s">
        <v>91</v>
      </c>
      <c r="D1047" s="1" t="s">
        <v>101</v>
      </c>
      <c r="E1047" t="s">
        <v>93</v>
      </c>
      <c r="F1047" t="s">
        <v>27</v>
      </c>
      <c r="G1047">
        <v>16</v>
      </c>
      <c r="H1047">
        <v>0.86</v>
      </c>
      <c r="I1047" s="5">
        <f>VLOOKUP(TrendSheetStgData[Population]&amp;TrendSheetStgData[Cost Basis]&amp;TrendSheetStgData[Period]&amp;TrendSheetStgData[Trend],TrendSheetPrdData[#All],9,FALSE)</f>
        <v>0.86</v>
      </c>
      <c r="J10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7" s="5">
        <f>VLOOKUP(TrendSheetStgData[Population]&amp;TrendSheetStgData[Trend],Threshold[#All],4,FALSE)</f>
        <v>10</v>
      </c>
      <c r="L1047" s="5">
        <f>VLOOKUP(TrendSheetStgData[Population]&amp;TrendSheetStgData[Trend],Threshold[#All],5,FALSE)</f>
        <v>5</v>
      </c>
      <c r="M10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8" spans="1:13" x14ac:dyDescent="0.25">
      <c r="A1048" t="s">
        <v>111</v>
      </c>
      <c r="B1048" t="s">
        <v>111</v>
      </c>
      <c r="C1048" t="s">
        <v>91</v>
      </c>
      <c r="D1048" s="1" t="s">
        <v>102</v>
      </c>
      <c r="E1048" t="s">
        <v>93</v>
      </c>
      <c r="F1048" t="s">
        <v>27</v>
      </c>
      <c r="G1048">
        <v>16</v>
      </c>
      <c r="H1048">
        <v>0.85</v>
      </c>
      <c r="I1048" s="5">
        <f>VLOOKUP(TrendSheetStgData[Population]&amp;TrendSheetStgData[Cost Basis]&amp;TrendSheetStgData[Period]&amp;TrendSheetStgData[Trend],TrendSheetPrdData[#All],9,FALSE)</f>
        <v>0.85</v>
      </c>
      <c r="J10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8" s="5">
        <f>VLOOKUP(TrendSheetStgData[Population]&amp;TrendSheetStgData[Trend],Threshold[#All],4,FALSE)</f>
        <v>10</v>
      </c>
      <c r="L1048" s="5">
        <f>VLOOKUP(TrendSheetStgData[Population]&amp;TrendSheetStgData[Trend],Threshold[#All],5,FALSE)</f>
        <v>5</v>
      </c>
      <c r="M10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9" spans="1:13" x14ac:dyDescent="0.25">
      <c r="A1049" t="s">
        <v>111</v>
      </c>
      <c r="B1049" t="s">
        <v>111</v>
      </c>
      <c r="C1049" t="s">
        <v>91</v>
      </c>
      <c r="D1049" s="1" t="s">
        <v>103</v>
      </c>
      <c r="E1049" t="s">
        <v>93</v>
      </c>
      <c r="F1049" t="s">
        <v>27</v>
      </c>
      <c r="G1049">
        <v>16</v>
      </c>
      <c r="H1049">
        <v>0.85</v>
      </c>
      <c r="I1049" s="5">
        <f>VLOOKUP(TrendSheetStgData[Population]&amp;TrendSheetStgData[Cost Basis]&amp;TrendSheetStgData[Period]&amp;TrendSheetStgData[Trend],TrendSheetPrdData[#All],9,FALSE)</f>
        <v>0.85</v>
      </c>
      <c r="J10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9" s="5">
        <f>VLOOKUP(TrendSheetStgData[Population]&amp;TrendSheetStgData[Trend],Threshold[#All],4,FALSE)</f>
        <v>10</v>
      </c>
      <c r="L1049" s="5">
        <f>VLOOKUP(TrendSheetStgData[Population]&amp;TrendSheetStgData[Trend],Threshold[#All],5,FALSE)</f>
        <v>5</v>
      </c>
      <c r="M10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0" spans="1:13" x14ac:dyDescent="0.25">
      <c r="A1050" t="s">
        <v>111</v>
      </c>
      <c r="B1050" t="s">
        <v>111</v>
      </c>
      <c r="C1050" t="s">
        <v>91</v>
      </c>
      <c r="D1050" s="1" t="s">
        <v>104</v>
      </c>
      <c r="E1050" t="s">
        <v>93</v>
      </c>
      <c r="F1050" t="s">
        <v>27</v>
      </c>
      <c r="G1050">
        <v>16</v>
      </c>
      <c r="H1050">
        <v>0.86</v>
      </c>
      <c r="I1050" s="5">
        <f>VLOOKUP(TrendSheetStgData[Population]&amp;TrendSheetStgData[Cost Basis]&amp;TrendSheetStgData[Period]&amp;TrendSheetStgData[Trend],TrendSheetPrdData[#All],9,FALSE)</f>
        <v>0.86</v>
      </c>
      <c r="J10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0" s="5">
        <f>VLOOKUP(TrendSheetStgData[Population]&amp;TrendSheetStgData[Trend],Threshold[#All],4,FALSE)</f>
        <v>10</v>
      </c>
      <c r="L1050" s="5">
        <f>VLOOKUP(TrendSheetStgData[Population]&amp;TrendSheetStgData[Trend],Threshold[#All],5,FALSE)</f>
        <v>5</v>
      </c>
      <c r="M10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1" spans="1:13" x14ac:dyDescent="0.25">
      <c r="A1051" t="s">
        <v>111</v>
      </c>
      <c r="B1051" t="s">
        <v>111</v>
      </c>
      <c r="C1051" t="s">
        <v>91</v>
      </c>
      <c r="D1051" s="1" t="s">
        <v>105</v>
      </c>
      <c r="E1051" t="s">
        <v>108</v>
      </c>
      <c r="F1051" t="s">
        <v>27</v>
      </c>
      <c r="G1051">
        <v>16</v>
      </c>
      <c r="H1051">
        <v>0.85</v>
      </c>
      <c r="I1051" s="5">
        <f>VLOOKUP(TrendSheetStgData[Population]&amp;TrendSheetStgData[Cost Basis]&amp;TrendSheetStgData[Period]&amp;TrendSheetStgData[Trend],TrendSheetPrdData[#All],9,FALSE)</f>
        <v>0.85</v>
      </c>
      <c r="J10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1" s="5">
        <f>VLOOKUP(TrendSheetStgData[Population]&amp;TrendSheetStgData[Trend],Threshold[#All],4,FALSE)</f>
        <v>10</v>
      </c>
      <c r="L1051" s="5">
        <f>VLOOKUP(TrendSheetStgData[Population]&amp;TrendSheetStgData[Trend],Threshold[#All],5,FALSE)</f>
        <v>5</v>
      </c>
      <c r="M10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2" spans="1:13" x14ac:dyDescent="0.25">
      <c r="A1052" t="s">
        <v>111</v>
      </c>
      <c r="B1052" t="s">
        <v>111</v>
      </c>
      <c r="C1052" t="s">
        <v>91</v>
      </c>
      <c r="D1052" s="1" t="s">
        <v>106</v>
      </c>
      <c r="E1052" t="s">
        <v>108</v>
      </c>
      <c r="F1052" t="s">
        <v>27</v>
      </c>
      <c r="G1052">
        <v>16</v>
      </c>
      <c r="H1052">
        <v>0.86</v>
      </c>
      <c r="I1052" s="5">
        <f>VLOOKUP(TrendSheetStgData[Population]&amp;TrendSheetStgData[Cost Basis]&amp;TrendSheetStgData[Period]&amp;TrendSheetStgData[Trend],TrendSheetPrdData[#All],9,FALSE)</f>
        <v>0.86</v>
      </c>
      <c r="J10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2" s="5">
        <f>VLOOKUP(TrendSheetStgData[Population]&amp;TrendSheetStgData[Trend],Threshold[#All],4,FALSE)</f>
        <v>10</v>
      </c>
      <c r="L1052" s="5">
        <f>VLOOKUP(TrendSheetStgData[Population]&amp;TrendSheetStgData[Trend],Threshold[#All],5,FALSE)</f>
        <v>5</v>
      </c>
      <c r="M10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3" spans="1:13" x14ac:dyDescent="0.25">
      <c r="A1053" t="s">
        <v>111</v>
      </c>
      <c r="B1053" t="s">
        <v>111</v>
      </c>
      <c r="C1053" t="s">
        <v>91</v>
      </c>
      <c r="D1053" s="1" t="s">
        <v>107</v>
      </c>
      <c r="E1053" t="s">
        <v>108</v>
      </c>
      <c r="F1053" t="s">
        <v>27</v>
      </c>
      <c r="G1053">
        <v>16</v>
      </c>
      <c r="H1053">
        <v>0.86</v>
      </c>
      <c r="I1053" s="5">
        <f>VLOOKUP(TrendSheetStgData[Population]&amp;TrendSheetStgData[Cost Basis]&amp;TrendSheetStgData[Period]&amp;TrendSheetStgData[Trend],TrendSheetPrdData[#All],9,FALSE)</f>
        <v>0.86</v>
      </c>
      <c r="J10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3" s="5">
        <f>VLOOKUP(TrendSheetStgData[Population]&amp;TrendSheetStgData[Trend],Threshold[#All],4,FALSE)</f>
        <v>10</v>
      </c>
      <c r="L1053" s="5">
        <f>VLOOKUP(TrendSheetStgData[Population]&amp;TrendSheetStgData[Trend],Threshold[#All],5,FALSE)</f>
        <v>5</v>
      </c>
      <c r="M10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4" spans="1:13" x14ac:dyDescent="0.25">
      <c r="A1054" t="s">
        <v>111</v>
      </c>
      <c r="B1054" t="s">
        <v>111</v>
      </c>
      <c r="C1054" t="s">
        <v>91</v>
      </c>
      <c r="D1054" s="1" t="s">
        <v>109</v>
      </c>
      <c r="E1054" t="s">
        <v>108</v>
      </c>
      <c r="F1054" t="s">
        <v>27</v>
      </c>
      <c r="G1054">
        <v>16</v>
      </c>
      <c r="H1054">
        <v>0.86</v>
      </c>
      <c r="I1054" s="5">
        <f>VLOOKUP(TrendSheetStgData[Population]&amp;TrendSheetStgData[Cost Basis]&amp;TrendSheetStgData[Period]&amp;TrendSheetStgData[Trend],TrendSheetPrdData[#All],9,FALSE)</f>
        <v>0.86</v>
      </c>
      <c r="J10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4" s="5">
        <f>VLOOKUP(TrendSheetStgData[Population]&amp;TrendSheetStgData[Trend],Threshold[#All],4,FALSE)</f>
        <v>10</v>
      </c>
      <c r="L1054" s="5">
        <f>VLOOKUP(TrendSheetStgData[Population]&amp;TrendSheetStgData[Trend],Threshold[#All],5,FALSE)</f>
        <v>5</v>
      </c>
      <c r="M10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5" spans="1:13" x14ac:dyDescent="0.25">
      <c r="A1055" t="s">
        <v>111</v>
      </c>
      <c r="B1055" t="s">
        <v>111</v>
      </c>
      <c r="C1055" t="s">
        <v>91</v>
      </c>
      <c r="D1055" s="1" t="s">
        <v>110</v>
      </c>
      <c r="E1055" t="s">
        <v>108</v>
      </c>
      <c r="F1055" t="s">
        <v>27</v>
      </c>
      <c r="G1055">
        <v>16</v>
      </c>
      <c r="H1055">
        <v>0.87</v>
      </c>
      <c r="I1055" s="5">
        <f>VLOOKUP(TrendSheetStgData[Population]&amp;TrendSheetStgData[Cost Basis]&amp;TrendSheetStgData[Period]&amp;TrendSheetStgData[Trend],TrendSheetPrdData[#All],9,FALSE)</f>
        <v>0.87</v>
      </c>
      <c r="J10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5" s="5">
        <f>VLOOKUP(TrendSheetStgData[Population]&amp;TrendSheetStgData[Trend],Threshold[#All],4,FALSE)</f>
        <v>10</v>
      </c>
      <c r="L1055" s="5">
        <f>VLOOKUP(TrendSheetStgData[Population]&amp;TrendSheetStgData[Trend],Threshold[#All],5,FALSE)</f>
        <v>5</v>
      </c>
      <c r="M10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6" spans="1:13" x14ac:dyDescent="0.25">
      <c r="A1056" t="s">
        <v>111</v>
      </c>
      <c r="B1056" t="s">
        <v>111</v>
      </c>
      <c r="C1056" t="s">
        <v>91</v>
      </c>
      <c r="D1056" s="1" t="s">
        <v>92</v>
      </c>
      <c r="E1056" t="s">
        <v>93</v>
      </c>
      <c r="F1056" t="s">
        <v>28</v>
      </c>
      <c r="G1056">
        <v>17</v>
      </c>
      <c r="H1056">
        <v>1147508</v>
      </c>
      <c r="I1056" s="5">
        <f>VLOOKUP(TrendSheetStgData[Population]&amp;TrendSheetStgData[Cost Basis]&amp;TrendSheetStgData[Period]&amp;TrendSheetStgData[Trend],TrendSheetPrdData[#All],9,FALSE)</f>
        <v>1147508</v>
      </c>
      <c r="J10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6" s="5">
        <f>VLOOKUP(TrendSheetStgData[Population]&amp;TrendSheetStgData[Trend],Threshold[#All],4,FALSE)</f>
        <v>10</v>
      </c>
      <c r="L1056" s="5">
        <f>VLOOKUP(TrendSheetStgData[Population]&amp;TrendSheetStgData[Trend],Threshold[#All],5,FALSE)</f>
        <v>5</v>
      </c>
      <c r="M10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7" spans="1:13" x14ac:dyDescent="0.25">
      <c r="A1057" t="s">
        <v>111</v>
      </c>
      <c r="B1057" t="s">
        <v>111</v>
      </c>
      <c r="C1057" t="s">
        <v>91</v>
      </c>
      <c r="D1057" s="1" t="s">
        <v>94</v>
      </c>
      <c r="E1057" t="s">
        <v>93</v>
      </c>
      <c r="F1057" t="s">
        <v>28</v>
      </c>
      <c r="G1057">
        <v>17</v>
      </c>
      <c r="H1057">
        <v>1191921</v>
      </c>
      <c r="I1057" s="5">
        <f>VLOOKUP(TrendSheetStgData[Population]&amp;TrendSheetStgData[Cost Basis]&amp;TrendSheetStgData[Period]&amp;TrendSheetStgData[Trend],TrendSheetPrdData[#All],9,FALSE)</f>
        <v>1191921</v>
      </c>
      <c r="J10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7" s="5">
        <f>VLOOKUP(TrendSheetStgData[Population]&amp;TrendSheetStgData[Trend],Threshold[#All],4,FALSE)</f>
        <v>10</v>
      </c>
      <c r="L1057" s="5">
        <f>VLOOKUP(TrendSheetStgData[Population]&amp;TrendSheetStgData[Trend],Threshold[#All],5,FALSE)</f>
        <v>5</v>
      </c>
      <c r="M10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8" spans="1:13" x14ac:dyDescent="0.25">
      <c r="A1058" t="s">
        <v>111</v>
      </c>
      <c r="B1058" t="s">
        <v>111</v>
      </c>
      <c r="C1058" t="s">
        <v>91</v>
      </c>
      <c r="D1058" s="1" t="s">
        <v>95</v>
      </c>
      <c r="E1058" t="s">
        <v>93</v>
      </c>
      <c r="F1058" t="s">
        <v>28</v>
      </c>
      <c r="G1058">
        <v>17</v>
      </c>
      <c r="H1058">
        <v>1043058</v>
      </c>
      <c r="I1058" s="5">
        <f>VLOOKUP(TrendSheetStgData[Population]&amp;TrendSheetStgData[Cost Basis]&amp;TrendSheetStgData[Period]&amp;TrendSheetStgData[Trend],TrendSheetPrdData[#All],9,FALSE)</f>
        <v>1043058</v>
      </c>
      <c r="J10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8" s="5">
        <f>VLOOKUP(TrendSheetStgData[Population]&amp;TrendSheetStgData[Trend],Threshold[#All],4,FALSE)</f>
        <v>10</v>
      </c>
      <c r="L1058" s="5">
        <f>VLOOKUP(TrendSheetStgData[Population]&amp;TrendSheetStgData[Trend],Threshold[#All],5,FALSE)</f>
        <v>5</v>
      </c>
      <c r="M10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9" spans="1:13" x14ac:dyDescent="0.25">
      <c r="A1059" t="s">
        <v>111</v>
      </c>
      <c r="B1059" t="s">
        <v>111</v>
      </c>
      <c r="C1059" t="s">
        <v>91</v>
      </c>
      <c r="D1059" s="1" t="s">
        <v>96</v>
      </c>
      <c r="E1059" t="s">
        <v>93</v>
      </c>
      <c r="F1059" t="s">
        <v>28</v>
      </c>
      <c r="G1059">
        <v>17</v>
      </c>
      <c r="H1059">
        <v>1874862</v>
      </c>
      <c r="I1059" s="5">
        <f>VLOOKUP(TrendSheetStgData[Population]&amp;TrendSheetStgData[Cost Basis]&amp;TrendSheetStgData[Period]&amp;TrendSheetStgData[Trend],TrendSheetPrdData[#All],9,FALSE)</f>
        <v>1874862</v>
      </c>
      <c r="J10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9" s="5">
        <f>VLOOKUP(TrendSheetStgData[Population]&amp;TrendSheetStgData[Trend],Threshold[#All],4,FALSE)</f>
        <v>10</v>
      </c>
      <c r="L1059" s="5">
        <f>VLOOKUP(TrendSheetStgData[Population]&amp;TrendSheetStgData[Trend],Threshold[#All],5,FALSE)</f>
        <v>5</v>
      </c>
      <c r="M10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0" spans="1:13" x14ac:dyDescent="0.25">
      <c r="A1060" t="s">
        <v>111</v>
      </c>
      <c r="B1060" t="s">
        <v>111</v>
      </c>
      <c r="C1060" t="s">
        <v>91</v>
      </c>
      <c r="D1060" s="1" t="s">
        <v>97</v>
      </c>
      <c r="E1060" t="s">
        <v>93</v>
      </c>
      <c r="F1060" t="s">
        <v>28</v>
      </c>
      <c r="G1060">
        <v>17</v>
      </c>
      <c r="H1060">
        <v>1003745</v>
      </c>
      <c r="I1060" s="5">
        <f>VLOOKUP(TrendSheetStgData[Population]&amp;TrendSheetStgData[Cost Basis]&amp;TrendSheetStgData[Period]&amp;TrendSheetStgData[Trend],TrendSheetPrdData[#All],9,FALSE)</f>
        <v>1003745</v>
      </c>
      <c r="J10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0" s="5">
        <f>VLOOKUP(TrendSheetStgData[Population]&amp;TrendSheetStgData[Trend],Threshold[#All],4,FALSE)</f>
        <v>10</v>
      </c>
      <c r="L1060" s="5">
        <f>VLOOKUP(TrendSheetStgData[Population]&amp;TrendSheetStgData[Trend],Threshold[#All],5,FALSE)</f>
        <v>5</v>
      </c>
      <c r="M10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1" spans="1:13" x14ac:dyDescent="0.25">
      <c r="A1061" t="s">
        <v>111</v>
      </c>
      <c r="B1061" t="s">
        <v>111</v>
      </c>
      <c r="C1061" t="s">
        <v>91</v>
      </c>
      <c r="D1061" s="1" t="s">
        <v>98</v>
      </c>
      <c r="E1061" t="s">
        <v>93</v>
      </c>
      <c r="F1061" t="s">
        <v>28</v>
      </c>
      <c r="G1061">
        <v>17</v>
      </c>
      <c r="H1061">
        <v>910398</v>
      </c>
      <c r="I1061" s="5">
        <f>VLOOKUP(TrendSheetStgData[Population]&amp;TrendSheetStgData[Cost Basis]&amp;TrendSheetStgData[Period]&amp;TrendSheetStgData[Trend],TrendSheetPrdData[#All],9,FALSE)</f>
        <v>910398</v>
      </c>
      <c r="J10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1" s="5">
        <f>VLOOKUP(TrendSheetStgData[Population]&amp;TrendSheetStgData[Trend],Threshold[#All],4,FALSE)</f>
        <v>10</v>
      </c>
      <c r="L1061" s="5">
        <f>VLOOKUP(TrendSheetStgData[Population]&amp;TrendSheetStgData[Trend],Threshold[#All],5,FALSE)</f>
        <v>5</v>
      </c>
      <c r="M10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2" spans="1:13" x14ac:dyDescent="0.25">
      <c r="A1062" t="s">
        <v>111</v>
      </c>
      <c r="B1062" t="s">
        <v>111</v>
      </c>
      <c r="C1062" t="s">
        <v>91</v>
      </c>
      <c r="D1062" s="1" t="s">
        <v>99</v>
      </c>
      <c r="E1062" t="s">
        <v>93</v>
      </c>
      <c r="F1062" t="s">
        <v>28</v>
      </c>
      <c r="G1062">
        <v>17</v>
      </c>
      <c r="H1062">
        <v>1167425</v>
      </c>
      <c r="I1062" s="5">
        <f>VLOOKUP(TrendSheetStgData[Population]&amp;TrendSheetStgData[Cost Basis]&amp;TrendSheetStgData[Period]&amp;TrendSheetStgData[Trend],TrendSheetPrdData[#All],9,FALSE)</f>
        <v>1167425</v>
      </c>
      <c r="J10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2" s="5">
        <f>VLOOKUP(TrendSheetStgData[Population]&amp;TrendSheetStgData[Trend],Threshold[#All],4,FALSE)</f>
        <v>10</v>
      </c>
      <c r="L1062" s="5">
        <f>VLOOKUP(TrendSheetStgData[Population]&amp;TrendSheetStgData[Trend],Threshold[#All],5,FALSE)</f>
        <v>5</v>
      </c>
      <c r="M10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3" spans="1:13" x14ac:dyDescent="0.25">
      <c r="A1063" t="s">
        <v>111</v>
      </c>
      <c r="B1063" t="s">
        <v>111</v>
      </c>
      <c r="C1063" t="s">
        <v>91</v>
      </c>
      <c r="D1063" s="1" t="s">
        <v>100</v>
      </c>
      <c r="E1063" t="s">
        <v>93</v>
      </c>
      <c r="F1063" t="s">
        <v>28</v>
      </c>
      <c r="G1063">
        <v>17</v>
      </c>
      <c r="H1063">
        <v>1148015</v>
      </c>
      <c r="I1063" s="5">
        <f>VLOOKUP(TrendSheetStgData[Population]&amp;TrendSheetStgData[Cost Basis]&amp;TrendSheetStgData[Period]&amp;TrendSheetStgData[Trend],TrendSheetPrdData[#All],9,FALSE)</f>
        <v>1148015</v>
      </c>
      <c r="J10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3" s="5">
        <f>VLOOKUP(TrendSheetStgData[Population]&amp;TrendSheetStgData[Trend],Threshold[#All],4,FALSE)</f>
        <v>10</v>
      </c>
      <c r="L1063" s="5">
        <f>VLOOKUP(TrendSheetStgData[Population]&amp;TrendSheetStgData[Trend],Threshold[#All],5,FALSE)</f>
        <v>5</v>
      </c>
      <c r="M10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4" spans="1:13" x14ac:dyDescent="0.25">
      <c r="A1064" t="s">
        <v>111</v>
      </c>
      <c r="B1064" t="s">
        <v>111</v>
      </c>
      <c r="C1064" t="s">
        <v>91</v>
      </c>
      <c r="D1064" s="1" t="s">
        <v>101</v>
      </c>
      <c r="E1064" t="s">
        <v>93</v>
      </c>
      <c r="F1064" t="s">
        <v>28</v>
      </c>
      <c r="G1064">
        <v>17</v>
      </c>
      <c r="H1064">
        <v>1131137</v>
      </c>
      <c r="I1064" s="5">
        <f>VLOOKUP(TrendSheetStgData[Population]&amp;TrendSheetStgData[Cost Basis]&amp;TrendSheetStgData[Period]&amp;TrendSheetStgData[Trend],TrendSheetPrdData[#All],9,FALSE)</f>
        <v>1131137</v>
      </c>
      <c r="J10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4" s="5">
        <f>VLOOKUP(TrendSheetStgData[Population]&amp;TrendSheetStgData[Trend],Threshold[#All],4,FALSE)</f>
        <v>10</v>
      </c>
      <c r="L1064" s="5">
        <f>VLOOKUP(TrendSheetStgData[Population]&amp;TrendSheetStgData[Trend],Threshold[#All],5,FALSE)</f>
        <v>5</v>
      </c>
      <c r="M10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5" spans="1:13" x14ac:dyDescent="0.25">
      <c r="A1065" t="s">
        <v>111</v>
      </c>
      <c r="B1065" t="s">
        <v>111</v>
      </c>
      <c r="C1065" t="s">
        <v>91</v>
      </c>
      <c r="D1065" s="1" t="s">
        <v>102</v>
      </c>
      <c r="E1065" t="s">
        <v>93</v>
      </c>
      <c r="F1065" t="s">
        <v>28</v>
      </c>
      <c r="G1065">
        <v>17</v>
      </c>
      <c r="H1065">
        <v>1302239</v>
      </c>
      <c r="I1065" s="5">
        <f>VLOOKUP(TrendSheetStgData[Population]&amp;TrendSheetStgData[Cost Basis]&amp;TrendSheetStgData[Period]&amp;TrendSheetStgData[Trend],TrendSheetPrdData[#All],9,FALSE)</f>
        <v>1302239</v>
      </c>
      <c r="J10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5" s="5">
        <f>VLOOKUP(TrendSheetStgData[Population]&amp;TrendSheetStgData[Trend],Threshold[#All],4,FALSE)</f>
        <v>10</v>
      </c>
      <c r="L1065" s="5">
        <f>VLOOKUP(TrendSheetStgData[Population]&amp;TrendSheetStgData[Trend],Threshold[#All],5,FALSE)</f>
        <v>5</v>
      </c>
      <c r="M10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6" spans="1:13" x14ac:dyDescent="0.25">
      <c r="A1066" t="s">
        <v>111</v>
      </c>
      <c r="B1066" t="s">
        <v>111</v>
      </c>
      <c r="C1066" t="s">
        <v>91</v>
      </c>
      <c r="D1066" s="1" t="s">
        <v>103</v>
      </c>
      <c r="E1066" t="s">
        <v>93</v>
      </c>
      <c r="F1066" t="s">
        <v>28</v>
      </c>
      <c r="G1066">
        <v>17</v>
      </c>
      <c r="H1066">
        <v>1107902</v>
      </c>
      <c r="I1066" s="5">
        <f>VLOOKUP(TrendSheetStgData[Population]&amp;TrendSheetStgData[Cost Basis]&amp;TrendSheetStgData[Period]&amp;TrendSheetStgData[Trend],TrendSheetPrdData[#All],9,FALSE)</f>
        <v>1107902</v>
      </c>
      <c r="J10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6" s="5">
        <f>VLOOKUP(TrendSheetStgData[Population]&amp;TrendSheetStgData[Trend],Threshold[#All],4,FALSE)</f>
        <v>10</v>
      </c>
      <c r="L1066" s="5">
        <f>VLOOKUP(TrendSheetStgData[Population]&amp;TrendSheetStgData[Trend],Threshold[#All],5,FALSE)</f>
        <v>5</v>
      </c>
      <c r="M10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7" spans="1:13" x14ac:dyDescent="0.25">
      <c r="A1067" t="s">
        <v>111</v>
      </c>
      <c r="B1067" t="s">
        <v>111</v>
      </c>
      <c r="C1067" t="s">
        <v>91</v>
      </c>
      <c r="D1067" s="1" t="s">
        <v>104</v>
      </c>
      <c r="E1067" t="s">
        <v>93</v>
      </c>
      <c r="F1067" t="s">
        <v>28</v>
      </c>
      <c r="G1067">
        <v>17</v>
      </c>
      <c r="H1067">
        <v>1032827</v>
      </c>
      <c r="I1067" s="5">
        <f>VLOOKUP(TrendSheetStgData[Population]&amp;TrendSheetStgData[Cost Basis]&amp;TrendSheetStgData[Period]&amp;TrendSheetStgData[Trend],TrendSheetPrdData[#All],9,FALSE)</f>
        <v>1032827</v>
      </c>
      <c r="J10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7" s="5">
        <f>VLOOKUP(TrendSheetStgData[Population]&amp;TrendSheetStgData[Trend],Threshold[#All],4,FALSE)</f>
        <v>10</v>
      </c>
      <c r="L1067" s="5">
        <f>VLOOKUP(TrendSheetStgData[Population]&amp;TrendSheetStgData[Trend],Threshold[#All],5,FALSE)</f>
        <v>5</v>
      </c>
      <c r="M10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8" spans="1:13" x14ac:dyDescent="0.25">
      <c r="A1068" t="s">
        <v>111</v>
      </c>
      <c r="B1068" t="s">
        <v>111</v>
      </c>
      <c r="C1068" t="s">
        <v>91</v>
      </c>
      <c r="D1068" s="1" t="s">
        <v>105</v>
      </c>
      <c r="E1068" t="s">
        <v>108</v>
      </c>
      <c r="F1068" t="s">
        <v>28</v>
      </c>
      <c r="G1068">
        <v>17</v>
      </c>
      <c r="H1068">
        <v>1129431</v>
      </c>
      <c r="I1068" s="5">
        <f>VLOOKUP(TrendSheetStgData[Population]&amp;TrendSheetStgData[Cost Basis]&amp;TrendSheetStgData[Period]&amp;TrendSheetStgData[Trend],TrendSheetPrdData[#All],9,FALSE)</f>
        <v>1129431</v>
      </c>
      <c r="J10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8" s="5">
        <f>VLOOKUP(TrendSheetStgData[Population]&amp;TrendSheetStgData[Trend],Threshold[#All],4,FALSE)</f>
        <v>10</v>
      </c>
      <c r="L1068" s="5">
        <f>VLOOKUP(TrendSheetStgData[Population]&amp;TrendSheetStgData[Trend],Threshold[#All],5,FALSE)</f>
        <v>5</v>
      </c>
      <c r="M10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9" spans="1:13" x14ac:dyDescent="0.25">
      <c r="A1069" t="s">
        <v>111</v>
      </c>
      <c r="B1069" t="s">
        <v>111</v>
      </c>
      <c r="C1069" t="s">
        <v>91</v>
      </c>
      <c r="D1069" s="1" t="s">
        <v>106</v>
      </c>
      <c r="E1069" t="s">
        <v>108</v>
      </c>
      <c r="F1069" t="s">
        <v>28</v>
      </c>
      <c r="G1069">
        <v>17</v>
      </c>
      <c r="H1069">
        <v>998081</v>
      </c>
      <c r="I1069" s="5">
        <f>VLOOKUP(TrendSheetStgData[Population]&amp;TrendSheetStgData[Cost Basis]&amp;TrendSheetStgData[Period]&amp;TrendSheetStgData[Trend],TrendSheetPrdData[#All],9,FALSE)</f>
        <v>998081</v>
      </c>
      <c r="J10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9" s="5">
        <f>VLOOKUP(TrendSheetStgData[Population]&amp;TrendSheetStgData[Trend],Threshold[#All],4,FALSE)</f>
        <v>10</v>
      </c>
      <c r="L1069" s="5">
        <f>VLOOKUP(TrendSheetStgData[Population]&amp;TrendSheetStgData[Trend],Threshold[#All],5,FALSE)</f>
        <v>5</v>
      </c>
      <c r="M10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0" spans="1:13" x14ac:dyDescent="0.25">
      <c r="A1070" t="s">
        <v>111</v>
      </c>
      <c r="B1070" t="s">
        <v>111</v>
      </c>
      <c r="C1070" t="s">
        <v>91</v>
      </c>
      <c r="D1070" s="1" t="s">
        <v>107</v>
      </c>
      <c r="E1070" t="s">
        <v>108</v>
      </c>
      <c r="F1070" t="s">
        <v>28</v>
      </c>
      <c r="G1070">
        <v>17</v>
      </c>
      <c r="H1070">
        <v>984276</v>
      </c>
      <c r="I1070" s="5">
        <f>VLOOKUP(TrendSheetStgData[Population]&amp;TrendSheetStgData[Cost Basis]&amp;TrendSheetStgData[Period]&amp;TrendSheetStgData[Trend],TrendSheetPrdData[#All],9,FALSE)</f>
        <v>984276</v>
      </c>
      <c r="J10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0" s="5">
        <f>VLOOKUP(TrendSheetStgData[Population]&amp;TrendSheetStgData[Trend],Threshold[#All],4,FALSE)</f>
        <v>10</v>
      </c>
      <c r="L1070" s="5">
        <f>VLOOKUP(TrendSheetStgData[Population]&amp;TrendSheetStgData[Trend],Threshold[#All],5,FALSE)</f>
        <v>5</v>
      </c>
      <c r="M10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1" spans="1:13" x14ac:dyDescent="0.25">
      <c r="A1071" t="s">
        <v>111</v>
      </c>
      <c r="B1071" t="s">
        <v>111</v>
      </c>
      <c r="C1071" t="s">
        <v>91</v>
      </c>
      <c r="D1071" s="1" t="s">
        <v>109</v>
      </c>
      <c r="E1071" t="s">
        <v>108</v>
      </c>
      <c r="F1071" t="s">
        <v>28</v>
      </c>
      <c r="G1071">
        <v>17</v>
      </c>
      <c r="H1071">
        <v>847574</v>
      </c>
      <c r="I1071" s="5">
        <f>VLOOKUP(TrendSheetStgData[Population]&amp;TrendSheetStgData[Cost Basis]&amp;TrendSheetStgData[Period]&amp;TrendSheetStgData[Trend],TrendSheetPrdData[#All],9,FALSE)</f>
        <v>847574</v>
      </c>
      <c r="J10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1" s="5">
        <f>VLOOKUP(TrendSheetStgData[Population]&amp;TrendSheetStgData[Trend],Threshold[#All],4,FALSE)</f>
        <v>10</v>
      </c>
      <c r="L1071" s="5">
        <f>VLOOKUP(TrendSheetStgData[Population]&amp;TrendSheetStgData[Trend],Threshold[#All],5,FALSE)</f>
        <v>5</v>
      </c>
      <c r="M10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2" spans="1:13" x14ac:dyDescent="0.25">
      <c r="A1072" t="s">
        <v>111</v>
      </c>
      <c r="B1072" t="s">
        <v>111</v>
      </c>
      <c r="C1072" t="s">
        <v>91</v>
      </c>
      <c r="D1072" s="1" t="s">
        <v>110</v>
      </c>
      <c r="E1072" t="s">
        <v>108</v>
      </c>
      <c r="F1072" t="s">
        <v>28</v>
      </c>
      <c r="G1072">
        <v>17</v>
      </c>
      <c r="H1072">
        <v>437662</v>
      </c>
      <c r="I1072" s="5">
        <f>VLOOKUP(TrendSheetStgData[Population]&amp;TrendSheetStgData[Cost Basis]&amp;TrendSheetStgData[Period]&amp;TrendSheetStgData[Trend],TrendSheetPrdData[#All],9,FALSE)</f>
        <v>437662</v>
      </c>
      <c r="J10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2" s="5">
        <f>VLOOKUP(TrendSheetStgData[Population]&amp;TrendSheetStgData[Trend],Threshold[#All],4,FALSE)</f>
        <v>10</v>
      </c>
      <c r="L1072" s="5">
        <f>VLOOKUP(TrendSheetStgData[Population]&amp;TrendSheetStgData[Trend],Threshold[#All],5,FALSE)</f>
        <v>5</v>
      </c>
      <c r="M10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3" spans="1:13" x14ac:dyDescent="0.25">
      <c r="A1073" t="s">
        <v>111</v>
      </c>
      <c r="B1073" t="s">
        <v>111</v>
      </c>
      <c r="C1073" t="s">
        <v>91</v>
      </c>
      <c r="D1073" s="1" t="s">
        <v>92</v>
      </c>
      <c r="E1073" t="s">
        <v>93</v>
      </c>
      <c r="F1073" t="s">
        <v>29</v>
      </c>
      <c r="G1073">
        <v>18</v>
      </c>
      <c r="H1073">
        <v>286.16000000000003</v>
      </c>
      <c r="I1073" s="5">
        <f>VLOOKUP(TrendSheetStgData[Population]&amp;TrendSheetStgData[Cost Basis]&amp;TrendSheetStgData[Period]&amp;TrendSheetStgData[Trend],TrendSheetPrdData[#All],9,FALSE)</f>
        <v>286.16000000000003</v>
      </c>
      <c r="J10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3" s="5">
        <f>VLOOKUP(TrendSheetStgData[Population]&amp;TrendSheetStgData[Trend],Threshold[#All],4,FALSE)</f>
        <v>10</v>
      </c>
      <c r="L1073" s="5">
        <f>VLOOKUP(TrendSheetStgData[Population]&amp;TrendSheetStgData[Trend],Threshold[#All],5,FALSE)</f>
        <v>5</v>
      </c>
      <c r="M10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4" spans="1:13" x14ac:dyDescent="0.25">
      <c r="A1074" t="s">
        <v>111</v>
      </c>
      <c r="B1074" t="s">
        <v>111</v>
      </c>
      <c r="C1074" t="s">
        <v>91</v>
      </c>
      <c r="D1074" s="1" t="s">
        <v>94</v>
      </c>
      <c r="E1074" t="s">
        <v>93</v>
      </c>
      <c r="F1074" t="s">
        <v>29</v>
      </c>
      <c r="G1074">
        <v>18</v>
      </c>
      <c r="H1074">
        <v>285.82</v>
      </c>
      <c r="I1074" s="5">
        <f>VLOOKUP(TrendSheetStgData[Population]&amp;TrendSheetStgData[Cost Basis]&amp;TrendSheetStgData[Period]&amp;TrendSheetStgData[Trend],TrendSheetPrdData[#All],9,FALSE)</f>
        <v>285.82</v>
      </c>
      <c r="J10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4" s="5">
        <f>VLOOKUP(TrendSheetStgData[Population]&amp;TrendSheetStgData[Trend],Threshold[#All],4,FALSE)</f>
        <v>10</v>
      </c>
      <c r="L1074" s="5">
        <f>VLOOKUP(TrendSheetStgData[Population]&amp;TrendSheetStgData[Trend],Threshold[#All],5,FALSE)</f>
        <v>5</v>
      </c>
      <c r="M10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5" spans="1:13" x14ac:dyDescent="0.25">
      <c r="A1075" t="s">
        <v>111</v>
      </c>
      <c r="B1075" t="s">
        <v>111</v>
      </c>
      <c r="C1075" t="s">
        <v>91</v>
      </c>
      <c r="D1075" s="1" t="s">
        <v>95</v>
      </c>
      <c r="E1075" t="s">
        <v>93</v>
      </c>
      <c r="F1075" t="s">
        <v>29</v>
      </c>
      <c r="G1075">
        <v>18</v>
      </c>
      <c r="H1075">
        <v>284.14999999999998</v>
      </c>
      <c r="I1075" s="5">
        <f>VLOOKUP(TrendSheetStgData[Population]&amp;TrendSheetStgData[Cost Basis]&amp;TrendSheetStgData[Period]&amp;TrendSheetStgData[Trend],TrendSheetPrdData[#All],9,FALSE)</f>
        <v>284.14999999999998</v>
      </c>
      <c r="J10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5" s="5">
        <f>VLOOKUP(TrendSheetStgData[Population]&amp;TrendSheetStgData[Trend],Threshold[#All],4,FALSE)</f>
        <v>10</v>
      </c>
      <c r="L1075" s="5">
        <f>VLOOKUP(TrendSheetStgData[Population]&amp;TrendSheetStgData[Trend],Threshold[#All],5,FALSE)</f>
        <v>5</v>
      </c>
      <c r="M10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6" spans="1:13" x14ac:dyDescent="0.25">
      <c r="A1076" t="s">
        <v>111</v>
      </c>
      <c r="B1076" t="s">
        <v>111</v>
      </c>
      <c r="C1076" t="s">
        <v>91</v>
      </c>
      <c r="D1076" s="1" t="s">
        <v>96</v>
      </c>
      <c r="E1076" t="s">
        <v>93</v>
      </c>
      <c r="F1076" t="s">
        <v>29</v>
      </c>
      <c r="G1076">
        <v>18</v>
      </c>
      <c r="H1076">
        <v>283.2</v>
      </c>
      <c r="I1076" s="5">
        <f>VLOOKUP(TrendSheetStgData[Population]&amp;TrendSheetStgData[Cost Basis]&amp;TrendSheetStgData[Period]&amp;TrendSheetStgData[Trend],TrendSheetPrdData[#All],9,FALSE)</f>
        <v>283.2</v>
      </c>
      <c r="J10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6" s="5">
        <f>VLOOKUP(TrendSheetStgData[Population]&amp;TrendSheetStgData[Trend],Threshold[#All],4,FALSE)</f>
        <v>10</v>
      </c>
      <c r="L1076" s="5">
        <f>VLOOKUP(TrendSheetStgData[Population]&amp;TrendSheetStgData[Trend],Threshold[#All],5,FALSE)</f>
        <v>5</v>
      </c>
      <c r="M10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7" spans="1:13" x14ac:dyDescent="0.25">
      <c r="A1077" t="s">
        <v>111</v>
      </c>
      <c r="B1077" t="s">
        <v>111</v>
      </c>
      <c r="C1077" t="s">
        <v>91</v>
      </c>
      <c r="D1077" s="1" t="s">
        <v>97</v>
      </c>
      <c r="E1077" t="s">
        <v>93</v>
      </c>
      <c r="F1077" t="s">
        <v>29</v>
      </c>
      <c r="G1077">
        <v>18</v>
      </c>
      <c r="H1077">
        <v>283.82</v>
      </c>
      <c r="I1077" s="5">
        <f>VLOOKUP(TrendSheetStgData[Population]&amp;TrendSheetStgData[Cost Basis]&amp;TrendSheetStgData[Period]&amp;TrendSheetStgData[Trend],TrendSheetPrdData[#All],9,FALSE)</f>
        <v>283.82</v>
      </c>
      <c r="J10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7" s="5">
        <f>VLOOKUP(TrendSheetStgData[Population]&amp;TrendSheetStgData[Trend],Threshold[#All],4,FALSE)</f>
        <v>10</v>
      </c>
      <c r="L1077" s="5">
        <f>VLOOKUP(TrendSheetStgData[Population]&amp;TrendSheetStgData[Trend],Threshold[#All],5,FALSE)</f>
        <v>5</v>
      </c>
      <c r="M10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8" spans="1:13" x14ac:dyDescent="0.25">
      <c r="A1078" t="s">
        <v>111</v>
      </c>
      <c r="B1078" t="s">
        <v>111</v>
      </c>
      <c r="C1078" t="s">
        <v>91</v>
      </c>
      <c r="D1078" s="1" t="s">
        <v>98</v>
      </c>
      <c r="E1078" t="s">
        <v>93</v>
      </c>
      <c r="F1078" t="s">
        <v>29</v>
      </c>
      <c r="G1078">
        <v>18</v>
      </c>
      <c r="H1078">
        <v>279.98</v>
      </c>
      <c r="I1078" s="5">
        <f>VLOOKUP(TrendSheetStgData[Population]&amp;TrendSheetStgData[Cost Basis]&amp;TrendSheetStgData[Period]&amp;TrendSheetStgData[Trend],TrendSheetPrdData[#All],9,FALSE)</f>
        <v>279.98</v>
      </c>
      <c r="J10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8" s="5">
        <f>VLOOKUP(TrendSheetStgData[Population]&amp;TrendSheetStgData[Trend],Threshold[#All],4,FALSE)</f>
        <v>10</v>
      </c>
      <c r="L1078" s="5">
        <f>VLOOKUP(TrendSheetStgData[Population]&amp;TrendSheetStgData[Trend],Threshold[#All],5,FALSE)</f>
        <v>5</v>
      </c>
      <c r="M10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9" spans="1:13" x14ac:dyDescent="0.25">
      <c r="A1079" t="s">
        <v>111</v>
      </c>
      <c r="B1079" t="s">
        <v>111</v>
      </c>
      <c r="C1079" t="s">
        <v>91</v>
      </c>
      <c r="D1079" s="1" t="s">
        <v>99</v>
      </c>
      <c r="E1079" t="s">
        <v>93</v>
      </c>
      <c r="F1079" t="s">
        <v>29</v>
      </c>
      <c r="G1079">
        <v>18</v>
      </c>
      <c r="H1079">
        <v>278.14</v>
      </c>
      <c r="I1079" s="5">
        <f>VLOOKUP(TrendSheetStgData[Population]&amp;TrendSheetStgData[Cost Basis]&amp;TrendSheetStgData[Period]&amp;TrendSheetStgData[Trend],TrendSheetPrdData[#All],9,FALSE)</f>
        <v>278.14</v>
      </c>
      <c r="J10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9" s="5">
        <f>VLOOKUP(TrendSheetStgData[Population]&amp;TrendSheetStgData[Trend],Threshold[#All],4,FALSE)</f>
        <v>10</v>
      </c>
      <c r="L1079" s="5">
        <f>VLOOKUP(TrendSheetStgData[Population]&amp;TrendSheetStgData[Trend],Threshold[#All],5,FALSE)</f>
        <v>5</v>
      </c>
      <c r="M10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0" spans="1:13" x14ac:dyDescent="0.25">
      <c r="A1080" t="s">
        <v>111</v>
      </c>
      <c r="B1080" t="s">
        <v>111</v>
      </c>
      <c r="C1080" t="s">
        <v>91</v>
      </c>
      <c r="D1080" s="1" t="s">
        <v>100</v>
      </c>
      <c r="E1080" t="s">
        <v>93</v>
      </c>
      <c r="F1080" t="s">
        <v>29</v>
      </c>
      <c r="G1080">
        <v>18</v>
      </c>
      <c r="H1080">
        <v>275.11</v>
      </c>
      <c r="I1080" s="5">
        <f>VLOOKUP(TrendSheetStgData[Population]&amp;TrendSheetStgData[Cost Basis]&amp;TrendSheetStgData[Period]&amp;TrendSheetStgData[Trend],TrendSheetPrdData[#All],9,FALSE)</f>
        <v>275.11</v>
      </c>
      <c r="J10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0" s="5">
        <f>VLOOKUP(TrendSheetStgData[Population]&amp;TrendSheetStgData[Trend],Threshold[#All],4,FALSE)</f>
        <v>10</v>
      </c>
      <c r="L1080" s="5">
        <f>VLOOKUP(TrendSheetStgData[Population]&amp;TrendSheetStgData[Trend],Threshold[#All],5,FALSE)</f>
        <v>5</v>
      </c>
      <c r="M10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1" spans="1:13" x14ac:dyDescent="0.25">
      <c r="A1081" t="s">
        <v>111</v>
      </c>
      <c r="B1081" t="s">
        <v>111</v>
      </c>
      <c r="C1081" t="s">
        <v>91</v>
      </c>
      <c r="D1081" s="1" t="s">
        <v>101</v>
      </c>
      <c r="E1081" t="s">
        <v>93</v>
      </c>
      <c r="F1081" t="s">
        <v>29</v>
      </c>
      <c r="G1081">
        <v>18</v>
      </c>
      <c r="H1081">
        <v>276.25</v>
      </c>
      <c r="I1081" s="5">
        <f>VLOOKUP(TrendSheetStgData[Population]&amp;TrendSheetStgData[Cost Basis]&amp;TrendSheetStgData[Period]&amp;TrendSheetStgData[Trend],TrendSheetPrdData[#All],9,FALSE)</f>
        <v>276.25</v>
      </c>
      <c r="J10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1" s="5">
        <f>VLOOKUP(TrendSheetStgData[Population]&amp;TrendSheetStgData[Trend],Threshold[#All],4,FALSE)</f>
        <v>10</v>
      </c>
      <c r="L1081" s="5">
        <f>VLOOKUP(TrendSheetStgData[Population]&amp;TrendSheetStgData[Trend],Threshold[#All],5,FALSE)</f>
        <v>5</v>
      </c>
      <c r="M10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2" spans="1:13" x14ac:dyDescent="0.25">
      <c r="A1082" t="s">
        <v>111</v>
      </c>
      <c r="B1082" t="s">
        <v>111</v>
      </c>
      <c r="C1082" t="s">
        <v>91</v>
      </c>
      <c r="D1082" s="1" t="s">
        <v>102</v>
      </c>
      <c r="E1082" t="s">
        <v>93</v>
      </c>
      <c r="F1082" t="s">
        <v>29</v>
      </c>
      <c r="G1082">
        <v>18</v>
      </c>
      <c r="H1082">
        <v>274.83999999999997</v>
      </c>
      <c r="I1082" s="5">
        <f>VLOOKUP(TrendSheetStgData[Population]&amp;TrendSheetStgData[Cost Basis]&amp;TrendSheetStgData[Period]&amp;TrendSheetStgData[Trend],TrendSheetPrdData[#All],9,FALSE)</f>
        <v>274.83999999999997</v>
      </c>
      <c r="J10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2" s="5">
        <f>VLOOKUP(TrendSheetStgData[Population]&amp;TrendSheetStgData[Trend],Threshold[#All],4,FALSE)</f>
        <v>10</v>
      </c>
      <c r="L1082" s="5">
        <f>VLOOKUP(TrendSheetStgData[Population]&amp;TrendSheetStgData[Trend],Threshold[#All],5,FALSE)</f>
        <v>5</v>
      </c>
      <c r="M10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3" spans="1:13" x14ac:dyDescent="0.25">
      <c r="A1083" t="s">
        <v>111</v>
      </c>
      <c r="B1083" t="s">
        <v>111</v>
      </c>
      <c r="C1083" t="s">
        <v>91</v>
      </c>
      <c r="D1083" s="1" t="s">
        <v>103</v>
      </c>
      <c r="E1083" t="s">
        <v>93</v>
      </c>
      <c r="F1083" t="s">
        <v>29</v>
      </c>
      <c r="G1083">
        <v>18</v>
      </c>
      <c r="H1083">
        <v>274.92</v>
      </c>
      <c r="I1083" s="5">
        <f>VLOOKUP(TrendSheetStgData[Population]&amp;TrendSheetStgData[Cost Basis]&amp;TrendSheetStgData[Period]&amp;TrendSheetStgData[Trend],TrendSheetPrdData[#All],9,FALSE)</f>
        <v>274.92</v>
      </c>
      <c r="J10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3" s="5">
        <f>VLOOKUP(TrendSheetStgData[Population]&amp;TrendSheetStgData[Trend],Threshold[#All],4,FALSE)</f>
        <v>10</v>
      </c>
      <c r="L1083" s="5">
        <f>VLOOKUP(TrendSheetStgData[Population]&amp;TrendSheetStgData[Trend],Threshold[#All],5,FALSE)</f>
        <v>5</v>
      </c>
      <c r="M10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4" spans="1:13" x14ac:dyDescent="0.25">
      <c r="A1084" t="s">
        <v>111</v>
      </c>
      <c r="B1084" t="s">
        <v>111</v>
      </c>
      <c r="C1084" t="s">
        <v>91</v>
      </c>
      <c r="D1084" s="1" t="s">
        <v>104</v>
      </c>
      <c r="E1084" t="s">
        <v>93</v>
      </c>
      <c r="F1084" t="s">
        <v>29</v>
      </c>
      <c r="G1084">
        <v>18</v>
      </c>
      <c r="H1084">
        <v>276.12</v>
      </c>
      <c r="I1084" s="5">
        <f>VLOOKUP(TrendSheetStgData[Population]&amp;TrendSheetStgData[Cost Basis]&amp;TrendSheetStgData[Period]&amp;TrendSheetStgData[Trend],TrendSheetPrdData[#All],9,FALSE)</f>
        <v>276.12</v>
      </c>
      <c r="J10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4" s="5">
        <f>VLOOKUP(TrendSheetStgData[Population]&amp;TrendSheetStgData[Trend],Threshold[#All],4,FALSE)</f>
        <v>10</v>
      </c>
      <c r="L1084" s="5">
        <f>VLOOKUP(TrendSheetStgData[Population]&amp;TrendSheetStgData[Trend],Threshold[#All],5,FALSE)</f>
        <v>5</v>
      </c>
      <c r="M10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5" spans="1:13" x14ac:dyDescent="0.25">
      <c r="A1085" t="s">
        <v>111</v>
      </c>
      <c r="B1085" t="s">
        <v>111</v>
      </c>
      <c r="C1085" t="s">
        <v>91</v>
      </c>
      <c r="D1085" s="1" t="s">
        <v>105</v>
      </c>
      <c r="E1085" t="s">
        <v>108</v>
      </c>
      <c r="F1085" t="s">
        <v>29</v>
      </c>
      <c r="G1085">
        <v>18</v>
      </c>
      <c r="H1085">
        <v>273.47000000000003</v>
      </c>
      <c r="I1085" s="5">
        <f>VLOOKUP(TrendSheetStgData[Population]&amp;TrendSheetStgData[Cost Basis]&amp;TrendSheetStgData[Period]&amp;TrendSheetStgData[Trend],TrendSheetPrdData[#All],9,FALSE)</f>
        <v>273.47000000000003</v>
      </c>
      <c r="J10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5" s="5">
        <f>VLOOKUP(TrendSheetStgData[Population]&amp;TrendSheetStgData[Trend],Threshold[#All],4,FALSE)</f>
        <v>10</v>
      </c>
      <c r="L1085" s="5">
        <f>VLOOKUP(TrendSheetStgData[Population]&amp;TrendSheetStgData[Trend],Threshold[#All],5,FALSE)</f>
        <v>5</v>
      </c>
      <c r="M10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6" spans="1:13" x14ac:dyDescent="0.25">
      <c r="A1086" t="s">
        <v>111</v>
      </c>
      <c r="B1086" t="s">
        <v>111</v>
      </c>
      <c r="C1086" t="s">
        <v>91</v>
      </c>
      <c r="D1086" s="1" t="s">
        <v>106</v>
      </c>
      <c r="E1086" t="s">
        <v>108</v>
      </c>
      <c r="F1086" t="s">
        <v>29</v>
      </c>
      <c r="G1086">
        <v>18</v>
      </c>
      <c r="H1086">
        <v>273.14999999999998</v>
      </c>
      <c r="I1086" s="5">
        <f>VLOOKUP(TrendSheetStgData[Population]&amp;TrendSheetStgData[Cost Basis]&amp;TrendSheetStgData[Period]&amp;TrendSheetStgData[Trend],TrendSheetPrdData[#All],9,FALSE)</f>
        <v>273.14999999999998</v>
      </c>
      <c r="J10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6" s="5">
        <f>VLOOKUP(TrendSheetStgData[Population]&amp;TrendSheetStgData[Trend],Threshold[#All],4,FALSE)</f>
        <v>10</v>
      </c>
      <c r="L1086" s="5">
        <f>VLOOKUP(TrendSheetStgData[Population]&amp;TrendSheetStgData[Trend],Threshold[#All],5,FALSE)</f>
        <v>5</v>
      </c>
      <c r="M10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7" spans="1:13" x14ac:dyDescent="0.25">
      <c r="A1087" t="s">
        <v>111</v>
      </c>
      <c r="B1087" t="s">
        <v>111</v>
      </c>
      <c r="C1087" t="s">
        <v>91</v>
      </c>
      <c r="D1087" s="1" t="s">
        <v>107</v>
      </c>
      <c r="E1087" t="s">
        <v>108</v>
      </c>
      <c r="F1087" t="s">
        <v>29</v>
      </c>
      <c r="G1087">
        <v>18</v>
      </c>
      <c r="H1087">
        <v>274.5</v>
      </c>
      <c r="I1087" s="5">
        <f>VLOOKUP(TrendSheetStgData[Population]&amp;TrendSheetStgData[Cost Basis]&amp;TrendSheetStgData[Period]&amp;TrendSheetStgData[Trend],TrendSheetPrdData[#All],9,FALSE)</f>
        <v>274.5</v>
      </c>
      <c r="J10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7" s="5">
        <f>VLOOKUP(TrendSheetStgData[Population]&amp;TrendSheetStgData[Trend],Threshold[#All],4,FALSE)</f>
        <v>10</v>
      </c>
      <c r="L1087" s="5">
        <f>VLOOKUP(TrendSheetStgData[Population]&amp;TrendSheetStgData[Trend],Threshold[#All],5,FALSE)</f>
        <v>5</v>
      </c>
      <c r="M10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8" spans="1:13" x14ac:dyDescent="0.25">
      <c r="A1088" t="s">
        <v>111</v>
      </c>
      <c r="B1088" t="s">
        <v>111</v>
      </c>
      <c r="C1088" t="s">
        <v>91</v>
      </c>
      <c r="D1088" s="1" t="s">
        <v>109</v>
      </c>
      <c r="E1088" t="s">
        <v>108</v>
      </c>
      <c r="F1088" t="s">
        <v>29</v>
      </c>
      <c r="G1088">
        <v>18</v>
      </c>
      <c r="H1088">
        <v>271.43</v>
      </c>
      <c r="I1088" s="5">
        <f>VLOOKUP(TrendSheetStgData[Population]&amp;TrendSheetStgData[Cost Basis]&amp;TrendSheetStgData[Period]&amp;TrendSheetStgData[Trend],TrendSheetPrdData[#All],9,FALSE)</f>
        <v>271.43</v>
      </c>
      <c r="J10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8" s="5">
        <f>VLOOKUP(TrendSheetStgData[Population]&amp;TrendSheetStgData[Trend],Threshold[#All],4,FALSE)</f>
        <v>10</v>
      </c>
      <c r="L1088" s="5">
        <f>VLOOKUP(TrendSheetStgData[Population]&amp;TrendSheetStgData[Trend],Threshold[#All],5,FALSE)</f>
        <v>5</v>
      </c>
      <c r="M10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9" spans="1:13" x14ac:dyDescent="0.25">
      <c r="A1089" t="s">
        <v>111</v>
      </c>
      <c r="B1089" t="s">
        <v>111</v>
      </c>
      <c r="C1089" t="s">
        <v>91</v>
      </c>
      <c r="D1089" s="1" t="s">
        <v>110</v>
      </c>
      <c r="E1089" t="s">
        <v>108</v>
      </c>
      <c r="F1089" t="s">
        <v>29</v>
      </c>
      <c r="G1089">
        <v>18</v>
      </c>
      <c r="H1089">
        <v>266.7</v>
      </c>
      <c r="I1089" s="5">
        <f>VLOOKUP(TrendSheetStgData[Population]&amp;TrendSheetStgData[Cost Basis]&amp;TrendSheetStgData[Period]&amp;TrendSheetStgData[Trend],TrendSheetPrdData[#All],9,FALSE)</f>
        <v>266.7</v>
      </c>
      <c r="J10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9" s="5">
        <f>VLOOKUP(TrendSheetStgData[Population]&amp;TrendSheetStgData[Trend],Threshold[#All],4,FALSE)</f>
        <v>10</v>
      </c>
      <c r="L1089" s="5">
        <f>VLOOKUP(TrendSheetStgData[Population]&amp;TrendSheetStgData[Trend],Threshold[#All],5,FALSE)</f>
        <v>5</v>
      </c>
      <c r="M10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0" spans="1:13" x14ac:dyDescent="0.25">
      <c r="A1090" t="s">
        <v>111</v>
      </c>
      <c r="B1090" t="s">
        <v>111</v>
      </c>
      <c r="C1090" t="s">
        <v>91</v>
      </c>
      <c r="D1090" s="1" t="s">
        <v>92</v>
      </c>
      <c r="E1090" t="s">
        <v>93</v>
      </c>
      <c r="F1090" t="s">
        <v>30</v>
      </c>
      <c r="G1090">
        <v>19</v>
      </c>
      <c r="H1090">
        <v>293</v>
      </c>
      <c r="I1090" s="5">
        <f>VLOOKUP(TrendSheetStgData[Population]&amp;TrendSheetStgData[Cost Basis]&amp;TrendSheetStgData[Period]&amp;TrendSheetStgData[Trend],TrendSheetPrdData[#All],9,FALSE)</f>
        <v>293</v>
      </c>
      <c r="J10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0" s="5">
        <f>VLOOKUP(TrendSheetStgData[Population]&amp;TrendSheetStgData[Trend],Threshold[#All],4,FALSE)</f>
        <v>10</v>
      </c>
      <c r="L1090" s="5">
        <f>VLOOKUP(TrendSheetStgData[Population]&amp;TrendSheetStgData[Trend],Threshold[#All],5,FALSE)</f>
        <v>5</v>
      </c>
      <c r="M10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1" spans="1:13" x14ac:dyDescent="0.25">
      <c r="A1091" t="s">
        <v>111</v>
      </c>
      <c r="B1091" t="s">
        <v>111</v>
      </c>
      <c r="C1091" t="s">
        <v>91</v>
      </c>
      <c r="D1091" s="1" t="s">
        <v>94</v>
      </c>
      <c r="E1091" t="s">
        <v>93</v>
      </c>
      <c r="F1091" t="s">
        <v>30</v>
      </c>
      <c r="G1091">
        <v>19</v>
      </c>
      <c r="H1091">
        <v>258</v>
      </c>
      <c r="I1091" s="5">
        <f>VLOOKUP(TrendSheetStgData[Population]&amp;TrendSheetStgData[Cost Basis]&amp;TrendSheetStgData[Period]&amp;TrendSheetStgData[Trend],TrendSheetPrdData[#All],9,FALSE)</f>
        <v>258</v>
      </c>
      <c r="J10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1" s="5">
        <f>VLOOKUP(TrendSheetStgData[Population]&amp;TrendSheetStgData[Trend],Threshold[#All],4,FALSE)</f>
        <v>10</v>
      </c>
      <c r="L1091" s="5">
        <f>VLOOKUP(TrendSheetStgData[Population]&amp;TrendSheetStgData[Trend],Threshold[#All],5,FALSE)</f>
        <v>5</v>
      </c>
      <c r="M10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2" spans="1:13" x14ac:dyDescent="0.25">
      <c r="A1092" t="s">
        <v>111</v>
      </c>
      <c r="B1092" t="s">
        <v>111</v>
      </c>
      <c r="C1092" t="s">
        <v>91</v>
      </c>
      <c r="D1092" s="1" t="s">
        <v>95</v>
      </c>
      <c r="E1092" t="s">
        <v>93</v>
      </c>
      <c r="F1092" t="s">
        <v>30</v>
      </c>
      <c r="G1092">
        <v>19</v>
      </c>
      <c r="H1092">
        <v>348</v>
      </c>
      <c r="I1092" s="5">
        <f>VLOOKUP(TrendSheetStgData[Population]&amp;TrendSheetStgData[Cost Basis]&amp;TrendSheetStgData[Period]&amp;TrendSheetStgData[Trend],TrendSheetPrdData[#All],9,FALSE)</f>
        <v>348</v>
      </c>
      <c r="J10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2" s="5">
        <f>VLOOKUP(TrendSheetStgData[Population]&amp;TrendSheetStgData[Trend],Threshold[#All],4,FALSE)</f>
        <v>10</v>
      </c>
      <c r="L1092" s="5">
        <f>VLOOKUP(TrendSheetStgData[Population]&amp;TrendSheetStgData[Trend],Threshold[#All],5,FALSE)</f>
        <v>5</v>
      </c>
      <c r="M10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3" spans="1:13" x14ac:dyDescent="0.25">
      <c r="A1093" t="s">
        <v>111</v>
      </c>
      <c r="B1093" t="s">
        <v>111</v>
      </c>
      <c r="C1093" t="s">
        <v>91</v>
      </c>
      <c r="D1093" s="1" t="s">
        <v>96</v>
      </c>
      <c r="E1093" t="s">
        <v>93</v>
      </c>
      <c r="F1093" t="s">
        <v>30</v>
      </c>
      <c r="G1093">
        <v>19</v>
      </c>
      <c r="H1093">
        <v>317</v>
      </c>
      <c r="I1093" s="5">
        <f>VLOOKUP(TrendSheetStgData[Population]&amp;TrendSheetStgData[Cost Basis]&amp;TrendSheetStgData[Period]&amp;TrendSheetStgData[Trend],TrendSheetPrdData[#All],9,FALSE)</f>
        <v>317</v>
      </c>
      <c r="J10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3" s="5">
        <f>VLOOKUP(TrendSheetStgData[Population]&amp;TrendSheetStgData[Trend],Threshold[#All],4,FALSE)</f>
        <v>10</v>
      </c>
      <c r="L1093" s="5">
        <f>VLOOKUP(TrendSheetStgData[Population]&amp;TrendSheetStgData[Trend],Threshold[#All],5,FALSE)</f>
        <v>5</v>
      </c>
      <c r="M10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4" spans="1:13" x14ac:dyDescent="0.25">
      <c r="A1094" t="s">
        <v>111</v>
      </c>
      <c r="B1094" t="s">
        <v>111</v>
      </c>
      <c r="C1094" t="s">
        <v>91</v>
      </c>
      <c r="D1094" s="1" t="s">
        <v>97</v>
      </c>
      <c r="E1094" t="s">
        <v>93</v>
      </c>
      <c r="F1094" t="s">
        <v>30</v>
      </c>
      <c r="G1094">
        <v>19</v>
      </c>
      <c r="H1094">
        <v>301</v>
      </c>
      <c r="I1094" s="5">
        <f>VLOOKUP(TrendSheetStgData[Population]&amp;TrendSheetStgData[Cost Basis]&amp;TrendSheetStgData[Period]&amp;TrendSheetStgData[Trend],TrendSheetPrdData[#All],9,FALSE)</f>
        <v>301</v>
      </c>
      <c r="J10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4" s="5">
        <f>VLOOKUP(TrendSheetStgData[Population]&amp;TrendSheetStgData[Trend],Threshold[#All],4,FALSE)</f>
        <v>10</v>
      </c>
      <c r="L1094" s="5">
        <f>VLOOKUP(TrendSheetStgData[Population]&amp;TrendSheetStgData[Trend],Threshold[#All],5,FALSE)</f>
        <v>5</v>
      </c>
      <c r="M10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5" spans="1:13" x14ac:dyDescent="0.25">
      <c r="A1095" t="s">
        <v>111</v>
      </c>
      <c r="B1095" t="s">
        <v>111</v>
      </c>
      <c r="C1095" t="s">
        <v>91</v>
      </c>
      <c r="D1095" s="1" t="s">
        <v>98</v>
      </c>
      <c r="E1095" t="s">
        <v>93</v>
      </c>
      <c r="F1095" t="s">
        <v>30</v>
      </c>
      <c r="G1095">
        <v>19</v>
      </c>
      <c r="H1095">
        <v>109</v>
      </c>
      <c r="I1095" s="5">
        <f>VLOOKUP(TrendSheetStgData[Population]&amp;TrendSheetStgData[Cost Basis]&amp;TrendSheetStgData[Period]&amp;TrendSheetStgData[Trend],TrendSheetPrdData[#All],9,FALSE)</f>
        <v>109</v>
      </c>
      <c r="J10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5" s="5">
        <f>VLOOKUP(TrendSheetStgData[Population]&amp;TrendSheetStgData[Trend],Threshold[#All],4,FALSE)</f>
        <v>10</v>
      </c>
      <c r="L1095" s="5">
        <f>VLOOKUP(TrendSheetStgData[Population]&amp;TrendSheetStgData[Trend],Threshold[#All],5,FALSE)</f>
        <v>5</v>
      </c>
      <c r="M10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6" spans="1:13" x14ac:dyDescent="0.25">
      <c r="A1096" t="s">
        <v>111</v>
      </c>
      <c r="B1096" t="s">
        <v>111</v>
      </c>
      <c r="C1096" t="s">
        <v>91</v>
      </c>
      <c r="D1096" s="1" t="s">
        <v>99</v>
      </c>
      <c r="E1096" t="s">
        <v>93</v>
      </c>
      <c r="F1096" t="s">
        <v>30</v>
      </c>
      <c r="G1096">
        <v>19</v>
      </c>
      <c r="H1096">
        <v>214</v>
      </c>
      <c r="I1096" s="5">
        <f>VLOOKUP(TrendSheetStgData[Population]&amp;TrendSheetStgData[Cost Basis]&amp;TrendSheetStgData[Period]&amp;TrendSheetStgData[Trend],TrendSheetPrdData[#All],9,FALSE)</f>
        <v>214</v>
      </c>
      <c r="J10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6" s="5">
        <f>VLOOKUP(TrendSheetStgData[Population]&amp;TrendSheetStgData[Trend],Threshold[#All],4,FALSE)</f>
        <v>10</v>
      </c>
      <c r="L1096" s="5">
        <f>VLOOKUP(TrendSheetStgData[Population]&amp;TrendSheetStgData[Trend],Threshold[#All],5,FALSE)</f>
        <v>5</v>
      </c>
      <c r="M10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7" spans="1:13" x14ac:dyDescent="0.25">
      <c r="A1097" t="s">
        <v>111</v>
      </c>
      <c r="B1097" t="s">
        <v>111</v>
      </c>
      <c r="C1097" t="s">
        <v>91</v>
      </c>
      <c r="D1097" s="1" t="s">
        <v>100</v>
      </c>
      <c r="E1097" t="s">
        <v>93</v>
      </c>
      <c r="F1097" t="s">
        <v>30</v>
      </c>
      <c r="G1097">
        <v>19</v>
      </c>
      <c r="H1097">
        <v>160</v>
      </c>
      <c r="I1097" s="5">
        <f>VLOOKUP(TrendSheetStgData[Population]&amp;TrendSheetStgData[Cost Basis]&amp;TrendSheetStgData[Period]&amp;TrendSheetStgData[Trend],TrendSheetPrdData[#All],9,FALSE)</f>
        <v>160</v>
      </c>
      <c r="J10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7" s="5">
        <f>VLOOKUP(TrendSheetStgData[Population]&amp;TrendSheetStgData[Trend],Threshold[#All],4,FALSE)</f>
        <v>10</v>
      </c>
      <c r="L1097" s="5">
        <f>VLOOKUP(TrendSheetStgData[Population]&amp;TrendSheetStgData[Trend],Threshold[#All],5,FALSE)</f>
        <v>5</v>
      </c>
      <c r="M10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8" spans="1:13" x14ac:dyDescent="0.25">
      <c r="A1098" t="s">
        <v>111</v>
      </c>
      <c r="B1098" t="s">
        <v>111</v>
      </c>
      <c r="C1098" t="s">
        <v>91</v>
      </c>
      <c r="D1098" s="1" t="s">
        <v>101</v>
      </c>
      <c r="E1098" t="s">
        <v>93</v>
      </c>
      <c r="F1098" t="s">
        <v>30</v>
      </c>
      <c r="G1098">
        <v>19</v>
      </c>
      <c r="H1098">
        <v>253</v>
      </c>
      <c r="I1098" s="5">
        <f>VLOOKUP(TrendSheetStgData[Population]&amp;TrendSheetStgData[Cost Basis]&amp;TrendSheetStgData[Period]&amp;TrendSheetStgData[Trend],TrendSheetPrdData[#All],9,FALSE)</f>
        <v>253</v>
      </c>
      <c r="J10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8" s="5">
        <f>VLOOKUP(TrendSheetStgData[Population]&amp;TrendSheetStgData[Trend],Threshold[#All],4,FALSE)</f>
        <v>10</v>
      </c>
      <c r="L1098" s="5">
        <f>VLOOKUP(TrendSheetStgData[Population]&amp;TrendSheetStgData[Trend],Threshold[#All],5,FALSE)</f>
        <v>5</v>
      </c>
      <c r="M10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9" spans="1:13" x14ac:dyDescent="0.25">
      <c r="A1099" t="s">
        <v>111</v>
      </c>
      <c r="B1099" t="s">
        <v>111</v>
      </c>
      <c r="C1099" t="s">
        <v>91</v>
      </c>
      <c r="D1099" s="1" t="s">
        <v>102</v>
      </c>
      <c r="E1099" t="s">
        <v>93</v>
      </c>
      <c r="F1099" t="s">
        <v>30</v>
      </c>
      <c r="G1099">
        <v>19</v>
      </c>
      <c r="H1099">
        <v>237</v>
      </c>
      <c r="I1099" s="5">
        <f>VLOOKUP(TrendSheetStgData[Population]&amp;TrendSheetStgData[Cost Basis]&amp;TrendSheetStgData[Period]&amp;TrendSheetStgData[Trend],TrendSheetPrdData[#All],9,FALSE)</f>
        <v>237</v>
      </c>
      <c r="J10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9" s="5">
        <f>VLOOKUP(TrendSheetStgData[Population]&amp;TrendSheetStgData[Trend],Threshold[#All],4,FALSE)</f>
        <v>10</v>
      </c>
      <c r="L1099" s="5">
        <f>VLOOKUP(TrendSheetStgData[Population]&amp;TrendSheetStgData[Trend],Threshold[#All],5,FALSE)</f>
        <v>5</v>
      </c>
      <c r="M10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0" spans="1:13" x14ac:dyDescent="0.25">
      <c r="A1100" t="s">
        <v>111</v>
      </c>
      <c r="B1100" t="s">
        <v>111</v>
      </c>
      <c r="C1100" t="s">
        <v>91</v>
      </c>
      <c r="D1100" s="1" t="s">
        <v>103</v>
      </c>
      <c r="E1100" t="s">
        <v>93</v>
      </c>
      <c r="F1100" t="s">
        <v>30</v>
      </c>
      <c r="G1100">
        <v>19</v>
      </c>
      <c r="H1100">
        <v>299</v>
      </c>
      <c r="I1100" s="5">
        <f>VLOOKUP(TrendSheetStgData[Population]&amp;TrendSheetStgData[Cost Basis]&amp;TrendSheetStgData[Period]&amp;TrendSheetStgData[Trend],TrendSheetPrdData[#All],9,FALSE)</f>
        <v>299</v>
      </c>
      <c r="J1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0" s="5">
        <f>VLOOKUP(TrendSheetStgData[Population]&amp;TrendSheetStgData[Trend],Threshold[#All],4,FALSE)</f>
        <v>10</v>
      </c>
      <c r="L1100" s="5">
        <f>VLOOKUP(TrendSheetStgData[Population]&amp;TrendSheetStgData[Trend],Threshold[#All],5,FALSE)</f>
        <v>5</v>
      </c>
      <c r="M1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1" spans="1:13" x14ac:dyDescent="0.25">
      <c r="A1101" t="s">
        <v>111</v>
      </c>
      <c r="B1101" t="s">
        <v>111</v>
      </c>
      <c r="C1101" t="s">
        <v>91</v>
      </c>
      <c r="D1101" s="1" t="s">
        <v>104</v>
      </c>
      <c r="E1101" t="s">
        <v>93</v>
      </c>
      <c r="F1101" t="s">
        <v>30</v>
      </c>
      <c r="G1101">
        <v>19</v>
      </c>
      <c r="H1101">
        <v>149</v>
      </c>
      <c r="I1101" s="5">
        <f>VLOOKUP(TrendSheetStgData[Population]&amp;TrendSheetStgData[Cost Basis]&amp;TrendSheetStgData[Period]&amp;TrendSheetStgData[Trend],TrendSheetPrdData[#All],9,FALSE)</f>
        <v>149</v>
      </c>
      <c r="J1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1" s="5">
        <f>VLOOKUP(TrendSheetStgData[Population]&amp;TrendSheetStgData[Trend],Threshold[#All],4,FALSE)</f>
        <v>10</v>
      </c>
      <c r="L1101" s="5">
        <f>VLOOKUP(TrendSheetStgData[Population]&amp;TrendSheetStgData[Trend],Threshold[#All],5,FALSE)</f>
        <v>5</v>
      </c>
      <c r="M1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2" spans="1:13" x14ac:dyDescent="0.25">
      <c r="A1102" t="s">
        <v>111</v>
      </c>
      <c r="B1102" t="s">
        <v>111</v>
      </c>
      <c r="C1102" t="s">
        <v>91</v>
      </c>
      <c r="D1102" s="1" t="s">
        <v>105</v>
      </c>
      <c r="E1102" t="s">
        <v>108</v>
      </c>
      <c r="F1102" t="s">
        <v>30</v>
      </c>
      <c r="G1102">
        <v>19</v>
      </c>
      <c r="H1102">
        <v>202</v>
      </c>
      <c r="I1102" s="5">
        <f>VLOOKUP(TrendSheetStgData[Population]&amp;TrendSheetStgData[Cost Basis]&amp;TrendSheetStgData[Period]&amp;TrendSheetStgData[Trend],TrendSheetPrdData[#All],9,FALSE)</f>
        <v>202</v>
      </c>
      <c r="J1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2" s="5">
        <f>VLOOKUP(TrendSheetStgData[Population]&amp;TrendSheetStgData[Trend],Threshold[#All],4,FALSE)</f>
        <v>10</v>
      </c>
      <c r="L1102" s="5">
        <f>VLOOKUP(TrendSheetStgData[Population]&amp;TrendSheetStgData[Trend],Threshold[#All],5,FALSE)</f>
        <v>5</v>
      </c>
      <c r="M1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3" spans="1:13" x14ac:dyDescent="0.25">
      <c r="A1103" t="s">
        <v>111</v>
      </c>
      <c r="B1103" t="s">
        <v>111</v>
      </c>
      <c r="C1103" t="s">
        <v>91</v>
      </c>
      <c r="D1103" s="1" t="s">
        <v>106</v>
      </c>
      <c r="E1103" t="s">
        <v>108</v>
      </c>
      <c r="F1103" t="s">
        <v>30</v>
      </c>
      <c r="G1103">
        <v>19</v>
      </c>
      <c r="H1103">
        <v>126</v>
      </c>
      <c r="I1103" s="5">
        <f>VLOOKUP(TrendSheetStgData[Population]&amp;TrendSheetStgData[Cost Basis]&amp;TrendSheetStgData[Period]&amp;TrendSheetStgData[Trend],TrendSheetPrdData[#All],9,FALSE)</f>
        <v>126</v>
      </c>
      <c r="J1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3" s="5">
        <f>VLOOKUP(TrendSheetStgData[Population]&amp;TrendSheetStgData[Trend],Threshold[#All],4,FALSE)</f>
        <v>10</v>
      </c>
      <c r="L1103" s="5">
        <f>VLOOKUP(TrendSheetStgData[Population]&amp;TrendSheetStgData[Trend],Threshold[#All],5,FALSE)</f>
        <v>5</v>
      </c>
      <c r="M1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4" spans="1:13" x14ac:dyDescent="0.25">
      <c r="A1104" t="s">
        <v>111</v>
      </c>
      <c r="B1104" t="s">
        <v>111</v>
      </c>
      <c r="C1104" t="s">
        <v>91</v>
      </c>
      <c r="D1104" s="1" t="s">
        <v>107</v>
      </c>
      <c r="E1104" t="s">
        <v>108</v>
      </c>
      <c r="F1104" t="s">
        <v>30</v>
      </c>
      <c r="G1104">
        <v>19</v>
      </c>
      <c r="H1104">
        <v>161</v>
      </c>
      <c r="I1104" s="5">
        <f>VLOOKUP(TrendSheetStgData[Population]&amp;TrendSheetStgData[Cost Basis]&amp;TrendSheetStgData[Period]&amp;TrendSheetStgData[Trend],TrendSheetPrdData[#All],9,FALSE)</f>
        <v>161</v>
      </c>
      <c r="J1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4" s="5">
        <f>VLOOKUP(TrendSheetStgData[Population]&amp;TrendSheetStgData[Trend],Threshold[#All],4,FALSE)</f>
        <v>10</v>
      </c>
      <c r="L1104" s="5">
        <f>VLOOKUP(TrendSheetStgData[Population]&amp;TrendSheetStgData[Trend],Threshold[#All],5,FALSE)</f>
        <v>5</v>
      </c>
      <c r="M1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5" spans="1:13" x14ac:dyDescent="0.25">
      <c r="A1105" t="s">
        <v>111</v>
      </c>
      <c r="B1105" t="s">
        <v>111</v>
      </c>
      <c r="C1105" t="s">
        <v>91</v>
      </c>
      <c r="D1105" s="1" t="s">
        <v>109</v>
      </c>
      <c r="E1105" t="s">
        <v>108</v>
      </c>
      <c r="F1105" t="s">
        <v>30</v>
      </c>
      <c r="G1105">
        <v>19</v>
      </c>
      <c r="H1105">
        <v>118</v>
      </c>
      <c r="I1105" s="5">
        <f>VLOOKUP(TrendSheetStgData[Population]&amp;TrendSheetStgData[Cost Basis]&amp;TrendSheetStgData[Period]&amp;TrendSheetStgData[Trend],TrendSheetPrdData[#All],9,FALSE)</f>
        <v>118</v>
      </c>
      <c r="J1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5" s="5">
        <f>VLOOKUP(TrendSheetStgData[Population]&amp;TrendSheetStgData[Trend],Threshold[#All],4,FALSE)</f>
        <v>10</v>
      </c>
      <c r="L1105" s="5">
        <f>VLOOKUP(TrendSheetStgData[Population]&amp;TrendSheetStgData[Trend],Threshold[#All],5,FALSE)</f>
        <v>5</v>
      </c>
      <c r="M1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6" spans="1:13" x14ac:dyDescent="0.25">
      <c r="A1106" t="s">
        <v>111</v>
      </c>
      <c r="B1106" t="s">
        <v>111</v>
      </c>
      <c r="C1106" t="s">
        <v>91</v>
      </c>
      <c r="D1106" s="1" t="s">
        <v>110</v>
      </c>
      <c r="E1106" t="s">
        <v>108</v>
      </c>
      <c r="F1106" t="s">
        <v>30</v>
      </c>
      <c r="G1106">
        <v>19</v>
      </c>
      <c r="H1106">
        <v>50</v>
      </c>
      <c r="I1106" s="5">
        <f>VLOOKUP(TrendSheetStgData[Population]&amp;TrendSheetStgData[Cost Basis]&amp;TrendSheetStgData[Period]&amp;TrendSheetStgData[Trend],TrendSheetPrdData[#All],9,FALSE)</f>
        <v>50</v>
      </c>
      <c r="J1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6" s="5">
        <f>VLOOKUP(TrendSheetStgData[Population]&amp;TrendSheetStgData[Trend],Threshold[#All],4,FALSE)</f>
        <v>10</v>
      </c>
      <c r="L1106" s="5">
        <f>VLOOKUP(TrendSheetStgData[Population]&amp;TrendSheetStgData[Trend],Threshold[#All],5,FALSE)</f>
        <v>5</v>
      </c>
      <c r="M1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7" spans="1:13" x14ac:dyDescent="0.25">
      <c r="A1107" t="s">
        <v>111</v>
      </c>
      <c r="B1107" t="s">
        <v>111</v>
      </c>
      <c r="C1107" t="s">
        <v>91</v>
      </c>
      <c r="D1107" s="1" t="s">
        <v>92</v>
      </c>
      <c r="E1107" t="s">
        <v>93</v>
      </c>
      <c r="F1107" t="s">
        <v>31</v>
      </c>
      <c r="G1107">
        <v>20</v>
      </c>
      <c r="H1107">
        <v>2961</v>
      </c>
      <c r="I1107" s="5">
        <f>VLOOKUP(TrendSheetStgData[Population]&amp;TrendSheetStgData[Cost Basis]&amp;TrendSheetStgData[Period]&amp;TrendSheetStgData[Trend],TrendSheetPrdData[#All],9,FALSE)</f>
        <v>2961</v>
      </c>
      <c r="J1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7" s="5">
        <f>VLOOKUP(TrendSheetStgData[Population]&amp;TrendSheetStgData[Trend],Threshold[#All],4,FALSE)</f>
        <v>10</v>
      </c>
      <c r="L1107" s="5">
        <f>VLOOKUP(TrendSheetStgData[Population]&amp;TrendSheetStgData[Trend],Threshold[#All],5,FALSE)</f>
        <v>5</v>
      </c>
      <c r="M1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8" spans="1:13" x14ac:dyDescent="0.25">
      <c r="A1108" t="s">
        <v>111</v>
      </c>
      <c r="B1108" t="s">
        <v>111</v>
      </c>
      <c r="C1108" t="s">
        <v>91</v>
      </c>
      <c r="D1108" s="1" t="s">
        <v>94</v>
      </c>
      <c r="E1108" t="s">
        <v>93</v>
      </c>
      <c r="F1108" t="s">
        <v>31</v>
      </c>
      <c r="G1108">
        <v>20</v>
      </c>
      <c r="H1108">
        <v>2645</v>
      </c>
      <c r="I1108" s="5">
        <f>VLOOKUP(TrendSheetStgData[Population]&amp;TrendSheetStgData[Cost Basis]&amp;TrendSheetStgData[Period]&amp;TrendSheetStgData[Trend],TrendSheetPrdData[#All],9,FALSE)</f>
        <v>2645</v>
      </c>
      <c r="J1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8" s="5">
        <f>VLOOKUP(TrendSheetStgData[Population]&amp;TrendSheetStgData[Trend],Threshold[#All],4,FALSE)</f>
        <v>10</v>
      </c>
      <c r="L1108" s="5">
        <f>VLOOKUP(TrendSheetStgData[Population]&amp;TrendSheetStgData[Trend],Threshold[#All],5,FALSE)</f>
        <v>5</v>
      </c>
      <c r="M1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9" spans="1:13" x14ac:dyDescent="0.25">
      <c r="A1109" t="s">
        <v>111</v>
      </c>
      <c r="B1109" t="s">
        <v>111</v>
      </c>
      <c r="C1109" t="s">
        <v>91</v>
      </c>
      <c r="D1109" s="1" t="s">
        <v>95</v>
      </c>
      <c r="E1109" t="s">
        <v>93</v>
      </c>
      <c r="F1109" t="s">
        <v>31</v>
      </c>
      <c r="G1109">
        <v>20</v>
      </c>
      <c r="H1109">
        <v>2612</v>
      </c>
      <c r="I1109" s="5">
        <f>VLOOKUP(TrendSheetStgData[Population]&amp;TrendSheetStgData[Cost Basis]&amp;TrendSheetStgData[Period]&amp;TrendSheetStgData[Trend],TrendSheetPrdData[#All],9,FALSE)</f>
        <v>2612</v>
      </c>
      <c r="J1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9" s="5">
        <f>VLOOKUP(TrendSheetStgData[Population]&amp;TrendSheetStgData[Trend],Threshold[#All],4,FALSE)</f>
        <v>10</v>
      </c>
      <c r="L1109" s="5">
        <f>VLOOKUP(TrendSheetStgData[Population]&amp;TrendSheetStgData[Trend],Threshold[#All],5,FALSE)</f>
        <v>5</v>
      </c>
      <c r="M1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0" spans="1:13" x14ac:dyDescent="0.25">
      <c r="A1110" t="s">
        <v>111</v>
      </c>
      <c r="B1110" t="s">
        <v>111</v>
      </c>
      <c r="C1110" t="s">
        <v>91</v>
      </c>
      <c r="D1110" s="1" t="s">
        <v>96</v>
      </c>
      <c r="E1110" t="s">
        <v>93</v>
      </c>
      <c r="F1110" t="s">
        <v>31</v>
      </c>
      <c r="G1110">
        <v>20</v>
      </c>
      <c r="H1110">
        <v>2559</v>
      </c>
      <c r="I1110" s="5">
        <f>VLOOKUP(TrendSheetStgData[Population]&amp;TrendSheetStgData[Cost Basis]&amp;TrendSheetStgData[Period]&amp;TrendSheetStgData[Trend],TrendSheetPrdData[#All],9,FALSE)</f>
        <v>2559</v>
      </c>
      <c r="J1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0" s="5">
        <f>VLOOKUP(TrendSheetStgData[Population]&amp;TrendSheetStgData[Trend],Threshold[#All],4,FALSE)</f>
        <v>10</v>
      </c>
      <c r="L1110" s="5">
        <f>VLOOKUP(TrendSheetStgData[Population]&amp;TrendSheetStgData[Trend],Threshold[#All],5,FALSE)</f>
        <v>5</v>
      </c>
      <c r="M1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1" spans="1:13" x14ac:dyDescent="0.25">
      <c r="A1111" t="s">
        <v>111</v>
      </c>
      <c r="B1111" t="s">
        <v>111</v>
      </c>
      <c r="C1111" t="s">
        <v>91</v>
      </c>
      <c r="D1111" s="1" t="s">
        <v>97</v>
      </c>
      <c r="E1111" t="s">
        <v>93</v>
      </c>
      <c r="F1111" t="s">
        <v>31</v>
      </c>
      <c r="G1111">
        <v>20</v>
      </c>
      <c r="H1111">
        <v>2215</v>
      </c>
      <c r="I1111" s="5">
        <f>VLOOKUP(TrendSheetStgData[Population]&amp;TrendSheetStgData[Cost Basis]&amp;TrendSheetStgData[Period]&amp;TrendSheetStgData[Trend],TrendSheetPrdData[#All],9,FALSE)</f>
        <v>2215</v>
      </c>
      <c r="J1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1" s="5">
        <f>VLOOKUP(TrendSheetStgData[Population]&amp;TrendSheetStgData[Trend],Threshold[#All],4,FALSE)</f>
        <v>10</v>
      </c>
      <c r="L1111" s="5">
        <f>VLOOKUP(TrendSheetStgData[Population]&amp;TrendSheetStgData[Trend],Threshold[#All],5,FALSE)</f>
        <v>5</v>
      </c>
      <c r="M1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2" spans="1:13" x14ac:dyDescent="0.25">
      <c r="A1112" t="s">
        <v>111</v>
      </c>
      <c r="B1112" t="s">
        <v>111</v>
      </c>
      <c r="C1112" t="s">
        <v>91</v>
      </c>
      <c r="D1112" s="1" t="s">
        <v>98</v>
      </c>
      <c r="E1112" t="s">
        <v>93</v>
      </c>
      <c r="F1112" t="s">
        <v>31</v>
      </c>
      <c r="G1112">
        <v>20</v>
      </c>
      <c r="H1112">
        <v>2573</v>
      </c>
      <c r="I1112" s="5">
        <f>VLOOKUP(TrendSheetStgData[Population]&amp;TrendSheetStgData[Cost Basis]&amp;TrendSheetStgData[Period]&amp;TrendSheetStgData[Trend],TrendSheetPrdData[#All],9,FALSE)</f>
        <v>2573</v>
      </c>
      <c r="J1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2" s="5">
        <f>VLOOKUP(TrendSheetStgData[Population]&amp;TrendSheetStgData[Trend],Threshold[#All],4,FALSE)</f>
        <v>10</v>
      </c>
      <c r="L1112" s="5">
        <f>VLOOKUP(TrendSheetStgData[Population]&amp;TrendSheetStgData[Trend],Threshold[#All],5,FALSE)</f>
        <v>5</v>
      </c>
      <c r="M1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3" spans="1:13" x14ac:dyDescent="0.25">
      <c r="A1113" t="s">
        <v>111</v>
      </c>
      <c r="B1113" t="s">
        <v>111</v>
      </c>
      <c r="C1113" t="s">
        <v>91</v>
      </c>
      <c r="D1113" s="1" t="s">
        <v>99</v>
      </c>
      <c r="E1113" t="s">
        <v>93</v>
      </c>
      <c r="F1113" t="s">
        <v>31</v>
      </c>
      <c r="G1113">
        <v>20</v>
      </c>
      <c r="H1113">
        <v>2520</v>
      </c>
      <c r="I1113" s="5">
        <f>VLOOKUP(TrendSheetStgData[Population]&amp;TrendSheetStgData[Cost Basis]&amp;TrendSheetStgData[Period]&amp;TrendSheetStgData[Trend],TrendSheetPrdData[#All],9,FALSE)</f>
        <v>2520</v>
      </c>
      <c r="J1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3" s="5">
        <f>VLOOKUP(TrendSheetStgData[Population]&amp;TrendSheetStgData[Trend],Threshold[#All],4,FALSE)</f>
        <v>10</v>
      </c>
      <c r="L1113" s="5">
        <f>VLOOKUP(TrendSheetStgData[Population]&amp;TrendSheetStgData[Trend],Threshold[#All],5,FALSE)</f>
        <v>5</v>
      </c>
      <c r="M1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4" spans="1:13" x14ac:dyDescent="0.25">
      <c r="A1114" t="s">
        <v>111</v>
      </c>
      <c r="B1114" t="s">
        <v>111</v>
      </c>
      <c r="C1114" t="s">
        <v>91</v>
      </c>
      <c r="D1114" s="1" t="s">
        <v>100</v>
      </c>
      <c r="E1114" t="s">
        <v>93</v>
      </c>
      <c r="F1114" t="s">
        <v>31</v>
      </c>
      <c r="G1114">
        <v>20</v>
      </c>
      <c r="H1114">
        <v>2552</v>
      </c>
      <c r="I1114" s="5">
        <f>VLOOKUP(TrendSheetStgData[Population]&amp;TrendSheetStgData[Cost Basis]&amp;TrendSheetStgData[Period]&amp;TrendSheetStgData[Trend],TrendSheetPrdData[#All],9,FALSE)</f>
        <v>2552</v>
      </c>
      <c r="J1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4" s="5">
        <f>VLOOKUP(TrendSheetStgData[Population]&amp;TrendSheetStgData[Trend],Threshold[#All],4,FALSE)</f>
        <v>10</v>
      </c>
      <c r="L1114" s="5">
        <f>VLOOKUP(TrendSheetStgData[Population]&amp;TrendSheetStgData[Trend],Threshold[#All],5,FALSE)</f>
        <v>5</v>
      </c>
      <c r="M1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5" spans="1:13" x14ac:dyDescent="0.25">
      <c r="A1115" t="s">
        <v>111</v>
      </c>
      <c r="B1115" t="s">
        <v>111</v>
      </c>
      <c r="C1115" t="s">
        <v>91</v>
      </c>
      <c r="D1115" s="1" t="s">
        <v>101</v>
      </c>
      <c r="E1115" t="s">
        <v>93</v>
      </c>
      <c r="F1115" t="s">
        <v>31</v>
      </c>
      <c r="G1115">
        <v>20</v>
      </c>
      <c r="H1115">
        <v>2625</v>
      </c>
      <c r="I1115" s="5">
        <f>VLOOKUP(TrendSheetStgData[Population]&amp;TrendSheetStgData[Cost Basis]&amp;TrendSheetStgData[Period]&amp;TrendSheetStgData[Trend],TrendSheetPrdData[#All],9,FALSE)</f>
        <v>2625</v>
      </c>
      <c r="J1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5" s="5">
        <f>VLOOKUP(TrendSheetStgData[Population]&amp;TrendSheetStgData[Trend],Threshold[#All],4,FALSE)</f>
        <v>10</v>
      </c>
      <c r="L1115" s="5">
        <f>VLOOKUP(TrendSheetStgData[Population]&amp;TrendSheetStgData[Trend],Threshold[#All],5,FALSE)</f>
        <v>5</v>
      </c>
      <c r="M1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6" spans="1:13" x14ac:dyDescent="0.25">
      <c r="A1116" t="s">
        <v>111</v>
      </c>
      <c r="B1116" t="s">
        <v>111</v>
      </c>
      <c r="C1116" t="s">
        <v>91</v>
      </c>
      <c r="D1116" s="1" t="s">
        <v>102</v>
      </c>
      <c r="E1116" t="s">
        <v>93</v>
      </c>
      <c r="F1116" t="s">
        <v>31</v>
      </c>
      <c r="G1116">
        <v>20</v>
      </c>
      <c r="H1116">
        <v>2445</v>
      </c>
      <c r="I1116" s="5">
        <f>VLOOKUP(TrendSheetStgData[Population]&amp;TrendSheetStgData[Cost Basis]&amp;TrendSheetStgData[Period]&amp;TrendSheetStgData[Trend],TrendSheetPrdData[#All],9,FALSE)</f>
        <v>2445</v>
      </c>
      <c r="J1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6" s="5">
        <f>VLOOKUP(TrendSheetStgData[Population]&amp;TrendSheetStgData[Trend],Threshold[#All],4,FALSE)</f>
        <v>10</v>
      </c>
      <c r="L1116" s="5">
        <f>VLOOKUP(TrendSheetStgData[Population]&amp;TrendSheetStgData[Trend],Threshold[#All],5,FALSE)</f>
        <v>5</v>
      </c>
      <c r="M1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7" spans="1:13" x14ac:dyDescent="0.25">
      <c r="A1117" t="s">
        <v>111</v>
      </c>
      <c r="B1117" t="s">
        <v>111</v>
      </c>
      <c r="C1117" t="s">
        <v>91</v>
      </c>
      <c r="D1117" s="1" t="s">
        <v>103</v>
      </c>
      <c r="E1117" t="s">
        <v>93</v>
      </c>
      <c r="F1117" t="s">
        <v>31</v>
      </c>
      <c r="G1117">
        <v>20</v>
      </c>
      <c r="H1117">
        <v>2514</v>
      </c>
      <c r="I1117" s="5">
        <f>VLOOKUP(TrendSheetStgData[Population]&amp;TrendSheetStgData[Cost Basis]&amp;TrendSheetStgData[Period]&amp;TrendSheetStgData[Trend],TrendSheetPrdData[#All],9,FALSE)</f>
        <v>2514</v>
      </c>
      <c r="J1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7" s="5">
        <f>VLOOKUP(TrendSheetStgData[Population]&amp;TrendSheetStgData[Trend],Threshold[#All],4,FALSE)</f>
        <v>10</v>
      </c>
      <c r="L1117" s="5">
        <f>VLOOKUP(TrendSheetStgData[Population]&amp;TrendSheetStgData[Trend],Threshold[#All],5,FALSE)</f>
        <v>5</v>
      </c>
      <c r="M1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8" spans="1:13" x14ac:dyDescent="0.25">
      <c r="A1118" t="s">
        <v>111</v>
      </c>
      <c r="B1118" t="s">
        <v>111</v>
      </c>
      <c r="C1118" t="s">
        <v>91</v>
      </c>
      <c r="D1118" s="1" t="s">
        <v>104</v>
      </c>
      <c r="E1118" t="s">
        <v>93</v>
      </c>
      <c r="F1118" t="s">
        <v>31</v>
      </c>
      <c r="G1118">
        <v>20</v>
      </c>
      <c r="H1118">
        <v>2475</v>
      </c>
      <c r="I1118" s="5">
        <f>VLOOKUP(TrendSheetStgData[Population]&amp;TrendSheetStgData[Cost Basis]&amp;TrendSheetStgData[Period]&amp;TrendSheetStgData[Trend],TrendSheetPrdData[#All],9,FALSE)</f>
        <v>2475</v>
      </c>
      <c r="J1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8" s="5">
        <f>VLOOKUP(TrendSheetStgData[Population]&amp;TrendSheetStgData[Trend],Threshold[#All],4,FALSE)</f>
        <v>10</v>
      </c>
      <c r="L1118" s="5">
        <f>VLOOKUP(TrendSheetStgData[Population]&amp;TrendSheetStgData[Trend],Threshold[#All],5,FALSE)</f>
        <v>5</v>
      </c>
      <c r="M1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9" spans="1:13" x14ac:dyDescent="0.25">
      <c r="A1119" t="s">
        <v>111</v>
      </c>
      <c r="B1119" t="s">
        <v>111</v>
      </c>
      <c r="C1119" t="s">
        <v>91</v>
      </c>
      <c r="D1119" s="1" t="s">
        <v>105</v>
      </c>
      <c r="E1119" t="s">
        <v>108</v>
      </c>
      <c r="F1119" t="s">
        <v>31</v>
      </c>
      <c r="G1119">
        <v>20</v>
      </c>
      <c r="H1119">
        <v>2498</v>
      </c>
      <c r="I1119" s="5">
        <f>VLOOKUP(TrendSheetStgData[Population]&amp;TrendSheetStgData[Cost Basis]&amp;TrendSheetStgData[Period]&amp;TrendSheetStgData[Trend],TrendSheetPrdData[#All],9,FALSE)</f>
        <v>2498</v>
      </c>
      <c r="J1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9" s="5">
        <f>VLOOKUP(TrendSheetStgData[Population]&amp;TrendSheetStgData[Trend],Threshold[#All],4,FALSE)</f>
        <v>10</v>
      </c>
      <c r="L1119" s="5">
        <f>VLOOKUP(TrendSheetStgData[Population]&amp;TrendSheetStgData[Trend],Threshold[#All],5,FALSE)</f>
        <v>5</v>
      </c>
      <c r="M1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0" spans="1:13" x14ac:dyDescent="0.25">
      <c r="A1120" t="s">
        <v>111</v>
      </c>
      <c r="B1120" t="s">
        <v>111</v>
      </c>
      <c r="C1120" t="s">
        <v>91</v>
      </c>
      <c r="D1120" s="1" t="s">
        <v>106</v>
      </c>
      <c r="E1120" t="s">
        <v>108</v>
      </c>
      <c r="F1120" t="s">
        <v>31</v>
      </c>
      <c r="G1120">
        <v>20</v>
      </c>
      <c r="H1120">
        <v>2614</v>
      </c>
      <c r="I1120" s="5">
        <f>VLOOKUP(TrendSheetStgData[Population]&amp;TrendSheetStgData[Cost Basis]&amp;TrendSheetStgData[Period]&amp;TrendSheetStgData[Trend],TrendSheetPrdData[#All],9,FALSE)</f>
        <v>2614</v>
      </c>
      <c r="J1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0" s="5">
        <f>VLOOKUP(TrendSheetStgData[Population]&amp;TrendSheetStgData[Trend],Threshold[#All],4,FALSE)</f>
        <v>10</v>
      </c>
      <c r="L1120" s="5">
        <f>VLOOKUP(TrendSheetStgData[Population]&amp;TrendSheetStgData[Trend],Threshold[#All],5,FALSE)</f>
        <v>5</v>
      </c>
      <c r="M1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1" spans="1:13" x14ac:dyDescent="0.25">
      <c r="A1121" t="s">
        <v>111</v>
      </c>
      <c r="B1121" t="s">
        <v>111</v>
      </c>
      <c r="C1121" t="s">
        <v>91</v>
      </c>
      <c r="D1121" s="1" t="s">
        <v>107</v>
      </c>
      <c r="E1121" t="s">
        <v>108</v>
      </c>
      <c r="F1121" t="s">
        <v>31</v>
      </c>
      <c r="G1121">
        <v>20</v>
      </c>
      <c r="H1121">
        <v>2502</v>
      </c>
      <c r="I1121" s="5">
        <f>VLOOKUP(TrendSheetStgData[Population]&amp;TrendSheetStgData[Cost Basis]&amp;TrendSheetStgData[Period]&amp;TrendSheetStgData[Trend],TrendSheetPrdData[#All],9,FALSE)</f>
        <v>2502</v>
      </c>
      <c r="J1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1" s="5">
        <f>VLOOKUP(TrendSheetStgData[Population]&amp;TrendSheetStgData[Trend],Threshold[#All],4,FALSE)</f>
        <v>10</v>
      </c>
      <c r="L1121" s="5">
        <f>VLOOKUP(TrendSheetStgData[Population]&amp;TrendSheetStgData[Trend],Threshold[#All],5,FALSE)</f>
        <v>5</v>
      </c>
      <c r="M1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2" spans="1:13" x14ac:dyDescent="0.25">
      <c r="A1122" t="s">
        <v>111</v>
      </c>
      <c r="B1122" t="s">
        <v>111</v>
      </c>
      <c r="C1122" t="s">
        <v>91</v>
      </c>
      <c r="D1122" s="1" t="s">
        <v>109</v>
      </c>
      <c r="E1122" t="s">
        <v>108</v>
      </c>
      <c r="F1122" t="s">
        <v>31</v>
      </c>
      <c r="G1122">
        <v>20</v>
      </c>
      <c r="H1122">
        <v>1981</v>
      </c>
      <c r="I1122" s="5">
        <f>VLOOKUP(TrendSheetStgData[Population]&amp;TrendSheetStgData[Cost Basis]&amp;TrendSheetStgData[Period]&amp;TrendSheetStgData[Trend],TrendSheetPrdData[#All],9,FALSE)</f>
        <v>1981</v>
      </c>
      <c r="J1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2" s="5">
        <f>VLOOKUP(TrendSheetStgData[Population]&amp;TrendSheetStgData[Trend],Threshold[#All],4,FALSE)</f>
        <v>10</v>
      </c>
      <c r="L1122" s="5">
        <f>VLOOKUP(TrendSheetStgData[Population]&amp;TrendSheetStgData[Trend],Threshold[#All],5,FALSE)</f>
        <v>5</v>
      </c>
      <c r="M1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3" spans="1:13" x14ac:dyDescent="0.25">
      <c r="A1123" t="s">
        <v>111</v>
      </c>
      <c r="B1123" t="s">
        <v>111</v>
      </c>
      <c r="C1123" t="s">
        <v>91</v>
      </c>
      <c r="D1123" s="1" t="s">
        <v>110</v>
      </c>
      <c r="E1123" t="s">
        <v>108</v>
      </c>
      <c r="F1123" t="s">
        <v>31</v>
      </c>
      <c r="G1123">
        <v>20</v>
      </c>
      <c r="H1123">
        <v>767</v>
      </c>
      <c r="I1123" s="5">
        <f>VLOOKUP(TrendSheetStgData[Population]&amp;TrendSheetStgData[Cost Basis]&amp;TrendSheetStgData[Period]&amp;TrendSheetStgData[Trend],TrendSheetPrdData[#All],9,FALSE)</f>
        <v>767</v>
      </c>
      <c r="J1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3" s="5">
        <f>VLOOKUP(TrendSheetStgData[Population]&amp;TrendSheetStgData[Trend],Threshold[#All],4,FALSE)</f>
        <v>10</v>
      </c>
      <c r="L1123" s="5">
        <f>VLOOKUP(TrendSheetStgData[Population]&amp;TrendSheetStgData[Trend],Threshold[#All],5,FALSE)</f>
        <v>5</v>
      </c>
      <c r="M1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4" spans="1:13" x14ac:dyDescent="0.25">
      <c r="A1124" t="s">
        <v>111</v>
      </c>
      <c r="B1124" t="s">
        <v>111</v>
      </c>
      <c r="C1124" t="s">
        <v>91</v>
      </c>
      <c r="D1124" s="1" t="s">
        <v>92</v>
      </c>
      <c r="E1124" t="s">
        <v>93</v>
      </c>
      <c r="F1124" t="s">
        <v>32</v>
      </c>
      <c r="G1124">
        <v>21</v>
      </c>
      <c r="H1124">
        <v>3520</v>
      </c>
      <c r="I1124" s="5">
        <f>VLOOKUP(TrendSheetStgData[Population]&amp;TrendSheetStgData[Cost Basis]&amp;TrendSheetStgData[Period]&amp;TrendSheetStgData[Trend],TrendSheetPrdData[#All],9,FALSE)</f>
        <v>3520</v>
      </c>
      <c r="J1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4" s="5">
        <f>VLOOKUP(TrendSheetStgData[Population]&amp;TrendSheetStgData[Trend],Threshold[#All],4,FALSE)</f>
        <v>10</v>
      </c>
      <c r="L1124" s="5">
        <f>VLOOKUP(TrendSheetStgData[Population]&amp;TrendSheetStgData[Trend],Threshold[#All],5,FALSE)</f>
        <v>5</v>
      </c>
      <c r="M1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5" spans="1:13" x14ac:dyDescent="0.25">
      <c r="A1125" t="s">
        <v>111</v>
      </c>
      <c r="B1125" t="s">
        <v>111</v>
      </c>
      <c r="C1125" t="s">
        <v>91</v>
      </c>
      <c r="D1125" s="1" t="s">
        <v>94</v>
      </c>
      <c r="E1125" t="s">
        <v>93</v>
      </c>
      <c r="F1125" t="s">
        <v>32</v>
      </c>
      <c r="G1125">
        <v>21</v>
      </c>
      <c r="H1125">
        <v>3540</v>
      </c>
      <c r="I1125" s="5">
        <f>VLOOKUP(TrendSheetStgData[Population]&amp;TrendSheetStgData[Cost Basis]&amp;TrendSheetStgData[Period]&amp;TrendSheetStgData[Trend],TrendSheetPrdData[#All],9,FALSE)</f>
        <v>3540</v>
      </c>
      <c r="J1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5" s="5">
        <f>VLOOKUP(TrendSheetStgData[Population]&amp;TrendSheetStgData[Trend],Threshold[#All],4,FALSE)</f>
        <v>10</v>
      </c>
      <c r="L1125" s="5">
        <f>VLOOKUP(TrendSheetStgData[Population]&amp;TrendSheetStgData[Trend],Threshold[#All],5,FALSE)</f>
        <v>5</v>
      </c>
      <c r="M1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6" spans="1:13" x14ac:dyDescent="0.25">
      <c r="A1126" t="s">
        <v>111</v>
      </c>
      <c r="B1126" t="s">
        <v>111</v>
      </c>
      <c r="C1126" t="s">
        <v>91</v>
      </c>
      <c r="D1126" s="1" t="s">
        <v>95</v>
      </c>
      <c r="E1126" t="s">
        <v>93</v>
      </c>
      <c r="F1126" t="s">
        <v>32</v>
      </c>
      <c r="G1126">
        <v>21</v>
      </c>
      <c r="H1126">
        <v>3732</v>
      </c>
      <c r="I1126" s="5">
        <f>VLOOKUP(TrendSheetStgData[Population]&amp;TrendSheetStgData[Cost Basis]&amp;TrendSheetStgData[Period]&amp;TrendSheetStgData[Trend],TrendSheetPrdData[#All],9,FALSE)</f>
        <v>3732</v>
      </c>
      <c r="J1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6" s="5">
        <f>VLOOKUP(TrendSheetStgData[Population]&amp;TrendSheetStgData[Trend],Threshold[#All],4,FALSE)</f>
        <v>10</v>
      </c>
      <c r="L1126" s="5">
        <f>VLOOKUP(TrendSheetStgData[Population]&amp;TrendSheetStgData[Trend],Threshold[#All],5,FALSE)</f>
        <v>5</v>
      </c>
      <c r="M1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7" spans="1:13" x14ac:dyDescent="0.25">
      <c r="A1127" t="s">
        <v>111</v>
      </c>
      <c r="B1127" t="s">
        <v>111</v>
      </c>
      <c r="C1127" t="s">
        <v>91</v>
      </c>
      <c r="D1127" s="1" t="s">
        <v>96</v>
      </c>
      <c r="E1127" t="s">
        <v>93</v>
      </c>
      <c r="F1127" t="s">
        <v>32</v>
      </c>
      <c r="G1127">
        <v>21</v>
      </c>
      <c r="H1127">
        <v>3209</v>
      </c>
      <c r="I1127" s="5">
        <f>VLOOKUP(TrendSheetStgData[Population]&amp;TrendSheetStgData[Cost Basis]&amp;TrendSheetStgData[Period]&amp;TrendSheetStgData[Trend],TrendSheetPrdData[#All],9,FALSE)</f>
        <v>3209</v>
      </c>
      <c r="J1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7" s="5">
        <f>VLOOKUP(TrendSheetStgData[Population]&amp;TrendSheetStgData[Trend],Threshold[#All],4,FALSE)</f>
        <v>10</v>
      </c>
      <c r="L1127" s="5">
        <f>VLOOKUP(TrendSheetStgData[Population]&amp;TrendSheetStgData[Trend],Threshold[#All],5,FALSE)</f>
        <v>5</v>
      </c>
      <c r="M1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8" spans="1:13" x14ac:dyDescent="0.25">
      <c r="A1128" t="s">
        <v>111</v>
      </c>
      <c r="B1128" t="s">
        <v>111</v>
      </c>
      <c r="C1128" t="s">
        <v>91</v>
      </c>
      <c r="D1128" s="1" t="s">
        <v>97</v>
      </c>
      <c r="E1128" t="s">
        <v>93</v>
      </c>
      <c r="F1128" t="s">
        <v>32</v>
      </c>
      <c r="G1128">
        <v>21</v>
      </c>
      <c r="H1128">
        <v>3306</v>
      </c>
      <c r="I1128" s="5">
        <f>VLOOKUP(TrendSheetStgData[Population]&amp;TrendSheetStgData[Cost Basis]&amp;TrendSheetStgData[Period]&amp;TrendSheetStgData[Trend],TrendSheetPrdData[#All],9,FALSE)</f>
        <v>3306</v>
      </c>
      <c r="J1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8" s="5">
        <f>VLOOKUP(TrendSheetStgData[Population]&amp;TrendSheetStgData[Trend],Threshold[#All],4,FALSE)</f>
        <v>10</v>
      </c>
      <c r="L1128" s="5">
        <f>VLOOKUP(TrendSheetStgData[Population]&amp;TrendSheetStgData[Trend],Threshold[#All],5,FALSE)</f>
        <v>5</v>
      </c>
      <c r="M1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9" spans="1:13" x14ac:dyDescent="0.25">
      <c r="A1129" t="s">
        <v>111</v>
      </c>
      <c r="B1129" t="s">
        <v>111</v>
      </c>
      <c r="C1129" t="s">
        <v>91</v>
      </c>
      <c r="D1129" s="1" t="s">
        <v>98</v>
      </c>
      <c r="E1129" t="s">
        <v>93</v>
      </c>
      <c r="F1129" t="s">
        <v>32</v>
      </c>
      <c r="G1129">
        <v>21</v>
      </c>
      <c r="H1129">
        <v>3098</v>
      </c>
      <c r="I1129" s="5">
        <f>VLOOKUP(TrendSheetStgData[Population]&amp;TrendSheetStgData[Cost Basis]&amp;TrendSheetStgData[Period]&amp;TrendSheetStgData[Trend],TrendSheetPrdData[#All],9,FALSE)</f>
        <v>3098</v>
      </c>
      <c r="J1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9" s="5">
        <f>VLOOKUP(TrendSheetStgData[Population]&amp;TrendSheetStgData[Trend],Threshold[#All],4,FALSE)</f>
        <v>10</v>
      </c>
      <c r="L1129" s="5">
        <f>VLOOKUP(TrendSheetStgData[Population]&amp;TrendSheetStgData[Trend],Threshold[#All],5,FALSE)</f>
        <v>5</v>
      </c>
      <c r="M1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0" spans="1:13" x14ac:dyDescent="0.25">
      <c r="A1130" t="s">
        <v>111</v>
      </c>
      <c r="B1130" t="s">
        <v>111</v>
      </c>
      <c r="C1130" t="s">
        <v>91</v>
      </c>
      <c r="D1130" s="1" t="s">
        <v>99</v>
      </c>
      <c r="E1130" t="s">
        <v>93</v>
      </c>
      <c r="F1130" t="s">
        <v>32</v>
      </c>
      <c r="G1130">
        <v>21</v>
      </c>
      <c r="H1130">
        <v>2825</v>
      </c>
      <c r="I1130" s="5">
        <f>VLOOKUP(TrendSheetStgData[Population]&amp;TrendSheetStgData[Cost Basis]&amp;TrendSheetStgData[Period]&amp;TrendSheetStgData[Trend],TrendSheetPrdData[#All],9,FALSE)</f>
        <v>2825</v>
      </c>
      <c r="J1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0" s="5">
        <f>VLOOKUP(TrendSheetStgData[Population]&amp;TrendSheetStgData[Trend],Threshold[#All],4,FALSE)</f>
        <v>10</v>
      </c>
      <c r="L1130" s="5">
        <f>VLOOKUP(TrendSheetStgData[Population]&amp;TrendSheetStgData[Trend],Threshold[#All],5,FALSE)</f>
        <v>5</v>
      </c>
      <c r="M1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1" spans="1:13" x14ac:dyDescent="0.25">
      <c r="A1131" t="s">
        <v>111</v>
      </c>
      <c r="B1131" t="s">
        <v>111</v>
      </c>
      <c r="C1131" t="s">
        <v>91</v>
      </c>
      <c r="D1131" s="1" t="s">
        <v>100</v>
      </c>
      <c r="E1131" t="s">
        <v>93</v>
      </c>
      <c r="F1131" t="s">
        <v>32</v>
      </c>
      <c r="G1131">
        <v>21</v>
      </c>
      <c r="H1131">
        <v>3625</v>
      </c>
      <c r="I1131" s="5">
        <f>VLOOKUP(TrendSheetStgData[Population]&amp;TrendSheetStgData[Cost Basis]&amp;TrendSheetStgData[Period]&amp;TrendSheetStgData[Trend],TrendSheetPrdData[#All],9,FALSE)</f>
        <v>3625</v>
      </c>
      <c r="J1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1" s="5">
        <f>VLOOKUP(TrendSheetStgData[Population]&amp;TrendSheetStgData[Trend],Threshold[#All],4,FALSE)</f>
        <v>10</v>
      </c>
      <c r="L1131" s="5">
        <f>VLOOKUP(TrendSheetStgData[Population]&amp;TrendSheetStgData[Trend],Threshold[#All],5,FALSE)</f>
        <v>5</v>
      </c>
      <c r="M1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2" spans="1:13" x14ac:dyDescent="0.25">
      <c r="A1132" t="s">
        <v>111</v>
      </c>
      <c r="B1132" t="s">
        <v>111</v>
      </c>
      <c r="C1132" t="s">
        <v>91</v>
      </c>
      <c r="D1132" s="1" t="s">
        <v>101</v>
      </c>
      <c r="E1132" t="s">
        <v>93</v>
      </c>
      <c r="F1132" t="s">
        <v>32</v>
      </c>
      <c r="G1132">
        <v>21</v>
      </c>
      <c r="H1132">
        <v>3629</v>
      </c>
      <c r="I1132" s="5">
        <f>VLOOKUP(TrendSheetStgData[Population]&amp;TrendSheetStgData[Cost Basis]&amp;TrendSheetStgData[Period]&amp;TrendSheetStgData[Trend],TrendSheetPrdData[#All],9,FALSE)</f>
        <v>3629</v>
      </c>
      <c r="J1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2" s="5">
        <f>VLOOKUP(TrendSheetStgData[Population]&amp;TrendSheetStgData[Trend],Threshold[#All],4,FALSE)</f>
        <v>10</v>
      </c>
      <c r="L1132" s="5">
        <f>VLOOKUP(TrendSheetStgData[Population]&amp;TrendSheetStgData[Trend],Threshold[#All],5,FALSE)</f>
        <v>5</v>
      </c>
      <c r="M1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3" spans="1:13" x14ac:dyDescent="0.25">
      <c r="A1133" t="s">
        <v>111</v>
      </c>
      <c r="B1133" t="s">
        <v>111</v>
      </c>
      <c r="C1133" t="s">
        <v>91</v>
      </c>
      <c r="D1133" s="1" t="s">
        <v>102</v>
      </c>
      <c r="E1133" t="s">
        <v>93</v>
      </c>
      <c r="F1133" t="s">
        <v>32</v>
      </c>
      <c r="G1133">
        <v>21</v>
      </c>
      <c r="H1133">
        <v>3293</v>
      </c>
      <c r="I1133" s="5">
        <f>VLOOKUP(TrendSheetStgData[Population]&amp;TrendSheetStgData[Cost Basis]&amp;TrendSheetStgData[Period]&amp;TrendSheetStgData[Trend],TrendSheetPrdData[#All],9,FALSE)</f>
        <v>3293</v>
      </c>
      <c r="J1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3" s="5">
        <f>VLOOKUP(TrendSheetStgData[Population]&amp;TrendSheetStgData[Trend],Threshold[#All],4,FALSE)</f>
        <v>10</v>
      </c>
      <c r="L1133" s="5">
        <f>VLOOKUP(TrendSheetStgData[Population]&amp;TrendSheetStgData[Trend],Threshold[#All],5,FALSE)</f>
        <v>5</v>
      </c>
      <c r="M1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4" spans="1:13" x14ac:dyDescent="0.25">
      <c r="A1134" t="s">
        <v>111</v>
      </c>
      <c r="B1134" t="s">
        <v>111</v>
      </c>
      <c r="C1134" t="s">
        <v>91</v>
      </c>
      <c r="D1134" s="1" t="s">
        <v>103</v>
      </c>
      <c r="E1134" t="s">
        <v>93</v>
      </c>
      <c r="F1134" t="s">
        <v>32</v>
      </c>
      <c r="G1134">
        <v>21</v>
      </c>
      <c r="H1134">
        <v>3748</v>
      </c>
      <c r="I1134" s="5">
        <f>VLOOKUP(TrendSheetStgData[Population]&amp;TrendSheetStgData[Cost Basis]&amp;TrendSheetStgData[Period]&amp;TrendSheetStgData[Trend],TrendSheetPrdData[#All],9,FALSE)</f>
        <v>3748</v>
      </c>
      <c r="J1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4" s="5">
        <f>VLOOKUP(TrendSheetStgData[Population]&amp;TrendSheetStgData[Trend],Threshold[#All],4,FALSE)</f>
        <v>10</v>
      </c>
      <c r="L1134" s="5">
        <f>VLOOKUP(TrendSheetStgData[Population]&amp;TrendSheetStgData[Trend],Threshold[#All],5,FALSE)</f>
        <v>5</v>
      </c>
      <c r="M1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5" spans="1:13" x14ac:dyDescent="0.25">
      <c r="A1135" t="s">
        <v>111</v>
      </c>
      <c r="B1135" t="s">
        <v>111</v>
      </c>
      <c r="C1135" t="s">
        <v>91</v>
      </c>
      <c r="D1135" s="1" t="s">
        <v>104</v>
      </c>
      <c r="E1135" t="s">
        <v>93</v>
      </c>
      <c r="F1135" t="s">
        <v>32</v>
      </c>
      <c r="G1135">
        <v>21</v>
      </c>
      <c r="H1135">
        <v>3013</v>
      </c>
      <c r="I1135" s="5">
        <f>VLOOKUP(TrendSheetStgData[Population]&amp;TrendSheetStgData[Cost Basis]&amp;TrendSheetStgData[Period]&amp;TrendSheetStgData[Trend],TrendSheetPrdData[#All],9,FALSE)</f>
        <v>3013</v>
      </c>
      <c r="J1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5" s="5">
        <f>VLOOKUP(TrendSheetStgData[Population]&amp;TrendSheetStgData[Trend],Threshold[#All],4,FALSE)</f>
        <v>10</v>
      </c>
      <c r="L1135" s="5">
        <f>VLOOKUP(TrendSheetStgData[Population]&amp;TrendSheetStgData[Trend],Threshold[#All],5,FALSE)</f>
        <v>5</v>
      </c>
      <c r="M1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6" spans="1:13" x14ac:dyDescent="0.25">
      <c r="A1136" t="s">
        <v>111</v>
      </c>
      <c r="B1136" t="s">
        <v>111</v>
      </c>
      <c r="C1136" t="s">
        <v>91</v>
      </c>
      <c r="D1136" s="1" t="s">
        <v>105</v>
      </c>
      <c r="E1136" t="s">
        <v>108</v>
      </c>
      <c r="F1136" t="s">
        <v>32</v>
      </c>
      <c r="G1136">
        <v>21</v>
      </c>
      <c r="H1136">
        <v>3308</v>
      </c>
      <c r="I1136" s="5">
        <f>VLOOKUP(TrendSheetStgData[Population]&amp;TrendSheetStgData[Cost Basis]&amp;TrendSheetStgData[Period]&amp;TrendSheetStgData[Trend],TrendSheetPrdData[#All],9,FALSE)</f>
        <v>3308</v>
      </c>
      <c r="J1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6" s="5">
        <f>VLOOKUP(TrendSheetStgData[Population]&amp;TrendSheetStgData[Trend],Threshold[#All],4,FALSE)</f>
        <v>10</v>
      </c>
      <c r="L1136" s="5">
        <f>VLOOKUP(TrendSheetStgData[Population]&amp;TrendSheetStgData[Trend],Threshold[#All],5,FALSE)</f>
        <v>5</v>
      </c>
      <c r="M1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7" spans="1:13" x14ac:dyDescent="0.25">
      <c r="A1137" t="s">
        <v>111</v>
      </c>
      <c r="B1137" t="s">
        <v>111</v>
      </c>
      <c r="C1137" t="s">
        <v>91</v>
      </c>
      <c r="D1137" s="1" t="s">
        <v>106</v>
      </c>
      <c r="E1137" t="s">
        <v>108</v>
      </c>
      <c r="F1137" t="s">
        <v>32</v>
      </c>
      <c r="G1137">
        <v>21</v>
      </c>
      <c r="H1137">
        <v>3055</v>
      </c>
      <c r="I1137" s="5">
        <f>VLOOKUP(TrendSheetStgData[Population]&amp;TrendSheetStgData[Cost Basis]&amp;TrendSheetStgData[Period]&amp;TrendSheetStgData[Trend],TrendSheetPrdData[#All],9,FALSE)</f>
        <v>3055</v>
      </c>
      <c r="J1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7" s="5">
        <f>VLOOKUP(TrendSheetStgData[Population]&amp;TrendSheetStgData[Trend],Threshold[#All],4,FALSE)</f>
        <v>10</v>
      </c>
      <c r="L1137" s="5">
        <f>VLOOKUP(TrendSheetStgData[Population]&amp;TrendSheetStgData[Trend],Threshold[#All],5,FALSE)</f>
        <v>5</v>
      </c>
      <c r="M1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8" spans="1:13" x14ac:dyDescent="0.25">
      <c r="A1138" t="s">
        <v>111</v>
      </c>
      <c r="B1138" t="s">
        <v>111</v>
      </c>
      <c r="C1138" t="s">
        <v>91</v>
      </c>
      <c r="D1138" s="1" t="s">
        <v>107</v>
      </c>
      <c r="E1138" t="s">
        <v>108</v>
      </c>
      <c r="F1138" t="s">
        <v>32</v>
      </c>
      <c r="G1138">
        <v>21</v>
      </c>
      <c r="H1138">
        <v>3106</v>
      </c>
      <c r="I1138" s="5">
        <f>VLOOKUP(TrendSheetStgData[Population]&amp;TrendSheetStgData[Cost Basis]&amp;TrendSheetStgData[Period]&amp;TrendSheetStgData[Trend],TrendSheetPrdData[#All],9,FALSE)</f>
        <v>3106</v>
      </c>
      <c r="J1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8" s="5">
        <f>VLOOKUP(TrendSheetStgData[Population]&amp;TrendSheetStgData[Trend],Threshold[#All],4,FALSE)</f>
        <v>10</v>
      </c>
      <c r="L1138" s="5">
        <f>VLOOKUP(TrendSheetStgData[Population]&amp;TrendSheetStgData[Trend],Threshold[#All],5,FALSE)</f>
        <v>5</v>
      </c>
      <c r="M1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9" spans="1:13" x14ac:dyDescent="0.25">
      <c r="A1139" t="s">
        <v>111</v>
      </c>
      <c r="B1139" t="s">
        <v>111</v>
      </c>
      <c r="C1139" t="s">
        <v>91</v>
      </c>
      <c r="D1139" s="1" t="s">
        <v>109</v>
      </c>
      <c r="E1139" t="s">
        <v>108</v>
      </c>
      <c r="F1139" t="s">
        <v>32</v>
      </c>
      <c r="G1139">
        <v>21</v>
      </c>
      <c r="H1139">
        <v>2388</v>
      </c>
      <c r="I1139" s="5">
        <f>VLOOKUP(TrendSheetStgData[Population]&amp;TrendSheetStgData[Cost Basis]&amp;TrendSheetStgData[Period]&amp;TrendSheetStgData[Trend],TrendSheetPrdData[#All],9,FALSE)</f>
        <v>2388</v>
      </c>
      <c r="J1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9" s="5">
        <f>VLOOKUP(TrendSheetStgData[Population]&amp;TrendSheetStgData[Trend],Threshold[#All],4,FALSE)</f>
        <v>10</v>
      </c>
      <c r="L1139" s="5">
        <f>VLOOKUP(TrendSheetStgData[Population]&amp;TrendSheetStgData[Trend],Threshold[#All],5,FALSE)</f>
        <v>5</v>
      </c>
      <c r="M1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0" spans="1:13" x14ac:dyDescent="0.25">
      <c r="A1140" t="s">
        <v>111</v>
      </c>
      <c r="B1140" t="s">
        <v>111</v>
      </c>
      <c r="C1140" t="s">
        <v>91</v>
      </c>
      <c r="D1140" s="1" t="s">
        <v>110</v>
      </c>
      <c r="E1140" t="s">
        <v>108</v>
      </c>
      <c r="F1140" t="s">
        <v>32</v>
      </c>
      <c r="G1140">
        <v>21</v>
      </c>
      <c r="H1140">
        <v>1537</v>
      </c>
      <c r="I1140" s="5">
        <f>VLOOKUP(TrendSheetStgData[Population]&amp;TrendSheetStgData[Cost Basis]&amp;TrendSheetStgData[Period]&amp;TrendSheetStgData[Trend],TrendSheetPrdData[#All],9,FALSE)</f>
        <v>1537</v>
      </c>
      <c r="J1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0" s="5">
        <f>VLOOKUP(TrendSheetStgData[Population]&amp;TrendSheetStgData[Trend],Threshold[#All],4,FALSE)</f>
        <v>10</v>
      </c>
      <c r="L1140" s="5">
        <f>VLOOKUP(TrendSheetStgData[Population]&amp;TrendSheetStgData[Trend],Threshold[#All],5,FALSE)</f>
        <v>5</v>
      </c>
      <c r="M1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1" spans="1:13" x14ac:dyDescent="0.25">
      <c r="A1141" t="s">
        <v>111</v>
      </c>
      <c r="B1141" t="s">
        <v>111</v>
      </c>
      <c r="C1141" t="s">
        <v>91</v>
      </c>
      <c r="D1141" s="1" t="s">
        <v>92</v>
      </c>
      <c r="E1141" t="s">
        <v>93</v>
      </c>
      <c r="F1141" t="s">
        <v>33</v>
      </c>
      <c r="G1141">
        <v>22</v>
      </c>
      <c r="H1141">
        <v>209</v>
      </c>
      <c r="I1141" s="5">
        <f>VLOOKUP(TrendSheetStgData[Population]&amp;TrendSheetStgData[Cost Basis]&amp;TrendSheetStgData[Period]&amp;TrendSheetStgData[Trend],TrendSheetPrdData[#All],9,FALSE)</f>
        <v>209</v>
      </c>
      <c r="J1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1" s="5">
        <f>VLOOKUP(TrendSheetStgData[Population]&amp;TrendSheetStgData[Trend],Threshold[#All],4,FALSE)</f>
        <v>10</v>
      </c>
      <c r="L1141" s="5">
        <f>VLOOKUP(TrendSheetStgData[Population]&amp;TrendSheetStgData[Trend],Threshold[#All],5,FALSE)</f>
        <v>5</v>
      </c>
      <c r="M1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2" spans="1:13" x14ac:dyDescent="0.25">
      <c r="A1142" t="s">
        <v>111</v>
      </c>
      <c r="B1142" t="s">
        <v>111</v>
      </c>
      <c r="C1142" t="s">
        <v>91</v>
      </c>
      <c r="D1142" s="1" t="s">
        <v>94</v>
      </c>
      <c r="E1142" t="s">
        <v>93</v>
      </c>
      <c r="F1142" t="s">
        <v>33</v>
      </c>
      <c r="G1142">
        <v>22</v>
      </c>
      <c r="H1142">
        <v>239</v>
      </c>
      <c r="I1142" s="5">
        <f>VLOOKUP(TrendSheetStgData[Population]&amp;TrendSheetStgData[Cost Basis]&amp;TrendSheetStgData[Period]&amp;TrendSheetStgData[Trend],TrendSheetPrdData[#All],9,FALSE)</f>
        <v>239</v>
      </c>
      <c r="J1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2" s="5">
        <f>VLOOKUP(TrendSheetStgData[Population]&amp;TrendSheetStgData[Trend],Threshold[#All],4,FALSE)</f>
        <v>10</v>
      </c>
      <c r="L1142" s="5">
        <f>VLOOKUP(TrendSheetStgData[Population]&amp;TrendSheetStgData[Trend],Threshold[#All],5,FALSE)</f>
        <v>5</v>
      </c>
      <c r="M1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3" spans="1:13" x14ac:dyDescent="0.25">
      <c r="A1143" t="s">
        <v>111</v>
      </c>
      <c r="B1143" t="s">
        <v>111</v>
      </c>
      <c r="C1143" t="s">
        <v>91</v>
      </c>
      <c r="D1143" s="1" t="s">
        <v>95</v>
      </c>
      <c r="E1143" t="s">
        <v>93</v>
      </c>
      <c r="F1143" t="s">
        <v>33</v>
      </c>
      <c r="G1143">
        <v>22</v>
      </c>
      <c r="H1143">
        <v>285</v>
      </c>
      <c r="I1143" s="5">
        <f>VLOOKUP(TrendSheetStgData[Population]&amp;TrendSheetStgData[Cost Basis]&amp;TrendSheetStgData[Period]&amp;TrendSheetStgData[Trend],TrendSheetPrdData[#All],9,FALSE)</f>
        <v>285</v>
      </c>
      <c r="J1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3" s="5">
        <f>VLOOKUP(TrendSheetStgData[Population]&amp;TrendSheetStgData[Trend],Threshold[#All],4,FALSE)</f>
        <v>10</v>
      </c>
      <c r="L1143" s="5">
        <f>VLOOKUP(TrendSheetStgData[Population]&amp;TrendSheetStgData[Trend],Threshold[#All],5,FALSE)</f>
        <v>5</v>
      </c>
      <c r="M1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4" spans="1:13" x14ac:dyDescent="0.25">
      <c r="A1144" t="s">
        <v>111</v>
      </c>
      <c r="B1144" t="s">
        <v>111</v>
      </c>
      <c r="C1144" t="s">
        <v>91</v>
      </c>
      <c r="D1144" s="1" t="s">
        <v>96</v>
      </c>
      <c r="E1144" t="s">
        <v>93</v>
      </c>
      <c r="F1144" t="s">
        <v>33</v>
      </c>
      <c r="G1144">
        <v>22</v>
      </c>
      <c r="H1144">
        <v>310</v>
      </c>
      <c r="I1144" s="5">
        <f>VLOOKUP(TrendSheetStgData[Population]&amp;TrendSheetStgData[Cost Basis]&amp;TrendSheetStgData[Period]&amp;TrendSheetStgData[Trend],TrendSheetPrdData[#All],9,FALSE)</f>
        <v>310</v>
      </c>
      <c r="J1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4" s="5">
        <f>VLOOKUP(TrendSheetStgData[Population]&amp;TrendSheetStgData[Trend],Threshold[#All],4,FALSE)</f>
        <v>10</v>
      </c>
      <c r="L1144" s="5">
        <f>VLOOKUP(TrendSheetStgData[Population]&amp;TrendSheetStgData[Trend],Threshold[#All],5,FALSE)</f>
        <v>5</v>
      </c>
      <c r="M1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5" spans="1:13" x14ac:dyDescent="0.25">
      <c r="A1145" t="s">
        <v>111</v>
      </c>
      <c r="B1145" t="s">
        <v>111</v>
      </c>
      <c r="C1145" t="s">
        <v>91</v>
      </c>
      <c r="D1145" s="1" t="s">
        <v>97</v>
      </c>
      <c r="E1145" t="s">
        <v>93</v>
      </c>
      <c r="F1145" t="s">
        <v>33</v>
      </c>
      <c r="G1145">
        <v>22</v>
      </c>
      <c r="H1145">
        <v>295</v>
      </c>
      <c r="I1145" s="5">
        <f>VLOOKUP(TrendSheetStgData[Population]&amp;TrendSheetStgData[Cost Basis]&amp;TrendSheetStgData[Period]&amp;TrendSheetStgData[Trend],TrendSheetPrdData[#All],9,FALSE)</f>
        <v>295</v>
      </c>
      <c r="J1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5" s="5">
        <f>VLOOKUP(TrendSheetStgData[Population]&amp;TrendSheetStgData[Trend],Threshold[#All],4,FALSE)</f>
        <v>10</v>
      </c>
      <c r="L1145" s="5">
        <f>VLOOKUP(TrendSheetStgData[Population]&amp;TrendSheetStgData[Trend],Threshold[#All],5,FALSE)</f>
        <v>5</v>
      </c>
      <c r="M1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6" spans="1:13" x14ac:dyDescent="0.25">
      <c r="A1146" t="s">
        <v>111</v>
      </c>
      <c r="B1146" t="s">
        <v>111</v>
      </c>
      <c r="C1146" t="s">
        <v>91</v>
      </c>
      <c r="D1146" s="1" t="s">
        <v>98</v>
      </c>
      <c r="E1146" t="s">
        <v>93</v>
      </c>
      <c r="F1146" t="s">
        <v>33</v>
      </c>
      <c r="G1146">
        <v>22</v>
      </c>
      <c r="H1146">
        <v>236</v>
      </c>
      <c r="I1146" s="5">
        <f>VLOOKUP(TrendSheetStgData[Population]&amp;TrendSheetStgData[Cost Basis]&amp;TrendSheetStgData[Period]&amp;TrendSheetStgData[Trend],TrendSheetPrdData[#All],9,FALSE)</f>
        <v>236</v>
      </c>
      <c r="J1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6" s="5">
        <f>VLOOKUP(TrendSheetStgData[Population]&amp;TrendSheetStgData[Trend],Threshold[#All],4,FALSE)</f>
        <v>10</v>
      </c>
      <c r="L1146" s="5">
        <f>VLOOKUP(TrendSheetStgData[Population]&amp;TrendSheetStgData[Trend],Threshold[#All],5,FALSE)</f>
        <v>5</v>
      </c>
      <c r="M1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7" spans="1:13" x14ac:dyDescent="0.25">
      <c r="A1147" t="s">
        <v>111</v>
      </c>
      <c r="B1147" t="s">
        <v>111</v>
      </c>
      <c r="C1147" t="s">
        <v>91</v>
      </c>
      <c r="D1147" s="1" t="s">
        <v>99</v>
      </c>
      <c r="E1147" t="s">
        <v>93</v>
      </c>
      <c r="F1147" t="s">
        <v>33</v>
      </c>
      <c r="G1147">
        <v>22</v>
      </c>
      <c r="H1147">
        <v>270</v>
      </c>
      <c r="I1147" s="5">
        <f>VLOOKUP(TrendSheetStgData[Population]&amp;TrendSheetStgData[Cost Basis]&amp;TrendSheetStgData[Period]&amp;TrendSheetStgData[Trend],TrendSheetPrdData[#All],9,FALSE)</f>
        <v>270</v>
      </c>
      <c r="J1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7" s="5">
        <f>VLOOKUP(TrendSheetStgData[Population]&amp;TrendSheetStgData[Trend],Threshold[#All],4,FALSE)</f>
        <v>10</v>
      </c>
      <c r="L1147" s="5">
        <f>VLOOKUP(TrendSheetStgData[Population]&amp;TrendSheetStgData[Trend],Threshold[#All],5,FALSE)</f>
        <v>5</v>
      </c>
      <c r="M1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8" spans="1:13" x14ac:dyDescent="0.25">
      <c r="A1148" t="s">
        <v>111</v>
      </c>
      <c r="B1148" t="s">
        <v>111</v>
      </c>
      <c r="C1148" t="s">
        <v>91</v>
      </c>
      <c r="D1148" s="1" t="s">
        <v>100</v>
      </c>
      <c r="E1148" t="s">
        <v>93</v>
      </c>
      <c r="F1148" t="s">
        <v>33</v>
      </c>
      <c r="G1148">
        <v>22</v>
      </c>
      <c r="H1148">
        <v>222</v>
      </c>
      <c r="I1148" s="5">
        <f>VLOOKUP(TrendSheetStgData[Population]&amp;TrendSheetStgData[Cost Basis]&amp;TrendSheetStgData[Period]&amp;TrendSheetStgData[Trend],TrendSheetPrdData[#All],9,FALSE)</f>
        <v>222</v>
      </c>
      <c r="J1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8" s="5">
        <f>VLOOKUP(TrendSheetStgData[Population]&amp;TrendSheetStgData[Trend],Threshold[#All],4,FALSE)</f>
        <v>10</v>
      </c>
      <c r="L1148" s="5">
        <f>VLOOKUP(TrendSheetStgData[Population]&amp;TrendSheetStgData[Trend],Threshold[#All],5,FALSE)</f>
        <v>5</v>
      </c>
      <c r="M1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9" spans="1:13" x14ac:dyDescent="0.25">
      <c r="A1149" t="s">
        <v>111</v>
      </c>
      <c r="B1149" t="s">
        <v>111</v>
      </c>
      <c r="C1149" t="s">
        <v>91</v>
      </c>
      <c r="D1149" s="1" t="s">
        <v>101</v>
      </c>
      <c r="E1149" t="s">
        <v>93</v>
      </c>
      <c r="F1149" t="s">
        <v>33</v>
      </c>
      <c r="G1149">
        <v>22</v>
      </c>
      <c r="H1149">
        <v>210</v>
      </c>
      <c r="I1149" s="5">
        <f>VLOOKUP(TrendSheetStgData[Population]&amp;TrendSheetStgData[Cost Basis]&amp;TrendSheetStgData[Period]&amp;TrendSheetStgData[Trend],TrendSheetPrdData[#All],9,FALSE)</f>
        <v>210</v>
      </c>
      <c r="J1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9" s="5">
        <f>VLOOKUP(TrendSheetStgData[Population]&amp;TrendSheetStgData[Trend],Threshold[#All],4,FALSE)</f>
        <v>10</v>
      </c>
      <c r="L1149" s="5">
        <f>VLOOKUP(TrendSheetStgData[Population]&amp;TrendSheetStgData[Trend],Threshold[#All],5,FALSE)</f>
        <v>5</v>
      </c>
      <c r="M1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0" spans="1:13" x14ac:dyDescent="0.25">
      <c r="A1150" t="s">
        <v>111</v>
      </c>
      <c r="B1150" t="s">
        <v>111</v>
      </c>
      <c r="C1150" t="s">
        <v>91</v>
      </c>
      <c r="D1150" s="1" t="s">
        <v>102</v>
      </c>
      <c r="E1150" t="s">
        <v>93</v>
      </c>
      <c r="F1150" t="s">
        <v>33</v>
      </c>
      <c r="G1150">
        <v>22</v>
      </c>
      <c r="H1150">
        <v>236</v>
      </c>
      <c r="I1150" s="5">
        <f>VLOOKUP(TrendSheetStgData[Population]&amp;TrendSheetStgData[Cost Basis]&amp;TrendSheetStgData[Period]&amp;TrendSheetStgData[Trend],TrendSheetPrdData[#All],9,FALSE)</f>
        <v>236</v>
      </c>
      <c r="J1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0" s="5">
        <f>VLOOKUP(TrendSheetStgData[Population]&amp;TrendSheetStgData[Trend],Threshold[#All],4,FALSE)</f>
        <v>10</v>
      </c>
      <c r="L1150" s="5">
        <f>VLOOKUP(TrendSheetStgData[Population]&amp;TrendSheetStgData[Trend],Threshold[#All],5,FALSE)</f>
        <v>5</v>
      </c>
      <c r="M1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1" spans="1:13" x14ac:dyDescent="0.25">
      <c r="A1151" t="s">
        <v>111</v>
      </c>
      <c r="B1151" t="s">
        <v>111</v>
      </c>
      <c r="C1151" t="s">
        <v>91</v>
      </c>
      <c r="D1151" s="1" t="s">
        <v>103</v>
      </c>
      <c r="E1151" t="s">
        <v>93</v>
      </c>
      <c r="F1151" t="s">
        <v>33</v>
      </c>
      <c r="G1151">
        <v>22</v>
      </c>
      <c r="H1151">
        <v>206</v>
      </c>
      <c r="I1151" s="5">
        <f>VLOOKUP(TrendSheetStgData[Population]&amp;TrendSheetStgData[Cost Basis]&amp;TrendSheetStgData[Period]&amp;TrendSheetStgData[Trend],TrendSheetPrdData[#All],9,FALSE)</f>
        <v>206</v>
      </c>
      <c r="J1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1" s="5">
        <f>VLOOKUP(TrendSheetStgData[Population]&amp;TrendSheetStgData[Trend],Threshold[#All],4,FALSE)</f>
        <v>10</v>
      </c>
      <c r="L1151" s="5">
        <f>VLOOKUP(TrendSheetStgData[Population]&amp;TrendSheetStgData[Trend],Threshold[#All],5,FALSE)</f>
        <v>5</v>
      </c>
      <c r="M1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2" spans="1:13" x14ac:dyDescent="0.25">
      <c r="A1152" t="s">
        <v>111</v>
      </c>
      <c r="B1152" t="s">
        <v>111</v>
      </c>
      <c r="C1152" t="s">
        <v>91</v>
      </c>
      <c r="D1152" s="1" t="s">
        <v>104</v>
      </c>
      <c r="E1152" t="s">
        <v>93</v>
      </c>
      <c r="F1152" t="s">
        <v>33</v>
      </c>
      <c r="G1152">
        <v>22</v>
      </c>
      <c r="H1152">
        <v>340</v>
      </c>
      <c r="I1152" s="5">
        <f>VLOOKUP(TrendSheetStgData[Population]&amp;TrendSheetStgData[Cost Basis]&amp;TrendSheetStgData[Period]&amp;TrendSheetStgData[Trend],TrendSheetPrdData[#All],9,FALSE)</f>
        <v>340</v>
      </c>
      <c r="J1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2" s="5">
        <f>VLOOKUP(TrendSheetStgData[Population]&amp;TrendSheetStgData[Trend],Threshold[#All],4,FALSE)</f>
        <v>10</v>
      </c>
      <c r="L1152" s="5">
        <f>VLOOKUP(TrendSheetStgData[Population]&amp;TrendSheetStgData[Trend],Threshold[#All],5,FALSE)</f>
        <v>5</v>
      </c>
      <c r="M1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3" spans="1:13" x14ac:dyDescent="0.25">
      <c r="A1153" t="s">
        <v>111</v>
      </c>
      <c r="B1153" t="s">
        <v>111</v>
      </c>
      <c r="C1153" t="s">
        <v>91</v>
      </c>
      <c r="D1153" s="1" t="s">
        <v>105</v>
      </c>
      <c r="E1153" t="s">
        <v>108</v>
      </c>
      <c r="F1153" t="s">
        <v>33</v>
      </c>
      <c r="G1153">
        <v>22</v>
      </c>
      <c r="H1153">
        <v>224</v>
      </c>
      <c r="I1153" s="5">
        <f>VLOOKUP(TrendSheetStgData[Population]&amp;TrendSheetStgData[Cost Basis]&amp;TrendSheetStgData[Period]&amp;TrendSheetStgData[Trend],TrendSheetPrdData[#All],9,FALSE)</f>
        <v>224</v>
      </c>
      <c r="J1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3" s="5">
        <f>VLOOKUP(TrendSheetStgData[Population]&amp;TrendSheetStgData[Trend],Threshold[#All],4,FALSE)</f>
        <v>10</v>
      </c>
      <c r="L1153" s="5">
        <f>VLOOKUP(TrendSheetStgData[Population]&amp;TrendSheetStgData[Trend],Threshold[#All],5,FALSE)</f>
        <v>5</v>
      </c>
      <c r="M1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4" spans="1:13" x14ac:dyDescent="0.25">
      <c r="A1154" t="s">
        <v>111</v>
      </c>
      <c r="B1154" t="s">
        <v>111</v>
      </c>
      <c r="C1154" t="s">
        <v>91</v>
      </c>
      <c r="D1154" s="1" t="s">
        <v>106</v>
      </c>
      <c r="E1154" t="s">
        <v>108</v>
      </c>
      <c r="F1154" t="s">
        <v>33</v>
      </c>
      <c r="G1154">
        <v>22</v>
      </c>
      <c r="H1154">
        <v>188</v>
      </c>
      <c r="I1154" s="5">
        <f>VLOOKUP(TrendSheetStgData[Population]&amp;TrendSheetStgData[Cost Basis]&amp;TrendSheetStgData[Period]&amp;TrendSheetStgData[Trend],TrendSheetPrdData[#All],9,FALSE)</f>
        <v>188</v>
      </c>
      <c r="J1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4" s="5">
        <f>VLOOKUP(TrendSheetStgData[Population]&amp;TrendSheetStgData[Trend],Threshold[#All],4,FALSE)</f>
        <v>10</v>
      </c>
      <c r="L1154" s="5">
        <f>VLOOKUP(TrendSheetStgData[Population]&amp;TrendSheetStgData[Trend],Threshold[#All],5,FALSE)</f>
        <v>5</v>
      </c>
      <c r="M1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5" spans="1:13" x14ac:dyDescent="0.25">
      <c r="A1155" t="s">
        <v>111</v>
      </c>
      <c r="B1155" t="s">
        <v>111</v>
      </c>
      <c r="C1155" t="s">
        <v>91</v>
      </c>
      <c r="D1155" s="1" t="s">
        <v>107</v>
      </c>
      <c r="E1155" t="s">
        <v>108</v>
      </c>
      <c r="F1155" t="s">
        <v>33</v>
      </c>
      <c r="G1155">
        <v>22</v>
      </c>
      <c r="H1155">
        <v>224</v>
      </c>
      <c r="I1155" s="5">
        <f>VLOOKUP(TrendSheetStgData[Population]&amp;TrendSheetStgData[Cost Basis]&amp;TrendSheetStgData[Period]&amp;TrendSheetStgData[Trend],TrendSheetPrdData[#All],9,FALSE)</f>
        <v>224</v>
      </c>
      <c r="J1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5" s="5">
        <f>VLOOKUP(TrendSheetStgData[Population]&amp;TrendSheetStgData[Trend],Threshold[#All],4,FALSE)</f>
        <v>10</v>
      </c>
      <c r="L1155" s="5">
        <f>VLOOKUP(TrendSheetStgData[Population]&amp;TrendSheetStgData[Trend],Threshold[#All],5,FALSE)</f>
        <v>5</v>
      </c>
      <c r="M1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6" spans="1:13" x14ac:dyDescent="0.25">
      <c r="A1156" t="s">
        <v>111</v>
      </c>
      <c r="B1156" t="s">
        <v>111</v>
      </c>
      <c r="C1156" t="s">
        <v>91</v>
      </c>
      <c r="D1156" s="1" t="s">
        <v>109</v>
      </c>
      <c r="E1156" t="s">
        <v>108</v>
      </c>
      <c r="F1156" t="s">
        <v>33</v>
      </c>
      <c r="G1156">
        <v>22</v>
      </c>
      <c r="H1156">
        <v>214</v>
      </c>
      <c r="I1156" s="5">
        <f>VLOOKUP(TrendSheetStgData[Population]&amp;TrendSheetStgData[Cost Basis]&amp;TrendSheetStgData[Period]&amp;TrendSheetStgData[Trend],TrendSheetPrdData[#All],9,FALSE)</f>
        <v>214</v>
      </c>
      <c r="J1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6" s="5">
        <f>VLOOKUP(TrendSheetStgData[Population]&amp;TrendSheetStgData[Trend],Threshold[#All],4,FALSE)</f>
        <v>10</v>
      </c>
      <c r="L1156" s="5">
        <f>VLOOKUP(TrendSheetStgData[Population]&amp;TrendSheetStgData[Trend],Threshold[#All],5,FALSE)</f>
        <v>5</v>
      </c>
      <c r="M1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7" spans="1:13" x14ac:dyDescent="0.25">
      <c r="A1157" t="s">
        <v>111</v>
      </c>
      <c r="B1157" t="s">
        <v>111</v>
      </c>
      <c r="C1157" t="s">
        <v>91</v>
      </c>
      <c r="D1157" s="1" t="s">
        <v>110</v>
      </c>
      <c r="E1157" t="s">
        <v>108</v>
      </c>
      <c r="F1157" t="s">
        <v>33</v>
      </c>
      <c r="G1157">
        <v>22</v>
      </c>
      <c r="H1157">
        <v>86</v>
      </c>
      <c r="I1157" s="5">
        <f>VLOOKUP(TrendSheetStgData[Population]&amp;TrendSheetStgData[Cost Basis]&amp;TrendSheetStgData[Period]&amp;TrendSheetStgData[Trend],TrendSheetPrdData[#All],9,FALSE)</f>
        <v>86</v>
      </c>
      <c r="J1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7" s="5">
        <f>VLOOKUP(TrendSheetStgData[Population]&amp;TrendSheetStgData[Trend],Threshold[#All],4,FALSE)</f>
        <v>10</v>
      </c>
      <c r="L1157" s="5">
        <f>VLOOKUP(TrendSheetStgData[Population]&amp;TrendSheetStgData[Trend],Threshold[#All],5,FALSE)</f>
        <v>5</v>
      </c>
      <c r="M1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8" spans="1:13" x14ac:dyDescent="0.25">
      <c r="A1158" t="s">
        <v>111</v>
      </c>
      <c r="B1158" t="s">
        <v>111</v>
      </c>
      <c r="C1158" t="s">
        <v>91</v>
      </c>
      <c r="D1158" s="1" t="s">
        <v>92</v>
      </c>
      <c r="E1158" t="s">
        <v>93</v>
      </c>
      <c r="F1158" t="s">
        <v>34</v>
      </c>
      <c r="G1158">
        <v>23</v>
      </c>
      <c r="H1158">
        <v>2588</v>
      </c>
      <c r="I1158" s="5">
        <f>VLOOKUP(TrendSheetStgData[Population]&amp;TrendSheetStgData[Cost Basis]&amp;TrendSheetStgData[Period]&amp;TrendSheetStgData[Trend],TrendSheetPrdData[#All],9,FALSE)</f>
        <v>2588</v>
      </c>
      <c r="J1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8" s="5">
        <f>VLOOKUP(TrendSheetStgData[Population]&amp;TrendSheetStgData[Trend],Threshold[#All],4,FALSE)</f>
        <v>10</v>
      </c>
      <c r="L1158" s="5">
        <f>VLOOKUP(TrendSheetStgData[Population]&amp;TrendSheetStgData[Trend],Threshold[#All],5,FALSE)</f>
        <v>5</v>
      </c>
      <c r="M1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9" spans="1:13" x14ac:dyDescent="0.25">
      <c r="A1159" t="s">
        <v>111</v>
      </c>
      <c r="B1159" t="s">
        <v>111</v>
      </c>
      <c r="C1159" t="s">
        <v>91</v>
      </c>
      <c r="D1159" s="1" t="s">
        <v>94</v>
      </c>
      <c r="E1159" t="s">
        <v>93</v>
      </c>
      <c r="F1159" t="s">
        <v>34</v>
      </c>
      <c r="G1159">
        <v>23</v>
      </c>
      <c r="H1159">
        <v>2623</v>
      </c>
      <c r="I1159" s="5">
        <f>VLOOKUP(TrendSheetStgData[Population]&amp;TrendSheetStgData[Cost Basis]&amp;TrendSheetStgData[Period]&amp;TrendSheetStgData[Trend],TrendSheetPrdData[#All],9,FALSE)</f>
        <v>2623</v>
      </c>
      <c r="J1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9" s="5">
        <f>VLOOKUP(TrendSheetStgData[Population]&amp;TrendSheetStgData[Trend],Threshold[#All],4,FALSE)</f>
        <v>10</v>
      </c>
      <c r="L1159" s="5">
        <f>VLOOKUP(TrendSheetStgData[Population]&amp;TrendSheetStgData[Trend],Threshold[#All],5,FALSE)</f>
        <v>5</v>
      </c>
      <c r="M1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0" spans="1:13" x14ac:dyDescent="0.25">
      <c r="A1160" t="s">
        <v>111</v>
      </c>
      <c r="B1160" t="s">
        <v>111</v>
      </c>
      <c r="C1160" t="s">
        <v>91</v>
      </c>
      <c r="D1160" s="1" t="s">
        <v>95</v>
      </c>
      <c r="E1160" t="s">
        <v>93</v>
      </c>
      <c r="F1160" t="s">
        <v>34</v>
      </c>
      <c r="G1160">
        <v>23</v>
      </c>
      <c r="H1160">
        <v>2783</v>
      </c>
      <c r="I1160" s="5">
        <f>VLOOKUP(TrendSheetStgData[Population]&amp;TrendSheetStgData[Cost Basis]&amp;TrendSheetStgData[Period]&amp;TrendSheetStgData[Trend],TrendSheetPrdData[#All],9,FALSE)</f>
        <v>2783</v>
      </c>
      <c r="J1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0" s="5">
        <f>VLOOKUP(TrendSheetStgData[Population]&amp;TrendSheetStgData[Trend],Threshold[#All],4,FALSE)</f>
        <v>10</v>
      </c>
      <c r="L1160" s="5">
        <f>VLOOKUP(TrendSheetStgData[Population]&amp;TrendSheetStgData[Trend],Threshold[#All],5,FALSE)</f>
        <v>5</v>
      </c>
      <c r="M1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1" spans="1:13" x14ac:dyDescent="0.25">
      <c r="A1161" t="s">
        <v>111</v>
      </c>
      <c r="B1161" t="s">
        <v>111</v>
      </c>
      <c r="C1161" t="s">
        <v>91</v>
      </c>
      <c r="D1161" s="1" t="s">
        <v>96</v>
      </c>
      <c r="E1161" t="s">
        <v>93</v>
      </c>
      <c r="F1161" t="s">
        <v>34</v>
      </c>
      <c r="G1161">
        <v>23</v>
      </c>
      <c r="H1161">
        <v>2531</v>
      </c>
      <c r="I1161" s="5">
        <f>VLOOKUP(TrendSheetStgData[Population]&amp;TrendSheetStgData[Cost Basis]&amp;TrendSheetStgData[Period]&amp;TrendSheetStgData[Trend],TrendSheetPrdData[#All],9,FALSE)</f>
        <v>2531</v>
      </c>
      <c r="J1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1" s="5">
        <f>VLOOKUP(TrendSheetStgData[Population]&amp;TrendSheetStgData[Trend],Threshold[#All],4,FALSE)</f>
        <v>10</v>
      </c>
      <c r="L1161" s="5">
        <f>VLOOKUP(TrendSheetStgData[Population]&amp;TrendSheetStgData[Trend],Threshold[#All],5,FALSE)</f>
        <v>5</v>
      </c>
      <c r="M1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2" spans="1:13" x14ac:dyDescent="0.25">
      <c r="A1162" t="s">
        <v>111</v>
      </c>
      <c r="B1162" t="s">
        <v>111</v>
      </c>
      <c r="C1162" t="s">
        <v>91</v>
      </c>
      <c r="D1162" s="1" t="s">
        <v>97</v>
      </c>
      <c r="E1162" t="s">
        <v>93</v>
      </c>
      <c r="F1162" t="s">
        <v>34</v>
      </c>
      <c r="G1162">
        <v>23</v>
      </c>
      <c r="H1162">
        <v>2628</v>
      </c>
      <c r="I1162" s="5">
        <f>VLOOKUP(TrendSheetStgData[Population]&amp;TrendSheetStgData[Cost Basis]&amp;TrendSheetStgData[Period]&amp;TrendSheetStgData[Trend],TrendSheetPrdData[#All],9,FALSE)</f>
        <v>2628</v>
      </c>
      <c r="J1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2" s="5">
        <f>VLOOKUP(TrendSheetStgData[Population]&amp;TrendSheetStgData[Trend],Threshold[#All],4,FALSE)</f>
        <v>10</v>
      </c>
      <c r="L1162" s="5">
        <f>VLOOKUP(TrendSheetStgData[Population]&amp;TrendSheetStgData[Trend],Threshold[#All],5,FALSE)</f>
        <v>5</v>
      </c>
      <c r="M1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3" spans="1:13" x14ac:dyDescent="0.25">
      <c r="A1163" t="s">
        <v>111</v>
      </c>
      <c r="B1163" t="s">
        <v>111</v>
      </c>
      <c r="C1163" t="s">
        <v>91</v>
      </c>
      <c r="D1163" s="1" t="s">
        <v>98</v>
      </c>
      <c r="E1163" t="s">
        <v>93</v>
      </c>
      <c r="F1163" t="s">
        <v>34</v>
      </c>
      <c r="G1163">
        <v>23</v>
      </c>
      <c r="H1163">
        <v>2573</v>
      </c>
      <c r="I1163" s="5">
        <f>VLOOKUP(TrendSheetStgData[Population]&amp;TrendSheetStgData[Cost Basis]&amp;TrendSheetStgData[Period]&amp;TrendSheetStgData[Trend],TrendSheetPrdData[#All],9,FALSE)</f>
        <v>2573</v>
      </c>
      <c r="J1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3" s="5">
        <f>VLOOKUP(TrendSheetStgData[Population]&amp;TrendSheetStgData[Trend],Threshold[#All],4,FALSE)</f>
        <v>10</v>
      </c>
      <c r="L1163" s="5">
        <f>VLOOKUP(TrendSheetStgData[Population]&amp;TrendSheetStgData[Trend],Threshold[#All],5,FALSE)</f>
        <v>5</v>
      </c>
      <c r="M1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4" spans="1:13" x14ac:dyDescent="0.25">
      <c r="A1164" t="s">
        <v>111</v>
      </c>
      <c r="B1164" t="s">
        <v>111</v>
      </c>
      <c r="C1164" t="s">
        <v>91</v>
      </c>
      <c r="D1164" s="1" t="s">
        <v>99</v>
      </c>
      <c r="E1164" t="s">
        <v>93</v>
      </c>
      <c r="F1164" t="s">
        <v>34</v>
      </c>
      <c r="G1164">
        <v>23</v>
      </c>
      <c r="H1164">
        <v>2302</v>
      </c>
      <c r="I1164" s="5">
        <f>VLOOKUP(TrendSheetStgData[Population]&amp;TrendSheetStgData[Cost Basis]&amp;TrendSheetStgData[Period]&amp;TrendSheetStgData[Trend],TrendSheetPrdData[#All],9,FALSE)</f>
        <v>2302</v>
      </c>
      <c r="J1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4" s="5">
        <f>VLOOKUP(TrendSheetStgData[Population]&amp;TrendSheetStgData[Trend],Threshold[#All],4,FALSE)</f>
        <v>10</v>
      </c>
      <c r="L1164" s="5">
        <f>VLOOKUP(TrendSheetStgData[Population]&amp;TrendSheetStgData[Trend],Threshold[#All],5,FALSE)</f>
        <v>5</v>
      </c>
      <c r="M1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5" spans="1:13" x14ac:dyDescent="0.25">
      <c r="A1165" t="s">
        <v>111</v>
      </c>
      <c r="B1165" t="s">
        <v>111</v>
      </c>
      <c r="C1165" t="s">
        <v>91</v>
      </c>
      <c r="D1165" s="1" t="s">
        <v>100</v>
      </c>
      <c r="E1165" t="s">
        <v>93</v>
      </c>
      <c r="F1165" t="s">
        <v>34</v>
      </c>
      <c r="G1165">
        <v>23</v>
      </c>
      <c r="H1165">
        <v>2724</v>
      </c>
      <c r="I1165" s="5">
        <f>VLOOKUP(TrendSheetStgData[Population]&amp;TrendSheetStgData[Cost Basis]&amp;TrendSheetStgData[Period]&amp;TrendSheetStgData[Trend],TrendSheetPrdData[#All],9,FALSE)</f>
        <v>2724</v>
      </c>
      <c r="J1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5" s="5">
        <f>VLOOKUP(TrendSheetStgData[Population]&amp;TrendSheetStgData[Trend],Threshold[#All],4,FALSE)</f>
        <v>10</v>
      </c>
      <c r="L1165" s="5">
        <f>VLOOKUP(TrendSheetStgData[Population]&amp;TrendSheetStgData[Trend],Threshold[#All],5,FALSE)</f>
        <v>5</v>
      </c>
      <c r="M1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6" spans="1:13" x14ac:dyDescent="0.25">
      <c r="A1166" t="s">
        <v>111</v>
      </c>
      <c r="B1166" t="s">
        <v>111</v>
      </c>
      <c r="C1166" t="s">
        <v>91</v>
      </c>
      <c r="D1166" s="1" t="s">
        <v>101</v>
      </c>
      <c r="E1166" t="s">
        <v>93</v>
      </c>
      <c r="F1166" t="s">
        <v>34</v>
      </c>
      <c r="G1166">
        <v>23</v>
      </c>
      <c r="H1166">
        <v>2692</v>
      </c>
      <c r="I1166" s="5">
        <f>VLOOKUP(TrendSheetStgData[Population]&amp;TrendSheetStgData[Cost Basis]&amp;TrendSheetStgData[Period]&amp;TrendSheetStgData[Trend],TrendSheetPrdData[#All],9,FALSE)</f>
        <v>2692</v>
      </c>
      <c r="J1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6" s="5">
        <f>VLOOKUP(TrendSheetStgData[Population]&amp;TrendSheetStgData[Trend],Threshold[#All],4,FALSE)</f>
        <v>10</v>
      </c>
      <c r="L1166" s="5">
        <f>VLOOKUP(TrendSheetStgData[Population]&amp;TrendSheetStgData[Trend],Threshold[#All],5,FALSE)</f>
        <v>5</v>
      </c>
      <c r="M1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7" spans="1:13" x14ac:dyDescent="0.25">
      <c r="A1167" t="s">
        <v>111</v>
      </c>
      <c r="B1167" t="s">
        <v>111</v>
      </c>
      <c r="C1167" t="s">
        <v>91</v>
      </c>
      <c r="D1167" s="1" t="s">
        <v>102</v>
      </c>
      <c r="E1167" t="s">
        <v>93</v>
      </c>
      <c r="F1167" t="s">
        <v>34</v>
      </c>
      <c r="G1167">
        <v>23</v>
      </c>
      <c r="H1167">
        <v>2662</v>
      </c>
      <c r="I1167" s="5">
        <f>VLOOKUP(TrendSheetStgData[Population]&amp;TrendSheetStgData[Cost Basis]&amp;TrendSheetStgData[Period]&amp;TrendSheetStgData[Trend],TrendSheetPrdData[#All],9,FALSE)</f>
        <v>2662</v>
      </c>
      <c r="J1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7" s="5">
        <f>VLOOKUP(TrendSheetStgData[Population]&amp;TrendSheetStgData[Trend],Threshold[#All],4,FALSE)</f>
        <v>10</v>
      </c>
      <c r="L1167" s="5">
        <f>VLOOKUP(TrendSheetStgData[Population]&amp;TrendSheetStgData[Trend],Threshold[#All],5,FALSE)</f>
        <v>5</v>
      </c>
      <c r="M1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8" spans="1:13" x14ac:dyDescent="0.25">
      <c r="A1168" t="s">
        <v>111</v>
      </c>
      <c r="B1168" t="s">
        <v>111</v>
      </c>
      <c r="C1168" t="s">
        <v>91</v>
      </c>
      <c r="D1168" s="1" t="s">
        <v>103</v>
      </c>
      <c r="E1168" t="s">
        <v>93</v>
      </c>
      <c r="F1168" t="s">
        <v>34</v>
      </c>
      <c r="G1168">
        <v>23</v>
      </c>
      <c r="H1168">
        <v>2810</v>
      </c>
      <c r="I1168" s="5">
        <f>VLOOKUP(TrendSheetStgData[Population]&amp;TrendSheetStgData[Cost Basis]&amp;TrendSheetStgData[Period]&amp;TrendSheetStgData[Trend],TrendSheetPrdData[#All],9,FALSE)</f>
        <v>2810</v>
      </c>
      <c r="J1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8" s="5">
        <f>VLOOKUP(TrendSheetStgData[Population]&amp;TrendSheetStgData[Trend],Threshold[#All],4,FALSE)</f>
        <v>10</v>
      </c>
      <c r="L1168" s="5">
        <f>VLOOKUP(TrendSheetStgData[Population]&amp;TrendSheetStgData[Trend],Threshold[#All],5,FALSE)</f>
        <v>5</v>
      </c>
      <c r="M1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9" spans="1:13" x14ac:dyDescent="0.25">
      <c r="A1169" t="s">
        <v>111</v>
      </c>
      <c r="B1169" t="s">
        <v>111</v>
      </c>
      <c r="C1169" t="s">
        <v>91</v>
      </c>
      <c r="D1169" s="1" t="s">
        <v>104</v>
      </c>
      <c r="E1169" t="s">
        <v>93</v>
      </c>
      <c r="F1169" t="s">
        <v>34</v>
      </c>
      <c r="G1169">
        <v>23</v>
      </c>
      <c r="H1169">
        <v>2807</v>
      </c>
      <c r="I1169" s="5">
        <f>VLOOKUP(TrendSheetStgData[Population]&amp;TrendSheetStgData[Cost Basis]&amp;TrendSheetStgData[Period]&amp;TrendSheetStgData[Trend],TrendSheetPrdData[#All],9,FALSE)</f>
        <v>2807</v>
      </c>
      <c r="J1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9" s="5">
        <f>VLOOKUP(TrendSheetStgData[Population]&amp;TrendSheetStgData[Trend],Threshold[#All],4,FALSE)</f>
        <v>10</v>
      </c>
      <c r="L1169" s="5">
        <f>VLOOKUP(TrendSheetStgData[Population]&amp;TrendSheetStgData[Trend],Threshold[#All],5,FALSE)</f>
        <v>5</v>
      </c>
      <c r="M1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0" spans="1:13" x14ac:dyDescent="0.25">
      <c r="A1170" t="s">
        <v>111</v>
      </c>
      <c r="B1170" t="s">
        <v>111</v>
      </c>
      <c r="C1170" t="s">
        <v>91</v>
      </c>
      <c r="D1170" s="1" t="s">
        <v>105</v>
      </c>
      <c r="E1170" t="s">
        <v>108</v>
      </c>
      <c r="F1170" t="s">
        <v>34</v>
      </c>
      <c r="G1170">
        <v>23</v>
      </c>
      <c r="H1170">
        <v>3049</v>
      </c>
      <c r="I1170" s="5">
        <f>VLOOKUP(TrendSheetStgData[Population]&amp;TrendSheetStgData[Cost Basis]&amp;TrendSheetStgData[Period]&amp;TrendSheetStgData[Trend],TrendSheetPrdData[#All],9,FALSE)</f>
        <v>3049</v>
      </c>
      <c r="J1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0" s="5">
        <f>VLOOKUP(TrendSheetStgData[Population]&amp;TrendSheetStgData[Trend],Threshold[#All],4,FALSE)</f>
        <v>10</v>
      </c>
      <c r="L1170" s="5">
        <f>VLOOKUP(TrendSheetStgData[Population]&amp;TrendSheetStgData[Trend],Threshold[#All],5,FALSE)</f>
        <v>5</v>
      </c>
      <c r="M1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1" spans="1:13" x14ac:dyDescent="0.25">
      <c r="A1171" t="s">
        <v>111</v>
      </c>
      <c r="B1171" t="s">
        <v>111</v>
      </c>
      <c r="C1171" t="s">
        <v>91</v>
      </c>
      <c r="D1171" s="1" t="s">
        <v>106</v>
      </c>
      <c r="E1171" t="s">
        <v>108</v>
      </c>
      <c r="F1171" t="s">
        <v>34</v>
      </c>
      <c r="G1171">
        <v>23</v>
      </c>
      <c r="H1171">
        <v>2793</v>
      </c>
      <c r="I1171" s="5">
        <f>VLOOKUP(TrendSheetStgData[Population]&amp;TrendSheetStgData[Cost Basis]&amp;TrendSheetStgData[Period]&amp;TrendSheetStgData[Trend],TrendSheetPrdData[#All],9,FALSE)</f>
        <v>2793</v>
      </c>
      <c r="J1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1" s="5">
        <f>VLOOKUP(TrendSheetStgData[Population]&amp;TrendSheetStgData[Trend],Threshold[#All],4,FALSE)</f>
        <v>10</v>
      </c>
      <c r="L1171" s="5">
        <f>VLOOKUP(TrendSheetStgData[Population]&amp;TrendSheetStgData[Trend],Threshold[#All],5,FALSE)</f>
        <v>5</v>
      </c>
      <c r="M1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2" spans="1:13" x14ac:dyDescent="0.25">
      <c r="A1172" t="s">
        <v>111</v>
      </c>
      <c r="B1172" t="s">
        <v>111</v>
      </c>
      <c r="C1172" t="s">
        <v>91</v>
      </c>
      <c r="D1172" s="1" t="s">
        <v>107</v>
      </c>
      <c r="E1172" t="s">
        <v>108</v>
      </c>
      <c r="F1172" t="s">
        <v>34</v>
      </c>
      <c r="G1172">
        <v>23</v>
      </c>
      <c r="H1172">
        <v>2891</v>
      </c>
      <c r="I1172" s="5">
        <f>VLOOKUP(TrendSheetStgData[Population]&amp;TrendSheetStgData[Cost Basis]&amp;TrendSheetStgData[Period]&amp;TrendSheetStgData[Trend],TrendSheetPrdData[#All],9,FALSE)</f>
        <v>2891</v>
      </c>
      <c r="J1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2" s="5">
        <f>VLOOKUP(TrendSheetStgData[Population]&amp;TrendSheetStgData[Trend],Threshold[#All],4,FALSE)</f>
        <v>10</v>
      </c>
      <c r="L1172" s="5">
        <f>VLOOKUP(TrendSheetStgData[Population]&amp;TrendSheetStgData[Trend],Threshold[#All],5,FALSE)</f>
        <v>5</v>
      </c>
      <c r="M1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3" spans="1:13" x14ac:dyDescent="0.25">
      <c r="A1173" t="s">
        <v>111</v>
      </c>
      <c r="B1173" t="s">
        <v>111</v>
      </c>
      <c r="C1173" t="s">
        <v>91</v>
      </c>
      <c r="D1173" s="1" t="s">
        <v>109</v>
      </c>
      <c r="E1173" t="s">
        <v>108</v>
      </c>
      <c r="F1173" t="s">
        <v>34</v>
      </c>
      <c r="G1173">
        <v>23</v>
      </c>
      <c r="H1173">
        <v>2672</v>
      </c>
      <c r="I1173" s="5">
        <f>VLOOKUP(TrendSheetStgData[Population]&amp;TrendSheetStgData[Cost Basis]&amp;TrendSheetStgData[Period]&amp;TrendSheetStgData[Trend],TrendSheetPrdData[#All],9,FALSE)</f>
        <v>2672</v>
      </c>
      <c r="J1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3" s="5">
        <f>VLOOKUP(TrendSheetStgData[Population]&amp;TrendSheetStgData[Trend],Threshold[#All],4,FALSE)</f>
        <v>10</v>
      </c>
      <c r="L1173" s="5">
        <f>VLOOKUP(TrendSheetStgData[Population]&amp;TrendSheetStgData[Trend],Threshold[#All],5,FALSE)</f>
        <v>5</v>
      </c>
      <c r="M1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4" spans="1:13" x14ac:dyDescent="0.25">
      <c r="A1174" t="s">
        <v>111</v>
      </c>
      <c r="B1174" t="s">
        <v>111</v>
      </c>
      <c r="C1174" t="s">
        <v>91</v>
      </c>
      <c r="D1174" s="1" t="s">
        <v>110</v>
      </c>
      <c r="E1174" t="s">
        <v>108</v>
      </c>
      <c r="F1174" t="s">
        <v>34</v>
      </c>
      <c r="G1174">
        <v>23</v>
      </c>
      <c r="H1174">
        <v>2389</v>
      </c>
      <c r="I1174" s="5">
        <f>VLOOKUP(TrendSheetStgData[Population]&amp;TrendSheetStgData[Cost Basis]&amp;TrendSheetStgData[Period]&amp;TrendSheetStgData[Trend],TrendSheetPrdData[#All],9,FALSE)</f>
        <v>2389</v>
      </c>
      <c r="J1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4" s="5">
        <f>VLOOKUP(TrendSheetStgData[Population]&amp;TrendSheetStgData[Trend],Threshold[#All],4,FALSE)</f>
        <v>10</v>
      </c>
      <c r="L1174" s="5">
        <f>VLOOKUP(TrendSheetStgData[Population]&amp;TrendSheetStgData[Trend],Threshold[#All],5,FALSE)</f>
        <v>5</v>
      </c>
      <c r="M1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5" spans="1:13" x14ac:dyDescent="0.25">
      <c r="A1175" t="s">
        <v>111</v>
      </c>
      <c r="B1175" t="s">
        <v>111</v>
      </c>
      <c r="C1175" t="s">
        <v>78</v>
      </c>
      <c r="D1175" s="1" t="s">
        <v>92</v>
      </c>
      <c r="E1175" t="s">
        <v>93</v>
      </c>
      <c r="F1175" t="s">
        <v>12</v>
      </c>
      <c r="G1175">
        <v>1</v>
      </c>
      <c r="H1175">
        <v>234.51</v>
      </c>
      <c r="I1175" s="5">
        <f>VLOOKUP(TrendSheetStgData[Population]&amp;TrendSheetStgData[Cost Basis]&amp;TrendSheetStgData[Period]&amp;TrendSheetStgData[Trend],TrendSheetPrdData[#All],9,FALSE)</f>
        <v>234.51</v>
      </c>
      <c r="J1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5" s="5">
        <f>VLOOKUP(TrendSheetStgData[Population]&amp;TrendSheetStgData[Trend],Threshold[#All],4,FALSE)</f>
        <v>10</v>
      </c>
      <c r="L1175" s="5">
        <f>VLOOKUP(TrendSheetStgData[Population]&amp;TrendSheetStgData[Trend],Threshold[#All],5,FALSE)</f>
        <v>5</v>
      </c>
      <c r="M1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6" spans="1:13" x14ac:dyDescent="0.25">
      <c r="A1176" t="s">
        <v>111</v>
      </c>
      <c r="B1176" t="s">
        <v>111</v>
      </c>
      <c r="C1176" t="s">
        <v>78</v>
      </c>
      <c r="D1176" s="1" t="s">
        <v>94</v>
      </c>
      <c r="E1176" t="s">
        <v>93</v>
      </c>
      <c r="F1176" t="s">
        <v>12</v>
      </c>
      <c r="G1176">
        <v>1</v>
      </c>
      <c r="H1176">
        <v>248.49</v>
      </c>
      <c r="I1176" s="5">
        <f>VLOOKUP(TrendSheetStgData[Population]&amp;TrendSheetStgData[Cost Basis]&amp;TrendSheetStgData[Period]&amp;TrendSheetStgData[Trend],TrendSheetPrdData[#All],9,FALSE)</f>
        <v>248.49</v>
      </c>
      <c r="J1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6" s="5">
        <f>VLOOKUP(TrendSheetStgData[Population]&amp;TrendSheetStgData[Trend],Threshold[#All],4,FALSE)</f>
        <v>10</v>
      </c>
      <c r="L1176" s="5">
        <f>VLOOKUP(TrendSheetStgData[Population]&amp;TrendSheetStgData[Trend],Threshold[#All],5,FALSE)</f>
        <v>5</v>
      </c>
      <c r="M1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7" spans="1:13" x14ac:dyDescent="0.25">
      <c r="A1177" t="s">
        <v>111</v>
      </c>
      <c r="B1177" t="s">
        <v>111</v>
      </c>
      <c r="C1177" t="s">
        <v>78</v>
      </c>
      <c r="D1177" s="1" t="s">
        <v>95</v>
      </c>
      <c r="E1177" t="s">
        <v>93</v>
      </c>
      <c r="F1177" t="s">
        <v>12</v>
      </c>
      <c r="G1177">
        <v>1</v>
      </c>
      <c r="H1177">
        <v>220.94</v>
      </c>
      <c r="I1177" s="5">
        <f>VLOOKUP(TrendSheetStgData[Population]&amp;TrendSheetStgData[Cost Basis]&amp;TrendSheetStgData[Period]&amp;TrendSheetStgData[Trend],TrendSheetPrdData[#All],9,FALSE)</f>
        <v>220.94</v>
      </c>
      <c r="J1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7" s="5">
        <f>VLOOKUP(TrendSheetStgData[Population]&amp;TrendSheetStgData[Trend],Threshold[#All],4,FALSE)</f>
        <v>10</v>
      </c>
      <c r="L1177" s="5">
        <f>VLOOKUP(TrendSheetStgData[Population]&amp;TrendSheetStgData[Trend],Threshold[#All],5,FALSE)</f>
        <v>5</v>
      </c>
      <c r="M1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8" spans="1:13" x14ac:dyDescent="0.25">
      <c r="A1178" t="s">
        <v>111</v>
      </c>
      <c r="B1178" t="s">
        <v>111</v>
      </c>
      <c r="C1178" t="s">
        <v>78</v>
      </c>
      <c r="D1178" s="1" t="s">
        <v>96</v>
      </c>
      <c r="E1178" t="s">
        <v>93</v>
      </c>
      <c r="F1178" t="s">
        <v>12</v>
      </c>
      <c r="G1178">
        <v>1</v>
      </c>
      <c r="H1178">
        <v>411.01</v>
      </c>
      <c r="I1178" s="5">
        <f>VLOOKUP(TrendSheetStgData[Population]&amp;TrendSheetStgData[Cost Basis]&amp;TrendSheetStgData[Period]&amp;TrendSheetStgData[Trend],TrendSheetPrdData[#All],9,FALSE)</f>
        <v>411.01</v>
      </c>
      <c r="J1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8" s="5">
        <f>VLOOKUP(TrendSheetStgData[Population]&amp;TrendSheetStgData[Trend],Threshold[#All],4,FALSE)</f>
        <v>10</v>
      </c>
      <c r="L1178" s="5">
        <f>VLOOKUP(TrendSheetStgData[Population]&amp;TrendSheetStgData[Trend],Threshold[#All],5,FALSE)</f>
        <v>5</v>
      </c>
      <c r="M1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9" spans="1:13" x14ac:dyDescent="0.25">
      <c r="A1179" t="s">
        <v>111</v>
      </c>
      <c r="B1179" t="s">
        <v>111</v>
      </c>
      <c r="C1179" t="s">
        <v>78</v>
      </c>
      <c r="D1179" s="1" t="s">
        <v>97</v>
      </c>
      <c r="E1179" t="s">
        <v>93</v>
      </c>
      <c r="F1179" t="s">
        <v>12</v>
      </c>
      <c r="G1179">
        <v>1</v>
      </c>
      <c r="H1179">
        <v>222.59</v>
      </c>
      <c r="I1179" s="5">
        <f>VLOOKUP(TrendSheetStgData[Population]&amp;TrendSheetStgData[Cost Basis]&amp;TrendSheetStgData[Period]&amp;TrendSheetStgData[Trend],TrendSheetPrdData[#All],9,FALSE)</f>
        <v>222.59</v>
      </c>
      <c r="J1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9" s="5">
        <f>VLOOKUP(TrendSheetStgData[Population]&amp;TrendSheetStgData[Trend],Threshold[#All],4,FALSE)</f>
        <v>10</v>
      </c>
      <c r="L1179" s="5">
        <f>VLOOKUP(TrendSheetStgData[Population]&amp;TrendSheetStgData[Trend],Threshold[#All],5,FALSE)</f>
        <v>5</v>
      </c>
      <c r="M1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0" spans="1:13" x14ac:dyDescent="0.25">
      <c r="A1180" t="s">
        <v>111</v>
      </c>
      <c r="B1180" t="s">
        <v>111</v>
      </c>
      <c r="C1180" t="s">
        <v>78</v>
      </c>
      <c r="D1180" s="1" t="s">
        <v>98</v>
      </c>
      <c r="E1180" t="s">
        <v>93</v>
      </c>
      <c r="F1180" t="s">
        <v>12</v>
      </c>
      <c r="G1180">
        <v>1</v>
      </c>
      <c r="H1180">
        <v>216.26</v>
      </c>
      <c r="I1180" s="5">
        <f>VLOOKUP(TrendSheetStgData[Population]&amp;TrendSheetStgData[Cost Basis]&amp;TrendSheetStgData[Period]&amp;TrendSheetStgData[Trend],TrendSheetPrdData[#All],9,FALSE)</f>
        <v>216.26</v>
      </c>
      <c r="J1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0" s="5">
        <f>VLOOKUP(TrendSheetStgData[Population]&amp;TrendSheetStgData[Trend],Threshold[#All],4,FALSE)</f>
        <v>10</v>
      </c>
      <c r="L1180" s="5">
        <f>VLOOKUP(TrendSheetStgData[Population]&amp;TrendSheetStgData[Trend],Threshold[#All],5,FALSE)</f>
        <v>5</v>
      </c>
      <c r="M1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1" spans="1:13" x14ac:dyDescent="0.25">
      <c r="A1181" t="s">
        <v>111</v>
      </c>
      <c r="B1181" t="s">
        <v>111</v>
      </c>
      <c r="C1181" t="s">
        <v>78</v>
      </c>
      <c r="D1181" s="1" t="s">
        <v>99</v>
      </c>
      <c r="E1181" t="s">
        <v>93</v>
      </c>
      <c r="F1181" t="s">
        <v>12</v>
      </c>
      <c r="G1181">
        <v>1</v>
      </c>
      <c r="H1181">
        <v>253.13</v>
      </c>
      <c r="I1181" s="5">
        <f>VLOOKUP(TrendSheetStgData[Population]&amp;TrendSheetStgData[Cost Basis]&amp;TrendSheetStgData[Period]&amp;TrendSheetStgData[Trend],TrendSheetPrdData[#All],9,FALSE)</f>
        <v>253.13</v>
      </c>
      <c r="J1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1" s="5">
        <f>VLOOKUP(TrendSheetStgData[Population]&amp;TrendSheetStgData[Trend],Threshold[#All],4,FALSE)</f>
        <v>10</v>
      </c>
      <c r="L1181" s="5">
        <f>VLOOKUP(TrendSheetStgData[Population]&amp;TrendSheetStgData[Trend],Threshold[#All],5,FALSE)</f>
        <v>5</v>
      </c>
      <c r="M1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2" spans="1:13" x14ac:dyDescent="0.25">
      <c r="A1182" t="s">
        <v>111</v>
      </c>
      <c r="B1182" t="s">
        <v>111</v>
      </c>
      <c r="C1182" t="s">
        <v>78</v>
      </c>
      <c r="D1182" s="1" t="s">
        <v>100</v>
      </c>
      <c r="E1182" t="s">
        <v>93</v>
      </c>
      <c r="F1182" t="s">
        <v>12</v>
      </c>
      <c r="G1182">
        <v>1</v>
      </c>
      <c r="H1182">
        <v>240.86</v>
      </c>
      <c r="I1182" s="5">
        <f>VLOOKUP(TrendSheetStgData[Population]&amp;TrendSheetStgData[Cost Basis]&amp;TrendSheetStgData[Period]&amp;TrendSheetStgData[Trend],TrendSheetPrdData[#All],9,FALSE)</f>
        <v>240.86</v>
      </c>
      <c r="J1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2" s="5">
        <f>VLOOKUP(TrendSheetStgData[Population]&amp;TrendSheetStgData[Trend],Threshold[#All],4,FALSE)</f>
        <v>10</v>
      </c>
      <c r="L1182" s="5">
        <f>VLOOKUP(TrendSheetStgData[Population]&amp;TrendSheetStgData[Trend],Threshold[#All],5,FALSE)</f>
        <v>5</v>
      </c>
      <c r="M1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3" spans="1:13" x14ac:dyDescent="0.25">
      <c r="A1183" t="s">
        <v>111</v>
      </c>
      <c r="B1183" t="s">
        <v>111</v>
      </c>
      <c r="C1183" t="s">
        <v>78</v>
      </c>
      <c r="D1183" s="1" t="s">
        <v>101</v>
      </c>
      <c r="E1183" t="s">
        <v>93</v>
      </c>
      <c r="F1183" t="s">
        <v>12</v>
      </c>
      <c r="G1183">
        <v>1</v>
      </c>
      <c r="H1183">
        <v>229.18</v>
      </c>
      <c r="I1183" s="5">
        <f>VLOOKUP(TrendSheetStgData[Population]&amp;TrendSheetStgData[Cost Basis]&amp;TrendSheetStgData[Period]&amp;TrendSheetStgData[Trend],TrendSheetPrdData[#All],9,FALSE)</f>
        <v>229.18</v>
      </c>
      <c r="J1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3" s="5">
        <f>VLOOKUP(TrendSheetStgData[Population]&amp;TrendSheetStgData[Trend],Threshold[#All],4,FALSE)</f>
        <v>10</v>
      </c>
      <c r="L1183" s="5">
        <f>VLOOKUP(TrendSheetStgData[Population]&amp;TrendSheetStgData[Trend],Threshold[#All],5,FALSE)</f>
        <v>5</v>
      </c>
      <c r="M1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4" spans="1:13" x14ac:dyDescent="0.25">
      <c r="A1184" t="s">
        <v>111</v>
      </c>
      <c r="B1184" t="s">
        <v>111</v>
      </c>
      <c r="C1184" t="s">
        <v>78</v>
      </c>
      <c r="D1184" s="1" t="s">
        <v>102</v>
      </c>
      <c r="E1184" t="s">
        <v>93</v>
      </c>
      <c r="F1184" t="s">
        <v>12</v>
      </c>
      <c r="G1184">
        <v>1</v>
      </c>
      <c r="H1184">
        <v>269.95</v>
      </c>
      <c r="I1184" s="5">
        <f>VLOOKUP(TrendSheetStgData[Population]&amp;TrendSheetStgData[Cost Basis]&amp;TrendSheetStgData[Period]&amp;TrendSheetStgData[Trend],TrendSheetPrdData[#All],9,FALSE)</f>
        <v>269.95</v>
      </c>
      <c r="J1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4" s="5">
        <f>VLOOKUP(TrendSheetStgData[Population]&amp;TrendSheetStgData[Trend],Threshold[#All],4,FALSE)</f>
        <v>10</v>
      </c>
      <c r="L1184" s="5">
        <f>VLOOKUP(TrendSheetStgData[Population]&amp;TrendSheetStgData[Trend],Threshold[#All],5,FALSE)</f>
        <v>5</v>
      </c>
      <c r="M1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5" spans="1:13" x14ac:dyDescent="0.25">
      <c r="A1185" t="s">
        <v>111</v>
      </c>
      <c r="B1185" t="s">
        <v>111</v>
      </c>
      <c r="C1185" t="s">
        <v>78</v>
      </c>
      <c r="D1185" s="1" t="s">
        <v>103</v>
      </c>
      <c r="E1185" t="s">
        <v>93</v>
      </c>
      <c r="F1185" t="s">
        <v>12</v>
      </c>
      <c r="G1185">
        <v>1</v>
      </c>
      <c r="H1185">
        <v>238.18</v>
      </c>
      <c r="I1185" s="5">
        <f>VLOOKUP(TrendSheetStgData[Population]&amp;TrendSheetStgData[Cost Basis]&amp;TrendSheetStgData[Period]&amp;TrendSheetStgData[Trend],TrendSheetPrdData[#All],9,FALSE)</f>
        <v>238.18</v>
      </c>
      <c r="J1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5" s="5">
        <f>VLOOKUP(TrendSheetStgData[Population]&amp;TrendSheetStgData[Trend],Threshold[#All],4,FALSE)</f>
        <v>10</v>
      </c>
      <c r="L1185" s="5">
        <f>VLOOKUP(TrendSheetStgData[Population]&amp;TrendSheetStgData[Trend],Threshold[#All],5,FALSE)</f>
        <v>5</v>
      </c>
      <c r="M1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6" spans="1:13" x14ac:dyDescent="0.25">
      <c r="A1186" t="s">
        <v>111</v>
      </c>
      <c r="B1186" t="s">
        <v>111</v>
      </c>
      <c r="C1186" t="s">
        <v>78</v>
      </c>
      <c r="D1186" s="1" t="s">
        <v>104</v>
      </c>
      <c r="E1186" t="s">
        <v>93</v>
      </c>
      <c r="F1186" t="s">
        <v>12</v>
      </c>
      <c r="G1186">
        <v>1</v>
      </c>
      <c r="H1186">
        <v>222.5</v>
      </c>
      <c r="I1186" s="5">
        <f>VLOOKUP(TrendSheetStgData[Population]&amp;TrendSheetStgData[Cost Basis]&amp;TrendSheetStgData[Period]&amp;TrendSheetStgData[Trend],TrendSheetPrdData[#All],9,FALSE)</f>
        <v>222.5</v>
      </c>
      <c r="J1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6" s="5">
        <f>VLOOKUP(TrendSheetStgData[Population]&amp;TrendSheetStgData[Trend],Threshold[#All],4,FALSE)</f>
        <v>10</v>
      </c>
      <c r="L1186" s="5">
        <f>VLOOKUP(TrendSheetStgData[Population]&amp;TrendSheetStgData[Trend],Threshold[#All],5,FALSE)</f>
        <v>5</v>
      </c>
      <c r="M1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7" spans="1:13" x14ac:dyDescent="0.25">
      <c r="A1187" t="s">
        <v>111</v>
      </c>
      <c r="B1187" t="s">
        <v>111</v>
      </c>
      <c r="C1187" t="s">
        <v>78</v>
      </c>
      <c r="D1187" s="1" t="s">
        <v>105</v>
      </c>
      <c r="E1187" t="s">
        <v>108</v>
      </c>
      <c r="F1187" t="s">
        <v>12</v>
      </c>
      <c r="G1187">
        <v>1</v>
      </c>
      <c r="H1187">
        <v>209.97</v>
      </c>
      <c r="I1187" s="5">
        <f>VLOOKUP(TrendSheetStgData[Population]&amp;TrendSheetStgData[Cost Basis]&amp;TrendSheetStgData[Period]&amp;TrendSheetStgData[Trend],TrendSheetPrdData[#All],9,FALSE)</f>
        <v>209.97</v>
      </c>
      <c r="J1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7" s="5">
        <f>VLOOKUP(TrendSheetStgData[Population]&amp;TrendSheetStgData[Trend],Threshold[#All],4,FALSE)</f>
        <v>10</v>
      </c>
      <c r="L1187" s="5">
        <f>VLOOKUP(TrendSheetStgData[Population]&amp;TrendSheetStgData[Trend],Threshold[#All],5,FALSE)</f>
        <v>5</v>
      </c>
      <c r="M1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8" spans="1:13" x14ac:dyDescent="0.25">
      <c r="A1188" t="s">
        <v>111</v>
      </c>
      <c r="B1188" t="s">
        <v>111</v>
      </c>
      <c r="C1188" t="s">
        <v>78</v>
      </c>
      <c r="D1188" s="1" t="s">
        <v>106</v>
      </c>
      <c r="E1188" t="s">
        <v>108</v>
      </c>
      <c r="F1188" t="s">
        <v>12</v>
      </c>
      <c r="G1188">
        <v>1</v>
      </c>
      <c r="H1188">
        <v>199.3</v>
      </c>
      <c r="I1188" s="5">
        <f>VLOOKUP(TrendSheetStgData[Population]&amp;TrendSheetStgData[Cost Basis]&amp;TrendSheetStgData[Period]&amp;TrendSheetStgData[Trend],TrendSheetPrdData[#All],9,FALSE)</f>
        <v>199.3</v>
      </c>
      <c r="J1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8" s="5">
        <f>VLOOKUP(TrendSheetStgData[Population]&amp;TrendSheetStgData[Trend],Threshold[#All],4,FALSE)</f>
        <v>10</v>
      </c>
      <c r="L1188" s="5">
        <f>VLOOKUP(TrendSheetStgData[Population]&amp;TrendSheetStgData[Trend],Threshold[#All],5,FALSE)</f>
        <v>5</v>
      </c>
      <c r="M1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9" spans="1:13" x14ac:dyDescent="0.25">
      <c r="A1189" t="s">
        <v>111</v>
      </c>
      <c r="B1189" t="s">
        <v>111</v>
      </c>
      <c r="C1189" t="s">
        <v>78</v>
      </c>
      <c r="D1189" s="1" t="s">
        <v>107</v>
      </c>
      <c r="E1189" t="s">
        <v>108</v>
      </c>
      <c r="F1189" t="s">
        <v>12</v>
      </c>
      <c r="G1189">
        <v>1</v>
      </c>
      <c r="H1189">
        <v>172.82</v>
      </c>
      <c r="I1189" s="5">
        <f>VLOOKUP(TrendSheetStgData[Population]&amp;TrendSheetStgData[Cost Basis]&amp;TrendSheetStgData[Period]&amp;TrendSheetStgData[Trend],TrendSheetPrdData[#All],9,FALSE)</f>
        <v>172.82</v>
      </c>
      <c r="J1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9" s="5">
        <f>VLOOKUP(TrendSheetStgData[Population]&amp;TrendSheetStgData[Trend],Threshold[#All],4,FALSE)</f>
        <v>10</v>
      </c>
      <c r="L1189" s="5">
        <f>VLOOKUP(TrendSheetStgData[Population]&amp;TrendSheetStgData[Trend],Threshold[#All],5,FALSE)</f>
        <v>5</v>
      </c>
      <c r="M1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0" spans="1:13" x14ac:dyDescent="0.25">
      <c r="A1190" t="s">
        <v>111</v>
      </c>
      <c r="B1190" t="s">
        <v>111</v>
      </c>
      <c r="C1190" t="s">
        <v>78</v>
      </c>
      <c r="D1190" s="1" t="s">
        <v>109</v>
      </c>
      <c r="E1190" t="s">
        <v>108</v>
      </c>
      <c r="F1190" t="s">
        <v>12</v>
      </c>
      <c r="G1190">
        <v>1</v>
      </c>
      <c r="H1190">
        <v>155.44</v>
      </c>
      <c r="I1190" s="5">
        <f>VLOOKUP(TrendSheetStgData[Population]&amp;TrendSheetStgData[Cost Basis]&amp;TrendSheetStgData[Period]&amp;TrendSheetStgData[Trend],TrendSheetPrdData[#All],9,FALSE)</f>
        <v>155.44</v>
      </c>
      <c r="J1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0" s="5">
        <f>VLOOKUP(TrendSheetStgData[Population]&amp;TrendSheetStgData[Trend],Threshold[#All],4,FALSE)</f>
        <v>10</v>
      </c>
      <c r="L1190" s="5">
        <f>VLOOKUP(TrendSheetStgData[Population]&amp;TrendSheetStgData[Trend],Threshold[#All],5,FALSE)</f>
        <v>5</v>
      </c>
      <c r="M1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1" spans="1:13" x14ac:dyDescent="0.25">
      <c r="A1191" t="s">
        <v>111</v>
      </c>
      <c r="B1191" t="s">
        <v>111</v>
      </c>
      <c r="C1191" t="s">
        <v>78</v>
      </c>
      <c r="D1191" s="1" t="s">
        <v>110</v>
      </c>
      <c r="E1191" t="s">
        <v>108</v>
      </c>
      <c r="F1191" t="s">
        <v>12</v>
      </c>
      <c r="G1191">
        <v>1</v>
      </c>
      <c r="H1191">
        <v>60.27</v>
      </c>
      <c r="I1191" s="5">
        <f>VLOOKUP(TrendSheetStgData[Population]&amp;TrendSheetStgData[Cost Basis]&amp;TrendSheetStgData[Period]&amp;TrendSheetStgData[Trend],TrendSheetPrdData[#All],9,FALSE)</f>
        <v>60.27</v>
      </c>
      <c r="J1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1" s="5">
        <f>VLOOKUP(TrendSheetStgData[Population]&amp;TrendSheetStgData[Trend],Threshold[#All],4,FALSE)</f>
        <v>10</v>
      </c>
      <c r="L1191" s="5">
        <f>VLOOKUP(TrendSheetStgData[Population]&amp;TrendSheetStgData[Trend],Threshold[#All],5,FALSE)</f>
        <v>5</v>
      </c>
      <c r="M1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2" spans="1:13" x14ac:dyDescent="0.25">
      <c r="A1192" t="s">
        <v>111</v>
      </c>
      <c r="B1192" t="s">
        <v>111</v>
      </c>
      <c r="C1192" t="s">
        <v>78</v>
      </c>
      <c r="D1192" s="1" t="s">
        <v>92</v>
      </c>
      <c r="E1192" t="s">
        <v>93</v>
      </c>
      <c r="F1192" t="s">
        <v>13</v>
      </c>
      <c r="G1192">
        <v>2</v>
      </c>
      <c r="H1192">
        <v>48.53</v>
      </c>
      <c r="I1192" s="5">
        <f>VLOOKUP(TrendSheetStgData[Population]&amp;TrendSheetStgData[Cost Basis]&amp;TrendSheetStgData[Period]&amp;TrendSheetStgData[Trend],TrendSheetPrdData[#All],9,FALSE)</f>
        <v>48.53</v>
      </c>
      <c r="J1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2" s="5">
        <f>VLOOKUP(TrendSheetStgData[Population]&amp;TrendSheetStgData[Trend],Threshold[#All],4,FALSE)</f>
        <v>10</v>
      </c>
      <c r="L1192" s="5">
        <f>VLOOKUP(TrendSheetStgData[Population]&amp;TrendSheetStgData[Trend],Threshold[#All],5,FALSE)</f>
        <v>5</v>
      </c>
      <c r="M1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3" spans="1:13" x14ac:dyDescent="0.25">
      <c r="A1193" t="s">
        <v>111</v>
      </c>
      <c r="B1193" t="s">
        <v>111</v>
      </c>
      <c r="C1193" t="s">
        <v>78</v>
      </c>
      <c r="D1193" s="1" t="s">
        <v>94</v>
      </c>
      <c r="E1193" t="s">
        <v>93</v>
      </c>
      <c r="F1193" t="s">
        <v>13</v>
      </c>
      <c r="G1193">
        <v>2</v>
      </c>
      <c r="H1193">
        <v>51.29</v>
      </c>
      <c r="I1193" s="5">
        <f>VLOOKUP(TrendSheetStgData[Population]&amp;TrendSheetStgData[Cost Basis]&amp;TrendSheetStgData[Period]&amp;TrendSheetStgData[Trend],TrendSheetPrdData[#All],9,FALSE)</f>
        <v>51.29</v>
      </c>
      <c r="J1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3" s="5">
        <f>VLOOKUP(TrendSheetStgData[Population]&amp;TrendSheetStgData[Trend],Threshold[#All],4,FALSE)</f>
        <v>10</v>
      </c>
      <c r="L1193" s="5">
        <f>VLOOKUP(TrendSheetStgData[Population]&amp;TrendSheetStgData[Trend],Threshold[#All],5,FALSE)</f>
        <v>5</v>
      </c>
      <c r="M1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4" spans="1:13" x14ac:dyDescent="0.25">
      <c r="A1194" t="s">
        <v>111</v>
      </c>
      <c r="B1194" t="s">
        <v>111</v>
      </c>
      <c r="C1194" t="s">
        <v>78</v>
      </c>
      <c r="D1194" s="1" t="s">
        <v>95</v>
      </c>
      <c r="E1194" t="s">
        <v>93</v>
      </c>
      <c r="F1194" t="s">
        <v>13</v>
      </c>
      <c r="G1194">
        <v>2</v>
      </c>
      <c r="H1194">
        <v>36.409999999999997</v>
      </c>
      <c r="I1194" s="5">
        <f>VLOOKUP(TrendSheetStgData[Population]&amp;TrendSheetStgData[Cost Basis]&amp;TrendSheetStgData[Period]&amp;TrendSheetStgData[Trend],TrendSheetPrdData[#All],9,FALSE)</f>
        <v>36.409999999999997</v>
      </c>
      <c r="J1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4" s="5">
        <f>VLOOKUP(TrendSheetStgData[Population]&amp;TrendSheetStgData[Trend],Threshold[#All],4,FALSE)</f>
        <v>10</v>
      </c>
      <c r="L1194" s="5">
        <f>VLOOKUP(TrendSheetStgData[Population]&amp;TrendSheetStgData[Trend],Threshold[#All],5,FALSE)</f>
        <v>5</v>
      </c>
      <c r="M1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5" spans="1:13" x14ac:dyDescent="0.25">
      <c r="A1195" t="s">
        <v>111</v>
      </c>
      <c r="B1195" t="s">
        <v>111</v>
      </c>
      <c r="C1195" t="s">
        <v>78</v>
      </c>
      <c r="D1195" s="1" t="s">
        <v>96</v>
      </c>
      <c r="E1195" t="s">
        <v>93</v>
      </c>
      <c r="F1195" t="s">
        <v>13</v>
      </c>
      <c r="G1195">
        <v>2</v>
      </c>
      <c r="H1195">
        <v>49.72</v>
      </c>
      <c r="I1195" s="5">
        <f>VLOOKUP(TrendSheetStgData[Population]&amp;TrendSheetStgData[Cost Basis]&amp;TrendSheetStgData[Period]&amp;TrendSheetStgData[Trend],TrendSheetPrdData[#All],9,FALSE)</f>
        <v>49.72</v>
      </c>
      <c r="J1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5" s="5">
        <f>VLOOKUP(TrendSheetStgData[Population]&amp;TrendSheetStgData[Trend],Threshold[#All],4,FALSE)</f>
        <v>10</v>
      </c>
      <c r="L1195" s="5">
        <f>VLOOKUP(TrendSheetStgData[Population]&amp;TrendSheetStgData[Trend],Threshold[#All],5,FALSE)</f>
        <v>5</v>
      </c>
      <c r="M1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6" spans="1:13" x14ac:dyDescent="0.25">
      <c r="A1196" t="s">
        <v>111</v>
      </c>
      <c r="B1196" t="s">
        <v>111</v>
      </c>
      <c r="C1196" t="s">
        <v>78</v>
      </c>
      <c r="D1196" s="1" t="s">
        <v>97</v>
      </c>
      <c r="E1196" t="s">
        <v>93</v>
      </c>
      <c r="F1196" t="s">
        <v>13</v>
      </c>
      <c r="G1196">
        <v>2</v>
      </c>
      <c r="H1196">
        <v>45.6</v>
      </c>
      <c r="I1196" s="5">
        <f>VLOOKUP(TrendSheetStgData[Population]&amp;TrendSheetStgData[Cost Basis]&amp;TrendSheetStgData[Period]&amp;TrendSheetStgData[Trend],TrendSheetPrdData[#All],9,FALSE)</f>
        <v>45.6</v>
      </c>
      <c r="J1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6" s="5">
        <f>VLOOKUP(TrendSheetStgData[Population]&amp;TrendSheetStgData[Trend],Threshold[#All],4,FALSE)</f>
        <v>10</v>
      </c>
      <c r="L1196" s="5">
        <f>VLOOKUP(TrendSheetStgData[Population]&amp;TrendSheetStgData[Trend],Threshold[#All],5,FALSE)</f>
        <v>5</v>
      </c>
      <c r="M1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7" spans="1:13" x14ac:dyDescent="0.25">
      <c r="A1197" t="s">
        <v>111</v>
      </c>
      <c r="B1197" t="s">
        <v>111</v>
      </c>
      <c r="C1197" t="s">
        <v>78</v>
      </c>
      <c r="D1197" s="1" t="s">
        <v>98</v>
      </c>
      <c r="E1197" t="s">
        <v>93</v>
      </c>
      <c r="F1197" t="s">
        <v>13</v>
      </c>
      <c r="G1197">
        <v>2</v>
      </c>
      <c r="H1197">
        <v>30.66</v>
      </c>
      <c r="I1197" s="5">
        <f>VLOOKUP(TrendSheetStgData[Population]&amp;TrendSheetStgData[Cost Basis]&amp;TrendSheetStgData[Period]&amp;TrendSheetStgData[Trend],TrendSheetPrdData[#All],9,FALSE)</f>
        <v>30.66</v>
      </c>
      <c r="J1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7" s="5">
        <f>VLOOKUP(TrendSheetStgData[Population]&amp;TrendSheetStgData[Trend],Threshold[#All],4,FALSE)</f>
        <v>10</v>
      </c>
      <c r="L1197" s="5">
        <f>VLOOKUP(TrendSheetStgData[Population]&amp;TrendSheetStgData[Trend],Threshold[#All],5,FALSE)</f>
        <v>5</v>
      </c>
      <c r="M1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8" spans="1:13" x14ac:dyDescent="0.25">
      <c r="A1198" t="s">
        <v>111</v>
      </c>
      <c r="B1198" t="s">
        <v>111</v>
      </c>
      <c r="C1198" t="s">
        <v>78</v>
      </c>
      <c r="D1198" s="1" t="s">
        <v>99</v>
      </c>
      <c r="E1198" t="s">
        <v>93</v>
      </c>
      <c r="F1198" t="s">
        <v>13</v>
      </c>
      <c r="G1198">
        <v>2</v>
      </c>
      <c r="H1198">
        <v>35.78</v>
      </c>
      <c r="I1198" s="5">
        <f>VLOOKUP(TrendSheetStgData[Population]&amp;TrendSheetStgData[Cost Basis]&amp;TrendSheetStgData[Period]&amp;TrendSheetStgData[Trend],TrendSheetPrdData[#All],9,FALSE)</f>
        <v>35.78</v>
      </c>
      <c r="J1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8" s="5">
        <f>VLOOKUP(TrendSheetStgData[Population]&amp;TrendSheetStgData[Trend],Threshold[#All],4,FALSE)</f>
        <v>10</v>
      </c>
      <c r="L1198" s="5">
        <f>VLOOKUP(TrendSheetStgData[Population]&amp;TrendSheetStgData[Trend],Threshold[#All],5,FALSE)</f>
        <v>5</v>
      </c>
      <c r="M1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9" spans="1:13" x14ac:dyDescent="0.25">
      <c r="A1199" t="s">
        <v>111</v>
      </c>
      <c r="B1199" t="s">
        <v>111</v>
      </c>
      <c r="C1199" t="s">
        <v>78</v>
      </c>
      <c r="D1199" s="1" t="s">
        <v>100</v>
      </c>
      <c r="E1199" t="s">
        <v>93</v>
      </c>
      <c r="F1199" t="s">
        <v>13</v>
      </c>
      <c r="G1199">
        <v>2</v>
      </c>
      <c r="H1199">
        <v>44.15</v>
      </c>
      <c r="I1199" s="5">
        <f>VLOOKUP(TrendSheetStgData[Population]&amp;TrendSheetStgData[Cost Basis]&amp;TrendSheetStgData[Period]&amp;TrendSheetStgData[Trend],TrendSheetPrdData[#All],9,FALSE)</f>
        <v>44.15</v>
      </c>
      <c r="J1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9" s="5">
        <f>VLOOKUP(TrendSheetStgData[Population]&amp;TrendSheetStgData[Trend],Threshold[#All],4,FALSE)</f>
        <v>10</v>
      </c>
      <c r="L1199" s="5">
        <f>VLOOKUP(TrendSheetStgData[Population]&amp;TrendSheetStgData[Trend],Threshold[#All],5,FALSE)</f>
        <v>5</v>
      </c>
      <c r="M1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0" spans="1:13" x14ac:dyDescent="0.25">
      <c r="A1200" t="s">
        <v>111</v>
      </c>
      <c r="B1200" t="s">
        <v>111</v>
      </c>
      <c r="C1200" t="s">
        <v>78</v>
      </c>
      <c r="D1200" s="1" t="s">
        <v>101</v>
      </c>
      <c r="E1200" t="s">
        <v>93</v>
      </c>
      <c r="F1200" t="s">
        <v>13</v>
      </c>
      <c r="G1200">
        <v>2</v>
      </c>
      <c r="H1200">
        <v>34.81</v>
      </c>
      <c r="I1200" s="5">
        <f>VLOOKUP(TrendSheetStgData[Population]&amp;TrendSheetStgData[Cost Basis]&amp;TrendSheetStgData[Period]&amp;TrendSheetStgData[Trend],TrendSheetPrdData[#All],9,FALSE)</f>
        <v>34.81</v>
      </c>
      <c r="J1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0" s="5">
        <f>VLOOKUP(TrendSheetStgData[Population]&amp;TrendSheetStgData[Trend],Threshold[#All],4,FALSE)</f>
        <v>10</v>
      </c>
      <c r="L1200" s="5">
        <f>VLOOKUP(TrendSheetStgData[Population]&amp;TrendSheetStgData[Trend],Threshold[#All],5,FALSE)</f>
        <v>5</v>
      </c>
      <c r="M1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1" spans="1:13" x14ac:dyDescent="0.25">
      <c r="A1201" t="s">
        <v>111</v>
      </c>
      <c r="B1201" t="s">
        <v>111</v>
      </c>
      <c r="C1201" t="s">
        <v>78</v>
      </c>
      <c r="D1201" s="1" t="s">
        <v>102</v>
      </c>
      <c r="E1201" t="s">
        <v>93</v>
      </c>
      <c r="F1201" t="s">
        <v>13</v>
      </c>
      <c r="G1201">
        <v>2</v>
      </c>
      <c r="H1201">
        <v>37.5</v>
      </c>
      <c r="I1201" s="5">
        <f>VLOOKUP(TrendSheetStgData[Population]&amp;TrendSheetStgData[Cost Basis]&amp;TrendSheetStgData[Period]&amp;TrendSheetStgData[Trend],TrendSheetPrdData[#All],9,FALSE)</f>
        <v>37.5</v>
      </c>
      <c r="J1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1" s="5">
        <f>VLOOKUP(TrendSheetStgData[Population]&amp;TrendSheetStgData[Trend],Threshold[#All],4,FALSE)</f>
        <v>10</v>
      </c>
      <c r="L1201" s="5">
        <f>VLOOKUP(TrendSheetStgData[Population]&amp;TrendSheetStgData[Trend],Threshold[#All],5,FALSE)</f>
        <v>5</v>
      </c>
      <c r="M1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2" spans="1:13" x14ac:dyDescent="0.25">
      <c r="A1202" t="s">
        <v>111</v>
      </c>
      <c r="B1202" t="s">
        <v>111</v>
      </c>
      <c r="C1202" t="s">
        <v>78</v>
      </c>
      <c r="D1202" s="1" t="s">
        <v>103</v>
      </c>
      <c r="E1202" t="s">
        <v>93</v>
      </c>
      <c r="F1202" t="s">
        <v>13</v>
      </c>
      <c r="G1202">
        <v>2</v>
      </c>
      <c r="H1202">
        <v>46.5</v>
      </c>
      <c r="I1202" s="5">
        <f>VLOOKUP(TrendSheetStgData[Population]&amp;TrendSheetStgData[Cost Basis]&amp;TrendSheetStgData[Period]&amp;TrendSheetStgData[Trend],TrendSheetPrdData[#All],9,FALSE)</f>
        <v>46.5</v>
      </c>
      <c r="J1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2" s="5">
        <f>VLOOKUP(TrendSheetStgData[Population]&amp;TrendSheetStgData[Trend],Threshold[#All],4,FALSE)</f>
        <v>10</v>
      </c>
      <c r="L1202" s="5">
        <f>VLOOKUP(TrendSheetStgData[Population]&amp;TrendSheetStgData[Trend],Threshold[#All],5,FALSE)</f>
        <v>5</v>
      </c>
      <c r="M1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3" spans="1:13" x14ac:dyDescent="0.25">
      <c r="A1203" t="s">
        <v>111</v>
      </c>
      <c r="B1203" t="s">
        <v>111</v>
      </c>
      <c r="C1203" t="s">
        <v>78</v>
      </c>
      <c r="D1203" s="1" t="s">
        <v>104</v>
      </c>
      <c r="E1203" t="s">
        <v>93</v>
      </c>
      <c r="F1203" t="s">
        <v>13</v>
      </c>
      <c r="G1203">
        <v>2</v>
      </c>
      <c r="H1203">
        <v>35.19</v>
      </c>
      <c r="I1203" s="5">
        <f>VLOOKUP(TrendSheetStgData[Population]&amp;TrendSheetStgData[Cost Basis]&amp;TrendSheetStgData[Period]&amp;TrendSheetStgData[Trend],TrendSheetPrdData[#All],9,FALSE)</f>
        <v>35.19</v>
      </c>
      <c r="J1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3" s="5">
        <f>VLOOKUP(TrendSheetStgData[Population]&amp;TrendSheetStgData[Trend],Threshold[#All],4,FALSE)</f>
        <v>10</v>
      </c>
      <c r="L1203" s="5">
        <f>VLOOKUP(TrendSheetStgData[Population]&amp;TrendSheetStgData[Trend],Threshold[#All],5,FALSE)</f>
        <v>5</v>
      </c>
      <c r="M1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4" spans="1:13" x14ac:dyDescent="0.25">
      <c r="A1204" t="s">
        <v>111</v>
      </c>
      <c r="B1204" t="s">
        <v>111</v>
      </c>
      <c r="C1204" t="s">
        <v>78</v>
      </c>
      <c r="D1204" s="1" t="s">
        <v>105</v>
      </c>
      <c r="E1204" t="s">
        <v>108</v>
      </c>
      <c r="F1204" t="s">
        <v>13</v>
      </c>
      <c r="G1204">
        <v>2</v>
      </c>
      <c r="H1204">
        <v>43.5</v>
      </c>
      <c r="I1204" s="5">
        <f>VLOOKUP(TrendSheetStgData[Population]&amp;TrendSheetStgData[Cost Basis]&amp;TrendSheetStgData[Period]&amp;TrendSheetStgData[Trend],TrendSheetPrdData[#All],9,FALSE)</f>
        <v>43.5</v>
      </c>
      <c r="J1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4" s="5">
        <f>VLOOKUP(TrendSheetStgData[Population]&amp;TrendSheetStgData[Trend],Threshold[#All],4,FALSE)</f>
        <v>10</v>
      </c>
      <c r="L1204" s="5">
        <f>VLOOKUP(TrendSheetStgData[Population]&amp;TrendSheetStgData[Trend],Threshold[#All],5,FALSE)</f>
        <v>5</v>
      </c>
      <c r="M1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5" spans="1:13" x14ac:dyDescent="0.25">
      <c r="A1205" t="s">
        <v>111</v>
      </c>
      <c r="B1205" t="s">
        <v>111</v>
      </c>
      <c r="C1205" t="s">
        <v>78</v>
      </c>
      <c r="D1205" s="1" t="s">
        <v>106</v>
      </c>
      <c r="E1205" t="s">
        <v>108</v>
      </c>
      <c r="F1205" t="s">
        <v>13</v>
      </c>
      <c r="G1205">
        <v>2</v>
      </c>
      <c r="H1205">
        <v>35.72</v>
      </c>
      <c r="I1205" s="5">
        <f>VLOOKUP(TrendSheetStgData[Population]&amp;TrendSheetStgData[Cost Basis]&amp;TrendSheetStgData[Period]&amp;TrendSheetStgData[Trend],TrendSheetPrdData[#All],9,FALSE)</f>
        <v>35.72</v>
      </c>
      <c r="J1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5" s="5">
        <f>VLOOKUP(TrendSheetStgData[Population]&amp;TrendSheetStgData[Trend],Threshold[#All],4,FALSE)</f>
        <v>10</v>
      </c>
      <c r="L1205" s="5">
        <f>VLOOKUP(TrendSheetStgData[Population]&amp;TrendSheetStgData[Trend],Threshold[#All],5,FALSE)</f>
        <v>5</v>
      </c>
      <c r="M1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6" spans="1:13" x14ac:dyDescent="0.25">
      <c r="A1206" t="s">
        <v>111</v>
      </c>
      <c r="B1206" t="s">
        <v>111</v>
      </c>
      <c r="C1206" t="s">
        <v>78</v>
      </c>
      <c r="D1206" s="1" t="s">
        <v>107</v>
      </c>
      <c r="E1206" t="s">
        <v>108</v>
      </c>
      <c r="F1206" t="s">
        <v>13</v>
      </c>
      <c r="G1206">
        <v>2</v>
      </c>
      <c r="H1206">
        <v>39</v>
      </c>
      <c r="I1206" s="5">
        <f>VLOOKUP(TrendSheetStgData[Population]&amp;TrendSheetStgData[Cost Basis]&amp;TrendSheetStgData[Period]&amp;TrendSheetStgData[Trend],TrendSheetPrdData[#All],9,FALSE)</f>
        <v>39</v>
      </c>
      <c r="J1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6" s="5">
        <f>VLOOKUP(TrendSheetStgData[Population]&amp;TrendSheetStgData[Trend],Threshold[#All],4,FALSE)</f>
        <v>10</v>
      </c>
      <c r="L1206" s="5">
        <f>VLOOKUP(TrendSheetStgData[Population]&amp;TrendSheetStgData[Trend],Threshold[#All],5,FALSE)</f>
        <v>5</v>
      </c>
      <c r="M1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7" spans="1:13" x14ac:dyDescent="0.25">
      <c r="A1207" t="s">
        <v>111</v>
      </c>
      <c r="B1207" t="s">
        <v>111</v>
      </c>
      <c r="C1207" t="s">
        <v>78</v>
      </c>
      <c r="D1207" s="1" t="s">
        <v>109</v>
      </c>
      <c r="E1207" t="s">
        <v>108</v>
      </c>
      <c r="F1207" t="s">
        <v>13</v>
      </c>
      <c r="G1207">
        <v>2</v>
      </c>
      <c r="H1207">
        <v>32.090000000000003</v>
      </c>
      <c r="I1207" s="5">
        <f>VLOOKUP(TrendSheetStgData[Population]&amp;TrendSheetStgData[Cost Basis]&amp;TrendSheetStgData[Period]&amp;TrendSheetStgData[Trend],TrendSheetPrdData[#All],9,FALSE)</f>
        <v>32.090000000000003</v>
      </c>
      <c r="J1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7" s="5">
        <f>VLOOKUP(TrendSheetStgData[Population]&amp;TrendSheetStgData[Trend],Threshold[#All],4,FALSE)</f>
        <v>10</v>
      </c>
      <c r="L1207" s="5">
        <f>VLOOKUP(TrendSheetStgData[Population]&amp;TrendSheetStgData[Trend],Threshold[#All],5,FALSE)</f>
        <v>5</v>
      </c>
      <c r="M1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8" spans="1:13" x14ac:dyDescent="0.25">
      <c r="A1208" t="s">
        <v>111</v>
      </c>
      <c r="B1208" t="s">
        <v>111</v>
      </c>
      <c r="C1208" t="s">
        <v>78</v>
      </c>
      <c r="D1208" s="1" t="s">
        <v>110</v>
      </c>
      <c r="E1208" t="s">
        <v>108</v>
      </c>
      <c r="F1208" t="s">
        <v>13</v>
      </c>
      <c r="G1208">
        <v>2</v>
      </c>
      <c r="H1208">
        <v>44.43</v>
      </c>
      <c r="I1208" s="5">
        <f>VLOOKUP(TrendSheetStgData[Population]&amp;TrendSheetStgData[Cost Basis]&amp;TrendSheetStgData[Period]&amp;TrendSheetStgData[Trend],TrendSheetPrdData[#All],9,FALSE)</f>
        <v>44.43</v>
      </c>
      <c r="J1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8" s="5">
        <f>VLOOKUP(TrendSheetStgData[Population]&amp;TrendSheetStgData[Trend],Threshold[#All],4,FALSE)</f>
        <v>10</v>
      </c>
      <c r="L1208" s="5">
        <f>VLOOKUP(TrendSheetStgData[Population]&amp;TrendSheetStgData[Trend],Threshold[#All],5,FALSE)</f>
        <v>5</v>
      </c>
      <c r="M1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9" spans="1:13" x14ac:dyDescent="0.25">
      <c r="A1209" t="s">
        <v>111</v>
      </c>
      <c r="B1209" t="s">
        <v>111</v>
      </c>
      <c r="C1209" t="s">
        <v>78</v>
      </c>
      <c r="D1209" s="1" t="s">
        <v>92</v>
      </c>
      <c r="E1209" t="s">
        <v>93</v>
      </c>
      <c r="F1209" t="s">
        <v>14</v>
      </c>
      <c r="G1209">
        <v>3</v>
      </c>
      <c r="H1209">
        <v>283.04000000000002</v>
      </c>
      <c r="I1209" s="5">
        <f>VLOOKUP(TrendSheetStgData[Population]&amp;TrendSheetStgData[Cost Basis]&amp;TrendSheetStgData[Period]&amp;TrendSheetStgData[Trend],TrendSheetPrdData[#All],9,FALSE)</f>
        <v>283.04000000000002</v>
      </c>
      <c r="J1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9" s="5">
        <f>VLOOKUP(TrendSheetStgData[Population]&amp;TrendSheetStgData[Trend],Threshold[#All],4,FALSE)</f>
        <v>10</v>
      </c>
      <c r="L1209" s="5">
        <f>VLOOKUP(TrendSheetStgData[Population]&amp;TrendSheetStgData[Trend],Threshold[#All],5,FALSE)</f>
        <v>5</v>
      </c>
      <c r="M1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0" spans="1:13" x14ac:dyDescent="0.25">
      <c r="A1210" t="s">
        <v>111</v>
      </c>
      <c r="B1210" t="s">
        <v>111</v>
      </c>
      <c r="C1210" t="s">
        <v>78</v>
      </c>
      <c r="D1210" s="1" t="s">
        <v>94</v>
      </c>
      <c r="E1210" t="s">
        <v>93</v>
      </c>
      <c r="F1210" t="s">
        <v>14</v>
      </c>
      <c r="G1210">
        <v>3</v>
      </c>
      <c r="H1210">
        <v>299.77999999999997</v>
      </c>
      <c r="I1210" s="5">
        <f>VLOOKUP(TrendSheetStgData[Population]&amp;TrendSheetStgData[Cost Basis]&amp;TrendSheetStgData[Period]&amp;TrendSheetStgData[Trend],TrendSheetPrdData[#All],9,FALSE)</f>
        <v>299.77999999999997</v>
      </c>
      <c r="J1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0" s="5">
        <f>VLOOKUP(TrendSheetStgData[Population]&amp;TrendSheetStgData[Trend],Threshold[#All],4,FALSE)</f>
        <v>10</v>
      </c>
      <c r="L1210" s="5">
        <f>VLOOKUP(TrendSheetStgData[Population]&amp;TrendSheetStgData[Trend],Threshold[#All],5,FALSE)</f>
        <v>5</v>
      </c>
      <c r="M1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1" spans="1:13" x14ac:dyDescent="0.25">
      <c r="A1211" t="s">
        <v>111</v>
      </c>
      <c r="B1211" t="s">
        <v>111</v>
      </c>
      <c r="C1211" t="s">
        <v>78</v>
      </c>
      <c r="D1211" s="1" t="s">
        <v>95</v>
      </c>
      <c r="E1211" t="s">
        <v>93</v>
      </c>
      <c r="F1211" t="s">
        <v>14</v>
      </c>
      <c r="G1211">
        <v>3</v>
      </c>
      <c r="H1211">
        <v>257.35000000000002</v>
      </c>
      <c r="I1211" s="5">
        <f>VLOOKUP(TrendSheetStgData[Population]&amp;TrendSheetStgData[Cost Basis]&amp;TrendSheetStgData[Period]&amp;TrendSheetStgData[Trend],TrendSheetPrdData[#All],9,FALSE)</f>
        <v>257.35000000000002</v>
      </c>
      <c r="J1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1" s="5">
        <f>VLOOKUP(TrendSheetStgData[Population]&amp;TrendSheetStgData[Trend],Threshold[#All],4,FALSE)</f>
        <v>10</v>
      </c>
      <c r="L1211" s="5">
        <f>VLOOKUP(TrendSheetStgData[Population]&amp;TrendSheetStgData[Trend],Threshold[#All],5,FALSE)</f>
        <v>5</v>
      </c>
      <c r="M1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2" spans="1:13" x14ac:dyDescent="0.25">
      <c r="A1212" t="s">
        <v>111</v>
      </c>
      <c r="B1212" t="s">
        <v>111</v>
      </c>
      <c r="C1212" t="s">
        <v>78</v>
      </c>
      <c r="D1212" s="1" t="s">
        <v>96</v>
      </c>
      <c r="E1212" t="s">
        <v>93</v>
      </c>
      <c r="F1212" t="s">
        <v>14</v>
      </c>
      <c r="G1212">
        <v>3</v>
      </c>
      <c r="H1212">
        <v>460.73</v>
      </c>
      <c r="I1212" s="5">
        <f>VLOOKUP(TrendSheetStgData[Population]&amp;TrendSheetStgData[Cost Basis]&amp;TrendSheetStgData[Period]&amp;TrendSheetStgData[Trend],TrendSheetPrdData[#All],9,FALSE)</f>
        <v>460.73</v>
      </c>
      <c r="J1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2" s="5">
        <f>VLOOKUP(TrendSheetStgData[Population]&amp;TrendSheetStgData[Trend],Threshold[#All],4,FALSE)</f>
        <v>10</v>
      </c>
      <c r="L1212" s="5">
        <f>VLOOKUP(TrendSheetStgData[Population]&amp;TrendSheetStgData[Trend],Threshold[#All],5,FALSE)</f>
        <v>5</v>
      </c>
      <c r="M1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3" spans="1:13" x14ac:dyDescent="0.25">
      <c r="A1213" t="s">
        <v>111</v>
      </c>
      <c r="B1213" t="s">
        <v>111</v>
      </c>
      <c r="C1213" t="s">
        <v>78</v>
      </c>
      <c r="D1213" s="1" t="s">
        <v>97</v>
      </c>
      <c r="E1213" t="s">
        <v>93</v>
      </c>
      <c r="F1213" t="s">
        <v>14</v>
      </c>
      <c r="G1213">
        <v>3</v>
      </c>
      <c r="H1213">
        <v>268.19</v>
      </c>
      <c r="I1213" s="5">
        <f>VLOOKUP(TrendSheetStgData[Population]&amp;TrendSheetStgData[Cost Basis]&amp;TrendSheetStgData[Period]&amp;TrendSheetStgData[Trend],TrendSheetPrdData[#All],9,FALSE)</f>
        <v>268.19</v>
      </c>
      <c r="J1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3" s="5">
        <f>VLOOKUP(TrendSheetStgData[Population]&amp;TrendSheetStgData[Trend],Threshold[#All],4,FALSE)</f>
        <v>10</v>
      </c>
      <c r="L1213" s="5">
        <f>VLOOKUP(TrendSheetStgData[Population]&amp;TrendSheetStgData[Trend],Threshold[#All],5,FALSE)</f>
        <v>5</v>
      </c>
      <c r="M1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4" spans="1:13" x14ac:dyDescent="0.25">
      <c r="A1214" t="s">
        <v>111</v>
      </c>
      <c r="B1214" t="s">
        <v>111</v>
      </c>
      <c r="C1214" t="s">
        <v>78</v>
      </c>
      <c r="D1214" s="1" t="s">
        <v>98</v>
      </c>
      <c r="E1214" t="s">
        <v>93</v>
      </c>
      <c r="F1214" t="s">
        <v>14</v>
      </c>
      <c r="G1214">
        <v>3</v>
      </c>
      <c r="H1214">
        <v>246.92</v>
      </c>
      <c r="I1214" s="5">
        <f>VLOOKUP(TrendSheetStgData[Population]&amp;TrendSheetStgData[Cost Basis]&amp;TrendSheetStgData[Period]&amp;TrendSheetStgData[Trend],TrendSheetPrdData[#All],9,FALSE)</f>
        <v>246.92</v>
      </c>
      <c r="J1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4" s="5">
        <f>VLOOKUP(TrendSheetStgData[Population]&amp;TrendSheetStgData[Trend],Threshold[#All],4,FALSE)</f>
        <v>10</v>
      </c>
      <c r="L1214" s="5">
        <f>VLOOKUP(TrendSheetStgData[Population]&amp;TrendSheetStgData[Trend],Threshold[#All],5,FALSE)</f>
        <v>5</v>
      </c>
      <c r="M1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5" spans="1:13" x14ac:dyDescent="0.25">
      <c r="A1215" t="s">
        <v>111</v>
      </c>
      <c r="B1215" t="s">
        <v>111</v>
      </c>
      <c r="C1215" t="s">
        <v>78</v>
      </c>
      <c r="D1215" s="1" t="s">
        <v>99</v>
      </c>
      <c r="E1215" t="s">
        <v>93</v>
      </c>
      <c r="F1215" t="s">
        <v>14</v>
      </c>
      <c r="G1215">
        <v>3</v>
      </c>
      <c r="H1215">
        <v>288.91000000000003</v>
      </c>
      <c r="I1215" s="5">
        <f>VLOOKUP(TrendSheetStgData[Population]&amp;TrendSheetStgData[Cost Basis]&amp;TrendSheetStgData[Period]&amp;TrendSheetStgData[Trend],TrendSheetPrdData[#All],9,FALSE)</f>
        <v>288.91000000000003</v>
      </c>
      <c r="J1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5" s="5">
        <f>VLOOKUP(TrendSheetStgData[Population]&amp;TrendSheetStgData[Trend],Threshold[#All],4,FALSE)</f>
        <v>10</v>
      </c>
      <c r="L1215" s="5">
        <f>VLOOKUP(TrendSheetStgData[Population]&amp;TrendSheetStgData[Trend],Threshold[#All],5,FALSE)</f>
        <v>5</v>
      </c>
      <c r="M1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6" spans="1:13" x14ac:dyDescent="0.25">
      <c r="A1216" t="s">
        <v>111</v>
      </c>
      <c r="B1216" t="s">
        <v>111</v>
      </c>
      <c r="C1216" t="s">
        <v>78</v>
      </c>
      <c r="D1216" s="1" t="s">
        <v>100</v>
      </c>
      <c r="E1216" t="s">
        <v>93</v>
      </c>
      <c r="F1216" t="s">
        <v>14</v>
      </c>
      <c r="G1216">
        <v>3</v>
      </c>
      <c r="H1216">
        <v>285.01</v>
      </c>
      <c r="I1216" s="5">
        <f>VLOOKUP(TrendSheetStgData[Population]&amp;TrendSheetStgData[Cost Basis]&amp;TrendSheetStgData[Period]&amp;TrendSheetStgData[Trend],TrendSheetPrdData[#All],9,FALSE)</f>
        <v>285.01</v>
      </c>
      <c r="J1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6" s="5">
        <f>VLOOKUP(TrendSheetStgData[Population]&amp;TrendSheetStgData[Trend],Threshold[#All],4,FALSE)</f>
        <v>10</v>
      </c>
      <c r="L1216" s="5">
        <f>VLOOKUP(TrendSheetStgData[Population]&amp;TrendSheetStgData[Trend],Threshold[#All],5,FALSE)</f>
        <v>5</v>
      </c>
      <c r="M1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7" spans="1:13" x14ac:dyDescent="0.25">
      <c r="A1217" t="s">
        <v>111</v>
      </c>
      <c r="B1217" t="s">
        <v>111</v>
      </c>
      <c r="C1217" t="s">
        <v>78</v>
      </c>
      <c r="D1217" s="1" t="s">
        <v>101</v>
      </c>
      <c r="E1217" t="s">
        <v>93</v>
      </c>
      <c r="F1217" t="s">
        <v>14</v>
      </c>
      <c r="G1217">
        <v>3</v>
      </c>
      <c r="H1217">
        <v>263.99</v>
      </c>
      <c r="I1217" s="5">
        <f>VLOOKUP(TrendSheetStgData[Population]&amp;TrendSheetStgData[Cost Basis]&amp;TrendSheetStgData[Period]&amp;TrendSheetStgData[Trend],TrendSheetPrdData[#All],9,FALSE)</f>
        <v>263.99</v>
      </c>
      <c r="J1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7" s="5">
        <f>VLOOKUP(TrendSheetStgData[Population]&amp;TrendSheetStgData[Trend],Threshold[#All],4,FALSE)</f>
        <v>10</v>
      </c>
      <c r="L1217" s="5">
        <f>VLOOKUP(TrendSheetStgData[Population]&amp;TrendSheetStgData[Trend],Threshold[#All],5,FALSE)</f>
        <v>5</v>
      </c>
      <c r="M1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8" spans="1:13" x14ac:dyDescent="0.25">
      <c r="A1218" t="s">
        <v>111</v>
      </c>
      <c r="B1218" t="s">
        <v>111</v>
      </c>
      <c r="C1218" t="s">
        <v>78</v>
      </c>
      <c r="D1218" s="1" t="s">
        <v>102</v>
      </c>
      <c r="E1218" t="s">
        <v>93</v>
      </c>
      <c r="F1218" t="s">
        <v>14</v>
      </c>
      <c r="G1218">
        <v>3</v>
      </c>
      <c r="H1218">
        <v>307.45</v>
      </c>
      <c r="I1218" s="5">
        <f>VLOOKUP(TrendSheetStgData[Population]&amp;TrendSheetStgData[Cost Basis]&amp;TrendSheetStgData[Period]&amp;TrendSheetStgData[Trend],TrendSheetPrdData[#All],9,FALSE)</f>
        <v>307.45</v>
      </c>
      <c r="J1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8" s="5">
        <f>VLOOKUP(TrendSheetStgData[Population]&amp;TrendSheetStgData[Trend],Threshold[#All],4,FALSE)</f>
        <v>10</v>
      </c>
      <c r="L1218" s="5">
        <f>VLOOKUP(TrendSheetStgData[Population]&amp;TrendSheetStgData[Trend],Threshold[#All],5,FALSE)</f>
        <v>5</v>
      </c>
      <c r="M1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9" spans="1:13" x14ac:dyDescent="0.25">
      <c r="A1219" t="s">
        <v>111</v>
      </c>
      <c r="B1219" t="s">
        <v>111</v>
      </c>
      <c r="C1219" t="s">
        <v>78</v>
      </c>
      <c r="D1219" s="1" t="s">
        <v>103</v>
      </c>
      <c r="E1219" t="s">
        <v>93</v>
      </c>
      <c r="F1219" t="s">
        <v>14</v>
      </c>
      <c r="G1219">
        <v>3</v>
      </c>
      <c r="H1219">
        <v>284.68</v>
      </c>
      <c r="I1219" s="5">
        <f>VLOOKUP(TrendSheetStgData[Population]&amp;TrendSheetStgData[Cost Basis]&amp;TrendSheetStgData[Period]&amp;TrendSheetStgData[Trend],TrendSheetPrdData[#All],9,FALSE)</f>
        <v>284.68</v>
      </c>
      <c r="J1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9" s="5">
        <f>VLOOKUP(TrendSheetStgData[Population]&amp;TrendSheetStgData[Trend],Threshold[#All],4,FALSE)</f>
        <v>10</v>
      </c>
      <c r="L1219" s="5">
        <f>VLOOKUP(TrendSheetStgData[Population]&amp;TrendSheetStgData[Trend],Threshold[#All],5,FALSE)</f>
        <v>5</v>
      </c>
      <c r="M1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0" spans="1:13" x14ac:dyDescent="0.25">
      <c r="A1220" t="s">
        <v>111</v>
      </c>
      <c r="B1220" t="s">
        <v>111</v>
      </c>
      <c r="C1220" t="s">
        <v>78</v>
      </c>
      <c r="D1220" s="1" t="s">
        <v>104</v>
      </c>
      <c r="E1220" t="s">
        <v>93</v>
      </c>
      <c r="F1220" t="s">
        <v>14</v>
      </c>
      <c r="G1220">
        <v>3</v>
      </c>
      <c r="H1220">
        <v>257.69</v>
      </c>
      <c r="I1220" s="5">
        <f>VLOOKUP(TrendSheetStgData[Population]&amp;TrendSheetStgData[Cost Basis]&amp;TrendSheetStgData[Period]&amp;TrendSheetStgData[Trend],TrendSheetPrdData[#All],9,FALSE)</f>
        <v>257.69</v>
      </c>
      <c r="J1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0" s="5">
        <f>VLOOKUP(TrendSheetStgData[Population]&amp;TrendSheetStgData[Trend],Threshold[#All],4,FALSE)</f>
        <v>10</v>
      </c>
      <c r="L1220" s="5">
        <f>VLOOKUP(TrendSheetStgData[Population]&amp;TrendSheetStgData[Trend],Threshold[#All],5,FALSE)</f>
        <v>5</v>
      </c>
      <c r="M1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1" spans="1:13" x14ac:dyDescent="0.25">
      <c r="A1221" t="s">
        <v>111</v>
      </c>
      <c r="B1221" t="s">
        <v>111</v>
      </c>
      <c r="C1221" t="s">
        <v>78</v>
      </c>
      <c r="D1221" s="1" t="s">
        <v>105</v>
      </c>
      <c r="E1221" t="s">
        <v>108</v>
      </c>
      <c r="F1221" t="s">
        <v>14</v>
      </c>
      <c r="G1221">
        <v>3</v>
      </c>
      <c r="H1221">
        <v>253.47</v>
      </c>
      <c r="I1221" s="5">
        <f>VLOOKUP(TrendSheetStgData[Population]&amp;TrendSheetStgData[Cost Basis]&amp;TrendSheetStgData[Period]&amp;TrendSheetStgData[Trend],TrendSheetPrdData[#All],9,FALSE)</f>
        <v>253.47</v>
      </c>
      <c r="J1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1" s="5">
        <f>VLOOKUP(TrendSheetStgData[Population]&amp;TrendSheetStgData[Trend],Threshold[#All],4,FALSE)</f>
        <v>10</v>
      </c>
      <c r="L1221" s="5">
        <f>VLOOKUP(TrendSheetStgData[Population]&amp;TrendSheetStgData[Trend],Threshold[#All],5,FALSE)</f>
        <v>5</v>
      </c>
      <c r="M1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2" spans="1:13" x14ac:dyDescent="0.25">
      <c r="A1222" t="s">
        <v>111</v>
      </c>
      <c r="B1222" t="s">
        <v>111</v>
      </c>
      <c r="C1222" t="s">
        <v>78</v>
      </c>
      <c r="D1222" s="1" t="s">
        <v>106</v>
      </c>
      <c r="E1222" t="s">
        <v>108</v>
      </c>
      <c r="F1222" t="s">
        <v>14</v>
      </c>
      <c r="G1222">
        <v>3</v>
      </c>
      <c r="H1222">
        <v>235.02</v>
      </c>
      <c r="I1222" s="5">
        <f>VLOOKUP(TrendSheetStgData[Population]&amp;TrendSheetStgData[Cost Basis]&amp;TrendSheetStgData[Period]&amp;TrendSheetStgData[Trend],TrendSheetPrdData[#All],9,FALSE)</f>
        <v>235.02</v>
      </c>
      <c r="J1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2" s="5">
        <f>VLOOKUP(TrendSheetStgData[Population]&amp;TrendSheetStgData[Trend],Threshold[#All],4,FALSE)</f>
        <v>10</v>
      </c>
      <c r="L1222" s="5">
        <f>VLOOKUP(TrendSheetStgData[Population]&amp;TrendSheetStgData[Trend],Threshold[#All],5,FALSE)</f>
        <v>5</v>
      </c>
      <c r="M1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3" spans="1:13" x14ac:dyDescent="0.25">
      <c r="A1223" t="s">
        <v>111</v>
      </c>
      <c r="B1223" t="s">
        <v>111</v>
      </c>
      <c r="C1223" t="s">
        <v>78</v>
      </c>
      <c r="D1223" s="1" t="s">
        <v>107</v>
      </c>
      <c r="E1223" t="s">
        <v>108</v>
      </c>
      <c r="F1223" t="s">
        <v>14</v>
      </c>
      <c r="G1223">
        <v>3</v>
      </c>
      <c r="H1223">
        <v>211.82</v>
      </c>
      <c r="I1223" s="5">
        <f>VLOOKUP(TrendSheetStgData[Population]&amp;TrendSheetStgData[Cost Basis]&amp;TrendSheetStgData[Period]&amp;TrendSheetStgData[Trend],TrendSheetPrdData[#All],9,FALSE)</f>
        <v>211.82</v>
      </c>
      <c r="J1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3" s="5">
        <f>VLOOKUP(TrendSheetStgData[Population]&amp;TrendSheetStgData[Trend],Threshold[#All],4,FALSE)</f>
        <v>10</v>
      </c>
      <c r="L1223" s="5">
        <f>VLOOKUP(TrendSheetStgData[Population]&amp;TrendSheetStgData[Trend],Threshold[#All],5,FALSE)</f>
        <v>5</v>
      </c>
      <c r="M1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4" spans="1:13" x14ac:dyDescent="0.25">
      <c r="A1224" t="s">
        <v>111</v>
      </c>
      <c r="B1224" t="s">
        <v>111</v>
      </c>
      <c r="C1224" t="s">
        <v>78</v>
      </c>
      <c r="D1224" s="1" t="s">
        <v>109</v>
      </c>
      <c r="E1224" t="s">
        <v>108</v>
      </c>
      <c r="F1224" t="s">
        <v>14</v>
      </c>
      <c r="G1224">
        <v>3</v>
      </c>
      <c r="H1224">
        <v>187.53</v>
      </c>
      <c r="I1224" s="5">
        <f>VLOOKUP(TrendSheetStgData[Population]&amp;TrendSheetStgData[Cost Basis]&amp;TrendSheetStgData[Period]&amp;TrendSheetStgData[Trend],TrendSheetPrdData[#All],9,FALSE)</f>
        <v>187.53</v>
      </c>
      <c r="J1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4" s="5">
        <f>VLOOKUP(TrendSheetStgData[Population]&amp;TrendSheetStgData[Trend],Threshold[#All],4,FALSE)</f>
        <v>10</v>
      </c>
      <c r="L1224" s="5">
        <f>VLOOKUP(TrendSheetStgData[Population]&amp;TrendSheetStgData[Trend],Threshold[#All],5,FALSE)</f>
        <v>5</v>
      </c>
      <c r="M1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5" spans="1:13" x14ac:dyDescent="0.25">
      <c r="A1225" t="s">
        <v>111</v>
      </c>
      <c r="B1225" t="s">
        <v>111</v>
      </c>
      <c r="C1225" t="s">
        <v>78</v>
      </c>
      <c r="D1225" s="1" t="s">
        <v>110</v>
      </c>
      <c r="E1225" t="s">
        <v>108</v>
      </c>
      <c r="F1225" t="s">
        <v>14</v>
      </c>
      <c r="G1225">
        <v>3</v>
      </c>
      <c r="H1225">
        <v>104.7</v>
      </c>
      <c r="I1225" s="5">
        <f>VLOOKUP(TrendSheetStgData[Population]&amp;TrendSheetStgData[Cost Basis]&amp;TrendSheetStgData[Period]&amp;TrendSheetStgData[Trend],TrendSheetPrdData[#All],9,FALSE)</f>
        <v>104.7</v>
      </c>
      <c r="J1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5" s="5">
        <f>VLOOKUP(TrendSheetStgData[Population]&amp;TrendSheetStgData[Trend],Threshold[#All],4,FALSE)</f>
        <v>10</v>
      </c>
      <c r="L1225" s="5">
        <f>VLOOKUP(TrendSheetStgData[Population]&amp;TrendSheetStgData[Trend],Threshold[#All],5,FALSE)</f>
        <v>5</v>
      </c>
      <c r="M1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6" spans="1:13" x14ac:dyDescent="0.25">
      <c r="A1226" t="s">
        <v>111</v>
      </c>
      <c r="B1226" t="s">
        <v>111</v>
      </c>
      <c r="C1226" t="s">
        <v>78</v>
      </c>
      <c r="D1226" s="1" t="s">
        <v>92</v>
      </c>
      <c r="E1226" t="s">
        <v>93</v>
      </c>
      <c r="F1226" t="s">
        <v>15</v>
      </c>
      <c r="G1226">
        <v>4</v>
      </c>
      <c r="H1226">
        <v>0</v>
      </c>
      <c r="I1226" s="5">
        <f>VLOOKUP(TrendSheetStgData[Population]&amp;TrendSheetStgData[Cost Basis]&amp;TrendSheetStgData[Period]&amp;TrendSheetStgData[Trend],TrendSheetPrdData[#All],9,FALSE)</f>
        <v>0</v>
      </c>
      <c r="J1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6" s="5">
        <f>VLOOKUP(TrendSheetStgData[Population]&amp;TrendSheetStgData[Trend],Threshold[#All],4,FALSE)</f>
        <v>10</v>
      </c>
      <c r="L1226" s="5">
        <f>VLOOKUP(TrendSheetStgData[Population]&amp;TrendSheetStgData[Trend],Threshold[#All],5,FALSE)</f>
        <v>5</v>
      </c>
      <c r="M1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7" spans="1:13" x14ac:dyDescent="0.25">
      <c r="A1227" t="s">
        <v>111</v>
      </c>
      <c r="B1227" t="s">
        <v>111</v>
      </c>
      <c r="C1227" t="s">
        <v>78</v>
      </c>
      <c r="D1227" s="1" t="s">
        <v>94</v>
      </c>
      <c r="E1227" t="s">
        <v>93</v>
      </c>
      <c r="F1227" t="s">
        <v>15</v>
      </c>
      <c r="G1227">
        <v>4</v>
      </c>
      <c r="H1227">
        <v>0</v>
      </c>
      <c r="I1227" s="5">
        <f>VLOOKUP(TrendSheetStgData[Population]&amp;TrendSheetStgData[Cost Basis]&amp;TrendSheetStgData[Period]&amp;TrendSheetStgData[Trend],TrendSheetPrdData[#All],9,FALSE)</f>
        <v>0</v>
      </c>
      <c r="J1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7" s="5">
        <f>VLOOKUP(TrendSheetStgData[Population]&amp;TrendSheetStgData[Trend],Threshold[#All],4,FALSE)</f>
        <v>10</v>
      </c>
      <c r="L1227" s="5">
        <f>VLOOKUP(TrendSheetStgData[Population]&amp;TrendSheetStgData[Trend],Threshold[#All],5,FALSE)</f>
        <v>5</v>
      </c>
      <c r="M1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8" spans="1:13" x14ac:dyDescent="0.25">
      <c r="A1228" t="s">
        <v>111</v>
      </c>
      <c r="B1228" t="s">
        <v>111</v>
      </c>
      <c r="C1228" t="s">
        <v>78</v>
      </c>
      <c r="D1228" s="1" t="s">
        <v>95</v>
      </c>
      <c r="E1228" t="s">
        <v>93</v>
      </c>
      <c r="F1228" t="s">
        <v>15</v>
      </c>
      <c r="G1228">
        <v>4</v>
      </c>
      <c r="H1228">
        <v>65240.55</v>
      </c>
      <c r="I1228" s="5">
        <f>VLOOKUP(TrendSheetStgData[Population]&amp;TrendSheetStgData[Cost Basis]&amp;TrendSheetStgData[Period]&amp;TrendSheetStgData[Trend],TrendSheetPrdData[#All],9,FALSE)</f>
        <v>65240.55</v>
      </c>
      <c r="J1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8" s="5">
        <f>VLOOKUP(TrendSheetStgData[Population]&amp;TrendSheetStgData[Trend],Threshold[#All],4,FALSE)</f>
        <v>10</v>
      </c>
      <c r="L1228" s="5">
        <f>VLOOKUP(TrendSheetStgData[Population]&amp;TrendSheetStgData[Trend],Threshold[#All],5,FALSE)</f>
        <v>5</v>
      </c>
      <c r="M1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9" spans="1:13" x14ac:dyDescent="0.25">
      <c r="A1229" t="s">
        <v>111</v>
      </c>
      <c r="B1229" t="s">
        <v>111</v>
      </c>
      <c r="C1229" t="s">
        <v>78</v>
      </c>
      <c r="D1229" s="1" t="s">
        <v>96</v>
      </c>
      <c r="E1229" t="s">
        <v>93</v>
      </c>
      <c r="F1229" t="s">
        <v>15</v>
      </c>
      <c r="G1229">
        <v>4</v>
      </c>
      <c r="H1229">
        <v>73218.95</v>
      </c>
      <c r="I1229" s="5">
        <f>VLOOKUP(TrendSheetStgData[Population]&amp;TrendSheetStgData[Cost Basis]&amp;TrendSheetStgData[Period]&amp;TrendSheetStgData[Trend],TrendSheetPrdData[#All],9,FALSE)</f>
        <v>73218.95</v>
      </c>
      <c r="J1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9" s="5">
        <f>VLOOKUP(TrendSheetStgData[Population]&amp;TrendSheetStgData[Trend],Threshold[#All],4,FALSE)</f>
        <v>10</v>
      </c>
      <c r="L1229" s="5">
        <f>VLOOKUP(TrendSheetStgData[Population]&amp;TrendSheetStgData[Trend],Threshold[#All],5,FALSE)</f>
        <v>5</v>
      </c>
      <c r="M1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0" spans="1:13" x14ac:dyDescent="0.25">
      <c r="A1230" t="s">
        <v>111</v>
      </c>
      <c r="B1230" t="s">
        <v>111</v>
      </c>
      <c r="C1230" t="s">
        <v>78</v>
      </c>
      <c r="D1230" s="1" t="s">
        <v>97</v>
      </c>
      <c r="E1230" t="s">
        <v>93</v>
      </c>
      <c r="F1230" t="s">
        <v>15</v>
      </c>
      <c r="G1230">
        <v>4</v>
      </c>
      <c r="H1230">
        <v>0</v>
      </c>
      <c r="I1230" s="5">
        <f>VLOOKUP(TrendSheetStgData[Population]&amp;TrendSheetStgData[Cost Basis]&amp;TrendSheetStgData[Period]&amp;TrendSheetStgData[Trend],TrendSheetPrdData[#All],9,FALSE)</f>
        <v>0</v>
      </c>
      <c r="J1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0" s="5">
        <f>VLOOKUP(TrendSheetStgData[Population]&amp;TrendSheetStgData[Trend],Threshold[#All],4,FALSE)</f>
        <v>10</v>
      </c>
      <c r="L1230" s="5">
        <f>VLOOKUP(TrendSheetStgData[Population]&amp;TrendSheetStgData[Trend],Threshold[#All],5,FALSE)</f>
        <v>5</v>
      </c>
      <c r="M1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1" spans="1:13" x14ac:dyDescent="0.25">
      <c r="A1231" t="s">
        <v>111</v>
      </c>
      <c r="B1231" t="s">
        <v>111</v>
      </c>
      <c r="C1231" t="s">
        <v>78</v>
      </c>
      <c r="D1231" s="1" t="s">
        <v>98</v>
      </c>
      <c r="E1231" t="s">
        <v>93</v>
      </c>
      <c r="F1231" t="s">
        <v>15</v>
      </c>
      <c r="G1231">
        <v>4</v>
      </c>
      <c r="H1231">
        <v>0</v>
      </c>
      <c r="I1231" s="5">
        <f>VLOOKUP(TrendSheetStgData[Population]&amp;TrendSheetStgData[Cost Basis]&amp;TrendSheetStgData[Period]&amp;TrendSheetStgData[Trend],TrendSheetPrdData[#All],9,FALSE)</f>
        <v>0</v>
      </c>
      <c r="J1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1" s="5">
        <f>VLOOKUP(TrendSheetStgData[Population]&amp;TrendSheetStgData[Trend],Threshold[#All],4,FALSE)</f>
        <v>10</v>
      </c>
      <c r="L1231" s="5">
        <f>VLOOKUP(TrendSheetStgData[Population]&amp;TrendSheetStgData[Trend],Threshold[#All],5,FALSE)</f>
        <v>5</v>
      </c>
      <c r="M1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2" spans="1:13" x14ac:dyDescent="0.25">
      <c r="A1232" t="s">
        <v>111</v>
      </c>
      <c r="B1232" t="s">
        <v>111</v>
      </c>
      <c r="C1232" t="s">
        <v>78</v>
      </c>
      <c r="D1232" s="1" t="s">
        <v>99</v>
      </c>
      <c r="E1232" t="s">
        <v>93</v>
      </c>
      <c r="F1232" t="s">
        <v>15</v>
      </c>
      <c r="G1232">
        <v>4</v>
      </c>
      <c r="H1232">
        <v>32806.5</v>
      </c>
      <c r="I1232" s="5">
        <f>VLOOKUP(TrendSheetStgData[Population]&amp;TrendSheetStgData[Cost Basis]&amp;TrendSheetStgData[Period]&amp;TrendSheetStgData[Trend],TrendSheetPrdData[#All],9,FALSE)</f>
        <v>32806.5</v>
      </c>
      <c r="J1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2" s="5">
        <f>VLOOKUP(TrendSheetStgData[Population]&amp;TrendSheetStgData[Trend],Threshold[#All],4,FALSE)</f>
        <v>10</v>
      </c>
      <c r="L1232" s="5">
        <f>VLOOKUP(TrendSheetStgData[Population]&amp;TrendSheetStgData[Trend],Threshold[#All],5,FALSE)</f>
        <v>5</v>
      </c>
      <c r="M1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3" spans="1:13" x14ac:dyDescent="0.25">
      <c r="A1233" t="s">
        <v>111</v>
      </c>
      <c r="B1233" t="s">
        <v>111</v>
      </c>
      <c r="C1233" t="s">
        <v>78</v>
      </c>
      <c r="D1233" s="1" t="s">
        <v>100</v>
      </c>
      <c r="E1233" t="s">
        <v>93</v>
      </c>
      <c r="F1233" t="s">
        <v>15</v>
      </c>
      <c r="G1233">
        <v>4</v>
      </c>
      <c r="H1233">
        <v>0</v>
      </c>
      <c r="I1233" s="5">
        <f>VLOOKUP(TrendSheetStgData[Population]&amp;TrendSheetStgData[Cost Basis]&amp;TrendSheetStgData[Period]&amp;TrendSheetStgData[Trend],TrendSheetPrdData[#All],9,FALSE)</f>
        <v>0</v>
      </c>
      <c r="J1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3" s="5">
        <f>VLOOKUP(TrendSheetStgData[Population]&amp;TrendSheetStgData[Trend],Threshold[#All],4,FALSE)</f>
        <v>10</v>
      </c>
      <c r="L1233" s="5">
        <f>VLOOKUP(TrendSheetStgData[Population]&amp;TrendSheetStgData[Trend],Threshold[#All],5,FALSE)</f>
        <v>5</v>
      </c>
      <c r="M1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4" spans="1:13" x14ac:dyDescent="0.25">
      <c r="A1234" t="s">
        <v>111</v>
      </c>
      <c r="B1234" t="s">
        <v>111</v>
      </c>
      <c r="C1234" t="s">
        <v>78</v>
      </c>
      <c r="D1234" s="1" t="s">
        <v>101</v>
      </c>
      <c r="E1234" t="s">
        <v>93</v>
      </c>
      <c r="F1234" t="s">
        <v>15</v>
      </c>
      <c r="G1234">
        <v>4</v>
      </c>
      <c r="H1234">
        <v>29541.15</v>
      </c>
      <c r="I1234" s="5">
        <f>VLOOKUP(TrendSheetStgData[Population]&amp;TrendSheetStgData[Cost Basis]&amp;TrendSheetStgData[Period]&amp;TrendSheetStgData[Trend],TrendSheetPrdData[#All],9,FALSE)</f>
        <v>29541.15</v>
      </c>
      <c r="J1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4" s="5">
        <f>VLOOKUP(TrendSheetStgData[Population]&amp;TrendSheetStgData[Trend],Threshold[#All],4,FALSE)</f>
        <v>10</v>
      </c>
      <c r="L1234" s="5">
        <f>VLOOKUP(TrendSheetStgData[Population]&amp;TrendSheetStgData[Trend],Threshold[#All],5,FALSE)</f>
        <v>5</v>
      </c>
      <c r="M1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5" spans="1:13" x14ac:dyDescent="0.25">
      <c r="A1235" t="s">
        <v>111</v>
      </c>
      <c r="B1235" t="s">
        <v>111</v>
      </c>
      <c r="C1235" t="s">
        <v>78</v>
      </c>
      <c r="D1235" s="1" t="s">
        <v>102</v>
      </c>
      <c r="E1235" t="s">
        <v>93</v>
      </c>
      <c r="F1235" t="s">
        <v>15</v>
      </c>
      <c r="G1235">
        <v>4</v>
      </c>
      <c r="H1235">
        <v>0</v>
      </c>
      <c r="I1235" s="5">
        <f>VLOOKUP(TrendSheetStgData[Population]&amp;TrendSheetStgData[Cost Basis]&amp;TrendSheetStgData[Period]&amp;TrendSheetStgData[Trend],TrendSheetPrdData[#All],9,FALSE)</f>
        <v>0</v>
      </c>
      <c r="J1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5" s="5">
        <f>VLOOKUP(TrendSheetStgData[Population]&amp;TrendSheetStgData[Trend],Threshold[#All],4,FALSE)</f>
        <v>10</v>
      </c>
      <c r="L1235" s="5">
        <f>VLOOKUP(TrendSheetStgData[Population]&amp;TrendSheetStgData[Trend],Threshold[#All],5,FALSE)</f>
        <v>5</v>
      </c>
      <c r="M1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6" spans="1:13" x14ac:dyDescent="0.25">
      <c r="A1236" t="s">
        <v>111</v>
      </c>
      <c r="B1236" t="s">
        <v>111</v>
      </c>
      <c r="C1236" t="s">
        <v>78</v>
      </c>
      <c r="D1236" s="1" t="s">
        <v>103</v>
      </c>
      <c r="E1236" t="s">
        <v>93</v>
      </c>
      <c r="F1236" t="s">
        <v>15</v>
      </c>
      <c r="G1236">
        <v>4</v>
      </c>
      <c r="H1236">
        <v>30959.06</v>
      </c>
      <c r="I1236" s="5">
        <f>VLOOKUP(TrendSheetStgData[Population]&amp;TrendSheetStgData[Cost Basis]&amp;TrendSheetStgData[Period]&amp;TrendSheetStgData[Trend],TrendSheetPrdData[#All],9,FALSE)</f>
        <v>30959.06</v>
      </c>
      <c r="J1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6" s="5">
        <f>VLOOKUP(TrendSheetStgData[Population]&amp;TrendSheetStgData[Trend],Threshold[#All],4,FALSE)</f>
        <v>10</v>
      </c>
      <c r="L1236" s="5">
        <f>VLOOKUP(TrendSheetStgData[Population]&amp;TrendSheetStgData[Trend],Threshold[#All],5,FALSE)</f>
        <v>5</v>
      </c>
      <c r="M1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7" spans="1:13" x14ac:dyDescent="0.25">
      <c r="A1237" t="s">
        <v>111</v>
      </c>
      <c r="B1237" t="s">
        <v>111</v>
      </c>
      <c r="C1237" t="s">
        <v>78</v>
      </c>
      <c r="D1237" s="1" t="s">
        <v>104</v>
      </c>
      <c r="E1237" t="s">
        <v>93</v>
      </c>
      <c r="F1237" t="s">
        <v>15</v>
      </c>
      <c r="G1237">
        <v>4</v>
      </c>
      <c r="H1237">
        <v>0</v>
      </c>
      <c r="I1237" s="5">
        <f>VLOOKUP(TrendSheetStgData[Population]&amp;TrendSheetStgData[Cost Basis]&amp;TrendSheetStgData[Period]&amp;TrendSheetStgData[Trend],TrendSheetPrdData[#All],9,FALSE)</f>
        <v>0</v>
      </c>
      <c r="J1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7" s="5">
        <f>VLOOKUP(TrendSheetStgData[Population]&amp;TrendSheetStgData[Trend],Threshold[#All],4,FALSE)</f>
        <v>10</v>
      </c>
      <c r="L1237" s="5">
        <f>VLOOKUP(TrendSheetStgData[Population]&amp;TrendSheetStgData[Trend],Threshold[#All],5,FALSE)</f>
        <v>5</v>
      </c>
      <c r="M1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8" spans="1:13" x14ac:dyDescent="0.25">
      <c r="A1238" t="s">
        <v>111</v>
      </c>
      <c r="B1238" t="s">
        <v>111</v>
      </c>
      <c r="C1238" t="s">
        <v>78</v>
      </c>
      <c r="D1238" s="1" t="s">
        <v>105</v>
      </c>
      <c r="E1238" t="s">
        <v>108</v>
      </c>
      <c r="F1238" t="s">
        <v>15</v>
      </c>
      <c r="G1238">
        <v>4</v>
      </c>
      <c r="H1238">
        <v>0</v>
      </c>
      <c r="I1238" s="5">
        <f>VLOOKUP(TrendSheetStgData[Population]&amp;TrendSheetStgData[Cost Basis]&amp;TrendSheetStgData[Period]&amp;TrendSheetStgData[Trend],TrendSheetPrdData[#All],9,FALSE)</f>
        <v>0</v>
      </c>
      <c r="J1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8" s="5">
        <f>VLOOKUP(TrendSheetStgData[Population]&amp;TrendSheetStgData[Trend],Threshold[#All],4,FALSE)</f>
        <v>10</v>
      </c>
      <c r="L1238" s="5">
        <f>VLOOKUP(TrendSheetStgData[Population]&amp;TrendSheetStgData[Trend],Threshold[#All],5,FALSE)</f>
        <v>5</v>
      </c>
      <c r="M1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9" spans="1:13" x14ac:dyDescent="0.25">
      <c r="A1239" t="s">
        <v>111</v>
      </c>
      <c r="B1239" t="s">
        <v>111</v>
      </c>
      <c r="C1239" t="s">
        <v>78</v>
      </c>
      <c r="D1239" s="1" t="s">
        <v>106</v>
      </c>
      <c r="E1239" t="s">
        <v>108</v>
      </c>
      <c r="F1239" t="s">
        <v>15</v>
      </c>
      <c r="G1239">
        <v>4</v>
      </c>
      <c r="H1239">
        <v>25079.97</v>
      </c>
      <c r="I1239" s="5">
        <f>VLOOKUP(TrendSheetStgData[Population]&amp;TrendSheetStgData[Cost Basis]&amp;TrendSheetStgData[Period]&amp;TrendSheetStgData[Trend],TrendSheetPrdData[#All],9,FALSE)</f>
        <v>25079.97</v>
      </c>
      <c r="J1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9" s="5">
        <f>VLOOKUP(TrendSheetStgData[Population]&amp;TrendSheetStgData[Trend],Threshold[#All],4,FALSE)</f>
        <v>10</v>
      </c>
      <c r="L1239" s="5">
        <f>VLOOKUP(TrendSheetStgData[Population]&amp;TrendSheetStgData[Trend],Threshold[#All],5,FALSE)</f>
        <v>5</v>
      </c>
      <c r="M1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0" spans="1:13" x14ac:dyDescent="0.25">
      <c r="A1240" t="s">
        <v>111</v>
      </c>
      <c r="B1240" t="s">
        <v>111</v>
      </c>
      <c r="C1240" t="s">
        <v>78</v>
      </c>
      <c r="D1240" s="1" t="s">
        <v>107</v>
      </c>
      <c r="E1240" t="s">
        <v>108</v>
      </c>
      <c r="F1240" t="s">
        <v>15</v>
      </c>
      <c r="G1240">
        <v>4</v>
      </c>
      <c r="H1240">
        <v>0</v>
      </c>
      <c r="I1240" s="5">
        <f>VLOOKUP(TrendSheetStgData[Population]&amp;TrendSheetStgData[Cost Basis]&amp;TrendSheetStgData[Period]&amp;TrendSheetStgData[Trend],TrendSheetPrdData[#All],9,FALSE)</f>
        <v>0</v>
      </c>
      <c r="J1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0" s="5">
        <f>VLOOKUP(TrendSheetStgData[Population]&amp;TrendSheetStgData[Trend],Threshold[#All],4,FALSE)</f>
        <v>10</v>
      </c>
      <c r="L1240" s="5">
        <f>VLOOKUP(TrendSheetStgData[Population]&amp;TrendSheetStgData[Trend],Threshold[#All],5,FALSE)</f>
        <v>5</v>
      </c>
      <c r="M1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1" spans="1:13" x14ac:dyDescent="0.25">
      <c r="A1241" t="s">
        <v>111</v>
      </c>
      <c r="B1241" t="s">
        <v>111</v>
      </c>
      <c r="C1241" t="s">
        <v>78</v>
      </c>
      <c r="D1241" s="1" t="s">
        <v>109</v>
      </c>
      <c r="E1241" t="s">
        <v>108</v>
      </c>
      <c r="F1241" t="s">
        <v>15</v>
      </c>
      <c r="G1241">
        <v>4</v>
      </c>
      <c r="H1241">
        <v>0</v>
      </c>
      <c r="I1241" s="5">
        <f>VLOOKUP(TrendSheetStgData[Population]&amp;TrendSheetStgData[Cost Basis]&amp;TrendSheetStgData[Period]&amp;TrendSheetStgData[Trend],TrendSheetPrdData[#All],9,FALSE)</f>
        <v>0</v>
      </c>
      <c r="J1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1" s="5">
        <f>VLOOKUP(TrendSheetStgData[Population]&amp;TrendSheetStgData[Trend],Threshold[#All],4,FALSE)</f>
        <v>10</v>
      </c>
      <c r="L1241" s="5">
        <f>VLOOKUP(TrendSheetStgData[Population]&amp;TrendSheetStgData[Trend],Threshold[#All],5,FALSE)</f>
        <v>5</v>
      </c>
      <c r="M1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2" spans="1:13" x14ac:dyDescent="0.25">
      <c r="A1242" t="s">
        <v>111</v>
      </c>
      <c r="B1242" t="s">
        <v>111</v>
      </c>
      <c r="C1242" t="s">
        <v>78</v>
      </c>
      <c r="D1242" s="1" t="s">
        <v>110</v>
      </c>
      <c r="E1242" t="s">
        <v>108</v>
      </c>
      <c r="F1242" t="s">
        <v>15</v>
      </c>
      <c r="G1242">
        <v>4</v>
      </c>
      <c r="H1242">
        <v>0</v>
      </c>
      <c r="I1242" s="5">
        <f>VLOOKUP(TrendSheetStgData[Population]&amp;TrendSheetStgData[Cost Basis]&amp;TrendSheetStgData[Period]&amp;TrendSheetStgData[Trend],TrendSheetPrdData[#All],9,FALSE)</f>
        <v>0</v>
      </c>
      <c r="J1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2" s="5">
        <f>VLOOKUP(TrendSheetStgData[Population]&amp;TrendSheetStgData[Trend],Threshold[#All],4,FALSE)</f>
        <v>10</v>
      </c>
      <c r="L1242" s="5">
        <f>VLOOKUP(TrendSheetStgData[Population]&amp;TrendSheetStgData[Trend],Threshold[#All],5,FALSE)</f>
        <v>5</v>
      </c>
      <c r="M1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3" spans="1:13" x14ac:dyDescent="0.25">
      <c r="A1243" t="s">
        <v>111</v>
      </c>
      <c r="B1243" t="s">
        <v>111</v>
      </c>
      <c r="C1243" t="s">
        <v>78</v>
      </c>
      <c r="D1243" s="1" t="s">
        <v>92</v>
      </c>
      <c r="E1243" t="s">
        <v>93</v>
      </c>
      <c r="F1243" t="s">
        <v>16</v>
      </c>
      <c r="G1243">
        <v>5</v>
      </c>
      <c r="H1243">
        <v>1</v>
      </c>
      <c r="I1243" s="5">
        <f>VLOOKUP(TrendSheetStgData[Population]&amp;TrendSheetStgData[Cost Basis]&amp;TrendSheetStgData[Period]&amp;TrendSheetStgData[Trend],TrendSheetPrdData[#All],9,FALSE)</f>
        <v>1</v>
      </c>
      <c r="J1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3" s="5">
        <f>VLOOKUP(TrendSheetStgData[Population]&amp;TrendSheetStgData[Trend],Threshold[#All],4,FALSE)</f>
        <v>10</v>
      </c>
      <c r="L1243" s="5">
        <f>VLOOKUP(TrendSheetStgData[Population]&amp;TrendSheetStgData[Trend],Threshold[#All],5,FALSE)</f>
        <v>5</v>
      </c>
      <c r="M1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4" spans="1:13" x14ac:dyDescent="0.25">
      <c r="A1244" t="s">
        <v>111</v>
      </c>
      <c r="B1244" t="s">
        <v>111</v>
      </c>
      <c r="C1244" t="s">
        <v>78</v>
      </c>
      <c r="D1244" s="1" t="s">
        <v>94</v>
      </c>
      <c r="E1244" t="s">
        <v>93</v>
      </c>
      <c r="F1244" t="s">
        <v>16</v>
      </c>
      <c r="G1244">
        <v>5</v>
      </c>
      <c r="H1244">
        <v>0</v>
      </c>
      <c r="I1244" s="5">
        <f>VLOOKUP(TrendSheetStgData[Population]&amp;TrendSheetStgData[Cost Basis]&amp;TrendSheetStgData[Period]&amp;TrendSheetStgData[Trend],TrendSheetPrdData[#All],9,FALSE)</f>
        <v>0</v>
      </c>
      <c r="J1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4" s="5">
        <f>VLOOKUP(TrendSheetStgData[Population]&amp;TrendSheetStgData[Trend],Threshold[#All],4,FALSE)</f>
        <v>10</v>
      </c>
      <c r="L1244" s="5">
        <f>VLOOKUP(TrendSheetStgData[Population]&amp;TrendSheetStgData[Trend],Threshold[#All],5,FALSE)</f>
        <v>5</v>
      </c>
      <c r="M1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5" spans="1:13" x14ac:dyDescent="0.25">
      <c r="A1245" t="s">
        <v>111</v>
      </c>
      <c r="B1245" t="s">
        <v>111</v>
      </c>
      <c r="C1245" t="s">
        <v>78</v>
      </c>
      <c r="D1245" s="1" t="s">
        <v>95</v>
      </c>
      <c r="E1245" t="s">
        <v>93</v>
      </c>
      <c r="F1245" t="s">
        <v>16</v>
      </c>
      <c r="G1245">
        <v>5</v>
      </c>
      <c r="H1245">
        <v>1</v>
      </c>
      <c r="I1245" s="5">
        <f>VLOOKUP(TrendSheetStgData[Population]&amp;TrendSheetStgData[Cost Basis]&amp;TrendSheetStgData[Period]&amp;TrendSheetStgData[Trend],TrendSheetPrdData[#All],9,FALSE)</f>
        <v>1</v>
      </c>
      <c r="J1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5" s="5">
        <f>VLOOKUP(TrendSheetStgData[Population]&amp;TrendSheetStgData[Trend],Threshold[#All],4,FALSE)</f>
        <v>10</v>
      </c>
      <c r="L1245" s="5">
        <f>VLOOKUP(TrendSheetStgData[Population]&amp;TrendSheetStgData[Trend],Threshold[#All],5,FALSE)</f>
        <v>5</v>
      </c>
      <c r="M1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6" spans="1:13" x14ac:dyDescent="0.25">
      <c r="A1246" t="s">
        <v>111</v>
      </c>
      <c r="B1246" t="s">
        <v>111</v>
      </c>
      <c r="C1246" t="s">
        <v>78</v>
      </c>
      <c r="D1246" s="1" t="s">
        <v>96</v>
      </c>
      <c r="E1246" t="s">
        <v>93</v>
      </c>
      <c r="F1246" t="s">
        <v>16</v>
      </c>
      <c r="G1246">
        <v>5</v>
      </c>
      <c r="H1246">
        <v>3</v>
      </c>
      <c r="I1246" s="5">
        <f>VLOOKUP(TrendSheetStgData[Population]&amp;TrendSheetStgData[Cost Basis]&amp;TrendSheetStgData[Period]&amp;TrendSheetStgData[Trend],TrendSheetPrdData[#All],9,FALSE)</f>
        <v>3</v>
      </c>
      <c r="J1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6" s="5">
        <f>VLOOKUP(TrendSheetStgData[Population]&amp;TrendSheetStgData[Trend],Threshold[#All],4,FALSE)</f>
        <v>10</v>
      </c>
      <c r="L1246" s="5">
        <f>VLOOKUP(TrendSheetStgData[Population]&amp;TrendSheetStgData[Trend],Threshold[#All],5,FALSE)</f>
        <v>5</v>
      </c>
      <c r="M1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7" spans="1:13" x14ac:dyDescent="0.25">
      <c r="A1247" t="s">
        <v>111</v>
      </c>
      <c r="B1247" t="s">
        <v>111</v>
      </c>
      <c r="C1247" t="s">
        <v>78</v>
      </c>
      <c r="D1247" s="1" t="s">
        <v>97</v>
      </c>
      <c r="E1247" t="s">
        <v>93</v>
      </c>
      <c r="F1247" t="s">
        <v>16</v>
      </c>
      <c r="G1247">
        <v>5</v>
      </c>
      <c r="H1247">
        <v>0</v>
      </c>
      <c r="I1247" s="5">
        <f>VLOOKUP(TrendSheetStgData[Population]&amp;TrendSheetStgData[Cost Basis]&amp;TrendSheetStgData[Period]&amp;TrendSheetStgData[Trend],TrendSheetPrdData[#All],9,FALSE)</f>
        <v>0</v>
      </c>
      <c r="J1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7" s="5">
        <f>VLOOKUP(TrendSheetStgData[Population]&amp;TrendSheetStgData[Trend],Threshold[#All],4,FALSE)</f>
        <v>10</v>
      </c>
      <c r="L1247" s="5">
        <f>VLOOKUP(TrendSheetStgData[Population]&amp;TrendSheetStgData[Trend],Threshold[#All],5,FALSE)</f>
        <v>5</v>
      </c>
      <c r="M1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8" spans="1:13" x14ac:dyDescent="0.25">
      <c r="A1248" t="s">
        <v>111</v>
      </c>
      <c r="B1248" t="s">
        <v>111</v>
      </c>
      <c r="C1248" t="s">
        <v>78</v>
      </c>
      <c r="D1248" s="1" t="s">
        <v>98</v>
      </c>
      <c r="E1248" t="s">
        <v>93</v>
      </c>
      <c r="F1248" t="s">
        <v>16</v>
      </c>
      <c r="G1248">
        <v>5</v>
      </c>
      <c r="H1248">
        <v>0</v>
      </c>
      <c r="I1248" s="5">
        <f>VLOOKUP(TrendSheetStgData[Population]&amp;TrendSheetStgData[Cost Basis]&amp;TrendSheetStgData[Period]&amp;TrendSheetStgData[Trend],TrendSheetPrdData[#All],9,FALSE)</f>
        <v>0</v>
      </c>
      <c r="J1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8" s="5">
        <f>VLOOKUP(TrendSheetStgData[Population]&amp;TrendSheetStgData[Trend],Threshold[#All],4,FALSE)</f>
        <v>10</v>
      </c>
      <c r="L1248" s="5">
        <f>VLOOKUP(TrendSheetStgData[Population]&amp;TrendSheetStgData[Trend],Threshold[#All],5,FALSE)</f>
        <v>5</v>
      </c>
      <c r="M1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9" spans="1:13" x14ac:dyDescent="0.25">
      <c r="A1249" t="s">
        <v>111</v>
      </c>
      <c r="B1249" t="s">
        <v>111</v>
      </c>
      <c r="C1249" t="s">
        <v>78</v>
      </c>
      <c r="D1249" s="1" t="s">
        <v>99</v>
      </c>
      <c r="E1249" t="s">
        <v>93</v>
      </c>
      <c r="F1249" t="s">
        <v>16</v>
      </c>
      <c r="G1249">
        <v>5</v>
      </c>
      <c r="H1249">
        <v>2</v>
      </c>
      <c r="I1249" s="5">
        <f>VLOOKUP(TrendSheetStgData[Population]&amp;TrendSheetStgData[Cost Basis]&amp;TrendSheetStgData[Period]&amp;TrendSheetStgData[Trend],TrendSheetPrdData[#All],9,FALSE)</f>
        <v>2</v>
      </c>
      <c r="J1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9" s="5">
        <f>VLOOKUP(TrendSheetStgData[Population]&amp;TrendSheetStgData[Trend],Threshold[#All],4,FALSE)</f>
        <v>10</v>
      </c>
      <c r="L1249" s="5">
        <f>VLOOKUP(TrendSheetStgData[Population]&amp;TrendSheetStgData[Trend],Threshold[#All],5,FALSE)</f>
        <v>5</v>
      </c>
      <c r="M1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0" spans="1:13" x14ac:dyDescent="0.25">
      <c r="A1250" t="s">
        <v>111</v>
      </c>
      <c r="B1250" t="s">
        <v>111</v>
      </c>
      <c r="C1250" t="s">
        <v>78</v>
      </c>
      <c r="D1250" s="1" t="s">
        <v>100</v>
      </c>
      <c r="E1250" t="s">
        <v>93</v>
      </c>
      <c r="F1250" t="s">
        <v>16</v>
      </c>
      <c r="G1250">
        <v>5</v>
      </c>
      <c r="H1250">
        <v>0</v>
      </c>
      <c r="I1250" s="5">
        <f>VLOOKUP(TrendSheetStgData[Population]&amp;TrendSheetStgData[Cost Basis]&amp;TrendSheetStgData[Period]&amp;TrendSheetStgData[Trend],TrendSheetPrdData[#All],9,FALSE)</f>
        <v>0</v>
      </c>
      <c r="J1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0" s="5">
        <f>VLOOKUP(TrendSheetStgData[Population]&amp;TrendSheetStgData[Trend],Threshold[#All],4,FALSE)</f>
        <v>10</v>
      </c>
      <c r="L1250" s="5">
        <f>VLOOKUP(TrendSheetStgData[Population]&amp;TrendSheetStgData[Trend],Threshold[#All],5,FALSE)</f>
        <v>5</v>
      </c>
      <c r="M1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1" spans="1:13" x14ac:dyDescent="0.25">
      <c r="A1251" t="s">
        <v>111</v>
      </c>
      <c r="B1251" t="s">
        <v>111</v>
      </c>
      <c r="C1251" t="s">
        <v>78</v>
      </c>
      <c r="D1251" s="1" t="s">
        <v>101</v>
      </c>
      <c r="E1251" t="s">
        <v>93</v>
      </c>
      <c r="F1251" t="s">
        <v>16</v>
      </c>
      <c r="G1251">
        <v>5</v>
      </c>
      <c r="H1251">
        <v>1</v>
      </c>
      <c r="I1251" s="5">
        <f>VLOOKUP(TrendSheetStgData[Population]&amp;TrendSheetStgData[Cost Basis]&amp;TrendSheetStgData[Period]&amp;TrendSheetStgData[Trend],TrendSheetPrdData[#All],9,FALSE)</f>
        <v>1</v>
      </c>
      <c r="J1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1" s="5">
        <f>VLOOKUP(TrendSheetStgData[Population]&amp;TrendSheetStgData[Trend],Threshold[#All],4,FALSE)</f>
        <v>10</v>
      </c>
      <c r="L1251" s="5">
        <f>VLOOKUP(TrendSheetStgData[Population]&amp;TrendSheetStgData[Trend],Threshold[#All],5,FALSE)</f>
        <v>5</v>
      </c>
      <c r="M1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2" spans="1:13" x14ac:dyDescent="0.25">
      <c r="A1252" t="s">
        <v>111</v>
      </c>
      <c r="B1252" t="s">
        <v>111</v>
      </c>
      <c r="C1252" t="s">
        <v>78</v>
      </c>
      <c r="D1252" s="1" t="s">
        <v>102</v>
      </c>
      <c r="E1252" t="s">
        <v>93</v>
      </c>
      <c r="F1252" t="s">
        <v>16</v>
      </c>
      <c r="G1252">
        <v>5</v>
      </c>
      <c r="H1252">
        <v>0</v>
      </c>
      <c r="I1252" s="5">
        <f>VLOOKUP(TrendSheetStgData[Population]&amp;TrendSheetStgData[Cost Basis]&amp;TrendSheetStgData[Period]&amp;TrendSheetStgData[Trend],TrendSheetPrdData[#All],9,FALSE)</f>
        <v>0</v>
      </c>
      <c r="J1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2" s="5">
        <f>VLOOKUP(TrendSheetStgData[Population]&amp;TrendSheetStgData[Trend],Threshold[#All],4,FALSE)</f>
        <v>10</v>
      </c>
      <c r="L1252" s="5">
        <f>VLOOKUP(TrendSheetStgData[Population]&amp;TrendSheetStgData[Trend],Threshold[#All],5,FALSE)</f>
        <v>5</v>
      </c>
      <c r="M1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3" spans="1:13" x14ac:dyDescent="0.25">
      <c r="A1253" t="s">
        <v>111</v>
      </c>
      <c r="B1253" t="s">
        <v>111</v>
      </c>
      <c r="C1253" t="s">
        <v>78</v>
      </c>
      <c r="D1253" s="1" t="s">
        <v>103</v>
      </c>
      <c r="E1253" t="s">
        <v>93</v>
      </c>
      <c r="F1253" t="s">
        <v>16</v>
      </c>
      <c r="G1253">
        <v>5</v>
      </c>
      <c r="H1253">
        <v>2</v>
      </c>
      <c r="I1253" s="5">
        <f>VLOOKUP(TrendSheetStgData[Population]&amp;TrendSheetStgData[Cost Basis]&amp;TrendSheetStgData[Period]&amp;TrendSheetStgData[Trend],TrendSheetPrdData[#All],9,FALSE)</f>
        <v>2</v>
      </c>
      <c r="J1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3" s="5">
        <f>VLOOKUP(TrendSheetStgData[Population]&amp;TrendSheetStgData[Trend],Threshold[#All],4,FALSE)</f>
        <v>10</v>
      </c>
      <c r="L1253" s="5">
        <f>VLOOKUP(TrendSheetStgData[Population]&amp;TrendSheetStgData[Trend],Threshold[#All],5,FALSE)</f>
        <v>5</v>
      </c>
      <c r="M1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4" spans="1:13" x14ac:dyDescent="0.25">
      <c r="A1254" t="s">
        <v>111</v>
      </c>
      <c r="B1254" t="s">
        <v>111</v>
      </c>
      <c r="C1254" t="s">
        <v>78</v>
      </c>
      <c r="D1254" s="1" t="s">
        <v>104</v>
      </c>
      <c r="E1254" t="s">
        <v>93</v>
      </c>
      <c r="F1254" t="s">
        <v>16</v>
      </c>
      <c r="G1254">
        <v>5</v>
      </c>
      <c r="H1254">
        <v>0</v>
      </c>
      <c r="I1254" s="5">
        <f>VLOOKUP(TrendSheetStgData[Population]&amp;TrendSheetStgData[Cost Basis]&amp;TrendSheetStgData[Period]&amp;TrendSheetStgData[Trend],TrendSheetPrdData[#All],9,FALSE)</f>
        <v>0</v>
      </c>
      <c r="J1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4" s="5">
        <f>VLOOKUP(TrendSheetStgData[Population]&amp;TrendSheetStgData[Trend],Threshold[#All],4,FALSE)</f>
        <v>10</v>
      </c>
      <c r="L1254" s="5">
        <f>VLOOKUP(TrendSheetStgData[Population]&amp;TrendSheetStgData[Trend],Threshold[#All],5,FALSE)</f>
        <v>5</v>
      </c>
      <c r="M1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5" spans="1:13" x14ac:dyDescent="0.25">
      <c r="A1255" t="s">
        <v>111</v>
      </c>
      <c r="B1255" t="s">
        <v>111</v>
      </c>
      <c r="C1255" t="s">
        <v>78</v>
      </c>
      <c r="D1255" s="1" t="s">
        <v>105</v>
      </c>
      <c r="E1255" t="s">
        <v>108</v>
      </c>
      <c r="F1255" t="s">
        <v>16</v>
      </c>
      <c r="G1255">
        <v>5</v>
      </c>
      <c r="H1255">
        <v>0</v>
      </c>
      <c r="I1255" s="5">
        <f>VLOOKUP(TrendSheetStgData[Population]&amp;TrendSheetStgData[Cost Basis]&amp;TrendSheetStgData[Period]&amp;TrendSheetStgData[Trend],TrendSheetPrdData[#All],9,FALSE)</f>
        <v>0</v>
      </c>
      <c r="J1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5" s="5">
        <f>VLOOKUP(TrendSheetStgData[Population]&amp;TrendSheetStgData[Trend],Threshold[#All],4,FALSE)</f>
        <v>10</v>
      </c>
      <c r="L1255" s="5">
        <f>VLOOKUP(TrendSheetStgData[Population]&amp;TrendSheetStgData[Trend],Threshold[#All],5,FALSE)</f>
        <v>5</v>
      </c>
      <c r="M1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6" spans="1:13" x14ac:dyDescent="0.25">
      <c r="A1256" t="s">
        <v>111</v>
      </c>
      <c r="B1256" t="s">
        <v>111</v>
      </c>
      <c r="C1256" t="s">
        <v>78</v>
      </c>
      <c r="D1256" s="1" t="s">
        <v>106</v>
      </c>
      <c r="E1256" t="s">
        <v>108</v>
      </c>
      <c r="F1256" t="s">
        <v>16</v>
      </c>
      <c r="G1256">
        <v>5</v>
      </c>
      <c r="H1256">
        <v>1</v>
      </c>
      <c r="I1256" s="5">
        <f>VLOOKUP(TrendSheetStgData[Population]&amp;TrendSheetStgData[Cost Basis]&amp;TrendSheetStgData[Period]&amp;TrendSheetStgData[Trend],TrendSheetPrdData[#All],9,FALSE)</f>
        <v>1</v>
      </c>
      <c r="J1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6" s="5">
        <f>VLOOKUP(TrendSheetStgData[Population]&amp;TrendSheetStgData[Trend],Threshold[#All],4,FALSE)</f>
        <v>10</v>
      </c>
      <c r="L1256" s="5">
        <f>VLOOKUP(TrendSheetStgData[Population]&amp;TrendSheetStgData[Trend],Threshold[#All],5,FALSE)</f>
        <v>5</v>
      </c>
      <c r="M1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7" spans="1:13" x14ac:dyDescent="0.25">
      <c r="A1257" t="s">
        <v>111</v>
      </c>
      <c r="B1257" t="s">
        <v>111</v>
      </c>
      <c r="C1257" t="s">
        <v>78</v>
      </c>
      <c r="D1257" s="1" t="s">
        <v>107</v>
      </c>
      <c r="E1257" t="s">
        <v>108</v>
      </c>
      <c r="F1257" t="s">
        <v>16</v>
      </c>
      <c r="G1257">
        <v>5</v>
      </c>
      <c r="H1257">
        <v>0</v>
      </c>
      <c r="I1257" s="5">
        <f>VLOOKUP(TrendSheetStgData[Population]&amp;TrendSheetStgData[Cost Basis]&amp;TrendSheetStgData[Period]&amp;TrendSheetStgData[Trend],TrendSheetPrdData[#All],9,FALSE)</f>
        <v>0</v>
      </c>
      <c r="J1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7" s="5">
        <f>VLOOKUP(TrendSheetStgData[Population]&amp;TrendSheetStgData[Trend],Threshold[#All],4,FALSE)</f>
        <v>10</v>
      </c>
      <c r="L1257" s="5">
        <f>VLOOKUP(TrendSheetStgData[Population]&amp;TrendSheetStgData[Trend],Threshold[#All],5,FALSE)</f>
        <v>5</v>
      </c>
      <c r="M1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8" spans="1:13" x14ac:dyDescent="0.25">
      <c r="A1258" t="s">
        <v>111</v>
      </c>
      <c r="B1258" t="s">
        <v>111</v>
      </c>
      <c r="C1258" t="s">
        <v>78</v>
      </c>
      <c r="D1258" s="1" t="s">
        <v>109</v>
      </c>
      <c r="E1258" t="s">
        <v>108</v>
      </c>
      <c r="F1258" t="s">
        <v>16</v>
      </c>
      <c r="G1258">
        <v>5</v>
      </c>
      <c r="H1258">
        <v>0</v>
      </c>
      <c r="I1258" s="5">
        <f>VLOOKUP(TrendSheetStgData[Population]&amp;TrendSheetStgData[Cost Basis]&amp;TrendSheetStgData[Period]&amp;TrendSheetStgData[Trend],TrendSheetPrdData[#All],9,FALSE)</f>
        <v>0</v>
      </c>
      <c r="J1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8" s="5">
        <f>VLOOKUP(TrendSheetStgData[Population]&amp;TrendSheetStgData[Trend],Threshold[#All],4,FALSE)</f>
        <v>10</v>
      </c>
      <c r="L1258" s="5">
        <f>VLOOKUP(TrendSheetStgData[Population]&amp;TrendSheetStgData[Trend],Threshold[#All],5,FALSE)</f>
        <v>5</v>
      </c>
      <c r="M1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9" spans="1:13" x14ac:dyDescent="0.25">
      <c r="A1259" t="s">
        <v>111</v>
      </c>
      <c r="B1259" t="s">
        <v>111</v>
      </c>
      <c r="C1259" t="s">
        <v>78</v>
      </c>
      <c r="D1259" s="1" t="s">
        <v>110</v>
      </c>
      <c r="E1259" t="s">
        <v>108</v>
      </c>
      <c r="F1259" t="s">
        <v>16</v>
      </c>
      <c r="G1259">
        <v>5</v>
      </c>
      <c r="H1259">
        <v>0</v>
      </c>
      <c r="I1259" s="5">
        <f>VLOOKUP(TrendSheetStgData[Population]&amp;TrendSheetStgData[Cost Basis]&amp;TrendSheetStgData[Period]&amp;TrendSheetStgData[Trend],TrendSheetPrdData[#All],9,FALSE)</f>
        <v>0</v>
      </c>
      <c r="J1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9" s="5">
        <f>VLOOKUP(TrendSheetStgData[Population]&amp;TrendSheetStgData[Trend],Threshold[#All],4,FALSE)</f>
        <v>10</v>
      </c>
      <c r="L1259" s="5">
        <f>VLOOKUP(TrendSheetStgData[Population]&amp;TrendSheetStgData[Trend],Threshold[#All],5,FALSE)</f>
        <v>5</v>
      </c>
      <c r="M1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0" spans="1:13" x14ac:dyDescent="0.25">
      <c r="A1260" t="s">
        <v>111</v>
      </c>
      <c r="B1260" t="s">
        <v>111</v>
      </c>
      <c r="C1260" t="s">
        <v>78</v>
      </c>
      <c r="D1260" s="1" t="s">
        <v>92</v>
      </c>
      <c r="E1260" t="s">
        <v>93</v>
      </c>
      <c r="F1260" t="s">
        <v>17</v>
      </c>
      <c r="G1260">
        <v>6</v>
      </c>
      <c r="H1260">
        <v>4275.47</v>
      </c>
      <c r="I1260" s="5">
        <f>VLOOKUP(TrendSheetStgData[Population]&amp;TrendSheetStgData[Cost Basis]&amp;TrendSheetStgData[Period]&amp;TrendSheetStgData[Trend],TrendSheetPrdData[#All],9,FALSE)</f>
        <v>4275.47</v>
      </c>
      <c r="J1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0" s="5">
        <f>VLOOKUP(TrendSheetStgData[Population]&amp;TrendSheetStgData[Trend],Threshold[#All],4,FALSE)</f>
        <v>10</v>
      </c>
      <c r="L1260" s="5">
        <f>VLOOKUP(TrendSheetStgData[Population]&amp;TrendSheetStgData[Trend],Threshold[#All],5,FALSE)</f>
        <v>5</v>
      </c>
      <c r="M1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1" spans="1:13" x14ac:dyDescent="0.25">
      <c r="A1261" t="s">
        <v>111</v>
      </c>
      <c r="B1261" t="s">
        <v>111</v>
      </c>
      <c r="C1261" t="s">
        <v>78</v>
      </c>
      <c r="D1261" s="1" t="s">
        <v>94</v>
      </c>
      <c r="E1261" t="s">
        <v>93</v>
      </c>
      <c r="F1261" t="s">
        <v>17</v>
      </c>
      <c r="G1261">
        <v>6</v>
      </c>
      <c r="H1261">
        <v>0</v>
      </c>
      <c r="I1261" s="5">
        <f>VLOOKUP(TrendSheetStgData[Population]&amp;TrendSheetStgData[Cost Basis]&amp;TrendSheetStgData[Period]&amp;TrendSheetStgData[Trend],TrendSheetPrdData[#All],9,FALSE)</f>
        <v>0</v>
      </c>
      <c r="J1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1" s="5">
        <f>VLOOKUP(TrendSheetStgData[Population]&amp;TrendSheetStgData[Trend],Threshold[#All],4,FALSE)</f>
        <v>10</v>
      </c>
      <c r="L1261" s="5">
        <f>VLOOKUP(TrendSheetStgData[Population]&amp;TrendSheetStgData[Trend],Threshold[#All],5,FALSE)</f>
        <v>5</v>
      </c>
      <c r="M1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2" spans="1:13" x14ac:dyDescent="0.25">
      <c r="A1262" t="s">
        <v>111</v>
      </c>
      <c r="B1262" t="s">
        <v>111</v>
      </c>
      <c r="C1262" t="s">
        <v>78</v>
      </c>
      <c r="D1262" s="1" t="s">
        <v>95</v>
      </c>
      <c r="E1262" t="s">
        <v>93</v>
      </c>
      <c r="F1262" t="s">
        <v>17</v>
      </c>
      <c r="G1262">
        <v>6</v>
      </c>
      <c r="H1262">
        <v>0</v>
      </c>
      <c r="I1262" s="5">
        <f>VLOOKUP(TrendSheetStgData[Population]&amp;TrendSheetStgData[Cost Basis]&amp;TrendSheetStgData[Period]&amp;TrendSheetStgData[Trend],TrendSheetPrdData[#All],9,FALSE)</f>
        <v>0</v>
      </c>
      <c r="J1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2" s="5">
        <f>VLOOKUP(TrendSheetStgData[Population]&amp;TrendSheetStgData[Trend],Threshold[#All],4,FALSE)</f>
        <v>10</v>
      </c>
      <c r="L1262" s="5">
        <f>VLOOKUP(TrendSheetStgData[Population]&amp;TrendSheetStgData[Trend],Threshold[#All],5,FALSE)</f>
        <v>5</v>
      </c>
      <c r="M1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3" spans="1:13" x14ac:dyDescent="0.25">
      <c r="A1263" t="s">
        <v>111</v>
      </c>
      <c r="B1263" t="s">
        <v>111</v>
      </c>
      <c r="C1263" t="s">
        <v>78</v>
      </c>
      <c r="D1263" s="1" t="s">
        <v>96</v>
      </c>
      <c r="E1263" t="s">
        <v>93</v>
      </c>
      <c r="F1263" t="s">
        <v>17</v>
      </c>
      <c r="G1263">
        <v>6</v>
      </c>
      <c r="H1263">
        <v>72144.61</v>
      </c>
      <c r="I1263" s="5">
        <f>VLOOKUP(TrendSheetStgData[Population]&amp;TrendSheetStgData[Cost Basis]&amp;TrendSheetStgData[Period]&amp;TrendSheetStgData[Trend],TrendSheetPrdData[#All],9,FALSE)</f>
        <v>72144.61</v>
      </c>
      <c r="J1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3" s="5">
        <f>VLOOKUP(TrendSheetStgData[Population]&amp;TrendSheetStgData[Trend],Threshold[#All],4,FALSE)</f>
        <v>10</v>
      </c>
      <c r="L1263" s="5">
        <f>VLOOKUP(TrendSheetStgData[Population]&amp;TrendSheetStgData[Trend],Threshold[#All],5,FALSE)</f>
        <v>5</v>
      </c>
      <c r="M1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4" spans="1:13" x14ac:dyDescent="0.25">
      <c r="A1264" t="s">
        <v>111</v>
      </c>
      <c r="B1264" t="s">
        <v>111</v>
      </c>
      <c r="C1264" t="s">
        <v>78</v>
      </c>
      <c r="D1264" s="1" t="s">
        <v>97</v>
      </c>
      <c r="E1264" t="s">
        <v>93</v>
      </c>
      <c r="F1264" t="s">
        <v>17</v>
      </c>
      <c r="G1264">
        <v>6</v>
      </c>
      <c r="H1264">
        <v>0</v>
      </c>
      <c r="I1264" s="5">
        <f>VLOOKUP(TrendSheetStgData[Population]&amp;TrendSheetStgData[Cost Basis]&amp;TrendSheetStgData[Period]&amp;TrendSheetStgData[Trend],TrendSheetPrdData[#All],9,FALSE)</f>
        <v>0</v>
      </c>
      <c r="J1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4" s="5">
        <f>VLOOKUP(TrendSheetStgData[Population]&amp;TrendSheetStgData[Trend],Threshold[#All],4,FALSE)</f>
        <v>10</v>
      </c>
      <c r="L1264" s="5">
        <f>VLOOKUP(TrendSheetStgData[Population]&amp;TrendSheetStgData[Trend],Threshold[#All],5,FALSE)</f>
        <v>5</v>
      </c>
      <c r="M1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5" spans="1:13" x14ac:dyDescent="0.25">
      <c r="A1265" t="s">
        <v>111</v>
      </c>
      <c r="B1265" t="s">
        <v>111</v>
      </c>
      <c r="C1265" t="s">
        <v>78</v>
      </c>
      <c r="D1265" s="1" t="s">
        <v>98</v>
      </c>
      <c r="E1265" t="s">
        <v>93</v>
      </c>
      <c r="F1265" t="s">
        <v>17</v>
      </c>
      <c r="G1265">
        <v>6</v>
      </c>
      <c r="H1265">
        <v>0</v>
      </c>
      <c r="I1265" s="5">
        <f>VLOOKUP(TrendSheetStgData[Population]&amp;TrendSheetStgData[Cost Basis]&amp;TrendSheetStgData[Period]&amp;TrendSheetStgData[Trend],TrendSheetPrdData[#All],9,FALSE)</f>
        <v>0</v>
      </c>
      <c r="J1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5" s="5">
        <f>VLOOKUP(TrendSheetStgData[Population]&amp;TrendSheetStgData[Trend],Threshold[#All],4,FALSE)</f>
        <v>10</v>
      </c>
      <c r="L1265" s="5">
        <f>VLOOKUP(TrendSheetStgData[Population]&amp;TrendSheetStgData[Trend],Threshold[#All],5,FALSE)</f>
        <v>5</v>
      </c>
      <c r="M1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6" spans="1:13" x14ac:dyDescent="0.25">
      <c r="A1266" t="s">
        <v>111</v>
      </c>
      <c r="B1266" t="s">
        <v>111</v>
      </c>
      <c r="C1266" t="s">
        <v>78</v>
      </c>
      <c r="D1266" s="1" t="s">
        <v>99</v>
      </c>
      <c r="E1266" t="s">
        <v>93</v>
      </c>
      <c r="F1266" t="s">
        <v>17</v>
      </c>
      <c r="G1266">
        <v>6</v>
      </c>
      <c r="H1266">
        <v>11207.61</v>
      </c>
      <c r="I1266" s="5">
        <f>VLOOKUP(TrendSheetStgData[Population]&amp;TrendSheetStgData[Cost Basis]&amp;TrendSheetStgData[Period]&amp;TrendSheetStgData[Trend],TrendSheetPrdData[#All],9,FALSE)</f>
        <v>11207.61</v>
      </c>
      <c r="J1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6" s="5">
        <f>VLOOKUP(TrendSheetStgData[Population]&amp;TrendSheetStgData[Trend],Threshold[#All],4,FALSE)</f>
        <v>10</v>
      </c>
      <c r="L1266" s="5">
        <f>VLOOKUP(TrendSheetStgData[Population]&amp;TrendSheetStgData[Trend],Threshold[#All],5,FALSE)</f>
        <v>5</v>
      </c>
      <c r="M1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7" spans="1:13" x14ac:dyDescent="0.25">
      <c r="A1267" t="s">
        <v>111</v>
      </c>
      <c r="B1267" t="s">
        <v>111</v>
      </c>
      <c r="C1267" t="s">
        <v>78</v>
      </c>
      <c r="D1267" s="1" t="s">
        <v>100</v>
      </c>
      <c r="E1267" t="s">
        <v>93</v>
      </c>
      <c r="F1267" t="s">
        <v>17</v>
      </c>
      <c r="G1267">
        <v>6</v>
      </c>
      <c r="H1267">
        <v>0</v>
      </c>
      <c r="I1267" s="5">
        <f>VLOOKUP(TrendSheetStgData[Population]&amp;TrendSheetStgData[Cost Basis]&amp;TrendSheetStgData[Period]&amp;TrendSheetStgData[Trend],TrendSheetPrdData[#All],9,FALSE)</f>
        <v>0</v>
      </c>
      <c r="J1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7" s="5">
        <f>VLOOKUP(TrendSheetStgData[Population]&amp;TrendSheetStgData[Trend],Threshold[#All],4,FALSE)</f>
        <v>10</v>
      </c>
      <c r="L1267" s="5">
        <f>VLOOKUP(TrendSheetStgData[Population]&amp;TrendSheetStgData[Trend],Threshold[#All],5,FALSE)</f>
        <v>5</v>
      </c>
      <c r="M1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8" spans="1:13" x14ac:dyDescent="0.25">
      <c r="A1268" t="s">
        <v>111</v>
      </c>
      <c r="B1268" t="s">
        <v>111</v>
      </c>
      <c r="C1268" t="s">
        <v>78</v>
      </c>
      <c r="D1268" s="1" t="s">
        <v>101</v>
      </c>
      <c r="E1268" t="s">
        <v>93</v>
      </c>
      <c r="F1268" t="s">
        <v>17</v>
      </c>
      <c r="G1268">
        <v>6</v>
      </c>
      <c r="H1268">
        <v>0</v>
      </c>
      <c r="I1268" s="5">
        <f>VLOOKUP(TrendSheetStgData[Population]&amp;TrendSheetStgData[Cost Basis]&amp;TrendSheetStgData[Period]&amp;TrendSheetStgData[Trend],TrendSheetPrdData[#All],9,FALSE)</f>
        <v>0</v>
      </c>
      <c r="J1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8" s="5">
        <f>VLOOKUP(TrendSheetStgData[Population]&amp;TrendSheetStgData[Trend],Threshold[#All],4,FALSE)</f>
        <v>10</v>
      </c>
      <c r="L1268" s="5">
        <f>VLOOKUP(TrendSheetStgData[Population]&amp;TrendSheetStgData[Trend],Threshold[#All],5,FALSE)</f>
        <v>5</v>
      </c>
      <c r="M1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9" spans="1:13" x14ac:dyDescent="0.25">
      <c r="A1269" t="s">
        <v>111</v>
      </c>
      <c r="B1269" t="s">
        <v>111</v>
      </c>
      <c r="C1269" t="s">
        <v>78</v>
      </c>
      <c r="D1269" s="1" t="s">
        <v>102</v>
      </c>
      <c r="E1269" t="s">
        <v>93</v>
      </c>
      <c r="F1269" t="s">
        <v>17</v>
      </c>
      <c r="G1269">
        <v>6</v>
      </c>
      <c r="H1269">
        <v>8351.01</v>
      </c>
      <c r="I1269" s="5">
        <f>VLOOKUP(TrendSheetStgData[Population]&amp;TrendSheetStgData[Cost Basis]&amp;TrendSheetStgData[Period]&amp;TrendSheetStgData[Trend],TrendSheetPrdData[#All],9,FALSE)</f>
        <v>8351.01</v>
      </c>
      <c r="J1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9" s="5">
        <f>VLOOKUP(TrendSheetStgData[Population]&amp;TrendSheetStgData[Trend],Threshold[#All],4,FALSE)</f>
        <v>10</v>
      </c>
      <c r="L1269" s="5">
        <f>VLOOKUP(TrendSheetStgData[Population]&amp;TrendSheetStgData[Trend],Threshold[#All],5,FALSE)</f>
        <v>5</v>
      </c>
      <c r="M1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0" spans="1:13" x14ac:dyDescent="0.25">
      <c r="A1270" t="s">
        <v>111</v>
      </c>
      <c r="B1270" t="s">
        <v>111</v>
      </c>
      <c r="C1270" t="s">
        <v>78</v>
      </c>
      <c r="D1270" s="1" t="s">
        <v>103</v>
      </c>
      <c r="E1270" t="s">
        <v>93</v>
      </c>
      <c r="F1270" t="s">
        <v>17</v>
      </c>
      <c r="G1270">
        <v>6</v>
      </c>
      <c r="H1270">
        <v>31217.65</v>
      </c>
      <c r="I1270" s="5">
        <f>VLOOKUP(TrendSheetStgData[Population]&amp;TrendSheetStgData[Cost Basis]&amp;TrendSheetStgData[Period]&amp;TrendSheetStgData[Trend],TrendSheetPrdData[#All],9,FALSE)</f>
        <v>31217.65</v>
      </c>
      <c r="J1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0" s="5">
        <f>VLOOKUP(TrendSheetStgData[Population]&amp;TrendSheetStgData[Trend],Threshold[#All],4,FALSE)</f>
        <v>10</v>
      </c>
      <c r="L1270" s="5">
        <f>VLOOKUP(TrendSheetStgData[Population]&amp;TrendSheetStgData[Trend],Threshold[#All],5,FALSE)</f>
        <v>5</v>
      </c>
      <c r="M1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1" spans="1:13" x14ac:dyDescent="0.25">
      <c r="A1271" t="s">
        <v>111</v>
      </c>
      <c r="B1271" t="s">
        <v>111</v>
      </c>
      <c r="C1271" t="s">
        <v>78</v>
      </c>
      <c r="D1271" s="1" t="s">
        <v>104</v>
      </c>
      <c r="E1271" t="s">
        <v>93</v>
      </c>
      <c r="F1271" t="s">
        <v>17</v>
      </c>
      <c r="G1271">
        <v>6</v>
      </c>
      <c r="H1271">
        <v>0</v>
      </c>
      <c r="I1271" s="5">
        <f>VLOOKUP(TrendSheetStgData[Population]&amp;TrendSheetStgData[Cost Basis]&amp;TrendSheetStgData[Period]&amp;TrendSheetStgData[Trend],TrendSheetPrdData[#All],9,FALSE)</f>
        <v>0</v>
      </c>
      <c r="J1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1" s="5">
        <f>VLOOKUP(TrendSheetStgData[Population]&amp;TrendSheetStgData[Trend],Threshold[#All],4,FALSE)</f>
        <v>10</v>
      </c>
      <c r="L1271" s="5">
        <f>VLOOKUP(TrendSheetStgData[Population]&amp;TrendSheetStgData[Trend],Threshold[#All],5,FALSE)</f>
        <v>5</v>
      </c>
      <c r="M1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2" spans="1:13" x14ac:dyDescent="0.25">
      <c r="A1272" t="s">
        <v>111</v>
      </c>
      <c r="B1272" t="s">
        <v>111</v>
      </c>
      <c r="C1272" t="s">
        <v>78</v>
      </c>
      <c r="D1272" s="1" t="s">
        <v>105</v>
      </c>
      <c r="E1272" t="s">
        <v>108</v>
      </c>
      <c r="F1272" t="s">
        <v>17</v>
      </c>
      <c r="G1272">
        <v>6</v>
      </c>
      <c r="H1272">
        <v>7188.05</v>
      </c>
      <c r="I1272" s="5">
        <f>VLOOKUP(TrendSheetStgData[Population]&amp;TrendSheetStgData[Cost Basis]&amp;TrendSheetStgData[Period]&amp;TrendSheetStgData[Trend],TrendSheetPrdData[#All],9,FALSE)</f>
        <v>7188.05</v>
      </c>
      <c r="J1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2" s="5">
        <f>VLOOKUP(TrendSheetStgData[Population]&amp;TrendSheetStgData[Trend],Threshold[#All],4,FALSE)</f>
        <v>10</v>
      </c>
      <c r="L1272" s="5">
        <f>VLOOKUP(TrendSheetStgData[Population]&amp;TrendSheetStgData[Trend],Threshold[#All],5,FALSE)</f>
        <v>5</v>
      </c>
      <c r="M1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3" spans="1:13" x14ac:dyDescent="0.25">
      <c r="A1273" t="s">
        <v>111</v>
      </c>
      <c r="B1273" t="s">
        <v>111</v>
      </c>
      <c r="C1273" t="s">
        <v>78</v>
      </c>
      <c r="D1273" s="1" t="s">
        <v>106</v>
      </c>
      <c r="E1273" t="s">
        <v>108</v>
      </c>
      <c r="F1273" t="s">
        <v>17</v>
      </c>
      <c r="G1273">
        <v>6</v>
      </c>
      <c r="H1273">
        <v>0</v>
      </c>
      <c r="I1273" s="5">
        <f>VLOOKUP(TrendSheetStgData[Population]&amp;TrendSheetStgData[Cost Basis]&amp;TrendSheetStgData[Period]&amp;TrendSheetStgData[Trend],TrendSheetPrdData[#All],9,FALSE)</f>
        <v>0</v>
      </c>
      <c r="J1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3" s="5">
        <f>VLOOKUP(TrendSheetStgData[Population]&amp;TrendSheetStgData[Trend],Threshold[#All],4,FALSE)</f>
        <v>10</v>
      </c>
      <c r="L1273" s="5">
        <f>VLOOKUP(TrendSheetStgData[Population]&amp;TrendSheetStgData[Trend],Threshold[#All],5,FALSE)</f>
        <v>5</v>
      </c>
      <c r="M1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4" spans="1:13" x14ac:dyDescent="0.25">
      <c r="A1274" t="s">
        <v>111</v>
      </c>
      <c r="B1274" t="s">
        <v>111</v>
      </c>
      <c r="C1274" t="s">
        <v>78</v>
      </c>
      <c r="D1274" s="1" t="s">
        <v>107</v>
      </c>
      <c r="E1274" t="s">
        <v>108</v>
      </c>
      <c r="F1274" t="s">
        <v>17</v>
      </c>
      <c r="G1274">
        <v>6</v>
      </c>
      <c r="H1274">
        <v>0</v>
      </c>
      <c r="I1274" s="5">
        <f>VLOOKUP(TrendSheetStgData[Population]&amp;TrendSheetStgData[Cost Basis]&amp;TrendSheetStgData[Period]&amp;TrendSheetStgData[Trend],TrendSheetPrdData[#All],9,FALSE)</f>
        <v>0</v>
      </c>
      <c r="J1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4" s="5">
        <f>VLOOKUP(TrendSheetStgData[Population]&amp;TrendSheetStgData[Trend],Threshold[#All],4,FALSE)</f>
        <v>10</v>
      </c>
      <c r="L1274" s="5">
        <f>VLOOKUP(TrendSheetStgData[Population]&amp;TrendSheetStgData[Trend],Threshold[#All],5,FALSE)</f>
        <v>5</v>
      </c>
      <c r="M1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5" spans="1:13" x14ac:dyDescent="0.25">
      <c r="A1275" t="s">
        <v>111</v>
      </c>
      <c r="B1275" t="s">
        <v>111</v>
      </c>
      <c r="C1275" t="s">
        <v>78</v>
      </c>
      <c r="D1275" s="1" t="s">
        <v>109</v>
      </c>
      <c r="E1275" t="s">
        <v>108</v>
      </c>
      <c r="F1275" t="s">
        <v>17</v>
      </c>
      <c r="G1275">
        <v>6</v>
      </c>
      <c r="H1275">
        <v>0</v>
      </c>
      <c r="I1275" s="5">
        <f>VLOOKUP(TrendSheetStgData[Population]&amp;TrendSheetStgData[Cost Basis]&amp;TrendSheetStgData[Period]&amp;TrendSheetStgData[Trend],TrendSheetPrdData[#All],9,FALSE)</f>
        <v>0</v>
      </c>
      <c r="J1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5" s="5">
        <f>VLOOKUP(TrendSheetStgData[Population]&amp;TrendSheetStgData[Trend],Threshold[#All],4,FALSE)</f>
        <v>10</v>
      </c>
      <c r="L1275" s="5">
        <f>VLOOKUP(TrendSheetStgData[Population]&amp;TrendSheetStgData[Trend],Threshold[#All],5,FALSE)</f>
        <v>5</v>
      </c>
      <c r="M1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6" spans="1:13" x14ac:dyDescent="0.25">
      <c r="A1276" t="s">
        <v>111</v>
      </c>
      <c r="B1276" t="s">
        <v>111</v>
      </c>
      <c r="C1276" t="s">
        <v>78</v>
      </c>
      <c r="D1276" s="1" t="s">
        <v>110</v>
      </c>
      <c r="E1276" t="s">
        <v>108</v>
      </c>
      <c r="F1276" t="s">
        <v>17</v>
      </c>
      <c r="G1276">
        <v>6</v>
      </c>
      <c r="H1276">
        <v>0</v>
      </c>
      <c r="I1276" s="5">
        <f>VLOOKUP(TrendSheetStgData[Population]&amp;TrendSheetStgData[Cost Basis]&amp;TrendSheetStgData[Period]&amp;TrendSheetStgData[Trend],TrendSheetPrdData[#All],9,FALSE)</f>
        <v>0</v>
      </c>
      <c r="J1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6" s="5">
        <f>VLOOKUP(TrendSheetStgData[Population]&amp;TrendSheetStgData[Trend],Threshold[#All],4,FALSE)</f>
        <v>10</v>
      </c>
      <c r="L1276" s="5">
        <f>VLOOKUP(TrendSheetStgData[Population]&amp;TrendSheetStgData[Trend],Threshold[#All],5,FALSE)</f>
        <v>5</v>
      </c>
      <c r="M1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7" spans="1:13" x14ac:dyDescent="0.25">
      <c r="A1277" t="s">
        <v>111</v>
      </c>
      <c r="B1277" t="s">
        <v>111</v>
      </c>
      <c r="C1277" t="s">
        <v>78</v>
      </c>
      <c r="D1277" s="1" t="s">
        <v>92</v>
      </c>
      <c r="E1277" t="s">
        <v>93</v>
      </c>
      <c r="F1277" t="s">
        <v>18</v>
      </c>
      <c r="G1277">
        <v>7</v>
      </c>
      <c r="H1277">
        <v>2</v>
      </c>
      <c r="I1277" s="5">
        <f>VLOOKUP(TrendSheetStgData[Population]&amp;TrendSheetStgData[Cost Basis]&amp;TrendSheetStgData[Period]&amp;TrendSheetStgData[Trend],TrendSheetPrdData[#All],9,FALSE)</f>
        <v>2</v>
      </c>
      <c r="J1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7" s="5">
        <f>VLOOKUP(TrendSheetStgData[Population]&amp;TrendSheetStgData[Trend],Threshold[#All],4,FALSE)</f>
        <v>10</v>
      </c>
      <c r="L1277" s="5">
        <f>VLOOKUP(TrendSheetStgData[Population]&amp;TrendSheetStgData[Trend],Threshold[#All],5,FALSE)</f>
        <v>5</v>
      </c>
      <c r="M1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8" spans="1:13" x14ac:dyDescent="0.25">
      <c r="A1278" t="s">
        <v>111</v>
      </c>
      <c r="B1278" t="s">
        <v>111</v>
      </c>
      <c r="C1278" t="s">
        <v>78</v>
      </c>
      <c r="D1278" s="1" t="s">
        <v>94</v>
      </c>
      <c r="E1278" t="s">
        <v>93</v>
      </c>
      <c r="F1278" t="s">
        <v>18</v>
      </c>
      <c r="G1278">
        <v>7</v>
      </c>
      <c r="H1278">
        <v>0</v>
      </c>
      <c r="I1278" s="5">
        <f>VLOOKUP(TrendSheetStgData[Population]&amp;TrendSheetStgData[Cost Basis]&amp;TrendSheetStgData[Period]&amp;TrendSheetStgData[Trend],TrendSheetPrdData[#All],9,FALSE)</f>
        <v>0</v>
      </c>
      <c r="J1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8" s="5">
        <f>VLOOKUP(TrendSheetStgData[Population]&amp;TrendSheetStgData[Trend],Threshold[#All],4,FALSE)</f>
        <v>10</v>
      </c>
      <c r="L1278" s="5">
        <f>VLOOKUP(TrendSheetStgData[Population]&amp;TrendSheetStgData[Trend],Threshold[#All],5,FALSE)</f>
        <v>5</v>
      </c>
      <c r="M1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9" spans="1:13" x14ac:dyDescent="0.25">
      <c r="A1279" t="s">
        <v>111</v>
      </c>
      <c r="B1279" t="s">
        <v>111</v>
      </c>
      <c r="C1279" t="s">
        <v>78</v>
      </c>
      <c r="D1279" s="1" t="s">
        <v>95</v>
      </c>
      <c r="E1279" t="s">
        <v>93</v>
      </c>
      <c r="F1279" t="s">
        <v>18</v>
      </c>
      <c r="G1279">
        <v>7</v>
      </c>
      <c r="H1279">
        <v>0</v>
      </c>
      <c r="I1279" s="5">
        <f>VLOOKUP(TrendSheetStgData[Population]&amp;TrendSheetStgData[Cost Basis]&amp;TrendSheetStgData[Period]&amp;TrendSheetStgData[Trend],TrendSheetPrdData[#All],9,FALSE)</f>
        <v>0</v>
      </c>
      <c r="J1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9" s="5">
        <f>VLOOKUP(TrendSheetStgData[Population]&amp;TrendSheetStgData[Trend],Threshold[#All],4,FALSE)</f>
        <v>10</v>
      </c>
      <c r="L1279" s="5">
        <f>VLOOKUP(TrendSheetStgData[Population]&amp;TrendSheetStgData[Trend],Threshold[#All],5,FALSE)</f>
        <v>5</v>
      </c>
      <c r="M1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0" spans="1:13" x14ac:dyDescent="0.25">
      <c r="A1280" t="s">
        <v>111</v>
      </c>
      <c r="B1280" t="s">
        <v>111</v>
      </c>
      <c r="C1280" t="s">
        <v>78</v>
      </c>
      <c r="D1280" s="1" t="s">
        <v>96</v>
      </c>
      <c r="E1280" t="s">
        <v>93</v>
      </c>
      <c r="F1280" t="s">
        <v>18</v>
      </c>
      <c r="G1280">
        <v>7</v>
      </c>
      <c r="H1280">
        <v>1</v>
      </c>
      <c r="I1280" s="5">
        <f>VLOOKUP(TrendSheetStgData[Population]&amp;TrendSheetStgData[Cost Basis]&amp;TrendSheetStgData[Period]&amp;TrendSheetStgData[Trend],TrendSheetPrdData[#All],9,FALSE)</f>
        <v>1</v>
      </c>
      <c r="J1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0" s="5">
        <f>VLOOKUP(TrendSheetStgData[Population]&amp;TrendSheetStgData[Trend],Threshold[#All],4,FALSE)</f>
        <v>10</v>
      </c>
      <c r="L1280" s="5">
        <f>VLOOKUP(TrendSheetStgData[Population]&amp;TrendSheetStgData[Trend],Threshold[#All],5,FALSE)</f>
        <v>5</v>
      </c>
      <c r="M1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1" spans="1:13" x14ac:dyDescent="0.25">
      <c r="A1281" t="s">
        <v>111</v>
      </c>
      <c r="B1281" t="s">
        <v>111</v>
      </c>
      <c r="C1281" t="s">
        <v>78</v>
      </c>
      <c r="D1281" s="1" t="s">
        <v>97</v>
      </c>
      <c r="E1281" t="s">
        <v>93</v>
      </c>
      <c r="F1281" t="s">
        <v>18</v>
      </c>
      <c r="G1281">
        <v>7</v>
      </c>
      <c r="H1281">
        <v>0</v>
      </c>
      <c r="I1281" s="5">
        <f>VLOOKUP(TrendSheetStgData[Population]&amp;TrendSheetStgData[Cost Basis]&amp;TrendSheetStgData[Period]&amp;TrendSheetStgData[Trend],TrendSheetPrdData[#All],9,FALSE)</f>
        <v>0</v>
      </c>
      <c r="J1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1" s="5">
        <f>VLOOKUP(TrendSheetStgData[Population]&amp;TrendSheetStgData[Trend],Threshold[#All],4,FALSE)</f>
        <v>10</v>
      </c>
      <c r="L1281" s="5">
        <f>VLOOKUP(TrendSheetStgData[Population]&amp;TrendSheetStgData[Trend],Threshold[#All],5,FALSE)</f>
        <v>5</v>
      </c>
      <c r="M1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2" spans="1:13" x14ac:dyDescent="0.25">
      <c r="A1282" t="s">
        <v>111</v>
      </c>
      <c r="B1282" t="s">
        <v>111</v>
      </c>
      <c r="C1282" t="s">
        <v>78</v>
      </c>
      <c r="D1282" s="1" t="s">
        <v>98</v>
      </c>
      <c r="E1282" t="s">
        <v>93</v>
      </c>
      <c r="F1282" t="s">
        <v>18</v>
      </c>
      <c r="G1282">
        <v>7</v>
      </c>
      <c r="H1282">
        <v>0</v>
      </c>
      <c r="I1282" s="5">
        <f>VLOOKUP(TrendSheetStgData[Population]&amp;TrendSheetStgData[Cost Basis]&amp;TrendSheetStgData[Period]&amp;TrendSheetStgData[Trend],TrendSheetPrdData[#All],9,FALSE)</f>
        <v>0</v>
      </c>
      <c r="J1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2" s="5">
        <f>VLOOKUP(TrendSheetStgData[Population]&amp;TrendSheetStgData[Trend],Threshold[#All],4,FALSE)</f>
        <v>10</v>
      </c>
      <c r="L1282" s="5">
        <f>VLOOKUP(TrendSheetStgData[Population]&amp;TrendSheetStgData[Trend],Threshold[#All],5,FALSE)</f>
        <v>5</v>
      </c>
      <c r="M1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3" spans="1:13" x14ac:dyDescent="0.25">
      <c r="A1283" t="s">
        <v>111</v>
      </c>
      <c r="B1283" t="s">
        <v>111</v>
      </c>
      <c r="C1283" t="s">
        <v>78</v>
      </c>
      <c r="D1283" s="1" t="s">
        <v>99</v>
      </c>
      <c r="E1283" t="s">
        <v>93</v>
      </c>
      <c r="F1283" t="s">
        <v>18</v>
      </c>
      <c r="G1283">
        <v>7</v>
      </c>
      <c r="H1283">
        <v>1</v>
      </c>
      <c r="I1283" s="5">
        <f>VLOOKUP(TrendSheetStgData[Population]&amp;TrendSheetStgData[Cost Basis]&amp;TrendSheetStgData[Period]&amp;TrendSheetStgData[Trend],TrendSheetPrdData[#All],9,FALSE)</f>
        <v>1</v>
      </c>
      <c r="J1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3" s="5">
        <f>VLOOKUP(TrendSheetStgData[Population]&amp;TrendSheetStgData[Trend],Threshold[#All],4,FALSE)</f>
        <v>10</v>
      </c>
      <c r="L1283" s="5">
        <f>VLOOKUP(TrendSheetStgData[Population]&amp;TrendSheetStgData[Trend],Threshold[#All],5,FALSE)</f>
        <v>5</v>
      </c>
      <c r="M1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4" spans="1:13" x14ac:dyDescent="0.25">
      <c r="A1284" t="s">
        <v>111</v>
      </c>
      <c r="B1284" t="s">
        <v>111</v>
      </c>
      <c r="C1284" t="s">
        <v>78</v>
      </c>
      <c r="D1284" s="1" t="s">
        <v>100</v>
      </c>
      <c r="E1284" t="s">
        <v>93</v>
      </c>
      <c r="F1284" t="s">
        <v>18</v>
      </c>
      <c r="G1284">
        <v>7</v>
      </c>
      <c r="H1284">
        <v>0</v>
      </c>
      <c r="I1284" s="5">
        <f>VLOOKUP(TrendSheetStgData[Population]&amp;TrendSheetStgData[Cost Basis]&amp;TrendSheetStgData[Period]&amp;TrendSheetStgData[Trend],TrendSheetPrdData[#All],9,FALSE)</f>
        <v>0</v>
      </c>
      <c r="J1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4" s="5">
        <f>VLOOKUP(TrendSheetStgData[Population]&amp;TrendSheetStgData[Trend],Threshold[#All],4,FALSE)</f>
        <v>10</v>
      </c>
      <c r="L1284" s="5">
        <f>VLOOKUP(TrendSheetStgData[Population]&amp;TrendSheetStgData[Trend],Threshold[#All],5,FALSE)</f>
        <v>5</v>
      </c>
      <c r="M1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5" spans="1:13" x14ac:dyDescent="0.25">
      <c r="A1285" t="s">
        <v>111</v>
      </c>
      <c r="B1285" t="s">
        <v>111</v>
      </c>
      <c r="C1285" t="s">
        <v>78</v>
      </c>
      <c r="D1285" s="1" t="s">
        <v>101</v>
      </c>
      <c r="E1285" t="s">
        <v>93</v>
      </c>
      <c r="F1285" t="s">
        <v>18</v>
      </c>
      <c r="G1285">
        <v>7</v>
      </c>
      <c r="H1285">
        <v>0</v>
      </c>
      <c r="I1285" s="5">
        <f>VLOOKUP(TrendSheetStgData[Population]&amp;TrendSheetStgData[Cost Basis]&amp;TrendSheetStgData[Period]&amp;TrendSheetStgData[Trend],TrendSheetPrdData[#All],9,FALSE)</f>
        <v>0</v>
      </c>
      <c r="J1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5" s="5">
        <f>VLOOKUP(TrendSheetStgData[Population]&amp;TrendSheetStgData[Trend],Threshold[#All],4,FALSE)</f>
        <v>10</v>
      </c>
      <c r="L1285" s="5">
        <f>VLOOKUP(TrendSheetStgData[Population]&amp;TrendSheetStgData[Trend],Threshold[#All],5,FALSE)</f>
        <v>5</v>
      </c>
      <c r="M1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6" spans="1:13" x14ac:dyDescent="0.25">
      <c r="A1286" t="s">
        <v>111</v>
      </c>
      <c r="B1286" t="s">
        <v>111</v>
      </c>
      <c r="C1286" t="s">
        <v>78</v>
      </c>
      <c r="D1286" s="1" t="s">
        <v>102</v>
      </c>
      <c r="E1286" t="s">
        <v>93</v>
      </c>
      <c r="F1286" t="s">
        <v>18</v>
      </c>
      <c r="G1286">
        <v>7</v>
      </c>
      <c r="H1286">
        <v>1</v>
      </c>
      <c r="I1286" s="5">
        <f>VLOOKUP(TrendSheetStgData[Population]&amp;TrendSheetStgData[Cost Basis]&amp;TrendSheetStgData[Period]&amp;TrendSheetStgData[Trend],TrendSheetPrdData[#All],9,FALSE)</f>
        <v>1</v>
      </c>
      <c r="J1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6" s="5">
        <f>VLOOKUP(TrendSheetStgData[Population]&amp;TrendSheetStgData[Trend],Threshold[#All],4,FALSE)</f>
        <v>10</v>
      </c>
      <c r="L1286" s="5">
        <f>VLOOKUP(TrendSheetStgData[Population]&amp;TrendSheetStgData[Trend],Threshold[#All],5,FALSE)</f>
        <v>5</v>
      </c>
      <c r="M1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7" spans="1:13" x14ac:dyDescent="0.25">
      <c r="A1287" t="s">
        <v>111</v>
      </c>
      <c r="B1287" t="s">
        <v>111</v>
      </c>
      <c r="C1287" t="s">
        <v>78</v>
      </c>
      <c r="D1287" s="1" t="s">
        <v>103</v>
      </c>
      <c r="E1287" t="s">
        <v>93</v>
      </c>
      <c r="F1287" t="s">
        <v>18</v>
      </c>
      <c r="G1287">
        <v>7</v>
      </c>
      <c r="H1287">
        <v>2</v>
      </c>
      <c r="I1287" s="5">
        <f>VLOOKUP(TrendSheetStgData[Population]&amp;TrendSheetStgData[Cost Basis]&amp;TrendSheetStgData[Period]&amp;TrendSheetStgData[Trend],TrendSheetPrdData[#All],9,FALSE)</f>
        <v>2</v>
      </c>
      <c r="J1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7" s="5">
        <f>VLOOKUP(TrendSheetStgData[Population]&amp;TrendSheetStgData[Trend],Threshold[#All],4,FALSE)</f>
        <v>10</v>
      </c>
      <c r="L1287" s="5">
        <f>VLOOKUP(TrendSheetStgData[Population]&amp;TrendSheetStgData[Trend],Threshold[#All],5,FALSE)</f>
        <v>5</v>
      </c>
      <c r="M1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8" spans="1:13" x14ac:dyDescent="0.25">
      <c r="A1288" t="s">
        <v>111</v>
      </c>
      <c r="B1288" t="s">
        <v>111</v>
      </c>
      <c r="C1288" t="s">
        <v>78</v>
      </c>
      <c r="D1288" s="1" t="s">
        <v>104</v>
      </c>
      <c r="E1288" t="s">
        <v>93</v>
      </c>
      <c r="F1288" t="s">
        <v>18</v>
      </c>
      <c r="G1288">
        <v>7</v>
      </c>
      <c r="H1288">
        <v>0</v>
      </c>
      <c r="I1288" s="5">
        <f>VLOOKUP(TrendSheetStgData[Population]&amp;TrendSheetStgData[Cost Basis]&amp;TrendSheetStgData[Period]&amp;TrendSheetStgData[Trend],TrendSheetPrdData[#All],9,FALSE)</f>
        <v>0</v>
      </c>
      <c r="J1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8" s="5">
        <f>VLOOKUP(TrendSheetStgData[Population]&amp;TrendSheetStgData[Trend],Threshold[#All],4,FALSE)</f>
        <v>10</v>
      </c>
      <c r="L1288" s="5">
        <f>VLOOKUP(TrendSheetStgData[Population]&amp;TrendSheetStgData[Trend],Threshold[#All],5,FALSE)</f>
        <v>5</v>
      </c>
      <c r="M1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9" spans="1:13" x14ac:dyDescent="0.25">
      <c r="A1289" t="s">
        <v>111</v>
      </c>
      <c r="B1289" t="s">
        <v>111</v>
      </c>
      <c r="C1289" t="s">
        <v>78</v>
      </c>
      <c r="D1289" s="1" t="s">
        <v>105</v>
      </c>
      <c r="E1289" t="s">
        <v>108</v>
      </c>
      <c r="F1289" t="s">
        <v>18</v>
      </c>
      <c r="G1289">
        <v>7</v>
      </c>
      <c r="H1289">
        <v>1</v>
      </c>
      <c r="I1289" s="5">
        <f>VLOOKUP(TrendSheetStgData[Population]&amp;TrendSheetStgData[Cost Basis]&amp;TrendSheetStgData[Period]&amp;TrendSheetStgData[Trend],TrendSheetPrdData[#All],9,FALSE)</f>
        <v>1</v>
      </c>
      <c r="J1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9" s="5">
        <f>VLOOKUP(TrendSheetStgData[Population]&amp;TrendSheetStgData[Trend],Threshold[#All],4,FALSE)</f>
        <v>10</v>
      </c>
      <c r="L1289" s="5">
        <f>VLOOKUP(TrendSheetStgData[Population]&amp;TrendSheetStgData[Trend],Threshold[#All],5,FALSE)</f>
        <v>5</v>
      </c>
      <c r="M1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0" spans="1:13" x14ac:dyDescent="0.25">
      <c r="A1290" t="s">
        <v>111</v>
      </c>
      <c r="B1290" t="s">
        <v>111</v>
      </c>
      <c r="C1290" t="s">
        <v>78</v>
      </c>
      <c r="D1290" s="1" t="s">
        <v>106</v>
      </c>
      <c r="E1290" t="s">
        <v>108</v>
      </c>
      <c r="F1290" t="s">
        <v>18</v>
      </c>
      <c r="G1290">
        <v>7</v>
      </c>
      <c r="H1290">
        <v>0</v>
      </c>
      <c r="I1290" s="5">
        <f>VLOOKUP(TrendSheetStgData[Population]&amp;TrendSheetStgData[Cost Basis]&amp;TrendSheetStgData[Period]&amp;TrendSheetStgData[Trend],TrendSheetPrdData[#All],9,FALSE)</f>
        <v>0</v>
      </c>
      <c r="J1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0" s="5">
        <f>VLOOKUP(TrendSheetStgData[Population]&amp;TrendSheetStgData[Trend],Threshold[#All],4,FALSE)</f>
        <v>10</v>
      </c>
      <c r="L1290" s="5">
        <f>VLOOKUP(TrendSheetStgData[Population]&amp;TrendSheetStgData[Trend],Threshold[#All],5,FALSE)</f>
        <v>5</v>
      </c>
      <c r="M1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1" spans="1:13" x14ac:dyDescent="0.25">
      <c r="A1291" t="s">
        <v>111</v>
      </c>
      <c r="B1291" t="s">
        <v>111</v>
      </c>
      <c r="C1291" t="s">
        <v>78</v>
      </c>
      <c r="D1291" s="1" t="s">
        <v>107</v>
      </c>
      <c r="E1291" t="s">
        <v>108</v>
      </c>
      <c r="F1291" t="s">
        <v>18</v>
      </c>
      <c r="G1291">
        <v>7</v>
      </c>
      <c r="H1291">
        <v>0</v>
      </c>
      <c r="I1291" s="5">
        <f>VLOOKUP(TrendSheetStgData[Population]&amp;TrendSheetStgData[Cost Basis]&amp;TrendSheetStgData[Period]&amp;TrendSheetStgData[Trend],TrendSheetPrdData[#All],9,FALSE)</f>
        <v>0</v>
      </c>
      <c r="J1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1" s="5">
        <f>VLOOKUP(TrendSheetStgData[Population]&amp;TrendSheetStgData[Trend],Threshold[#All],4,FALSE)</f>
        <v>10</v>
      </c>
      <c r="L1291" s="5">
        <f>VLOOKUP(TrendSheetStgData[Population]&amp;TrendSheetStgData[Trend],Threshold[#All],5,FALSE)</f>
        <v>5</v>
      </c>
      <c r="M1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2" spans="1:13" x14ac:dyDescent="0.25">
      <c r="A1292" t="s">
        <v>111</v>
      </c>
      <c r="B1292" t="s">
        <v>111</v>
      </c>
      <c r="C1292" t="s">
        <v>78</v>
      </c>
      <c r="D1292" s="1" t="s">
        <v>109</v>
      </c>
      <c r="E1292" t="s">
        <v>108</v>
      </c>
      <c r="F1292" t="s">
        <v>18</v>
      </c>
      <c r="G1292">
        <v>7</v>
      </c>
      <c r="H1292">
        <v>0</v>
      </c>
      <c r="I1292" s="5">
        <f>VLOOKUP(TrendSheetStgData[Population]&amp;TrendSheetStgData[Cost Basis]&amp;TrendSheetStgData[Period]&amp;TrendSheetStgData[Trend],TrendSheetPrdData[#All],9,FALSE)</f>
        <v>0</v>
      </c>
      <c r="J1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2" s="5">
        <f>VLOOKUP(TrendSheetStgData[Population]&amp;TrendSheetStgData[Trend],Threshold[#All],4,FALSE)</f>
        <v>10</v>
      </c>
      <c r="L1292" s="5">
        <f>VLOOKUP(TrendSheetStgData[Population]&amp;TrendSheetStgData[Trend],Threshold[#All],5,FALSE)</f>
        <v>5</v>
      </c>
      <c r="M1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3" spans="1:13" x14ac:dyDescent="0.25">
      <c r="A1293" t="s">
        <v>111</v>
      </c>
      <c r="B1293" t="s">
        <v>111</v>
      </c>
      <c r="C1293" t="s">
        <v>78</v>
      </c>
      <c r="D1293" s="1" t="s">
        <v>110</v>
      </c>
      <c r="E1293" t="s">
        <v>108</v>
      </c>
      <c r="F1293" t="s">
        <v>18</v>
      </c>
      <c r="G1293">
        <v>7</v>
      </c>
      <c r="H1293">
        <v>0</v>
      </c>
      <c r="I1293" s="5">
        <f>VLOOKUP(TrendSheetStgData[Population]&amp;TrendSheetStgData[Cost Basis]&amp;TrendSheetStgData[Period]&amp;TrendSheetStgData[Trend],TrendSheetPrdData[#All],9,FALSE)</f>
        <v>0</v>
      </c>
      <c r="J1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3" s="5">
        <f>VLOOKUP(TrendSheetStgData[Population]&amp;TrendSheetStgData[Trend],Threshold[#All],4,FALSE)</f>
        <v>10</v>
      </c>
      <c r="L1293" s="5">
        <f>VLOOKUP(TrendSheetStgData[Population]&amp;TrendSheetStgData[Trend],Threshold[#All],5,FALSE)</f>
        <v>5</v>
      </c>
      <c r="M1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4" spans="1:13" x14ac:dyDescent="0.25">
      <c r="A1294" t="s">
        <v>111</v>
      </c>
      <c r="B1294" t="s">
        <v>111</v>
      </c>
      <c r="C1294" t="s">
        <v>78</v>
      </c>
      <c r="D1294" s="1" t="s">
        <v>92</v>
      </c>
      <c r="E1294" t="s">
        <v>93</v>
      </c>
      <c r="F1294" t="s">
        <v>19</v>
      </c>
      <c r="G1294">
        <v>8</v>
      </c>
      <c r="H1294">
        <v>28336.87</v>
      </c>
      <c r="I1294" s="5">
        <f>VLOOKUP(TrendSheetStgData[Population]&amp;TrendSheetStgData[Cost Basis]&amp;TrendSheetStgData[Period]&amp;TrendSheetStgData[Trend],TrendSheetPrdData[#All],9,FALSE)</f>
        <v>28336.87</v>
      </c>
      <c r="J1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4" s="5">
        <f>VLOOKUP(TrendSheetStgData[Population]&amp;TrendSheetStgData[Trend],Threshold[#All],4,FALSE)</f>
        <v>10</v>
      </c>
      <c r="L1294" s="5">
        <f>VLOOKUP(TrendSheetStgData[Population]&amp;TrendSheetStgData[Trend],Threshold[#All],5,FALSE)</f>
        <v>5</v>
      </c>
      <c r="M1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5" spans="1:13" x14ac:dyDescent="0.25">
      <c r="A1295" t="s">
        <v>111</v>
      </c>
      <c r="B1295" t="s">
        <v>111</v>
      </c>
      <c r="C1295" t="s">
        <v>78</v>
      </c>
      <c r="D1295" s="1" t="s">
        <v>94</v>
      </c>
      <c r="E1295" t="s">
        <v>93</v>
      </c>
      <c r="F1295" t="s">
        <v>19</v>
      </c>
      <c r="G1295">
        <v>8</v>
      </c>
      <c r="H1295">
        <v>38779.19</v>
      </c>
      <c r="I1295" s="5">
        <f>VLOOKUP(TrendSheetStgData[Population]&amp;TrendSheetStgData[Cost Basis]&amp;TrendSheetStgData[Period]&amp;TrendSheetStgData[Trend],TrendSheetPrdData[#All],9,FALSE)</f>
        <v>38779.19</v>
      </c>
      <c r="J1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5" s="5">
        <f>VLOOKUP(TrendSheetStgData[Population]&amp;TrendSheetStgData[Trend],Threshold[#All],4,FALSE)</f>
        <v>10</v>
      </c>
      <c r="L1295" s="5">
        <f>VLOOKUP(TrendSheetStgData[Population]&amp;TrendSheetStgData[Trend],Threshold[#All],5,FALSE)</f>
        <v>5</v>
      </c>
      <c r="M1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6" spans="1:13" x14ac:dyDescent="0.25">
      <c r="A1296" t="s">
        <v>111</v>
      </c>
      <c r="B1296" t="s">
        <v>111</v>
      </c>
      <c r="C1296" t="s">
        <v>78</v>
      </c>
      <c r="D1296" s="1" t="s">
        <v>95</v>
      </c>
      <c r="E1296" t="s">
        <v>93</v>
      </c>
      <c r="F1296" t="s">
        <v>19</v>
      </c>
      <c r="G1296">
        <v>8</v>
      </c>
      <c r="H1296">
        <v>26248.97</v>
      </c>
      <c r="I1296" s="5">
        <f>VLOOKUP(TrendSheetStgData[Population]&amp;TrendSheetStgData[Cost Basis]&amp;TrendSheetStgData[Period]&amp;TrendSheetStgData[Trend],TrendSheetPrdData[#All],9,FALSE)</f>
        <v>26248.97</v>
      </c>
      <c r="J1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6" s="5">
        <f>VLOOKUP(TrendSheetStgData[Population]&amp;TrendSheetStgData[Trend],Threshold[#All],4,FALSE)</f>
        <v>10</v>
      </c>
      <c r="L1296" s="5">
        <f>VLOOKUP(TrendSheetStgData[Population]&amp;TrendSheetStgData[Trend],Threshold[#All],5,FALSE)</f>
        <v>5</v>
      </c>
      <c r="M1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7" spans="1:13" x14ac:dyDescent="0.25">
      <c r="A1297" t="s">
        <v>111</v>
      </c>
      <c r="B1297" t="s">
        <v>111</v>
      </c>
      <c r="C1297" t="s">
        <v>78</v>
      </c>
      <c r="D1297" s="1" t="s">
        <v>96</v>
      </c>
      <c r="E1297" t="s">
        <v>93</v>
      </c>
      <c r="F1297" t="s">
        <v>19</v>
      </c>
      <c r="G1297">
        <v>8</v>
      </c>
      <c r="H1297">
        <v>19540.439999999999</v>
      </c>
      <c r="I1297" s="5">
        <f>VLOOKUP(TrendSheetStgData[Population]&amp;TrendSheetStgData[Cost Basis]&amp;TrendSheetStgData[Period]&amp;TrendSheetStgData[Trend],TrendSheetPrdData[#All],9,FALSE)</f>
        <v>19540.439999999999</v>
      </c>
      <c r="J1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7" s="5">
        <f>VLOOKUP(TrendSheetStgData[Population]&amp;TrendSheetStgData[Trend],Threshold[#All],4,FALSE)</f>
        <v>10</v>
      </c>
      <c r="L1297" s="5">
        <f>VLOOKUP(TrendSheetStgData[Population]&amp;TrendSheetStgData[Trend],Threshold[#All],5,FALSE)</f>
        <v>5</v>
      </c>
      <c r="M1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8" spans="1:13" x14ac:dyDescent="0.25">
      <c r="A1298" t="s">
        <v>111</v>
      </c>
      <c r="B1298" t="s">
        <v>111</v>
      </c>
      <c r="C1298" t="s">
        <v>78</v>
      </c>
      <c r="D1298" s="1" t="s">
        <v>97</v>
      </c>
      <c r="E1298" t="s">
        <v>93</v>
      </c>
      <c r="F1298" t="s">
        <v>19</v>
      </c>
      <c r="G1298">
        <v>8</v>
      </c>
      <c r="H1298">
        <v>21483.759999999998</v>
      </c>
      <c r="I1298" s="5">
        <f>VLOOKUP(TrendSheetStgData[Population]&amp;TrendSheetStgData[Cost Basis]&amp;TrendSheetStgData[Period]&amp;TrendSheetStgData[Trend],TrendSheetPrdData[#All],9,FALSE)</f>
        <v>21483.759999999998</v>
      </c>
      <c r="J1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8" s="5">
        <f>VLOOKUP(TrendSheetStgData[Population]&amp;TrendSheetStgData[Trend],Threshold[#All],4,FALSE)</f>
        <v>10</v>
      </c>
      <c r="L1298" s="5">
        <f>VLOOKUP(TrendSheetStgData[Population]&amp;TrendSheetStgData[Trend],Threshold[#All],5,FALSE)</f>
        <v>5</v>
      </c>
      <c r="M1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9" spans="1:13" x14ac:dyDescent="0.25">
      <c r="A1299" t="s">
        <v>111</v>
      </c>
      <c r="B1299" t="s">
        <v>111</v>
      </c>
      <c r="C1299" t="s">
        <v>78</v>
      </c>
      <c r="D1299" s="1" t="s">
        <v>98</v>
      </c>
      <c r="E1299" t="s">
        <v>93</v>
      </c>
      <c r="F1299" t="s">
        <v>19</v>
      </c>
      <c r="G1299">
        <v>8</v>
      </c>
      <c r="H1299">
        <v>22916.38</v>
      </c>
      <c r="I1299" s="5">
        <f>VLOOKUP(TrendSheetStgData[Population]&amp;TrendSheetStgData[Cost Basis]&amp;TrendSheetStgData[Period]&amp;TrendSheetStgData[Trend],TrendSheetPrdData[#All],9,FALSE)</f>
        <v>22916.38</v>
      </c>
      <c r="J1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9" s="5">
        <f>VLOOKUP(TrendSheetStgData[Population]&amp;TrendSheetStgData[Trend],Threshold[#All],4,FALSE)</f>
        <v>10</v>
      </c>
      <c r="L1299" s="5">
        <f>VLOOKUP(TrendSheetStgData[Population]&amp;TrendSheetStgData[Trend],Threshold[#All],5,FALSE)</f>
        <v>5</v>
      </c>
      <c r="M1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0" spans="1:13" x14ac:dyDescent="0.25">
      <c r="A1300" t="s">
        <v>111</v>
      </c>
      <c r="B1300" t="s">
        <v>111</v>
      </c>
      <c r="C1300" t="s">
        <v>78</v>
      </c>
      <c r="D1300" s="1" t="s">
        <v>99</v>
      </c>
      <c r="E1300" t="s">
        <v>93</v>
      </c>
      <c r="F1300" t="s">
        <v>19</v>
      </c>
      <c r="G1300">
        <v>8</v>
      </c>
      <c r="H1300">
        <v>32707.02</v>
      </c>
      <c r="I1300" s="5">
        <f>VLOOKUP(TrendSheetStgData[Population]&amp;TrendSheetStgData[Cost Basis]&amp;TrendSheetStgData[Period]&amp;TrendSheetStgData[Trend],TrendSheetPrdData[#All],9,FALSE)</f>
        <v>32707.02</v>
      </c>
      <c r="J1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0" s="5">
        <f>VLOOKUP(TrendSheetStgData[Population]&amp;TrendSheetStgData[Trend],Threshold[#All],4,FALSE)</f>
        <v>10</v>
      </c>
      <c r="L1300" s="5">
        <f>VLOOKUP(TrendSheetStgData[Population]&amp;TrendSheetStgData[Trend],Threshold[#All],5,FALSE)</f>
        <v>5</v>
      </c>
      <c r="M1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1" spans="1:13" x14ac:dyDescent="0.25">
      <c r="A1301" t="s">
        <v>111</v>
      </c>
      <c r="B1301" t="s">
        <v>111</v>
      </c>
      <c r="C1301" t="s">
        <v>78</v>
      </c>
      <c r="D1301" s="1" t="s">
        <v>100</v>
      </c>
      <c r="E1301" t="s">
        <v>93</v>
      </c>
      <c r="F1301" t="s">
        <v>19</v>
      </c>
      <c r="G1301">
        <v>8</v>
      </c>
      <c r="H1301">
        <v>21184.51</v>
      </c>
      <c r="I1301" s="5">
        <f>VLOOKUP(TrendSheetStgData[Population]&amp;TrendSheetStgData[Cost Basis]&amp;TrendSheetStgData[Period]&amp;TrendSheetStgData[Trend],TrendSheetPrdData[#All],9,FALSE)</f>
        <v>21184.51</v>
      </c>
      <c r="J1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1" s="5">
        <f>VLOOKUP(TrendSheetStgData[Population]&amp;TrendSheetStgData[Trend],Threshold[#All],4,FALSE)</f>
        <v>10</v>
      </c>
      <c r="L1301" s="5">
        <f>VLOOKUP(TrendSheetStgData[Population]&amp;TrendSheetStgData[Trend],Threshold[#All],5,FALSE)</f>
        <v>5</v>
      </c>
      <c r="M1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2" spans="1:13" x14ac:dyDescent="0.25">
      <c r="A1302" t="s">
        <v>111</v>
      </c>
      <c r="B1302" t="s">
        <v>111</v>
      </c>
      <c r="C1302" t="s">
        <v>78</v>
      </c>
      <c r="D1302" s="1" t="s">
        <v>101</v>
      </c>
      <c r="E1302" t="s">
        <v>93</v>
      </c>
      <c r="F1302" t="s">
        <v>19</v>
      </c>
      <c r="G1302">
        <v>8</v>
      </c>
      <c r="H1302">
        <v>18158.37</v>
      </c>
      <c r="I1302" s="5">
        <f>VLOOKUP(TrendSheetStgData[Population]&amp;TrendSheetStgData[Cost Basis]&amp;TrendSheetStgData[Period]&amp;TrendSheetStgData[Trend],TrendSheetPrdData[#All],9,FALSE)</f>
        <v>18158.37</v>
      </c>
      <c r="J1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2" s="5">
        <f>VLOOKUP(TrendSheetStgData[Population]&amp;TrendSheetStgData[Trend],Threshold[#All],4,FALSE)</f>
        <v>10</v>
      </c>
      <c r="L1302" s="5">
        <f>VLOOKUP(TrendSheetStgData[Population]&amp;TrendSheetStgData[Trend],Threshold[#All],5,FALSE)</f>
        <v>5</v>
      </c>
      <c r="M1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3" spans="1:13" x14ac:dyDescent="0.25">
      <c r="A1303" t="s">
        <v>111</v>
      </c>
      <c r="B1303" t="s">
        <v>111</v>
      </c>
      <c r="C1303" t="s">
        <v>78</v>
      </c>
      <c r="D1303" s="1" t="s">
        <v>102</v>
      </c>
      <c r="E1303" t="s">
        <v>93</v>
      </c>
      <c r="F1303" t="s">
        <v>19</v>
      </c>
      <c r="G1303">
        <v>8</v>
      </c>
      <c r="H1303">
        <v>24586.07</v>
      </c>
      <c r="I1303" s="5">
        <f>VLOOKUP(TrendSheetStgData[Population]&amp;TrendSheetStgData[Cost Basis]&amp;TrendSheetStgData[Period]&amp;TrendSheetStgData[Trend],TrendSheetPrdData[#All],9,FALSE)</f>
        <v>24586.07</v>
      </c>
      <c r="J1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3" s="5">
        <f>VLOOKUP(TrendSheetStgData[Population]&amp;TrendSheetStgData[Trend],Threshold[#All],4,FALSE)</f>
        <v>10</v>
      </c>
      <c r="L1303" s="5">
        <f>VLOOKUP(TrendSheetStgData[Population]&amp;TrendSheetStgData[Trend],Threshold[#All],5,FALSE)</f>
        <v>5</v>
      </c>
      <c r="M1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4" spans="1:13" x14ac:dyDescent="0.25">
      <c r="A1304" t="s">
        <v>111</v>
      </c>
      <c r="B1304" t="s">
        <v>111</v>
      </c>
      <c r="C1304" t="s">
        <v>78</v>
      </c>
      <c r="D1304" s="1" t="s">
        <v>103</v>
      </c>
      <c r="E1304" t="s">
        <v>93</v>
      </c>
      <c r="F1304" t="s">
        <v>19</v>
      </c>
      <c r="G1304">
        <v>8</v>
      </c>
      <c r="H1304">
        <v>45565.84</v>
      </c>
      <c r="I1304" s="5">
        <f>VLOOKUP(TrendSheetStgData[Population]&amp;TrendSheetStgData[Cost Basis]&amp;TrendSheetStgData[Period]&amp;TrendSheetStgData[Trend],TrendSheetPrdData[#All],9,FALSE)</f>
        <v>45565.84</v>
      </c>
      <c r="J1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4" s="5">
        <f>VLOOKUP(TrendSheetStgData[Population]&amp;TrendSheetStgData[Trend],Threshold[#All],4,FALSE)</f>
        <v>10</v>
      </c>
      <c r="L1304" s="5">
        <f>VLOOKUP(TrendSheetStgData[Population]&amp;TrendSheetStgData[Trend],Threshold[#All],5,FALSE)</f>
        <v>5</v>
      </c>
      <c r="M1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5" spans="1:13" x14ac:dyDescent="0.25">
      <c r="A1305" t="s">
        <v>111</v>
      </c>
      <c r="B1305" t="s">
        <v>111</v>
      </c>
      <c r="C1305" t="s">
        <v>78</v>
      </c>
      <c r="D1305" s="1" t="s">
        <v>104</v>
      </c>
      <c r="E1305" t="s">
        <v>93</v>
      </c>
      <c r="F1305" t="s">
        <v>19</v>
      </c>
      <c r="G1305">
        <v>8</v>
      </c>
      <c r="H1305">
        <v>30066.97</v>
      </c>
      <c r="I1305" s="5">
        <f>VLOOKUP(TrendSheetStgData[Population]&amp;TrendSheetStgData[Cost Basis]&amp;TrendSheetStgData[Period]&amp;TrendSheetStgData[Trend],TrendSheetPrdData[#All],9,FALSE)</f>
        <v>30066.97</v>
      </c>
      <c r="J1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5" s="5">
        <f>VLOOKUP(TrendSheetStgData[Population]&amp;TrendSheetStgData[Trend],Threshold[#All],4,FALSE)</f>
        <v>10</v>
      </c>
      <c r="L1305" s="5">
        <f>VLOOKUP(TrendSheetStgData[Population]&amp;TrendSheetStgData[Trend],Threshold[#All],5,FALSE)</f>
        <v>5</v>
      </c>
      <c r="M1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6" spans="1:13" x14ac:dyDescent="0.25">
      <c r="A1306" t="s">
        <v>111</v>
      </c>
      <c r="B1306" t="s">
        <v>111</v>
      </c>
      <c r="C1306" t="s">
        <v>78</v>
      </c>
      <c r="D1306" s="1" t="s">
        <v>105</v>
      </c>
      <c r="E1306" t="s">
        <v>108</v>
      </c>
      <c r="F1306" t="s">
        <v>19</v>
      </c>
      <c r="G1306">
        <v>8</v>
      </c>
      <c r="H1306">
        <v>21346.33</v>
      </c>
      <c r="I1306" s="5">
        <f>VLOOKUP(TrendSheetStgData[Population]&amp;TrendSheetStgData[Cost Basis]&amp;TrendSheetStgData[Period]&amp;TrendSheetStgData[Trend],TrendSheetPrdData[#All],9,FALSE)</f>
        <v>21346.33</v>
      </c>
      <c r="J1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6" s="5">
        <f>VLOOKUP(TrendSheetStgData[Population]&amp;TrendSheetStgData[Trend],Threshold[#All],4,FALSE)</f>
        <v>10</v>
      </c>
      <c r="L1306" s="5">
        <f>VLOOKUP(TrendSheetStgData[Population]&amp;TrendSheetStgData[Trend],Threshold[#All],5,FALSE)</f>
        <v>5</v>
      </c>
      <c r="M1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7" spans="1:13" x14ac:dyDescent="0.25">
      <c r="A1307" t="s">
        <v>111</v>
      </c>
      <c r="B1307" t="s">
        <v>111</v>
      </c>
      <c r="C1307" t="s">
        <v>78</v>
      </c>
      <c r="D1307" s="1" t="s">
        <v>106</v>
      </c>
      <c r="E1307" t="s">
        <v>108</v>
      </c>
      <c r="F1307" t="s">
        <v>19</v>
      </c>
      <c r="G1307">
        <v>8</v>
      </c>
      <c r="H1307">
        <v>25794.47</v>
      </c>
      <c r="I1307" s="5">
        <f>VLOOKUP(TrendSheetStgData[Population]&amp;TrendSheetStgData[Cost Basis]&amp;TrendSheetStgData[Period]&amp;TrendSheetStgData[Trend],TrendSheetPrdData[#All],9,FALSE)</f>
        <v>25794.47</v>
      </c>
      <c r="J1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7" s="5">
        <f>VLOOKUP(TrendSheetStgData[Population]&amp;TrendSheetStgData[Trend],Threshold[#All],4,FALSE)</f>
        <v>10</v>
      </c>
      <c r="L1307" s="5">
        <f>VLOOKUP(TrendSheetStgData[Population]&amp;TrendSheetStgData[Trend],Threshold[#All],5,FALSE)</f>
        <v>5</v>
      </c>
      <c r="M1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8" spans="1:13" x14ac:dyDescent="0.25">
      <c r="A1308" t="s">
        <v>111</v>
      </c>
      <c r="B1308" t="s">
        <v>111</v>
      </c>
      <c r="C1308" t="s">
        <v>78</v>
      </c>
      <c r="D1308" s="1" t="s">
        <v>107</v>
      </c>
      <c r="E1308" t="s">
        <v>108</v>
      </c>
      <c r="F1308" t="s">
        <v>19</v>
      </c>
      <c r="G1308">
        <v>8</v>
      </c>
      <c r="H1308">
        <v>20549.29</v>
      </c>
      <c r="I1308" s="5">
        <f>VLOOKUP(TrendSheetStgData[Population]&amp;TrendSheetStgData[Cost Basis]&amp;TrendSheetStgData[Period]&amp;TrendSheetStgData[Trend],TrendSheetPrdData[#All],9,FALSE)</f>
        <v>20549.29</v>
      </c>
      <c r="J1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8" s="5">
        <f>VLOOKUP(TrendSheetStgData[Population]&amp;TrendSheetStgData[Trend],Threshold[#All],4,FALSE)</f>
        <v>10</v>
      </c>
      <c r="L1308" s="5">
        <f>VLOOKUP(TrendSheetStgData[Population]&amp;TrendSheetStgData[Trend],Threshold[#All],5,FALSE)</f>
        <v>5</v>
      </c>
      <c r="M1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9" spans="1:13" x14ac:dyDescent="0.25">
      <c r="A1309" t="s">
        <v>111</v>
      </c>
      <c r="B1309" t="s">
        <v>111</v>
      </c>
      <c r="C1309" t="s">
        <v>78</v>
      </c>
      <c r="D1309" s="1" t="s">
        <v>109</v>
      </c>
      <c r="E1309" t="s">
        <v>108</v>
      </c>
      <c r="F1309" t="s">
        <v>19</v>
      </c>
      <c r="G1309">
        <v>8</v>
      </c>
      <c r="H1309">
        <v>16638.330000000002</v>
      </c>
      <c r="I1309" s="5">
        <f>VLOOKUP(TrendSheetStgData[Population]&amp;TrendSheetStgData[Cost Basis]&amp;TrendSheetStgData[Period]&amp;TrendSheetStgData[Trend],TrendSheetPrdData[#All],9,FALSE)</f>
        <v>16638.330000000002</v>
      </c>
      <c r="J1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9" s="5">
        <f>VLOOKUP(TrendSheetStgData[Population]&amp;TrendSheetStgData[Trend],Threshold[#All],4,FALSE)</f>
        <v>10</v>
      </c>
      <c r="L1309" s="5">
        <f>VLOOKUP(TrendSheetStgData[Population]&amp;TrendSheetStgData[Trend],Threshold[#All],5,FALSE)</f>
        <v>5</v>
      </c>
      <c r="M1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0" spans="1:13" x14ac:dyDescent="0.25">
      <c r="A1310" t="s">
        <v>111</v>
      </c>
      <c r="B1310" t="s">
        <v>111</v>
      </c>
      <c r="C1310" t="s">
        <v>78</v>
      </c>
      <c r="D1310" s="1" t="s">
        <v>110</v>
      </c>
      <c r="E1310" t="s">
        <v>108</v>
      </c>
      <c r="F1310" t="s">
        <v>19</v>
      </c>
      <c r="G1310">
        <v>8</v>
      </c>
      <c r="H1310">
        <v>6878.12</v>
      </c>
      <c r="I1310" s="5">
        <f>VLOOKUP(TrendSheetStgData[Population]&amp;TrendSheetStgData[Cost Basis]&amp;TrendSheetStgData[Period]&amp;TrendSheetStgData[Trend],TrendSheetPrdData[#All],9,FALSE)</f>
        <v>6878.12</v>
      </c>
      <c r="J1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0" s="5">
        <f>VLOOKUP(TrendSheetStgData[Population]&amp;TrendSheetStgData[Trend],Threshold[#All],4,FALSE)</f>
        <v>10</v>
      </c>
      <c r="L1310" s="5">
        <f>VLOOKUP(TrendSheetStgData[Population]&amp;TrendSheetStgData[Trend],Threshold[#All],5,FALSE)</f>
        <v>5</v>
      </c>
      <c r="M1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1" spans="1:13" x14ac:dyDescent="0.25">
      <c r="A1311" t="s">
        <v>111</v>
      </c>
      <c r="B1311" t="s">
        <v>111</v>
      </c>
      <c r="C1311" t="s">
        <v>78</v>
      </c>
      <c r="D1311" s="1" t="s">
        <v>92</v>
      </c>
      <c r="E1311" t="s">
        <v>93</v>
      </c>
      <c r="F1311" t="s">
        <v>20</v>
      </c>
      <c r="G1311">
        <v>9</v>
      </c>
      <c r="H1311">
        <v>41</v>
      </c>
      <c r="I1311" s="5">
        <f>VLOOKUP(TrendSheetStgData[Population]&amp;TrendSheetStgData[Cost Basis]&amp;TrendSheetStgData[Period]&amp;TrendSheetStgData[Trend],TrendSheetPrdData[#All],9,FALSE)</f>
        <v>41</v>
      </c>
      <c r="J1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1" s="5">
        <f>VLOOKUP(TrendSheetStgData[Population]&amp;TrendSheetStgData[Trend],Threshold[#All],4,FALSE)</f>
        <v>10</v>
      </c>
      <c r="L1311" s="5">
        <f>VLOOKUP(TrendSheetStgData[Population]&amp;TrendSheetStgData[Trend],Threshold[#All],5,FALSE)</f>
        <v>5</v>
      </c>
      <c r="M1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2" spans="1:13" x14ac:dyDescent="0.25">
      <c r="A1312" t="s">
        <v>111</v>
      </c>
      <c r="B1312" t="s">
        <v>111</v>
      </c>
      <c r="C1312" t="s">
        <v>78</v>
      </c>
      <c r="D1312" s="1" t="s">
        <v>94</v>
      </c>
      <c r="E1312" t="s">
        <v>93</v>
      </c>
      <c r="F1312" t="s">
        <v>20</v>
      </c>
      <c r="G1312">
        <v>9</v>
      </c>
      <c r="H1312">
        <v>49</v>
      </c>
      <c r="I1312" s="5">
        <f>VLOOKUP(TrendSheetStgData[Population]&amp;TrendSheetStgData[Cost Basis]&amp;TrendSheetStgData[Period]&amp;TrendSheetStgData[Trend],TrendSheetPrdData[#All],9,FALSE)</f>
        <v>49</v>
      </c>
      <c r="J1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2" s="5">
        <f>VLOOKUP(TrendSheetStgData[Population]&amp;TrendSheetStgData[Trend],Threshold[#All],4,FALSE)</f>
        <v>10</v>
      </c>
      <c r="L1312" s="5">
        <f>VLOOKUP(TrendSheetStgData[Population]&amp;TrendSheetStgData[Trend],Threshold[#All],5,FALSE)</f>
        <v>5</v>
      </c>
      <c r="M1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3" spans="1:13" x14ac:dyDescent="0.25">
      <c r="A1313" t="s">
        <v>111</v>
      </c>
      <c r="B1313" t="s">
        <v>111</v>
      </c>
      <c r="C1313" t="s">
        <v>78</v>
      </c>
      <c r="D1313" s="1" t="s">
        <v>95</v>
      </c>
      <c r="E1313" t="s">
        <v>93</v>
      </c>
      <c r="F1313" t="s">
        <v>20</v>
      </c>
      <c r="G1313">
        <v>9</v>
      </c>
      <c r="H1313">
        <v>20</v>
      </c>
      <c r="I1313" s="5">
        <f>VLOOKUP(TrendSheetStgData[Population]&amp;TrendSheetStgData[Cost Basis]&amp;TrendSheetStgData[Period]&amp;TrendSheetStgData[Trend],TrendSheetPrdData[#All],9,FALSE)</f>
        <v>20</v>
      </c>
      <c r="J1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3" s="5">
        <f>VLOOKUP(TrendSheetStgData[Population]&amp;TrendSheetStgData[Trend],Threshold[#All],4,FALSE)</f>
        <v>10</v>
      </c>
      <c r="L1313" s="5">
        <f>VLOOKUP(TrendSheetStgData[Population]&amp;TrendSheetStgData[Trend],Threshold[#All],5,FALSE)</f>
        <v>5</v>
      </c>
      <c r="M1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4" spans="1:13" x14ac:dyDescent="0.25">
      <c r="A1314" t="s">
        <v>111</v>
      </c>
      <c r="B1314" t="s">
        <v>111</v>
      </c>
      <c r="C1314" t="s">
        <v>78</v>
      </c>
      <c r="D1314" s="1" t="s">
        <v>96</v>
      </c>
      <c r="E1314" t="s">
        <v>93</v>
      </c>
      <c r="F1314" t="s">
        <v>20</v>
      </c>
      <c r="G1314">
        <v>9</v>
      </c>
      <c r="H1314">
        <v>14</v>
      </c>
      <c r="I1314" s="5">
        <f>VLOOKUP(TrendSheetStgData[Population]&amp;TrendSheetStgData[Cost Basis]&amp;TrendSheetStgData[Period]&amp;TrendSheetStgData[Trend],TrendSheetPrdData[#All],9,FALSE)</f>
        <v>14</v>
      </c>
      <c r="J1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4" s="5">
        <f>VLOOKUP(TrendSheetStgData[Population]&amp;TrendSheetStgData[Trend],Threshold[#All],4,FALSE)</f>
        <v>10</v>
      </c>
      <c r="L1314" s="5">
        <f>VLOOKUP(TrendSheetStgData[Population]&amp;TrendSheetStgData[Trend],Threshold[#All],5,FALSE)</f>
        <v>5</v>
      </c>
      <c r="M1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5" spans="1:13" x14ac:dyDescent="0.25">
      <c r="A1315" t="s">
        <v>111</v>
      </c>
      <c r="B1315" t="s">
        <v>111</v>
      </c>
      <c r="C1315" t="s">
        <v>78</v>
      </c>
      <c r="D1315" s="1" t="s">
        <v>97</v>
      </c>
      <c r="E1315" t="s">
        <v>93</v>
      </c>
      <c r="F1315" t="s">
        <v>20</v>
      </c>
      <c r="G1315">
        <v>9</v>
      </c>
      <c r="H1315">
        <v>28</v>
      </c>
      <c r="I1315" s="5">
        <f>VLOOKUP(TrendSheetStgData[Population]&amp;TrendSheetStgData[Cost Basis]&amp;TrendSheetStgData[Period]&amp;TrendSheetStgData[Trend],TrendSheetPrdData[#All],9,FALSE)</f>
        <v>28</v>
      </c>
      <c r="J1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5" s="5">
        <f>VLOOKUP(TrendSheetStgData[Population]&amp;TrendSheetStgData[Trend],Threshold[#All],4,FALSE)</f>
        <v>10</v>
      </c>
      <c r="L1315" s="5">
        <f>VLOOKUP(TrendSheetStgData[Population]&amp;TrendSheetStgData[Trend],Threshold[#All],5,FALSE)</f>
        <v>5</v>
      </c>
      <c r="M1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6" spans="1:13" x14ac:dyDescent="0.25">
      <c r="A1316" t="s">
        <v>111</v>
      </c>
      <c r="B1316" t="s">
        <v>111</v>
      </c>
      <c r="C1316" t="s">
        <v>78</v>
      </c>
      <c r="D1316" s="1" t="s">
        <v>98</v>
      </c>
      <c r="E1316" t="s">
        <v>93</v>
      </c>
      <c r="F1316" t="s">
        <v>20</v>
      </c>
      <c r="G1316">
        <v>9</v>
      </c>
      <c r="H1316">
        <v>25</v>
      </c>
      <c r="I1316" s="5">
        <f>VLOOKUP(TrendSheetStgData[Population]&amp;TrendSheetStgData[Cost Basis]&amp;TrendSheetStgData[Period]&amp;TrendSheetStgData[Trend],TrendSheetPrdData[#All],9,FALSE)</f>
        <v>25</v>
      </c>
      <c r="J1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6" s="5">
        <f>VLOOKUP(TrendSheetStgData[Population]&amp;TrendSheetStgData[Trend],Threshold[#All],4,FALSE)</f>
        <v>10</v>
      </c>
      <c r="L1316" s="5">
        <f>VLOOKUP(TrendSheetStgData[Population]&amp;TrendSheetStgData[Trend],Threshold[#All],5,FALSE)</f>
        <v>5</v>
      </c>
      <c r="M1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7" spans="1:13" x14ac:dyDescent="0.25">
      <c r="A1317" t="s">
        <v>111</v>
      </c>
      <c r="B1317" t="s">
        <v>111</v>
      </c>
      <c r="C1317" t="s">
        <v>78</v>
      </c>
      <c r="D1317" s="1" t="s">
        <v>99</v>
      </c>
      <c r="E1317" t="s">
        <v>93</v>
      </c>
      <c r="F1317" t="s">
        <v>20</v>
      </c>
      <c r="G1317">
        <v>9</v>
      </c>
      <c r="H1317">
        <v>22</v>
      </c>
      <c r="I1317" s="5">
        <f>VLOOKUP(TrendSheetStgData[Population]&amp;TrendSheetStgData[Cost Basis]&amp;TrendSheetStgData[Period]&amp;TrendSheetStgData[Trend],TrendSheetPrdData[#All],9,FALSE)</f>
        <v>22</v>
      </c>
      <c r="J1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7" s="5">
        <f>VLOOKUP(TrendSheetStgData[Population]&amp;TrendSheetStgData[Trend],Threshold[#All],4,FALSE)</f>
        <v>10</v>
      </c>
      <c r="L1317" s="5">
        <f>VLOOKUP(TrendSheetStgData[Population]&amp;TrendSheetStgData[Trend],Threshold[#All],5,FALSE)</f>
        <v>5</v>
      </c>
      <c r="M1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8" spans="1:13" x14ac:dyDescent="0.25">
      <c r="A1318" t="s">
        <v>111</v>
      </c>
      <c r="B1318" t="s">
        <v>111</v>
      </c>
      <c r="C1318" t="s">
        <v>78</v>
      </c>
      <c r="D1318" s="1" t="s">
        <v>100</v>
      </c>
      <c r="E1318" t="s">
        <v>93</v>
      </c>
      <c r="F1318" t="s">
        <v>20</v>
      </c>
      <c r="G1318">
        <v>9</v>
      </c>
      <c r="H1318">
        <v>38</v>
      </c>
      <c r="I1318" s="5">
        <f>VLOOKUP(TrendSheetStgData[Population]&amp;TrendSheetStgData[Cost Basis]&amp;TrendSheetStgData[Period]&amp;TrendSheetStgData[Trend],TrendSheetPrdData[#All],9,FALSE)</f>
        <v>38</v>
      </c>
      <c r="J1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8" s="5">
        <f>VLOOKUP(TrendSheetStgData[Population]&amp;TrendSheetStgData[Trend],Threshold[#All],4,FALSE)</f>
        <v>10</v>
      </c>
      <c r="L1318" s="5">
        <f>VLOOKUP(TrendSheetStgData[Population]&amp;TrendSheetStgData[Trend],Threshold[#All],5,FALSE)</f>
        <v>5</v>
      </c>
      <c r="M1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9" spans="1:13" x14ac:dyDescent="0.25">
      <c r="A1319" t="s">
        <v>111</v>
      </c>
      <c r="B1319" t="s">
        <v>111</v>
      </c>
      <c r="C1319" t="s">
        <v>78</v>
      </c>
      <c r="D1319" s="1" t="s">
        <v>101</v>
      </c>
      <c r="E1319" t="s">
        <v>93</v>
      </c>
      <c r="F1319" t="s">
        <v>20</v>
      </c>
      <c r="G1319">
        <v>9</v>
      </c>
      <c r="H1319">
        <v>25</v>
      </c>
      <c r="I1319" s="5">
        <f>VLOOKUP(TrendSheetStgData[Population]&amp;TrendSheetStgData[Cost Basis]&amp;TrendSheetStgData[Period]&amp;TrendSheetStgData[Trend],TrendSheetPrdData[#All],9,FALSE)</f>
        <v>25</v>
      </c>
      <c r="J1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9" s="5">
        <f>VLOOKUP(TrendSheetStgData[Population]&amp;TrendSheetStgData[Trend],Threshold[#All],4,FALSE)</f>
        <v>10</v>
      </c>
      <c r="L1319" s="5">
        <f>VLOOKUP(TrendSheetStgData[Population]&amp;TrendSheetStgData[Trend],Threshold[#All],5,FALSE)</f>
        <v>5</v>
      </c>
      <c r="M1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0" spans="1:13" x14ac:dyDescent="0.25">
      <c r="A1320" t="s">
        <v>111</v>
      </c>
      <c r="B1320" t="s">
        <v>111</v>
      </c>
      <c r="C1320" t="s">
        <v>78</v>
      </c>
      <c r="D1320" s="1" t="s">
        <v>102</v>
      </c>
      <c r="E1320" t="s">
        <v>93</v>
      </c>
      <c r="F1320" t="s">
        <v>20</v>
      </c>
      <c r="G1320">
        <v>9</v>
      </c>
      <c r="H1320">
        <v>33</v>
      </c>
      <c r="I1320" s="5">
        <f>VLOOKUP(TrendSheetStgData[Population]&amp;TrendSheetStgData[Cost Basis]&amp;TrendSheetStgData[Period]&amp;TrendSheetStgData[Trend],TrendSheetPrdData[#All],9,FALSE)</f>
        <v>33</v>
      </c>
      <c r="J1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0" s="5">
        <f>VLOOKUP(TrendSheetStgData[Population]&amp;TrendSheetStgData[Trend],Threshold[#All],4,FALSE)</f>
        <v>10</v>
      </c>
      <c r="L1320" s="5">
        <f>VLOOKUP(TrendSheetStgData[Population]&amp;TrendSheetStgData[Trend],Threshold[#All],5,FALSE)</f>
        <v>5</v>
      </c>
      <c r="M1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1" spans="1:13" x14ac:dyDescent="0.25">
      <c r="A1321" t="s">
        <v>111</v>
      </c>
      <c r="B1321" t="s">
        <v>111</v>
      </c>
      <c r="C1321" t="s">
        <v>78</v>
      </c>
      <c r="D1321" s="1" t="s">
        <v>103</v>
      </c>
      <c r="E1321" t="s">
        <v>93</v>
      </c>
      <c r="F1321" t="s">
        <v>20</v>
      </c>
      <c r="G1321">
        <v>9</v>
      </c>
      <c r="H1321">
        <v>35</v>
      </c>
      <c r="I1321" s="5">
        <f>VLOOKUP(TrendSheetStgData[Population]&amp;TrendSheetStgData[Cost Basis]&amp;TrendSheetStgData[Period]&amp;TrendSheetStgData[Trend],TrendSheetPrdData[#All],9,FALSE)</f>
        <v>35</v>
      </c>
      <c r="J1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1" s="5">
        <f>VLOOKUP(TrendSheetStgData[Population]&amp;TrendSheetStgData[Trend],Threshold[#All],4,FALSE)</f>
        <v>10</v>
      </c>
      <c r="L1321" s="5">
        <f>VLOOKUP(TrendSheetStgData[Population]&amp;TrendSheetStgData[Trend],Threshold[#All],5,FALSE)</f>
        <v>5</v>
      </c>
      <c r="M1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2" spans="1:13" x14ac:dyDescent="0.25">
      <c r="A1322" t="s">
        <v>111</v>
      </c>
      <c r="B1322" t="s">
        <v>111</v>
      </c>
      <c r="C1322" t="s">
        <v>78</v>
      </c>
      <c r="D1322" s="1" t="s">
        <v>104</v>
      </c>
      <c r="E1322" t="s">
        <v>93</v>
      </c>
      <c r="F1322" t="s">
        <v>20</v>
      </c>
      <c r="G1322">
        <v>9</v>
      </c>
      <c r="H1322">
        <v>22</v>
      </c>
      <c r="I1322" s="5">
        <f>VLOOKUP(TrendSheetStgData[Population]&amp;TrendSheetStgData[Cost Basis]&amp;TrendSheetStgData[Period]&amp;TrendSheetStgData[Trend],TrendSheetPrdData[#All],9,FALSE)</f>
        <v>22</v>
      </c>
      <c r="J1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2" s="5">
        <f>VLOOKUP(TrendSheetStgData[Population]&amp;TrendSheetStgData[Trend],Threshold[#All],4,FALSE)</f>
        <v>10</v>
      </c>
      <c r="L1322" s="5">
        <f>VLOOKUP(TrendSheetStgData[Population]&amp;TrendSheetStgData[Trend],Threshold[#All],5,FALSE)</f>
        <v>5</v>
      </c>
      <c r="M1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3" spans="1:13" x14ac:dyDescent="0.25">
      <c r="A1323" t="s">
        <v>111</v>
      </c>
      <c r="B1323" t="s">
        <v>111</v>
      </c>
      <c r="C1323" t="s">
        <v>78</v>
      </c>
      <c r="D1323" s="1" t="s">
        <v>105</v>
      </c>
      <c r="E1323" t="s">
        <v>108</v>
      </c>
      <c r="F1323" t="s">
        <v>20</v>
      </c>
      <c r="G1323">
        <v>9</v>
      </c>
      <c r="H1323">
        <v>24</v>
      </c>
      <c r="I1323" s="5">
        <f>VLOOKUP(TrendSheetStgData[Population]&amp;TrendSheetStgData[Cost Basis]&amp;TrendSheetStgData[Period]&amp;TrendSheetStgData[Trend],TrendSheetPrdData[#All],9,FALSE)</f>
        <v>24</v>
      </c>
      <c r="J1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3" s="5">
        <f>VLOOKUP(TrendSheetStgData[Population]&amp;TrendSheetStgData[Trend],Threshold[#All],4,FALSE)</f>
        <v>10</v>
      </c>
      <c r="L1323" s="5">
        <f>VLOOKUP(TrendSheetStgData[Population]&amp;TrendSheetStgData[Trend],Threshold[#All],5,FALSE)</f>
        <v>5</v>
      </c>
      <c r="M1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4" spans="1:13" x14ac:dyDescent="0.25">
      <c r="A1324" t="s">
        <v>111</v>
      </c>
      <c r="B1324" t="s">
        <v>111</v>
      </c>
      <c r="C1324" t="s">
        <v>78</v>
      </c>
      <c r="D1324" s="1" t="s">
        <v>106</v>
      </c>
      <c r="E1324" t="s">
        <v>108</v>
      </c>
      <c r="F1324" t="s">
        <v>20</v>
      </c>
      <c r="G1324">
        <v>9</v>
      </c>
      <c r="H1324">
        <v>32</v>
      </c>
      <c r="I1324" s="5">
        <f>VLOOKUP(TrendSheetStgData[Population]&amp;TrendSheetStgData[Cost Basis]&amp;TrendSheetStgData[Period]&amp;TrendSheetStgData[Trend],TrendSheetPrdData[#All],9,FALSE)</f>
        <v>32</v>
      </c>
      <c r="J1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4" s="5">
        <f>VLOOKUP(TrendSheetStgData[Population]&amp;TrendSheetStgData[Trend],Threshold[#All],4,FALSE)</f>
        <v>10</v>
      </c>
      <c r="L1324" s="5">
        <f>VLOOKUP(TrendSheetStgData[Population]&amp;TrendSheetStgData[Trend],Threshold[#All],5,FALSE)</f>
        <v>5</v>
      </c>
      <c r="M1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5" spans="1:13" x14ac:dyDescent="0.25">
      <c r="A1325" t="s">
        <v>111</v>
      </c>
      <c r="B1325" t="s">
        <v>111</v>
      </c>
      <c r="C1325" t="s">
        <v>78</v>
      </c>
      <c r="D1325" s="1" t="s">
        <v>107</v>
      </c>
      <c r="E1325" t="s">
        <v>108</v>
      </c>
      <c r="F1325" t="s">
        <v>20</v>
      </c>
      <c r="G1325">
        <v>9</v>
      </c>
      <c r="H1325">
        <v>34</v>
      </c>
      <c r="I1325" s="5">
        <f>VLOOKUP(TrendSheetStgData[Population]&amp;TrendSheetStgData[Cost Basis]&amp;TrendSheetStgData[Period]&amp;TrendSheetStgData[Trend],TrendSheetPrdData[#All],9,FALSE)</f>
        <v>34</v>
      </c>
      <c r="J1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5" s="5">
        <f>VLOOKUP(TrendSheetStgData[Population]&amp;TrendSheetStgData[Trend],Threshold[#All],4,FALSE)</f>
        <v>10</v>
      </c>
      <c r="L1325" s="5">
        <f>VLOOKUP(TrendSheetStgData[Population]&amp;TrendSheetStgData[Trend],Threshold[#All],5,FALSE)</f>
        <v>5</v>
      </c>
      <c r="M1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6" spans="1:13" x14ac:dyDescent="0.25">
      <c r="A1326" t="s">
        <v>111</v>
      </c>
      <c r="B1326" t="s">
        <v>111</v>
      </c>
      <c r="C1326" t="s">
        <v>78</v>
      </c>
      <c r="D1326" s="1" t="s">
        <v>109</v>
      </c>
      <c r="E1326" t="s">
        <v>108</v>
      </c>
      <c r="F1326" t="s">
        <v>20</v>
      </c>
      <c r="G1326">
        <v>9</v>
      </c>
      <c r="H1326">
        <v>26</v>
      </c>
      <c r="I1326" s="5">
        <f>VLOOKUP(TrendSheetStgData[Population]&amp;TrendSheetStgData[Cost Basis]&amp;TrendSheetStgData[Period]&amp;TrendSheetStgData[Trend],TrendSheetPrdData[#All],9,FALSE)</f>
        <v>26</v>
      </c>
      <c r="J1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6" s="5">
        <f>VLOOKUP(TrendSheetStgData[Population]&amp;TrendSheetStgData[Trend],Threshold[#All],4,FALSE)</f>
        <v>10</v>
      </c>
      <c r="L1326" s="5">
        <f>VLOOKUP(TrendSheetStgData[Population]&amp;TrendSheetStgData[Trend],Threshold[#All],5,FALSE)</f>
        <v>5</v>
      </c>
      <c r="M1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7" spans="1:13" x14ac:dyDescent="0.25">
      <c r="A1327" t="s">
        <v>111</v>
      </c>
      <c r="B1327" t="s">
        <v>111</v>
      </c>
      <c r="C1327" t="s">
        <v>78</v>
      </c>
      <c r="D1327" s="1" t="s">
        <v>110</v>
      </c>
      <c r="E1327" t="s">
        <v>108</v>
      </c>
      <c r="F1327" t="s">
        <v>20</v>
      </c>
      <c r="G1327">
        <v>9</v>
      </c>
      <c r="H1327">
        <v>8</v>
      </c>
      <c r="I1327" s="5">
        <f>VLOOKUP(TrendSheetStgData[Population]&amp;TrendSheetStgData[Cost Basis]&amp;TrendSheetStgData[Period]&amp;TrendSheetStgData[Trend],TrendSheetPrdData[#All],9,FALSE)</f>
        <v>8</v>
      </c>
      <c r="J1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7" s="5">
        <f>VLOOKUP(TrendSheetStgData[Population]&amp;TrendSheetStgData[Trend],Threshold[#All],4,FALSE)</f>
        <v>10</v>
      </c>
      <c r="L1327" s="5">
        <f>VLOOKUP(TrendSheetStgData[Population]&amp;TrendSheetStgData[Trend],Threshold[#All],5,FALSE)</f>
        <v>5</v>
      </c>
      <c r="M1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8" spans="1:13" x14ac:dyDescent="0.25">
      <c r="A1328" t="s">
        <v>111</v>
      </c>
      <c r="B1328" t="s">
        <v>111</v>
      </c>
      <c r="C1328" t="s">
        <v>78</v>
      </c>
      <c r="D1328" s="1" t="s">
        <v>92</v>
      </c>
      <c r="E1328" t="s">
        <v>93</v>
      </c>
      <c r="F1328" t="s">
        <v>21</v>
      </c>
      <c r="G1328">
        <v>10</v>
      </c>
      <c r="H1328">
        <v>35</v>
      </c>
      <c r="I1328" s="5">
        <f>VLOOKUP(TrendSheetStgData[Population]&amp;TrendSheetStgData[Cost Basis]&amp;TrendSheetStgData[Period]&amp;TrendSheetStgData[Trend],TrendSheetPrdData[#All],9,FALSE)</f>
        <v>35</v>
      </c>
      <c r="J1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8" s="5">
        <f>VLOOKUP(TrendSheetStgData[Population]&amp;TrendSheetStgData[Trend],Threshold[#All],4,FALSE)</f>
        <v>10</v>
      </c>
      <c r="L1328" s="5">
        <f>VLOOKUP(TrendSheetStgData[Population]&amp;TrendSheetStgData[Trend],Threshold[#All],5,FALSE)</f>
        <v>5</v>
      </c>
      <c r="M1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9" spans="1:13" x14ac:dyDescent="0.25">
      <c r="A1329" t="s">
        <v>111</v>
      </c>
      <c r="B1329" t="s">
        <v>111</v>
      </c>
      <c r="C1329" t="s">
        <v>78</v>
      </c>
      <c r="D1329" s="1" t="s">
        <v>94</v>
      </c>
      <c r="E1329" t="s">
        <v>93</v>
      </c>
      <c r="F1329" t="s">
        <v>21</v>
      </c>
      <c r="G1329">
        <v>10</v>
      </c>
      <c r="H1329">
        <v>26</v>
      </c>
      <c r="I1329" s="5">
        <f>VLOOKUP(TrendSheetStgData[Population]&amp;TrendSheetStgData[Cost Basis]&amp;TrendSheetStgData[Period]&amp;TrendSheetStgData[Trend],TrendSheetPrdData[#All],9,FALSE)</f>
        <v>26</v>
      </c>
      <c r="J1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9" s="5">
        <f>VLOOKUP(TrendSheetStgData[Population]&amp;TrendSheetStgData[Trend],Threshold[#All],4,FALSE)</f>
        <v>10</v>
      </c>
      <c r="L1329" s="5">
        <f>VLOOKUP(TrendSheetStgData[Population]&amp;TrendSheetStgData[Trend],Threshold[#All],5,FALSE)</f>
        <v>5</v>
      </c>
      <c r="M1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0" spans="1:13" x14ac:dyDescent="0.25">
      <c r="A1330" t="s">
        <v>111</v>
      </c>
      <c r="B1330" t="s">
        <v>111</v>
      </c>
      <c r="C1330" t="s">
        <v>78</v>
      </c>
      <c r="D1330" s="1" t="s">
        <v>95</v>
      </c>
      <c r="E1330" t="s">
        <v>93</v>
      </c>
      <c r="F1330" t="s">
        <v>21</v>
      </c>
      <c r="G1330">
        <v>10</v>
      </c>
      <c r="H1330">
        <v>77</v>
      </c>
      <c r="I1330" s="5">
        <f>VLOOKUP(TrendSheetStgData[Population]&amp;TrendSheetStgData[Cost Basis]&amp;TrendSheetStgData[Period]&amp;TrendSheetStgData[Trend],TrendSheetPrdData[#All],9,FALSE)</f>
        <v>77</v>
      </c>
      <c r="J1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0" s="5">
        <f>VLOOKUP(TrendSheetStgData[Population]&amp;TrendSheetStgData[Trend],Threshold[#All],4,FALSE)</f>
        <v>10</v>
      </c>
      <c r="L1330" s="5">
        <f>VLOOKUP(TrendSheetStgData[Population]&amp;TrendSheetStgData[Trend],Threshold[#All],5,FALSE)</f>
        <v>5</v>
      </c>
      <c r="M1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1" spans="1:13" x14ac:dyDescent="0.25">
      <c r="A1331" t="s">
        <v>111</v>
      </c>
      <c r="B1331" t="s">
        <v>111</v>
      </c>
      <c r="C1331" t="s">
        <v>78</v>
      </c>
      <c r="D1331" s="1" t="s">
        <v>96</v>
      </c>
      <c r="E1331" t="s">
        <v>93</v>
      </c>
      <c r="F1331" t="s">
        <v>21</v>
      </c>
      <c r="G1331">
        <v>10</v>
      </c>
      <c r="H1331">
        <v>31</v>
      </c>
      <c r="I1331" s="5">
        <f>VLOOKUP(TrendSheetStgData[Population]&amp;TrendSheetStgData[Cost Basis]&amp;TrendSheetStgData[Period]&amp;TrendSheetStgData[Trend],TrendSheetPrdData[#All],9,FALSE)</f>
        <v>31</v>
      </c>
      <c r="J1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1" s="5">
        <f>VLOOKUP(TrendSheetStgData[Population]&amp;TrendSheetStgData[Trend],Threshold[#All],4,FALSE)</f>
        <v>10</v>
      </c>
      <c r="L1331" s="5">
        <f>VLOOKUP(TrendSheetStgData[Population]&amp;TrendSheetStgData[Trend],Threshold[#All],5,FALSE)</f>
        <v>5</v>
      </c>
      <c r="M1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2" spans="1:13" x14ac:dyDescent="0.25">
      <c r="A1332" t="s">
        <v>111</v>
      </c>
      <c r="B1332" t="s">
        <v>111</v>
      </c>
      <c r="C1332" t="s">
        <v>78</v>
      </c>
      <c r="D1332" s="1" t="s">
        <v>97</v>
      </c>
      <c r="E1332" t="s">
        <v>93</v>
      </c>
      <c r="F1332" t="s">
        <v>21</v>
      </c>
      <c r="G1332">
        <v>10</v>
      </c>
      <c r="H1332">
        <v>17</v>
      </c>
      <c r="I1332" s="5">
        <f>VLOOKUP(TrendSheetStgData[Population]&amp;TrendSheetStgData[Cost Basis]&amp;TrendSheetStgData[Period]&amp;TrendSheetStgData[Trend],TrendSheetPrdData[#All],9,FALSE)</f>
        <v>17</v>
      </c>
      <c r="J1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2" s="5">
        <f>VLOOKUP(TrendSheetStgData[Population]&amp;TrendSheetStgData[Trend],Threshold[#All],4,FALSE)</f>
        <v>10</v>
      </c>
      <c r="L1332" s="5">
        <f>VLOOKUP(TrendSheetStgData[Population]&amp;TrendSheetStgData[Trend],Threshold[#All],5,FALSE)</f>
        <v>5</v>
      </c>
      <c r="M1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3" spans="1:13" x14ac:dyDescent="0.25">
      <c r="A1333" t="s">
        <v>111</v>
      </c>
      <c r="B1333" t="s">
        <v>111</v>
      </c>
      <c r="C1333" t="s">
        <v>78</v>
      </c>
      <c r="D1333" s="1" t="s">
        <v>98</v>
      </c>
      <c r="E1333" t="s">
        <v>93</v>
      </c>
      <c r="F1333" t="s">
        <v>21</v>
      </c>
      <c r="G1333">
        <v>10</v>
      </c>
      <c r="H1333">
        <v>36</v>
      </c>
      <c r="I1333" s="5">
        <f>VLOOKUP(TrendSheetStgData[Population]&amp;TrendSheetStgData[Cost Basis]&amp;TrendSheetStgData[Period]&amp;TrendSheetStgData[Trend],TrendSheetPrdData[#All],9,FALSE)</f>
        <v>36</v>
      </c>
      <c r="J1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3" s="5">
        <f>VLOOKUP(TrendSheetStgData[Population]&amp;TrendSheetStgData[Trend],Threshold[#All],4,FALSE)</f>
        <v>10</v>
      </c>
      <c r="L1333" s="5">
        <f>VLOOKUP(TrendSheetStgData[Population]&amp;TrendSheetStgData[Trend],Threshold[#All],5,FALSE)</f>
        <v>5</v>
      </c>
      <c r="M1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4" spans="1:13" x14ac:dyDescent="0.25">
      <c r="A1334" t="s">
        <v>111</v>
      </c>
      <c r="B1334" t="s">
        <v>111</v>
      </c>
      <c r="C1334" t="s">
        <v>78</v>
      </c>
      <c r="D1334" s="1" t="s">
        <v>99</v>
      </c>
      <c r="E1334" t="s">
        <v>93</v>
      </c>
      <c r="F1334" t="s">
        <v>21</v>
      </c>
      <c r="G1334">
        <v>10</v>
      </c>
      <c r="H1334">
        <v>19</v>
      </c>
      <c r="I1334" s="5">
        <f>VLOOKUP(TrendSheetStgData[Population]&amp;TrendSheetStgData[Cost Basis]&amp;TrendSheetStgData[Period]&amp;TrendSheetStgData[Trend],TrendSheetPrdData[#All],9,FALSE)</f>
        <v>19</v>
      </c>
      <c r="J1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4" s="5">
        <f>VLOOKUP(TrendSheetStgData[Population]&amp;TrendSheetStgData[Trend],Threshold[#All],4,FALSE)</f>
        <v>10</v>
      </c>
      <c r="L1334" s="5">
        <f>VLOOKUP(TrendSheetStgData[Population]&amp;TrendSheetStgData[Trend],Threshold[#All],5,FALSE)</f>
        <v>5</v>
      </c>
      <c r="M1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5" spans="1:13" x14ac:dyDescent="0.25">
      <c r="A1335" t="s">
        <v>111</v>
      </c>
      <c r="B1335" t="s">
        <v>111</v>
      </c>
      <c r="C1335" t="s">
        <v>78</v>
      </c>
      <c r="D1335" s="1" t="s">
        <v>100</v>
      </c>
      <c r="E1335" t="s">
        <v>93</v>
      </c>
      <c r="F1335" t="s">
        <v>21</v>
      </c>
      <c r="G1335">
        <v>10</v>
      </c>
      <c r="H1335">
        <v>19</v>
      </c>
      <c r="I1335" s="5">
        <f>VLOOKUP(TrendSheetStgData[Population]&amp;TrendSheetStgData[Cost Basis]&amp;TrendSheetStgData[Period]&amp;TrendSheetStgData[Trend],TrendSheetPrdData[#All],9,FALSE)</f>
        <v>19</v>
      </c>
      <c r="J1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5" s="5">
        <f>VLOOKUP(TrendSheetStgData[Population]&amp;TrendSheetStgData[Trend],Threshold[#All],4,FALSE)</f>
        <v>10</v>
      </c>
      <c r="L1335" s="5">
        <f>VLOOKUP(TrendSheetStgData[Population]&amp;TrendSheetStgData[Trend],Threshold[#All],5,FALSE)</f>
        <v>5</v>
      </c>
      <c r="M1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6" spans="1:13" x14ac:dyDescent="0.25">
      <c r="A1336" t="s">
        <v>111</v>
      </c>
      <c r="B1336" t="s">
        <v>111</v>
      </c>
      <c r="C1336" t="s">
        <v>78</v>
      </c>
      <c r="D1336" s="1" t="s">
        <v>101</v>
      </c>
      <c r="E1336" t="s">
        <v>93</v>
      </c>
      <c r="F1336" t="s">
        <v>21</v>
      </c>
      <c r="G1336">
        <v>10</v>
      </c>
      <c r="H1336">
        <v>65</v>
      </c>
      <c r="I1336" s="5">
        <f>VLOOKUP(TrendSheetStgData[Population]&amp;TrendSheetStgData[Cost Basis]&amp;TrendSheetStgData[Period]&amp;TrendSheetStgData[Trend],TrendSheetPrdData[#All],9,FALSE)</f>
        <v>65</v>
      </c>
      <c r="J1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6" s="5">
        <f>VLOOKUP(TrendSheetStgData[Population]&amp;TrendSheetStgData[Trend],Threshold[#All],4,FALSE)</f>
        <v>10</v>
      </c>
      <c r="L1336" s="5">
        <f>VLOOKUP(TrendSheetStgData[Population]&amp;TrendSheetStgData[Trend],Threshold[#All],5,FALSE)</f>
        <v>5</v>
      </c>
      <c r="M1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7" spans="1:13" x14ac:dyDescent="0.25">
      <c r="A1337" t="s">
        <v>111</v>
      </c>
      <c r="B1337" t="s">
        <v>111</v>
      </c>
      <c r="C1337" t="s">
        <v>78</v>
      </c>
      <c r="D1337" s="1" t="s">
        <v>102</v>
      </c>
      <c r="E1337" t="s">
        <v>93</v>
      </c>
      <c r="F1337" t="s">
        <v>21</v>
      </c>
      <c r="G1337">
        <v>10</v>
      </c>
      <c r="H1337">
        <v>76</v>
      </c>
      <c r="I1337" s="5">
        <f>VLOOKUP(TrendSheetStgData[Population]&amp;TrendSheetStgData[Cost Basis]&amp;TrendSheetStgData[Period]&amp;TrendSheetStgData[Trend],TrendSheetPrdData[#All],9,FALSE)</f>
        <v>76</v>
      </c>
      <c r="J1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7" s="5">
        <f>VLOOKUP(TrendSheetStgData[Population]&amp;TrendSheetStgData[Trend],Threshold[#All],4,FALSE)</f>
        <v>10</v>
      </c>
      <c r="L1337" s="5">
        <f>VLOOKUP(TrendSheetStgData[Population]&amp;TrendSheetStgData[Trend],Threshold[#All],5,FALSE)</f>
        <v>5</v>
      </c>
      <c r="M1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8" spans="1:13" x14ac:dyDescent="0.25">
      <c r="A1338" t="s">
        <v>111</v>
      </c>
      <c r="B1338" t="s">
        <v>111</v>
      </c>
      <c r="C1338" t="s">
        <v>78</v>
      </c>
      <c r="D1338" s="1" t="s">
        <v>103</v>
      </c>
      <c r="E1338" t="s">
        <v>93</v>
      </c>
      <c r="F1338" t="s">
        <v>21</v>
      </c>
      <c r="G1338">
        <v>10</v>
      </c>
      <c r="H1338">
        <v>46</v>
      </c>
      <c r="I1338" s="5">
        <f>VLOOKUP(TrendSheetStgData[Population]&amp;TrendSheetStgData[Cost Basis]&amp;TrendSheetStgData[Period]&amp;TrendSheetStgData[Trend],TrendSheetPrdData[#All],9,FALSE)</f>
        <v>46</v>
      </c>
      <c r="J1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8" s="5">
        <f>VLOOKUP(TrendSheetStgData[Population]&amp;TrendSheetStgData[Trend],Threshold[#All],4,FALSE)</f>
        <v>10</v>
      </c>
      <c r="L1338" s="5">
        <f>VLOOKUP(TrendSheetStgData[Population]&amp;TrendSheetStgData[Trend],Threshold[#All],5,FALSE)</f>
        <v>5</v>
      </c>
      <c r="M1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9" spans="1:13" x14ac:dyDescent="0.25">
      <c r="A1339" t="s">
        <v>111</v>
      </c>
      <c r="B1339" t="s">
        <v>111</v>
      </c>
      <c r="C1339" t="s">
        <v>78</v>
      </c>
      <c r="D1339" s="1" t="s">
        <v>104</v>
      </c>
      <c r="E1339" t="s">
        <v>93</v>
      </c>
      <c r="F1339" t="s">
        <v>21</v>
      </c>
      <c r="G1339">
        <v>10</v>
      </c>
      <c r="H1339">
        <v>57</v>
      </c>
      <c r="I1339" s="5">
        <f>VLOOKUP(TrendSheetStgData[Population]&amp;TrendSheetStgData[Cost Basis]&amp;TrendSheetStgData[Period]&amp;TrendSheetStgData[Trend],TrendSheetPrdData[#All],9,FALSE)</f>
        <v>57</v>
      </c>
      <c r="J1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9" s="5">
        <f>VLOOKUP(TrendSheetStgData[Population]&amp;TrendSheetStgData[Trend],Threshold[#All],4,FALSE)</f>
        <v>10</v>
      </c>
      <c r="L1339" s="5">
        <f>VLOOKUP(TrendSheetStgData[Population]&amp;TrendSheetStgData[Trend],Threshold[#All],5,FALSE)</f>
        <v>5</v>
      </c>
      <c r="M1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0" spans="1:13" x14ac:dyDescent="0.25">
      <c r="A1340" t="s">
        <v>111</v>
      </c>
      <c r="B1340" t="s">
        <v>111</v>
      </c>
      <c r="C1340" t="s">
        <v>78</v>
      </c>
      <c r="D1340" s="1" t="s">
        <v>105</v>
      </c>
      <c r="E1340" t="s">
        <v>108</v>
      </c>
      <c r="F1340" t="s">
        <v>21</v>
      </c>
      <c r="G1340">
        <v>10</v>
      </c>
      <c r="H1340">
        <v>29</v>
      </c>
      <c r="I1340" s="5">
        <f>VLOOKUP(TrendSheetStgData[Population]&amp;TrendSheetStgData[Cost Basis]&amp;TrendSheetStgData[Period]&amp;TrendSheetStgData[Trend],TrendSheetPrdData[#All],9,FALSE)</f>
        <v>29</v>
      </c>
      <c r="J1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0" s="5">
        <f>VLOOKUP(TrendSheetStgData[Population]&amp;TrendSheetStgData[Trend],Threshold[#All],4,FALSE)</f>
        <v>10</v>
      </c>
      <c r="L1340" s="5">
        <f>VLOOKUP(TrendSheetStgData[Population]&amp;TrendSheetStgData[Trend],Threshold[#All],5,FALSE)</f>
        <v>5</v>
      </c>
      <c r="M1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1" spans="1:13" x14ac:dyDescent="0.25">
      <c r="A1341" t="s">
        <v>111</v>
      </c>
      <c r="B1341" t="s">
        <v>111</v>
      </c>
      <c r="C1341" t="s">
        <v>78</v>
      </c>
      <c r="D1341" s="1" t="s">
        <v>106</v>
      </c>
      <c r="E1341" t="s">
        <v>108</v>
      </c>
      <c r="F1341" t="s">
        <v>21</v>
      </c>
      <c r="G1341">
        <v>10</v>
      </c>
      <c r="H1341">
        <v>53</v>
      </c>
      <c r="I1341" s="5">
        <f>VLOOKUP(TrendSheetStgData[Population]&amp;TrendSheetStgData[Cost Basis]&amp;TrendSheetStgData[Period]&amp;TrendSheetStgData[Trend],TrendSheetPrdData[#All],9,FALSE)</f>
        <v>53</v>
      </c>
      <c r="J1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1" s="5">
        <f>VLOOKUP(TrendSheetStgData[Population]&amp;TrendSheetStgData[Trend],Threshold[#All],4,FALSE)</f>
        <v>10</v>
      </c>
      <c r="L1341" s="5">
        <f>VLOOKUP(TrendSheetStgData[Population]&amp;TrendSheetStgData[Trend],Threshold[#All],5,FALSE)</f>
        <v>5</v>
      </c>
      <c r="M1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2" spans="1:13" x14ac:dyDescent="0.25">
      <c r="A1342" t="s">
        <v>111</v>
      </c>
      <c r="B1342" t="s">
        <v>111</v>
      </c>
      <c r="C1342" t="s">
        <v>78</v>
      </c>
      <c r="D1342" s="1" t="s">
        <v>107</v>
      </c>
      <c r="E1342" t="s">
        <v>108</v>
      </c>
      <c r="F1342" t="s">
        <v>21</v>
      </c>
      <c r="G1342">
        <v>10</v>
      </c>
      <c r="H1342">
        <v>18</v>
      </c>
      <c r="I1342" s="5">
        <f>VLOOKUP(TrendSheetStgData[Population]&amp;TrendSheetStgData[Cost Basis]&amp;TrendSheetStgData[Period]&amp;TrendSheetStgData[Trend],TrendSheetPrdData[#All],9,FALSE)</f>
        <v>18</v>
      </c>
      <c r="J1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2" s="5">
        <f>VLOOKUP(TrendSheetStgData[Population]&amp;TrendSheetStgData[Trend],Threshold[#All],4,FALSE)</f>
        <v>10</v>
      </c>
      <c r="L1342" s="5">
        <f>VLOOKUP(TrendSheetStgData[Population]&amp;TrendSheetStgData[Trend],Threshold[#All],5,FALSE)</f>
        <v>5</v>
      </c>
      <c r="M1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3" spans="1:13" x14ac:dyDescent="0.25">
      <c r="A1343" t="s">
        <v>111</v>
      </c>
      <c r="B1343" t="s">
        <v>111</v>
      </c>
      <c r="C1343" t="s">
        <v>78</v>
      </c>
      <c r="D1343" s="1" t="s">
        <v>109</v>
      </c>
      <c r="E1343" t="s">
        <v>108</v>
      </c>
      <c r="F1343" t="s">
        <v>21</v>
      </c>
      <c r="G1343">
        <v>10</v>
      </c>
      <c r="H1343">
        <v>18</v>
      </c>
      <c r="I1343" s="5">
        <f>VLOOKUP(TrendSheetStgData[Population]&amp;TrendSheetStgData[Cost Basis]&amp;TrendSheetStgData[Period]&amp;TrendSheetStgData[Trend],TrendSheetPrdData[#All],9,FALSE)</f>
        <v>18</v>
      </c>
      <c r="J1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3" s="5">
        <f>VLOOKUP(TrendSheetStgData[Population]&amp;TrendSheetStgData[Trend],Threshold[#All],4,FALSE)</f>
        <v>10</v>
      </c>
      <c r="L1343" s="5">
        <f>VLOOKUP(TrendSheetStgData[Population]&amp;TrendSheetStgData[Trend],Threshold[#All],5,FALSE)</f>
        <v>5</v>
      </c>
      <c r="M1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4" spans="1:13" x14ac:dyDescent="0.25">
      <c r="A1344" t="s">
        <v>111</v>
      </c>
      <c r="B1344" t="s">
        <v>111</v>
      </c>
      <c r="C1344" t="s">
        <v>78</v>
      </c>
      <c r="D1344" s="1" t="s">
        <v>110</v>
      </c>
      <c r="E1344" t="s">
        <v>108</v>
      </c>
      <c r="F1344" t="s">
        <v>21</v>
      </c>
      <c r="G1344">
        <v>10</v>
      </c>
      <c r="H1344">
        <v>8</v>
      </c>
      <c r="I1344" s="5">
        <f>VLOOKUP(TrendSheetStgData[Population]&amp;TrendSheetStgData[Cost Basis]&amp;TrendSheetStgData[Period]&amp;TrendSheetStgData[Trend],TrendSheetPrdData[#All],9,FALSE)</f>
        <v>8</v>
      </c>
      <c r="J1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4" s="5">
        <f>VLOOKUP(TrendSheetStgData[Population]&amp;TrendSheetStgData[Trend],Threshold[#All],4,FALSE)</f>
        <v>10</v>
      </c>
      <c r="L1344" s="5">
        <f>VLOOKUP(TrendSheetStgData[Population]&amp;TrendSheetStgData[Trend],Threshold[#All],5,FALSE)</f>
        <v>5</v>
      </c>
      <c r="M1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5" spans="1:13" x14ac:dyDescent="0.25">
      <c r="A1345" t="s">
        <v>111</v>
      </c>
      <c r="B1345" t="s">
        <v>111</v>
      </c>
      <c r="C1345" t="s">
        <v>78</v>
      </c>
      <c r="D1345" s="1" t="s">
        <v>92</v>
      </c>
      <c r="E1345" t="s">
        <v>93</v>
      </c>
      <c r="F1345" t="s">
        <v>22</v>
      </c>
      <c r="G1345">
        <v>11</v>
      </c>
      <c r="H1345">
        <v>0</v>
      </c>
      <c r="I1345" s="5">
        <f>VLOOKUP(TrendSheetStgData[Population]&amp;TrendSheetStgData[Cost Basis]&amp;TrendSheetStgData[Period]&amp;TrendSheetStgData[Trend],TrendSheetPrdData[#All],9,FALSE)</f>
        <v>0</v>
      </c>
      <c r="J1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5" s="5">
        <f>VLOOKUP(TrendSheetStgData[Population]&amp;TrendSheetStgData[Trend],Threshold[#All],4,FALSE)</f>
        <v>10</v>
      </c>
      <c r="L1345" s="5">
        <f>VLOOKUP(TrendSheetStgData[Population]&amp;TrendSheetStgData[Trend],Threshold[#All],5,FALSE)</f>
        <v>5</v>
      </c>
      <c r="M1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6" spans="1:13" x14ac:dyDescent="0.25">
      <c r="A1346" t="s">
        <v>111</v>
      </c>
      <c r="B1346" t="s">
        <v>111</v>
      </c>
      <c r="C1346" t="s">
        <v>78</v>
      </c>
      <c r="D1346" s="1" t="s">
        <v>94</v>
      </c>
      <c r="E1346" t="s">
        <v>93</v>
      </c>
      <c r="F1346" t="s">
        <v>22</v>
      </c>
      <c r="G1346">
        <v>11</v>
      </c>
      <c r="H1346">
        <v>0</v>
      </c>
      <c r="I1346" s="5">
        <f>VLOOKUP(TrendSheetStgData[Population]&amp;TrendSheetStgData[Cost Basis]&amp;TrendSheetStgData[Period]&amp;TrendSheetStgData[Trend],TrendSheetPrdData[#All],9,FALSE)</f>
        <v>0</v>
      </c>
      <c r="J1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6" s="5">
        <f>VLOOKUP(TrendSheetStgData[Population]&amp;TrendSheetStgData[Trend],Threshold[#All],4,FALSE)</f>
        <v>10</v>
      </c>
      <c r="L1346" s="5">
        <f>VLOOKUP(TrendSheetStgData[Population]&amp;TrendSheetStgData[Trend],Threshold[#All],5,FALSE)</f>
        <v>5</v>
      </c>
      <c r="M1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7" spans="1:13" x14ac:dyDescent="0.25">
      <c r="A1347" t="s">
        <v>111</v>
      </c>
      <c r="B1347" t="s">
        <v>111</v>
      </c>
      <c r="C1347" t="s">
        <v>78</v>
      </c>
      <c r="D1347" s="1" t="s">
        <v>95</v>
      </c>
      <c r="E1347" t="s">
        <v>93</v>
      </c>
      <c r="F1347" t="s">
        <v>22</v>
      </c>
      <c r="G1347">
        <v>11</v>
      </c>
      <c r="H1347">
        <v>0</v>
      </c>
      <c r="I1347" s="5">
        <f>VLOOKUP(TrendSheetStgData[Population]&amp;TrendSheetStgData[Cost Basis]&amp;TrendSheetStgData[Period]&amp;TrendSheetStgData[Trend],TrendSheetPrdData[#All],9,FALSE)</f>
        <v>0</v>
      </c>
      <c r="J1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7" s="5">
        <f>VLOOKUP(TrendSheetStgData[Population]&amp;TrendSheetStgData[Trend],Threshold[#All],4,FALSE)</f>
        <v>10</v>
      </c>
      <c r="L1347" s="5">
        <f>VLOOKUP(TrendSheetStgData[Population]&amp;TrendSheetStgData[Trend],Threshold[#All],5,FALSE)</f>
        <v>5</v>
      </c>
      <c r="M1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8" spans="1:13" x14ac:dyDescent="0.25">
      <c r="A1348" t="s">
        <v>111</v>
      </c>
      <c r="B1348" t="s">
        <v>111</v>
      </c>
      <c r="C1348" t="s">
        <v>78</v>
      </c>
      <c r="D1348" s="1" t="s">
        <v>96</v>
      </c>
      <c r="E1348" t="s">
        <v>93</v>
      </c>
      <c r="F1348" t="s">
        <v>22</v>
      </c>
      <c r="G1348">
        <v>11</v>
      </c>
      <c r="H1348">
        <v>0</v>
      </c>
      <c r="I1348" s="5">
        <f>VLOOKUP(TrendSheetStgData[Population]&amp;TrendSheetStgData[Cost Basis]&amp;TrendSheetStgData[Period]&amp;TrendSheetStgData[Trend],TrendSheetPrdData[#All],9,FALSE)</f>
        <v>0</v>
      </c>
      <c r="J1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8" s="5">
        <f>VLOOKUP(TrendSheetStgData[Population]&amp;TrendSheetStgData[Trend],Threshold[#All],4,FALSE)</f>
        <v>10</v>
      </c>
      <c r="L1348" s="5">
        <f>VLOOKUP(TrendSheetStgData[Population]&amp;TrendSheetStgData[Trend],Threshold[#All],5,FALSE)</f>
        <v>5</v>
      </c>
      <c r="M1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9" spans="1:13" x14ac:dyDescent="0.25">
      <c r="A1349" t="s">
        <v>111</v>
      </c>
      <c r="B1349" t="s">
        <v>111</v>
      </c>
      <c r="C1349" t="s">
        <v>78</v>
      </c>
      <c r="D1349" s="1" t="s">
        <v>97</v>
      </c>
      <c r="E1349" t="s">
        <v>93</v>
      </c>
      <c r="F1349" t="s">
        <v>22</v>
      </c>
      <c r="G1349">
        <v>11</v>
      </c>
      <c r="H1349">
        <v>0</v>
      </c>
      <c r="I1349" s="5">
        <f>VLOOKUP(TrendSheetStgData[Population]&amp;TrendSheetStgData[Cost Basis]&amp;TrendSheetStgData[Period]&amp;TrendSheetStgData[Trend],TrendSheetPrdData[#All],9,FALSE)</f>
        <v>0</v>
      </c>
      <c r="J1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9" s="5">
        <f>VLOOKUP(TrendSheetStgData[Population]&amp;TrendSheetStgData[Trend],Threshold[#All],4,FALSE)</f>
        <v>10</v>
      </c>
      <c r="L1349" s="5">
        <f>VLOOKUP(TrendSheetStgData[Population]&amp;TrendSheetStgData[Trend],Threshold[#All],5,FALSE)</f>
        <v>5</v>
      </c>
      <c r="M1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0" spans="1:13" x14ac:dyDescent="0.25">
      <c r="A1350" t="s">
        <v>111</v>
      </c>
      <c r="B1350" t="s">
        <v>111</v>
      </c>
      <c r="C1350" t="s">
        <v>78</v>
      </c>
      <c r="D1350" s="1" t="s">
        <v>98</v>
      </c>
      <c r="E1350" t="s">
        <v>93</v>
      </c>
      <c r="F1350" t="s">
        <v>22</v>
      </c>
      <c r="G1350">
        <v>11</v>
      </c>
      <c r="H1350">
        <v>0</v>
      </c>
      <c r="I1350" s="5">
        <f>VLOOKUP(TrendSheetStgData[Population]&amp;TrendSheetStgData[Cost Basis]&amp;TrendSheetStgData[Period]&amp;TrendSheetStgData[Trend],TrendSheetPrdData[#All],9,FALSE)</f>
        <v>0</v>
      </c>
      <c r="J1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0" s="5">
        <f>VLOOKUP(TrendSheetStgData[Population]&amp;TrendSheetStgData[Trend],Threshold[#All],4,FALSE)</f>
        <v>10</v>
      </c>
      <c r="L1350" s="5">
        <f>VLOOKUP(TrendSheetStgData[Population]&amp;TrendSheetStgData[Trend],Threshold[#All],5,FALSE)</f>
        <v>5</v>
      </c>
      <c r="M1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1" spans="1:13" x14ac:dyDescent="0.25">
      <c r="A1351" t="s">
        <v>111</v>
      </c>
      <c r="B1351" t="s">
        <v>111</v>
      </c>
      <c r="C1351" t="s">
        <v>78</v>
      </c>
      <c r="D1351" s="1" t="s">
        <v>99</v>
      </c>
      <c r="E1351" t="s">
        <v>93</v>
      </c>
      <c r="F1351" t="s">
        <v>22</v>
      </c>
      <c r="G1351">
        <v>11</v>
      </c>
      <c r="H1351">
        <v>0</v>
      </c>
      <c r="I1351" s="5">
        <f>VLOOKUP(TrendSheetStgData[Population]&amp;TrendSheetStgData[Cost Basis]&amp;TrendSheetStgData[Period]&amp;TrendSheetStgData[Trend],TrendSheetPrdData[#All],9,FALSE)</f>
        <v>0</v>
      </c>
      <c r="J1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1" s="5">
        <f>VLOOKUP(TrendSheetStgData[Population]&amp;TrendSheetStgData[Trend],Threshold[#All],4,FALSE)</f>
        <v>10</v>
      </c>
      <c r="L1351" s="5">
        <f>VLOOKUP(TrendSheetStgData[Population]&amp;TrendSheetStgData[Trend],Threshold[#All],5,FALSE)</f>
        <v>5</v>
      </c>
      <c r="M1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2" spans="1:13" x14ac:dyDescent="0.25">
      <c r="A1352" t="s">
        <v>111</v>
      </c>
      <c r="B1352" t="s">
        <v>111</v>
      </c>
      <c r="C1352" t="s">
        <v>78</v>
      </c>
      <c r="D1352" s="1" t="s">
        <v>100</v>
      </c>
      <c r="E1352" t="s">
        <v>93</v>
      </c>
      <c r="F1352" t="s">
        <v>22</v>
      </c>
      <c r="G1352">
        <v>11</v>
      </c>
      <c r="H1352">
        <v>0</v>
      </c>
      <c r="I1352" s="5">
        <f>VLOOKUP(TrendSheetStgData[Population]&amp;TrendSheetStgData[Cost Basis]&amp;TrendSheetStgData[Period]&amp;TrendSheetStgData[Trend],TrendSheetPrdData[#All],9,FALSE)</f>
        <v>0</v>
      </c>
      <c r="J1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2" s="5">
        <f>VLOOKUP(TrendSheetStgData[Population]&amp;TrendSheetStgData[Trend],Threshold[#All],4,FALSE)</f>
        <v>10</v>
      </c>
      <c r="L1352" s="5">
        <f>VLOOKUP(TrendSheetStgData[Population]&amp;TrendSheetStgData[Trend],Threshold[#All],5,FALSE)</f>
        <v>5</v>
      </c>
      <c r="M1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3" spans="1:13" x14ac:dyDescent="0.25">
      <c r="A1353" t="s">
        <v>111</v>
      </c>
      <c r="B1353" t="s">
        <v>111</v>
      </c>
      <c r="C1353" t="s">
        <v>78</v>
      </c>
      <c r="D1353" s="1" t="s">
        <v>101</v>
      </c>
      <c r="E1353" t="s">
        <v>93</v>
      </c>
      <c r="F1353" t="s">
        <v>22</v>
      </c>
      <c r="G1353">
        <v>11</v>
      </c>
      <c r="H1353">
        <v>0</v>
      </c>
      <c r="I1353" s="5">
        <f>VLOOKUP(TrendSheetStgData[Population]&amp;TrendSheetStgData[Cost Basis]&amp;TrendSheetStgData[Period]&amp;TrendSheetStgData[Trend],TrendSheetPrdData[#All],9,FALSE)</f>
        <v>0</v>
      </c>
      <c r="J1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3" s="5">
        <f>VLOOKUP(TrendSheetStgData[Population]&amp;TrendSheetStgData[Trend],Threshold[#All],4,FALSE)</f>
        <v>10</v>
      </c>
      <c r="L1353" s="5">
        <f>VLOOKUP(TrendSheetStgData[Population]&amp;TrendSheetStgData[Trend],Threshold[#All],5,FALSE)</f>
        <v>5</v>
      </c>
      <c r="M1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4" spans="1:13" x14ac:dyDescent="0.25">
      <c r="A1354" t="s">
        <v>111</v>
      </c>
      <c r="B1354" t="s">
        <v>111</v>
      </c>
      <c r="C1354" t="s">
        <v>78</v>
      </c>
      <c r="D1354" s="1" t="s">
        <v>102</v>
      </c>
      <c r="E1354" t="s">
        <v>93</v>
      </c>
      <c r="F1354" t="s">
        <v>22</v>
      </c>
      <c r="G1354">
        <v>11</v>
      </c>
      <c r="H1354">
        <v>0</v>
      </c>
      <c r="I1354" s="5">
        <f>VLOOKUP(TrendSheetStgData[Population]&amp;TrendSheetStgData[Cost Basis]&amp;TrendSheetStgData[Period]&amp;TrendSheetStgData[Trend],TrendSheetPrdData[#All],9,FALSE)</f>
        <v>0</v>
      </c>
      <c r="J1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4" s="5">
        <f>VLOOKUP(TrendSheetStgData[Population]&amp;TrendSheetStgData[Trend],Threshold[#All],4,FALSE)</f>
        <v>10</v>
      </c>
      <c r="L1354" s="5">
        <f>VLOOKUP(TrendSheetStgData[Population]&amp;TrendSheetStgData[Trend],Threshold[#All],5,FALSE)</f>
        <v>5</v>
      </c>
      <c r="M1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5" spans="1:13" x14ac:dyDescent="0.25">
      <c r="A1355" t="s">
        <v>111</v>
      </c>
      <c r="B1355" t="s">
        <v>111</v>
      </c>
      <c r="C1355" t="s">
        <v>78</v>
      </c>
      <c r="D1355" s="1" t="s">
        <v>103</v>
      </c>
      <c r="E1355" t="s">
        <v>93</v>
      </c>
      <c r="F1355" t="s">
        <v>22</v>
      </c>
      <c r="G1355">
        <v>11</v>
      </c>
      <c r="H1355">
        <v>0</v>
      </c>
      <c r="I1355" s="5">
        <f>VLOOKUP(TrendSheetStgData[Population]&amp;TrendSheetStgData[Cost Basis]&amp;TrendSheetStgData[Period]&amp;TrendSheetStgData[Trend],TrendSheetPrdData[#All],9,FALSE)</f>
        <v>0</v>
      </c>
      <c r="J1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5" s="5">
        <f>VLOOKUP(TrendSheetStgData[Population]&amp;TrendSheetStgData[Trend],Threshold[#All],4,FALSE)</f>
        <v>10</v>
      </c>
      <c r="L1355" s="5">
        <f>VLOOKUP(TrendSheetStgData[Population]&amp;TrendSheetStgData[Trend],Threshold[#All],5,FALSE)</f>
        <v>5</v>
      </c>
      <c r="M1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6" spans="1:13" x14ac:dyDescent="0.25">
      <c r="A1356" t="s">
        <v>111</v>
      </c>
      <c r="B1356" t="s">
        <v>111</v>
      </c>
      <c r="C1356" t="s">
        <v>78</v>
      </c>
      <c r="D1356" s="1" t="s">
        <v>104</v>
      </c>
      <c r="E1356" t="s">
        <v>93</v>
      </c>
      <c r="F1356" t="s">
        <v>22</v>
      </c>
      <c r="G1356">
        <v>11</v>
      </c>
      <c r="H1356">
        <v>0</v>
      </c>
      <c r="I1356" s="5">
        <f>VLOOKUP(TrendSheetStgData[Population]&amp;TrendSheetStgData[Cost Basis]&amp;TrendSheetStgData[Period]&amp;TrendSheetStgData[Trend],TrendSheetPrdData[#All],9,FALSE)</f>
        <v>0</v>
      </c>
      <c r="J1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6" s="5">
        <f>VLOOKUP(TrendSheetStgData[Population]&amp;TrendSheetStgData[Trend],Threshold[#All],4,FALSE)</f>
        <v>10</v>
      </c>
      <c r="L1356" s="5">
        <f>VLOOKUP(TrendSheetStgData[Population]&amp;TrendSheetStgData[Trend],Threshold[#All],5,FALSE)</f>
        <v>5</v>
      </c>
      <c r="M1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7" spans="1:13" x14ac:dyDescent="0.25">
      <c r="A1357" t="s">
        <v>111</v>
      </c>
      <c r="B1357" t="s">
        <v>111</v>
      </c>
      <c r="C1357" t="s">
        <v>78</v>
      </c>
      <c r="D1357" s="1" t="s">
        <v>105</v>
      </c>
      <c r="E1357" t="s">
        <v>108</v>
      </c>
      <c r="F1357" t="s">
        <v>22</v>
      </c>
      <c r="G1357">
        <v>11</v>
      </c>
      <c r="H1357">
        <v>3</v>
      </c>
      <c r="I1357" s="5">
        <f>VLOOKUP(TrendSheetStgData[Population]&amp;TrendSheetStgData[Cost Basis]&amp;TrendSheetStgData[Period]&amp;TrendSheetStgData[Trend],TrendSheetPrdData[#All],9,FALSE)</f>
        <v>3</v>
      </c>
      <c r="J1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7" s="5">
        <f>VLOOKUP(TrendSheetStgData[Population]&amp;TrendSheetStgData[Trend],Threshold[#All],4,FALSE)</f>
        <v>10</v>
      </c>
      <c r="L1357" s="5">
        <f>VLOOKUP(TrendSheetStgData[Population]&amp;TrendSheetStgData[Trend],Threshold[#All],5,FALSE)</f>
        <v>5</v>
      </c>
      <c r="M1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8" spans="1:13" x14ac:dyDescent="0.25">
      <c r="A1358" t="s">
        <v>111</v>
      </c>
      <c r="B1358" t="s">
        <v>111</v>
      </c>
      <c r="C1358" t="s">
        <v>78</v>
      </c>
      <c r="D1358" s="1" t="s">
        <v>106</v>
      </c>
      <c r="E1358" t="s">
        <v>108</v>
      </c>
      <c r="F1358" t="s">
        <v>22</v>
      </c>
      <c r="G1358">
        <v>11</v>
      </c>
      <c r="H1358">
        <v>0</v>
      </c>
      <c r="I1358" s="5">
        <f>VLOOKUP(TrendSheetStgData[Population]&amp;TrendSheetStgData[Cost Basis]&amp;TrendSheetStgData[Period]&amp;TrendSheetStgData[Trend],TrendSheetPrdData[#All],9,FALSE)</f>
        <v>0</v>
      </c>
      <c r="J1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8" s="5">
        <f>VLOOKUP(TrendSheetStgData[Population]&amp;TrendSheetStgData[Trend],Threshold[#All],4,FALSE)</f>
        <v>10</v>
      </c>
      <c r="L1358" s="5">
        <f>VLOOKUP(TrendSheetStgData[Population]&amp;TrendSheetStgData[Trend],Threshold[#All],5,FALSE)</f>
        <v>5</v>
      </c>
      <c r="M1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9" spans="1:13" x14ac:dyDescent="0.25">
      <c r="A1359" t="s">
        <v>111</v>
      </c>
      <c r="B1359" t="s">
        <v>111</v>
      </c>
      <c r="C1359" t="s">
        <v>78</v>
      </c>
      <c r="D1359" s="1" t="s">
        <v>107</v>
      </c>
      <c r="E1359" t="s">
        <v>108</v>
      </c>
      <c r="F1359" t="s">
        <v>22</v>
      </c>
      <c r="G1359">
        <v>11</v>
      </c>
      <c r="H1359">
        <v>0</v>
      </c>
      <c r="I1359" s="5">
        <f>VLOOKUP(TrendSheetStgData[Population]&amp;TrendSheetStgData[Cost Basis]&amp;TrendSheetStgData[Period]&amp;TrendSheetStgData[Trend],TrendSheetPrdData[#All],9,FALSE)</f>
        <v>0</v>
      </c>
      <c r="J1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9" s="5">
        <f>VLOOKUP(TrendSheetStgData[Population]&amp;TrendSheetStgData[Trend],Threshold[#All],4,FALSE)</f>
        <v>10</v>
      </c>
      <c r="L1359" s="5">
        <f>VLOOKUP(TrendSheetStgData[Population]&amp;TrendSheetStgData[Trend],Threshold[#All],5,FALSE)</f>
        <v>5</v>
      </c>
      <c r="M1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0" spans="1:13" x14ac:dyDescent="0.25">
      <c r="A1360" t="s">
        <v>111</v>
      </c>
      <c r="B1360" t="s">
        <v>111</v>
      </c>
      <c r="C1360" t="s">
        <v>78</v>
      </c>
      <c r="D1360" s="1" t="s">
        <v>109</v>
      </c>
      <c r="E1360" t="s">
        <v>108</v>
      </c>
      <c r="F1360" t="s">
        <v>22</v>
      </c>
      <c r="G1360">
        <v>11</v>
      </c>
      <c r="H1360">
        <v>0</v>
      </c>
      <c r="I1360" s="5">
        <f>VLOOKUP(TrendSheetStgData[Population]&amp;TrendSheetStgData[Cost Basis]&amp;TrendSheetStgData[Period]&amp;TrendSheetStgData[Trend],TrendSheetPrdData[#All],9,FALSE)</f>
        <v>0</v>
      </c>
      <c r="J1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0" s="5">
        <f>VLOOKUP(TrendSheetStgData[Population]&amp;TrendSheetStgData[Trend],Threshold[#All],4,FALSE)</f>
        <v>10</v>
      </c>
      <c r="L1360" s="5">
        <f>VLOOKUP(TrendSheetStgData[Population]&amp;TrendSheetStgData[Trend],Threshold[#All],5,FALSE)</f>
        <v>5</v>
      </c>
      <c r="M1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1" spans="1:13" x14ac:dyDescent="0.25">
      <c r="A1361" t="s">
        <v>111</v>
      </c>
      <c r="B1361" t="s">
        <v>111</v>
      </c>
      <c r="C1361" t="s">
        <v>78</v>
      </c>
      <c r="D1361" s="1" t="s">
        <v>110</v>
      </c>
      <c r="E1361" t="s">
        <v>108</v>
      </c>
      <c r="F1361" t="s">
        <v>22</v>
      </c>
      <c r="G1361">
        <v>11</v>
      </c>
      <c r="H1361">
        <v>0</v>
      </c>
      <c r="I1361" s="5">
        <f>VLOOKUP(TrendSheetStgData[Population]&amp;TrendSheetStgData[Cost Basis]&amp;TrendSheetStgData[Period]&amp;TrendSheetStgData[Trend],TrendSheetPrdData[#All],9,FALSE)</f>
        <v>0</v>
      </c>
      <c r="J1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1" s="5">
        <f>VLOOKUP(TrendSheetStgData[Population]&amp;TrendSheetStgData[Trend],Threshold[#All],4,FALSE)</f>
        <v>10</v>
      </c>
      <c r="L1361" s="5">
        <f>VLOOKUP(TrendSheetStgData[Population]&amp;TrendSheetStgData[Trend],Threshold[#All],5,FALSE)</f>
        <v>5</v>
      </c>
      <c r="M1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2" spans="1:13" x14ac:dyDescent="0.25">
      <c r="A1362" t="s">
        <v>111</v>
      </c>
      <c r="B1362" t="s">
        <v>111</v>
      </c>
      <c r="C1362" t="s">
        <v>78</v>
      </c>
      <c r="D1362" s="1" t="s">
        <v>92</v>
      </c>
      <c r="E1362" t="s">
        <v>93</v>
      </c>
      <c r="F1362" t="s">
        <v>23</v>
      </c>
      <c r="G1362">
        <v>12</v>
      </c>
      <c r="H1362">
        <v>0</v>
      </c>
      <c r="I1362" s="5">
        <f>VLOOKUP(TrendSheetStgData[Population]&amp;TrendSheetStgData[Cost Basis]&amp;TrendSheetStgData[Period]&amp;TrendSheetStgData[Trend],TrendSheetPrdData[#All],9,FALSE)</f>
        <v>0</v>
      </c>
      <c r="J1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2" s="5">
        <f>VLOOKUP(TrendSheetStgData[Population]&amp;TrendSheetStgData[Trend],Threshold[#All],4,FALSE)</f>
        <v>10</v>
      </c>
      <c r="L1362" s="5">
        <f>VLOOKUP(TrendSheetStgData[Population]&amp;TrendSheetStgData[Trend],Threshold[#All],5,FALSE)</f>
        <v>5</v>
      </c>
      <c r="M1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3" spans="1:13" x14ac:dyDescent="0.25">
      <c r="A1363" t="s">
        <v>111</v>
      </c>
      <c r="B1363" t="s">
        <v>111</v>
      </c>
      <c r="C1363" t="s">
        <v>78</v>
      </c>
      <c r="D1363" s="1" t="s">
        <v>94</v>
      </c>
      <c r="E1363" t="s">
        <v>93</v>
      </c>
      <c r="F1363" t="s">
        <v>23</v>
      </c>
      <c r="G1363">
        <v>12</v>
      </c>
      <c r="H1363">
        <v>0</v>
      </c>
      <c r="I1363" s="5">
        <f>VLOOKUP(TrendSheetStgData[Population]&amp;TrendSheetStgData[Cost Basis]&amp;TrendSheetStgData[Period]&amp;TrendSheetStgData[Trend],TrendSheetPrdData[#All],9,FALSE)</f>
        <v>0</v>
      </c>
      <c r="J1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3" s="5">
        <f>VLOOKUP(TrendSheetStgData[Population]&amp;TrendSheetStgData[Trend],Threshold[#All],4,FALSE)</f>
        <v>10</v>
      </c>
      <c r="L1363" s="5">
        <f>VLOOKUP(TrendSheetStgData[Population]&amp;TrendSheetStgData[Trend],Threshold[#All],5,FALSE)</f>
        <v>5</v>
      </c>
      <c r="M1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4" spans="1:13" x14ac:dyDescent="0.25">
      <c r="A1364" t="s">
        <v>111</v>
      </c>
      <c r="B1364" t="s">
        <v>111</v>
      </c>
      <c r="C1364" t="s">
        <v>78</v>
      </c>
      <c r="D1364" s="1" t="s">
        <v>95</v>
      </c>
      <c r="E1364" t="s">
        <v>93</v>
      </c>
      <c r="F1364" t="s">
        <v>23</v>
      </c>
      <c r="G1364">
        <v>12</v>
      </c>
      <c r="H1364">
        <v>3</v>
      </c>
      <c r="I1364" s="5">
        <f>VLOOKUP(TrendSheetStgData[Population]&amp;TrendSheetStgData[Cost Basis]&amp;TrendSheetStgData[Period]&amp;TrendSheetStgData[Trend],TrendSheetPrdData[#All],9,FALSE)</f>
        <v>3</v>
      </c>
      <c r="J1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4" s="5">
        <f>VLOOKUP(TrendSheetStgData[Population]&amp;TrendSheetStgData[Trend],Threshold[#All],4,FALSE)</f>
        <v>10</v>
      </c>
      <c r="L1364" s="5">
        <f>VLOOKUP(TrendSheetStgData[Population]&amp;TrendSheetStgData[Trend],Threshold[#All],5,FALSE)</f>
        <v>5</v>
      </c>
      <c r="M1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5" spans="1:13" x14ac:dyDescent="0.25">
      <c r="A1365" t="s">
        <v>111</v>
      </c>
      <c r="B1365" t="s">
        <v>111</v>
      </c>
      <c r="C1365" t="s">
        <v>78</v>
      </c>
      <c r="D1365" s="1" t="s">
        <v>96</v>
      </c>
      <c r="E1365" t="s">
        <v>93</v>
      </c>
      <c r="F1365" t="s">
        <v>23</v>
      </c>
      <c r="G1365">
        <v>12</v>
      </c>
      <c r="H1365">
        <v>3</v>
      </c>
      <c r="I1365" s="5">
        <f>VLOOKUP(TrendSheetStgData[Population]&amp;TrendSheetStgData[Cost Basis]&amp;TrendSheetStgData[Period]&amp;TrendSheetStgData[Trend],TrendSheetPrdData[#All],9,FALSE)</f>
        <v>3</v>
      </c>
      <c r="J1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5" s="5">
        <f>VLOOKUP(TrendSheetStgData[Population]&amp;TrendSheetStgData[Trend],Threshold[#All],4,FALSE)</f>
        <v>10</v>
      </c>
      <c r="L1365" s="5">
        <f>VLOOKUP(TrendSheetStgData[Population]&amp;TrendSheetStgData[Trend],Threshold[#All],5,FALSE)</f>
        <v>5</v>
      </c>
      <c r="M1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6" spans="1:13" x14ac:dyDescent="0.25">
      <c r="A1366" t="s">
        <v>111</v>
      </c>
      <c r="B1366" t="s">
        <v>111</v>
      </c>
      <c r="C1366" t="s">
        <v>78</v>
      </c>
      <c r="D1366" s="1" t="s">
        <v>97</v>
      </c>
      <c r="E1366" t="s">
        <v>93</v>
      </c>
      <c r="F1366" t="s">
        <v>23</v>
      </c>
      <c r="G1366">
        <v>12</v>
      </c>
      <c r="H1366">
        <v>3</v>
      </c>
      <c r="I1366" s="5">
        <f>VLOOKUP(TrendSheetStgData[Population]&amp;TrendSheetStgData[Cost Basis]&amp;TrendSheetStgData[Period]&amp;TrendSheetStgData[Trend],TrendSheetPrdData[#All],9,FALSE)</f>
        <v>3</v>
      </c>
      <c r="J1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6" s="5">
        <f>VLOOKUP(TrendSheetStgData[Population]&amp;TrendSheetStgData[Trend],Threshold[#All],4,FALSE)</f>
        <v>10</v>
      </c>
      <c r="L1366" s="5">
        <f>VLOOKUP(TrendSheetStgData[Population]&amp;TrendSheetStgData[Trend],Threshold[#All],5,FALSE)</f>
        <v>5</v>
      </c>
      <c r="M1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7" spans="1:13" x14ac:dyDescent="0.25">
      <c r="A1367" t="s">
        <v>111</v>
      </c>
      <c r="B1367" t="s">
        <v>111</v>
      </c>
      <c r="C1367" t="s">
        <v>78</v>
      </c>
      <c r="D1367" s="1" t="s">
        <v>98</v>
      </c>
      <c r="E1367" t="s">
        <v>93</v>
      </c>
      <c r="F1367" t="s">
        <v>23</v>
      </c>
      <c r="G1367">
        <v>12</v>
      </c>
      <c r="H1367">
        <v>3</v>
      </c>
      <c r="I1367" s="5">
        <f>VLOOKUP(TrendSheetStgData[Population]&amp;TrendSheetStgData[Cost Basis]&amp;TrendSheetStgData[Period]&amp;TrendSheetStgData[Trend],TrendSheetPrdData[#All],9,FALSE)</f>
        <v>3</v>
      </c>
      <c r="J1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7" s="5">
        <f>VLOOKUP(TrendSheetStgData[Population]&amp;TrendSheetStgData[Trend],Threshold[#All],4,FALSE)</f>
        <v>10</v>
      </c>
      <c r="L1367" s="5">
        <f>VLOOKUP(TrendSheetStgData[Population]&amp;TrendSheetStgData[Trend],Threshold[#All],5,FALSE)</f>
        <v>5</v>
      </c>
      <c r="M1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8" spans="1:13" x14ac:dyDescent="0.25">
      <c r="A1368" t="s">
        <v>111</v>
      </c>
      <c r="B1368" t="s">
        <v>111</v>
      </c>
      <c r="C1368" t="s">
        <v>78</v>
      </c>
      <c r="D1368" s="1" t="s">
        <v>99</v>
      </c>
      <c r="E1368" t="s">
        <v>93</v>
      </c>
      <c r="F1368" t="s">
        <v>23</v>
      </c>
      <c r="G1368">
        <v>12</v>
      </c>
      <c r="H1368">
        <v>0</v>
      </c>
      <c r="I1368" s="5">
        <f>VLOOKUP(TrendSheetStgData[Population]&amp;TrendSheetStgData[Cost Basis]&amp;TrendSheetStgData[Period]&amp;TrendSheetStgData[Trend],TrendSheetPrdData[#All],9,FALSE)</f>
        <v>0</v>
      </c>
      <c r="J1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8" s="5">
        <f>VLOOKUP(TrendSheetStgData[Population]&amp;TrendSheetStgData[Trend],Threshold[#All],4,FALSE)</f>
        <v>10</v>
      </c>
      <c r="L1368" s="5">
        <f>VLOOKUP(TrendSheetStgData[Population]&amp;TrendSheetStgData[Trend],Threshold[#All],5,FALSE)</f>
        <v>5</v>
      </c>
      <c r="M1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9" spans="1:13" x14ac:dyDescent="0.25">
      <c r="A1369" t="s">
        <v>111</v>
      </c>
      <c r="B1369" t="s">
        <v>111</v>
      </c>
      <c r="C1369" t="s">
        <v>78</v>
      </c>
      <c r="D1369" s="1" t="s">
        <v>100</v>
      </c>
      <c r="E1369" t="s">
        <v>93</v>
      </c>
      <c r="F1369" t="s">
        <v>23</v>
      </c>
      <c r="G1369">
        <v>12</v>
      </c>
      <c r="H1369">
        <v>3</v>
      </c>
      <c r="I1369" s="5">
        <f>VLOOKUP(TrendSheetStgData[Population]&amp;TrendSheetStgData[Cost Basis]&amp;TrendSheetStgData[Period]&amp;TrendSheetStgData[Trend],TrendSheetPrdData[#All],9,FALSE)</f>
        <v>3</v>
      </c>
      <c r="J1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9" s="5">
        <f>VLOOKUP(TrendSheetStgData[Population]&amp;TrendSheetStgData[Trend],Threshold[#All],4,FALSE)</f>
        <v>10</v>
      </c>
      <c r="L1369" s="5">
        <f>VLOOKUP(TrendSheetStgData[Population]&amp;TrendSheetStgData[Trend],Threshold[#All],5,FALSE)</f>
        <v>5</v>
      </c>
      <c r="M1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0" spans="1:13" x14ac:dyDescent="0.25">
      <c r="A1370" t="s">
        <v>111</v>
      </c>
      <c r="B1370" t="s">
        <v>111</v>
      </c>
      <c r="C1370" t="s">
        <v>78</v>
      </c>
      <c r="D1370" s="1" t="s">
        <v>101</v>
      </c>
      <c r="E1370" t="s">
        <v>93</v>
      </c>
      <c r="F1370" t="s">
        <v>23</v>
      </c>
      <c r="G1370">
        <v>12</v>
      </c>
      <c r="H1370">
        <v>3</v>
      </c>
      <c r="I1370" s="5">
        <f>VLOOKUP(TrendSheetStgData[Population]&amp;TrendSheetStgData[Cost Basis]&amp;TrendSheetStgData[Period]&amp;TrendSheetStgData[Trend],TrendSheetPrdData[#All],9,FALSE)</f>
        <v>3</v>
      </c>
      <c r="J1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0" s="5">
        <f>VLOOKUP(TrendSheetStgData[Population]&amp;TrendSheetStgData[Trend],Threshold[#All],4,FALSE)</f>
        <v>10</v>
      </c>
      <c r="L1370" s="5">
        <f>VLOOKUP(TrendSheetStgData[Population]&amp;TrendSheetStgData[Trend],Threshold[#All],5,FALSE)</f>
        <v>5</v>
      </c>
      <c r="M1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1" spans="1:13" x14ac:dyDescent="0.25">
      <c r="A1371" t="s">
        <v>111</v>
      </c>
      <c r="B1371" t="s">
        <v>111</v>
      </c>
      <c r="C1371" t="s">
        <v>78</v>
      </c>
      <c r="D1371" s="1" t="s">
        <v>102</v>
      </c>
      <c r="E1371" t="s">
        <v>93</v>
      </c>
      <c r="F1371" t="s">
        <v>23</v>
      </c>
      <c r="G1371">
        <v>12</v>
      </c>
      <c r="H1371">
        <v>0</v>
      </c>
      <c r="I1371" s="5">
        <f>VLOOKUP(TrendSheetStgData[Population]&amp;TrendSheetStgData[Cost Basis]&amp;TrendSheetStgData[Period]&amp;TrendSheetStgData[Trend],TrendSheetPrdData[#All],9,FALSE)</f>
        <v>0</v>
      </c>
      <c r="J1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1" s="5">
        <f>VLOOKUP(TrendSheetStgData[Population]&amp;TrendSheetStgData[Trend],Threshold[#All],4,FALSE)</f>
        <v>10</v>
      </c>
      <c r="L1371" s="5">
        <f>VLOOKUP(TrendSheetStgData[Population]&amp;TrendSheetStgData[Trend],Threshold[#All],5,FALSE)</f>
        <v>5</v>
      </c>
      <c r="M1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2" spans="1:13" x14ac:dyDescent="0.25">
      <c r="A1372" t="s">
        <v>111</v>
      </c>
      <c r="B1372" t="s">
        <v>111</v>
      </c>
      <c r="C1372" t="s">
        <v>78</v>
      </c>
      <c r="D1372" s="1" t="s">
        <v>103</v>
      </c>
      <c r="E1372" t="s">
        <v>93</v>
      </c>
      <c r="F1372" t="s">
        <v>23</v>
      </c>
      <c r="G1372">
        <v>12</v>
      </c>
      <c r="H1372">
        <v>0</v>
      </c>
      <c r="I1372" s="5">
        <f>VLOOKUP(TrendSheetStgData[Population]&amp;TrendSheetStgData[Cost Basis]&amp;TrendSheetStgData[Period]&amp;TrendSheetStgData[Trend],TrendSheetPrdData[#All],9,FALSE)</f>
        <v>0</v>
      </c>
      <c r="J1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2" s="5">
        <f>VLOOKUP(TrendSheetStgData[Population]&amp;TrendSheetStgData[Trend],Threshold[#All],4,FALSE)</f>
        <v>10</v>
      </c>
      <c r="L1372" s="5">
        <f>VLOOKUP(TrendSheetStgData[Population]&amp;TrendSheetStgData[Trend],Threshold[#All],5,FALSE)</f>
        <v>5</v>
      </c>
      <c r="M1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3" spans="1:13" x14ac:dyDescent="0.25">
      <c r="A1373" t="s">
        <v>111</v>
      </c>
      <c r="B1373" t="s">
        <v>111</v>
      </c>
      <c r="C1373" t="s">
        <v>78</v>
      </c>
      <c r="D1373" s="1" t="s">
        <v>104</v>
      </c>
      <c r="E1373" t="s">
        <v>93</v>
      </c>
      <c r="F1373" t="s">
        <v>23</v>
      </c>
      <c r="G1373">
        <v>12</v>
      </c>
      <c r="H1373">
        <v>0</v>
      </c>
      <c r="I1373" s="5">
        <f>VLOOKUP(TrendSheetStgData[Population]&amp;TrendSheetStgData[Cost Basis]&amp;TrendSheetStgData[Period]&amp;TrendSheetStgData[Trend],TrendSheetPrdData[#All],9,FALSE)</f>
        <v>0</v>
      </c>
      <c r="J1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3" s="5">
        <f>VLOOKUP(TrendSheetStgData[Population]&amp;TrendSheetStgData[Trend],Threshold[#All],4,FALSE)</f>
        <v>10</v>
      </c>
      <c r="L1373" s="5">
        <f>VLOOKUP(TrendSheetStgData[Population]&amp;TrendSheetStgData[Trend],Threshold[#All],5,FALSE)</f>
        <v>5</v>
      </c>
      <c r="M1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4" spans="1:13" x14ac:dyDescent="0.25">
      <c r="A1374" t="s">
        <v>111</v>
      </c>
      <c r="B1374" t="s">
        <v>111</v>
      </c>
      <c r="C1374" t="s">
        <v>78</v>
      </c>
      <c r="D1374" s="1" t="s">
        <v>105</v>
      </c>
      <c r="E1374" t="s">
        <v>108</v>
      </c>
      <c r="F1374" t="s">
        <v>23</v>
      </c>
      <c r="G1374">
        <v>12</v>
      </c>
      <c r="H1374">
        <v>0</v>
      </c>
      <c r="I1374" s="5">
        <f>VLOOKUP(TrendSheetStgData[Population]&amp;TrendSheetStgData[Cost Basis]&amp;TrendSheetStgData[Period]&amp;TrendSheetStgData[Trend],TrendSheetPrdData[#All],9,FALSE)</f>
        <v>0</v>
      </c>
      <c r="J1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4" s="5">
        <f>VLOOKUP(TrendSheetStgData[Population]&amp;TrendSheetStgData[Trend],Threshold[#All],4,FALSE)</f>
        <v>10</v>
      </c>
      <c r="L1374" s="5">
        <f>VLOOKUP(TrendSheetStgData[Population]&amp;TrendSheetStgData[Trend],Threshold[#All],5,FALSE)</f>
        <v>5</v>
      </c>
      <c r="M1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5" spans="1:13" x14ac:dyDescent="0.25">
      <c r="A1375" t="s">
        <v>111</v>
      </c>
      <c r="B1375" t="s">
        <v>111</v>
      </c>
      <c r="C1375" t="s">
        <v>78</v>
      </c>
      <c r="D1375" s="1" t="s">
        <v>106</v>
      </c>
      <c r="E1375" t="s">
        <v>108</v>
      </c>
      <c r="F1375" t="s">
        <v>23</v>
      </c>
      <c r="G1375">
        <v>12</v>
      </c>
      <c r="H1375">
        <v>0</v>
      </c>
      <c r="I1375" s="5">
        <f>VLOOKUP(TrendSheetStgData[Population]&amp;TrendSheetStgData[Cost Basis]&amp;TrendSheetStgData[Period]&amp;TrendSheetStgData[Trend],TrendSheetPrdData[#All],9,FALSE)</f>
        <v>0</v>
      </c>
      <c r="J1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5" s="5">
        <f>VLOOKUP(TrendSheetStgData[Population]&amp;TrendSheetStgData[Trend],Threshold[#All],4,FALSE)</f>
        <v>10</v>
      </c>
      <c r="L1375" s="5">
        <f>VLOOKUP(TrendSheetStgData[Population]&amp;TrendSheetStgData[Trend],Threshold[#All],5,FALSE)</f>
        <v>5</v>
      </c>
      <c r="M1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6" spans="1:13" x14ac:dyDescent="0.25">
      <c r="A1376" t="s">
        <v>111</v>
      </c>
      <c r="B1376" t="s">
        <v>111</v>
      </c>
      <c r="C1376" t="s">
        <v>78</v>
      </c>
      <c r="D1376" s="1" t="s">
        <v>107</v>
      </c>
      <c r="E1376" t="s">
        <v>108</v>
      </c>
      <c r="F1376" t="s">
        <v>23</v>
      </c>
      <c r="G1376">
        <v>12</v>
      </c>
      <c r="H1376">
        <v>0</v>
      </c>
      <c r="I1376" s="5">
        <f>VLOOKUP(TrendSheetStgData[Population]&amp;TrendSheetStgData[Cost Basis]&amp;TrendSheetStgData[Period]&amp;TrendSheetStgData[Trend],TrendSheetPrdData[#All],9,FALSE)</f>
        <v>0</v>
      </c>
      <c r="J1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6" s="5">
        <f>VLOOKUP(TrendSheetStgData[Population]&amp;TrendSheetStgData[Trend],Threshold[#All],4,FALSE)</f>
        <v>10</v>
      </c>
      <c r="L1376" s="5">
        <f>VLOOKUP(TrendSheetStgData[Population]&amp;TrendSheetStgData[Trend],Threshold[#All],5,FALSE)</f>
        <v>5</v>
      </c>
      <c r="M1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7" spans="1:13" x14ac:dyDescent="0.25">
      <c r="A1377" t="s">
        <v>111</v>
      </c>
      <c r="B1377" t="s">
        <v>111</v>
      </c>
      <c r="C1377" t="s">
        <v>78</v>
      </c>
      <c r="D1377" s="1" t="s">
        <v>109</v>
      </c>
      <c r="E1377" t="s">
        <v>108</v>
      </c>
      <c r="F1377" t="s">
        <v>23</v>
      </c>
      <c r="G1377">
        <v>12</v>
      </c>
      <c r="H1377">
        <v>3</v>
      </c>
      <c r="I1377" s="5">
        <f>VLOOKUP(TrendSheetStgData[Population]&amp;TrendSheetStgData[Cost Basis]&amp;TrendSheetStgData[Period]&amp;TrendSheetStgData[Trend],TrendSheetPrdData[#All],9,FALSE)</f>
        <v>3</v>
      </c>
      <c r="J1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7" s="5">
        <f>VLOOKUP(TrendSheetStgData[Population]&amp;TrendSheetStgData[Trend],Threshold[#All],4,FALSE)</f>
        <v>10</v>
      </c>
      <c r="L1377" s="5">
        <f>VLOOKUP(TrendSheetStgData[Population]&amp;TrendSheetStgData[Trend],Threshold[#All],5,FALSE)</f>
        <v>5</v>
      </c>
      <c r="M1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8" spans="1:13" x14ac:dyDescent="0.25">
      <c r="A1378" t="s">
        <v>111</v>
      </c>
      <c r="B1378" t="s">
        <v>111</v>
      </c>
      <c r="C1378" t="s">
        <v>78</v>
      </c>
      <c r="D1378" s="1" t="s">
        <v>110</v>
      </c>
      <c r="E1378" t="s">
        <v>108</v>
      </c>
      <c r="F1378" t="s">
        <v>23</v>
      </c>
      <c r="G1378">
        <v>12</v>
      </c>
      <c r="H1378">
        <v>0</v>
      </c>
      <c r="I1378" s="5">
        <f>VLOOKUP(TrendSheetStgData[Population]&amp;TrendSheetStgData[Cost Basis]&amp;TrendSheetStgData[Period]&amp;TrendSheetStgData[Trend],TrendSheetPrdData[#All],9,FALSE)</f>
        <v>0</v>
      </c>
      <c r="J1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8" s="5">
        <f>VLOOKUP(TrendSheetStgData[Population]&amp;TrendSheetStgData[Trend],Threshold[#All],4,FALSE)</f>
        <v>10</v>
      </c>
      <c r="L1378" s="5">
        <f>VLOOKUP(TrendSheetStgData[Population]&amp;TrendSheetStgData[Trend],Threshold[#All],5,FALSE)</f>
        <v>5</v>
      </c>
      <c r="M1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9" spans="1:13" x14ac:dyDescent="0.25">
      <c r="A1379" t="s">
        <v>111</v>
      </c>
      <c r="B1379" t="s">
        <v>111</v>
      </c>
      <c r="C1379" t="s">
        <v>78</v>
      </c>
      <c r="D1379" s="1" t="s">
        <v>92</v>
      </c>
      <c r="E1379" t="s">
        <v>93</v>
      </c>
      <c r="F1379" t="s">
        <v>24</v>
      </c>
      <c r="G1379">
        <v>13</v>
      </c>
      <c r="H1379">
        <v>82652</v>
      </c>
      <c r="I1379" s="5">
        <f>VLOOKUP(TrendSheetStgData[Population]&amp;TrendSheetStgData[Cost Basis]&amp;TrendSheetStgData[Period]&amp;TrendSheetStgData[Trend],TrendSheetPrdData[#All],9,FALSE)</f>
        <v>82652</v>
      </c>
      <c r="J1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9" s="5">
        <f>VLOOKUP(TrendSheetStgData[Population]&amp;TrendSheetStgData[Trend],Threshold[#All],4,FALSE)</f>
        <v>10</v>
      </c>
      <c r="L1379" s="5">
        <f>VLOOKUP(TrendSheetStgData[Population]&amp;TrendSheetStgData[Trend],Threshold[#All],5,FALSE)</f>
        <v>5</v>
      </c>
      <c r="M1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0" spans="1:13" x14ac:dyDescent="0.25">
      <c r="A1380" t="s">
        <v>111</v>
      </c>
      <c r="B1380" t="s">
        <v>111</v>
      </c>
      <c r="C1380" t="s">
        <v>78</v>
      </c>
      <c r="D1380" s="1" t="s">
        <v>94</v>
      </c>
      <c r="E1380" t="s">
        <v>93</v>
      </c>
      <c r="F1380" t="s">
        <v>24</v>
      </c>
      <c r="G1380">
        <v>13</v>
      </c>
      <c r="H1380">
        <v>77533</v>
      </c>
      <c r="I1380" s="5">
        <f>VLOOKUP(TrendSheetStgData[Population]&amp;TrendSheetStgData[Cost Basis]&amp;TrendSheetStgData[Period]&amp;TrendSheetStgData[Trend],TrendSheetPrdData[#All],9,FALSE)</f>
        <v>77533</v>
      </c>
      <c r="J1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0" s="5">
        <f>VLOOKUP(TrendSheetStgData[Population]&amp;TrendSheetStgData[Trend],Threshold[#All],4,FALSE)</f>
        <v>10</v>
      </c>
      <c r="L1380" s="5">
        <f>VLOOKUP(TrendSheetStgData[Population]&amp;TrendSheetStgData[Trend],Threshold[#All],5,FALSE)</f>
        <v>5</v>
      </c>
      <c r="M1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1" spans="1:13" x14ac:dyDescent="0.25">
      <c r="A1381" t="s">
        <v>111</v>
      </c>
      <c r="B1381" t="s">
        <v>111</v>
      </c>
      <c r="C1381" t="s">
        <v>78</v>
      </c>
      <c r="D1381" s="1" t="s">
        <v>95</v>
      </c>
      <c r="E1381" t="s">
        <v>93</v>
      </c>
      <c r="F1381" t="s">
        <v>24</v>
      </c>
      <c r="G1381">
        <v>13</v>
      </c>
      <c r="H1381">
        <v>71613</v>
      </c>
      <c r="I1381" s="5">
        <f>VLOOKUP(TrendSheetStgData[Population]&amp;TrendSheetStgData[Cost Basis]&amp;TrendSheetStgData[Period]&amp;TrendSheetStgData[Trend],TrendSheetPrdData[#All],9,FALSE)</f>
        <v>71613</v>
      </c>
      <c r="J1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1" s="5">
        <f>VLOOKUP(TrendSheetStgData[Population]&amp;TrendSheetStgData[Trend],Threshold[#All],4,FALSE)</f>
        <v>10</v>
      </c>
      <c r="L1381" s="5">
        <f>VLOOKUP(TrendSheetStgData[Population]&amp;TrendSheetStgData[Trend],Threshold[#All],5,FALSE)</f>
        <v>5</v>
      </c>
      <c r="M1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2" spans="1:13" x14ac:dyDescent="0.25">
      <c r="A1382" t="s">
        <v>111</v>
      </c>
      <c r="B1382" t="s">
        <v>111</v>
      </c>
      <c r="C1382" t="s">
        <v>78</v>
      </c>
      <c r="D1382" s="1" t="s">
        <v>96</v>
      </c>
      <c r="E1382" t="s">
        <v>93</v>
      </c>
      <c r="F1382" t="s">
        <v>24</v>
      </c>
      <c r="G1382">
        <v>13</v>
      </c>
      <c r="H1382">
        <v>109648</v>
      </c>
      <c r="I1382" s="5">
        <f>VLOOKUP(TrendSheetStgData[Population]&amp;TrendSheetStgData[Cost Basis]&amp;TrendSheetStgData[Period]&amp;TrendSheetStgData[Trend],TrendSheetPrdData[#All],9,FALSE)</f>
        <v>109648</v>
      </c>
      <c r="J1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2" s="5">
        <f>VLOOKUP(TrendSheetStgData[Population]&amp;TrendSheetStgData[Trend],Threshold[#All],4,FALSE)</f>
        <v>10</v>
      </c>
      <c r="L1382" s="5">
        <f>VLOOKUP(TrendSheetStgData[Population]&amp;TrendSheetStgData[Trend],Threshold[#All],5,FALSE)</f>
        <v>5</v>
      </c>
      <c r="M1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3" spans="1:13" x14ac:dyDescent="0.25">
      <c r="A1383" t="s">
        <v>111</v>
      </c>
      <c r="B1383" t="s">
        <v>111</v>
      </c>
      <c r="C1383" t="s">
        <v>78</v>
      </c>
      <c r="D1383" s="1" t="s">
        <v>97</v>
      </c>
      <c r="E1383" t="s">
        <v>93</v>
      </c>
      <c r="F1383" t="s">
        <v>24</v>
      </c>
      <c r="G1383">
        <v>13</v>
      </c>
      <c r="H1383">
        <v>64870</v>
      </c>
      <c r="I1383" s="5">
        <f>VLOOKUP(TrendSheetStgData[Population]&amp;TrendSheetStgData[Cost Basis]&amp;TrendSheetStgData[Period]&amp;TrendSheetStgData[Trend],TrendSheetPrdData[#All],9,FALSE)</f>
        <v>64870</v>
      </c>
      <c r="J1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3" s="5">
        <f>VLOOKUP(TrendSheetStgData[Population]&amp;TrendSheetStgData[Trend],Threshold[#All],4,FALSE)</f>
        <v>10</v>
      </c>
      <c r="L1383" s="5">
        <f>VLOOKUP(TrendSheetStgData[Population]&amp;TrendSheetStgData[Trend],Threshold[#All],5,FALSE)</f>
        <v>5</v>
      </c>
      <c r="M1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4" spans="1:13" x14ac:dyDescent="0.25">
      <c r="A1384" t="s">
        <v>111</v>
      </c>
      <c r="B1384" t="s">
        <v>111</v>
      </c>
      <c r="C1384" t="s">
        <v>78</v>
      </c>
      <c r="D1384" s="1" t="s">
        <v>98</v>
      </c>
      <c r="E1384" t="s">
        <v>93</v>
      </c>
      <c r="F1384" t="s">
        <v>24</v>
      </c>
      <c r="G1384">
        <v>13</v>
      </c>
      <c r="H1384">
        <v>64099</v>
      </c>
      <c r="I1384" s="5">
        <f>VLOOKUP(TrendSheetStgData[Population]&amp;TrendSheetStgData[Cost Basis]&amp;TrendSheetStgData[Period]&amp;TrendSheetStgData[Trend],TrendSheetPrdData[#All],9,FALSE)</f>
        <v>64099</v>
      </c>
      <c r="J1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4" s="5">
        <f>VLOOKUP(TrendSheetStgData[Population]&amp;TrendSheetStgData[Trend],Threshold[#All],4,FALSE)</f>
        <v>10</v>
      </c>
      <c r="L1384" s="5">
        <f>VLOOKUP(TrendSheetStgData[Population]&amp;TrendSheetStgData[Trend],Threshold[#All],5,FALSE)</f>
        <v>5</v>
      </c>
      <c r="M1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5" spans="1:13" x14ac:dyDescent="0.25">
      <c r="A1385" t="s">
        <v>111</v>
      </c>
      <c r="B1385" t="s">
        <v>111</v>
      </c>
      <c r="C1385" t="s">
        <v>78</v>
      </c>
      <c r="D1385" s="1" t="s">
        <v>99</v>
      </c>
      <c r="E1385" t="s">
        <v>93</v>
      </c>
      <c r="F1385" t="s">
        <v>24</v>
      </c>
      <c r="G1385">
        <v>13</v>
      </c>
      <c r="H1385">
        <v>83706</v>
      </c>
      <c r="I1385" s="5">
        <f>VLOOKUP(TrendSheetStgData[Population]&amp;TrendSheetStgData[Cost Basis]&amp;TrendSheetStgData[Period]&amp;TrendSheetStgData[Trend],TrendSheetPrdData[#All],9,FALSE)</f>
        <v>83706</v>
      </c>
      <c r="J1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5" s="5">
        <f>VLOOKUP(TrendSheetStgData[Population]&amp;TrendSheetStgData[Trend],Threshold[#All],4,FALSE)</f>
        <v>10</v>
      </c>
      <c r="L1385" s="5">
        <f>VLOOKUP(TrendSheetStgData[Population]&amp;TrendSheetStgData[Trend],Threshold[#All],5,FALSE)</f>
        <v>5</v>
      </c>
      <c r="M1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6" spans="1:13" x14ac:dyDescent="0.25">
      <c r="A1386" t="s">
        <v>111</v>
      </c>
      <c r="B1386" t="s">
        <v>111</v>
      </c>
      <c r="C1386" t="s">
        <v>78</v>
      </c>
      <c r="D1386" s="1" t="s">
        <v>100</v>
      </c>
      <c r="E1386" t="s">
        <v>93</v>
      </c>
      <c r="F1386" t="s">
        <v>24</v>
      </c>
      <c r="G1386">
        <v>13</v>
      </c>
      <c r="H1386">
        <v>79814</v>
      </c>
      <c r="I1386" s="5">
        <f>VLOOKUP(TrendSheetStgData[Population]&amp;TrendSheetStgData[Cost Basis]&amp;TrendSheetStgData[Period]&amp;TrendSheetStgData[Trend],TrendSheetPrdData[#All],9,FALSE)</f>
        <v>79814</v>
      </c>
      <c r="J1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6" s="5">
        <f>VLOOKUP(TrendSheetStgData[Population]&amp;TrendSheetStgData[Trend],Threshold[#All],4,FALSE)</f>
        <v>10</v>
      </c>
      <c r="L1386" s="5">
        <f>VLOOKUP(TrendSheetStgData[Population]&amp;TrendSheetStgData[Trend],Threshold[#All],5,FALSE)</f>
        <v>5</v>
      </c>
      <c r="M1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7" spans="1:13" x14ac:dyDescent="0.25">
      <c r="A1387" t="s">
        <v>111</v>
      </c>
      <c r="B1387" t="s">
        <v>111</v>
      </c>
      <c r="C1387" t="s">
        <v>78</v>
      </c>
      <c r="D1387" s="1" t="s">
        <v>101</v>
      </c>
      <c r="E1387" t="s">
        <v>93</v>
      </c>
      <c r="F1387" t="s">
        <v>24</v>
      </c>
      <c r="G1387">
        <v>13</v>
      </c>
      <c r="H1387">
        <v>89168</v>
      </c>
      <c r="I1387" s="5">
        <f>VLOOKUP(TrendSheetStgData[Population]&amp;TrendSheetStgData[Cost Basis]&amp;TrendSheetStgData[Period]&amp;TrendSheetStgData[Trend],TrendSheetPrdData[#All],9,FALSE)</f>
        <v>89168</v>
      </c>
      <c r="J1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7" s="5">
        <f>VLOOKUP(TrendSheetStgData[Population]&amp;TrendSheetStgData[Trend],Threshold[#All],4,FALSE)</f>
        <v>10</v>
      </c>
      <c r="L1387" s="5">
        <f>VLOOKUP(TrendSheetStgData[Population]&amp;TrendSheetStgData[Trend],Threshold[#All],5,FALSE)</f>
        <v>5</v>
      </c>
      <c r="M1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8" spans="1:13" x14ac:dyDescent="0.25">
      <c r="A1388" t="s">
        <v>111</v>
      </c>
      <c r="B1388" t="s">
        <v>111</v>
      </c>
      <c r="C1388" t="s">
        <v>78</v>
      </c>
      <c r="D1388" s="1" t="s">
        <v>102</v>
      </c>
      <c r="E1388" t="s">
        <v>93</v>
      </c>
      <c r="F1388" t="s">
        <v>24</v>
      </c>
      <c r="G1388">
        <v>13</v>
      </c>
      <c r="H1388">
        <v>75233</v>
      </c>
      <c r="I1388" s="5">
        <f>VLOOKUP(TrendSheetStgData[Population]&amp;TrendSheetStgData[Cost Basis]&amp;TrendSheetStgData[Period]&amp;TrendSheetStgData[Trend],TrendSheetPrdData[#All],9,FALSE)</f>
        <v>75233</v>
      </c>
      <c r="J1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8" s="5">
        <f>VLOOKUP(TrendSheetStgData[Population]&amp;TrendSheetStgData[Trend],Threshold[#All],4,FALSE)</f>
        <v>10</v>
      </c>
      <c r="L1388" s="5">
        <f>VLOOKUP(TrendSheetStgData[Population]&amp;TrendSheetStgData[Trend],Threshold[#All],5,FALSE)</f>
        <v>5</v>
      </c>
      <c r="M1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9" spans="1:13" x14ac:dyDescent="0.25">
      <c r="A1389" t="s">
        <v>111</v>
      </c>
      <c r="B1389" t="s">
        <v>111</v>
      </c>
      <c r="C1389" t="s">
        <v>78</v>
      </c>
      <c r="D1389" s="1" t="s">
        <v>103</v>
      </c>
      <c r="E1389" t="s">
        <v>93</v>
      </c>
      <c r="F1389" t="s">
        <v>24</v>
      </c>
      <c r="G1389">
        <v>13</v>
      </c>
      <c r="H1389">
        <v>82663</v>
      </c>
      <c r="I1389" s="5">
        <f>VLOOKUP(TrendSheetStgData[Population]&amp;TrendSheetStgData[Cost Basis]&amp;TrendSheetStgData[Period]&amp;TrendSheetStgData[Trend],TrendSheetPrdData[#All],9,FALSE)</f>
        <v>82663</v>
      </c>
      <c r="J1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9" s="5">
        <f>VLOOKUP(TrendSheetStgData[Population]&amp;TrendSheetStgData[Trend],Threshold[#All],4,FALSE)</f>
        <v>10</v>
      </c>
      <c r="L1389" s="5">
        <f>VLOOKUP(TrendSheetStgData[Population]&amp;TrendSheetStgData[Trend],Threshold[#All],5,FALSE)</f>
        <v>5</v>
      </c>
      <c r="M1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0" spans="1:13" x14ac:dyDescent="0.25">
      <c r="A1390" t="s">
        <v>111</v>
      </c>
      <c r="B1390" t="s">
        <v>111</v>
      </c>
      <c r="C1390" t="s">
        <v>78</v>
      </c>
      <c r="D1390" s="1" t="s">
        <v>104</v>
      </c>
      <c r="E1390" t="s">
        <v>93</v>
      </c>
      <c r="F1390" t="s">
        <v>24</v>
      </c>
      <c r="G1390">
        <v>13</v>
      </c>
      <c r="H1390">
        <v>73115</v>
      </c>
      <c r="I1390" s="5">
        <f>VLOOKUP(TrendSheetStgData[Population]&amp;TrendSheetStgData[Cost Basis]&amp;TrendSheetStgData[Period]&amp;TrendSheetStgData[Trend],TrendSheetPrdData[#All],9,FALSE)</f>
        <v>73115</v>
      </c>
      <c r="J1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0" s="5">
        <f>VLOOKUP(TrendSheetStgData[Population]&amp;TrendSheetStgData[Trend],Threshold[#All],4,FALSE)</f>
        <v>10</v>
      </c>
      <c r="L1390" s="5">
        <f>VLOOKUP(TrendSheetStgData[Population]&amp;TrendSheetStgData[Trend],Threshold[#All],5,FALSE)</f>
        <v>5</v>
      </c>
      <c r="M1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1" spans="1:13" x14ac:dyDescent="0.25">
      <c r="A1391" t="s">
        <v>111</v>
      </c>
      <c r="B1391" t="s">
        <v>111</v>
      </c>
      <c r="C1391" t="s">
        <v>78</v>
      </c>
      <c r="D1391" s="1" t="s">
        <v>105</v>
      </c>
      <c r="E1391" t="s">
        <v>108</v>
      </c>
      <c r="F1391" t="s">
        <v>24</v>
      </c>
      <c r="G1391">
        <v>13</v>
      </c>
      <c r="H1391">
        <v>80696</v>
      </c>
      <c r="I1391" s="5">
        <f>VLOOKUP(TrendSheetStgData[Population]&amp;TrendSheetStgData[Cost Basis]&amp;TrendSheetStgData[Period]&amp;TrendSheetStgData[Trend],TrendSheetPrdData[#All],9,FALSE)</f>
        <v>80696</v>
      </c>
      <c r="J1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1" s="5">
        <f>VLOOKUP(TrendSheetStgData[Population]&amp;TrendSheetStgData[Trend],Threshold[#All],4,FALSE)</f>
        <v>10</v>
      </c>
      <c r="L1391" s="5">
        <f>VLOOKUP(TrendSheetStgData[Population]&amp;TrendSheetStgData[Trend],Threshold[#All],5,FALSE)</f>
        <v>5</v>
      </c>
      <c r="M1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2" spans="1:13" x14ac:dyDescent="0.25">
      <c r="A1392" t="s">
        <v>111</v>
      </c>
      <c r="B1392" t="s">
        <v>111</v>
      </c>
      <c r="C1392" t="s">
        <v>78</v>
      </c>
      <c r="D1392" s="1" t="s">
        <v>106</v>
      </c>
      <c r="E1392" t="s">
        <v>108</v>
      </c>
      <c r="F1392" t="s">
        <v>24</v>
      </c>
      <c r="G1392">
        <v>13</v>
      </c>
      <c r="H1392">
        <v>97958</v>
      </c>
      <c r="I1392" s="5">
        <f>VLOOKUP(TrendSheetStgData[Population]&amp;TrendSheetStgData[Cost Basis]&amp;TrendSheetStgData[Period]&amp;TrendSheetStgData[Trend],TrendSheetPrdData[#All],9,FALSE)</f>
        <v>97958</v>
      </c>
      <c r="J1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2" s="5">
        <f>VLOOKUP(TrendSheetStgData[Population]&amp;TrendSheetStgData[Trend],Threshold[#All],4,FALSE)</f>
        <v>10</v>
      </c>
      <c r="L1392" s="5">
        <f>VLOOKUP(TrendSheetStgData[Population]&amp;TrendSheetStgData[Trend],Threshold[#All],5,FALSE)</f>
        <v>5</v>
      </c>
      <c r="M1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3" spans="1:13" x14ac:dyDescent="0.25">
      <c r="A1393" t="s">
        <v>111</v>
      </c>
      <c r="B1393" t="s">
        <v>111</v>
      </c>
      <c r="C1393" t="s">
        <v>78</v>
      </c>
      <c r="D1393" s="1" t="s">
        <v>107</v>
      </c>
      <c r="E1393" t="s">
        <v>108</v>
      </c>
      <c r="F1393" t="s">
        <v>24</v>
      </c>
      <c r="G1393">
        <v>13</v>
      </c>
      <c r="H1393">
        <v>72072</v>
      </c>
      <c r="I1393" s="5">
        <f>VLOOKUP(TrendSheetStgData[Population]&amp;TrendSheetStgData[Cost Basis]&amp;TrendSheetStgData[Period]&amp;TrendSheetStgData[Trend],TrendSheetPrdData[#All],9,FALSE)</f>
        <v>72072</v>
      </c>
      <c r="J1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3" s="5">
        <f>VLOOKUP(TrendSheetStgData[Population]&amp;TrendSheetStgData[Trend],Threshold[#All],4,FALSE)</f>
        <v>10</v>
      </c>
      <c r="L1393" s="5">
        <f>VLOOKUP(TrendSheetStgData[Population]&amp;TrendSheetStgData[Trend],Threshold[#All],5,FALSE)</f>
        <v>5</v>
      </c>
      <c r="M1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4" spans="1:13" x14ac:dyDescent="0.25">
      <c r="A1394" t="s">
        <v>111</v>
      </c>
      <c r="B1394" t="s">
        <v>111</v>
      </c>
      <c r="C1394" t="s">
        <v>78</v>
      </c>
      <c r="D1394" s="1" t="s">
        <v>109</v>
      </c>
      <c r="E1394" t="s">
        <v>108</v>
      </c>
      <c r="F1394" t="s">
        <v>24</v>
      </c>
      <c r="G1394">
        <v>13</v>
      </c>
      <c r="H1394">
        <v>72355</v>
      </c>
      <c r="I1394" s="5">
        <f>VLOOKUP(TrendSheetStgData[Population]&amp;TrendSheetStgData[Cost Basis]&amp;TrendSheetStgData[Period]&amp;TrendSheetStgData[Trend],TrendSheetPrdData[#All],9,FALSE)</f>
        <v>72355</v>
      </c>
      <c r="J1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4" s="5">
        <f>VLOOKUP(TrendSheetStgData[Population]&amp;TrendSheetStgData[Trend],Threshold[#All],4,FALSE)</f>
        <v>10</v>
      </c>
      <c r="L1394" s="5">
        <f>VLOOKUP(TrendSheetStgData[Population]&amp;TrendSheetStgData[Trend],Threshold[#All],5,FALSE)</f>
        <v>5</v>
      </c>
      <c r="M1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5" spans="1:13" x14ac:dyDescent="0.25">
      <c r="A1395" t="s">
        <v>111</v>
      </c>
      <c r="B1395" t="s">
        <v>111</v>
      </c>
      <c r="C1395" t="s">
        <v>78</v>
      </c>
      <c r="D1395" s="1" t="s">
        <v>110</v>
      </c>
      <c r="E1395" t="s">
        <v>108</v>
      </c>
      <c r="F1395" t="s">
        <v>24</v>
      </c>
      <c r="G1395">
        <v>13</v>
      </c>
      <c r="H1395">
        <v>18614</v>
      </c>
      <c r="I1395" s="5">
        <f>VLOOKUP(TrendSheetStgData[Population]&amp;TrendSheetStgData[Cost Basis]&amp;TrendSheetStgData[Period]&amp;TrendSheetStgData[Trend],TrendSheetPrdData[#All],9,FALSE)</f>
        <v>18614</v>
      </c>
      <c r="J1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5" s="5">
        <f>VLOOKUP(TrendSheetStgData[Population]&amp;TrendSheetStgData[Trend],Threshold[#All],4,FALSE)</f>
        <v>10</v>
      </c>
      <c r="L1395" s="5">
        <f>VLOOKUP(TrendSheetStgData[Population]&amp;TrendSheetStgData[Trend],Threshold[#All],5,FALSE)</f>
        <v>5</v>
      </c>
      <c r="M1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6" spans="1:13" x14ac:dyDescent="0.25">
      <c r="A1396" t="s">
        <v>111</v>
      </c>
      <c r="B1396" t="s">
        <v>111</v>
      </c>
      <c r="C1396" t="s">
        <v>78</v>
      </c>
      <c r="D1396" s="1" t="s">
        <v>92</v>
      </c>
      <c r="E1396" t="s">
        <v>93</v>
      </c>
      <c r="F1396" t="s">
        <v>25</v>
      </c>
      <c r="G1396">
        <v>14</v>
      </c>
      <c r="H1396">
        <v>209</v>
      </c>
      <c r="I1396" s="5">
        <f>VLOOKUP(TrendSheetStgData[Population]&amp;TrendSheetStgData[Cost Basis]&amp;TrendSheetStgData[Period]&amp;TrendSheetStgData[Trend],TrendSheetPrdData[#All],9,FALSE)</f>
        <v>209</v>
      </c>
      <c r="J1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6" s="5">
        <f>VLOOKUP(TrendSheetStgData[Population]&amp;TrendSheetStgData[Trend],Threshold[#All],4,FALSE)</f>
        <v>10</v>
      </c>
      <c r="L1396" s="5">
        <f>VLOOKUP(TrendSheetStgData[Population]&amp;TrendSheetStgData[Trend],Threshold[#All],5,FALSE)</f>
        <v>5</v>
      </c>
      <c r="M1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7" spans="1:13" x14ac:dyDescent="0.25">
      <c r="A1397" t="s">
        <v>111</v>
      </c>
      <c r="B1397" t="s">
        <v>111</v>
      </c>
      <c r="C1397" t="s">
        <v>78</v>
      </c>
      <c r="D1397" s="1" t="s">
        <v>94</v>
      </c>
      <c r="E1397" t="s">
        <v>93</v>
      </c>
      <c r="F1397" t="s">
        <v>25</v>
      </c>
      <c r="G1397">
        <v>14</v>
      </c>
      <c r="H1397">
        <v>207</v>
      </c>
      <c r="I1397" s="5">
        <f>VLOOKUP(TrendSheetStgData[Population]&amp;TrendSheetStgData[Cost Basis]&amp;TrendSheetStgData[Period]&amp;TrendSheetStgData[Trend],TrendSheetPrdData[#All],9,FALSE)</f>
        <v>207</v>
      </c>
      <c r="J1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7" s="5">
        <f>VLOOKUP(TrendSheetStgData[Population]&amp;TrendSheetStgData[Trend],Threshold[#All],4,FALSE)</f>
        <v>10</v>
      </c>
      <c r="L1397" s="5">
        <f>VLOOKUP(TrendSheetStgData[Population]&amp;TrendSheetStgData[Trend],Threshold[#All],5,FALSE)</f>
        <v>5</v>
      </c>
      <c r="M1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8" spans="1:13" x14ac:dyDescent="0.25">
      <c r="A1398" t="s">
        <v>111</v>
      </c>
      <c r="B1398" t="s">
        <v>111</v>
      </c>
      <c r="C1398" t="s">
        <v>78</v>
      </c>
      <c r="D1398" s="1" t="s">
        <v>95</v>
      </c>
      <c r="E1398" t="s">
        <v>93</v>
      </c>
      <c r="F1398" t="s">
        <v>25</v>
      </c>
      <c r="G1398">
        <v>14</v>
      </c>
      <c r="H1398">
        <v>183</v>
      </c>
      <c r="I1398" s="5">
        <f>VLOOKUP(TrendSheetStgData[Population]&amp;TrendSheetStgData[Cost Basis]&amp;TrendSheetStgData[Period]&amp;TrendSheetStgData[Trend],TrendSheetPrdData[#All],9,FALSE)</f>
        <v>183</v>
      </c>
      <c r="J1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8" s="5">
        <f>VLOOKUP(TrendSheetStgData[Population]&amp;TrendSheetStgData[Trend],Threshold[#All],4,FALSE)</f>
        <v>10</v>
      </c>
      <c r="L1398" s="5">
        <f>VLOOKUP(TrendSheetStgData[Population]&amp;TrendSheetStgData[Trend],Threshold[#All],5,FALSE)</f>
        <v>5</v>
      </c>
      <c r="M1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9" spans="1:13" x14ac:dyDescent="0.25">
      <c r="A1399" t="s">
        <v>111</v>
      </c>
      <c r="B1399" t="s">
        <v>111</v>
      </c>
      <c r="C1399" t="s">
        <v>78</v>
      </c>
      <c r="D1399" s="1" t="s">
        <v>96</v>
      </c>
      <c r="E1399" t="s">
        <v>93</v>
      </c>
      <c r="F1399" t="s">
        <v>25</v>
      </c>
      <c r="G1399">
        <v>14</v>
      </c>
      <c r="H1399">
        <v>177</v>
      </c>
      <c r="I1399" s="5">
        <f>VLOOKUP(TrendSheetStgData[Population]&amp;TrendSheetStgData[Cost Basis]&amp;TrendSheetStgData[Period]&amp;TrendSheetStgData[Trend],TrendSheetPrdData[#All],9,FALSE)</f>
        <v>177</v>
      </c>
      <c r="J1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9" s="5">
        <f>VLOOKUP(TrendSheetStgData[Population]&amp;TrendSheetStgData[Trend],Threshold[#All],4,FALSE)</f>
        <v>10</v>
      </c>
      <c r="L1399" s="5">
        <f>VLOOKUP(TrendSheetStgData[Population]&amp;TrendSheetStgData[Trend],Threshold[#All],5,FALSE)</f>
        <v>5</v>
      </c>
      <c r="M1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0" spans="1:13" x14ac:dyDescent="0.25">
      <c r="A1400" t="s">
        <v>111</v>
      </c>
      <c r="B1400" t="s">
        <v>111</v>
      </c>
      <c r="C1400" t="s">
        <v>78</v>
      </c>
      <c r="D1400" s="1" t="s">
        <v>97</v>
      </c>
      <c r="E1400" t="s">
        <v>93</v>
      </c>
      <c r="F1400" t="s">
        <v>25</v>
      </c>
      <c r="G1400">
        <v>14</v>
      </c>
      <c r="H1400">
        <v>153</v>
      </c>
      <c r="I1400" s="5">
        <f>VLOOKUP(TrendSheetStgData[Population]&amp;TrendSheetStgData[Cost Basis]&amp;TrendSheetStgData[Period]&amp;TrendSheetStgData[Trend],TrendSheetPrdData[#All],9,FALSE)</f>
        <v>153</v>
      </c>
      <c r="J1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0" s="5">
        <f>VLOOKUP(TrendSheetStgData[Population]&amp;TrendSheetStgData[Trend],Threshold[#All],4,FALSE)</f>
        <v>10</v>
      </c>
      <c r="L1400" s="5">
        <f>VLOOKUP(TrendSheetStgData[Population]&amp;TrendSheetStgData[Trend],Threshold[#All],5,FALSE)</f>
        <v>5</v>
      </c>
      <c r="M1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1" spans="1:13" x14ac:dyDescent="0.25">
      <c r="A1401" t="s">
        <v>111</v>
      </c>
      <c r="B1401" t="s">
        <v>111</v>
      </c>
      <c r="C1401" t="s">
        <v>78</v>
      </c>
      <c r="D1401" s="1" t="s">
        <v>98</v>
      </c>
      <c r="E1401" t="s">
        <v>93</v>
      </c>
      <c r="F1401" t="s">
        <v>25</v>
      </c>
      <c r="G1401">
        <v>14</v>
      </c>
      <c r="H1401">
        <v>154</v>
      </c>
      <c r="I1401" s="5">
        <f>VLOOKUP(TrendSheetStgData[Population]&amp;TrendSheetStgData[Cost Basis]&amp;TrendSheetStgData[Period]&amp;TrendSheetStgData[Trend],TrendSheetPrdData[#All],9,FALSE)</f>
        <v>154</v>
      </c>
      <c r="J1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1" s="5">
        <f>VLOOKUP(TrendSheetStgData[Population]&amp;TrendSheetStgData[Trend],Threshold[#All],4,FALSE)</f>
        <v>10</v>
      </c>
      <c r="L1401" s="5">
        <f>VLOOKUP(TrendSheetStgData[Population]&amp;TrendSheetStgData[Trend],Threshold[#All],5,FALSE)</f>
        <v>5</v>
      </c>
      <c r="M1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2" spans="1:13" x14ac:dyDescent="0.25">
      <c r="A1402" t="s">
        <v>111</v>
      </c>
      <c r="B1402" t="s">
        <v>111</v>
      </c>
      <c r="C1402" t="s">
        <v>78</v>
      </c>
      <c r="D1402" s="1" t="s">
        <v>99</v>
      </c>
      <c r="E1402" t="s">
        <v>93</v>
      </c>
      <c r="F1402" t="s">
        <v>25</v>
      </c>
      <c r="G1402">
        <v>14</v>
      </c>
      <c r="H1402">
        <v>188</v>
      </c>
      <c r="I1402" s="5">
        <f>VLOOKUP(TrendSheetStgData[Population]&amp;TrendSheetStgData[Cost Basis]&amp;TrendSheetStgData[Period]&amp;TrendSheetStgData[Trend],TrendSheetPrdData[#All],9,FALSE)</f>
        <v>188</v>
      </c>
      <c r="J1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2" s="5">
        <f>VLOOKUP(TrendSheetStgData[Population]&amp;TrendSheetStgData[Trend],Threshold[#All],4,FALSE)</f>
        <v>10</v>
      </c>
      <c r="L1402" s="5">
        <f>VLOOKUP(TrendSheetStgData[Population]&amp;TrendSheetStgData[Trend],Threshold[#All],5,FALSE)</f>
        <v>5</v>
      </c>
      <c r="M1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3" spans="1:13" x14ac:dyDescent="0.25">
      <c r="A1403" t="s">
        <v>111</v>
      </c>
      <c r="B1403" t="s">
        <v>111</v>
      </c>
      <c r="C1403" t="s">
        <v>78</v>
      </c>
      <c r="D1403" s="1" t="s">
        <v>100</v>
      </c>
      <c r="E1403" t="s">
        <v>93</v>
      </c>
      <c r="F1403" t="s">
        <v>25</v>
      </c>
      <c r="G1403">
        <v>14</v>
      </c>
      <c r="H1403">
        <v>172</v>
      </c>
      <c r="I1403" s="5">
        <f>VLOOKUP(TrendSheetStgData[Population]&amp;TrendSheetStgData[Cost Basis]&amp;TrendSheetStgData[Period]&amp;TrendSheetStgData[Trend],TrendSheetPrdData[#All],9,FALSE)</f>
        <v>172</v>
      </c>
      <c r="J1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3" s="5">
        <f>VLOOKUP(TrendSheetStgData[Population]&amp;TrendSheetStgData[Trend],Threshold[#All],4,FALSE)</f>
        <v>10</v>
      </c>
      <c r="L1403" s="5">
        <f>VLOOKUP(TrendSheetStgData[Population]&amp;TrendSheetStgData[Trend],Threshold[#All],5,FALSE)</f>
        <v>5</v>
      </c>
      <c r="M1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4" spans="1:13" x14ac:dyDescent="0.25">
      <c r="A1404" t="s">
        <v>111</v>
      </c>
      <c r="B1404" t="s">
        <v>111</v>
      </c>
      <c r="C1404" t="s">
        <v>78</v>
      </c>
      <c r="D1404" s="1" t="s">
        <v>101</v>
      </c>
      <c r="E1404" t="s">
        <v>93</v>
      </c>
      <c r="F1404" t="s">
        <v>25</v>
      </c>
      <c r="G1404">
        <v>14</v>
      </c>
      <c r="H1404">
        <v>171</v>
      </c>
      <c r="I1404" s="5">
        <f>VLOOKUP(TrendSheetStgData[Population]&amp;TrendSheetStgData[Cost Basis]&amp;TrendSheetStgData[Period]&amp;TrendSheetStgData[Trend],TrendSheetPrdData[#All],9,FALSE)</f>
        <v>171</v>
      </c>
      <c r="J1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4" s="5">
        <f>VLOOKUP(TrendSheetStgData[Population]&amp;TrendSheetStgData[Trend],Threshold[#All],4,FALSE)</f>
        <v>10</v>
      </c>
      <c r="L1404" s="5">
        <f>VLOOKUP(TrendSheetStgData[Population]&amp;TrendSheetStgData[Trend],Threshold[#All],5,FALSE)</f>
        <v>5</v>
      </c>
      <c r="M1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5" spans="1:13" x14ac:dyDescent="0.25">
      <c r="A1405" t="s">
        <v>111</v>
      </c>
      <c r="B1405" t="s">
        <v>111</v>
      </c>
      <c r="C1405" t="s">
        <v>78</v>
      </c>
      <c r="D1405" s="1" t="s">
        <v>102</v>
      </c>
      <c r="E1405" t="s">
        <v>93</v>
      </c>
      <c r="F1405" t="s">
        <v>25</v>
      </c>
      <c r="G1405">
        <v>14</v>
      </c>
      <c r="H1405">
        <v>136</v>
      </c>
      <c r="I1405" s="5">
        <f>VLOOKUP(TrendSheetStgData[Population]&amp;TrendSheetStgData[Cost Basis]&amp;TrendSheetStgData[Period]&amp;TrendSheetStgData[Trend],TrendSheetPrdData[#All],9,FALSE)</f>
        <v>136</v>
      </c>
      <c r="J1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5" s="5">
        <f>VLOOKUP(TrendSheetStgData[Population]&amp;TrendSheetStgData[Trend],Threshold[#All],4,FALSE)</f>
        <v>10</v>
      </c>
      <c r="L1405" s="5">
        <f>VLOOKUP(TrendSheetStgData[Population]&amp;TrendSheetStgData[Trend],Threshold[#All],5,FALSE)</f>
        <v>5</v>
      </c>
      <c r="M1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6" spans="1:13" x14ac:dyDescent="0.25">
      <c r="A1406" t="s">
        <v>111</v>
      </c>
      <c r="B1406" t="s">
        <v>111</v>
      </c>
      <c r="C1406" t="s">
        <v>78</v>
      </c>
      <c r="D1406" s="1" t="s">
        <v>103</v>
      </c>
      <c r="E1406" t="s">
        <v>93</v>
      </c>
      <c r="F1406" t="s">
        <v>25</v>
      </c>
      <c r="G1406">
        <v>14</v>
      </c>
      <c r="H1406">
        <v>157</v>
      </c>
      <c r="I1406" s="5">
        <f>VLOOKUP(TrendSheetStgData[Population]&amp;TrendSheetStgData[Cost Basis]&amp;TrendSheetStgData[Period]&amp;TrendSheetStgData[Trend],TrendSheetPrdData[#All],9,FALSE)</f>
        <v>157</v>
      </c>
      <c r="J1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6" s="5">
        <f>VLOOKUP(TrendSheetStgData[Population]&amp;TrendSheetStgData[Trend],Threshold[#All],4,FALSE)</f>
        <v>10</v>
      </c>
      <c r="L1406" s="5">
        <f>VLOOKUP(TrendSheetStgData[Population]&amp;TrendSheetStgData[Trend],Threshold[#All],5,FALSE)</f>
        <v>5</v>
      </c>
      <c r="M1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7" spans="1:13" x14ac:dyDescent="0.25">
      <c r="A1407" t="s">
        <v>111</v>
      </c>
      <c r="B1407" t="s">
        <v>111</v>
      </c>
      <c r="C1407" t="s">
        <v>78</v>
      </c>
      <c r="D1407" s="1" t="s">
        <v>104</v>
      </c>
      <c r="E1407" t="s">
        <v>93</v>
      </c>
      <c r="F1407" t="s">
        <v>25</v>
      </c>
      <c r="G1407">
        <v>14</v>
      </c>
      <c r="H1407">
        <v>156</v>
      </c>
      <c r="I1407" s="5">
        <f>VLOOKUP(TrendSheetStgData[Population]&amp;TrendSheetStgData[Cost Basis]&amp;TrendSheetStgData[Period]&amp;TrendSheetStgData[Trend],TrendSheetPrdData[#All],9,FALSE)</f>
        <v>156</v>
      </c>
      <c r="J1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7" s="5">
        <f>VLOOKUP(TrendSheetStgData[Population]&amp;TrendSheetStgData[Trend],Threshold[#All],4,FALSE)</f>
        <v>10</v>
      </c>
      <c r="L1407" s="5">
        <f>VLOOKUP(TrendSheetStgData[Population]&amp;TrendSheetStgData[Trend],Threshold[#All],5,FALSE)</f>
        <v>5</v>
      </c>
      <c r="M1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8" spans="1:13" x14ac:dyDescent="0.25">
      <c r="A1408" t="s">
        <v>111</v>
      </c>
      <c r="B1408" t="s">
        <v>111</v>
      </c>
      <c r="C1408" t="s">
        <v>78</v>
      </c>
      <c r="D1408" s="1" t="s">
        <v>105</v>
      </c>
      <c r="E1408" t="s">
        <v>108</v>
      </c>
      <c r="F1408" t="s">
        <v>25</v>
      </c>
      <c r="G1408">
        <v>14</v>
      </c>
      <c r="H1408">
        <v>157</v>
      </c>
      <c r="I1408" s="5">
        <f>VLOOKUP(TrendSheetStgData[Population]&amp;TrendSheetStgData[Cost Basis]&amp;TrendSheetStgData[Period]&amp;TrendSheetStgData[Trend],TrendSheetPrdData[#All],9,FALSE)</f>
        <v>157</v>
      </c>
      <c r="J1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8" s="5">
        <f>VLOOKUP(TrendSheetStgData[Population]&amp;TrendSheetStgData[Trend],Threshold[#All],4,FALSE)</f>
        <v>10</v>
      </c>
      <c r="L1408" s="5">
        <f>VLOOKUP(TrendSheetStgData[Population]&amp;TrendSheetStgData[Trend],Threshold[#All],5,FALSE)</f>
        <v>5</v>
      </c>
      <c r="M1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9" spans="1:13" x14ac:dyDescent="0.25">
      <c r="A1409" t="s">
        <v>111</v>
      </c>
      <c r="B1409" t="s">
        <v>111</v>
      </c>
      <c r="C1409" t="s">
        <v>78</v>
      </c>
      <c r="D1409" s="1" t="s">
        <v>106</v>
      </c>
      <c r="E1409" t="s">
        <v>108</v>
      </c>
      <c r="F1409" t="s">
        <v>25</v>
      </c>
      <c r="G1409">
        <v>14</v>
      </c>
      <c r="H1409">
        <v>158</v>
      </c>
      <c r="I1409" s="5">
        <f>VLOOKUP(TrendSheetStgData[Population]&amp;TrendSheetStgData[Cost Basis]&amp;TrendSheetStgData[Period]&amp;TrendSheetStgData[Trend],TrendSheetPrdData[#All],9,FALSE)</f>
        <v>158</v>
      </c>
      <c r="J1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9" s="5">
        <f>VLOOKUP(TrendSheetStgData[Population]&amp;TrendSheetStgData[Trend],Threshold[#All],4,FALSE)</f>
        <v>10</v>
      </c>
      <c r="L1409" s="5">
        <f>VLOOKUP(TrendSheetStgData[Population]&amp;TrendSheetStgData[Trend],Threshold[#All],5,FALSE)</f>
        <v>5</v>
      </c>
      <c r="M1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0" spans="1:13" x14ac:dyDescent="0.25">
      <c r="A1410" t="s">
        <v>111</v>
      </c>
      <c r="B1410" t="s">
        <v>111</v>
      </c>
      <c r="C1410" t="s">
        <v>78</v>
      </c>
      <c r="D1410" s="1" t="s">
        <v>107</v>
      </c>
      <c r="E1410" t="s">
        <v>108</v>
      </c>
      <c r="F1410" t="s">
        <v>25</v>
      </c>
      <c r="G1410">
        <v>14</v>
      </c>
      <c r="H1410">
        <v>142</v>
      </c>
      <c r="I1410" s="5">
        <f>VLOOKUP(TrendSheetStgData[Population]&amp;TrendSheetStgData[Cost Basis]&amp;TrendSheetStgData[Period]&amp;TrendSheetStgData[Trend],TrendSheetPrdData[#All],9,FALSE)</f>
        <v>142</v>
      </c>
      <c r="J1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0" s="5">
        <f>VLOOKUP(TrendSheetStgData[Population]&amp;TrendSheetStgData[Trend],Threshold[#All],4,FALSE)</f>
        <v>10</v>
      </c>
      <c r="L1410" s="5">
        <f>VLOOKUP(TrendSheetStgData[Population]&amp;TrendSheetStgData[Trend],Threshold[#All],5,FALSE)</f>
        <v>5</v>
      </c>
      <c r="M1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1" spans="1:13" x14ac:dyDescent="0.25">
      <c r="A1411" t="s">
        <v>111</v>
      </c>
      <c r="B1411" t="s">
        <v>111</v>
      </c>
      <c r="C1411" t="s">
        <v>78</v>
      </c>
      <c r="D1411" s="1" t="s">
        <v>109</v>
      </c>
      <c r="E1411" t="s">
        <v>108</v>
      </c>
      <c r="F1411" t="s">
        <v>25</v>
      </c>
      <c r="G1411">
        <v>14</v>
      </c>
      <c r="H1411">
        <v>158</v>
      </c>
      <c r="I1411" s="5">
        <f>VLOOKUP(TrendSheetStgData[Population]&amp;TrendSheetStgData[Cost Basis]&amp;TrendSheetStgData[Period]&amp;TrendSheetStgData[Trend],TrendSheetPrdData[#All],9,FALSE)</f>
        <v>158</v>
      </c>
      <c r="J1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1" s="5">
        <f>VLOOKUP(TrendSheetStgData[Population]&amp;TrendSheetStgData[Trend],Threshold[#All],4,FALSE)</f>
        <v>10</v>
      </c>
      <c r="L1411" s="5">
        <f>VLOOKUP(TrendSheetStgData[Population]&amp;TrendSheetStgData[Trend],Threshold[#All],5,FALSE)</f>
        <v>5</v>
      </c>
      <c r="M1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2" spans="1:13" x14ac:dyDescent="0.25">
      <c r="A1412" t="s">
        <v>111</v>
      </c>
      <c r="B1412" t="s">
        <v>111</v>
      </c>
      <c r="C1412" t="s">
        <v>78</v>
      </c>
      <c r="D1412" s="1" t="s">
        <v>110</v>
      </c>
      <c r="E1412" t="s">
        <v>108</v>
      </c>
      <c r="F1412" t="s">
        <v>25</v>
      </c>
      <c r="G1412">
        <v>14</v>
      </c>
      <c r="H1412">
        <v>58</v>
      </c>
      <c r="I1412" s="5">
        <f>VLOOKUP(TrendSheetStgData[Population]&amp;TrendSheetStgData[Cost Basis]&amp;TrendSheetStgData[Period]&amp;TrendSheetStgData[Trend],TrendSheetPrdData[#All],9,FALSE)</f>
        <v>58</v>
      </c>
      <c r="J1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2" s="5">
        <f>VLOOKUP(TrendSheetStgData[Population]&amp;TrendSheetStgData[Trend],Threshold[#All],4,FALSE)</f>
        <v>10</v>
      </c>
      <c r="L1412" s="5">
        <f>VLOOKUP(TrendSheetStgData[Population]&amp;TrendSheetStgData[Trend],Threshold[#All],5,FALSE)</f>
        <v>5</v>
      </c>
      <c r="M1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3" spans="1:13" x14ac:dyDescent="0.25">
      <c r="A1413" t="s">
        <v>111</v>
      </c>
      <c r="B1413" t="s">
        <v>111</v>
      </c>
      <c r="C1413" t="s">
        <v>78</v>
      </c>
      <c r="D1413" s="1" t="s">
        <v>92</v>
      </c>
      <c r="E1413" t="s">
        <v>93</v>
      </c>
      <c r="F1413" t="s">
        <v>26</v>
      </c>
      <c r="G1413">
        <v>15</v>
      </c>
      <c r="H1413">
        <v>200958</v>
      </c>
      <c r="I1413" s="5">
        <f>VLOOKUP(TrendSheetStgData[Population]&amp;TrendSheetStgData[Cost Basis]&amp;TrendSheetStgData[Period]&amp;TrendSheetStgData[Trend],TrendSheetPrdData[#All],9,FALSE)</f>
        <v>200958</v>
      </c>
      <c r="J1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3" s="5">
        <f>VLOOKUP(TrendSheetStgData[Population]&amp;TrendSheetStgData[Trend],Threshold[#All],4,FALSE)</f>
        <v>10</v>
      </c>
      <c r="L1413" s="5">
        <f>VLOOKUP(TrendSheetStgData[Population]&amp;TrendSheetStgData[Trend],Threshold[#All],5,FALSE)</f>
        <v>5</v>
      </c>
      <c r="M1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4" spans="1:13" x14ac:dyDescent="0.25">
      <c r="A1414" t="s">
        <v>111</v>
      </c>
      <c r="B1414" t="s">
        <v>111</v>
      </c>
      <c r="C1414" t="s">
        <v>78</v>
      </c>
      <c r="D1414" s="1" t="s">
        <v>94</v>
      </c>
      <c r="E1414" t="s">
        <v>93</v>
      </c>
      <c r="F1414" t="s">
        <v>26</v>
      </c>
      <c r="G1414">
        <v>15</v>
      </c>
      <c r="H1414">
        <v>214084</v>
      </c>
      <c r="I1414" s="5">
        <f>VLOOKUP(TrendSheetStgData[Population]&amp;TrendSheetStgData[Cost Basis]&amp;TrendSheetStgData[Period]&amp;TrendSheetStgData[Trend],TrendSheetPrdData[#All],9,FALSE)</f>
        <v>214084</v>
      </c>
      <c r="J1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4" s="5">
        <f>VLOOKUP(TrendSheetStgData[Population]&amp;TrendSheetStgData[Trend],Threshold[#All],4,FALSE)</f>
        <v>10</v>
      </c>
      <c r="L1414" s="5">
        <f>VLOOKUP(TrendSheetStgData[Population]&amp;TrendSheetStgData[Trend],Threshold[#All],5,FALSE)</f>
        <v>5</v>
      </c>
      <c r="M1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5" spans="1:13" x14ac:dyDescent="0.25">
      <c r="A1415" t="s">
        <v>111</v>
      </c>
      <c r="B1415" t="s">
        <v>111</v>
      </c>
      <c r="C1415" t="s">
        <v>78</v>
      </c>
      <c r="D1415" s="1" t="s">
        <v>95</v>
      </c>
      <c r="E1415" t="s">
        <v>93</v>
      </c>
      <c r="F1415" t="s">
        <v>26</v>
      </c>
      <c r="G1415">
        <v>15</v>
      </c>
      <c r="H1415">
        <v>152481</v>
      </c>
      <c r="I1415" s="5">
        <f>VLOOKUP(TrendSheetStgData[Population]&amp;TrendSheetStgData[Cost Basis]&amp;TrendSheetStgData[Period]&amp;TrendSheetStgData[Trend],TrendSheetPrdData[#All],9,FALSE)</f>
        <v>152481</v>
      </c>
      <c r="J1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5" s="5">
        <f>VLOOKUP(TrendSheetStgData[Population]&amp;TrendSheetStgData[Trend],Threshold[#All],4,FALSE)</f>
        <v>10</v>
      </c>
      <c r="L1415" s="5">
        <f>VLOOKUP(TrendSheetStgData[Population]&amp;TrendSheetStgData[Trend],Threshold[#All],5,FALSE)</f>
        <v>5</v>
      </c>
      <c r="M1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6" spans="1:13" x14ac:dyDescent="0.25">
      <c r="A1416" t="s">
        <v>111</v>
      </c>
      <c r="B1416" t="s">
        <v>111</v>
      </c>
      <c r="C1416" t="s">
        <v>78</v>
      </c>
      <c r="D1416" s="1" t="s">
        <v>96</v>
      </c>
      <c r="E1416" t="s">
        <v>93</v>
      </c>
      <c r="F1416" t="s">
        <v>26</v>
      </c>
      <c r="G1416">
        <v>15</v>
      </c>
      <c r="H1416">
        <v>209278</v>
      </c>
      <c r="I1416" s="5">
        <f>VLOOKUP(TrendSheetStgData[Population]&amp;TrendSheetStgData[Cost Basis]&amp;TrendSheetStgData[Period]&amp;TrendSheetStgData[Trend],TrendSheetPrdData[#All],9,FALSE)</f>
        <v>209278</v>
      </c>
      <c r="J1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6" s="5">
        <f>VLOOKUP(TrendSheetStgData[Population]&amp;TrendSheetStgData[Trend],Threshold[#All],4,FALSE)</f>
        <v>10</v>
      </c>
      <c r="L1416" s="5">
        <f>VLOOKUP(TrendSheetStgData[Population]&amp;TrendSheetStgData[Trend],Threshold[#All],5,FALSE)</f>
        <v>5</v>
      </c>
      <c r="M1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7" spans="1:13" x14ac:dyDescent="0.25">
      <c r="A1417" t="s">
        <v>111</v>
      </c>
      <c r="B1417" t="s">
        <v>111</v>
      </c>
      <c r="C1417" t="s">
        <v>78</v>
      </c>
      <c r="D1417" s="1" t="s">
        <v>97</v>
      </c>
      <c r="E1417" t="s">
        <v>93</v>
      </c>
      <c r="F1417" t="s">
        <v>26</v>
      </c>
      <c r="G1417">
        <v>15</v>
      </c>
      <c r="H1417">
        <v>192806</v>
      </c>
      <c r="I1417" s="5">
        <f>VLOOKUP(TrendSheetStgData[Population]&amp;TrendSheetStgData[Cost Basis]&amp;TrendSheetStgData[Period]&amp;TrendSheetStgData[Trend],TrendSheetPrdData[#All],9,FALSE)</f>
        <v>192806</v>
      </c>
      <c r="J1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7" s="5">
        <f>VLOOKUP(TrendSheetStgData[Population]&amp;TrendSheetStgData[Trend],Threshold[#All],4,FALSE)</f>
        <v>10</v>
      </c>
      <c r="L1417" s="5">
        <f>VLOOKUP(TrendSheetStgData[Population]&amp;TrendSheetStgData[Trend],Threshold[#All],5,FALSE)</f>
        <v>5</v>
      </c>
      <c r="M1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8" spans="1:13" x14ac:dyDescent="0.25">
      <c r="A1418" t="s">
        <v>111</v>
      </c>
      <c r="B1418" t="s">
        <v>111</v>
      </c>
      <c r="C1418" t="s">
        <v>78</v>
      </c>
      <c r="D1418" s="1" t="s">
        <v>98</v>
      </c>
      <c r="E1418" t="s">
        <v>93</v>
      </c>
      <c r="F1418" t="s">
        <v>26</v>
      </c>
      <c r="G1418">
        <v>15</v>
      </c>
      <c r="H1418">
        <v>131425</v>
      </c>
      <c r="I1418" s="5">
        <f>VLOOKUP(TrendSheetStgData[Population]&amp;TrendSheetStgData[Cost Basis]&amp;TrendSheetStgData[Period]&amp;TrendSheetStgData[Trend],TrendSheetPrdData[#All],9,FALSE)</f>
        <v>131425</v>
      </c>
      <c r="J1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8" s="5">
        <f>VLOOKUP(TrendSheetStgData[Population]&amp;TrendSheetStgData[Trend],Threshold[#All],4,FALSE)</f>
        <v>10</v>
      </c>
      <c r="L1418" s="5">
        <f>VLOOKUP(TrendSheetStgData[Population]&amp;TrendSheetStgData[Trend],Threshold[#All],5,FALSE)</f>
        <v>5</v>
      </c>
      <c r="M1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9" spans="1:13" x14ac:dyDescent="0.25">
      <c r="A1419" t="s">
        <v>111</v>
      </c>
      <c r="B1419" t="s">
        <v>111</v>
      </c>
      <c r="C1419" t="s">
        <v>78</v>
      </c>
      <c r="D1419" s="1" t="s">
        <v>99</v>
      </c>
      <c r="E1419" t="s">
        <v>93</v>
      </c>
      <c r="F1419" t="s">
        <v>26</v>
      </c>
      <c r="G1419">
        <v>15</v>
      </c>
      <c r="H1419">
        <v>155137</v>
      </c>
      <c r="I1419" s="5">
        <f>VLOOKUP(TrendSheetStgData[Population]&amp;TrendSheetStgData[Cost Basis]&amp;TrendSheetStgData[Period]&amp;TrendSheetStgData[Trend],TrendSheetPrdData[#All],9,FALSE)</f>
        <v>155137</v>
      </c>
      <c r="J1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9" s="5">
        <f>VLOOKUP(TrendSheetStgData[Population]&amp;TrendSheetStgData[Trend],Threshold[#All],4,FALSE)</f>
        <v>10</v>
      </c>
      <c r="L1419" s="5">
        <f>VLOOKUP(TrendSheetStgData[Population]&amp;TrendSheetStgData[Trend],Threshold[#All],5,FALSE)</f>
        <v>5</v>
      </c>
      <c r="M1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0" spans="1:13" x14ac:dyDescent="0.25">
      <c r="A1420" t="s">
        <v>111</v>
      </c>
      <c r="B1420" t="s">
        <v>111</v>
      </c>
      <c r="C1420" t="s">
        <v>78</v>
      </c>
      <c r="D1420" s="1" t="s">
        <v>100</v>
      </c>
      <c r="E1420" t="s">
        <v>93</v>
      </c>
      <c r="F1420" t="s">
        <v>26</v>
      </c>
      <c r="G1420">
        <v>15</v>
      </c>
      <c r="H1420">
        <v>193876</v>
      </c>
      <c r="I1420" s="5">
        <f>VLOOKUP(TrendSheetStgData[Population]&amp;TrendSheetStgData[Cost Basis]&amp;TrendSheetStgData[Period]&amp;TrendSheetStgData[Trend],TrendSheetPrdData[#All],9,FALSE)</f>
        <v>193876</v>
      </c>
      <c r="J1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0" s="5">
        <f>VLOOKUP(TrendSheetStgData[Population]&amp;TrendSheetStgData[Trend],Threshold[#All],4,FALSE)</f>
        <v>10</v>
      </c>
      <c r="L1420" s="5">
        <f>VLOOKUP(TrendSheetStgData[Population]&amp;TrendSheetStgData[Trend],Threshold[#All],5,FALSE)</f>
        <v>5</v>
      </c>
      <c r="M1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1" spans="1:13" x14ac:dyDescent="0.25">
      <c r="A1421" t="s">
        <v>111</v>
      </c>
      <c r="B1421" t="s">
        <v>111</v>
      </c>
      <c r="C1421" t="s">
        <v>78</v>
      </c>
      <c r="D1421" s="1" t="s">
        <v>101</v>
      </c>
      <c r="E1421" t="s">
        <v>93</v>
      </c>
      <c r="F1421" t="s">
        <v>26</v>
      </c>
      <c r="G1421">
        <v>15</v>
      </c>
      <c r="H1421">
        <v>153485</v>
      </c>
      <c r="I1421" s="5">
        <f>VLOOKUP(TrendSheetStgData[Population]&amp;TrendSheetStgData[Cost Basis]&amp;TrendSheetStgData[Period]&amp;TrendSheetStgData[Trend],TrendSheetPrdData[#All],9,FALSE)</f>
        <v>153485</v>
      </c>
      <c r="J1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1" s="5">
        <f>VLOOKUP(TrendSheetStgData[Population]&amp;TrendSheetStgData[Trend],Threshold[#All],4,FALSE)</f>
        <v>10</v>
      </c>
      <c r="L1421" s="5">
        <f>VLOOKUP(TrendSheetStgData[Population]&amp;TrendSheetStgData[Trend],Threshold[#All],5,FALSE)</f>
        <v>5</v>
      </c>
      <c r="M1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2" spans="1:13" x14ac:dyDescent="0.25">
      <c r="A1422" t="s">
        <v>111</v>
      </c>
      <c r="B1422" t="s">
        <v>111</v>
      </c>
      <c r="C1422" t="s">
        <v>78</v>
      </c>
      <c r="D1422" s="1" t="s">
        <v>102</v>
      </c>
      <c r="E1422" t="s">
        <v>93</v>
      </c>
      <c r="F1422" t="s">
        <v>26</v>
      </c>
      <c r="G1422">
        <v>15</v>
      </c>
      <c r="H1422">
        <v>166028</v>
      </c>
      <c r="I1422" s="5">
        <f>VLOOKUP(TrendSheetStgData[Population]&amp;TrendSheetStgData[Cost Basis]&amp;TrendSheetStgData[Period]&amp;TrendSheetStgData[Trend],TrendSheetPrdData[#All],9,FALSE)</f>
        <v>166028</v>
      </c>
      <c r="J1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2" s="5">
        <f>VLOOKUP(TrendSheetStgData[Population]&amp;TrendSheetStgData[Trend],Threshold[#All],4,FALSE)</f>
        <v>10</v>
      </c>
      <c r="L1422" s="5">
        <f>VLOOKUP(TrendSheetStgData[Population]&amp;TrendSheetStgData[Trend],Threshold[#All],5,FALSE)</f>
        <v>5</v>
      </c>
      <c r="M1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3" spans="1:13" x14ac:dyDescent="0.25">
      <c r="A1423" t="s">
        <v>111</v>
      </c>
      <c r="B1423" t="s">
        <v>111</v>
      </c>
      <c r="C1423" t="s">
        <v>78</v>
      </c>
      <c r="D1423" s="1" t="s">
        <v>103</v>
      </c>
      <c r="E1423" t="s">
        <v>93</v>
      </c>
      <c r="F1423" t="s">
        <v>26</v>
      </c>
      <c r="G1423">
        <v>15</v>
      </c>
      <c r="H1423">
        <v>206680</v>
      </c>
      <c r="I1423" s="5">
        <f>VLOOKUP(TrendSheetStgData[Population]&amp;TrendSheetStgData[Cost Basis]&amp;TrendSheetStgData[Period]&amp;TrendSheetStgData[Trend],TrendSheetPrdData[#All],9,FALSE)</f>
        <v>206680</v>
      </c>
      <c r="J1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3" s="5">
        <f>VLOOKUP(TrendSheetStgData[Population]&amp;TrendSheetStgData[Trend],Threshold[#All],4,FALSE)</f>
        <v>10</v>
      </c>
      <c r="L1423" s="5">
        <f>VLOOKUP(TrendSheetStgData[Population]&amp;TrendSheetStgData[Trend],Threshold[#All],5,FALSE)</f>
        <v>5</v>
      </c>
      <c r="M1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4" spans="1:13" x14ac:dyDescent="0.25">
      <c r="A1424" t="s">
        <v>111</v>
      </c>
      <c r="B1424" t="s">
        <v>111</v>
      </c>
      <c r="C1424" t="s">
        <v>78</v>
      </c>
      <c r="D1424" s="1" t="s">
        <v>104</v>
      </c>
      <c r="E1424" t="s">
        <v>93</v>
      </c>
      <c r="F1424" t="s">
        <v>26</v>
      </c>
      <c r="G1424">
        <v>15</v>
      </c>
      <c r="H1424">
        <v>156648</v>
      </c>
      <c r="I1424" s="5">
        <f>VLOOKUP(TrendSheetStgData[Population]&amp;TrendSheetStgData[Cost Basis]&amp;TrendSheetStgData[Period]&amp;TrendSheetStgData[Trend],TrendSheetPrdData[#All],9,FALSE)</f>
        <v>156648</v>
      </c>
      <c r="J1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4" s="5">
        <f>VLOOKUP(TrendSheetStgData[Population]&amp;TrendSheetStgData[Trend],Threshold[#All],4,FALSE)</f>
        <v>10</v>
      </c>
      <c r="L1424" s="5">
        <f>VLOOKUP(TrendSheetStgData[Population]&amp;TrendSheetStgData[Trend],Threshold[#All],5,FALSE)</f>
        <v>5</v>
      </c>
      <c r="M1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5" spans="1:13" x14ac:dyDescent="0.25">
      <c r="A1425" t="s">
        <v>111</v>
      </c>
      <c r="B1425" t="s">
        <v>111</v>
      </c>
      <c r="C1425" t="s">
        <v>78</v>
      </c>
      <c r="D1425" s="1" t="s">
        <v>105</v>
      </c>
      <c r="E1425" t="s">
        <v>108</v>
      </c>
      <c r="F1425" t="s">
        <v>26</v>
      </c>
      <c r="G1425">
        <v>15</v>
      </c>
      <c r="H1425">
        <v>195963</v>
      </c>
      <c r="I1425" s="5">
        <f>VLOOKUP(TrendSheetStgData[Population]&amp;TrendSheetStgData[Cost Basis]&amp;TrendSheetStgData[Period]&amp;TrendSheetStgData[Trend],TrendSheetPrdData[#All],9,FALSE)</f>
        <v>195963</v>
      </c>
      <c r="J1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5" s="5">
        <f>VLOOKUP(TrendSheetStgData[Population]&amp;TrendSheetStgData[Trend],Threshold[#All],4,FALSE)</f>
        <v>10</v>
      </c>
      <c r="L1425" s="5">
        <f>VLOOKUP(TrendSheetStgData[Population]&amp;TrendSheetStgData[Trend],Threshold[#All],5,FALSE)</f>
        <v>5</v>
      </c>
      <c r="M1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6" spans="1:13" x14ac:dyDescent="0.25">
      <c r="A1426" t="s">
        <v>111</v>
      </c>
      <c r="B1426" t="s">
        <v>111</v>
      </c>
      <c r="C1426" t="s">
        <v>78</v>
      </c>
      <c r="D1426" s="1" t="s">
        <v>106</v>
      </c>
      <c r="E1426" t="s">
        <v>108</v>
      </c>
      <c r="F1426" t="s">
        <v>26</v>
      </c>
      <c r="G1426">
        <v>15</v>
      </c>
      <c r="H1426">
        <v>163182</v>
      </c>
      <c r="I1426" s="5">
        <f>VLOOKUP(TrendSheetStgData[Population]&amp;TrendSheetStgData[Cost Basis]&amp;TrendSheetStgData[Period]&amp;TrendSheetStgData[Trend],TrendSheetPrdData[#All],9,FALSE)</f>
        <v>163182</v>
      </c>
      <c r="J1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6" s="5">
        <f>VLOOKUP(TrendSheetStgData[Population]&amp;TrendSheetStgData[Trend],Threshold[#All],4,FALSE)</f>
        <v>10</v>
      </c>
      <c r="L1426" s="5">
        <f>VLOOKUP(TrendSheetStgData[Population]&amp;TrendSheetStgData[Trend],Threshold[#All],5,FALSE)</f>
        <v>5</v>
      </c>
      <c r="M1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7" spans="1:13" x14ac:dyDescent="0.25">
      <c r="A1427" t="s">
        <v>111</v>
      </c>
      <c r="B1427" t="s">
        <v>111</v>
      </c>
      <c r="C1427" t="s">
        <v>78</v>
      </c>
      <c r="D1427" s="1" t="s">
        <v>107</v>
      </c>
      <c r="E1427" t="s">
        <v>108</v>
      </c>
      <c r="F1427" t="s">
        <v>26</v>
      </c>
      <c r="G1427">
        <v>15</v>
      </c>
      <c r="H1427">
        <v>177889</v>
      </c>
      <c r="I1427" s="5">
        <f>VLOOKUP(TrendSheetStgData[Population]&amp;TrendSheetStgData[Cost Basis]&amp;TrendSheetStgData[Period]&amp;TrendSheetStgData[Trend],TrendSheetPrdData[#All],9,FALSE)</f>
        <v>177889</v>
      </c>
      <c r="J1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7" s="5">
        <f>VLOOKUP(TrendSheetStgData[Population]&amp;TrendSheetStgData[Trend],Threshold[#All],4,FALSE)</f>
        <v>10</v>
      </c>
      <c r="L1427" s="5">
        <f>VLOOKUP(TrendSheetStgData[Population]&amp;TrendSheetStgData[Trend],Threshold[#All],5,FALSE)</f>
        <v>5</v>
      </c>
      <c r="M1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8" spans="1:13" x14ac:dyDescent="0.25">
      <c r="A1428" t="s">
        <v>111</v>
      </c>
      <c r="B1428" t="s">
        <v>111</v>
      </c>
      <c r="C1428" t="s">
        <v>78</v>
      </c>
      <c r="D1428" s="1" t="s">
        <v>109</v>
      </c>
      <c r="E1428" t="s">
        <v>108</v>
      </c>
      <c r="F1428" t="s">
        <v>26</v>
      </c>
      <c r="G1428">
        <v>15</v>
      </c>
      <c r="H1428">
        <v>146351</v>
      </c>
      <c r="I1428" s="5">
        <f>VLOOKUP(TrendSheetStgData[Population]&amp;TrendSheetStgData[Cost Basis]&amp;TrendSheetStgData[Period]&amp;TrendSheetStgData[Trend],TrendSheetPrdData[#All],9,FALSE)</f>
        <v>146351</v>
      </c>
      <c r="J1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8" s="5">
        <f>VLOOKUP(TrendSheetStgData[Population]&amp;TrendSheetStgData[Trend],Threshold[#All],4,FALSE)</f>
        <v>10</v>
      </c>
      <c r="L1428" s="5">
        <f>VLOOKUP(TrendSheetStgData[Population]&amp;TrendSheetStgData[Trend],Threshold[#All],5,FALSE)</f>
        <v>5</v>
      </c>
      <c r="M1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9" spans="1:13" x14ac:dyDescent="0.25">
      <c r="A1429" t="s">
        <v>111</v>
      </c>
      <c r="B1429" t="s">
        <v>111</v>
      </c>
      <c r="C1429" t="s">
        <v>78</v>
      </c>
      <c r="D1429" s="1" t="s">
        <v>110</v>
      </c>
      <c r="E1429" t="s">
        <v>108</v>
      </c>
      <c r="F1429" t="s">
        <v>26</v>
      </c>
      <c r="G1429">
        <v>15</v>
      </c>
      <c r="H1429">
        <v>202904</v>
      </c>
      <c r="I1429" s="5">
        <f>VLOOKUP(TrendSheetStgData[Population]&amp;TrendSheetStgData[Cost Basis]&amp;TrendSheetStgData[Period]&amp;TrendSheetStgData[Trend],TrendSheetPrdData[#All],9,FALSE)</f>
        <v>202904</v>
      </c>
      <c r="J1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9" s="5">
        <f>VLOOKUP(TrendSheetStgData[Population]&amp;TrendSheetStgData[Trend],Threshold[#All],4,FALSE)</f>
        <v>10</v>
      </c>
      <c r="L1429" s="5">
        <f>VLOOKUP(TrendSheetStgData[Population]&amp;TrendSheetStgData[Trend],Threshold[#All],5,FALSE)</f>
        <v>5</v>
      </c>
      <c r="M1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0" spans="1:13" x14ac:dyDescent="0.25">
      <c r="A1430" t="s">
        <v>111</v>
      </c>
      <c r="B1430" t="s">
        <v>111</v>
      </c>
      <c r="C1430" t="s">
        <v>78</v>
      </c>
      <c r="D1430" s="1" t="s">
        <v>92</v>
      </c>
      <c r="E1430" t="s">
        <v>93</v>
      </c>
      <c r="F1430" t="s">
        <v>27</v>
      </c>
      <c r="G1430">
        <v>16</v>
      </c>
      <c r="H1430">
        <v>0.84</v>
      </c>
      <c r="I1430" s="5">
        <f>VLOOKUP(TrendSheetStgData[Population]&amp;TrendSheetStgData[Cost Basis]&amp;TrendSheetStgData[Period]&amp;TrendSheetStgData[Trend],TrendSheetPrdData[#All],9,FALSE)</f>
        <v>0.84</v>
      </c>
      <c r="J1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0" s="5">
        <f>VLOOKUP(TrendSheetStgData[Population]&amp;TrendSheetStgData[Trend],Threshold[#All],4,FALSE)</f>
        <v>10</v>
      </c>
      <c r="L1430" s="5">
        <f>VLOOKUP(TrendSheetStgData[Population]&amp;TrendSheetStgData[Trend],Threshold[#All],5,FALSE)</f>
        <v>5</v>
      </c>
      <c r="M1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1" spans="1:13" x14ac:dyDescent="0.25">
      <c r="A1431" t="s">
        <v>111</v>
      </c>
      <c r="B1431" t="s">
        <v>111</v>
      </c>
      <c r="C1431" t="s">
        <v>78</v>
      </c>
      <c r="D1431" s="1" t="s">
        <v>94</v>
      </c>
      <c r="E1431" t="s">
        <v>93</v>
      </c>
      <c r="F1431" t="s">
        <v>27</v>
      </c>
      <c r="G1431">
        <v>16</v>
      </c>
      <c r="H1431">
        <v>0.86</v>
      </c>
      <c r="I1431" s="5">
        <f>VLOOKUP(TrendSheetStgData[Population]&amp;TrendSheetStgData[Cost Basis]&amp;TrendSheetStgData[Period]&amp;TrendSheetStgData[Trend],TrendSheetPrdData[#All],9,FALSE)</f>
        <v>0.86</v>
      </c>
      <c r="J1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1" s="5">
        <f>VLOOKUP(TrendSheetStgData[Population]&amp;TrendSheetStgData[Trend],Threshold[#All],4,FALSE)</f>
        <v>10</v>
      </c>
      <c r="L1431" s="5">
        <f>VLOOKUP(TrendSheetStgData[Population]&amp;TrendSheetStgData[Trend],Threshold[#All],5,FALSE)</f>
        <v>5</v>
      </c>
      <c r="M1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2" spans="1:13" x14ac:dyDescent="0.25">
      <c r="A1432" t="s">
        <v>111</v>
      </c>
      <c r="B1432" t="s">
        <v>111</v>
      </c>
      <c r="C1432" t="s">
        <v>78</v>
      </c>
      <c r="D1432" s="1" t="s">
        <v>95</v>
      </c>
      <c r="E1432" t="s">
        <v>93</v>
      </c>
      <c r="F1432" t="s">
        <v>27</v>
      </c>
      <c r="G1432">
        <v>16</v>
      </c>
      <c r="H1432">
        <v>0.86</v>
      </c>
      <c r="I1432" s="5">
        <f>VLOOKUP(TrendSheetStgData[Population]&amp;TrendSheetStgData[Cost Basis]&amp;TrendSheetStgData[Period]&amp;TrendSheetStgData[Trend],TrendSheetPrdData[#All],9,FALSE)</f>
        <v>0.86</v>
      </c>
      <c r="J1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2" s="5">
        <f>VLOOKUP(TrendSheetStgData[Population]&amp;TrendSheetStgData[Trend],Threshold[#All],4,FALSE)</f>
        <v>10</v>
      </c>
      <c r="L1432" s="5">
        <f>VLOOKUP(TrendSheetStgData[Population]&amp;TrendSheetStgData[Trend],Threshold[#All],5,FALSE)</f>
        <v>5</v>
      </c>
      <c r="M1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3" spans="1:13" x14ac:dyDescent="0.25">
      <c r="A1433" t="s">
        <v>111</v>
      </c>
      <c r="B1433" t="s">
        <v>111</v>
      </c>
      <c r="C1433" t="s">
        <v>78</v>
      </c>
      <c r="D1433" s="1" t="s">
        <v>96</v>
      </c>
      <c r="E1433" t="s">
        <v>93</v>
      </c>
      <c r="F1433" t="s">
        <v>27</v>
      </c>
      <c r="G1433">
        <v>16</v>
      </c>
      <c r="H1433">
        <v>0.84</v>
      </c>
      <c r="I1433" s="5">
        <f>VLOOKUP(TrendSheetStgData[Population]&amp;TrendSheetStgData[Cost Basis]&amp;TrendSheetStgData[Period]&amp;TrendSheetStgData[Trend],TrendSheetPrdData[#All],9,FALSE)</f>
        <v>0.84</v>
      </c>
      <c r="J1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3" s="5">
        <f>VLOOKUP(TrendSheetStgData[Population]&amp;TrendSheetStgData[Trend],Threshold[#All],4,FALSE)</f>
        <v>10</v>
      </c>
      <c r="L1433" s="5">
        <f>VLOOKUP(TrendSheetStgData[Population]&amp;TrendSheetStgData[Trend],Threshold[#All],5,FALSE)</f>
        <v>5</v>
      </c>
      <c r="M1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4" spans="1:13" x14ac:dyDescent="0.25">
      <c r="A1434" t="s">
        <v>111</v>
      </c>
      <c r="B1434" t="s">
        <v>111</v>
      </c>
      <c r="C1434" t="s">
        <v>78</v>
      </c>
      <c r="D1434" s="1" t="s">
        <v>97</v>
      </c>
      <c r="E1434" t="s">
        <v>93</v>
      </c>
      <c r="F1434" t="s">
        <v>27</v>
      </c>
      <c r="G1434">
        <v>16</v>
      </c>
      <c r="H1434">
        <v>0.87</v>
      </c>
      <c r="I1434" s="5">
        <f>VLOOKUP(TrendSheetStgData[Population]&amp;TrendSheetStgData[Cost Basis]&amp;TrendSheetStgData[Period]&amp;TrendSheetStgData[Trend],TrendSheetPrdData[#All],9,FALSE)</f>
        <v>0.87</v>
      </c>
      <c r="J1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4" s="5">
        <f>VLOOKUP(TrendSheetStgData[Population]&amp;TrendSheetStgData[Trend],Threshold[#All],4,FALSE)</f>
        <v>10</v>
      </c>
      <c r="L1434" s="5">
        <f>VLOOKUP(TrendSheetStgData[Population]&amp;TrendSheetStgData[Trend],Threshold[#All],5,FALSE)</f>
        <v>5</v>
      </c>
      <c r="M1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5" spans="1:13" x14ac:dyDescent="0.25">
      <c r="A1435" t="s">
        <v>111</v>
      </c>
      <c r="B1435" t="s">
        <v>111</v>
      </c>
      <c r="C1435" t="s">
        <v>78</v>
      </c>
      <c r="D1435" s="1" t="s">
        <v>98</v>
      </c>
      <c r="E1435" t="s">
        <v>93</v>
      </c>
      <c r="F1435" t="s">
        <v>27</v>
      </c>
      <c r="G1435">
        <v>16</v>
      </c>
      <c r="H1435">
        <v>0.88</v>
      </c>
      <c r="I1435" s="5">
        <f>VLOOKUP(TrendSheetStgData[Population]&amp;TrendSheetStgData[Cost Basis]&amp;TrendSheetStgData[Period]&amp;TrendSheetStgData[Trend],TrendSheetPrdData[#All],9,FALSE)</f>
        <v>0.88</v>
      </c>
      <c r="J1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5" s="5">
        <f>VLOOKUP(TrendSheetStgData[Population]&amp;TrendSheetStgData[Trend],Threshold[#All],4,FALSE)</f>
        <v>10</v>
      </c>
      <c r="L1435" s="5">
        <f>VLOOKUP(TrendSheetStgData[Population]&amp;TrendSheetStgData[Trend],Threshold[#All],5,FALSE)</f>
        <v>5</v>
      </c>
      <c r="M1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6" spans="1:13" x14ac:dyDescent="0.25">
      <c r="A1436" t="s">
        <v>111</v>
      </c>
      <c r="B1436" t="s">
        <v>111</v>
      </c>
      <c r="C1436" t="s">
        <v>78</v>
      </c>
      <c r="D1436" s="1" t="s">
        <v>99</v>
      </c>
      <c r="E1436" t="s">
        <v>93</v>
      </c>
      <c r="F1436" t="s">
        <v>27</v>
      </c>
      <c r="G1436">
        <v>16</v>
      </c>
      <c r="H1436">
        <v>0.87</v>
      </c>
      <c r="I1436" s="5">
        <f>VLOOKUP(TrendSheetStgData[Population]&amp;TrendSheetStgData[Cost Basis]&amp;TrendSheetStgData[Period]&amp;TrendSheetStgData[Trend],TrendSheetPrdData[#All],9,FALSE)</f>
        <v>0.87</v>
      </c>
      <c r="J1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6" s="5">
        <f>VLOOKUP(TrendSheetStgData[Population]&amp;TrendSheetStgData[Trend],Threshold[#All],4,FALSE)</f>
        <v>10</v>
      </c>
      <c r="L1436" s="5">
        <f>VLOOKUP(TrendSheetStgData[Population]&amp;TrendSheetStgData[Trend],Threshold[#All],5,FALSE)</f>
        <v>5</v>
      </c>
      <c r="M1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7" spans="1:13" x14ac:dyDescent="0.25">
      <c r="A1437" t="s">
        <v>111</v>
      </c>
      <c r="B1437" t="s">
        <v>111</v>
      </c>
      <c r="C1437" t="s">
        <v>78</v>
      </c>
      <c r="D1437" s="1" t="s">
        <v>100</v>
      </c>
      <c r="E1437" t="s">
        <v>93</v>
      </c>
      <c r="F1437" t="s">
        <v>27</v>
      </c>
      <c r="G1437">
        <v>16</v>
      </c>
      <c r="H1437">
        <v>0.84</v>
      </c>
      <c r="I1437" s="5">
        <f>VLOOKUP(TrendSheetStgData[Population]&amp;TrendSheetStgData[Cost Basis]&amp;TrendSheetStgData[Period]&amp;TrendSheetStgData[Trend],TrendSheetPrdData[#All],9,FALSE)</f>
        <v>0.84</v>
      </c>
      <c r="J1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7" s="5">
        <f>VLOOKUP(TrendSheetStgData[Population]&amp;TrendSheetStgData[Trend],Threshold[#All],4,FALSE)</f>
        <v>10</v>
      </c>
      <c r="L1437" s="5">
        <f>VLOOKUP(TrendSheetStgData[Population]&amp;TrendSheetStgData[Trend],Threshold[#All],5,FALSE)</f>
        <v>5</v>
      </c>
      <c r="M1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8" spans="1:13" x14ac:dyDescent="0.25">
      <c r="A1438" t="s">
        <v>111</v>
      </c>
      <c r="B1438" t="s">
        <v>111</v>
      </c>
      <c r="C1438" t="s">
        <v>78</v>
      </c>
      <c r="D1438" s="1" t="s">
        <v>101</v>
      </c>
      <c r="E1438" t="s">
        <v>93</v>
      </c>
      <c r="F1438" t="s">
        <v>27</v>
      </c>
      <c r="G1438">
        <v>16</v>
      </c>
      <c r="H1438">
        <v>0.86</v>
      </c>
      <c r="I1438" s="5">
        <f>VLOOKUP(TrendSheetStgData[Population]&amp;TrendSheetStgData[Cost Basis]&amp;TrendSheetStgData[Period]&amp;TrendSheetStgData[Trend],TrendSheetPrdData[#All],9,FALSE)</f>
        <v>0.86</v>
      </c>
      <c r="J1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8" s="5">
        <f>VLOOKUP(TrendSheetStgData[Population]&amp;TrendSheetStgData[Trend],Threshold[#All],4,FALSE)</f>
        <v>10</v>
      </c>
      <c r="L1438" s="5">
        <f>VLOOKUP(TrendSheetStgData[Population]&amp;TrendSheetStgData[Trend],Threshold[#All],5,FALSE)</f>
        <v>5</v>
      </c>
      <c r="M1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9" spans="1:13" x14ac:dyDescent="0.25">
      <c r="A1439" t="s">
        <v>111</v>
      </c>
      <c r="B1439" t="s">
        <v>111</v>
      </c>
      <c r="C1439" t="s">
        <v>78</v>
      </c>
      <c r="D1439" s="1" t="s">
        <v>102</v>
      </c>
      <c r="E1439" t="s">
        <v>93</v>
      </c>
      <c r="F1439" t="s">
        <v>27</v>
      </c>
      <c r="G1439">
        <v>16</v>
      </c>
      <c r="H1439">
        <v>0.85</v>
      </c>
      <c r="I1439" s="5">
        <f>VLOOKUP(TrendSheetStgData[Population]&amp;TrendSheetStgData[Cost Basis]&amp;TrendSheetStgData[Period]&amp;TrendSheetStgData[Trend],TrendSheetPrdData[#All],9,FALSE)</f>
        <v>0.85</v>
      </c>
      <c r="J1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9" s="5">
        <f>VLOOKUP(TrendSheetStgData[Population]&amp;TrendSheetStgData[Trend],Threshold[#All],4,FALSE)</f>
        <v>10</v>
      </c>
      <c r="L1439" s="5">
        <f>VLOOKUP(TrendSheetStgData[Population]&amp;TrendSheetStgData[Trend],Threshold[#All],5,FALSE)</f>
        <v>5</v>
      </c>
      <c r="M1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0" spans="1:13" x14ac:dyDescent="0.25">
      <c r="A1440" t="s">
        <v>111</v>
      </c>
      <c r="B1440" t="s">
        <v>111</v>
      </c>
      <c r="C1440" t="s">
        <v>78</v>
      </c>
      <c r="D1440" s="1" t="s">
        <v>103</v>
      </c>
      <c r="E1440" t="s">
        <v>93</v>
      </c>
      <c r="F1440" t="s">
        <v>27</v>
      </c>
      <c r="G1440">
        <v>16</v>
      </c>
      <c r="H1440">
        <v>0.85</v>
      </c>
      <c r="I1440" s="5">
        <f>VLOOKUP(TrendSheetStgData[Population]&amp;TrendSheetStgData[Cost Basis]&amp;TrendSheetStgData[Period]&amp;TrendSheetStgData[Trend],TrendSheetPrdData[#All],9,FALSE)</f>
        <v>0.85</v>
      </c>
      <c r="J1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0" s="5">
        <f>VLOOKUP(TrendSheetStgData[Population]&amp;TrendSheetStgData[Trend],Threshold[#All],4,FALSE)</f>
        <v>10</v>
      </c>
      <c r="L1440" s="5">
        <f>VLOOKUP(TrendSheetStgData[Population]&amp;TrendSheetStgData[Trend],Threshold[#All],5,FALSE)</f>
        <v>5</v>
      </c>
      <c r="M1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1" spans="1:13" x14ac:dyDescent="0.25">
      <c r="A1441" t="s">
        <v>111</v>
      </c>
      <c r="B1441" t="s">
        <v>111</v>
      </c>
      <c r="C1441" t="s">
        <v>78</v>
      </c>
      <c r="D1441" s="1" t="s">
        <v>104</v>
      </c>
      <c r="E1441" t="s">
        <v>93</v>
      </c>
      <c r="F1441" t="s">
        <v>27</v>
      </c>
      <c r="G1441">
        <v>16</v>
      </c>
      <c r="H1441">
        <v>0.86</v>
      </c>
      <c r="I1441" s="5">
        <f>VLOOKUP(TrendSheetStgData[Population]&amp;TrendSheetStgData[Cost Basis]&amp;TrendSheetStgData[Period]&amp;TrendSheetStgData[Trend],TrendSheetPrdData[#All],9,FALSE)</f>
        <v>0.86</v>
      </c>
      <c r="J1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1" s="5">
        <f>VLOOKUP(TrendSheetStgData[Population]&amp;TrendSheetStgData[Trend],Threshold[#All],4,FALSE)</f>
        <v>10</v>
      </c>
      <c r="L1441" s="5">
        <f>VLOOKUP(TrendSheetStgData[Population]&amp;TrendSheetStgData[Trend],Threshold[#All],5,FALSE)</f>
        <v>5</v>
      </c>
      <c r="M1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2" spans="1:13" x14ac:dyDescent="0.25">
      <c r="A1442" t="s">
        <v>111</v>
      </c>
      <c r="B1442" t="s">
        <v>111</v>
      </c>
      <c r="C1442" t="s">
        <v>78</v>
      </c>
      <c r="D1442" s="1" t="s">
        <v>105</v>
      </c>
      <c r="E1442" t="s">
        <v>108</v>
      </c>
      <c r="F1442" t="s">
        <v>27</v>
      </c>
      <c r="G1442">
        <v>16</v>
      </c>
      <c r="H1442">
        <v>0.85</v>
      </c>
      <c r="I1442" s="5">
        <f>VLOOKUP(TrendSheetStgData[Population]&amp;TrendSheetStgData[Cost Basis]&amp;TrendSheetStgData[Period]&amp;TrendSheetStgData[Trend],TrendSheetPrdData[#All],9,FALSE)</f>
        <v>0.85</v>
      </c>
      <c r="J1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2" s="5">
        <f>VLOOKUP(TrendSheetStgData[Population]&amp;TrendSheetStgData[Trend],Threshold[#All],4,FALSE)</f>
        <v>10</v>
      </c>
      <c r="L1442" s="5">
        <f>VLOOKUP(TrendSheetStgData[Population]&amp;TrendSheetStgData[Trend],Threshold[#All],5,FALSE)</f>
        <v>5</v>
      </c>
      <c r="M1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3" spans="1:13" x14ac:dyDescent="0.25">
      <c r="A1443" t="s">
        <v>111</v>
      </c>
      <c r="B1443" t="s">
        <v>111</v>
      </c>
      <c r="C1443" t="s">
        <v>78</v>
      </c>
      <c r="D1443" s="1" t="s">
        <v>106</v>
      </c>
      <c r="E1443" t="s">
        <v>108</v>
      </c>
      <c r="F1443" t="s">
        <v>27</v>
      </c>
      <c r="G1443">
        <v>16</v>
      </c>
      <c r="H1443">
        <v>0.86</v>
      </c>
      <c r="I1443" s="5">
        <f>VLOOKUP(TrendSheetStgData[Population]&amp;TrendSheetStgData[Cost Basis]&amp;TrendSheetStgData[Period]&amp;TrendSheetStgData[Trend],TrendSheetPrdData[#All],9,FALSE)</f>
        <v>0.86</v>
      </c>
      <c r="J1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3" s="5">
        <f>VLOOKUP(TrendSheetStgData[Population]&amp;TrendSheetStgData[Trend],Threshold[#All],4,FALSE)</f>
        <v>10</v>
      </c>
      <c r="L1443" s="5">
        <f>VLOOKUP(TrendSheetStgData[Population]&amp;TrendSheetStgData[Trend],Threshold[#All],5,FALSE)</f>
        <v>5</v>
      </c>
      <c r="M1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4" spans="1:13" x14ac:dyDescent="0.25">
      <c r="A1444" t="s">
        <v>111</v>
      </c>
      <c r="B1444" t="s">
        <v>111</v>
      </c>
      <c r="C1444" t="s">
        <v>78</v>
      </c>
      <c r="D1444" s="1" t="s">
        <v>107</v>
      </c>
      <c r="E1444" t="s">
        <v>108</v>
      </c>
      <c r="F1444" t="s">
        <v>27</v>
      </c>
      <c r="G1444">
        <v>16</v>
      </c>
      <c r="H1444">
        <v>0.86</v>
      </c>
      <c r="I1444" s="5">
        <f>VLOOKUP(TrendSheetStgData[Population]&amp;TrendSheetStgData[Cost Basis]&amp;TrendSheetStgData[Period]&amp;TrendSheetStgData[Trend],TrendSheetPrdData[#All],9,FALSE)</f>
        <v>0.86</v>
      </c>
      <c r="J1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4" s="5">
        <f>VLOOKUP(TrendSheetStgData[Population]&amp;TrendSheetStgData[Trend],Threshold[#All],4,FALSE)</f>
        <v>10</v>
      </c>
      <c r="L1444" s="5">
        <f>VLOOKUP(TrendSheetStgData[Population]&amp;TrendSheetStgData[Trend],Threshold[#All],5,FALSE)</f>
        <v>5</v>
      </c>
      <c r="M1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5" spans="1:13" x14ac:dyDescent="0.25">
      <c r="A1445" t="s">
        <v>111</v>
      </c>
      <c r="B1445" t="s">
        <v>111</v>
      </c>
      <c r="C1445" t="s">
        <v>78</v>
      </c>
      <c r="D1445" s="1" t="s">
        <v>109</v>
      </c>
      <c r="E1445" t="s">
        <v>108</v>
      </c>
      <c r="F1445" t="s">
        <v>27</v>
      </c>
      <c r="G1445">
        <v>16</v>
      </c>
      <c r="H1445">
        <v>0.86</v>
      </c>
      <c r="I1445" s="5">
        <f>VLOOKUP(TrendSheetStgData[Population]&amp;TrendSheetStgData[Cost Basis]&amp;TrendSheetStgData[Period]&amp;TrendSheetStgData[Trend],TrendSheetPrdData[#All],9,FALSE)</f>
        <v>0.86</v>
      </c>
      <c r="J1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5" s="5">
        <f>VLOOKUP(TrendSheetStgData[Population]&amp;TrendSheetStgData[Trend],Threshold[#All],4,FALSE)</f>
        <v>10</v>
      </c>
      <c r="L1445" s="5">
        <f>VLOOKUP(TrendSheetStgData[Population]&amp;TrendSheetStgData[Trend],Threshold[#All],5,FALSE)</f>
        <v>5</v>
      </c>
      <c r="M1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6" spans="1:13" x14ac:dyDescent="0.25">
      <c r="A1446" t="s">
        <v>111</v>
      </c>
      <c r="B1446" t="s">
        <v>111</v>
      </c>
      <c r="C1446" t="s">
        <v>78</v>
      </c>
      <c r="D1446" s="1" t="s">
        <v>110</v>
      </c>
      <c r="E1446" t="s">
        <v>108</v>
      </c>
      <c r="F1446" t="s">
        <v>27</v>
      </c>
      <c r="G1446">
        <v>16</v>
      </c>
      <c r="H1446">
        <v>0.87</v>
      </c>
      <c r="I1446" s="5">
        <f>VLOOKUP(TrendSheetStgData[Population]&amp;TrendSheetStgData[Cost Basis]&amp;TrendSheetStgData[Period]&amp;TrendSheetStgData[Trend],TrendSheetPrdData[#All],9,FALSE)</f>
        <v>0.87</v>
      </c>
      <c r="J1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6" s="5">
        <f>VLOOKUP(TrendSheetStgData[Population]&amp;TrendSheetStgData[Trend],Threshold[#All],4,FALSE)</f>
        <v>10</v>
      </c>
      <c r="L1446" s="5">
        <f>VLOOKUP(TrendSheetStgData[Population]&amp;TrendSheetStgData[Trend],Threshold[#All],5,FALSE)</f>
        <v>5</v>
      </c>
      <c r="M1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7" spans="1:13" x14ac:dyDescent="0.25">
      <c r="A1447" t="s">
        <v>111</v>
      </c>
      <c r="B1447" t="s">
        <v>111</v>
      </c>
      <c r="C1447" t="s">
        <v>78</v>
      </c>
      <c r="D1447" s="1" t="s">
        <v>92</v>
      </c>
      <c r="E1447" t="s">
        <v>93</v>
      </c>
      <c r="F1447" t="s">
        <v>28</v>
      </c>
      <c r="G1447">
        <v>17</v>
      </c>
      <c r="H1447">
        <v>809889</v>
      </c>
      <c r="I1447" s="5">
        <f>VLOOKUP(TrendSheetStgData[Population]&amp;TrendSheetStgData[Cost Basis]&amp;TrendSheetStgData[Period]&amp;TrendSheetStgData[Trend],TrendSheetPrdData[#All],9,FALSE)</f>
        <v>809889</v>
      </c>
      <c r="J1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7" s="5">
        <f>VLOOKUP(TrendSheetStgData[Population]&amp;TrendSheetStgData[Trend],Threshold[#All],4,FALSE)</f>
        <v>10</v>
      </c>
      <c r="L1447" s="5">
        <f>VLOOKUP(TrendSheetStgData[Population]&amp;TrendSheetStgData[Trend],Threshold[#All],5,FALSE)</f>
        <v>5</v>
      </c>
      <c r="M1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8" spans="1:13" x14ac:dyDescent="0.25">
      <c r="A1448" t="s">
        <v>111</v>
      </c>
      <c r="B1448" t="s">
        <v>111</v>
      </c>
      <c r="C1448" t="s">
        <v>78</v>
      </c>
      <c r="D1448" s="1" t="s">
        <v>94</v>
      </c>
      <c r="E1448" t="s">
        <v>93</v>
      </c>
      <c r="F1448" t="s">
        <v>28</v>
      </c>
      <c r="G1448">
        <v>17</v>
      </c>
      <c r="H1448">
        <v>940049</v>
      </c>
      <c r="I1448" s="5">
        <f>VLOOKUP(TrendSheetStgData[Population]&amp;TrendSheetStgData[Cost Basis]&amp;TrendSheetStgData[Period]&amp;TrendSheetStgData[Trend],TrendSheetPrdData[#All],9,FALSE)</f>
        <v>940049</v>
      </c>
      <c r="J1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8" s="5">
        <f>VLOOKUP(TrendSheetStgData[Population]&amp;TrendSheetStgData[Trend],Threshold[#All],4,FALSE)</f>
        <v>10</v>
      </c>
      <c r="L1448" s="5">
        <f>VLOOKUP(TrendSheetStgData[Population]&amp;TrendSheetStgData[Trend],Threshold[#All],5,FALSE)</f>
        <v>5</v>
      </c>
      <c r="M1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9" spans="1:13" x14ac:dyDescent="0.25">
      <c r="A1449" t="s">
        <v>111</v>
      </c>
      <c r="B1449" t="s">
        <v>111</v>
      </c>
      <c r="C1449" t="s">
        <v>78</v>
      </c>
      <c r="D1449" s="1" t="s">
        <v>95</v>
      </c>
      <c r="E1449" t="s">
        <v>93</v>
      </c>
      <c r="F1449" t="s">
        <v>28</v>
      </c>
      <c r="G1449">
        <v>17</v>
      </c>
      <c r="H1449">
        <v>782980</v>
      </c>
      <c r="I1449" s="5">
        <f>VLOOKUP(TrendSheetStgData[Population]&amp;TrendSheetStgData[Cost Basis]&amp;TrendSheetStgData[Period]&amp;TrendSheetStgData[Trend],TrendSheetPrdData[#All],9,FALSE)</f>
        <v>782980</v>
      </c>
      <c r="J1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9" s="5">
        <f>VLOOKUP(TrendSheetStgData[Population]&amp;TrendSheetStgData[Trend],Threshold[#All],4,FALSE)</f>
        <v>10</v>
      </c>
      <c r="L1449" s="5">
        <f>VLOOKUP(TrendSheetStgData[Population]&amp;TrendSheetStgData[Trend],Threshold[#All],5,FALSE)</f>
        <v>5</v>
      </c>
      <c r="M1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0" spans="1:13" x14ac:dyDescent="0.25">
      <c r="A1450" t="s">
        <v>111</v>
      </c>
      <c r="B1450" t="s">
        <v>111</v>
      </c>
      <c r="C1450" t="s">
        <v>78</v>
      </c>
      <c r="D1450" s="1" t="s">
        <v>96</v>
      </c>
      <c r="E1450" t="s">
        <v>93</v>
      </c>
      <c r="F1450" t="s">
        <v>28</v>
      </c>
      <c r="G1450">
        <v>17</v>
      </c>
      <c r="H1450">
        <v>1697443</v>
      </c>
      <c r="I1450" s="5">
        <f>VLOOKUP(TrendSheetStgData[Population]&amp;TrendSheetStgData[Cost Basis]&amp;TrendSheetStgData[Period]&amp;TrendSheetStgData[Trend],TrendSheetPrdData[#All],9,FALSE)</f>
        <v>1697443</v>
      </c>
      <c r="J1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0" s="5">
        <f>VLOOKUP(TrendSheetStgData[Population]&amp;TrendSheetStgData[Trend],Threshold[#All],4,FALSE)</f>
        <v>10</v>
      </c>
      <c r="L1450" s="5">
        <f>VLOOKUP(TrendSheetStgData[Population]&amp;TrendSheetStgData[Trend],Threshold[#All],5,FALSE)</f>
        <v>5</v>
      </c>
      <c r="M1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1" spans="1:13" x14ac:dyDescent="0.25">
      <c r="A1451" t="s">
        <v>111</v>
      </c>
      <c r="B1451" t="s">
        <v>111</v>
      </c>
      <c r="C1451" t="s">
        <v>78</v>
      </c>
      <c r="D1451" s="1" t="s">
        <v>97</v>
      </c>
      <c r="E1451" t="s">
        <v>93</v>
      </c>
      <c r="F1451" t="s">
        <v>28</v>
      </c>
      <c r="G1451">
        <v>17</v>
      </c>
      <c r="H1451">
        <v>846383</v>
      </c>
      <c r="I1451" s="5">
        <f>VLOOKUP(TrendSheetStgData[Population]&amp;TrendSheetStgData[Cost Basis]&amp;TrendSheetStgData[Period]&amp;TrendSheetStgData[Trend],TrendSheetPrdData[#All],9,FALSE)</f>
        <v>846383</v>
      </c>
      <c r="J1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1" s="5">
        <f>VLOOKUP(TrendSheetStgData[Population]&amp;TrendSheetStgData[Trend],Threshold[#All],4,FALSE)</f>
        <v>10</v>
      </c>
      <c r="L1451" s="5">
        <f>VLOOKUP(TrendSheetStgData[Population]&amp;TrendSheetStgData[Trend],Threshold[#All],5,FALSE)</f>
        <v>5</v>
      </c>
      <c r="M1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2" spans="1:13" x14ac:dyDescent="0.25">
      <c r="A1452" t="s">
        <v>111</v>
      </c>
      <c r="B1452" t="s">
        <v>111</v>
      </c>
      <c r="C1452" t="s">
        <v>78</v>
      </c>
      <c r="D1452" s="1" t="s">
        <v>98</v>
      </c>
      <c r="E1452" t="s">
        <v>93</v>
      </c>
      <c r="F1452" t="s">
        <v>28</v>
      </c>
      <c r="G1452">
        <v>17</v>
      </c>
      <c r="H1452">
        <v>741517</v>
      </c>
      <c r="I1452" s="5">
        <f>VLOOKUP(TrendSheetStgData[Population]&amp;TrendSheetStgData[Cost Basis]&amp;TrendSheetStgData[Period]&amp;TrendSheetStgData[Trend],TrendSheetPrdData[#All],9,FALSE)</f>
        <v>741517</v>
      </c>
      <c r="J1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2" s="5">
        <f>VLOOKUP(TrendSheetStgData[Population]&amp;TrendSheetStgData[Trend],Threshold[#All],4,FALSE)</f>
        <v>10</v>
      </c>
      <c r="L1452" s="5">
        <f>VLOOKUP(TrendSheetStgData[Population]&amp;TrendSheetStgData[Trend],Threshold[#All],5,FALSE)</f>
        <v>5</v>
      </c>
      <c r="M1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3" spans="1:13" x14ac:dyDescent="0.25">
      <c r="A1453" t="s">
        <v>111</v>
      </c>
      <c r="B1453" t="s">
        <v>111</v>
      </c>
      <c r="C1453" t="s">
        <v>78</v>
      </c>
      <c r="D1453" s="1" t="s">
        <v>99</v>
      </c>
      <c r="E1453" t="s">
        <v>93</v>
      </c>
      <c r="F1453" t="s">
        <v>28</v>
      </c>
      <c r="G1453">
        <v>17</v>
      </c>
      <c r="H1453">
        <v>1009423</v>
      </c>
      <c r="I1453" s="5">
        <f>VLOOKUP(TrendSheetStgData[Population]&amp;TrendSheetStgData[Cost Basis]&amp;TrendSheetStgData[Period]&amp;TrendSheetStgData[Trend],TrendSheetPrdData[#All],9,FALSE)</f>
        <v>1009423</v>
      </c>
      <c r="J1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3" s="5">
        <f>VLOOKUP(TrendSheetStgData[Population]&amp;TrendSheetStgData[Trend],Threshold[#All],4,FALSE)</f>
        <v>10</v>
      </c>
      <c r="L1453" s="5">
        <f>VLOOKUP(TrendSheetStgData[Population]&amp;TrendSheetStgData[Trend],Threshold[#All],5,FALSE)</f>
        <v>5</v>
      </c>
      <c r="M1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4" spans="1:13" x14ac:dyDescent="0.25">
      <c r="A1454" t="s">
        <v>111</v>
      </c>
      <c r="B1454" t="s">
        <v>111</v>
      </c>
      <c r="C1454" t="s">
        <v>78</v>
      </c>
      <c r="D1454" s="1" t="s">
        <v>100</v>
      </c>
      <c r="E1454" t="s">
        <v>93</v>
      </c>
      <c r="F1454" t="s">
        <v>28</v>
      </c>
      <c r="G1454">
        <v>17</v>
      </c>
      <c r="H1454">
        <v>945843</v>
      </c>
      <c r="I1454" s="5">
        <f>VLOOKUP(TrendSheetStgData[Population]&amp;TrendSheetStgData[Cost Basis]&amp;TrendSheetStgData[Period]&amp;TrendSheetStgData[Trend],TrendSheetPrdData[#All],9,FALSE)</f>
        <v>945843</v>
      </c>
      <c r="J1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4" s="5">
        <f>VLOOKUP(TrendSheetStgData[Population]&amp;TrendSheetStgData[Trend],Threshold[#All],4,FALSE)</f>
        <v>10</v>
      </c>
      <c r="L1454" s="5">
        <f>VLOOKUP(TrendSheetStgData[Population]&amp;TrendSheetStgData[Trend],Threshold[#All],5,FALSE)</f>
        <v>5</v>
      </c>
      <c r="M1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5" spans="1:13" x14ac:dyDescent="0.25">
      <c r="A1455" t="s">
        <v>111</v>
      </c>
      <c r="B1455" t="s">
        <v>111</v>
      </c>
      <c r="C1455" t="s">
        <v>78</v>
      </c>
      <c r="D1455" s="1" t="s">
        <v>101</v>
      </c>
      <c r="E1455" t="s">
        <v>93</v>
      </c>
      <c r="F1455" t="s">
        <v>28</v>
      </c>
      <c r="G1455">
        <v>17</v>
      </c>
      <c r="H1455">
        <v>932966</v>
      </c>
      <c r="I1455" s="5">
        <f>VLOOKUP(TrendSheetStgData[Population]&amp;TrendSheetStgData[Cost Basis]&amp;TrendSheetStgData[Period]&amp;TrendSheetStgData[Trend],TrendSheetPrdData[#All],9,FALSE)</f>
        <v>932966</v>
      </c>
      <c r="J1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5" s="5">
        <f>VLOOKUP(TrendSheetStgData[Population]&amp;TrendSheetStgData[Trend],Threshold[#All],4,FALSE)</f>
        <v>10</v>
      </c>
      <c r="L1455" s="5">
        <f>VLOOKUP(TrendSheetStgData[Population]&amp;TrendSheetStgData[Trend],Threshold[#All],5,FALSE)</f>
        <v>5</v>
      </c>
      <c r="M1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6" spans="1:13" x14ac:dyDescent="0.25">
      <c r="A1456" t="s">
        <v>111</v>
      </c>
      <c r="B1456" t="s">
        <v>111</v>
      </c>
      <c r="C1456" t="s">
        <v>78</v>
      </c>
      <c r="D1456" s="1" t="s">
        <v>102</v>
      </c>
      <c r="E1456" t="s">
        <v>93</v>
      </c>
      <c r="F1456" t="s">
        <v>28</v>
      </c>
      <c r="G1456">
        <v>17</v>
      </c>
      <c r="H1456">
        <v>1160100</v>
      </c>
      <c r="I1456" s="5">
        <f>VLOOKUP(TrendSheetStgData[Population]&amp;TrendSheetStgData[Cost Basis]&amp;TrendSheetStgData[Period]&amp;TrendSheetStgData[Trend],TrendSheetPrdData[#All],9,FALSE)</f>
        <v>1160100</v>
      </c>
      <c r="J1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6" s="5">
        <f>VLOOKUP(TrendSheetStgData[Population]&amp;TrendSheetStgData[Trend],Threshold[#All],4,FALSE)</f>
        <v>10</v>
      </c>
      <c r="L1456" s="5">
        <f>VLOOKUP(TrendSheetStgData[Population]&amp;TrendSheetStgData[Trend],Threshold[#All],5,FALSE)</f>
        <v>5</v>
      </c>
      <c r="M1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7" spans="1:13" x14ac:dyDescent="0.25">
      <c r="A1457" t="s">
        <v>111</v>
      </c>
      <c r="B1457" t="s">
        <v>111</v>
      </c>
      <c r="C1457" t="s">
        <v>78</v>
      </c>
      <c r="D1457" s="1" t="s">
        <v>103</v>
      </c>
      <c r="E1457" t="s">
        <v>93</v>
      </c>
      <c r="F1457" t="s">
        <v>28</v>
      </c>
      <c r="G1457">
        <v>17</v>
      </c>
      <c r="H1457">
        <v>964825</v>
      </c>
      <c r="I1457" s="5">
        <f>VLOOKUP(TrendSheetStgData[Population]&amp;TrendSheetStgData[Cost Basis]&amp;TrendSheetStgData[Period]&amp;TrendSheetStgData[Trend],TrendSheetPrdData[#All],9,FALSE)</f>
        <v>964825</v>
      </c>
      <c r="J1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7" s="5">
        <f>VLOOKUP(TrendSheetStgData[Population]&amp;TrendSheetStgData[Trend],Threshold[#All],4,FALSE)</f>
        <v>10</v>
      </c>
      <c r="L1457" s="5">
        <f>VLOOKUP(TrendSheetStgData[Population]&amp;TrendSheetStgData[Trend],Threshold[#All],5,FALSE)</f>
        <v>5</v>
      </c>
      <c r="M1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8" spans="1:13" x14ac:dyDescent="0.25">
      <c r="A1458" t="s">
        <v>111</v>
      </c>
      <c r="B1458" t="s">
        <v>111</v>
      </c>
      <c r="C1458" t="s">
        <v>78</v>
      </c>
      <c r="D1458" s="1" t="s">
        <v>104</v>
      </c>
      <c r="E1458" t="s">
        <v>93</v>
      </c>
      <c r="F1458" t="s">
        <v>28</v>
      </c>
      <c r="G1458">
        <v>17</v>
      </c>
      <c r="H1458">
        <v>867785</v>
      </c>
      <c r="I1458" s="5">
        <f>VLOOKUP(TrendSheetStgData[Population]&amp;TrendSheetStgData[Cost Basis]&amp;TrendSheetStgData[Period]&amp;TrendSheetStgData[Trend],TrendSheetPrdData[#All],9,FALSE)</f>
        <v>867785</v>
      </c>
      <c r="J1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8" s="5">
        <f>VLOOKUP(TrendSheetStgData[Population]&amp;TrendSheetStgData[Trend],Threshold[#All],4,FALSE)</f>
        <v>10</v>
      </c>
      <c r="L1458" s="5">
        <f>VLOOKUP(TrendSheetStgData[Population]&amp;TrendSheetStgData[Trend],Threshold[#All],5,FALSE)</f>
        <v>5</v>
      </c>
      <c r="M1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9" spans="1:13" x14ac:dyDescent="0.25">
      <c r="A1459" t="s">
        <v>111</v>
      </c>
      <c r="B1459" t="s">
        <v>111</v>
      </c>
      <c r="C1459" t="s">
        <v>78</v>
      </c>
      <c r="D1459" s="1" t="s">
        <v>105</v>
      </c>
      <c r="E1459" t="s">
        <v>108</v>
      </c>
      <c r="F1459" t="s">
        <v>28</v>
      </c>
      <c r="G1459">
        <v>17</v>
      </c>
      <c r="H1459">
        <v>873553</v>
      </c>
      <c r="I1459" s="5">
        <f>VLOOKUP(TrendSheetStgData[Population]&amp;TrendSheetStgData[Cost Basis]&amp;TrendSheetStgData[Period]&amp;TrendSheetStgData[Trend],TrendSheetPrdData[#All],9,FALSE)</f>
        <v>873553</v>
      </c>
      <c r="J1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9" s="5">
        <f>VLOOKUP(TrendSheetStgData[Population]&amp;TrendSheetStgData[Trend],Threshold[#All],4,FALSE)</f>
        <v>10</v>
      </c>
      <c r="L1459" s="5">
        <f>VLOOKUP(TrendSheetStgData[Population]&amp;TrendSheetStgData[Trend],Threshold[#All],5,FALSE)</f>
        <v>5</v>
      </c>
      <c r="M1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0" spans="1:13" x14ac:dyDescent="0.25">
      <c r="A1460" t="s">
        <v>111</v>
      </c>
      <c r="B1460" t="s">
        <v>111</v>
      </c>
      <c r="C1460" t="s">
        <v>78</v>
      </c>
      <c r="D1460" s="1" t="s">
        <v>106</v>
      </c>
      <c r="E1460" t="s">
        <v>108</v>
      </c>
      <c r="F1460" t="s">
        <v>28</v>
      </c>
      <c r="G1460">
        <v>17</v>
      </c>
      <c r="H1460">
        <v>786222</v>
      </c>
      <c r="I1460" s="5">
        <f>VLOOKUP(TrendSheetStgData[Population]&amp;TrendSheetStgData[Cost Basis]&amp;TrendSheetStgData[Period]&amp;TrendSheetStgData[Trend],TrendSheetPrdData[#All],9,FALSE)</f>
        <v>786222</v>
      </c>
      <c r="J1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0" s="5">
        <f>VLOOKUP(TrendSheetStgData[Population]&amp;TrendSheetStgData[Trend],Threshold[#All],4,FALSE)</f>
        <v>10</v>
      </c>
      <c r="L1460" s="5">
        <f>VLOOKUP(TrendSheetStgData[Population]&amp;TrendSheetStgData[Trend],Threshold[#All],5,FALSE)</f>
        <v>5</v>
      </c>
      <c r="M1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1" spans="1:13" x14ac:dyDescent="0.25">
      <c r="A1461" t="s">
        <v>111</v>
      </c>
      <c r="B1461" t="s">
        <v>111</v>
      </c>
      <c r="C1461" t="s">
        <v>78</v>
      </c>
      <c r="D1461" s="1" t="s">
        <v>107</v>
      </c>
      <c r="E1461" t="s">
        <v>108</v>
      </c>
      <c r="F1461" t="s">
        <v>28</v>
      </c>
      <c r="G1461">
        <v>17</v>
      </c>
      <c r="H1461">
        <v>735657</v>
      </c>
      <c r="I1461" s="5">
        <f>VLOOKUP(TrendSheetStgData[Population]&amp;TrendSheetStgData[Cost Basis]&amp;TrendSheetStgData[Period]&amp;TrendSheetStgData[Trend],TrendSheetPrdData[#All],9,FALSE)</f>
        <v>735657</v>
      </c>
      <c r="J1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1" s="5">
        <f>VLOOKUP(TrendSheetStgData[Population]&amp;TrendSheetStgData[Trend],Threshold[#All],4,FALSE)</f>
        <v>10</v>
      </c>
      <c r="L1461" s="5">
        <f>VLOOKUP(TrendSheetStgData[Population]&amp;TrendSheetStgData[Trend],Threshold[#All],5,FALSE)</f>
        <v>5</v>
      </c>
      <c r="M1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2" spans="1:13" x14ac:dyDescent="0.25">
      <c r="A1462" t="s">
        <v>111</v>
      </c>
      <c r="B1462" t="s">
        <v>111</v>
      </c>
      <c r="C1462" t="s">
        <v>78</v>
      </c>
      <c r="D1462" s="1" t="s">
        <v>109</v>
      </c>
      <c r="E1462" t="s">
        <v>108</v>
      </c>
      <c r="F1462" t="s">
        <v>28</v>
      </c>
      <c r="G1462">
        <v>17</v>
      </c>
      <c r="H1462">
        <v>681562</v>
      </c>
      <c r="I1462" s="5">
        <f>VLOOKUP(TrendSheetStgData[Population]&amp;TrendSheetStgData[Cost Basis]&amp;TrendSheetStgData[Period]&amp;TrendSheetStgData[Trend],TrendSheetPrdData[#All],9,FALSE)</f>
        <v>681562</v>
      </c>
      <c r="J1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2" s="5">
        <f>VLOOKUP(TrendSheetStgData[Population]&amp;TrendSheetStgData[Trend],Threshold[#All],4,FALSE)</f>
        <v>10</v>
      </c>
      <c r="L1462" s="5">
        <f>VLOOKUP(TrendSheetStgData[Population]&amp;TrendSheetStgData[Trend],Threshold[#All],5,FALSE)</f>
        <v>5</v>
      </c>
      <c r="M1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3" spans="1:13" x14ac:dyDescent="0.25">
      <c r="A1463" t="s">
        <v>111</v>
      </c>
      <c r="B1463" t="s">
        <v>111</v>
      </c>
      <c r="C1463" t="s">
        <v>78</v>
      </c>
      <c r="D1463" s="1" t="s">
        <v>110</v>
      </c>
      <c r="E1463" t="s">
        <v>108</v>
      </c>
      <c r="F1463" t="s">
        <v>28</v>
      </c>
      <c r="G1463">
        <v>17</v>
      </c>
      <c r="H1463">
        <v>359847</v>
      </c>
      <c r="I1463" s="5">
        <f>VLOOKUP(TrendSheetStgData[Population]&amp;TrendSheetStgData[Cost Basis]&amp;TrendSheetStgData[Period]&amp;TrendSheetStgData[Trend],TrendSheetPrdData[#All],9,FALSE)</f>
        <v>359847</v>
      </c>
      <c r="J1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3" s="5">
        <f>VLOOKUP(TrendSheetStgData[Population]&amp;TrendSheetStgData[Trend],Threshold[#All],4,FALSE)</f>
        <v>10</v>
      </c>
      <c r="L1463" s="5">
        <f>VLOOKUP(TrendSheetStgData[Population]&amp;TrendSheetStgData[Trend],Threshold[#All],5,FALSE)</f>
        <v>5</v>
      </c>
      <c r="M1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4" spans="1:13" x14ac:dyDescent="0.25">
      <c r="A1464" t="s">
        <v>111</v>
      </c>
      <c r="B1464" t="s">
        <v>111</v>
      </c>
      <c r="C1464" t="s">
        <v>78</v>
      </c>
      <c r="D1464" s="1" t="s">
        <v>92</v>
      </c>
      <c r="E1464" t="s">
        <v>93</v>
      </c>
      <c r="F1464" t="s">
        <v>29</v>
      </c>
      <c r="G1464">
        <v>18</v>
      </c>
      <c r="H1464">
        <v>286.16000000000003</v>
      </c>
      <c r="I1464" s="5">
        <f>VLOOKUP(TrendSheetStgData[Population]&amp;TrendSheetStgData[Cost Basis]&amp;TrendSheetStgData[Period]&amp;TrendSheetStgData[Trend],TrendSheetPrdData[#All],9,FALSE)</f>
        <v>286.16000000000003</v>
      </c>
      <c r="J1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4" s="5">
        <f>VLOOKUP(TrendSheetStgData[Population]&amp;TrendSheetStgData[Trend],Threshold[#All],4,FALSE)</f>
        <v>10</v>
      </c>
      <c r="L1464" s="5">
        <f>VLOOKUP(TrendSheetStgData[Population]&amp;TrendSheetStgData[Trend],Threshold[#All],5,FALSE)</f>
        <v>5</v>
      </c>
      <c r="M1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5" spans="1:13" x14ac:dyDescent="0.25">
      <c r="A1465" t="s">
        <v>111</v>
      </c>
      <c r="B1465" t="s">
        <v>111</v>
      </c>
      <c r="C1465" t="s">
        <v>78</v>
      </c>
      <c r="D1465" s="1" t="s">
        <v>94</v>
      </c>
      <c r="E1465" t="s">
        <v>93</v>
      </c>
      <c r="F1465" t="s">
        <v>29</v>
      </c>
      <c r="G1465">
        <v>18</v>
      </c>
      <c r="H1465">
        <v>285.82</v>
      </c>
      <c r="I1465" s="5">
        <f>VLOOKUP(TrendSheetStgData[Population]&amp;TrendSheetStgData[Cost Basis]&amp;TrendSheetStgData[Period]&amp;TrendSheetStgData[Trend],TrendSheetPrdData[#All],9,FALSE)</f>
        <v>285.82</v>
      </c>
      <c r="J1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5" s="5">
        <f>VLOOKUP(TrendSheetStgData[Population]&amp;TrendSheetStgData[Trend],Threshold[#All],4,FALSE)</f>
        <v>10</v>
      </c>
      <c r="L1465" s="5">
        <f>VLOOKUP(TrendSheetStgData[Population]&amp;TrendSheetStgData[Trend],Threshold[#All],5,FALSE)</f>
        <v>5</v>
      </c>
      <c r="M1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6" spans="1:13" x14ac:dyDescent="0.25">
      <c r="A1466" t="s">
        <v>111</v>
      </c>
      <c r="B1466" t="s">
        <v>111</v>
      </c>
      <c r="C1466" t="s">
        <v>78</v>
      </c>
      <c r="D1466" s="1" t="s">
        <v>95</v>
      </c>
      <c r="E1466" t="s">
        <v>93</v>
      </c>
      <c r="F1466" t="s">
        <v>29</v>
      </c>
      <c r="G1466">
        <v>18</v>
      </c>
      <c r="H1466">
        <v>284.14999999999998</v>
      </c>
      <c r="I1466" s="5">
        <f>VLOOKUP(TrendSheetStgData[Population]&amp;TrendSheetStgData[Cost Basis]&amp;TrendSheetStgData[Period]&amp;TrendSheetStgData[Trend],TrendSheetPrdData[#All],9,FALSE)</f>
        <v>284.14999999999998</v>
      </c>
      <c r="J1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6" s="5">
        <f>VLOOKUP(TrendSheetStgData[Population]&amp;TrendSheetStgData[Trend],Threshold[#All],4,FALSE)</f>
        <v>10</v>
      </c>
      <c r="L1466" s="5">
        <f>VLOOKUP(TrendSheetStgData[Population]&amp;TrendSheetStgData[Trend],Threshold[#All],5,FALSE)</f>
        <v>5</v>
      </c>
      <c r="M1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7" spans="1:13" x14ac:dyDescent="0.25">
      <c r="A1467" t="s">
        <v>111</v>
      </c>
      <c r="B1467" t="s">
        <v>111</v>
      </c>
      <c r="C1467" t="s">
        <v>78</v>
      </c>
      <c r="D1467" s="1" t="s">
        <v>96</v>
      </c>
      <c r="E1467" t="s">
        <v>93</v>
      </c>
      <c r="F1467" t="s">
        <v>29</v>
      </c>
      <c r="G1467">
        <v>18</v>
      </c>
      <c r="H1467">
        <v>283.2</v>
      </c>
      <c r="I1467" s="5">
        <f>VLOOKUP(TrendSheetStgData[Population]&amp;TrendSheetStgData[Cost Basis]&amp;TrendSheetStgData[Period]&amp;TrendSheetStgData[Trend],TrendSheetPrdData[#All],9,FALSE)</f>
        <v>283.2</v>
      </c>
      <c r="J1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7" s="5">
        <f>VLOOKUP(TrendSheetStgData[Population]&amp;TrendSheetStgData[Trend],Threshold[#All],4,FALSE)</f>
        <v>10</v>
      </c>
      <c r="L1467" s="5">
        <f>VLOOKUP(TrendSheetStgData[Population]&amp;TrendSheetStgData[Trend],Threshold[#All],5,FALSE)</f>
        <v>5</v>
      </c>
      <c r="M1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8" spans="1:13" x14ac:dyDescent="0.25">
      <c r="A1468" t="s">
        <v>111</v>
      </c>
      <c r="B1468" t="s">
        <v>111</v>
      </c>
      <c r="C1468" t="s">
        <v>78</v>
      </c>
      <c r="D1468" s="1" t="s">
        <v>97</v>
      </c>
      <c r="E1468" t="s">
        <v>93</v>
      </c>
      <c r="F1468" t="s">
        <v>29</v>
      </c>
      <c r="G1468">
        <v>18</v>
      </c>
      <c r="H1468">
        <v>283.82</v>
      </c>
      <c r="I1468" s="5">
        <f>VLOOKUP(TrendSheetStgData[Population]&amp;TrendSheetStgData[Cost Basis]&amp;TrendSheetStgData[Period]&amp;TrendSheetStgData[Trend],TrendSheetPrdData[#All],9,FALSE)</f>
        <v>283.82</v>
      </c>
      <c r="J1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8" s="5">
        <f>VLOOKUP(TrendSheetStgData[Population]&amp;TrendSheetStgData[Trend],Threshold[#All],4,FALSE)</f>
        <v>10</v>
      </c>
      <c r="L1468" s="5">
        <f>VLOOKUP(TrendSheetStgData[Population]&amp;TrendSheetStgData[Trend],Threshold[#All],5,FALSE)</f>
        <v>5</v>
      </c>
      <c r="M1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9" spans="1:13" x14ac:dyDescent="0.25">
      <c r="A1469" t="s">
        <v>111</v>
      </c>
      <c r="B1469" t="s">
        <v>111</v>
      </c>
      <c r="C1469" t="s">
        <v>78</v>
      </c>
      <c r="D1469" s="1" t="s">
        <v>98</v>
      </c>
      <c r="E1469" t="s">
        <v>93</v>
      </c>
      <c r="F1469" t="s">
        <v>29</v>
      </c>
      <c r="G1469">
        <v>18</v>
      </c>
      <c r="H1469">
        <v>279.98</v>
      </c>
      <c r="I1469" s="5">
        <f>VLOOKUP(TrendSheetStgData[Population]&amp;TrendSheetStgData[Cost Basis]&amp;TrendSheetStgData[Period]&amp;TrendSheetStgData[Trend],TrendSheetPrdData[#All],9,FALSE)</f>
        <v>279.98</v>
      </c>
      <c r="J1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69" s="5">
        <f>VLOOKUP(TrendSheetStgData[Population]&amp;TrendSheetStgData[Trend],Threshold[#All],4,FALSE)</f>
        <v>10</v>
      </c>
      <c r="L1469" s="5">
        <f>VLOOKUP(TrendSheetStgData[Population]&amp;TrendSheetStgData[Trend],Threshold[#All],5,FALSE)</f>
        <v>5</v>
      </c>
      <c r="M1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0" spans="1:13" x14ac:dyDescent="0.25">
      <c r="A1470" t="s">
        <v>111</v>
      </c>
      <c r="B1470" t="s">
        <v>111</v>
      </c>
      <c r="C1470" t="s">
        <v>78</v>
      </c>
      <c r="D1470" s="1" t="s">
        <v>99</v>
      </c>
      <c r="E1470" t="s">
        <v>93</v>
      </c>
      <c r="F1470" t="s">
        <v>29</v>
      </c>
      <c r="G1470">
        <v>18</v>
      </c>
      <c r="H1470">
        <v>278.14</v>
      </c>
      <c r="I1470" s="5">
        <f>VLOOKUP(TrendSheetStgData[Population]&amp;TrendSheetStgData[Cost Basis]&amp;TrendSheetStgData[Period]&amp;TrendSheetStgData[Trend],TrendSheetPrdData[#All],9,FALSE)</f>
        <v>278.14</v>
      </c>
      <c r="J1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0" s="5">
        <f>VLOOKUP(TrendSheetStgData[Population]&amp;TrendSheetStgData[Trend],Threshold[#All],4,FALSE)</f>
        <v>10</v>
      </c>
      <c r="L1470" s="5">
        <f>VLOOKUP(TrendSheetStgData[Population]&amp;TrendSheetStgData[Trend],Threshold[#All],5,FALSE)</f>
        <v>5</v>
      </c>
      <c r="M1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1" spans="1:13" x14ac:dyDescent="0.25">
      <c r="A1471" t="s">
        <v>111</v>
      </c>
      <c r="B1471" t="s">
        <v>111</v>
      </c>
      <c r="C1471" t="s">
        <v>78</v>
      </c>
      <c r="D1471" s="1" t="s">
        <v>100</v>
      </c>
      <c r="E1471" t="s">
        <v>93</v>
      </c>
      <c r="F1471" t="s">
        <v>29</v>
      </c>
      <c r="G1471">
        <v>18</v>
      </c>
      <c r="H1471">
        <v>275.11</v>
      </c>
      <c r="I1471" s="5">
        <f>VLOOKUP(TrendSheetStgData[Population]&amp;TrendSheetStgData[Cost Basis]&amp;TrendSheetStgData[Period]&amp;TrendSheetStgData[Trend],TrendSheetPrdData[#All],9,FALSE)</f>
        <v>275.11</v>
      </c>
      <c r="J1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1" s="5">
        <f>VLOOKUP(TrendSheetStgData[Population]&amp;TrendSheetStgData[Trend],Threshold[#All],4,FALSE)</f>
        <v>10</v>
      </c>
      <c r="L1471" s="5">
        <f>VLOOKUP(TrendSheetStgData[Population]&amp;TrendSheetStgData[Trend],Threshold[#All],5,FALSE)</f>
        <v>5</v>
      </c>
      <c r="M1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2" spans="1:13" x14ac:dyDescent="0.25">
      <c r="A1472" t="s">
        <v>111</v>
      </c>
      <c r="B1472" t="s">
        <v>111</v>
      </c>
      <c r="C1472" t="s">
        <v>78</v>
      </c>
      <c r="D1472" s="1" t="s">
        <v>101</v>
      </c>
      <c r="E1472" t="s">
        <v>93</v>
      </c>
      <c r="F1472" t="s">
        <v>29</v>
      </c>
      <c r="G1472">
        <v>18</v>
      </c>
      <c r="H1472">
        <v>276.25</v>
      </c>
      <c r="I1472" s="5">
        <f>VLOOKUP(TrendSheetStgData[Population]&amp;TrendSheetStgData[Cost Basis]&amp;TrendSheetStgData[Period]&amp;TrendSheetStgData[Trend],TrendSheetPrdData[#All],9,FALSE)</f>
        <v>276.25</v>
      </c>
      <c r="J1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2" s="5">
        <f>VLOOKUP(TrendSheetStgData[Population]&amp;TrendSheetStgData[Trend],Threshold[#All],4,FALSE)</f>
        <v>10</v>
      </c>
      <c r="L1472" s="5">
        <f>VLOOKUP(TrendSheetStgData[Population]&amp;TrendSheetStgData[Trend],Threshold[#All],5,FALSE)</f>
        <v>5</v>
      </c>
      <c r="M1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3" spans="1:13" x14ac:dyDescent="0.25">
      <c r="A1473" t="s">
        <v>111</v>
      </c>
      <c r="B1473" t="s">
        <v>111</v>
      </c>
      <c r="C1473" t="s">
        <v>78</v>
      </c>
      <c r="D1473" s="1" t="s">
        <v>102</v>
      </c>
      <c r="E1473" t="s">
        <v>93</v>
      </c>
      <c r="F1473" t="s">
        <v>29</v>
      </c>
      <c r="G1473">
        <v>18</v>
      </c>
      <c r="H1473">
        <v>274.83999999999997</v>
      </c>
      <c r="I1473" s="5">
        <f>VLOOKUP(TrendSheetStgData[Population]&amp;TrendSheetStgData[Cost Basis]&amp;TrendSheetStgData[Period]&amp;TrendSheetStgData[Trend],TrendSheetPrdData[#All],9,FALSE)</f>
        <v>274.83999999999997</v>
      </c>
      <c r="J1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3" s="5">
        <f>VLOOKUP(TrendSheetStgData[Population]&amp;TrendSheetStgData[Trend],Threshold[#All],4,FALSE)</f>
        <v>10</v>
      </c>
      <c r="L1473" s="5">
        <f>VLOOKUP(TrendSheetStgData[Population]&amp;TrendSheetStgData[Trend],Threshold[#All],5,FALSE)</f>
        <v>5</v>
      </c>
      <c r="M1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4" spans="1:13" x14ac:dyDescent="0.25">
      <c r="A1474" t="s">
        <v>111</v>
      </c>
      <c r="B1474" t="s">
        <v>111</v>
      </c>
      <c r="C1474" t="s">
        <v>78</v>
      </c>
      <c r="D1474" s="1" t="s">
        <v>103</v>
      </c>
      <c r="E1474" t="s">
        <v>93</v>
      </c>
      <c r="F1474" t="s">
        <v>29</v>
      </c>
      <c r="G1474">
        <v>18</v>
      </c>
      <c r="H1474">
        <v>274.92</v>
      </c>
      <c r="I1474" s="5">
        <f>VLOOKUP(TrendSheetStgData[Population]&amp;TrendSheetStgData[Cost Basis]&amp;TrendSheetStgData[Period]&amp;TrendSheetStgData[Trend],TrendSheetPrdData[#All],9,FALSE)</f>
        <v>274.92</v>
      </c>
      <c r="J1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4" s="5">
        <f>VLOOKUP(TrendSheetStgData[Population]&amp;TrendSheetStgData[Trend],Threshold[#All],4,FALSE)</f>
        <v>10</v>
      </c>
      <c r="L1474" s="5">
        <f>VLOOKUP(TrendSheetStgData[Population]&amp;TrendSheetStgData[Trend],Threshold[#All],5,FALSE)</f>
        <v>5</v>
      </c>
      <c r="M1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5" spans="1:13" x14ac:dyDescent="0.25">
      <c r="A1475" t="s">
        <v>111</v>
      </c>
      <c r="B1475" t="s">
        <v>111</v>
      </c>
      <c r="C1475" t="s">
        <v>78</v>
      </c>
      <c r="D1475" s="1" t="s">
        <v>104</v>
      </c>
      <c r="E1475" t="s">
        <v>93</v>
      </c>
      <c r="F1475" t="s">
        <v>29</v>
      </c>
      <c r="G1475">
        <v>18</v>
      </c>
      <c r="H1475">
        <v>276.12</v>
      </c>
      <c r="I1475" s="5">
        <f>VLOOKUP(TrendSheetStgData[Population]&amp;TrendSheetStgData[Cost Basis]&amp;TrendSheetStgData[Period]&amp;TrendSheetStgData[Trend],TrendSheetPrdData[#All],9,FALSE)</f>
        <v>276.12</v>
      </c>
      <c r="J1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5" s="5">
        <f>VLOOKUP(TrendSheetStgData[Population]&amp;TrendSheetStgData[Trend],Threshold[#All],4,FALSE)</f>
        <v>10</v>
      </c>
      <c r="L1475" s="5">
        <f>VLOOKUP(TrendSheetStgData[Population]&amp;TrendSheetStgData[Trend],Threshold[#All],5,FALSE)</f>
        <v>5</v>
      </c>
      <c r="M1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6" spans="1:13" x14ac:dyDescent="0.25">
      <c r="A1476" t="s">
        <v>111</v>
      </c>
      <c r="B1476" t="s">
        <v>111</v>
      </c>
      <c r="C1476" t="s">
        <v>78</v>
      </c>
      <c r="D1476" s="1" t="s">
        <v>105</v>
      </c>
      <c r="E1476" t="s">
        <v>108</v>
      </c>
      <c r="F1476" t="s">
        <v>29</v>
      </c>
      <c r="G1476">
        <v>18</v>
      </c>
      <c r="H1476">
        <v>273.47000000000003</v>
      </c>
      <c r="I1476" s="5">
        <f>VLOOKUP(TrendSheetStgData[Population]&amp;TrendSheetStgData[Cost Basis]&amp;TrendSheetStgData[Period]&amp;TrendSheetStgData[Trend],TrendSheetPrdData[#All],9,FALSE)</f>
        <v>273.47000000000003</v>
      </c>
      <c r="J1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6" s="5">
        <f>VLOOKUP(TrendSheetStgData[Population]&amp;TrendSheetStgData[Trend],Threshold[#All],4,FALSE)</f>
        <v>10</v>
      </c>
      <c r="L1476" s="5">
        <f>VLOOKUP(TrendSheetStgData[Population]&amp;TrendSheetStgData[Trend],Threshold[#All],5,FALSE)</f>
        <v>5</v>
      </c>
      <c r="M1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7" spans="1:13" x14ac:dyDescent="0.25">
      <c r="A1477" t="s">
        <v>111</v>
      </c>
      <c r="B1477" t="s">
        <v>111</v>
      </c>
      <c r="C1477" t="s">
        <v>78</v>
      </c>
      <c r="D1477" s="1" t="s">
        <v>106</v>
      </c>
      <c r="E1477" t="s">
        <v>108</v>
      </c>
      <c r="F1477" t="s">
        <v>29</v>
      </c>
      <c r="G1477">
        <v>18</v>
      </c>
      <c r="H1477">
        <v>273.14999999999998</v>
      </c>
      <c r="I1477" s="5">
        <f>VLOOKUP(TrendSheetStgData[Population]&amp;TrendSheetStgData[Cost Basis]&amp;TrendSheetStgData[Period]&amp;TrendSheetStgData[Trend],TrendSheetPrdData[#All],9,FALSE)</f>
        <v>273.14999999999998</v>
      </c>
      <c r="J1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7" s="5">
        <f>VLOOKUP(TrendSheetStgData[Population]&amp;TrendSheetStgData[Trend],Threshold[#All],4,FALSE)</f>
        <v>10</v>
      </c>
      <c r="L1477" s="5">
        <f>VLOOKUP(TrendSheetStgData[Population]&amp;TrendSheetStgData[Trend],Threshold[#All],5,FALSE)</f>
        <v>5</v>
      </c>
      <c r="M1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8" spans="1:13" x14ac:dyDescent="0.25">
      <c r="A1478" t="s">
        <v>111</v>
      </c>
      <c r="B1478" t="s">
        <v>111</v>
      </c>
      <c r="C1478" t="s">
        <v>78</v>
      </c>
      <c r="D1478" s="1" t="s">
        <v>107</v>
      </c>
      <c r="E1478" t="s">
        <v>108</v>
      </c>
      <c r="F1478" t="s">
        <v>29</v>
      </c>
      <c r="G1478">
        <v>18</v>
      </c>
      <c r="H1478">
        <v>274.5</v>
      </c>
      <c r="I1478" s="5">
        <f>VLOOKUP(TrendSheetStgData[Population]&amp;TrendSheetStgData[Cost Basis]&amp;TrendSheetStgData[Period]&amp;TrendSheetStgData[Trend],TrendSheetPrdData[#All],9,FALSE)</f>
        <v>274.5</v>
      </c>
      <c r="J1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8" s="5">
        <f>VLOOKUP(TrendSheetStgData[Population]&amp;TrendSheetStgData[Trend],Threshold[#All],4,FALSE)</f>
        <v>10</v>
      </c>
      <c r="L1478" s="5">
        <f>VLOOKUP(TrendSheetStgData[Population]&amp;TrendSheetStgData[Trend],Threshold[#All],5,FALSE)</f>
        <v>5</v>
      </c>
      <c r="M1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9" spans="1:13" x14ac:dyDescent="0.25">
      <c r="A1479" t="s">
        <v>111</v>
      </c>
      <c r="B1479" t="s">
        <v>111</v>
      </c>
      <c r="C1479" t="s">
        <v>78</v>
      </c>
      <c r="D1479" s="1" t="s">
        <v>109</v>
      </c>
      <c r="E1479" t="s">
        <v>108</v>
      </c>
      <c r="F1479" t="s">
        <v>29</v>
      </c>
      <c r="G1479">
        <v>18</v>
      </c>
      <c r="H1479">
        <v>271.43</v>
      </c>
      <c r="I1479" s="5">
        <f>VLOOKUP(TrendSheetStgData[Population]&amp;TrendSheetStgData[Cost Basis]&amp;TrendSheetStgData[Period]&amp;TrendSheetStgData[Trend],TrendSheetPrdData[#All],9,FALSE)</f>
        <v>271.43</v>
      </c>
      <c r="J1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9" s="5">
        <f>VLOOKUP(TrendSheetStgData[Population]&amp;TrendSheetStgData[Trend],Threshold[#All],4,FALSE)</f>
        <v>10</v>
      </c>
      <c r="L1479" s="5">
        <f>VLOOKUP(TrendSheetStgData[Population]&amp;TrendSheetStgData[Trend],Threshold[#All],5,FALSE)</f>
        <v>5</v>
      </c>
      <c r="M1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0" spans="1:13" x14ac:dyDescent="0.25">
      <c r="A1480" t="s">
        <v>111</v>
      </c>
      <c r="B1480" t="s">
        <v>111</v>
      </c>
      <c r="C1480" t="s">
        <v>78</v>
      </c>
      <c r="D1480" s="1" t="s">
        <v>110</v>
      </c>
      <c r="E1480" t="s">
        <v>108</v>
      </c>
      <c r="F1480" t="s">
        <v>29</v>
      </c>
      <c r="G1480">
        <v>18</v>
      </c>
      <c r="H1480">
        <v>266.7</v>
      </c>
      <c r="I1480" s="5">
        <f>VLOOKUP(TrendSheetStgData[Population]&amp;TrendSheetStgData[Cost Basis]&amp;TrendSheetStgData[Period]&amp;TrendSheetStgData[Trend],TrendSheetPrdData[#All],9,FALSE)</f>
        <v>266.7</v>
      </c>
      <c r="J1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0" s="5">
        <f>VLOOKUP(TrendSheetStgData[Population]&amp;TrendSheetStgData[Trend],Threshold[#All],4,FALSE)</f>
        <v>10</v>
      </c>
      <c r="L1480" s="5">
        <f>VLOOKUP(TrendSheetStgData[Population]&amp;TrendSheetStgData[Trend],Threshold[#All],5,FALSE)</f>
        <v>5</v>
      </c>
      <c r="M1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1" spans="1:13" x14ac:dyDescent="0.25">
      <c r="A1481" t="s">
        <v>111</v>
      </c>
      <c r="B1481" t="s">
        <v>111</v>
      </c>
      <c r="C1481" t="s">
        <v>78</v>
      </c>
      <c r="D1481" s="1" t="s">
        <v>92</v>
      </c>
      <c r="E1481" t="s">
        <v>93</v>
      </c>
      <c r="F1481" t="s">
        <v>30</v>
      </c>
      <c r="G1481">
        <v>19</v>
      </c>
      <c r="H1481">
        <v>293</v>
      </c>
      <c r="I1481" s="5">
        <f>VLOOKUP(TrendSheetStgData[Population]&amp;TrendSheetStgData[Cost Basis]&amp;TrendSheetStgData[Period]&amp;TrendSheetStgData[Trend],TrendSheetPrdData[#All],9,FALSE)</f>
        <v>293</v>
      </c>
      <c r="J1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1" s="5">
        <f>VLOOKUP(TrendSheetStgData[Population]&amp;TrendSheetStgData[Trend],Threshold[#All],4,FALSE)</f>
        <v>10</v>
      </c>
      <c r="L1481" s="5">
        <f>VLOOKUP(TrendSheetStgData[Population]&amp;TrendSheetStgData[Trend],Threshold[#All],5,FALSE)</f>
        <v>5</v>
      </c>
      <c r="M1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2" spans="1:13" x14ac:dyDescent="0.25">
      <c r="A1482" t="s">
        <v>111</v>
      </c>
      <c r="B1482" t="s">
        <v>111</v>
      </c>
      <c r="C1482" t="s">
        <v>78</v>
      </c>
      <c r="D1482" s="1" t="s">
        <v>94</v>
      </c>
      <c r="E1482" t="s">
        <v>93</v>
      </c>
      <c r="F1482" t="s">
        <v>30</v>
      </c>
      <c r="G1482">
        <v>19</v>
      </c>
      <c r="H1482">
        <v>258</v>
      </c>
      <c r="I1482" s="5">
        <f>VLOOKUP(TrendSheetStgData[Population]&amp;TrendSheetStgData[Cost Basis]&amp;TrendSheetStgData[Period]&amp;TrendSheetStgData[Trend],TrendSheetPrdData[#All],9,FALSE)</f>
        <v>258</v>
      </c>
      <c r="J1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2" s="5">
        <f>VLOOKUP(TrendSheetStgData[Population]&amp;TrendSheetStgData[Trend],Threshold[#All],4,FALSE)</f>
        <v>10</v>
      </c>
      <c r="L1482" s="5">
        <f>VLOOKUP(TrendSheetStgData[Population]&amp;TrendSheetStgData[Trend],Threshold[#All],5,FALSE)</f>
        <v>5</v>
      </c>
      <c r="M1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3" spans="1:13" x14ac:dyDescent="0.25">
      <c r="A1483" t="s">
        <v>111</v>
      </c>
      <c r="B1483" t="s">
        <v>111</v>
      </c>
      <c r="C1483" t="s">
        <v>78</v>
      </c>
      <c r="D1483" s="1" t="s">
        <v>95</v>
      </c>
      <c r="E1483" t="s">
        <v>93</v>
      </c>
      <c r="F1483" t="s">
        <v>30</v>
      </c>
      <c r="G1483">
        <v>19</v>
      </c>
      <c r="H1483">
        <v>348</v>
      </c>
      <c r="I1483" s="5">
        <f>VLOOKUP(TrendSheetStgData[Population]&amp;TrendSheetStgData[Cost Basis]&amp;TrendSheetStgData[Period]&amp;TrendSheetStgData[Trend],TrendSheetPrdData[#All],9,FALSE)</f>
        <v>348</v>
      </c>
      <c r="J1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3" s="5">
        <f>VLOOKUP(TrendSheetStgData[Population]&amp;TrendSheetStgData[Trend],Threshold[#All],4,FALSE)</f>
        <v>10</v>
      </c>
      <c r="L1483" s="5">
        <f>VLOOKUP(TrendSheetStgData[Population]&amp;TrendSheetStgData[Trend],Threshold[#All],5,FALSE)</f>
        <v>5</v>
      </c>
      <c r="M1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4" spans="1:13" x14ac:dyDescent="0.25">
      <c r="A1484" t="s">
        <v>111</v>
      </c>
      <c r="B1484" t="s">
        <v>111</v>
      </c>
      <c r="C1484" t="s">
        <v>78</v>
      </c>
      <c r="D1484" s="1" t="s">
        <v>96</v>
      </c>
      <c r="E1484" t="s">
        <v>93</v>
      </c>
      <c r="F1484" t="s">
        <v>30</v>
      </c>
      <c r="G1484">
        <v>19</v>
      </c>
      <c r="H1484">
        <v>317</v>
      </c>
      <c r="I1484" s="5">
        <f>VLOOKUP(TrendSheetStgData[Population]&amp;TrendSheetStgData[Cost Basis]&amp;TrendSheetStgData[Period]&amp;TrendSheetStgData[Trend],TrendSheetPrdData[#All],9,FALSE)</f>
        <v>317</v>
      </c>
      <c r="J1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4" s="5">
        <f>VLOOKUP(TrendSheetStgData[Population]&amp;TrendSheetStgData[Trend],Threshold[#All],4,FALSE)</f>
        <v>10</v>
      </c>
      <c r="L1484" s="5">
        <f>VLOOKUP(TrendSheetStgData[Population]&amp;TrendSheetStgData[Trend],Threshold[#All],5,FALSE)</f>
        <v>5</v>
      </c>
      <c r="M1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5" spans="1:13" x14ac:dyDescent="0.25">
      <c r="A1485" t="s">
        <v>111</v>
      </c>
      <c r="B1485" t="s">
        <v>111</v>
      </c>
      <c r="C1485" t="s">
        <v>78</v>
      </c>
      <c r="D1485" s="1" t="s">
        <v>97</v>
      </c>
      <c r="E1485" t="s">
        <v>93</v>
      </c>
      <c r="F1485" t="s">
        <v>30</v>
      </c>
      <c r="G1485">
        <v>19</v>
      </c>
      <c r="H1485">
        <v>301</v>
      </c>
      <c r="I1485" s="5">
        <f>VLOOKUP(TrendSheetStgData[Population]&amp;TrendSheetStgData[Cost Basis]&amp;TrendSheetStgData[Period]&amp;TrendSheetStgData[Trend],TrendSheetPrdData[#All],9,FALSE)</f>
        <v>301</v>
      </c>
      <c r="J1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5" s="5">
        <f>VLOOKUP(TrendSheetStgData[Population]&amp;TrendSheetStgData[Trend],Threshold[#All],4,FALSE)</f>
        <v>10</v>
      </c>
      <c r="L1485" s="5">
        <f>VLOOKUP(TrendSheetStgData[Population]&amp;TrendSheetStgData[Trend],Threshold[#All],5,FALSE)</f>
        <v>5</v>
      </c>
      <c r="M1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6" spans="1:13" x14ac:dyDescent="0.25">
      <c r="A1486" t="s">
        <v>111</v>
      </c>
      <c r="B1486" t="s">
        <v>111</v>
      </c>
      <c r="C1486" t="s">
        <v>78</v>
      </c>
      <c r="D1486" s="1" t="s">
        <v>98</v>
      </c>
      <c r="E1486" t="s">
        <v>93</v>
      </c>
      <c r="F1486" t="s">
        <v>30</v>
      </c>
      <c r="G1486">
        <v>19</v>
      </c>
      <c r="H1486">
        <v>109</v>
      </c>
      <c r="I1486" s="5">
        <f>VLOOKUP(TrendSheetStgData[Population]&amp;TrendSheetStgData[Cost Basis]&amp;TrendSheetStgData[Period]&amp;TrendSheetStgData[Trend],TrendSheetPrdData[#All],9,FALSE)</f>
        <v>109</v>
      </c>
      <c r="J1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6" s="5">
        <f>VLOOKUP(TrendSheetStgData[Population]&amp;TrendSheetStgData[Trend],Threshold[#All],4,FALSE)</f>
        <v>10</v>
      </c>
      <c r="L1486" s="5">
        <f>VLOOKUP(TrendSheetStgData[Population]&amp;TrendSheetStgData[Trend],Threshold[#All],5,FALSE)</f>
        <v>5</v>
      </c>
      <c r="M1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7" spans="1:13" x14ac:dyDescent="0.25">
      <c r="A1487" t="s">
        <v>111</v>
      </c>
      <c r="B1487" t="s">
        <v>111</v>
      </c>
      <c r="C1487" t="s">
        <v>78</v>
      </c>
      <c r="D1487" s="1" t="s">
        <v>99</v>
      </c>
      <c r="E1487" t="s">
        <v>93</v>
      </c>
      <c r="F1487" t="s">
        <v>30</v>
      </c>
      <c r="G1487">
        <v>19</v>
      </c>
      <c r="H1487">
        <v>214</v>
      </c>
      <c r="I1487" s="5">
        <f>VLOOKUP(TrendSheetStgData[Population]&amp;TrendSheetStgData[Cost Basis]&amp;TrendSheetStgData[Period]&amp;TrendSheetStgData[Trend],TrendSheetPrdData[#All],9,FALSE)</f>
        <v>214</v>
      </c>
      <c r="J1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7" s="5">
        <f>VLOOKUP(TrendSheetStgData[Population]&amp;TrendSheetStgData[Trend],Threshold[#All],4,FALSE)</f>
        <v>10</v>
      </c>
      <c r="L1487" s="5">
        <f>VLOOKUP(TrendSheetStgData[Population]&amp;TrendSheetStgData[Trend],Threshold[#All],5,FALSE)</f>
        <v>5</v>
      </c>
      <c r="M1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8" spans="1:13" x14ac:dyDescent="0.25">
      <c r="A1488" t="s">
        <v>111</v>
      </c>
      <c r="B1488" t="s">
        <v>111</v>
      </c>
      <c r="C1488" t="s">
        <v>78</v>
      </c>
      <c r="D1488" s="1" t="s">
        <v>100</v>
      </c>
      <c r="E1488" t="s">
        <v>93</v>
      </c>
      <c r="F1488" t="s">
        <v>30</v>
      </c>
      <c r="G1488">
        <v>19</v>
      </c>
      <c r="H1488">
        <v>160</v>
      </c>
      <c r="I1488" s="5">
        <f>VLOOKUP(TrendSheetStgData[Population]&amp;TrendSheetStgData[Cost Basis]&amp;TrendSheetStgData[Period]&amp;TrendSheetStgData[Trend],TrendSheetPrdData[#All],9,FALSE)</f>
        <v>160</v>
      </c>
      <c r="J1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8" s="5">
        <f>VLOOKUP(TrendSheetStgData[Population]&amp;TrendSheetStgData[Trend],Threshold[#All],4,FALSE)</f>
        <v>10</v>
      </c>
      <c r="L1488" s="5">
        <f>VLOOKUP(TrendSheetStgData[Population]&amp;TrendSheetStgData[Trend],Threshold[#All],5,FALSE)</f>
        <v>5</v>
      </c>
      <c r="M1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9" spans="1:13" x14ac:dyDescent="0.25">
      <c r="A1489" t="s">
        <v>111</v>
      </c>
      <c r="B1489" t="s">
        <v>111</v>
      </c>
      <c r="C1489" t="s">
        <v>78</v>
      </c>
      <c r="D1489" s="1" t="s">
        <v>101</v>
      </c>
      <c r="E1489" t="s">
        <v>93</v>
      </c>
      <c r="F1489" t="s">
        <v>30</v>
      </c>
      <c r="G1489">
        <v>19</v>
      </c>
      <c r="H1489">
        <v>253</v>
      </c>
      <c r="I1489" s="5">
        <f>VLOOKUP(TrendSheetStgData[Population]&amp;TrendSheetStgData[Cost Basis]&amp;TrendSheetStgData[Period]&amp;TrendSheetStgData[Trend],TrendSheetPrdData[#All],9,FALSE)</f>
        <v>253</v>
      </c>
      <c r="J1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9" s="5">
        <f>VLOOKUP(TrendSheetStgData[Population]&amp;TrendSheetStgData[Trend],Threshold[#All],4,FALSE)</f>
        <v>10</v>
      </c>
      <c r="L1489" s="5">
        <f>VLOOKUP(TrendSheetStgData[Population]&amp;TrendSheetStgData[Trend],Threshold[#All],5,FALSE)</f>
        <v>5</v>
      </c>
      <c r="M1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0" spans="1:13" x14ac:dyDescent="0.25">
      <c r="A1490" t="s">
        <v>111</v>
      </c>
      <c r="B1490" t="s">
        <v>111</v>
      </c>
      <c r="C1490" t="s">
        <v>78</v>
      </c>
      <c r="D1490" s="1" t="s">
        <v>102</v>
      </c>
      <c r="E1490" t="s">
        <v>93</v>
      </c>
      <c r="F1490" t="s">
        <v>30</v>
      </c>
      <c r="G1490">
        <v>19</v>
      </c>
      <c r="H1490">
        <v>237</v>
      </c>
      <c r="I1490" s="5">
        <f>VLOOKUP(TrendSheetStgData[Population]&amp;TrendSheetStgData[Cost Basis]&amp;TrendSheetStgData[Period]&amp;TrendSheetStgData[Trend],TrendSheetPrdData[#All],9,FALSE)</f>
        <v>237</v>
      </c>
      <c r="J1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0" s="5">
        <f>VLOOKUP(TrendSheetStgData[Population]&amp;TrendSheetStgData[Trend],Threshold[#All],4,FALSE)</f>
        <v>10</v>
      </c>
      <c r="L1490" s="5">
        <f>VLOOKUP(TrendSheetStgData[Population]&amp;TrendSheetStgData[Trend],Threshold[#All],5,FALSE)</f>
        <v>5</v>
      </c>
      <c r="M1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1" spans="1:13" x14ac:dyDescent="0.25">
      <c r="A1491" t="s">
        <v>111</v>
      </c>
      <c r="B1491" t="s">
        <v>111</v>
      </c>
      <c r="C1491" t="s">
        <v>78</v>
      </c>
      <c r="D1491" s="1" t="s">
        <v>103</v>
      </c>
      <c r="E1491" t="s">
        <v>93</v>
      </c>
      <c r="F1491" t="s">
        <v>30</v>
      </c>
      <c r="G1491">
        <v>19</v>
      </c>
      <c r="H1491">
        <v>299</v>
      </c>
      <c r="I1491" s="5">
        <f>VLOOKUP(TrendSheetStgData[Population]&amp;TrendSheetStgData[Cost Basis]&amp;TrendSheetStgData[Period]&amp;TrendSheetStgData[Trend],TrendSheetPrdData[#All],9,FALSE)</f>
        <v>299</v>
      </c>
      <c r="J1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1" s="5">
        <f>VLOOKUP(TrendSheetStgData[Population]&amp;TrendSheetStgData[Trend],Threshold[#All],4,FALSE)</f>
        <v>10</v>
      </c>
      <c r="L1491" s="5">
        <f>VLOOKUP(TrendSheetStgData[Population]&amp;TrendSheetStgData[Trend],Threshold[#All],5,FALSE)</f>
        <v>5</v>
      </c>
      <c r="M1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2" spans="1:13" x14ac:dyDescent="0.25">
      <c r="A1492" t="s">
        <v>111</v>
      </c>
      <c r="B1492" t="s">
        <v>111</v>
      </c>
      <c r="C1492" t="s">
        <v>78</v>
      </c>
      <c r="D1492" s="1" t="s">
        <v>104</v>
      </c>
      <c r="E1492" t="s">
        <v>93</v>
      </c>
      <c r="F1492" t="s">
        <v>30</v>
      </c>
      <c r="G1492">
        <v>19</v>
      </c>
      <c r="H1492">
        <v>149</v>
      </c>
      <c r="I1492" s="5">
        <f>VLOOKUP(TrendSheetStgData[Population]&amp;TrendSheetStgData[Cost Basis]&amp;TrendSheetStgData[Period]&amp;TrendSheetStgData[Trend],TrendSheetPrdData[#All],9,FALSE)</f>
        <v>149</v>
      </c>
      <c r="J1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2" s="5">
        <f>VLOOKUP(TrendSheetStgData[Population]&amp;TrendSheetStgData[Trend],Threshold[#All],4,FALSE)</f>
        <v>10</v>
      </c>
      <c r="L1492" s="5">
        <f>VLOOKUP(TrendSheetStgData[Population]&amp;TrendSheetStgData[Trend],Threshold[#All],5,FALSE)</f>
        <v>5</v>
      </c>
      <c r="M1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3" spans="1:13" x14ac:dyDescent="0.25">
      <c r="A1493" t="s">
        <v>111</v>
      </c>
      <c r="B1493" t="s">
        <v>111</v>
      </c>
      <c r="C1493" t="s">
        <v>78</v>
      </c>
      <c r="D1493" s="1" t="s">
        <v>105</v>
      </c>
      <c r="E1493" t="s">
        <v>108</v>
      </c>
      <c r="F1493" t="s">
        <v>30</v>
      </c>
      <c r="G1493">
        <v>19</v>
      </c>
      <c r="H1493">
        <v>202</v>
      </c>
      <c r="I1493" s="5">
        <f>VLOOKUP(TrendSheetStgData[Population]&amp;TrendSheetStgData[Cost Basis]&amp;TrendSheetStgData[Period]&amp;TrendSheetStgData[Trend],TrendSheetPrdData[#All],9,FALSE)</f>
        <v>202</v>
      </c>
      <c r="J1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3" s="5">
        <f>VLOOKUP(TrendSheetStgData[Population]&amp;TrendSheetStgData[Trend],Threshold[#All],4,FALSE)</f>
        <v>10</v>
      </c>
      <c r="L1493" s="5">
        <f>VLOOKUP(TrendSheetStgData[Population]&amp;TrendSheetStgData[Trend],Threshold[#All],5,FALSE)</f>
        <v>5</v>
      </c>
      <c r="M1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4" spans="1:13" x14ac:dyDescent="0.25">
      <c r="A1494" t="s">
        <v>111</v>
      </c>
      <c r="B1494" t="s">
        <v>111</v>
      </c>
      <c r="C1494" t="s">
        <v>78</v>
      </c>
      <c r="D1494" s="1" t="s">
        <v>106</v>
      </c>
      <c r="E1494" t="s">
        <v>108</v>
      </c>
      <c r="F1494" t="s">
        <v>30</v>
      </c>
      <c r="G1494">
        <v>19</v>
      </c>
      <c r="H1494">
        <v>126</v>
      </c>
      <c r="I1494" s="5">
        <f>VLOOKUP(TrendSheetStgData[Population]&amp;TrendSheetStgData[Cost Basis]&amp;TrendSheetStgData[Period]&amp;TrendSheetStgData[Trend],TrendSheetPrdData[#All],9,FALSE)</f>
        <v>126</v>
      </c>
      <c r="J1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4" s="5">
        <f>VLOOKUP(TrendSheetStgData[Population]&amp;TrendSheetStgData[Trend],Threshold[#All],4,FALSE)</f>
        <v>10</v>
      </c>
      <c r="L1494" s="5">
        <f>VLOOKUP(TrendSheetStgData[Population]&amp;TrendSheetStgData[Trend],Threshold[#All],5,FALSE)</f>
        <v>5</v>
      </c>
      <c r="M1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5" spans="1:13" x14ac:dyDescent="0.25">
      <c r="A1495" t="s">
        <v>111</v>
      </c>
      <c r="B1495" t="s">
        <v>111</v>
      </c>
      <c r="C1495" t="s">
        <v>78</v>
      </c>
      <c r="D1495" s="1" t="s">
        <v>107</v>
      </c>
      <c r="E1495" t="s">
        <v>108</v>
      </c>
      <c r="F1495" t="s">
        <v>30</v>
      </c>
      <c r="G1495">
        <v>19</v>
      </c>
      <c r="H1495">
        <v>161</v>
      </c>
      <c r="I1495" s="5">
        <f>VLOOKUP(TrendSheetStgData[Population]&amp;TrendSheetStgData[Cost Basis]&amp;TrendSheetStgData[Period]&amp;TrendSheetStgData[Trend],TrendSheetPrdData[#All],9,FALSE)</f>
        <v>161</v>
      </c>
      <c r="J1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5" s="5">
        <f>VLOOKUP(TrendSheetStgData[Population]&amp;TrendSheetStgData[Trend],Threshold[#All],4,FALSE)</f>
        <v>10</v>
      </c>
      <c r="L1495" s="5">
        <f>VLOOKUP(TrendSheetStgData[Population]&amp;TrendSheetStgData[Trend],Threshold[#All],5,FALSE)</f>
        <v>5</v>
      </c>
      <c r="M1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6" spans="1:13" x14ac:dyDescent="0.25">
      <c r="A1496" t="s">
        <v>111</v>
      </c>
      <c r="B1496" t="s">
        <v>111</v>
      </c>
      <c r="C1496" t="s">
        <v>78</v>
      </c>
      <c r="D1496" s="1" t="s">
        <v>109</v>
      </c>
      <c r="E1496" t="s">
        <v>108</v>
      </c>
      <c r="F1496" t="s">
        <v>30</v>
      </c>
      <c r="G1496">
        <v>19</v>
      </c>
      <c r="H1496">
        <v>118</v>
      </c>
      <c r="I1496" s="5">
        <f>VLOOKUP(TrendSheetStgData[Population]&amp;TrendSheetStgData[Cost Basis]&amp;TrendSheetStgData[Period]&amp;TrendSheetStgData[Trend],TrendSheetPrdData[#All],9,FALSE)</f>
        <v>118</v>
      </c>
      <c r="J1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6" s="5">
        <f>VLOOKUP(TrendSheetStgData[Population]&amp;TrendSheetStgData[Trend],Threshold[#All],4,FALSE)</f>
        <v>10</v>
      </c>
      <c r="L1496" s="5">
        <f>VLOOKUP(TrendSheetStgData[Population]&amp;TrendSheetStgData[Trend],Threshold[#All],5,FALSE)</f>
        <v>5</v>
      </c>
      <c r="M1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7" spans="1:13" x14ac:dyDescent="0.25">
      <c r="A1497" t="s">
        <v>111</v>
      </c>
      <c r="B1497" t="s">
        <v>111</v>
      </c>
      <c r="C1497" t="s">
        <v>78</v>
      </c>
      <c r="D1497" s="1" t="s">
        <v>110</v>
      </c>
      <c r="E1497" t="s">
        <v>108</v>
      </c>
      <c r="F1497" t="s">
        <v>30</v>
      </c>
      <c r="G1497">
        <v>19</v>
      </c>
      <c r="H1497">
        <v>50</v>
      </c>
      <c r="I1497" s="5">
        <f>VLOOKUP(TrendSheetStgData[Population]&amp;TrendSheetStgData[Cost Basis]&amp;TrendSheetStgData[Period]&amp;TrendSheetStgData[Trend],TrendSheetPrdData[#All],9,FALSE)</f>
        <v>50</v>
      </c>
      <c r="J1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7" s="5">
        <f>VLOOKUP(TrendSheetStgData[Population]&amp;TrendSheetStgData[Trend],Threshold[#All],4,FALSE)</f>
        <v>10</v>
      </c>
      <c r="L1497" s="5">
        <f>VLOOKUP(TrendSheetStgData[Population]&amp;TrendSheetStgData[Trend],Threshold[#All],5,FALSE)</f>
        <v>5</v>
      </c>
      <c r="M1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8" spans="1:13" x14ac:dyDescent="0.25">
      <c r="A1498" t="s">
        <v>111</v>
      </c>
      <c r="B1498" t="s">
        <v>111</v>
      </c>
      <c r="C1498" t="s">
        <v>78</v>
      </c>
      <c r="D1498" s="1" t="s">
        <v>92</v>
      </c>
      <c r="E1498" t="s">
        <v>93</v>
      </c>
      <c r="F1498" t="s">
        <v>31</v>
      </c>
      <c r="G1498">
        <v>20</v>
      </c>
      <c r="H1498">
        <v>2961</v>
      </c>
      <c r="I1498" s="5">
        <f>VLOOKUP(TrendSheetStgData[Population]&amp;TrendSheetStgData[Cost Basis]&amp;TrendSheetStgData[Period]&amp;TrendSheetStgData[Trend],TrendSheetPrdData[#All],9,FALSE)</f>
        <v>2961</v>
      </c>
      <c r="J1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8" s="5">
        <f>VLOOKUP(TrendSheetStgData[Population]&amp;TrendSheetStgData[Trend],Threshold[#All],4,FALSE)</f>
        <v>10</v>
      </c>
      <c r="L1498" s="5">
        <f>VLOOKUP(TrendSheetStgData[Population]&amp;TrendSheetStgData[Trend],Threshold[#All],5,FALSE)</f>
        <v>5</v>
      </c>
      <c r="M1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9" spans="1:13" x14ac:dyDescent="0.25">
      <c r="A1499" t="s">
        <v>111</v>
      </c>
      <c r="B1499" t="s">
        <v>111</v>
      </c>
      <c r="C1499" t="s">
        <v>78</v>
      </c>
      <c r="D1499" s="1" t="s">
        <v>94</v>
      </c>
      <c r="E1499" t="s">
        <v>93</v>
      </c>
      <c r="F1499" t="s">
        <v>31</v>
      </c>
      <c r="G1499">
        <v>20</v>
      </c>
      <c r="H1499">
        <v>2645</v>
      </c>
      <c r="I1499" s="5">
        <f>VLOOKUP(TrendSheetStgData[Population]&amp;TrendSheetStgData[Cost Basis]&amp;TrendSheetStgData[Period]&amp;TrendSheetStgData[Trend],TrendSheetPrdData[#All],9,FALSE)</f>
        <v>2645</v>
      </c>
      <c r="J1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9" s="5">
        <f>VLOOKUP(TrendSheetStgData[Population]&amp;TrendSheetStgData[Trend],Threshold[#All],4,FALSE)</f>
        <v>10</v>
      </c>
      <c r="L1499" s="5">
        <f>VLOOKUP(TrendSheetStgData[Population]&amp;TrendSheetStgData[Trend],Threshold[#All],5,FALSE)</f>
        <v>5</v>
      </c>
      <c r="M1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0" spans="1:13" x14ac:dyDescent="0.25">
      <c r="A1500" t="s">
        <v>111</v>
      </c>
      <c r="B1500" t="s">
        <v>111</v>
      </c>
      <c r="C1500" t="s">
        <v>78</v>
      </c>
      <c r="D1500" s="1" t="s">
        <v>95</v>
      </c>
      <c r="E1500" t="s">
        <v>93</v>
      </c>
      <c r="F1500" t="s">
        <v>31</v>
      </c>
      <c r="G1500">
        <v>20</v>
      </c>
      <c r="H1500">
        <v>2612</v>
      </c>
      <c r="I1500" s="5">
        <f>VLOOKUP(TrendSheetStgData[Population]&amp;TrendSheetStgData[Cost Basis]&amp;TrendSheetStgData[Period]&amp;TrendSheetStgData[Trend],TrendSheetPrdData[#All],9,FALSE)</f>
        <v>2612</v>
      </c>
      <c r="J1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0" s="5">
        <f>VLOOKUP(TrendSheetStgData[Population]&amp;TrendSheetStgData[Trend],Threshold[#All],4,FALSE)</f>
        <v>10</v>
      </c>
      <c r="L1500" s="5">
        <f>VLOOKUP(TrendSheetStgData[Population]&amp;TrendSheetStgData[Trend],Threshold[#All],5,FALSE)</f>
        <v>5</v>
      </c>
      <c r="M1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1" spans="1:13" x14ac:dyDescent="0.25">
      <c r="A1501" t="s">
        <v>111</v>
      </c>
      <c r="B1501" t="s">
        <v>111</v>
      </c>
      <c r="C1501" t="s">
        <v>78</v>
      </c>
      <c r="D1501" s="1" t="s">
        <v>96</v>
      </c>
      <c r="E1501" t="s">
        <v>93</v>
      </c>
      <c r="F1501" t="s">
        <v>31</v>
      </c>
      <c r="G1501">
        <v>20</v>
      </c>
      <c r="H1501">
        <v>2559</v>
      </c>
      <c r="I1501" s="5">
        <f>VLOOKUP(TrendSheetStgData[Population]&amp;TrendSheetStgData[Cost Basis]&amp;TrendSheetStgData[Period]&amp;TrendSheetStgData[Trend],TrendSheetPrdData[#All],9,FALSE)</f>
        <v>2559</v>
      </c>
      <c r="J1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1" s="5">
        <f>VLOOKUP(TrendSheetStgData[Population]&amp;TrendSheetStgData[Trend],Threshold[#All],4,FALSE)</f>
        <v>10</v>
      </c>
      <c r="L1501" s="5">
        <f>VLOOKUP(TrendSheetStgData[Population]&amp;TrendSheetStgData[Trend],Threshold[#All],5,FALSE)</f>
        <v>5</v>
      </c>
      <c r="M1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2" spans="1:13" x14ac:dyDescent="0.25">
      <c r="A1502" t="s">
        <v>111</v>
      </c>
      <c r="B1502" t="s">
        <v>111</v>
      </c>
      <c r="C1502" t="s">
        <v>78</v>
      </c>
      <c r="D1502" s="1" t="s">
        <v>97</v>
      </c>
      <c r="E1502" t="s">
        <v>93</v>
      </c>
      <c r="F1502" t="s">
        <v>31</v>
      </c>
      <c r="G1502">
        <v>20</v>
      </c>
      <c r="H1502">
        <v>2215</v>
      </c>
      <c r="I1502" s="5">
        <f>VLOOKUP(TrendSheetStgData[Population]&amp;TrendSheetStgData[Cost Basis]&amp;TrendSheetStgData[Period]&amp;TrendSheetStgData[Trend],TrendSheetPrdData[#All],9,FALSE)</f>
        <v>2215</v>
      </c>
      <c r="J1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2" s="5">
        <f>VLOOKUP(TrendSheetStgData[Population]&amp;TrendSheetStgData[Trend],Threshold[#All],4,FALSE)</f>
        <v>10</v>
      </c>
      <c r="L1502" s="5">
        <f>VLOOKUP(TrendSheetStgData[Population]&amp;TrendSheetStgData[Trend],Threshold[#All],5,FALSE)</f>
        <v>5</v>
      </c>
      <c r="M1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3" spans="1:13" x14ac:dyDescent="0.25">
      <c r="A1503" t="s">
        <v>111</v>
      </c>
      <c r="B1503" t="s">
        <v>111</v>
      </c>
      <c r="C1503" t="s">
        <v>78</v>
      </c>
      <c r="D1503" s="1" t="s">
        <v>98</v>
      </c>
      <c r="E1503" t="s">
        <v>93</v>
      </c>
      <c r="F1503" t="s">
        <v>31</v>
      </c>
      <c r="G1503">
        <v>20</v>
      </c>
      <c r="H1503">
        <v>2573</v>
      </c>
      <c r="I1503" s="5">
        <f>VLOOKUP(TrendSheetStgData[Population]&amp;TrendSheetStgData[Cost Basis]&amp;TrendSheetStgData[Period]&amp;TrendSheetStgData[Trend],TrendSheetPrdData[#All],9,FALSE)</f>
        <v>2573</v>
      </c>
      <c r="J1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3" s="5">
        <f>VLOOKUP(TrendSheetStgData[Population]&amp;TrendSheetStgData[Trend],Threshold[#All],4,FALSE)</f>
        <v>10</v>
      </c>
      <c r="L1503" s="5">
        <f>VLOOKUP(TrendSheetStgData[Population]&amp;TrendSheetStgData[Trend],Threshold[#All],5,FALSE)</f>
        <v>5</v>
      </c>
      <c r="M1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4" spans="1:13" x14ac:dyDescent="0.25">
      <c r="A1504" t="s">
        <v>111</v>
      </c>
      <c r="B1504" t="s">
        <v>111</v>
      </c>
      <c r="C1504" t="s">
        <v>78</v>
      </c>
      <c r="D1504" s="1" t="s">
        <v>99</v>
      </c>
      <c r="E1504" t="s">
        <v>93</v>
      </c>
      <c r="F1504" t="s">
        <v>31</v>
      </c>
      <c r="G1504">
        <v>20</v>
      </c>
      <c r="H1504">
        <v>2520</v>
      </c>
      <c r="I1504" s="5">
        <f>VLOOKUP(TrendSheetStgData[Population]&amp;TrendSheetStgData[Cost Basis]&amp;TrendSheetStgData[Period]&amp;TrendSheetStgData[Trend],TrendSheetPrdData[#All],9,FALSE)</f>
        <v>2520</v>
      </c>
      <c r="J1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4" s="5">
        <f>VLOOKUP(TrendSheetStgData[Population]&amp;TrendSheetStgData[Trend],Threshold[#All],4,FALSE)</f>
        <v>10</v>
      </c>
      <c r="L1504" s="5">
        <f>VLOOKUP(TrendSheetStgData[Population]&amp;TrendSheetStgData[Trend],Threshold[#All],5,FALSE)</f>
        <v>5</v>
      </c>
      <c r="M1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5" spans="1:13" x14ac:dyDescent="0.25">
      <c r="A1505" t="s">
        <v>111</v>
      </c>
      <c r="B1505" t="s">
        <v>111</v>
      </c>
      <c r="C1505" t="s">
        <v>78</v>
      </c>
      <c r="D1505" s="1" t="s">
        <v>100</v>
      </c>
      <c r="E1505" t="s">
        <v>93</v>
      </c>
      <c r="F1505" t="s">
        <v>31</v>
      </c>
      <c r="G1505">
        <v>20</v>
      </c>
      <c r="H1505">
        <v>2552</v>
      </c>
      <c r="I1505" s="5">
        <f>VLOOKUP(TrendSheetStgData[Population]&amp;TrendSheetStgData[Cost Basis]&amp;TrendSheetStgData[Period]&amp;TrendSheetStgData[Trend],TrendSheetPrdData[#All],9,FALSE)</f>
        <v>2552</v>
      </c>
      <c r="J1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5" s="5">
        <f>VLOOKUP(TrendSheetStgData[Population]&amp;TrendSheetStgData[Trend],Threshold[#All],4,FALSE)</f>
        <v>10</v>
      </c>
      <c r="L1505" s="5">
        <f>VLOOKUP(TrendSheetStgData[Population]&amp;TrendSheetStgData[Trend],Threshold[#All],5,FALSE)</f>
        <v>5</v>
      </c>
      <c r="M1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6" spans="1:13" x14ac:dyDescent="0.25">
      <c r="A1506" t="s">
        <v>111</v>
      </c>
      <c r="B1506" t="s">
        <v>111</v>
      </c>
      <c r="C1506" t="s">
        <v>78</v>
      </c>
      <c r="D1506" s="1" t="s">
        <v>101</v>
      </c>
      <c r="E1506" t="s">
        <v>93</v>
      </c>
      <c r="F1506" t="s">
        <v>31</v>
      </c>
      <c r="G1506">
        <v>20</v>
      </c>
      <c r="H1506">
        <v>2625</v>
      </c>
      <c r="I1506" s="5">
        <f>VLOOKUP(TrendSheetStgData[Population]&amp;TrendSheetStgData[Cost Basis]&amp;TrendSheetStgData[Period]&amp;TrendSheetStgData[Trend],TrendSheetPrdData[#All],9,FALSE)</f>
        <v>2625</v>
      </c>
      <c r="J1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6" s="5">
        <f>VLOOKUP(TrendSheetStgData[Population]&amp;TrendSheetStgData[Trend],Threshold[#All],4,FALSE)</f>
        <v>10</v>
      </c>
      <c r="L1506" s="5">
        <f>VLOOKUP(TrendSheetStgData[Population]&amp;TrendSheetStgData[Trend],Threshold[#All],5,FALSE)</f>
        <v>5</v>
      </c>
      <c r="M1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7" spans="1:13" x14ac:dyDescent="0.25">
      <c r="A1507" t="s">
        <v>111</v>
      </c>
      <c r="B1507" t="s">
        <v>111</v>
      </c>
      <c r="C1507" t="s">
        <v>78</v>
      </c>
      <c r="D1507" s="1" t="s">
        <v>102</v>
      </c>
      <c r="E1507" t="s">
        <v>93</v>
      </c>
      <c r="F1507" t="s">
        <v>31</v>
      </c>
      <c r="G1507">
        <v>20</v>
      </c>
      <c r="H1507">
        <v>2445</v>
      </c>
      <c r="I1507" s="5">
        <f>VLOOKUP(TrendSheetStgData[Population]&amp;TrendSheetStgData[Cost Basis]&amp;TrendSheetStgData[Period]&amp;TrendSheetStgData[Trend],TrendSheetPrdData[#All],9,FALSE)</f>
        <v>2445</v>
      </c>
      <c r="J1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7" s="5">
        <f>VLOOKUP(TrendSheetStgData[Population]&amp;TrendSheetStgData[Trend],Threshold[#All],4,FALSE)</f>
        <v>10</v>
      </c>
      <c r="L1507" s="5">
        <f>VLOOKUP(TrendSheetStgData[Population]&amp;TrendSheetStgData[Trend],Threshold[#All],5,FALSE)</f>
        <v>5</v>
      </c>
      <c r="M1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8" spans="1:13" x14ac:dyDescent="0.25">
      <c r="A1508" t="s">
        <v>111</v>
      </c>
      <c r="B1508" t="s">
        <v>111</v>
      </c>
      <c r="C1508" t="s">
        <v>78</v>
      </c>
      <c r="D1508" s="1" t="s">
        <v>103</v>
      </c>
      <c r="E1508" t="s">
        <v>93</v>
      </c>
      <c r="F1508" t="s">
        <v>31</v>
      </c>
      <c r="G1508">
        <v>20</v>
      </c>
      <c r="H1508">
        <v>2514</v>
      </c>
      <c r="I1508" s="5">
        <f>VLOOKUP(TrendSheetStgData[Population]&amp;TrendSheetStgData[Cost Basis]&amp;TrendSheetStgData[Period]&amp;TrendSheetStgData[Trend],TrendSheetPrdData[#All],9,FALSE)</f>
        <v>2514</v>
      </c>
      <c r="J1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8" s="5">
        <f>VLOOKUP(TrendSheetStgData[Population]&amp;TrendSheetStgData[Trend],Threshold[#All],4,FALSE)</f>
        <v>10</v>
      </c>
      <c r="L1508" s="5">
        <f>VLOOKUP(TrendSheetStgData[Population]&amp;TrendSheetStgData[Trend],Threshold[#All],5,FALSE)</f>
        <v>5</v>
      </c>
      <c r="M1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9" spans="1:13" x14ac:dyDescent="0.25">
      <c r="A1509" t="s">
        <v>111</v>
      </c>
      <c r="B1509" t="s">
        <v>111</v>
      </c>
      <c r="C1509" t="s">
        <v>78</v>
      </c>
      <c r="D1509" s="1" t="s">
        <v>104</v>
      </c>
      <c r="E1509" t="s">
        <v>93</v>
      </c>
      <c r="F1509" t="s">
        <v>31</v>
      </c>
      <c r="G1509">
        <v>20</v>
      </c>
      <c r="H1509">
        <v>2475</v>
      </c>
      <c r="I1509" s="5">
        <f>VLOOKUP(TrendSheetStgData[Population]&amp;TrendSheetStgData[Cost Basis]&amp;TrendSheetStgData[Period]&amp;TrendSheetStgData[Trend],TrendSheetPrdData[#All],9,FALSE)</f>
        <v>2475</v>
      </c>
      <c r="J1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09" s="5">
        <f>VLOOKUP(TrendSheetStgData[Population]&amp;TrendSheetStgData[Trend],Threshold[#All],4,FALSE)</f>
        <v>10</v>
      </c>
      <c r="L1509" s="5">
        <f>VLOOKUP(TrendSheetStgData[Population]&amp;TrendSheetStgData[Trend],Threshold[#All],5,FALSE)</f>
        <v>5</v>
      </c>
      <c r="M1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0" spans="1:13" x14ac:dyDescent="0.25">
      <c r="A1510" t="s">
        <v>111</v>
      </c>
      <c r="B1510" t="s">
        <v>111</v>
      </c>
      <c r="C1510" t="s">
        <v>78</v>
      </c>
      <c r="D1510" s="1" t="s">
        <v>105</v>
      </c>
      <c r="E1510" t="s">
        <v>108</v>
      </c>
      <c r="F1510" t="s">
        <v>31</v>
      </c>
      <c r="G1510">
        <v>20</v>
      </c>
      <c r="H1510">
        <v>2498</v>
      </c>
      <c r="I1510" s="5">
        <f>VLOOKUP(TrendSheetStgData[Population]&amp;TrendSheetStgData[Cost Basis]&amp;TrendSheetStgData[Period]&amp;TrendSheetStgData[Trend],TrendSheetPrdData[#All],9,FALSE)</f>
        <v>2498</v>
      </c>
      <c r="J1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0" s="5">
        <f>VLOOKUP(TrendSheetStgData[Population]&amp;TrendSheetStgData[Trend],Threshold[#All],4,FALSE)</f>
        <v>10</v>
      </c>
      <c r="L1510" s="5">
        <f>VLOOKUP(TrendSheetStgData[Population]&amp;TrendSheetStgData[Trend],Threshold[#All],5,FALSE)</f>
        <v>5</v>
      </c>
      <c r="M1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1" spans="1:13" x14ac:dyDescent="0.25">
      <c r="A1511" t="s">
        <v>111</v>
      </c>
      <c r="B1511" t="s">
        <v>111</v>
      </c>
      <c r="C1511" t="s">
        <v>78</v>
      </c>
      <c r="D1511" s="1" t="s">
        <v>106</v>
      </c>
      <c r="E1511" t="s">
        <v>108</v>
      </c>
      <c r="F1511" t="s">
        <v>31</v>
      </c>
      <c r="G1511">
        <v>20</v>
      </c>
      <c r="H1511">
        <v>2614</v>
      </c>
      <c r="I1511" s="5">
        <f>VLOOKUP(TrendSheetStgData[Population]&amp;TrendSheetStgData[Cost Basis]&amp;TrendSheetStgData[Period]&amp;TrendSheetStgData[Trend],TrendSheetPrdData[#All],9,FALSE)</f>
        <v>2614</v>
      </c>
      <c r="J1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1" s="5">
        <f>VLOOKUP(TrendSheetStgData[Population]&amp;TrendSheetStgData[Trend],Threshold[#All],4,FALSE)</f>
        <v>10</v>
      </c>
      <c r="L1511" s="5">
        <f>VLOOKUP(TrendSheetStgData[Population]&amp;TrendSheetStgData[Trend],Threshold[#All],5,FALSE)</f>
        <v>5</v>
      </c>
      <c r="M1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2" spans="1:13" x14ac:dyDescent="0.25">
      <c r="A1512" t="s">
        <v>111</v>
      </c>
      <c r="B1512" t="s">
        <v>111</v>
      </c>
      <c r="C1512" t="s">
        <v>78</v>
      </c>
      <c r="D1512" s="1" t="s">
        <v>107</v>
      </c>
      <c r="E1512" t="s">
        <v>108</v>
      </c>
      <c r="F1512" t="s">
        <v>31</v>
      </c>
      <c r="G1512">
        <v>20</v>
      </c>
      <c r="H1512">
        <v>2502</v>
      </c>
      <c r="I1512" s="5">
        <f>VLOOKUP(TrendSheetStgData[Population]&amp;TrendSheetStgData[Cost Basis]&amp;TrendSheetStgData[Period]&amp;TrendSheetStgData[Trend],TrendSheetPrdData[#All],9,FALSE)</f>
        <v>2502</v>
      </c>
      <c r="J1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2" s="5">
        <f>VLOOKUP(TrendSheetStgData[Population]&amp;TrendSheetStgData[Trend],Threshold[#All],4,FALSE)</f>
        <v>10</v>
      </c>
      <c r="L1512" s="5">
        <f>VLOOKUP(TrendSheetStgData[Population]&amp;TrendSheetStgData[Trend],Threshold[#All],5,FALSE)</f>
        <v>5</v>
      </c>
      <c r="M1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3" spans="1:13" x14ac:dyDescent="0.25">
      <c r="A1513" t="s">
        <v>111</v>
      </c>
      <c r="B1513" t="s">
        <v>111</v>
      </c>
      <c r="C1513" t="s">
        <v>78</v>
      </c>
      <c r="D1513" s="1" t="s">
        <v>109</v>
      </c>
      <c r="E1513" t="s">
        <v>108</v>
      </c>
      <c r="F1513" t="s">
        <v>31</v>
      </c>
      <c r="G1513">
        <v>20</v>
      </c>
      <c r="H1513">
        <v>1981</v>
      </c>
      <c r="I1513" s="5">
        <f>VLOOKUP(TrendSheetStgData[Population]&amp;TrendSheetStgData[Cost Basis]&amp;TrendSheetStgData[Period]&amp;TrendSheetStgData[Trend],TrendSheetPrdData[#All],9,FALSE)</f>
        <v>1981</v>
      </c>
      <c r="J1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3" s="5">
        <f>VLOOKUP(TrendSheetStgData[Population]&amp;TrendSheetStgData[Trend],Threshold[#All],4,FALSE)</f>
        <v>10</v>
      </c>
      <c r="L1513" s="5">
        <f>VLOOKUP(TrendSheetStgData[Population]&amp;TrendSheetStgData[Trend],Threshold[#All],5,FALSE)</f>
        <v>5</v>
      </c>
      <c r="M1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4" spans="1:13" x14ac:dyDescent="0.25">
      <c r="A1514" t="s">
        <v>111</v>
      </c>
      <c r="B1514" t="s">
        <v>111</v>
      </c>
      <c r="C1514" t="s">
        <v>78</v>
      </c>
      <c r="D1514" s="1" t="s">
        <v>110</v>
      </c>
      <c r="E1514" t="s">
        <v>108</v>
      </c>
      <c r="F1514" t="s">
        <v>31</v>
      </c>
      <c r="G1514">
        <v>20</v>
      </c>
      <c r="H1514">
        <v>767</v>
      </c>
      <c r="I1514" s="5">
        <f>VLOOKUP(TrendSheetStgData[Population]&amp;TrendSheetStgData[Cost Basis]&amp;TrendSheetStgData[Period]&amp;TrendSheetStgData[Trend],TrendSheetPrdData[#All],9,FALSE)</f>
        <v>767</v>
      </c>
      <c r="J1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4" s="5">
        <f>VLOOKUP(TrendSheetStgData[Population]&amp;TrendSheetStgData[Trend],Threshold[#All],4,FALSE)</f>
        <v>10</v>
      </c>
      <c r="L1514" s="5">
        <f>VLOOKUP(TrendSheetStgData[Population]&amp;TrendSheetStgData[Trend],Threshold[#All],5,FALSE)</f>
        <v>5</v>
      </c>
      <c r="M1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5" spans="1:13" x14ac:dyDescent="0.25">
      <c r="A1515" t="s">
        <v>111</v>
      </c>
      <c r="B1515" t="s">
        <v>111</v>
      </c>
      <c r="C1515" t="s">
        <v>78</v>
      </c>
      <c r="D1515" s="1" t="s">
        <v>92</v>
      </c>
      <c r="E1515" t="s">
        <v>93</v>
      </c>
      <c r="F1515" t="s">
        <v>32</v>
      </c>
      <c r="G1515">
        <v>21</v>
      </c>
      <c r="H1515">
        <v>3520</v>
      </c>
      <c r="I1515" s="5">
        <f>VLOOKUP(TrendSheetStgData[Population]&amp;TrendSheetStgData[Cost Basis]&amp;TrendSheetStgData[Period]&amp;TrendSheetStgData[Trend],TrendSheetPrdData[#All],9,FALSE)</f>
        <v>3520</v>
      </c>
      <c r="J1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5" s="5">
        <f>VLOOKUP(TrendSheetStgData[Population]&amp;TrendSheetStgData[Trend],Threshold[#All],4,FALSE)</f>
        <v>10</v>
      </c>
      <c r="L1515" s="5">
        <f>VLOOKUP(TrendSheetStgData[Population]&amp;TrendSheetStgData[Trend],Threshold[#All],5,FALSE)</f>
        <v>5</v>
      </c>
      <c r="M1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6" spans="1:13" x14ac:dyDescent="0.25">
      <c r="A1516" t="s">
        <v>111</v>
      </c>
      <c r="B1516" t="s">
        <v>111</v>
      </c>
      <c r="C1516" t="s">
        <v>78</v>
      </c>
      <c r="D1516" s="1" t="s">
        <v>94</v>
      </c>
      <c r="E1516" t="s">
        <v>93</v>
      </c>
      <c r="F1516" t="s">
        <v>32</v>
      </c>
      <c r="G1516">
        <v>21</v>
      </c>
      <c r="H1516">
        <v>3540</v>
      </c>
      <c r="I1516" s="5">
        <f>VLOOKUP(TrendSheetStgData[Population]&amp;TrendSheetStgData[Cost Basis]&amp;TrendSheetStgData[Period]&amp;TrendSheetStgData[Trend],TrendSheetPrdData[#All],9,FALSE)</f>
        <v>3540</v>
      </c>
      <c r="J1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6" s="5">
        <f>VLOOKUP(TrendSheetStgData[Population]&amp;TrendSheetStgData[Trend],Threshold[#All],4,FALSE)</f>
        <v>10</v>
      </c>
      <c r="L1516" s="5">
        <f>VLOOKUP(TrendSheetStgData[Population]&amp;TrendSheetStgData[Trend],Threshold[#All],5,FALSE)</f>
        <v>5</v>
      </c>
      <c r="M1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7" spans="1:13" x14ac:dyDescent="0.25">
      <c r="A1517" t="s">
        <v>111</v>
      </c>
      <c r="B1517" t="s">
        <v>111</v>
      </c>
      <c r="C1517" t="s">
        <v>78</v>
      </c>
      <c r="D1517" s="1" t="s">
        <v>95</v>
      </c>
      <c r="E1517" t="s">
        <v>93</v>
      </c>
      <c r="F1517" t="s">
        <v>32</v>
      </c>
      <c r="G1517">
        <v>21</v>
      </c>
      <c r="H1517">
        <v>3732</v>
      </c>
      <c r="I1517" s="5">
        <f>VLOOKUP(TrendSheetStgData[Population]&amp;TrendSheetStgData[Cost Basis]&amp;TrendSheetStgData[Period]&amp;TrendSheetStgData[Trend],TrendSheetPrdData[#All],9,FALSE)</f>
        <v>3732</v>
      </c>
      <c r="J1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7" s="5">
        <f>VLOOKUP(TrendSheetStgData[Population]&amp;TrendSheetStgData[Trend],Threshold[#All],4,FALSE)</f>
        <v>10</v>
      </c>
      <c r="L1517" s="5">
        <f>VLOOKUP(TrendSheetStgData[Population]&amp;TrendSheetStgData[Trend],Threshold[#All],5,FALSE)</f>
        <v>5</v>
      </c>
      <c r="M1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8" spans="1:13" x14ac:dyDescent="0.25">
      <c r="A1518" t="s">
        <v>111</v>
      </c>
      <c r="B1518" t="s">
        <v>111</v>
      </c>
      <c r="C1518" t="s">
        <v>78</v>
      </c>
      <c r="D1518" s="1" t="s">
        <v>96</v>
      </c>
      <c r="E1518" t="s">
        <v>93</v>
      </c>
      <c r="F1518" t="s">
        <v>32</v>
      </c>
      <c r="G1518">
        <v>21</v>
      </c>
      <c r="H1518">
        <v>3209</v>
      </c>
      <c r="I1518" s="5">
        <f>VLOOKUP(TrendSheetStgData[Population]&amp;TrendSheetStgData[Cost Basis]&amp;TrendSheetStgData[Period]&amp;TrendSheetStgData[Trend],TrendSheetPrdData[#All],9,FALSE)</f>
        <v>3209</v>
      </c>
      <c r="J1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8" s="5">
        <f>VLOOKUP(TrendSheetStgData[Population]&amp;TrendSheetStgData[Trend],Threshold[#All],4,FALSE)</f>
        <v>10</v>
      </c>
      <c r="L1518" s="5">
        <f>VLOOKUP(TrendSheetStgData[Population]&amp;TrendSheetStgData[Trend],Threshold[#All],5,FALSE)</f>
        <v>5</v>
      </c>
      <c r="M1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9" spans="1:13" x14ac:dyDescent="0.25">
      <c r="A1519" t="s">
        <v>111</v>
      </c>
      <c r="B1519" t="s">
        <v>111</v>
      </c>
      <c r="C1519" t="s">
        <v>78</v>
      </c>
      <c r="D1519" s="1" t="s">
        <v>97</v>
      </c>
      <c r="E1519" t="s">
        <v>93</v>
      </c>
      <c r="F1519" t="s">
        <v>32</v>
      </c>
      <c r="G1519">
        <v>21</v>
      </c>
      <c r="H1519">
        <v>3306</v>
      </c>
      <c r="I1519" s="5">
        <f>VLOOKUP(TrendSheetStgData[Population]&amp;TrendSheetStgData[Cost Basis]&amp;TrendSheetStgData[Period]&amp;TrendSheetStgData[Trend],TrendSheetPrdData[#All],9,FALSE)</f>
        <v>3306</v>
      </c>
      <c r="J1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9" s="5">
        <f>VLOOKUP(TrendSheetStgData[Population]&amp;TrendSheetStgData[Trend],Threshold[#All],4,FALSE)</f>
        <v>10</v>
      </c>
      <c r="L1519" s="5">
        <f>VLOOKUP(TrendSheetStgData[Population]&amp;TrendSheetStgData[Trend],Threshold[#All],5,FALSE)</f>
        <v>5</v>
      </c>
      <c r="M1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0" spans="1:13" x14ac:dyDescent="0.25">
      <c r="A1520" t="s">
        <v>111</v>
      </c>
      <c r="B1520" t="s">
        <v>111</v>
      </c>
      <c r="C1520" t="s">
        <v>78</v>
      </c>
      <c r="D1520" s="1" t="s">
        <v>98</v>
      </c>
      <c r="E1520" t="s">
        <v>93</v>
      </c>
      <c r="F1520" t="s">
        <v>32</v>
      </c>
      <c r="G1520">
        <v>21</v>
      </c>
      <c r="H1520">
        <v>3098</v>
      </c>
      <c r="I1520" s="5">
        <f>VLOOKUP(TrendSheetStgData[Population]&amp;TrendSheetStgData[Cost Basis]&amp;TrendSheetStgData[Period]&amp;TrendSheetStgData[Trend],TrendSheetPrdData[#All],9,FALSE)</f>
        <v>3098</v>
      </c>
      <c r="J1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0" s="5">
        <f>VLOOKUP(TrendSheetStgData[Population]&amp;TrendSheetStgData[Trend],Threshold[#All],4,FALSE)</f>
        <v>10</v>
      </c>
      <c r="L1520" s="5">
        <f>VLOOKUP(TrendSheetStgData[Population]&amp;TrendSheetStgData[Trend],Threshold[#All],5,FALSE)</f>
        <v>5</v>
      </c>
      <c r="M1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1" spans="1:13" x14ac:dyDescent="0.25">
      <c r="A1521" t="s">
        <v>111</v>
      </c>
      <c r="B1521" t="s">
        <v>111</v>
      </c>
      <c r="C1521" t="s">
        <v>78</v>
      </c>
      <c r="D1521" s="1" t="s">
        <v>99</v>
      </c>
      <c r="E1521" t="s">
        <v>93</v>
      </c>
      <c r="F1521" t="s">
        <v>32</v>
      </c>
      <c r="G1521">
        <v>21</v>
      </c>
      <c r="H1521">
        <v>2825</v>
      </c>
      <c r="I1521" s="5">
        <f>VLOOKUP(TrendSheetStgData[Population]&amp;TrendSheetStgData[Cost Basis]&amp;TrendSheetStgData[Period]&amp;TrendSheetStgData[Trend],TrendSheetPrdData[#All],9,FALSE)</f>
        <v>2825</v>
      </c>
      <c r="J1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1" s="5">
        <f>VLOOKUP(TrendSheetStgData[Population]&amp;TrendSheetStgData[Trend],Threshold[#All],4,FALSE)</f>
        <v>10</v>
      </c>
      <c r="L1521" s="5">
        <f>VLOOKUP(TrendSheetStgData[Population]&amp;TrendSheetStgData[Trend],Threshold[#All],5,FALSE)</f>
        <v>5</v>
      </c>
      <c r="M1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2" spans="1:13" x14ac:dyDescent="0.25">
      <c r="A1522" t="s">
        <v>111</v>
      </c>
      <c r="B1522" t="s">
        <v>111</v>
      </c>
      <c r="C1522" t="s">
        <v>78</v>
      </c>
      <c r="D1522" s="1" t="s">
        <v>100</v>
      </c>
      <c r="E1522" t="s">
        <v>93</v>
      </c>
      <c r="F1522" t="s">
        <v>32</v>
      </c>
      <c r="G1522">
        <v>21</v>
      </c>
      <c r="H1522">
        <v>3625</v>
      </c>
      <c r="I1522" s="5">
        <f>VLOOKUP(TrendSheetStgData[Population]&amp;TrendSheetStgData[Cost Basis]&amp;TrendSheetStgData[Period]&amp;TrendSheetStgData[Trend],TrendSheetPrdData[#All],9,FALSE)</f>
        <v>3625</v>
      </c>
      <c r="J1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2" s="5">
        <f>VLOOKUP(TrendSheetStgData[Population]&amp;TrendSheetStgData[Trend],Threshold[#All],4,FALSE)</f>
        <v>10</v>
      </c>
      <c r="L1522" s="5">
        <f>VLOOKUP(TrendSheetStgData[Population]&amp;TrendSheetStgData[Trend],Threshold[#All],5,FALSE)</f>
        <v>5</v>
      </c>
      <c r="M1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3" spans="1:13" x14ac:dyDescent="0.25">
      <c r="A1523" t="s">
        <v>111</v>
      </c>
      <c r="B1523" t="s">
        <v>111</v>
      </c>
      <c r="C1523" t="s">
        <v>78</v>
      </c>
      <c r="D1523" s="1" t="s">
        <v>101</v>
      </c>
      <c r="E1523" t="s">
        <v>93</v>
      </c>
      <c r="F1523" t="s">
        <v>32</v>
      </c>
      <c r="G1523">
        <v>21</v>
      </c>
      <c r="H1523">
        <v>3629</v>
      </c>
      <c r="I1523" s="5">
        <f>VLOOKUP(TrendSheetStgData[Population]&amp;TrendSheetStgData[Cost Basis]&amp;TrendSheetStgData[Period]&amp;TrendSheetStgData[Trend],TrendSheetPrdData[#All],9,FALSE)</f>
        <v>3629</v>
      </c>
      <c r="J1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3" s="5">
        <f>VLOOKUP(TrendSheetStgData[Population]&amp;TrendSheetStgData[Trend],Threshold[#All],4,FALSE)</f>
        <v>10</v>
      </c>
      <c r="L1523" s="5">
        <f>VLOOKUP(TrendSheetStgData[Population]&amp;TrendSheetStgData[Trend],Threshold[#All],5,FALSE)</f>
        <v>5</v>
      </c>
      <c r="M1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4" spans="1:13" x14ac:dyDescent="0.25">
      <c r="A1524" t="s">
        <v>111</v>
      </c>
      <c r="B1524" t="s">
        <v>111</v>
      </c>
      <c r="C1524" t="s">
        <v>78</v>
      </c>
      <c r="D1524" s="1" t="s">
        <v>102</v>
      </c>
      <c r="E1524" t="s">
        <v>93</v>
      </c>
      <c r="F1524" t="s">
        <v>32</v>
      </c>
      <c r="G1524">
        <v>21</v>
      </c>
      <c r="H1524">
        <v>3293</v>
      </c>
      <c r="I1524" s="5">
        <f>VLOOKUP(TrendSheetStgData[Population]&amp;TrendSheetStgData[Cost Basis]&amp;TrendSheetStgData[Period]&amp;TrendSheetStgData[Trend],TrendSheetPrdData[#All],9,FALSE)</f>
        <v>3293</v>
      </c>
      <c r="J1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4" s="5">
        <f>VLOOKUP(TrendSheetStgData[Population]&amp;TrendSheetStgData[Trend],Threshold[#All],4,FALSE)</f>
        <v>10</v>
      </c>
      <c r="L1524" s="5">
        <f>VLOOKUP(TrendSheetStgData[Population]&amp;TrendSheetStgData[Trend],Threshold[#All],5,FALSE)</f>
        <v>5</v>
      </c>
      <c r="M1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5" spans="1:13" x14ac:dyDescent="0.25">
      <c r="A1525" t="s">
        <v>111</v>
      </c>
      <c r="B1525" t="s">
        <v>111</v>
      </c>
      <c r="C1525" t="s">
        <v>78</v>
      </c>
      <c r="D1525" s="1" t="s">
        <v>103</v>
      </c>
      <c r="E1525" t="s">
        <v>93</v>
      </c>
      <c r="F1525" t="s">
        <v>32</v>
      </c>
      <c r="G1525">
        <v>21</v>
      </c>
      <c r="H1525">
        <v>3748</v>
      </c>
      <c r="I1525" s="5">
        <f>VLOOKUP(TrendSheetStgData[Population]&amp;TrendSheetStgData[Cost Basis]&amp;TrendSheetStgData[Period]&amp;TrendSheetStgData[Trend],TrendSheetPrdData[#All],9,FALSE)</f>
        <v>3748</v>
      </c>
      <c r="J1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5" s="5">
        <f>VLOOKUP(TrendSheetStgData[Population]&amp;TrendSheetStgData[Trend],Threshold[#All],4,FALSE)</f>
        <v>10</v>
      </c>
      <c r="L1525" s="5">
        <f>VLOOKUP(TrendSheetStgData[Population]&amp;TrendSheetStgData[Trend],Threshold[#All],5,FALSE)</f>
        <v>5</v>
      </c>
      <c r="M1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6" spans="1:13" x14ac:dyDescent="0.25">
      <c r="A1526" t="s">
        <v>111</v>
      </c>
      <c r="B1526" t="s">
        <v>111</v>
      </c>
      <c r="C1526" t="s">
        <v>78</v>
      </c>
      <c r="D1526" s="1" t="s">
        <v>104</v>
      </c>
      <c r="E1526" t="s">
        <v>93</v>
      </c>
      <c r="F1526" t="s">
        <v>32</v>
      </c>
      <c r="G1526">
        <v>21</v>
      </c>
      <c r="H1526">
        <v>3013</v>
      </c>
      <c r="I1526" s="5">
        <f>VLOOKUP(TrendSheetStgData[Population]&amp;TrendSheetStgData[Cost Basis]&amp;TrendSheetStgData[Period]&amp;TrendSheetStgData[Trend],TrendSheetPrdData[#All],9,FALSE)</f>
        <v>3013</v>
      </c>
      <c r="J1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6" s="5">
        <f>VLOOKUP(TrendSheetStgData[Population]&amp;TrendSheetStgData[Trend],Threshold[#All],4,FALSE)</f>
        <v>10</v>
      </c>
      <c r="L1526" s="5">
        <f>VLOOKUP(TrendSheetStgData[Population]&amp;TrendSheetStgData[Trend],Threshold[#All],5,FALSE)</f>
        <v>5</v>
      </c>
      <c r="M1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7" spans="1:13" x14ac:dyDescent="0.25">
      <c r="A1527" t="s">
        <v>111</v>
      </c>
      <c r="B1527" t="s">
        <v>111</v>
      </c>
      <c r="C1527" t="s">
        <v>78</v>
      </c>
      <c r="D1527" s="1" t="s">
        <v>105</v>
      </c>
      <c r="E1527" t="s">
        <v>108</v>
      </c>
      <c r="F1527" t="s">
        <v>32</v>
      </c>
      <c r="G1527">
        <v>21</v>
      </c>
      <c r="H1527">
        <v>3308</v>
      </c>
      <c r="I1527" s="5">
        <f>VLOOKUP(TrendSheetStgData[Population]&amp;TrendSheetStgData[Cost Basis]&amp;TrendSheetStgData[Period]&amp;TrendSheetStgData[Trend],TrendSheetPrdData[#All],9,FALSE)</f>
        <v>3308</v>
      </c>
      <c r="J1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7" s="5">
        <f>VLOOKUP(TrendSheetStgData[Population]&amp;TrendSheetStgData[Trend],Threshold[#All],4,FALSE)</f>
        <v>10</v>
      </c>
      <c r="L1527" s="5">
        <f>VLOOKUP(TrendSheetStgData[Population]&amp;TrendSheetStgData[Trend],Threshold[#All],5,FALSE)</f>
        <v>5</v>
      </c>
      <c r="M1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8" spans="1:13" x14ac:dyDescent="0.25">
      <c r="A1528" t="s">
        <v>111</v>
      </c>
      <c r="B1528" t="s">
        <v>111</v>
      </c>
      <c r="C1528" t="s">
        <v>78</v>
      </c>
      <c r="D1528" s="1" t="s">
        <v>106</v>
      </c>
      <c r="E1528" t="s">
        <v>108</v>
      </c>
      <c r="F1528" t="s">
        <v>32</v>
      </c>
      <c r="G1528">
        <v>21</v>
      </c>
      <c r="H1528">
        <v>3055</v>
      </c>
      <c r="I1528" s="5">
        <f>VLOOKUP(TrendSheetStgData[Population]&amp;TrendSheetStgData[Cost Basis]&amp;TrendSheetStgData[Period]&amp;TrendSheetStgData[Trend],TrendSheetPrdData[#All],9,FALSE)</f>
        <v>3055</v>
      </c>
      <c r="J1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8" s="5">
        <f>VLOOKUP(TrendSheetStgData[Population]&amp;TrendSheetStgData[Trend],Threshold[#All],4,FALSE)</f>
        <v>10</v>
      </c>
      <c r="L1528" s="5">
        <f>VLOOKUP(TrendSheetStgData[Population]&amp;TrendSheetStgData[Trend],Threshold[#All],5,FALSE)</f>
        <v>5</v>
      </c>
      <c r="M1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9" spans="1:13" x14ac:dyDescent="0.25">
      <c r="A1529" t="s">
        <v>111</v>
      </c>
      <c r="B1529" t="s">
        <v>111</v>
      </c>
      <c r="C1529" t="s">
        <v>78</v>
      </c>
      <c r="D1529" s="1" t="s">
        <v>107</v>
      </c>
      <c r="E1529" t="s">
        <v>108</v>
      </c>
      <c r="F1529" t="s">
        <v>32</v>
      </c>
      <c r="G1529">
        <v>21</v>
      </c>
      <c r="H1529">
        <v>3106</v>
      </c>
      <c r="I1529" s="5">
        <f>VLOOKUP(TrendSheetStgData[Population]&amp;TrendSheetStgData[Cost Basis]&amp;TrendSheetStgData[Period]&amp;TrendSheetStgData[Trend],TrendSheetPrdData[#All],9,FALSE)</f>
        <v>3106</v>
      </c>
      <c r="J1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9" s="5">
        <f>VLOOKUP(TrendSheetStgData[Population]&amp;TrendSheetStgData[Trend],Threshold[#All],4,FALSE)</f>
        <v>10</v>
      </c>
      <c r="L1529" s="5">
        <f>VLOOKUP(TrendSheetStgData[Population]&amp;TrendSheetStgData[Trend],Threshold[#All],5,FALSE)</f>
        <v>5</v>
      </c>
      <c r="M1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0" spans="1:13" x14ac:dyDescent="0.25">
      <c r="A1530" t="s">
        <v>111</v>
      </c>
      <c r="B1530" t="s">
        <v>111</v>
      </c>
      <c r="C1530" t="s">
        <v>78</v>
      </c>
      <c r="D1530" s="1" t="s">
        <v>109</v>
      </c>
      <c r="E1530" t="s">
        <v>108</v>
      </c>
      <c r="F1530" t="s">
        <v>32</v>
      </c>
      <c r="G1530">
        <v>21</v>
      </c>
      <c r="H1530">
        <v>2388</v>
      </c>
      <c r="I1530" s="5">
        <f>VLOOKUP(TrendSheetStgData[Population]&amp;TrendSheetStgData[Cost Basis]&amp;TrendSheetStgData[Period]&amp;TrendSheetStgData[Trend],TrendSheetPrdData[#All],9,FALSE)</f>
        <v>2388</v>
      </c>
      <c r="J1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0" s="5">
        <f>VLOOKUP(TrendSheetStgData[Population]&amp;TrendSheetStgData[Trend],Threshold[#All],4,FALSE)</f>
        <v>10</v>
      </c>
      <c r="L1530" s="5">
        <f>VLOOKUP(TrendSheetStgData[Population]&amp;TrendSheetStgData[Trend],Threshold[#All],5,FALSE)</f>
        <v>5</v>
      </c>
      <c r="M1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1" spans="1:13" x14ac:dyDescent="0.25">
      <c r="A1531" t="s">
        <v>111</v>
      </c>
      <c r="B1531" t="s">
        <v>111</v>
      </c>
      <c r="C1531" t="s">
        <v>78</v>
      </c>
      <c r="D1531" s="1" t="s">
        <v>110</v>
      </c>
      <c r="E1531" t="s">
        <v>108</v>
      </c>
      <c r="F1531" t="s">
        <v>32</v>
      </c>
      <c r="G1531">
        <v>21</v>
      </c>
      <c r="H1531">
        <v>1537</v>
      </c>
      <c r="I1531" s="5">
        <f>VLOOKUP(TrendSheetStgData[Population]&amp;TrendSheetStgData[Cost Basis]&amp;TrendSheetStgData[Period]&amp;TrendSheetStgData[Trend],TrendSheetPrdData[#All],9,FALSE)</f>
        <v>1537</v>
      </c>
      <c r="J1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1" s="5">
        <f>VLOOKUP(TrendSheetStgData[Population]&amp;TrendSheetStgData[Trend],Threshold[#All],4,FALSE)</f>
        <v>10</v>
      </c>
      <c r="L1531" s="5">
        <f>VLOOKUP(TrendSheetStgData[Population]&amp;TrendSheetStgData[Trend],Threshold[#All],5,FALSE)</f>
        <v>5</v>
      </c>
      <c r="M1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2" spans="1:13" x14ac:dyDescent="0.25">
      <c r="A1532" t="s">
        <v>111</v>
      </c>
      <c r="B1532" t="s">
        <v>111</v>
      </c>
      <c r="C1532" t="s">
        <v>78</v>
      </c>
      <c r="D1532" s="1" t="s">
        <v>92</v>
      </c>
      <c r="E1532" t="s">
        <v>93</v>
      </c>
      <c r="F1532" t="s">
        <v>33</v>
      </c>
      <c r="G1532">
        <v>22</v>
      </c>
      <c r="H1532">
        <v>209</v>
      </c>
      <c r="I1532" s="5">
        <f>VLOOKUP(TrendSheetStgData[Population]&amp;TrendSheetStgData[Cost Basis]&amp;TrendSheetStgData[Period]&amp;TrendSheetStgData[Trend],TrendSheetPrdData[#All],9,FALSE)</f>
        <v>209</v>
      </c>
      <c r="J1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2" s="5">
        <f>VLOOKUP(TrendSheetStgData[Population]&amp;TrendSheetStgData[Trend],Threshold[#All],4,FALSE)</f>
        <v>10</v>
      </c>
      <c r="L1532" s="5">
        <f>VLOOKUP(TrendSheetStgData[Population]&amp;TrendSheetStgData[Trend],Threshold[#All],5,FALSE)</f>
        <v>5</v>
      </c>
      <c r="M1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3" spans="1:13" x14ac:dyDescent="0.25">
      <c r="A1533" t="s">
        <v>111</v>
      </c>
      <c r="B1533" t="s">
        <v>111</v>
      </c>
      <c r="C1533" t="s">
        <v>78</v>
      </c>
      <c r="D1533" s="1" t="s">
        <v>94</v>
      </c>
      <c r="E1533" t="s">
        <v>93</v>
      </c>
      <c r="F1533" t="s">
        <v>33</v>
      </c>
      <c r="G1533">
        <v>22</v>
      </c>
      <c r="H1533">
        <v>239</v>
      </c>
      <c r="I1533" s="5">
        <f>VLOOKUP(TrendSheetStgData[Population]&amp;TrendSheetStgData[Cost Basis]&amp;TrendSheetStgData[Period]&amp;TrendSheetStgData[Trend],TrendSheetPrdData[#All],9,FALSE)</f>
        <v>239</v>
      </c>
      <c r="J1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3" s="5">
        <f>VLOOKUP(TrendSheetStgData[Population]&amp;TrendSheetStgData[Trend],Threshold[#All],4,FALSE)</f>
        <v>10</v>
      </c>
      <c r="L1533" s="5">
        <f>VLOOKUP(TrendSheetStgData[Population]&amp;TrendSheetStgData[Trend],Threshold[#All],5,FALSE)</f>
        <v>5</v>
      </c>
      <c r="M1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4" spans="1:13" x14ac:dyDescent="0.25">
      <c r="A1534" t="s">
        <v>111</v>
      </c>
      <c r="B1534" t="s">
        <v>111</v>
      </c>
      <c r="C1534" t="s">
        <v>78</v>
      </c>
      <c r="D1534" s="1" t="s">
        <v>95</v>
      </c>
      <c r="E1534" t="s">
        <v>93</v>
      </c>
      <c r="F1534" t="s">
        <v>33</v>
      </c>
      <c r="G1534">
        <v>22</v>
      </c>
      <c r="H1534">
        <v>285</v>
      </c>
      <c r="I1534" s="5">
        <f>VLOOKUP(TrendSheetStgData[Population]&amp;TrendSheetStgData[Cost Basis]&amp;TrendSheetStgData[Period]&amp;TrendSheetStgData[Trend],TrendSheetPrdData[#All],9,FALSE)</f>
        <v>285</v>
      </c>
      <c r="J1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4" s="5">
        <f>VLOOKUP(TrendSheetStgData[Population]&amp;TrendSheetStgData[Trend],Threshold[#All],4,FALSE)</f>
        <v>10</v>
      </c>
      <c r="L1534" s="5">
        <f>VLOOKUP(TrendSheetStgData[Population]&amp;TrendSheetStgData[Trend],Threshold[#All],5,FALSE)</f>
        <v>5</v>
      </c>
      <c r="M1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5" spans="1:13" x14ac:dyDescent="0.25">
      <c r="A1535" t="s">
        <v>111</v>
      </c>
      <c r="B1535" t="s">
        <v>111</v>
      </c>
      <c r="C1535" t="s">
        <v>78</v>
      </c>
      <c r="D1535" s="1" t="s">
        <v>96</v>
      </c>
      <c r="E1535" t="s">
        <v>93</v>
      </c>
      <c r="F1535" t="s">
        <v>33</v>
      </c>
      <c r="G1535">
        <v>22</v>
      </c>
      <c r="H1535">
        <v>310</v>
      </c>
      <c r="I1535" s="5">
        <f>VLOOKUP(TrendSheetStgData[Population]&amp;TrendSheetStgData[Cost Basis]&amp;TrendSheetStgData[Period]&amp;TrendSheetStgData[Trend],TrendSheetPrdData[#All],9,FALSE)</f>
        <v>310</v>
      </c>
      <c r="J1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5" s="5">
        <f>VLOOKUP(TrendSheetStgData[Population]&amp;TrendSheetStgData[Trend],Threshold[#All],4,FALSE)</f>
        <v>10</v>
      </c>
      <c r="L1535" s="5">
        <f>VLOOKUP(TrendSheetStgData[Population]&amp;TrendSheetStgData[Trend],Threshold[#All],5,FALSE)</f>
        <v>5</v>
      </c>
      <c r="M1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6" spans="1:13" x14ac:dyDescent="0.25">
      <c r="A1536" t="s">
        <v>111</v>
      </c>
      <c r="B1536" t="s">
        <v>111</v>
      </c>
      <c r="C1536" t="s">
        <v>78</v>
      </c>
      <c r="D1536" s="1" t="s">
        <v>97</v>
      </c>
      <c r="E1536" t="s">
        <v>93</v>
      </c>
      <c r="F1536" t="s">
        <v>33</v>
      </c>
      <c r="G1536">
        <v>22</v>
      </c>
      <c r="H1536">
        <v>295</v>
      </c>
      <c r="I1536" s="5">
        <f>VLOOKUP(TrendSheetStgData[Population]&amp;TrendSheetStgData[Cost Basis]&amp;TrendSheetStgData[Period]&amp;TrendSheetStgData[Trend],TrendSheetPrdData[#All],9,FALSE)</f>
        <v>295</v>
      </c>
      <c r="J1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6" s="5">
        <f>VLOOKUP(TrendSheetStgData[Population]&amp;TrendSheetStgData[Trend],Threshold[#All],4,FALSE)</f>
        <v>10</v>
      </c>
      <c r="L1536" s="5">
        <f>VLOOKUP(TrendSheetStgData[Population]&amp;TrendSheetStgData[Trend],Threshold[#All],5,FALSE)</f>
        <v>5</v>
      </c>
      <c r="M1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7" spans="1:13" x14ac:dyDescent="0.25">
      <c r="A1537" t="s">
        <v>111</v>
      </c>
      <c r="B1537" t="s">
        <v>111</v>
      </c>
      <c r="C1537" t="s">
        <v>78</v>
      </c>
      <c r="D1537" s="1" t="s">
        <v>98</v>
      </c>
      <c r="E1537" t="s">
        <v>93</v>
      </c>
      <c r="F1537" t="s">
        <v>33</v>
      </c>
      <c r="G1537">
        <v>22</v>
      </c>
      <c r="H1537">
        <v>236</v>
      </c>
      <c r="I1537" s="5">
        <f>VLOOKUP(TrendSheetStgData[Population]&amp;TrendSheetStgData[Cost Basis]&amp;TrendSheetStgData[Period]&amp;TrendSheetStgData[Trend],TrendSheetPrdData[#All],9,FALSE)</f>
        <v>236</v>
      </c>
      <c r="J1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7" s="5">
        <f>VLOOKUP(TrendSheetStgData[Population]&amp;TrendSheetStgData[Trend],Threshold[#All],4,FALSE)</f>
        <v>10</v>
      </c>
      <c r="L1537" s="5">
        <f>VLOOKUP(TrendSheetStgData[Population]&amp;TrendSheetStgData[Trend],Threshold[#All],5,FALSE)</f>
        <v>5</v>
      </c>
      <c r="M1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8" spans="1:13" x14ac:dyDescent="0.25">
      <c r="A1538" t="s">
        <v>111</v>
      </c>
      <c r="B1538" t="s">
        <v>111</v>
      </c>
      <c r="C1538" t="s">
        <v>78</v>
      </c>
      <c r="D1538" s="1" t="s">
        <v>99</v>
      </c>
      <c r="E1538" t="s">
        <v>93</v>
      </c>
      <c r="F1538" t="s">
        <v>33</v>
      </c>
      <c r="G1538">
        <v>22</v>
      </c>
      <c r="H1538">
        <v>270</v>
      </c>
      <c r="I1538" s="5">
        <f>VLOOKUP(TrendSheetStgData[Population]&amp;TrendSheetStgData[Cost Basis]&amp;TrendSheetStgData[Period]&amp;TrendSheetStgData[Trend],TrendSheetPrdData[#All],9,FALSE)</f>
        <v>270</v>
      </c>
      <c r="J1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8" s="5">
        <f>VLOOKUP(TrendSheetStgData[Population]&amp;TrendSheetStgData[Trend],Threshold[#All],4,FALSE)</f>
        <v>10</v>
      </c>
      <c r="L1538" s="5">
        <f>VLOOKUP(TrendSheetStgData[Population]&amp;TrendSheetStgData[Trend],Threshold[#All],5,FALSE)</f>
        <v>5</v>
      </c>
      <c r="M1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9" spans="1:13" x14ac:dyDescent="0.25">
      <c r="A1539" t="s">
        <v>111</v>
      </c>
      <c r="B1539" t="s">
        <v>111</v>
      </c>
      <c r="C1539" t="s">
        <v>78</v>
      </c>
      <c r="D1539" s="1" t="s">
        <v>100</v>
      </c>
      <c r="E1539" t="s">
        <v>93</v>
      </c>
      <c r="F1539" t="s">
        <v>33</v>
      </c>
      <c r="G1539">
        <v>22</v>
      </c>
      <c r="H1539">
        <v>222</v>
      </c>
      <c r="I1539" s="5">
        <f>VLOOKUP(TrendSheetStgData[Population]&amp;TrendSheetStgData[Cost Basis]&amp;TrendSheetStgData[Period]&amp;TrendSheetStgData[Trend],TrendSheetPrdData[#All],9,FALSE)</f>
        <v>222</v>
      </c>
      <c r="J1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9" s="5">
        <f>VLOOKUP(TrendSheetStgData[Population]&amp;TrendSheetStgData[Trend],Threshold[#All],4,FALSE)</f>
        <v>10</v>
      </c>
      <c r="L1539" s="5">
        <f>VLOOKUP(TrendSheetStgData[Population]&amp;TrendSheetStgData[Trend],Threshold[#All],5,FALSE)</f>
        <v>5</v>
      </c>
      <c r="M1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0" spans="1:13" x14ac:dyDescent="0.25">
      <c r="A1540" t="s">
        <v>111</v>
      </c>
      <c r="B1540" t="s">
        <v>111</v>
      </c>
      <c r="C1540" t="s">
        <v>78</v>
      </c>
      <c r="D1540" s="1" t="s">
        <v>101</v>
      </c>
      <c r="E1540" t="s">
        <v>93</v>
      </c>
      <c r="F1540" t="s">
        <v>33</v>
      </c>
      <c r="G1540">
        <v>22</v>
      </c>
      <c r="H1540">
        <v>210</v>
      </c>
      <c r="I1540" s="5">
        <f>VLOOKUP(TrendSheetStgData[Population]&amp;TrendSheetStgData[Cost Basis]&amp;TrendSheetStgData[Period]&amp;TrendSheetStgData[Trend],TrendSheetPrdData[#All],9,FALSE)</f>
        <v>210</v>
      </c>
      <c r="J1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0" s="5">
        <f>VLOOKUP(TrendSheetStgData[Population]&amp;TrendSheetStgData[Trend],Threshold[#All],4,FALSE)</f>
        <v>10</v>
      </c>
      <c r="L1540" s="5">
        <f>VLOOKUP(TrendSheetStgData[Population]&amp;TrendSheetStgData[Trend],Threshold[#All],5,FALSE)</f>
        <v>5</v>
      </c>
      <c r="M1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1" spans="1:13" x14ac:dyDescent="0.25">
      <c r="A1541" t="s">
        <v>111</v>
      </c>
      <c r="B1541" t="s">
        <v>111</v>
      </c>
      <c r="C1541" t="s">
        <v>78</v>
      </c>
      <c r="D1541" s="1" t="s">
        <v>102</v>
      </c>
      <c r="E1541" t="s">
        <v>93</v>
      </c>
      <c r="F1541" t="s">
        <v>33</v>
      </c>
      <c r="G1541">
        <v>22</v>
      </c>
      <c r="H1541">
        <v>236</v>
      </c>
      <c r="I1541" s="5">
        <f>VLOOKUP(TrendSheetStgData[Population]&amp;TrendSheetStgData[Cost Basis]&amp;TrendSheetStgData[Period]&amp;TrendSheetStgData[Trend],TrendSheetPrdData[#All],9,FALSE)</f>
        <v>236</v>
      </c>
      <c r="J1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1" s="5">
        <f>VLOOKUP(TrendSheetStgData[Population]&amp;TrendSheetStgData[Trend],Threshold[#All],4,FALSE)</f>
        <v>10</v>
      </c>
      <c r="L1541" s="5">
        <f>VLOOKUP(TrendSheetStgData[Population]&amp;TrendSheetStgData[Trend],Threshold[#All],5,FALSE)</f>
        <v>5</v>
      </c>
      <c r="M1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2" spans="1:13" x14ac:dyDescent="0.25">
      <c r="A1542" t="s">
        <v>111</v>
      </c>
      <c r="B1542" t="s">
        <v>111</v>
      </c>
      <c r="C1542" t="s">
        <v>78</v>
      </c>
      <c r="D1542" s="1" t="s">
        <v>103</v>
      </c>
      <c r="E1542" t="s">
        <v>93</v>
      </c>
      <c r="F1542" t="s">
        <v>33</v>
      </c>
      <c r="G1542">
        <v>22</v>
      </c>
      <c r="H1542">
        <v>206</v>
      </c>
      <c r="I1542" s="5">
        <f>VLOOKUP(TrendSheetStgData[Population]&amp;TrendSheetStgData[Cost Basis]&amp;TrendSheetStgData[Period]&amp;TrendSheetStgData[Trend],TrendSheetPrdData[#All],9,FALSE)</f>
        <v>206</v>
      </c>
      <c r="J1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2" s="5">
        <f>VLOOKUP(TrendSheetStgData[Population]&amp;TrendSheetStgData[Trend],Threshold[#All],4,FALSE)</f>
        <v>10</v>
      </c>
      <c r="L1542" s="5">
        <f>VLOOKUP(TrendSheetStgData[Population]&amp;TrendSheetStgData[Trend],Threshold[#All],5,FALSE)</f>
        <v>5</v>
      </c>
      <c r="M1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3" spans="1:13" x14ac:dyDescent="0.25">
      <c r="A1543" t="s">
        <v>111</v>
      </c>
      <c r="B1543" t="s">
        <v>111</v>
      </c>
      <c r="C1543" t="s">
        <v>78</v>
      </c>
      <c r="D1543" s="1" t="s">
        <v>104</v>
      </c>
      <c r="E1543" t="s">
        <v>93</v>
      </c>
      <c r="F1543" t="s">
        <v>33</v>
      </c>
      <c r="G1543">
        <v>22</v>
      </c>
      <c r="H1543">
        <v>340</v>
      </c>
      <c r="I1543" s="5">
        <f>VLOOKUP(TrendSheetStgData[Population]&amp;TrendSheetStgData[Cost Basis]&amp;TrendSheetStgData[Period]&amp;TrendSheetStgData[Trend],TrendSheetPrdData[#All],9,FALSE)</f>
        <v>340</v>
      </c>
      <c r="J1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3" s="5">
        <f>VLOOKUP(TrendSheetStgData[Population]&amp;TrendSheetStgData[Trend],Threshold[#All],4,FALSE)</f>
        <v>10</v>
      </c>
      <c r="L1543" s="5">
        <f>VLOOKUP(TrendSheetStgData[Population]&amp;TrendSheetStgData[Trend],Threshold[#All],5,FALSE)</f>
        <v>5</v>
      </c>
      <c r="M1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4" spans="1:13" x14ac:dyDescent="0.25">
      <c r="A1544" t="s">
        <v>111</v>
      </c>
      <c r="B1544" t="s">
        <v>111</v>
      </c>
      <c r="C1544" t="s">
        <v>78</v>
      </c>
      <c r="D1544" s="1" t="s">
        <v>105</v>
      </c>
      <c r="E1544" t="s">
        <v>108</v>
      </c>
      <c r="F1544" t="s">
        <v>33</v>
      </c>
      <c r="G1544">
        <v>22</v>
      </c>
      <c r="H1544">
        <v>224</v>
      </c>
      <c r="I1544" s="5">
        <f>VLOOKUP(TrendSheetStgData[Population]&amp;TrendSheetStgData[Cost Basis]&amp;TrendSheetStgData[Period]&amp;TrendSheetStgData[Trend],TrendSheetPrdData[#All],9,FALSE)</f>
        <v>224</v>
      </c>
      <c r="J1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4" s="5">
        <f>VLOOKUP(TrendSheetStgData[Population]&amp;TrendSheetStgData[Trend],Threshold[#All],4,FALSE)</f>
        <v>10</v>
      </c>
      <c r="L1544" s="5">
        <f>VLOOKUP(TrendSheetStgData[Population]&amp;TrendSheetStgData[Trend],Threshold[#All],5,FALSE)</f>
        <v>5</v>
      </c>
      <c r="M1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5" spans="1:13" x14ac:dyDescent="0.25">
      <c r="A1545" t="s">
        <v>111</v>
      </c>
      <c r="B1545" t="s">
        <v>111</v>
      </c>
      <c r="C1545" t="s">
        <v>78</v>
      </c>
      <c r="D1545" s="1" t="s">
        <v>106</v>
      </c>
      <c r="E1545" t="s">
        <v>108</v>
      </c>
      <c r="F1545" t="s">
        <v>33</v>
      </c>
      <c r="G1545">
        <v>22</v>
      </c>
      <c r="H1545">
        <v>188</v>
      </c>
      <c r="I1545" s="5">
        <f>VLOOKUP(TrendSheetStgData[Population]&amp;TrendSheetStgData[Cost Basis]&amp;TrendSheetStgData[Period]&amp;TrendSheetStgData[Trend],TrendSheetPrdData[#All],9,FALSE)</f>
        <v>188</v>
      </c>
      <c r="J1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5" s="5">
        <f>VLOOKUP(TrendSheetStgData[Population]&amp;TrendSheetStgData[Trend],Threshold[#All],4,FALSE)</f>
        <v>10</v>
      </c>
      <c r="L1545" s="5">
        <f>VLOOKUP(TrendSheetStgData[Population]&amp;TrendSheetStgData[Trend],Threshold[#All],5,FALSE)</f>
        <v>5</v>
      </c>
      <c r="M1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6" spans="1:13" x14ac:dyDescent="0.25">
      <c r="A1546" t="s">
        <v>111</v>
      </c>
      <c r="B1546" t="s">
        <v>111</v>
      </c>
      <c r="C1546" t="s">
        <v>78</v>
      </c>
      <c r="D1546" s="1" t="s">
        <v>107</v>
      </c>
      <c r="E1546" t="s">
        <v>108</v>
      </c>
      <c r="F1546" t="s">
        <v>33</v>
      </c>
      <c r="G1546">
        <v>22</v>
      </c>
      <c r="H1546">
        <v>224</v>
      </c>
      <c r="I1546" s="5">
        <f>VLOOKUP(TrendSheetStgData[Population]&amp;TrendSheetStgData[Cost Basis]&amp;TrendSheetStgData[Period]&amp;TrendSheetStgData[Trend],TrendSheetPrdData[#All],9,FALSE)</f>
        <v>224</v>
      </c>
      <c r="J1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6" s="5">
        <f>VLOOKUP(TrendSheetStgData[Population]&amp;TrendSheetStgData[Trend],Threshold[#All],4,FALSE)</f>
        <v>10</v>
      </c>
      <c r="L1546" s="5">
        <f>VLOOKUP(TrendSheetStgData[Population]&amp;TrendSheetStgData[Trend],Threshold[#All],5,FALSE)</f>
        <v>5</v>
      </c>
      <c r="M1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7" spans="1:13" x14ac:dyDescent="0.25">
      <c r="A1547" t="s">
        <v>111</v>
      </c>
      <c r="B1547" t="s">
        <v>111</v>
      </c>
      <c r="C1547" t="s">
        <v>78</v>
      </c>
      <c r="D1547" s="1" t="s">
        <v>109</v>
      </c>
      <c r="E1547" t="s">
        <v>108</v>
      </c>
      <c r="F1547" t="s">
        <v>33</v>
      </c>
      <c r="G1547">
        <v>22</v>
      </c>
      <c r="H1547">
        <v>214</v>
      </c>
      <c r="I1547" s="5">
        <f>VLOOKUP(TrendSheetStgData[Population]&amp;TrendSheetStgData[Cost Basis]&amp;TrendSheetStgData[Period]&amp;TrendSheetStgData[Trend],TrendSheetPrdData[#All],9,FALSE)</f>
        <v>214</v>
      </c>
      <c r="J1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7" s="5">
        <f>VLOOKUP(TrendSheetStgData[Population]&amp;TrendSheetStgData[Trend],Threshold[#All],4,FALSE)</f>
        <v>10</v>
      </c>
      <c r="L1547" s="5">
        <f>VLOOKUP(TrendSheetStgData[Population]&amp;TrendSheetStgData[Trend],Threshold[#All],5,FALSE)</f>
        <v>5</v>
      </c>
      <c r="M1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8" spans="1:13" x14ac:dyDescent="0.25">
      <c r="A1548" t="s">
        <v>111</v>
      </c>
      <c r="B1548" t="s">
        <v>111</v>
      </c>
      <c r="C1548" t="s">
        <v>78</v>
      </c>
      <c r="D1548" s="1" t="s">
        <v>110</v>
      </c>
      <c r="E1548" t="s">
        <v>108</v>
      </c>
      <c r="F1548" t="s">
        <v>33</v>
      </c>
      <c r="G1548">
        <v>22</v>
      </c>
      <c r="H1548">
        <v>86</v>
      </c>
      <c r="I1548" s="5">
        <f>VLOOKUP(TrendSheetStgData[Population]&amp;TrendSheetStgData[Cost Basis]&amp;TrendSheetStgData[Period]&amp;TrendSheetStgData[Trend],TrendSheetPrdData[#All],9,FALSE)</f>
        <v>86</v>
      </c>
      <c r="J1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8" s="5">
        <f>VLOOKUP(TrendSheetStgData[Population]&amp;TrendSheetStgData[Trend],Threshold[#All],4,FALSE)</f>
        <v>10</v>
      </c>
      <c r="L1548" s="5">
        <f>VLOOKUP(TrendSheetStgData[Population]&amp;TrendSheetStgData[Trend],Threshold[#All],5,FALSE)</f>
        <v>5</v>
      </c>
      <c r="M1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9" spans="1:13" x14ac:dyDescent="0.25">
      <c r="A1549" t="s">
        <v>111</v>
      </c>
      <c r="B1549" t="s">
        <v>111</v>
      </c>
      <c r="C1549" t="s">
        <v>78</v>
      </c>
      <c r="D1549" s="1" t="s">
        <v>92</v>
      </c>
      <c r="E1549" t="s">
        <v>93</v>
      </c>
      <c r="F1549" t="s">
        <v>34</v>
      </c>
      <c r="G1549">
        <v>23</v>
      </c>
      <c r="H1549">
        <v>2588</v>
      </c>
      <c r="I1549" s="5">
        <f>VLOOKUP(TrendSheetStgData[Population]&amp;TrendSheetStgData[Cost Basis]&amp;TrendSheetStgData[Period]&amp;TrendSheetStgData[Trend],TrendSheetPrdData[#All],9,FALSE)</f>
        <v>2588</v>
      </c>
      <c r="J1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9" s="5">
        <f>VLOOKUP(TrendSheetStgData[Population]&amp;TrendSheetStgData[Trend],Threshold[#All],4,FALSE)</f>
        <v>10</v>
      </c>
      <c r="L1549" s="5">
        <f>VLOOKUP(TrendSheetStgData[Population]&amp;TrendSheetStgData[Trend],Threshold[#All],5,FALSE)</f>
        <v>5</v>
      </c>
      <c r="M1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0" spans="1:13" x14ac:dyDescent="0.25">
      <c r="A1550" t="s">
        <v>111</v>
      </c>
      <c r="B1550" t="s">
        <v>111</v>
      </c>
      <c r="C1550" t="s">
        <v>78</v>
      </c>
      <c r="D1550" s="1" t="s">
        <v>94</v>
      </c>
      <c r="E1550" t="s">
        <v>93</v>
      </c>
      <c r="F1550" t="s">
        <v>34</v>
      </c>
      <c r="G1550">
        <v>23</v>
      </c>
      <c r="H1550">
        <v>2623</v>
      </c>
      <c r="I1550" s="5">
        <f>VLOOKUP(TrendSheetStgData[Population]&amp;TrendSheetStgData[Cost Basis]&amp;TrendSheetStgData[Period]&amp;TrendSheetStgData[Trend],TrendSheetPrdData[#All],9,FALSE)</f>
        <v>2623</v>
      </c>
      <c r="J1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0" s="5">
        <f>VLOOKUP(TrendSheetStgData[Population]&amp;TrendSheetStgData[Trend],Threshold[#All],4,FALSE)</f>
        <v>10</v>
      </c>
      <c r="L1550" s="5">
        <f>VLOOKUP(TrendSheetStgData[Population]&amp;TrendSheetStgData[Trend],Threshold[#All],5,FALSE)</f>
        <v>5</v>
      </c>
      <c r="M1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1" spans="1:13" x14ac:dyDescent="0.25">
      <c r="A1551" t="s">
        <v>111</v>
      </c>
      <c r="B1551" t="s">
        <v>111</v>
      </c>
      <c r="C1551" t="s">
        <v>78</v>
      </c>
      <c r="D1551" s="1" t="s">
        <v>95</v>
      </c>
      <c r="E1551" t="s">
        <v>93</v>
      </c>
      <c r="F1551" t="s">
        <v>34</v>
      </c>
      <c r="G1551">
        <v>23</v>
      </c>
      <c r="H1551">
        <v>2783</v>
      </c>
      <c r="I1551" s="5">
        <f>VLOOKUP(TrendSheetStgData[Population]&amp;TrendSheetStgData[Cost Basis]&amp;TrendSheetStgData[Period]&amp;TrendSheetStgData[Trend],TrendSheetPrdData[#All],9,FALSE)</f>
        <v>2783</v>
      </c>
      <c r="J1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1" s="5">
        <f>VLOOKUP(TrendSheetStgData[Population]&amp;TrendSheetStgData[Trend],Threshold[#All],4,FALSE)</f>
        <v>10</v>
      </c>
      <c r="L1551" s="5">
        <f>VLOOKUP(TrendSheetStgData[Population]&amp;TrendSheetStgData[Trend],Threshold[#All],5,FALSE)</f>
        <v>5</v>
      </c>
      <c r="M1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2" spans="1:13" x14ac:dyDescent="0.25">
      <c r="A1552" t="s">
        <v>111</v>
      </c>
      <c r="B1552" t="s">
        <v>111</v>
      </c>
      <c r="C1552" t="s">
        <v>78</v>
      </c>
      <c r="D1552" s="1" t="s">
        <v>96</v>
      </c>
      <c r="E1552" t="s">
        <v>93</v>
      </c>
      <c r="F1552" t="s">
        <v>34</v>
      </c>
      <c r="G1552">
        <v>23</v>
      </c>
      <c r="H1552">
        <v>2531</v>
      </c>
      <c r="I1552" s="5">
        <f>VLOOKUP(TrendSheetStgData[Population]&amp;TrendSheetStgData[Cost Basis]&amp;TrendSheetStgData[Period]&amp;TrendSheetStgData[Trend],TrendSheetPrdData[#All],9,FALSE)</f>
        <v>2531</v>
      </c>
      <c r="J1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2" s="5">
        <f>VLOOKUP(TrendSheetStgData[Population]&amp;TrendSheetStgData[Trend],Threshold[#All],4,FALSE)</f>
        <v>10</v>
      </c>
      <c r="L1552" s="5">
        <f>VLOOKUP(TrendSheetStgData[Population]&amp;TrendSheetStgData[Trend],Threshold[#All],5,FALSE)</f>
        <v>5</v>
      </c>
      <c r="M1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3" spans="1:13" x14ac:dyDescent="0.25">
      <c r="A1553" t="s">
        <v>111</v>
      </c>
      <c r="B1553" t="s">
        <v>111</v>
      </c>
      <c r="C1553" t="s">
        <v>78</v>
      </c>
      <c r="D1553" s="1" t="s">
        <v>97</v>
      </c>
      <c r="E1553" t="s">
        <v>93</v>
      </c>
      <c r="F1553" t="s">
        <v>34</v>
      </c>
      <c r="G1553">
        <v>23</v>
      </c>
      <c r="H1553">
        <v>2628</v>
      </c>
      <c r="I1553" s="5">
        <f>VLOOKUP(TrendSheetStgData[Population]&amp;TrendSheetStgData[Cost Basis]&amp;TrendSheetStgData[Period]&amp;TrendSheetStgData[Trend],TrendSheetPrdData[#All],9,FALSE)</f>
        <v>2628</v>
      </c>
      <c r="J1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3" s="5">
        <f>VLOOKUP(TrendSheetStgData[Population]&amp;TrendSheetStgData[Trend],Threshold[#All],4,FALSE)</f>
        <v>10</v>
      </c>
      <c r="L1553" s="5">
        <f>VLOOKUP(TrendSheetStgData[Population]&amp;TrendSheetStgData[Trend],Threshold[#All],5,FALSE)</f>
        <v>5</v>
      </c>
      <c r="M1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4" spans="1:13" x14ac:dyDescent="0.25">
      <c r="A1554" t="s">
        <v>111</v>
      </c>
      <c r="B1554" t="s">
        <v>111</v>
      </c>
      <c r="C1554" t="s">
        <v>78</v>
      </c>
      <c r="D1554" s="1" t="s">
        <v>98</v>
      </c>
      <c r="E1554" t="s">
        <v>93</v>
      </c>
      <c r="F1554" t="s">
        <v>34</v>
      </c>
      <c r="G1554">
        <v>23</v>
      </c>
      <c r="H1554">
        <v>2573</v>
      </c>
      <c r="I1554" s="5">
        <f>VLOOKUP(TrendSheetStgData[Population]&amp;TrendSheetStgData[Cost Basis]&amp;TrendSheetStgData[Period]&amp;TrendSheetStgData[Trend],TrendSheetPrdData[#All],9,FALSE)</f>
        <v>2573</v>
      </c>
      <c r="J1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4" s="5">
        <f>VLOOKUP(TrendSheetStgData[Population]&amp;TrendSheetStgData[Trend],Threshold[#All],4,FALSE)</f>
        <v>10</v>
      </c>
      <c r="L1554" s="5">
        <f>VLOOKUP(TrendSheetStgData[Population]&amp;TrendSheetStgData[Trend],Threshold[#All],5,FALSE)</f>
        <v>5</v>
      </c>
      <c r="M1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5" spans="1:13" x14ac:dyDescent="0.25">
      <c r="A1555" t="s">
        <v>111</v>
      </c>
      <c r="B1555" t="s">
        <v>111</v>
      </c>
      <c r="C1555" t="s">
        <v>78</v>
      </c>
      <c r="D1555" s="1" t="s">
        <v>99</v>
      </c>
      <c r="E1555" t="s">
        <v>93</v>
      </c>
      <c r="F1555" t="s">
        <v>34</v>
      </c>
      <c r="G1555">
        <v>23</v>
      </c>
      <c r="H1555">
        <v>2302</v>
      </c>
      <c r="I1555" s="5">
        <f>VLOOKUP(TrendSheetStgData[Population]&amp;TrendSheetStgData[Cost Basis]&amp;TrendSheetStgData[Period]&amp;TrendSheetStgData[Trend],TrendSheetPrdData[#All],9,FALSE)</f>
        <v>2302</v>
      </c>
      <c r="J1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5" s="5">
        <f>VLOOKUP(TrendSheetStgData[Population]&amp;TrendSheetStgData[Trend],Threshold[#All],4,FALSE)</f>
        <v>10</v>
      </c>
      <c r="L1555" s="5">
        <f>VLOOKUP(TrendSheetStgData[Population]&amp;TrendSheetStgData[Trend],Threshold[#All],5,FALSE)</f>
        <v>5</v>
      </c>
      <c r="M1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6" spans="1:13" x14ac:dyDescent="0.25">
      <c r="A1556" t="s">
        <v>111</v>
      </c>
      <c r="B1556" t="s">
        <v>111</v>
      </c>
      <c r="C1556" t="s">
        <v>78</v>
      </c>
      <c r="D1556" s="1" t="s">
        <v>100</v>
      </c>
      <c r="E1556" t="s">
        <v>93</v>
      </c>
      <c r="F1556" t="s">
        <v>34</v>
      </c>
      <c r="G1556">
        <v>23</v>
      </c>
      <c r="H1556">
        <v>2724</v>
      </c>
      <c r="I1556" s="5">
        <f>VLOOKUP(TrendSheetStgData[Population]&amp;TrendSheetStgData[Cost Basis]&amp;TrendSheetStgData[Period]&amp;TrendSheetStgData[Trend],TrendSheetPrdData[#All],9,FALSE)</f>
        <v>2724</v>
      </c>
      <c r="J1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6" s="5">
        <f>VLOOKUP(TrendSheetStgData[Population]&amp;TrendSheetStgData[Trend],Threshold[#All],4,FALSE)</f>
        <v>10</v>
      </c>
      <c r="L1556" s="5">
        <f>VLOOKUP(TrendSheetStgData[Population]&amp;TrendSheetStgData[Trend],Threshold[#All],5,FALSE)</f>
        <v>5</v>
      </c>
      <c r="M1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7" spans="1:13" x14ac:dyDescent="0.25">
      <c r="A1557" t="s">
        <v>111</v>
      </c>
      <c r="B1557" t="s">
        <v>111</v>
      </c>
      <c r="C1557" t="s">
        <v>78</v>
      </c>
      <c r="D1557" s="1" t="s">
        <v>101</v>
      </c>
      <c r="E1557" t="s">
        <v>93</v>
      </c>
      <c r="F1557" t="s">
        <v>34</v>
      </c>
      <c r="G1557">
        <v>23</v>
      </c>
      <c r="H1557">
        <v>2692</v>
      </c>
      <c r="I1557" s="5">
        <f>VLOOKUP(TrendSheetStgData[Population]&amp;TrendSheetStgData[Cost Basis]&amp;TrendSheetStgData[Period]&amp;TrendSheetStgData[Trend],TrendSheetPrdData[#All],9,FALSE)</f>
        <v>2692</v>
      </c>
      <c r="J1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7" s="5">
        <f>VLOOKUP(TrendSheetStgData[Population]&amp;TrendSheetStgData[Trend],Threshold[#All],4,FALSE)</f>
        <v>10</v>
      </c>
      <c r="L1557" s="5">
        <f>VLOOKUP(TrendSheetStgData[Population]&amp;TrendSheetStgData[Trend],Threshold[#All],5,FALSE)</f>
        <v>5</v>
      </c>
      <c r="M1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8" spans="1:13" x14ac:dyDescent="0.25">
      <c r="A1558" t="s">
        <v>111</v>
      </c>
      <c r="B1558" t="s">
        <v>111</v>
      </c>
      <c r="C1558" t="s">
        <v>78</v>
      </c>
      <c r="D1558" s="1" t="s">
        <v>102</v>
      </c>
      <c r="E1558" t="s">
        <v>93</v>
      </c>
      <c r="F1558" t="s">
        <v>34</v>
      </c>
      <c r="G1558">
        <v>23</v>
      </c>
      <c r="H1558">
        <v>2662</v>
      </c>
      <c r="I1558" s="5">
        <f>VLOOKUP(TrendSheetStgData[Population]&amp;TrendSheetStgData[Cost Basis]&amp;TrendSheetStgData[Period]&amp;TrendSheetStgData[Trend],TrendSheetPrdData[#All],9,FALSE)</f>
        <v>2662</v>
      </c>
      <c r="J1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8" s="5">
        <f>VLOOKUP(TrendSheetStgData[Population]&amp;TrendSheetStgData[Trend],Threshold[#All],4,FALSE)</f>
        <v>10</v>
      </c>
      <c r="L1558" s="5">
        <f>VLOOKUP(TrendSheetStgData[Population]&amp;TrendSheetStgData[Trend],Threshold[#All],5,FALSE)</f>
        <v>5</v>
      </c>
      <c r="M1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9" spans="1:13" x14ac:dyDescent="0.25">
      <c r="A1559" t="s">
        <v>111</v>
      </c>
      <c r="B1559" t="s">
        <v>111</v>
      </c>
      <c r="C1559" t="s">
        <v>78</v>
      </c>
      <c r="D1559" s="1" t="s">
        <v>103</v>
      </c>
      <c r="E1559" t="s">
        <v>93</v>
      </c>
      <c r="F1559" t="s">
        <v>34</v>
      </c>
      <c r="G1559">
        <v>23</v>
      </c>
      <c r="H1559">
        <v>2810</v>
      </c>
      <c r="I1559" s="5">
        <f>VLOOKUP(TrendSheetStgData[Population]&amp;TrendSheetStgData[Cost Basis]&amp;TrendSheetStgData[Period]&amp;TrendSheetStgData[Trend],TrendSheetPrdData[#All],9,FALSE)</f>
        <v>2810</v>
      </c>
      <c r="J1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9" s="5">
        <f>VLOOKUP(TrendSheetStgData[Population]&amp;TrendSheetStgData[Trend],Threshold[#All],4,FALSE)</f>
        <v>10</v>
      </c>
      <c r="L1559" s="5">
        <f>VLOOKUP(TrendSheetStgData[Population]&amp;TrendSheetStgData[Trend],Threshold[#All],5,FALSE)</f>
        <v>5</v>
      </c>
      <c r="M1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0" spans="1:13" x14ac:dyDescent="0.25">
      <c r="A1560" t="s">
        <v>111</v>
      </c>
      <c r="B1560" t="s">
        <v>111</v>
      </c>
      <c r="C1560" t="s">
        <v>78</v>
      </c>
      <c r="D1560" s="1" t="s">
        <v>104</v>
      </c>
      <c r="E1560" t="s">
        <v>93</v>
      </c>
      <c r="F1560" t="s">
        <v>34</v>
      </c>
      <c r="G1560">
        <v>23</v>
      </c>
      <c r="H1560">
        <v>2807</v>
      </c>
      <c r="I1560" s="5">
        <f>VLOOKUP(TrendSheetStgData[Population]&amp;TrendSheetStgData[Cost Basis]&amp;TrendSheetStgData[Period]&amp;TrendSheetStgData[Trend],TrendSheetPrdData[#All],9,FALSE)</f>
        <v>2807</v>
      </c>
      <c r="J1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0" s="5">
        <f>VLOOKUP(TrendSheetStgData[Population]&amp;TrendSheetStgData[Trend],Threshold[#All],4,FALSE)</f>
        <v>10</v>
      </c>
      <c r="L1560" s="5">
        <f>VLOOKUP(TrendSheetStgData[Population]&amp;TrendSheetStgData[Trend],Threshold[#All],5,FALSE)</f>
        <v>5</v>
      </c>
      <c r="M1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1" spans="1:13" x14ac:dyDescent="0.25">
      <c r="A1561" t="s">
        <v>111</v>
      </c>
      <c r="B1561" t="s">
        <v>111</v>
      </c>
      <c r="C1561" t="s">
        <v>78</v>
      </c>
      <c r="D1561" s="1" t="s">
        <v>105</v>
      </c>
      <c r="E1561" t="s">
        <v>108</v>
      </c>
      <c r="F1561" t="s">
        <v>34</v>
      </c>
      <c r="G1561">
        <v>23</v>
      </c>
      <c r="H1561">
        <v>3049</v>
      </c>
      <c r="I1561" s="5">
        <f>VLOOKUP(TrendSheetStgData[Population]&amp;TrendSheetStgData[Cost Basis]&amp;TrendSheetStgData[Period]&amp;TrendSheetStgData[Trend],TrendSheetPrdData[#All],9,FALSE)</f>
        <v>3049</v>
      </c>
      <c r="J1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1" s="5">
        <f>VLOOKUP(TrendSheetStgData[Population]&amp;TrendSheetStgData[Trend],Threshold[#All],4,FALSE)</f>
        <v>10</v>
      </c>
      <c r="L1561" s="5">
        <f>VLOOKUP(TrendSheetStgData[Population]&amp;TrendSheetStgData[Trend],Threshold[#All],5,FALSE)</f>
        <v>5</v>
      </c>
      <c r="M1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2" spans="1:13" x14ac:dyDescent="0.25">
      <c r="A1562" t="s">
        <v>111</v>
      </c>
      <c r="B1562" t="s">
        <v>111</v>
      </c>
      <c r="C1562" t="s">
        <v>78</v>
      </c>
      <c r="D1562" s="1" t="s">
        <v>106</v>
      </c>
      <c r="E1562" t="s">
        <v>108</v>
      </c>
      <c r="F1562" t="s">
        <v>34</v>
      </c>
      <c r="G1562">
        <v>23</v>
      </c>
      <c r="H1562">
        <v>2793</v>
      </c>
      <c r="I1562" s="5">
        <f>VLOOKUP(TrendSheetStgData[Population]&amp;TrendSheetStgData[Cost Basis]&amp;TrendSheetStgData[Period]&amp;TrendSheetStgData[Trend],TrendSheetPrdData[#All],9,FALSE)</f>
        <v>2793</v>
      </c>
      <c r="J1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2" s="5">
        <f>VLOOKUP(TrendSheetStgData[Population]&amp;TrendSheetStgData[Trend],Threshold[#All],4,FALSE)</f>
        <v>10</v>
      </c>
      <c r="L1562" s="5">
        <f>VLOOKUP(TrendSheetStgData[Population]&amp;TrendSheetStgData[Trend],Threshold[#All],5,FALSE)</f>
        <v>5</v>
      </c>
      <c r="M1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3" spans="1:13" x14ac:dyDescent="0.25">
      <c r="A1563" t="s">
        <v>111</v>
      </c>
      <c r="B1563" t="s">
        <v>111</v>
      </c>
      <c r="C1563" t="s">
        <v>78</v>
      </c>
      <c r="D1563" s="1" t="s">
        <v>107</v>
      </c>
      <c r="E1563" t="s">
        <v>108</v>
      </c>
      <c r="F1563" t="s">
        <v>34</v>
      </c>
      <c r="G1563">
        <v>23</v>
      </c>
      <c r="H1563">
        <v>2891</v>
      </c>
      <c r="I1563" s="5">
        <f>VLOOKUP(TrendSheetStgData[Population]&amp;TrendSheetStgData[Cost Basis]&amp;TrendSheetStgData[Period]&amp;TrendSheetStgData[Trend],TrendSheetPrdData[#All],9,FALSE)</f>
        <v>2891</v>
      </c>
      <c r="J1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3" s="5">
        <f>VLOOKUP(TrendSheetStgData[Population]&amp;TrendSheetStgData[Trend],Threshold[#All],4,FALSE)</f>
        <v>10</v>
      </c>
      <c r="L1563" s="5">
        <f>VLOOKUP(TrendSheetStgData[Population]&amp;TrendSheetStgData[Trend],Threshold[#All],5,FALSE)</f>
        <v>5</v>
      </c>
      <c r="M1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4" spans="1:13" x14ac:dyDescent="0.25">
      <c r="A1564" t="s">
        <v>111</v>
      </c>
      <c r="B1564" t="s">
        <v>111</v>
      </c>
      <c r="C1564" t="s">
        <v>78</v>
      </c>
      <c r="D1564" s="1" t="s">
        <v>109</v>
      </c>
      <c r="E1564" t="s">
        <v>108</v>
      </c>
      <c r="F1564" t="s">
        <v>34</v>
      </c>
      <c r="G1564">
        <v>23</v>
      </c>
      <c r="H1564">
        <v>2672</v>
      </c>
      <c r="I1564" s="5">
        <f>VLOOKUP(TrendSheetStgData[Population]&amp;TrendSheetStgData[Cost Basis]&amp;TrendSheetStgData[Period]&amp;TrendSheetStgData[Trend],TrendSheetPrdData[#All],9,FALSE)</f>
        <v>2672</v>
      </c>
      <c r="J1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4" s="5">
        <f>VLOOKUP(TrendSheetStgData[Population]&amp;TrendSheetStgData[Trend],Threshold[#All],4,FALSE)</f>
        <v>10</v>
      </c>
      <c r="L1564" s="5">
        <f>VLOOKUP(TrendSheetStgData[Population]&amp;TrendSheetStgData[Trend],Threshold[#All],5,FALSE)</f>
        <v>5</v>
      </c>
      <c r="M1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5" spans="1:13" x14ac:dyDescent="0.25">
      <c r="A1565" t="s">
        <v>111</v>
      </c>
      <c r="B1565" t="s">
        <v>111</v>
      </c>
      <c r="C1565" t="s">
        <v>78</v>
      </c>
      <c r="D1565" s="1" t="s">
        <v>110</v>
      </c>
      <c r="E1565" t="s">
        <v>108</v>
      </c>
      <c r="F1565" t="s">
        <v>34</v>
      </c>
      <c r="G1565">
        <v>23</v>
      </c>
      <c r="H1565">
        <v>2389</v>
      </c>
      <c r="I1565" s="5">
        <f>VLOOKUP(TrendSheetStgData[Population]&amp;TrendSheetStgData[Cost Basis]&amp;TrendSheetStgData[Period]&amp;TrendSheetStgData[Trend],TrendSheetPrdData[#All],9,FALSE)</f>
        <v>2389</v>
      </c>
      <c r="J1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5" s="5">
        <f>VLOOKUP(TrendSheetStgData[Population]&amp;TrendSheetStgData[Trend],Threshold[#All],4,FALSE)</f>
        <v>10</v>
      </c>
      <c r="L1565" s="5">
        <f>VLOOKUP(TrendSheetStgData[Population]&amp;TrendSheetStgData[Trend],Threshold[#All],5,FALSE)</f>
        <v>5</v>
      </c>
      <c r="M1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565"/>
  <sheetViews>
    <sheetView workbookViewId="0">
      <selection activeCell="A2" sqref="A2"/>
    </sheetView>
  </sheetViews>
  <sheetFormatPr defaultRowHeight="15" x14ac:dyDescent="0.25"/>
  <cols>
    <col min="1" max="1" width="80.85546875" bestFit="1" customWidth="1"/>
    <col min="2" max="2" width="26" bestFit="1" customWidth="1"/>
    <col min="3" max="3" width="26" customWidth="1"/>
    <col min="4" max="4" width="12" bestFit="1" customWidth="1"/>
    <col min="5" max="5" width="10.42578125" bestFit="1" customWidth="1"/>
    <col min="6" max="6" width="14.5703125" bestFit="1" customWidth="1"/>
    <col min="7" max="7" width="38.140625" bestFit="1" customWidth="1"/>
    <col min="8" max="8" width="14" bestFit="1" customWidth="1"/>
    <col min="9" max="9" width="10" bestFit="1" customWidth="1"/>
    <col min="10" max="10" width="17.140625" bestFit="1" customWidth="1"/>
    <col min="11" max="11" width="13.42578125" bestFit="1" customWidth="1"/>
  </cols>
  <sheetData>
    <row r="1" spans="1:9" x14ac:dyDescent="0.25">
      <c r="A1" t="s">
        <v>38</v>
      </c>
      <c r="B1" t="s">
        <v>0</v>
      </c>
      <c r="C1" t="s">
        <v>85</v>
      </c>
      <c r="D1" t="s">
        <v>1</v>
      </c>
      <c r="E1" t="s">
        <v>2</v>
      </c>
      <c r="F1" t="s">
        <v>3</v>
      </c>
      <c r="G1" t="s">
        <v>4</v>
      </c>
      <c r="H1" t="s">
        <v>5</v>
      </c>
      <c r="I1" t="s">
        <v>35</v>
      </c>
    </row>
    <row r="2" spans="1:9" x14ac:dyDescent="0.25">
      <c r="A2" t="str">
        <f>TrendSheetPrdData[[#This Row],[Population]]&amp;TrendSheetPrdData[[#This Row],[Cost Basis]]&amp;TrendSheetPrdData[[#This Row],[Period]]&amp;TrendSheetPrdData[[#This Row],[Trend]]</f>
        <v>EMPLOYEESAllowed2016-01-01Medical PMPM</v>
      </c>
      <c r="B2" t="s">
        <v>90</v>
      </c>
      <c r="C2" t="s">
        <v>90</v>
      </c>
      <c r="D2" t="s">
        <v>91</v>
      </c>
      <c r="E2" s="1" t="s">
        <v>92</v>
      </c>
      <c r="F2" t="s">
        <v>93</v>
      </c>
      <c r="G2" t="s">
        <v>12</v>
      </c>
      <c r="H2">
        <v>1</v>
      </c>
      <c r="I2">
        <v>538.46</v>
      </c>
    </row>
    <row r="3" spans="1:9" x14ac:dyDescent="0.25">
      <c r="A3" s="5" t="str">
        <f>TrendSheetPrdData[[#This Row],[Population]]&amp;TrendSheetPrdData[[#This Row],[Cost Basis]]&amp;TrendSheetPrdData[[#This Row],[Period]]&amp;TrendSheetPrdData[[#This Row],[Trend]]</f>
        <v>EMPLOYEESAllowed2016-02-01Medical PMPM</v>
      </c>
      <c r="B3" t="s">
        <v>90</v>
      </c>
      <c r="C3" t="s">
        <v>90</v>
      </c>
      <c r="D3" t="s">
        <v>91</v>
      </c>
      <c r="E3" s="1" t="s">
        <v>94</v>
      </c>
      <c r="F3" t="s">
        <v>93</v>
      </c>
      <c r="G3" t="s">
        <v>12</v>
      </c>
      <c r="H3">
        <v>1</v>
      </c>
      <c r="I3">
        <v>539.79999999999995</v>
      </c>
    </row>
    <row r="4" spans="1:9" x14ac:dyDescent="0.25">
      <c r="A4" s="5" t="str">
        <f>TrendSheetPrdData[[#This Row],[Population]]&amp;TrendSheetPrdData[[#This Row],[Cost Basis]]&amp;TrendSheetPrdData[[#This Row],[Period]]&amp;TrendSheetPrdData[[#This Row],[Trend]]</f>
        <v>EMPLOYEESAllowed2016-03-01Medical PMPM</v>
      </c>
      <c r="B4" t="s">
        <v>90</v>
      </c>
      <c r="C4" t="s">
        <v>90</v>
      </c>
      <c r="D4" t="s">
        <v>91</v>
      </c>
      <c r="E4" s="1" t="s">
        <v>95</v>
      </c>
      <c r="F4" t="s">
        <v>93</v>
      </c>
      <c r="G4" t="s">
        <v>12</v>
      </c>
      <c r="H4">
        <v>1</v>
      </c>
      <c r="I4">
        <v>532.98</v>
      </c>
    </row>
    <row r="5" spans="1:9" x14ac:dyDescent="0.25">
      <c r="A5" s="5" t="str">
        <f>TrendSheetPrdData[[#This Row],[Population]]&amp;TrendSheetPrdData[[#This Row],[Cost Basis]]&amp;TrendSheetPrdData[[#This Row],[Period]]&amp;TrendSheetPrdData[[#This Row],[Trend]]</f>
        <v>EMPLOYEESAllowed2016-04-01Medical PMPM</v>
      </c>
      <c r="B5" t="s">
        <v>90</v>
      </c>
      <c r="C5" t="s">
        <v>90</v>
      </c>
      <c r="D5" t="s">
        <v>91</v>
      </c>
      <c r="E5" s="1" t="s">
        <v>96</v>
      </c>
      <c r="F5" t="s">
        <v>93</v>
      </c>
      <c r="G5" t="s">
        <v>12</v>
      </c>
      <c r="H5">
        <v>1</v>
      </c>
      <c r="I5">
        <v>575.51</v>
      </c>
    </row>
    <row r="6" spans="1:9" x14ac:dyDescent="0.25">
      <c r="A6" s="5" t="str">
        <f>TrendSheetPrdData[[#This Row],[Population]]&amp;TrendSheetPrdData[[#This Row],[Cost Basis]]&amp;TrendSheetPrdData[[#This Row],[Period]]&amp;TrendSheetPrdData[[#This Row],[Trend]]</f>
        <v>EMPLOYEESAllowed2016-05-01Medical PMPM</v>
      </c>
      <c r="B6" t="s">
        <v>90</v>
      </c>
      <c r="C6" t="s">
        <v>90</v>
      </c>
      <c r="D6" t="s">
        <v>91</v>
      </c>
      <c r="E6" s="1" t="s">
        <v>97</v>
      </c>
      <c r="F6" t="s">
        <v>93</v>
      </c>
      <c r="G6" t="s">
        <v>12</v>
      </c>
      <c r="H6">
        <v>1</v>
      </c>
      <c r="I6">
        <v>522.49</v>
      </c>
    </row>
    <row r="7" spans="1:9" x14ac:dyDescent="0.25">
      <c r="A7" s="5" t="str">
        <f>TrendSheetPrdData[[#This Row],[Population]]&amp;TrendSheetPrdData[[#This Row],[Cost Basis]]&amp;TrendSheetPrdData[[#This Row],[Period]]&amp;TrendSheetPrdData[[#This Row],[Trend]]</f>
        <v>EMPLOYEESAllowed2016-06-01Medical PMPM</v>
      </c>
      <c r="B7" t="s">
        <v>90</v>
      </c>
      <c r="C7" t="s">
        <v>90</v>
      </c>
      <c r="D7" t="s">
        <v>91</v>
      </c>
      <c r="E7" s="1" t="s">
        <v>98</v>
      </c>
      <c r="F7" t="s">
        <v>93</v>
      </c>
      <c r="G7" t="s">
        <v>12</v>
      </c>
      <c r="H7">
        <v>1</v>
      </c>
      <c r="I7">
        <v>495.76</v>
      </c>
    </row>
    <row r="8" spans="1:9" x14ac:dyDescent="0.25">
      <c r="A8" s="5" t="str">
        <f>TrendSheetPrdData[[#This Row],[Population]]&amp;TrendSheetPrdData[[#This Row],[Cost Basis]]&amp;TrendSheetPrdData[[#This Row],[Period]]&amp;TrendSheetPrdData[[#This Row],[Trend]]</f>
        <v>EMPLOYEESAllowed2016-07-01Medical PMPM</v>
      </c>
      <c r="B8" t="s">
        <v>90</v>
      </c>
      <c r="C8" t="s">
        <v>90</v>
      </c>
      <c r="D8" t="s">
        <v>91</v>
      </c>
      <c r="E8" s="1" t="s">
        <v>99</v>
      </c>
      <c r="F8" t="s">
        <v>93</v>
      </c>
      <c r="G8" t="s">
        <v>12</v>
      </c>
      <c r="H8">
        <v>1</v>
      </c>
      <c r="I8">
        <v>588.16</v>
      </c>
    </row>
    <row r="9" spans="1:9" x14ac:dyDescent="0.25">
      <c r="A9" s="5" t="str">
        <f>TrendSheetPrdData[[#This Row],[Population]]&amp;TrendSheetPrdData[[#This Row],[Cost Basis]]&amp;TrendSheetPrdData[[#This Row],[Period]]&amp;TrendSheetPrdData[[#This Row],[Trend]]</f>
        <v>EMPLOYEESAllowed2016-08-01Medical PMPM</v>
      </c>
      <c r="B9" t="s">
        <v>90</v>
      </c>
      <c r="C9" t="s">
        <v>90</v>
      </c>
      <c r="D9" t="s">
        <v>91</v>
      </c>
      <c r="E9" s="1" t="s">
        <v>100</v>
      </c>
      <c r="F9" t="s">
        <v>93</v>
      </c>
      <c r="G9" t="s">
        <v>12</v>
      </c>
      <c r="H9">
        <v>1</v>
      </c>
      <c r="I9">
        <v>504.5</v>
      </c>
    </row>
    <row r="10" spans="1:9" x14ac:dyDescent="0.25">
      <c r="A10" s="5" t="str">
        <f>TrendSheetPrdData[[#This Row],[Population]]&amp;TrendSheetPrdData[[#This Row],[Cost Basis]]&amp;TrendSheetPrdData[[#This Row],[Period]]&amp;TrendSheetPrdData[[#This Row],[Trend]]</f>
        <v>EMPLOYEESAllowed2016-09-01Medical PMPM</v>
      </c>
      <c r="B10" t="s">
        <v>90</v>
      </c>
      <c r="C10" t="s">
        <v>90</v>
      </c>
      <c r="D10" t="s">
        <v>91</v>
      </c>
      <c r="E10" s="1" t="s">
        <v>101</v>
      </c>
      <c r="F10" t="s">
        <v>93</v>
      </c>
      <c r="G10" t="s">
        <v>12</v>
      </c>
      <c r="H10">
        <v>1</v>
      </c>
      <c r="I10">
        <v>506.86</v>
      </c>
    </row>
    <row r="11" spans="1:9" x14ac:dyDescent="0.25">
      <c r="A11" s="5" t="str">
        <f>TrendSheetPrdData[[#This Row],[Population]]&amp;TrendSheetPrdData[[#This Row],[Cost Basis]]&amp;TrendSheetPrdData[[#This Row],[Period]]&amp;TrendSheetPrdData[[#This Row],[Trend]]</f>
        <v>EMPLOYEESAllowed2016-10-01Medical PMPM</v>
      </c>
      <c r="B11" t="s">
        <v>90</v>
      </c>
      <c r="C11" t="s">
        <v>90</v>
      </c>
      <c r="D11" t="s">
        <v>91</v>
      </c>
      <c r="E11" s="1" t="s">
        <v>102</v>
      </c>
      <c r="F11" t="s">
        <v>93</v>
      </c>
      <c r="G11" t="s">
        <v>12</v>
      </c>
      <c r="H11">
        <v>1</v>
      </c>
      <c r="I11">
        <v>433.15</v>
      </c>
    </row>
    <row r="12" spans="1:9" x14ac:dyDescent="0.25">
      <c r="A12" s="5" t="str">
        <f>TrendSheetPrdData[[#This Row],[Population]]&amp;TrendSheetPrdData[[#This Row],[Cost Basis]]&amp;TrendSheetPrdData[[#This Row],[Period]]&amp;TrendSheetPrdData[[#This Row],[Trend]]</f>
        <v>EMPLOYEESAllowed2016-11-01Medical PMPM</v>
      </c>
      <c r="B12" t="s">
        <v>90</v>
      </c>
      <c r="C12" t="s">
        <v>90</v>
      </c>
      <c r="D12" t="s">
        <v>91</v>
      </c>
      <c r="E12" s="1" t="s">
        <v>103</v>
      </c>
      <c r="F12" t="s">
        <v>93</v>
      </c>
      <c r="G12" t="s">
        <v>12</v>
      </c>
      <c r="H12">
        <v>1</v>
      </c>
      <c r="I12">
        <v>453.16</v>
      </c>
    </row>
    <row r="13" spans="1:9" x14ac:dyDescent="0.25">
      <c r="A13" s="5" t="str">
        <f>TrendSheetPrdData[[#This Row],[Population]]&amp;TrendSheetPrdData[[#This Row],[Cost Basis]]&amp;TrendSheetPrdData[[#This Row],[Period]]&amp;TrendSheetPrdData[[#This Row],[Trend]]</f>
        <v>EMPLOYEESAllowed2016-12-01Medical PMPM</v>
      </c>
      <c r="B13" t="s">
        <v>90</v>
      </c>
      <c r="C13" t="s">
        <v>90</v>
      </c>
      <c r="D13" t="s">
        <v>91</v>
      </c>
      <c r="E13" s="1" t="s">
        <v>104</v>
      </c>
      <c r="F13" t="s">
        <v>93</v>
      </c>
      <c r="G13" t="s">
        <v>12</v>
      </c>
      <c r="H13">
        <v>1</v>
      </c>
      <c r="I13">
        <v>555.66999999999996</v>
      </c>
    </row>
    <row r="14" spans="1:9" x14ac:dyDescent="0.25">
      <c r="A14" s="5" t="str">
        <f>TrendSheetPrdData[[#This Row],[Population]]&amp;TrendSheetPrdData[[#This Row],[Cost Basis]]&amp;TrendSheetPrdData[[#This Row],[Period]]&amp;TrendSheetPrdData[[#This Row],[Trend]]</f>
        <v>EMPLOYEESAllowed2017-01-01Medical PMPM</v>
      </c>
      <c r="B14" t="s">
        <v>90</v>
      </c>
      <c r="C14" t="s">
        <v>90</v>
      </c>
      <c r="D14" t="s">
        <v>91</v>
      </c>
      <c r="E14" s="1" t="s">
        <v>105</v>
      </c>
      <c r="F14" t="s">
        <v>93</v>
      </c>
      <c r="G14" t="s">
        <v>12</v>
      </c>
      <c r="H14">
        <v>1</v>
      </c>
      <c r="I14">
        <v>499.57</v>
      </c>
    </row>
    <row r="15" spans="1:9" x14ac:dyDescent="0.25">
      <c r="A15" s="5" t="str">
        <f>TrendSheetPrdData[[#This Row],[Population]]&amp;TrendSheetPrdData[[#This Row],[Cost Basis]]&amp;TrendSheetPrdData[[#This Row],[Period]]&amp;TrendSheetPrdData[[#This Row],[Trend]]</f>
        <v>EMPLOYEESAllowed2017-02-01Medical PMPM</v>
      </c>
      <c r="B15" t="s">
        <v>90</v>
      </c>
      <c r="C15" t="s">
        <v>90</v>
      </c>
      <c r="D15" t="s">
        <v>91</v>
      </c>
      <c r="E15" s="1" t="s">
        <v>106</v>
      </c>
      <c r="F15" t="s">
        <v>93</v>
      </c>
      <c r="G15" t="s">
        <v>12</v>
      </c>
      <c r="H15">
        <v>1</v>
      </c>
      <c r="I15">
        <v>407.72</v>
      </c>
    </row>
    <row r="16" spans="1:9" x14ac:dyDescent="0.25">
      <c r="A16" s="5" t="str">
        <f>TrendSheetPrdData[[#This Row],[Population]]&amp;TrendSheetPrdData[[#This Row],[Cost Basis]]&amp;TrendSheetPrdData[[#This Row],[Period]]&amp;TrendSheetPrdData[[#This Row],[Trend]]</f>
        <v>EMPLOYEESAllowed2017-03-01Medical PMPM</v>
      </c>
      <c r="B16" t="s">
        <v>90</v>
      </c>
      <c r="C16" t="s">
        <v>90</v>
      </c>
      <c r="D16" t="s">
        <v>91</v>
      </c>
      <c r="E16" s="1" t="s">
        <v>107</v>
      </c>
      <c r="F16" t="s">
        <v>108</v>
      </c>
      <c r="G16" t="s">
        <v>12</v>
      </c>
      <c r="H16">
        <v>1</v>
      </c>
      <c r="I16">
        <v>438.88</v>
      </c>
    </row>
    <row r="17" spans="1:9" x14ac:dyDescent="0.25">
      <c r="A17" s="5" t="str">
        <f>TrendSheetPrdData[[#This Row],[Population]]&amp;TrendSheetPrdData[[#This Row],[Cost Basis]]&amp;TrendSheetPrdData[[#This Row],[Period]]&amp;TrendSheetPrdData[[#This Row],[Trend]]</f>
        <v>EMPLOYEESAllowed2017-04-01Medical PMPM</v>
      </c>
      <c r="B17" t="s">
        <v>90</v>
      </c>
      <c r="C17" t="s">
        <v>90</v>
      </c>
      <c r="D17" t="s">
        <v>91</v>
      </c>
      <c r="E17" s="1" t="s">
        <v>109</v>
      </c>
      <c r="F17" t="s">
        <v>108</v>
      </c>
      <c r="G17" t="s">
        <v>12</v>
      </c>
      <c r="H17">
        <v>1</v>
      </c>
      <c r="I17">
        <v>430.1</v>
      </c>
    </row>
    <row r="18" spans="1:9" x14ac:dyDescent="0.25">
      <c r="A18" s="5" t="str">
        <f>TrendSheetPrdData[[#This Row],[Population]]&amp;TrendSheetPrdData[[#This Row],[Cost Basis]]&amp;TrendSheetPrdData[[#This Row],[Period]]&amp;TrendSheetPrdData[[#This Row],[Trend]]</f>
        <v>EMPLOYEESAllowed2017-05-01Medical PMPM</v>
      </c>
      <c r="B18" t="s">
        <v>90</v>
      </c>
      <c r="C18" t="s">
        <v>90</v>
      </c>
      <c r="D18" t="s">
        <v>91</v>
      </c>
      <c r="E18" s="1" t="s">
        <v>110</v>
      </c>
      <c r="F18" t="s">
        <v>108</v>
      </c>
      <c r="G18" t="s">
        <v>12</v>
      </c>
      <c r="H18">
        <v>1</v>
      </c>
      <c r="I18">
        <v>235.32</v>
      </c>
    </row>
    <row r="19" spans="1:9" x14ac:dyDescent="0.25">
      <c r="A19" s="5" t="str">
        <f>TrendSheetPrdData[[#This Row],[Population]]&amp;TrendSheetPrdData[[#This Row],[Cost Basis]]&amp;TrendSheetPrdData[[#This Row],[Period]]&amp;TrendSheetPrdData[[#This Row],[Trend]]</f>
        <v>EMPLOYEESAllowed2016-01-01Drug PMPM</v>
      </c>
      <c r="B19" t="s">
        <v>90</v>
      </c>
      <c r="C19" t="s">
        <v>90</v>
      </c>
      <c r="D19" t="s">
        <v>91</v>
      </c>
      <c r="E19" s="1" t="s">
        <v>92</v>
      </c>
      <c r="F19" t="s">
        <v>93</v>
      </c>
      <c r="G19" t="s">
        <v>13</v>
      </c>
      <c r="H19">
        <v>2</v>
      </c>
      <c r="I19">
        <v>75.92</v>
      </c>
    </row>
    <row r="20" spans="1:9" x14ac:dyDescent="0.25">
      <c r="A20" s="5" t="str">
        <f>TrendSheetPrdData[[#This Row],[Population]]&amp;TrendSheetPrdData[[#This Row],[Cost Basis]]&amp;TrendSheetPrdData[[#This Row],[Period]]&amp;TrendSheetPrdData[[#This Row],[Trend]]</f>
        <v>EMPLOYEESAllowed2016-02-01Drug PMPM</v>
      </c>
      <c r="B20" t="s">
        <v>90</v>
      </c>
      <c r="C20" t="s">
        <v>90</v>
      </c>
      <c r="D20" t="s">
        <v>91</v>
      </c>
      <c r="E20" s="1" t="s">
        <v>94</v>
      </c>
      <c r="F20" t="s">
        <v>93</v>
      </c>
      <c r="G20" t="s">
        <v>13</v>
      </c>
      <c r="H20">
        <v>2</v>
      </c>
      <c r="I20">
        <v>93.51</v>
      </c>
    </row>
    <row r="21" spans="1:9" x14ac:dyDescent="0.25">
      <c r="A21" s="5" t="str">
        <f>TrendSheetPrdData[[#This Row],[Population]]&amp;TrendSheetPrdData[[#This Row],[Cost Basis]]&amp;TrendSheetPrdData[[#This Row],[Period]]&amp;TrendSheetPrdData[[#This Row],[Trend]]</f>
        <v>EMPLOYEESAllowed2016-03-01Drug PMPM</v>
      </c>
      <c r="B21" t="s">
        <v>90</v>
      </c>
      <c r="C21" t="s">
        <v>90</v>
      </c>
      <c r="D21" t="s">
        <v>91</v>
      </c>
      <c r="E21" s="1" t="s">
        <v>95</v>
      </c>
      <c r="F21" t="s">
        <v>93</v>
      </c>
      <c r="G21" t="s">
        <v>13</v>
      </c>
      <c r="H21">
        <v>2</v>
      </c>
      <c r="I21">
        <v>82.57</v>
      </c>
    </row>
    <row r="22" spans="1:9" x14ac:dyDescent="0.25">
      <c r="A22" s="5" t="str">
        <f>TrendSheetPrdData[[#This Row],[Population]]&amp;TrendSheetPrdData[[#This Row],[Cost Basis]]&amp;TrendSheetPrdData[[#This Row],[Period]]&amp;TrendSheetPrdData[[#This Row],[Trend]]</f>
        <v>EMPLOYEESAllowed2016-04-01Drug PMPM</v>
      </c>
      <c r="B22" t="s">
        <v>90</v>
      </c>
      <c r="C22" t="s">
        <v>90</v>
      </c>
      <c r="D22" t="s">
        <v>91</v>
      </c>
      <c r="E22" s="1" t="s">
        <v>96</v>
      </c>
      <c r="F22" t="s">
        <v>93</v>
      </c>
      <c r="G22" t="s">
        <v>13</v>
      </c>
      <c r="H22">
        <v>2</v>
      </c>
      <c r="I22">
        <v>80.819999999999993</v>
      </c>
    </row>
    <row r="23" spans="1:9" x14ac:dyDescent="0.25">
      <c r="A23" s="5" t="str">
        <f>TrendSheetPrdData[[#This Row],[Population]]&amp;TrendSheetPrdData[[#This Row],[Cost Basis]]&amp;TrendSheetPrdData[[#This Row],[Period]]&amp;TrendSheetPrdData[[#This Row],[Trend]]</f>
        <v>EMPLOYEESAllowed2016-05-01Drug PMPM</v>
      </c>
      <c r="B23" t="s">
        <v>90</v>
      </c>
      <c r="C23" t="s">
        <v>90</v>
      </c>
      <c r="D23" t="s">
        <v>91</v>
      </c>
      <c r="E23" s="1" t="s">
        <v>97</v>
      </c>
      <c r="F23" t="s">
        <v>93</v>
      </c>
      <c r="G23" t="s">
        <v>13</v>
      </c>
      <c r="H23">
        <v>2</v>
      </c>
      <c r="I23">
        <v>87.2</v>
      </c>
    </row>
    <row r="24" spans="1:9" x14ac:dyDescent="0.25">
      <c r="A24" s="5" t="str">
        <f>TrendSheetPrdData[[#This Row],[Population]]&amp;TrendSheetPrdData[[#This Row],[Cost Basis]]&amp;TrendSheetPrdData[[#This Row],[Period]]&amp;TrendSheetPrdData[[#This Row],[Trend]]</f>
        <v>EMPLOYEESAllowed2016-06-01Drug PMPM</v>
      </c>
      <c r="B24" t="s">
        <v>90</v>
      </c>
      <c r="C24" t="s">
        <v>90</v>
      </c>
      <c r="D24" t="s">
        <v>91</v>
      </c>
      <c r="E24" s="1" t="s">
        <v>98</v>
      </c>
      <c r="F24" t="s">
        <v>93</v>
      </c>
      <c r="G24" t="s">
        <v>13</v>
      </c>
      <c r="H24">
        <v>2</v>
      </c>
      <c r="I24">
        <v>71.66</v>
      </c>
    </row>
    <row r="25" spans="1:9" x14ac:dyDescent="0.25">
      <c r="A25" s="5" t="str">
        <f>TrendSheetPrdData[[#This Row],[Population]]&amp;TrendSheetPrdData[[#This Row],[Cost Basis]]&amp;TrendSheetPrdData[[#This Row],[Period]]&amp;TrendSheetPrdData[[#This Row],[Trend]]</f>
        <v>EMPLOYEESAllowed2016-07-01Drug PMPM</v>
      </c>
      <c r="B25" t="s">
        <v>90</v>
      </c>
      <c r="C25" t="s">
        <v>90</v>
      </c>
      <c r="D25" t="s">
        <v>91</v>
      </c>
      <c r="E25" s="1" t="s">
        <v>99</v>
      </c>
      <c r="F25" t="s">
        <v>93</v>
      </c>
      <c r="G25" t="s">
        <v>13</v>
      </c>
      <c r="H25">
        <v>2</v>
      </c>
      <c r="I25">
        <v>70.59</v>
      </c>
    </row>
    <row r="26" spans="1:9" x14ac:dyDescent="0.25">
      <c r="A26" s="5" t="str">
        <f>TrendSheetPrdData[[#This Row],[Population]]&amp;TrendSheetPrdData[[#This Row],[Cost Basis]]&amp;TrendSheetPrdData[[#This Row],[Period]]&amp;TrendSheetPrdData[[#This Row],[Trend]]</f>
        <v>EMPLOYEESAllowed2016-08-01Drug PMPM</v>
      </c>
      <c r="B26" t="s">
        <v>90</v>
      </c>
      <c r="C26" t="s">
        <v>90</v>
      </c>
      <c r="D26" t="s">
        <v>91</v>
      </c>
      <c r="E26" s="1" t="s">
        <v>100</v>
      </c>
      <c r="F26" t="s">
        <v>93</v>
      </c>
      <c r="G26" t="s">
        <v>13</v>
      </c>
      <c r="H26">
        <v>2</v>
      </c>
      <c r="I26">
        <v>100.02</v>
      </c>
    </row>
    <row r="27" spans="1:9" x14ac:dyDescent="0.25">
      <c r="A27" s="5" t="str">
        <f>TrendSheetPrdData[[#This Row],[Population]]&amp;TrendSheetPrdData[[#This Row],[Cost Basis]]&amp;TrendSheetPrdData[[#This Row],[Period]]&amp;TrendSheetPrdData[[#This Row],[Trend]]</f>
        <v>EMPLOYEESAllowed2016-09-01Drug PMPM</v>
      </c>
      <c r="B27" t="s">
        <v>90</v>
      </c>
      <c r="C27" t="s">
        <v>90</v>
      </c>
      <c r="D27" t="s">
        <v>91</v>
      </c>
      <c r="E27" s="1" t="s">
        <v>101</v>
      </c>
      <c r="F27" t="s">
        <v>93</v>
      </c>
      <c r="G27" t="s">
        <v>13</v>
      </c>
      <c r="H27">
        <v>2</v>
      </c>
      <c r="I27">
        <v>74.81</v>
      </c>
    </row>
    <row r="28" spans="1:9" x14ac:dyDescent="0.25">
      <c r="A28" s="5" t="str">
        <f>TrendSheetPrdData[[#This Row],[Population]]&amp;TrendSheetPrdData[[#This Row],[Cost Basis]]&amp;TrendSheetPrdData[[#This Row],[Period]]&amp;TrendSheetPrdData[[#This Row],[Trend]]</f>
        <v>EMPLOYEESAllowed2016-10-01Drug PMPM</v>
      </c>
      <c r="B28" t="s">
        <v>90</v>
      </c>
      <c r="C28" t="s">
        <v>90</v>
      </c>
      <c r="D28" t="s">
        <v>91</v>
      </c>
      <c r="E28" s="1" t="s">
        <v>102</v>
      </c>
      <c r="F28" t="s">
        <v>93</v>
      </c>
      <c r="G28" t="s">
        <v>13</v>
      </c>
      <c r="H28">
        <v>2</v>
      </c>
      <c r="I28">
        <v>83.68</v>
      </c>
    </row>
    <row r="29" spans="1:9" x14ac:dyDescent="0.25">
      <c r="A29" s="5" t="str">
        <f>TrendSheetPrdData[[#This Row],[Population]]&amp;TrendSheetPrdData[[#This Row],[Cost Basis]]&amp;TrendSheetPrdData[[#This Row],[Period]]&amp;TrendSheetPrdData[[#This Row],[Trend]]</f>
        <v>EMPLOYEESAllowed2016-11-01Drug PMPM</v>
      </c>
      <c r="B29" t="s">
        <v>90</v>
      </c>
      <c r="C29" t="s">
        <v>90</v>
      </c>
      <c r="D29" t="s">
        <v>91</v>
      </c>
      <c r="E29" s="1" t="s">
        <v>103</v>
      </c>
      <c r="F29" t="s">
        <v>93</v>
      </c>
      <c r="G29" t="s">
        <v>13</v>
      </c>
      <c r="H29">
        <v>2</v>
      </c>
      <c r="I29">
        <v>113.81</v>
      </c>
    </row>
    <row r="30" spans="1:9" x14ac:dyDescent="0.25">
      <c r="A30" s="5" t="str">
        <f>TrendSheetPrdData[[#This Row],[Population]]&amp;TrendSheetPrdData[[#This Row],[Cost Basis]]&amp;TrendSheetPrdData[[#This Row],[Period]]&amp;TrendSheetPrdData[[#This Row],[Trend]]</f>
        <v>EMPLOYEESAllowed2016-12-01Drug PMPM</v>
      </c>
      <c r="B30" t="s">
        <v>90</v>
      </c>
      <c r="C30" t="s">
        <v>90</v>
      </c>
      <c r="D30" t="s">
        <v>91</v>
      </c>
      <c r="E30" s="1" t="s">
        <v>104</v>
      </c>
      <c r="F30" t="s">
        <v>93</v>
      </c>
      <c r="G30" t="s">
        <v>13</v>
      </c>
      <c r="H30">
        <v>2</v>
      </c>
      <c r="I30">
        <v>59.65</v>
      </c>
    </row>
    <row r="31" spans="1:9" x14ac:dyDescent="0.25">
      <c r="A31" s="5" t="str">
        <f>TrendSheetPrdData[[#This Row],[Population]]&amp;TrendSheetPrdData[[#This Row],[Cost Basis]]&amp;TrendSheetPrdData[[#This Row],[Period]]&amp;TrendSheetPrdData[[#This Row],[Trend]]</f>
        <v>EMPLOYEESAllowed2017-01-01Drug PMPM</v>
      </c>
      <c r="B31" t="s">
        <v>90</v>
      </c>
      <c r="C31" t="s">
        <v>90</v>
      </c>
      <c r="D31" t="s">
        <v>91</v>
      </c>
      <c r="E31" s="1" t="s">
        <v>105</v>
      </c>
      <c r="F31" t="s">
        <v>93</v>
      </c>
      <c r="G31" t="s">
        <v>13</v>
      </c>
      <c r="H31">
        <v>2</v>
      </c>
      <c r="I31">
        <v>97.25</v>
      </c>
    </row>
    <row r="32" spans="1:9" x14ac:dyDescent="0.25">
      <c r="A32" s="5" t="str">
        <f>TrendSheetPrdData[[#This Row],[Population]]&amp;TrendSheetPrdData[[#This Row],[Cost Basis]]&amp;TrendSheetPrdData[[#This Row],[Period]]&amp;TrendSheetPrdData[[#This Row],[Trend]]</f>
        <v>EMPLOYEESAllowed2017-02-01Drug PMPM</v>
      </c>
      <c r="B32" t="s">
        <v>90</v>
      </c>
      <c r="C32" t="s">
        <v>90</v>
      </c>
      <c r="D32" t="s">
        <v>91</v>
      </c>
      <c r="E32" s="1" t="s">
        <v>106</v>
      </c>
      <c r="F32" t="s">
        <v>93</v>
      </c>
      <c r="G32" t="s">
        <v>13</v>
      </c>
      <c r="H32">
        <v>2</v>
      </c>
      <c r="I32">
        <v>111.67</v>
      </c>
    </row>
    <row r="33" spans="1:9" x14ac:dyDescent="0.25">
      <c r="A33" s="5" t="str">
        <f>TrendSheetPrdData[[#This Row],[Population]]&amp;TrendSheetPrdData[[#This Row],[Cost Basis]]&amp;TrendSheetPrdData[[#This Row],[Period]]&amp;TrendSheetPrdData[[#This Row],[Trend]]</f>
        <v>EMPLOYEESAllowed2017-03-01Drug PMPM</v>
      </c>
      <c r="B33" t="s">
        <v>90</v>
      </c>
      <c r="C33" t="s">
        <v>90</v>
      </c>
      <c r="D33" t="s">
        <v>91</v>
      </c>
      <c r="E33" s="1" t="s">
        <v>107</v>
      </c>
      <c r="F33" t="s">
        <v>108</v>
      </c>
      <c r="G33" t="s">
        <v>13</v>
      </c>
      <c r="H33">
        <v>2</v>
      </c>
      <c r="I33">
        <v>118.68</v>
      </c>
    </row>
    <row r="34" spans="1:9" x14ac:dyDescent="0.25">
      <c r="A34" s="5" t="str">
        <f>TrendSheetPrdData[[#This Row],[Population]]&amp;TrendSheetPrdData[[#This Row],[Cost Basis]]&amp;TrendSheetPrdData[[#This Row],[Period]]&amp;TrendSheetPrdData[[#This Row],[Trend]]</f>
        <v>EMPLOYEESAllowed2017-04-01Drug PMPM</v>
      </c>
      <c r="B34" t="s">
        <v>90</v>
      </c>
      <c r="C34" t="s">
        <v>90</v>
      </c>
      <c r="D34" t="s">
        <v>91</v>
      </c>
      <c r="E34" s="1" t="s">
        <v>109</v>
      </c>
      <c r="F34" t="s">
        <v>108</v>
      </c>
      <c r="G34" t="s">
        <v>13</v>
      </c>
      <c r="H34">
        <v>2</v>
      </c>
      <c r="I34">
        <v>103.6</v>
      </c>
    </row>
    <row r="35" spans="1:9" x14ac:dyDescent="0.25">
      <c r="A35" s="5" t="str">
        <f>TrendSheetPrdData[[#This Row],[Population]]&amp;TrendSheetPrdData[[#This Row],[Cost Basis]]&amp;TrendSheetPrdData[[#This Row],[Period]]&amp;TrendSheetPrdData[[#This Row],[Trend]]</f>
        <v>EMPLOYEESAllowed2017-05-01Drug PMPM</v>
      </c>
      <c r="B35" t="s">
        <v>90</v>
      </c>
      <c r="C35" t="s">
        <v>90</v>
      </c>
      <c r="D35" t="s">
        <v>91</v>
      </c>
      <c r="E35" s="1" t="s">
        <v>110</v>
      </c>
      <c r="F35" t="s">
        <v>108</v>
      </c>
      <c r="G35" t="s">
        <v>13</v>
      </c>
      <c r="H35">
        <v>2</v>
      </c>
      <c r="I35">
        <v>87.83</v>
      </c>
    </row>
    <row r="36" spans="1:9" x14ac:dyDescent="0.25">
      <c r="A36" s="5" t="str">
        <f>TrendSheetPrdData[[#This Row],[Population]]&amp;TrendSheetPrdData[[#This Row],[Cost Basis]]&amp;TrendSheetPrdData[[#This Row],[Period]]&amp;TrendSheetPrdData[[#This Row],[Trend]]</f>
        <v>EMPLOYEESAllowed2016-01-01Overall PMPM</v>
      </c>
      <c r="B36" t="s">
        <v>90</v>
      </c>
      <c r="C36" t="s">
        <v>90</v>
      </c>
      <c r="D36" t="s">
        <v>91</v>
      </c>
      <c r="E36" s="1" t="s">
        <v>92</v>
      </c>
      <c r="F36" t="s">
        <v>93</v>
      </c>
      <c r="G36" t="s">
        <v>14</v>
      </c>
      <c r="H36">
        <v>3</v>
      </c>
      <c r="I36">
        <v>614.38</v>
      </c>
    </row>
    <row r="37" spans="1:9" x14ac:dyDescent="0.25">
      <c r="A37" s="5" t="str">
        <f>TrendSheetPrdData[[#This Row],[Population]]&amp;TrendSheetPrdData[[#This Row],[Cost Basis]]&amp;TrendSheetPrdData[[#This Row],[Period]]&amp;TrendSheetPrdData[[#This Row],[Trend]]</f>
        <v>EMPLOYEESAllowed2016-02-01Overall PMPM</v>
      </c>
      <c r="B37" t="s">
        <v>90</v>
      </c>
      <c r="C37" t="s">
        <v>90</v>
      </c>
      <c r="D37" t="s">
        <v>91</v>
      </c>
      <c r="E37" s="1" t="s">
        <v>94</v>
      </c>
      <c r="F37" t="s">
        <v>93</v>
      </c>
      <c r="G37" t="s">
        <v>14</v>
      </c>
      <c r="H37">
        <v>3</v>
      </c>
      <c r="I37">
        <v>633.30999999999995</v>
      </c>
    </row>
    <row r="38" spans="1:9" x14ac:dyDescent="0.25">
      <c r="A38" s="5" t="str">
        <f>TrendSheetPrdData[[#This Row],[Population]]&amp;TrendSheetPrdData[[#This Row],[Cost Basis]]&amp;TrendSheetPrdData[[#This Row],[Period]]&amp;TrendSheetPrdData[[#This Row],[Trend]]</f>
        <v>EMPLOYEESAllowed2016-03-01Overall PMPM</v>
      </c>
      <c r="B38" t="s">
        <v>90</v>
      </c>
      <c r="C38" t="s">
        <v>90</v>
      </c>
      <c r="D38" t="s">
        <v>91</v>
      </c>
      <c r="E38" s="1" t="s">
        <v>95</v>
      </c>
      <c r="F38" t="s">
        <v>93</v>
      </c>
      <c r="G38" t="s">
        <v>14</v>
      </c>
      <c r="H38">
        <v>3</v>
      </c>
      <c r="I38">
        <v>615.54999999999995</v>
      </c>
    </row>
    <row r="39" spans="1:9" x14ac:dyDescent="0.25">
      <c r="A39" s="5" t="str">
        <f>TrendSheetPrdData[[#This Row],[Population]]&amp;TrendSheetPrdData[[#This Row],[Cost Basis]]&amp;TrendSheetPrdData[[#This Row],[Period]]&amp;TrendSheetPrdData[[#This Row],[Trend]]</f>
        <v>EMPLOYEESAllowed2016-04-01Overall PMPM</v>
      </c>
      <c r="B39" t="s">
        <v>90</v>
      </c>
      <c r="C39" t="s">
        <v>90</v>
      </c>
      <c r="D39" t="s">
        <v>91</v>
      </c>
      <c r="E39" s="1" t="s">
        <v>96</v>
      </c>
      <c r="F39" t="s">
        <v>93</v>
      </c>
      <c r="G39" t="s">
        <v>14</v>
      </c>
      <c r="H39">
        <v>3</v>
      </c>
      <c r="I39">
        <v>656.33</v>
      </c>
    </row>
    <row r="40" spans="1:9" x14ac:dyDescent="0.25">
      <c r="A40" s="5" t="str">
        <f>TrendSheetPrdData[[#This Row],[Population]]&amp;TrendSheetPrdData[[#This Row],[Cost Basis]]&amp;TrendSheetPrdData[[#This Row],[Period]]&amp;TrendSheetPrdData[[#This Row],[Trend]]</f>
        <v>EMPLOYEESAllowed2016-05-01Overall PMPM</v>
      </c>
      <c r="B40" t="s">
        <v>90</v>
      </c>
      <c r="C40" t="s">
        <v>90</v>
      </c>
      <c r="D40" t="s">
        <v>91</v>
      </c>
      <c r="E40" s="1" t="s">
        <v>97</v>
      </c>
      <c r="F40" t="s">
        <v>93</v>
      </c>
      <c r="G40" t="s">
        <v>14</v>
      </c>
      <c r="H40">
        <v>3</v>
      </c>
      <c r="I40">
        <v>609.69000000000005</v>
      </c>
    </row>
    <row r="41" spans="1:9" x14ac:dyDescent="0.25">
      <c r="A41" s="5" t="str">
        <f>TrendSheetPrdData[[#This Row],[Population]]&amp;TrendSheetPrdData[[#This Row],[Cost Basis]]&amp;TrendSheetPrdData[[#This Row],[Period]]&amp;TrendSheetPrdData[[#This Row],[Trend]]</f>
        <v>EMPLOYEESAllowed2016-06-01Overall PMPM</v>
      </c>
      <c r="B41" t="s">
        <v>90</v>
      </c>
      <c r="C41" t="s">
        <v>90</v>
      </c>
      <c r="D41" t="s">
        <v>91</v>
      </c>
      <c r="E41" s="1" t="s">
        <v>98</v>
      </c>
      <c r="F41" t="s">
        <v>93</v>
      </c>
      <c r="G41" t="s">
        <v>14</v>
      </c>
      <c r="H41">
        <v>3</v>
      </c>
      <c r="I41">
        <v>567.41999999999996</v>
      </c>
    </row>
    <row r="42" spans="1:9" x14ac:dyDescent="0.25">
      <c r="A42" s="5" t="str">
        <f>TrendSheetPrdData[[#This Row],[Population]]&amp;TrendSheetPrdData[[#This Row],[Cost Basis]]&amp;TrendSheetPrdData[[#This Row],[Period]]&amp;TrendSheetPrdData[[#This Row],[Trend]]</f>
        <v>EMPLOYEESAllowed2016-07-01Overall PMPM</v>
      </c>
      <c r="B42" t="s">
        <v>90</v>
      </c>
      <c r="C42" t="s">
        <v>90</v>
      </c>
      <c r="D42" t="s">
        <v>91</v>
      </c>
      <c r="E42" s="1" t="s">
        <v>99</v>
      </c>
      <c r="F42" t="s">
        <v>93</v>
      </c>
      <c r="G42" t="s">
        <v>14</v>
      </c>
      <c r="H42">
        <v>3</v>
      </c>
      <c r="I42">
        <v>658.75</v>
      </c>
    </row>
    <row r="43" spans="1:9" x14ac:dyDescent="0.25">
      <c r="A43" s="5" t="str">
        <f>TrendSheetPrdData[[#This Row],[Population]]&amp;TrendSheetPrdData[[#This Row],[Cost Basis]]&amp;TrendSheetPrdData[[#This Row],[Period]]&amp;TrendSheetPrdData[[#This Row],[Trend]]</f>
        <v>EMPLOYEESAllowed2016-08-01Overall PMPM</v>
      </c>
      <c r="B43" t="s">
        <v>90</v>
      </c>
      <c r="C43" t="s">
        <v>90</v>
      </c>
      <c r="D43" t="s">
        <v>91</v>
      </c>
      <c r="E43" s="1" t="s">
        <v>100</v>
      </c>
      <c r="F43" t="s">
        <v>93</v>
      </c>
      <c r="G43" t="s">
        <v>14</v>
      </c>
      <c r="H43">
        <v>3</v>
      </c>
      <c r="I43">
        <v>604.52</v>
      </c>
    </row>
    <row r="44" spans="1:9" x14ac:dyDescent="0.25">
      <c r="A44" s="5" t="str">
        <f>TrendSheetPrdData[[#This Row],[Population]]&amp;TrendSheetPrdData[[#This Row],[Cost Basis]]&amp;TrendSheetPrdData[[#This Row],[Period]]&amp;TrendSheetPrdData[[#This Row],[Trend]]</f>
        <v>EMPLOYEESAllowed2016-09-01Overall PMPM</v>
      </c>
      <c r="B44" t="s">
        <v>90</v>
      </c>
      <c r="C44" t="s">
        <v>90</v>
      </c>
      <c r="D44" t="s">
        <v>91</v>
      </c>
      <c r="E44" s="1" t="s">
        <v>101</v>
      </c>
      <c r="F44" t="s">
        <v>93</v>
      </c>
      <c r="G44" t="s">
        <v>14</v>
      </c>
      <c r="H44">
        <v>3</v>
      </c>
      <c r="I44">
        <v>581.66999999999996</v>
      </c>
    </row>
    <row r="45" spans="1:9" x14ac:dyDescent="0.25">
      <c r="A45" s="5" t="str">
        <f>TrendSheetPrdData[[#This Row],[Population]]&amp;TrendSheetPrdData[[#This Row],[Cost Basis]]&amp;TrendSheetPrdData[[#This Row],[Period]]&amp;TrendSheetPrdData[[#This Row],[Trend]]</f>
        <v>EMPLOYEESAllowed2016-10-01Overall PMPM</v>
      </c>
      <c r="B45" t="s">
        <v>90</v>
      </c>
      <c r="C45" t="s">
        <v>90</v>
      </c>
      <c r="D45" t="s">
        <v>91</v>
      </c>
      <c r="E45" s="1" t="s">
        <v>102</v>
      </c>
      <c r="F45" t="s">
        <v>93</v>
      </c>
      <c r="G45" t="s">
        <v>14</v>
      </c>
      <c r="H45">
        <v>3</v>
      </c>
      <c r="I45">
        <v>516.83000000000004</v>
      </c>
    </row>
    <row r="46" spans="1:9" x14ac:dyDescent="0.25">
      <c r="A46" s="5" t="str">
        <f>TrendSheetPrdData[[#This Row],[Population]]&amp;TrendSheetPrdData[[#This Row],[Cost Basis]]&amp;TrendSheetPrdData[[#This Row],[Period]]&amp;TrendSheetPrdData[[#This Row],[Trend]]</f>
        <v>EMPLOYEESAllowed2016-11-01Overall PMPM</v>
      </c>
      <c r="B46" t="s">
        <v>90</v>
      </c>
      <c r="C46" t="s">
        <v>90</v>
      </c>
      <c r="D46" t="s">
        <v>91</v>
      </c>
      <c r="E46" s="1" t="s">
        <v>103</v>
      </c>
      <c r="F46" t="s">
        <v>93</v>
      </c>
      <c r="G46" t="s">
        <v>14</v>
      </c>
      <c r="H46">
        <v>3</v>
      </c>
      <c r="I46">
        <v>566.97</v>
      </c>
    </row>
    <row r="47" spans="1:9" x14ac:dyDescent="0.25">
      <c r="A47" s="5" t="str">
        <f>TrendSheetPrdData[[#This Row],[Population]]&amp;TrendSheetPrdData[[#This Row],[Cost Basis]]&amp;TrendSheetPrdData[[#This Row],[Period]]&amp;TrendSheetPrdData[[#This Row],[Trend]]</f>
        <v>EMPLOYEESAllowed2016-12-01Overall PMPM</v>
      </c>
      <c r="B47" t="s">
        <v>90</v>
      </c>
      <c r="C47" t="s">
        <v>90</v>
      </c>
      <c r="D47" t="s">
        <v>91</v>
      </c>
      <c r="E47" s="1" t="s">
        <v>104</v>
      </c>
      <c r="F47" t="s">
        <v>93</v>
      </c>
      <c r="G47" t="s">
        <v>14</v>
      </c>
      <c r="H47">
        <v>3</v>
      </c>
      <c r="I47">
        <v>615.32000000000005</v>
      </c>
    </row>
    <row r="48" spans="1:9" x14ac:dyDescent="0.25">
      <c r="A48" s="5" t="str">
        <f>TrendSheetPrdData[[#This Row],[Population]]&amp;TrendSheetPrdData[[#This Row],[Cost Basis]]&amp;TrendSheetPrdData[[#This Row],[Period]]&amp;TrendSheetPrdData[[#This Row],[Trend]]</f>
        <v>EMPLOYEESAllowed2017-01-01Overall PMPM</v>
      </c>
      <c r="B48" t="s">
        <v>90</v>
      </c>
      <c r="C48" t="s">
        <v>90</v>
      </c>
      <c r="D48" t="s">
        <v>91</v>
      </c>
      <c r="E48" s="1" t="s">
        <v>105</v>
      </c>
      <c r="F48" t="s">
        <v>93</v>
      </c>
      <c r="G48" t="s">
        <v>14</v>
      </c>
      <c r="H48">
        <v>3</v>
      </c>
      <c r="I48">
        <v>596.82000000000005</v>
      </c>
    </row>
    <row r="49" spans="1:9" x14ac:dyDescent="0.25">
      <c r="A49" s="5" t="str">
        <f>TrendSheetPrdData[[#This Row],[Population]]&amp;TrendSheetPrdData[[#This Row],[Cost Basis]]&amp;TrendSheetPrdData[[#This Row],[Period]]&amp;TrendSheetPrdData[[#This Row],[Trend]]</f>
        <v>EMPLOYEESAllowed2017-02-01Overall PMPM</v>
      </c>
      <c r="B49" t="s">
        <v>90</v>
      </c>
      <c r="C49" t="s">
        <v>90</v>
      </c>
      <c r="D49" t="s">
        <v>91</v>
      </c>
      <c r="E49" s="1" t="s">
        <v>106</v>
      </c>
      <c r="F49" t="s">
        <v>93</v>
      </c>
      <c r="G49" t="s">
        <v>14</v>
      </c>
      <c r="H49">
        <v>3</v>
      </c>
      <c r="I49">
        <v>519.39</v>
      </c>
    </row>
    <row r="50" spans="1:9" x14ac:dyDescent="0.25">
      <c r="A50" s="5" t="str">
        <f>TrendSheetPrdData[[#This Row],[Population]]&amp;TrendSheetPrdData[[#This Row],[Cost Basis]]&amp;TrendSheetPrdData[[#This Row],[Period]]&amp;TrendSheetPrdData[[#This Row],[Trend]]</f>
        <v>EMPLOYEESAllowed2017-03-01Overall PMPM</v>
      </c>
      <c r="B50" t="s">
        <v>90</v>
      </c>
      <c r="C50" t="s">
        <v>90</v>
      </c>
      <c r="D50" t="s">
        <v>91</v>
      </c>
      <c r="E50" s="1" t="s">
        <v>107</v>
      </c>
      <c r="F50" t="s">
        <v>108</v>
      </c>
      <c r="G50" t="s">
        <v>14</v>
      </c>
      <c r="H50">
        <v>3</v>
      </c>
      <c r="I50">
        <v>557.55999999999995</v>
      </c>
    </row>
    <row r="51" spans="1:9" x14ac:dyDescent="0.25">
      <c r="A51" s="5" t="str">
        <f>TrendSheetPrdData[[#This Row],[Population]]&amp;TrendSheetPrdData[[#This Row],[Cost Basis]]&amp;TrendSheetPrdData[[#This Row],[Period]]&amp;TrendSheetPrdData[[#This Row],[Trend]]</f>
        <v>EMPLOYEESAllowed2017-04-01Overall PMPM</v>
      </c>
      <c r="B51" t="s">
        <v>90</v>
      </c>
      <c r="C51" t="s">
        <v>90</v>
      </c>
      <c r="D51" t="s">
        <v>91</v>
      </c>
      <c r="E51" s="1" t="s">
        <v>109</v>
      </c>
      <c r="F51" t="s">
        <v>108</v>
      </c>
      <c r="G51" t="s">
        <v>14</v>
      </c>
      <c r="H51">
        <v>3</v>
      </c>
      <c r="I51">
        <v>533.70000000000005</v>
      </c>
    </row>
    <row r="52" spans="1:9" x14ac:dyDescent="0.25">
      <c r="A52" s="5" t="str">
        <f>TrendSheetPrdData[[#This Row],[Population]]&amp;TrendSheetPrdData[[#This Row],[Cost Basis]]&amp;TrendSheetPrdData[[#This Row],[Period]]&amp;TrendSheetPrdData[[#This Row],[Trend]]</f>
        <v>EMPLOYEESAllowed2017-05-01Overall PMPM</v>
      </c>
      <c r="B52" t="s">
        <v>90</v>
      </c>
      <c r="C52" t="s">
        <v>90</v>
      </c>
      <c r="D52" t="s">
        <v>91</v>
      </c>
      <c r="E52" s="1" t="s">
        <v>110</v>
      </c>
      <c r="F52" t="s">
        <v>108</v>
      </c>
      <c r="G52" t="s">
        <v>14</v>
      </c>
      <c r="H52">
        <v>3</v>
      </c>
      <c r="I52">
        <v>323.14999999999998</v>
      </c>
    </row>
    <row r="53" spans="1:9" x14ac:dyDescent="0.25">
      <c r="A53" s="5" t="str">
        <f>TrendSheetPrdData[[#This Row],[Population]]&amp;TrendSheetPrdData[[#This Row],[Cost Basis]]&amp;TrendSheetPrdData[[#This Row],[Period]]&amp;TrendSheetPrdData[[#This Row],[Trend]]</f>
        <v>EMPLOYEESAllowed2016-01-01Readmission Cost</v>
      </c>
      <c r="B53" t="s">
        <v>90</v>
      </c>
      <c r="C53" t="s">
        <v>90</v>
      </c>
      <c r="D53" t="s">
        <v>91</v>
      </c>
      <c r="E53" s="1" t="s">
        <v>92</v>
      </c>
      <c r="F53" t="s">
        <v>93</v>
      </c>
      <c r="G53" t="s">
        <v>15</v>
      </c>
      <c r="H53">
        <v>4</v>
      </c>
      <c r="I53">
        <v>0</v>
      </c>
    </row>
    <row r="54" spans="1:9" x14ac:dyDescent="0.25">
      <c r="A54" s="5" t="str">
        <f>TrendSheetPrdData[[#This Row],[Population]]&amp;TrendSheetPrdData[[#This Row],[Cost Basis]]&amp;TrendSheetPrdData[[#This Row],[Period]]&amp;TrendSheetPrdData[[#This Row],[Trend]]</f>
        <v>EMPLOYEESAllowed2016-02-01Readmission Cost</v>
      </c>
      <c r="B54" t="s">
        <v>90</v>
      </c>
      <c r="C54" t="s">
        <v>90</v>
      </c>
      <c r="D54" t="s">
        <v>91</v>
      </c>
      <c r="E54" s="1" t="s">
        <v>94</v>
      </c>
      <c r="F54" t="s">
        <v>93</v>
      </c>
      <c r="G54" t="s">
        <v>15</v>
      </c>
      <c r="H54">
        <v>4</v>
      </c>
      <c r="I54">
        <v>0</v>
      </c>
    </row>
    <row r="55" spans="1:9" x14ac:dyDescent="0.25">
      <c r="A55" s="5" t="str">
        <f>TrendSheetPrdData[[#This Row],[Population]]&amp;TrendSheetPrdData[[#This Row],[Cost Basis]]&amp;TrendSheetPrdData[[#This Row],[Period]]&amp;TrendSheetPrdData[[#This Row],[Trend]]</f>
        <v>EMPLOYEESAllowed2016-03-01Readmission Cost</v>
      </c>
      <c r="B55" t="s">
        <v>90</v>
      </c>
      <c r="C55" t="s">
        <v>90</v>
      </c>
      <c r="D55" t="s">
        <v>91</v>
      </c>
      <c r="E55" s="1" t="s">
        <v>95</v>
      </c>
      <c r="F55" t="s">
        <v>93</v>
      </c>
      <c r="G55" t="s">
        <v>15</v>
      </c>
      <c r="H55">
        <v>4</v>
      </c>
      <c r="I55">
        <v>0</v>
      </c>
    </row>
    <row r="56" spans="1:9" x14ac:dyDescent="0.25">
      <c r="A56" s="5" t="str">
        <f>TrendSheetPrdData[[#This Row],[Population]]&amp;TrendSheetPrdData[[#This Row],[Cost Basis]]&amp;TrendSheetPrdData[[#This Row],[Period]]&amp;TrendSheetPrdData[[#This Row],[Trend]]</f>
        <v>EMPLOYEESAllowed2016-04-01Readmission Cost</v>
      </c>
      <c r="B56" t="s">
        <v>90</v>
      </c>
      <c r="C56" t="s">
        <v>90</v>
      </c>
      <c r="D56" t="s">
        <v>91</v>
      </c>
      <c r="E56" s="1" t="s">
        <v>96</v>
      </c>
      <c r="F56" t="s">
        <v>93</v>
      </c>
      <c r="G56" t="s">
        <v>15</v>
      </c>
      <c r="H56">
        <v>4</v>
      </c>
      <c r="I56">
        <v>37150.14</v>
      </c>
    </row>
    <row r="57" spans="1:9" x14ac:dyDescent="0.25">
      <c r="A57" s="5" t="str">
        <f>TrendSheetPrdData[[#This Row],[Population]]&amp;TrendSheetPrdData[[#This Row],[Cost Basis]]&amp;TrendSheetPrdData[[#This Row],[Period]]&amp;TrendSheetPrdData[[#This Row],[Trend]]</f>
        <v>EMPLOYEESAllowed2016-05-01Readmission Cost</v>
      </c>
      <c r="B57" t="s">
        <v>90</v>
      </c>
      <c r="C57" t="s">
        <v>90</v>
      </c>
      <c r="D57" t="s">
        <v>91</v>
      </c>
      <c r="E57" s="1" t="s">
        <v>97</v>
      </c>
      <c r="F57" t="s">
        <v>93</v>
      </c>
      <c r="G57" t="s">
        <v>15</v>
      </c>
      <c r="H57">
        <v>4</v>
      </c>
      <c r="I57">
        <v>5508.3</v>
      </c>
    </row>
    <row r="58" spans="1:9" x14ac:dyDescent="0.25">
      <c r="A58" s="5" t="str">
        <f>TrendSheetPrdData[[#This Row],[Population]]&amp;TrendSheetPrdData[[#This Row],[Cost Basis]]&amp;TrendSheetPrdData[[#This Row],[Period]]&amp;TrendSheetPrdData[[#This Row],[Trend]]</f>
        <v>EMPLOYEESAllowed2016-06-01Readmission Cost</v>
      </c>
      <c r="B58" t="s">
        <v>90</v>
      </c>
      <c r="C58" t="s">
        <v>90</v>
      </c>
      <c r="D58" t="s">
        <v>91</v>
      </c>
      <c r="E58" s="1" t="s">
        <v>98</v>
      </c>
      <c r="F58" t="s">
        <v>93</v>
      </c>
      <c r="G58" t="s">
        <v>15</v>
      </c>
      <c r="H58">
        <v>4</v>
      </c>
      <c r="I58">
        <v>0</v>
      </c>
    </row>
    <row r="59" spans="1:9" x14ac:dyDescent="0.25">
      <c r="A59" s="5" t="str">
        <f>TrendSheetPrdData[[#This Row],[Population]]&amp;TrendSheetPrdData[[#This Row],[Cost Basis]]&amp;TrendSheetPrdData[[#This Row],[Period]]&amp;TrendSheetPrdData[[#This Row],[Trend]]</f>
        <v>EMPLOYEESAllowed2016-07-01Readmission Cost</v>
      </c>
      <c r="B59" t="s">
        <v>90</v>
      </c>
      <c r="C59" t="s">
        <v>90</v>
      </c>
      <c r="D59" t="s">
        <v>91</v>
      </c>
      <c r="E59" s="1" t="s">
        <v>99</v>
      </c>
      <c r="F59" t="s">
        <v>93</v>
      </c>
      <c r="G59" t="s">
        <v>15</v>
      </c>
      <c r="H59">
        <v>4</v>
      </c>
      <c r="I59">
        <v>0</v>
      </c>
    </row>
    <row r="60" spans="1:9" x14ac:dyDescent="0.25">
      <c r="A60" s="5" t="str">
        <f>TrendSheetPrdData[[#This Row],[Population]]&amp;TrendSheetPrdData[[#This Row],[Cost Basis]]&amp;TrendSheetPrdData[[#This Row],[Period]]&amp;TrendSheetPrdData[[#This Row],[Trend]]</f>
        <v>EMPLOYEESAllowed2016-08-01Readmission Cost</v>
      </c>
      <c r="B60" t="s">
        <v>90</v>
      </c>
      <c r="C60" t="s">
        <v>90</v>
      </c>
      <c r="D60" t="s">
        <v>91</v>
      </c>
      <c r="E60" s="1" t="s">
        <v>100</v>
      </c>
      <c r="F60" t="s">
        <v>93</v>
      </c>
      <c r="G60" t="s">
        <v>15</v>
      </c>
      <c r="H60">
        <v>4</v>
      </c>
      <c r="I60">
        <v>22432.23</v>
      </c>
    </row>
    <row r="61" spans="1:9" x14ac:dyDescent="0.25">
      <c r="A61" s="5" t="str">
        <f>TrendSheetPrdData[[#This Row],[Population]]&amp;TrendSheetPrdData[[#This Row],[Cost Basis]]&amp;TrendSheetPrdData[[#This Row],[Period]]&amp;TrendSheetPrdData[[#This Row],[Trend]]</f>
        <v>EMPLOYEESAllowed2016-09-01Readmission Cost</v>
      </c>
      <c r="B61" t="s">
        <v>90</v>
      </c>
      <c r="C61" t="s">
        <v>90</v>
      </c>
      <c r="D61" t="s">
        <v>91</v>
      </c>
      <c r="E61" s="1" t="s">
        <v>101</v>
      </c>
      <c r="F61" t="s">
        <v>93</v>
      </c>
      <c r="G61" t="s">
        <v>15</v>
      </c>
      <c r="H61">
        <v>4</v>
      </c>
      <c r="I61">
        <v>17070.05</v>
      </c>
    </row>
    <row r="62" spans="1:9" x14ac:dyDescent="0.25">
      <c r="A62" s="5" t="str">
        <f>TrendSheetPrdData[[#This Row],[Population]]&amp;TrendSheetPrdData[[#This Row],[Cost Basis]]&amp;TrendSheetPrdData[[#This Row],[Period]]&amp;TrendSheetPrdData[[#This Row],[Trend]]</f>
        <v>EMPLOYEESAllowed2016-10-01Readmission Cost</v>
      </c>
      <c r="B62" t="s">
        <v>90</v>
      </c>
      <c r="C62" t="s">
        <v>90</v>
      </c>
      <c r="D62" t="s">
        <v>91</v>
      </c>
      <c r="E62" s="1" t="s">
        <v>102</v>
      </c>
      <c r="F62" t="s">
        <v>93</v>
      </c>
      <c r="G62" t="s">
        <v>15</v>
      </c>
      <c r="H62">
        <v>4</v>
      </c>
      <c r="I62">
        <v>37819.94</v>
      </c>
    </row>
    <row r="63" spans="1:9" x14ac:dyDescent="0.25">
      <c r="A63" s="5" t="str">
        <f>TrendSheetPrdData[[#This Row],[Population]]&amp;TrendSheetPrdData[[#This Row],[Cost Basis]]&amp;TrendSheetPrdData[[#This Row],[Period]]&amp;TrendSheetPrdData[[#This Row],[Trend]]</f>
        <v>EMPLOYEESAllowed2016-11-01Readmission Cost</v>
      </c>
      <c r="B63" t="s">
        <v>90</v>
      </c>
      <c r="C63" t="s">
        <v>90</v>
      </c>
      <c r="D63" t="s">
        <v>91</v>
      </c>
      <c r="E63" s="1" t="s">
        <v>103</v>
      </c>
      <c r="F63" t="s">
        <v>93</v>
      </c>
      <c r="G63" t="s">
        <v>15</v>
      </c>
      <c r="H63">
        <v>4</v>
      </c>
      <c r="I63">
        <v>4256</v>
      </c>
    </row>
    <row r="64" spans="1:9" x14ac:dyDescent="0.25">
      <c r="A64" s="5" t="str">
        <f>TrendSheetPrdData[[#This Row],[Population]]&amp;TrendSheetPrdData[[#This Row],[Cost Basis]]&amp;TrendSheetPrdData[[#This Row],[Period]]&amp;TrendSheetPrdData[[#This Row],[Trend]]</f>
        <v>EMPLOYEESAllowed2016-12-01Readmission Cost</v>
      </c>
      <c r="B64" t="s">
        <v>90</v>
      </c>
      <c r="C64" t="s">
        <v>90</v>
      </c>
      <c r="D64" t="s">
        <v>91</v>
      </c>
      <c r="E64" s="1" t="s">
        <v>104</v>
      </c>
      <c r="F64" t="s">
        <v>93</v>
      </c>
      <c r="G64" t="s">
        <v>15</v>
      </c>
      <c r="H64">
        <v>4</v>
      </c>
      <c r="I64">
        <v>0</v>
      </c>
    </row>
    <row r="65" spans="1:9" x14ac:dyDescent="0.25">
      <c r="A65" s="5" t="str">
        <f>TrendSheetPrdData[[#This Row],[Population]]&amp;TrendSheetPrdData[[#This Row],[Cost Basis]]&amp;TrendSheetPrdData[[#This Row],[Period]]&amp;TrendSheetPrdData[[#This Row],[Trend]]</f>
        <v>EMPLOYEESAllowed2017-01-01Readmission Cost</v>
      </c>
      <c r="B65" t="s">
        <v>90</v>
      </c>
      <c r="C65" t="s">
        <v>90</v>
      </c>
      <c r="D65" t="s">
        <v>91</v>
      </c>
      <c r="E65" s="1" t="s">
        <v>105</v>
      </c>
      <c r="F65" t="s">
        <v>93</v>
      </c>
      <c r="G65" t="s">
        <v>15</v>
      </c>
      <c r="H65">
        <v>4</v>
      </c>
      <c r="I65">
        <v>0</v>
      </c>
    </row>
    <row r="66" spans="1:9" x14ac:dyDescent="0.25">
      <c r="A66" s="5" t="str">
        <f>TrendSheetPrdData[[#This Row],[Population]]&amp;TrendSheetPrdData[[#This Row],[Cost Basis]]&amp;TrendSheetPrdData[[#This Row],[Period]]&amp;TrendSheetPrdData[[#This Row],[Trend]]</f>
        <v>EMPLOYEESAllowed2017-02-01Readmission Cost</v>
      </c>
      <c r="B66" t="s">
        <v>90</v>
      </c>
      <c r="C66" t="s">
        <v>90</v>
      </c>
      <c r="D66" t="s">
        <v>91</v>
      </c>
      <c r="E66" s="1" t="s">
        <v>106</v>
      </c>
      <c r="F66" t="s">
        <v>93</v>
      </c>
      <c r="G66" t="s">
        <v>15</v>
      </c>
      <c r="H66">
        <v>4</v>
      </c>
      <c r="I66">
        <v>0</v>
      </c>
    </row>
    <row r="67" spans="1:9" x14ac:dyDescent="0.25">
      <c r="A67" s="5" t="str">
        <f>TrendSheetPrdData[[#This Row],[Population]]&amp;TrendSheetPrdData[[#This Row],[Cost Basis]]&amp;TrendSheetPrdData[[#This Row],[Period]]&amp;TrendSheetPrdData[[#This Row],[Trend]]</f>
        <v>EMPLOYEESAllowed2017-03-01Readmission Cost</v>
      </c>
      <c r="B67" t="s">
        <v>90</v>
      </c>
      <c r="C67" t="s">
        <v>90</v>
      </c>
      <c r="D67" t="s">
        <v>91</v>
      </c>
      <c r="E67" s="1" t="s">
        <v>107</v>
      </c>
      <c r="F67" t="s">
        <v>108</v>
      </c>
      <c r="G67" t="s">
        <v>15</v>
      </c>
      <c r="H67">
        <v>4</v>
      </c>
      <c r="I67">
        <v>18856.55</v>
      </c>
    </row>
    <row r="68" spans="1:9" x14ac:dyDescent="0.25">
      <c r="A68" s="5" t="str">
        <f>TrendSheetPrdData[[#This Row],[Population]]&amp;TrendSheetPrdData[[#This Row],[Cost Basis]]&amp;TrendSheetPrdData[[#This Row],[Period]]&amp;TrendSheetPrdData[[#This Row],[Trend]]</f>
        <v>EMPLOYEESAllowed2017-04-01Readmission Cost</v>
      </c>
      <c r="B68" t="s">
        <v>90</v>
      </c>
      <c r="C68" t="s">
        <v>90</v>
      </c>
      <c r="D68" t="s">
        <v>91</v>
      </c>
      <c r="E68" s="1" t="s">
        <v>109</v>
      </c>
      <c r="F68" t="s">
        <v>108</v>
      </c>
      <c r="G68" t="s">
        <v>15</v>
      </c>
      <c r="H68">
        <v>4</v>
      </c>
      <c r="I68">
        <v>11019.9</v>
      </c>
    </row>
    <row r="69" spans="1:9" x14ac:dyDescent="0.25">
      <c r="A69" s="5" t="str">
        <f>TrendSheetPrdData[[#This Row],[Population]]&amp;TrendSheetPrdData[[#This Row],[Cost Basis]]&amp;TrendSheetPrdData[[#This Row],[Period]]&amp;TrendSheetPrdData[[#This Row],[Trend]]</f>
        <v>EMPLOYEESAllowed2017-05-01Readmission Cost</v>
      </c>
      <c r="B69" t="s">
        <v>90</v>
      </c>
      <c r="C69" t="s">
        <v>90</v>
      </c>
      <c r="D69" t="s">
        <v>91</v>
      </c>
      <c r="E69" s="1" t="s">
        <v>110</v>
      </c>
      <c r="F69" t="s">
        <v>108</v>
      </c>
      <c r="G69" t="s">
        <v>15</v>
      </c>
      <c r="H69">
        <v>4</v>
      </c>
      <c r="I69">
        <v>0</v>
      </c>
    </row>
    <row r="70" spans="1:9" x14ac:dyDescent="0.25">
      <c r="A70" s="5" t="str">
        <f>TrendSheetPrdData[[#This Row],[Population]]&amp;TrendSheetPrdData[[#This Row],[Cost Basis]]&amp;TrendSheetPrdData[[#This Row],[Period]]&amp;TrendSheetPrdData[[#This Row],[Trend]]</f>
        <v>EMPLOYEESAllowed2016-01-01Readmission Quality</v>
      </c>
      <c r="B70" t="s">
        <v>90</v>
      </c>
      <c r="C70" t="s">
        <v>90</v>
      </c>
      <c r="D70" t="s">
        <v>91</v>
      </c>
      <c r="E70" s="1" t="s">
        <v>92</v>
      </c>
      <c r="F70" t="s">
        <v>93</v>
      </c>
      <c r="G70" t="s">
        <v>16</v>
      </c>
      <c r="H70">
        <v>5</v>
      </c>
      <c r="I70">
        <v>0</v>
      </c>
    </row>
    <row r="71" spans="1:9" x14ac:dyDescent="0.25">
      <c r="A71" s="5" t="str">
        <f>TrendSheetPrdData[[#This Row],[Population]]&amp;TrendSheetPrdData[[#This Row],[Cost Basis]]&amp;TrendSheetPrdData[[#This Row],[Period]]&amp;TrendSheetPrdData[[#This Row],[Trend]]</f>
        <v>EMPLOYEESAllowed2016-02-01Readmission Quality</v>
      </c>
      <c r="B71" t="s">
        <v>90</v>
      </c>
      <c r="C71" t="s">
        <v>90</v>
      </c>
      <c r="D71" t="s">
        <v>91</v>
      </c>
      <c r="E71" s="1" t="s">
        <v>94</v>
      </c>
      <c r="F71" t="s">
        <v>93</v>
      </c>
      <c r="G71" t="s">
        <v>16</v>
      </c>
      <c r="H71">
        <v>5</v>
      </c>
      <c r="I71">
        <v>0</v>
      </c>
    </row>
    <row r="72" spans="1:9" x14ac:dyDescent="0.25">
      <c r="A72" s="5" t="str">
        <f>TrendSheetPrdData[[#This Row],[Population]]&amp;TrendSheetPrdData[[#This Row],[Cost Basis]]&amp;TrendSheetPrdData[[#This Row],[Period]]&amp;TrendSheetPrdData[[#This Row],[Trend]]</f>
        <v>EMPLOYEESAllowed2016-03-01Readmission Quality</v>
      </c>
      <c r="B72" t="s">
        <v>90</v>
      </c>
      <c r="C72" t="s">
        <v>90</v>
      </c>
      <c r="D72" t="s">
        <v>91</v>
      </c>
      <c r="E72" s="1" t="s">
        <v>95</v>
      </c>
      <c r="F72" t="s">
        <v>93</v>
      </c>
      <c r="G72" t="s">
        <v>16</v>
      </c>
      <c r="H72">
        <v>5</v>
      </c>
      <c r="I72">
        <v>0</v>
      </c>
    </row>
    <row r="73" spans="1:9" x14ac:dyDescent="0.25">
      <c r="A73" s="5" t="str">
        <f>TrendSheetPrdData[[#This Row],[Population]]&amp;TrendSheetPrdData[[#This Row],[Cost Basis]]&amp;TrendSheetPrdData[[#This Row],[Period]]&amp;TrendSheetPrdData[[#This Row],[Trend]]</f>
        <v>EMPLOYEESAllowed2016-04-01Readmission Quality</v>
      </c>
      <c r="B73" t="s">
        <v>90</v>
      </c>
      <c r="C73" t="s">
        <v>90</v>
      </c>
      <c r="D73" t="s">
        <v>91</v>
      </c>
      <c r="E73" s="1" t="s">
        <v>96</v>
      </c>
      <c r="F73" t="s">
        <v>93</v>
      </c>
      <c r="G73" t="s">
        <v>16</v>
      </c>
      <c r="H73">
        <v>5</v>
      </c>
      <c r="I73">
        <v>3</v>
      </c>
    </row>
    <row r="74" spans="1:9" x14ac:dyDescent="0.25">
      <c r="A74" s="5" t="str">
        <f>TrendSheetPrdData[[#This Row],[Population]]&amp;TrendSheetPrdData[[#This Row],[Cost Basis]]&amp;TrendSheetPrdData[[#This Row],[Period]]&amp;TrendSheetPrdData[[#This Row],[Trend]]</f>
        <v>EMPLOYEESAllowed2016-05-01Readmission Quality</v>
      </c>
      <c r="B74" t="s">
        <v>90</v>
      </c>
      <c r="C74" t="s">
        <v>90</v>
      </c>
      <c r="D74" t="s">
        <v>91</v>
      </c>
      <c r="E74" s="1" t="s">
        <v>97</v>
      </c>
      <c r="F74" t="s">
        <v>93</v>
      </c>
      <c r="G74" t="s">
        <v>16</v>
      </c>
      <c r="H74">
        <v>5</v>
      </c>
      <c r="I74">
        <v>1</v>
      </c>
    </row>
    <row r="75" spans="1:9" x14ac:dyDescent="0.25">
      <c r="A75" s="5" t="str">
        <f>TrendSheetPrdData[[#This Row],[Population]]&amp;TrendSheetPrdData[[#This Row],[Cost Basis]]&amp;TrendSheetPrdData[[#This Row],[Period]]&amp;TrendSheetPrdData[[#This Row],[Trend]]</f>
        <v>EMPLOYEESAllowed2016-06-01Readmission Quality</v>
      </c>
      <c r="B75" t="s">
        <v>90</v>
      </c>
      <c r="C75" t="s">
        <v>90</v>
      </c>
      <c r="D75" t="s">
        <v>91</v>
      </c>
      <c r="E75" s="1" t="s">
        <v>98</v>
      </c>
      <c r="F75" t="s">
        <v>93</v>
      </c>
      <c r="G75" t="s">
        <v>16</v>
      </c>
      <c r="H75">
        <v>5</v>
      </c>
      <c r="I75">
        <v>0</v>
      </c>
    </row>
    <row r="76" spans="1:9" x14ac:dyDescent="0.25">
      <c r="A76" s="5" t="str">
        <f>TrendSheetPrdData[[#This Row],[Population]]&amp;TrendSheetPrdData[[#This Row],[Cost Basis]]&amp;TrendSheetPrdData[[#This Row],[Period]]&amp;TrendSheetPrdData[[#This Row],[Trend]]</f>
        <v>EMPLOYEESAllowed2016-07-01Readmission Quality</v>
      </c>
      <c r="B76" t="s">
        <v>90</v>
      </c>
      <c r="C76" t="s">
        <v>90</v>
      </c>
      <c r="D76" t="s">
        <v>91</v>
      </c>
      <c r="E76" s="1" t="s">
        <v>99</v>
      </c>
      <c r="F76" t="s">
        <v>93</v>
      </c>
      <c r="G76" t="s">
        <v>16</v>
      </c>
      <c r="H76">
        <v>5</v>
      </c>
      <c r="I76">
        <v>0</v>
      </c>
    </row>
    <row r="77" spans="1:9" x14ac:dyDescent="0.25">
      <c r="A77" s="5" t="str">
        <f>TrendSheetPrdData[[#This Row],[Population]]&amp;TrendSheetPrdData[[#This Row],[Cost Basis]]&amp;TrendSheetPrdData[[#This Row],[Period]]&amp;TrendSheetPrdData[[#This Row],[Trend]]</f>
        <v>EMPLOYEESAllowed2016-08-01Readmission Quality</v>
      </c>
      <c r="B77" t="s">
        <v>90</v>
      </c>
      <c r="C77" t="s">
        <v>90</v>
      </c>
      <c r="D77" t="s">
        <v>91</v>
      </c>
      <c r="E77" s="1" t="s">
        <v>100</v>
      </c>
      <c r="F77" t="s">
        <v>93</v>
      </c>
      <c r="G77" t="s">
        <v>16</v>
      </c>
      <c r="H77">
        <v>5</v>
      </c>
      <c r="I77">
        <v>2</v>
      </c>
    </row>
    <row r="78" spans="1:9" x14ac:dyDescent="0.25">
      <c r="A78" s="5" t="str">
        <f>TrendSheetPrdData[[#This Row],[Population]]&amp;TrendSheetPrdData[[#This Row],[Cost Basis]]&amp;TrendSheetPrdData[[#This Row],[Period]]&amp;TrendSheetPrdData[[#This Row],[Trend]]</f>
        <v>EMPLOYEESAllowed2016-09-01Readmission Quality</v>
      </c>
      <c r="B78" t="s">
        <v>90</v>
      </c>
      <c r="C78" t="s">
        <v>90</v>
      </c>
      <c r="D78" t="s">
        <v>91</v>
      </c>
      <c r="E78" s="1" t="s">
        <v>101</v>
      </c>
      <c r="F78" t="s">
        <v>93</v>
      </c>
      <c r="G78" t="s">
        <v>16</v>
      </c>
      <c r="H78">
        <v>5</v>
      </c>
      <c r="I78">
        <v>1</v>
      </c>
    </row>
    <row r="79" spans="1:9" x14ac:dyDescent="0.25">
      <c r="A79" s="5" t="str">
        <f>TrendSheetPrdData[[#This Row],[Population]]&amp;TrendSheetPrdData[[#This Row],[Cost Basis]]&amp;TrendSheetPrdData[[#This Row],[Period]]&amp;TrendSheetPrdData[[#This Row],[Trend]]</f>
        <v>EMPLOYEESAllowed2016-10-01Readmission Quality</v>
      </c>
      <c r="B79" t="s">
        <v>90</v>
      </c>
      <c r="C79" t="s">
        <v>90</v>
      </c>
      <c r="D79" t="s">
        <v>91</v>
      </c>
      <c r="E79" s="1" t="s">
        <v>102</v>
      </c>
      <c r="F79" t="s">
        <v>93</v>
      </c>
      <c r="G79" t="s">
        <v>16</v>
      </c>
      <c r="H79">
        <v>5</v>
      </c>
      <c r="I79">
        <v>2</v>
      </c>
    </row>
    <row r="80" spans="1:9" x14ac:dyDescent="0.25">
      <c r="A80" s="5" t="str">
        <f>TrendSheetPrdData[[#This Row],[Population]]&amp;TrendSheetPrdData[[#This Row],[Cost Basis]]&amp;TrendSheetPrdData[[#This Row],[Period]]&amp;TrendSheetPrdData[[#This Row],[Trend]]</f>
        <v>EMPLOYEESAllowed2016-11-01Readmission Quality</v>
      </c>
      <c r="B80" t="s">
        <v>90</v>
      </c>
      <c r="C80" t="s">
        <v>90</v>
      </c>
      <c r="D80" t="s">
        <v>91</v>
      </c>
      <c r="E80" s="1" t="s">
        <v>103</v>
      </c>
      <c r="F80" t="s">
        <v>93</v>
      </c>
      <c r="G80" t="s">
        <v>16</v>
      </c>
      <c r="H80">
        <v>5</v>
      </c>
      <c r="I80">
        <v>1</v>
      </c>
    </row>
    <row r="81" spans="1:9" x14ac:dyDescent="0.25">
      <c r="A81" s="5" t="str">
        <f>TrendSheetPrdData[[#This Row],[Population]]&amp;TrendSheetPrdData[[#This Row],[Cost Basis]]&amp;TrendSheetPrdData[[#This Row],[Period]]&amp;TrendSheetPrdData[[#This Row],[Trend]]</f>
        <v>EMPLOYEESAllowed2016-12-01Readmission Quality</v>
      </c>
      <c r="B81" t="s">
        <v>90</v>
      </c>
      <c r="C81" t="s">
        <v>90</v>
      </c>
      <c r="D81" t="s">
        <v>91</v>
      </c>
      <c r="E81" s="1" t="s">
        <v>104</v>
      </c>
      <c r="F81" t="s">
        <v>93</v>
      </c>
      <c r="G81" t="s">
        <v>16</v>
      </c>
      <c r="H81">
        <v>5</v>
      </c>
      <c r="I81">
        <v>0</v>
      </c>
    </row>
    <row r="82" spans="1:9" x14ac:dyDescent="0.25">
      <c r="A82" s="5" t="str">
        <f>TrendSheetPrdData[[#This Row],[Population]]&amp;TrendSheetPrdData[[#This Row],[Cost Basis]]&amp;TrendSheetPrdData[[#This Row],[Period]]&amp;TrendSheetPrdData[[#This Row],[Trend]]</f>
        <v>EMPLOYEESAllowed2017-01-01Readmission Quality</v>
      </c>
      <c r="B82" t="s">
        <v>90</v>
      </c>
      <c r="C82" t="s">
        <v>90</v>
      </c>
      <c r="D82" t="s">
        <v>91</v>
      </c>
      <c r="E82" s="1" t="s">
        <v>105</v>
      </c>
      <c r="F82" t="s">
        <v>93</v>
      </c>
      <c r="G82" t="s">
        <v>16</v>
      </c>
      <c r="H82">
        <v>5</v>
      </c>
      <c r="I82">
        <v>0</v>
      </c>
    </row>
    <row r="83" spans="1:9" x14ac:dyDescent="0.25">
      <c r="A83" s="5" t="str">
        <f>TrendSheetPrdData[[#This Row],[Population]]&amp;TrendSheetPrdData[[#This Row],[Cost Basis]]&amp;TrendSheetPrdData[[#This Row],[Period]]&amp;TrendSheetPrdData[[#This Row],[Trend]]</f>
        <v>EMPLOYEESAllowed2017-02-01Readmission Quality</v>
      </c>
      <c r="B83" t="s">
        <v>90</v>
      </c>
      <c r="C83" t="s">
        <v>90</v>
      </c>
      <c r="D83" t="s">
        <v>91</v>
      </c>
      <c r="E83" s="1" t="s">
        <v>106</v>
      </c>
      <c r="F83" t="s">
        <v>93</v>
      </c>
      <c r="G83" t="s">
        <v>16</v>
      </c>
      <c r="H83">
        <v>5</v>
      </c>
      <c r="I83">
        <v>0</v>
      </c>
    </row>
    <row r="84" spans="1:9" x14ac:dyDescent="0.25">
      <c r="A84" s="5" t="str">
        <f>TrendSheetPrdData[[#This Row],[Population]]&amp;TrendSheetPrdData[[#This Row],[Cost Basis]]&amp;TrendSheetPrdData[[#This Row],[Period]]&amp;TrendSheetPrdData[[#This Row],[Trend]]</f>
        <v>EMPLOYEESAllowed2017-03-01Readmission Quality</v>
      </c>
      <c r="B84" t="s">
        <v>90</v>
      </c>
      <c r="C84" t="s">
        <v>90</v>
      </c>
      <c r="D84" t="s">
        <v>91</v>
      </c>
      <c r="E84" s="1" t="s">
        <v>107</v>
      </c>
      <c r="F84" t="s">
        <v>108</v>
      </c>
      <c r="G84" t="s">
        <v>16</v>
      </c>
      <c r="H84">
        <v>5</v>
      </c>
      <c r="I84">
        <v>1</v>
      </c>
    </row>
    <row r="85" spans="1:9" x14ac:dyDescent="0.25">
      <c r="A85" s="5" t="str">
        <f>TrendSheetPrdData[[#This Row],[Population]]&amp;TrendSheetPrdData[[#This Row],[Cost Basis]]&amp;TrendSheetPrdData[[#This Row],[Period]]&amp;TrendSheetPrdData[[#This Row],[Trend]]</f>
        <v>EMPLOYEESAllowed2017-04-01Readmission Quality</v>
      </c>
      <c r="B85" t="s">
        <v>90</v>
      </c>
      <c r="C85" t="s">
        <v>90</v>
      </c>
      <c r="D85" t="s">
        <v>91</v>
      </c>
      <c r="E85" s="1" t="s">
        <v>109</v>
      </c>
      <c r="F85" t="s">
        <v>108</v>
      </c>
      <c r="G85" t="s">
        <v>16</v>
      </c>
      <c r="H85">
        <v>5</v>
      </c>
      <c r="I85">
        <v>1</v>
      </c>
    </row>
    <row r="86" spans="1:9" x14ac:dyDescent="0.25">
      <c r="A86" s="5" t="str">
        <f>TrendSheetPrdData[[#This Row],[Population]]&amp;TrendSheetPrdData[[#This Row],[Cost Basis]]&amp;TrendSheetPrdData[[#This Row],[Period]]&amp;TrendSheetPrdData[[#This Row],[Trend]]</f>
        <v>EMPLOYEESAllowed2017-05-01Readmission Quality</v>
      </c>
      <c r="B86" t="s">
        <v>90</v>
      </c>
      <c r="C86" t="s">
        <v>90</v>
      </c>
      <c r="D86" t="s">
        <v>91</v>
      </c>
      <c r="E86" s="1" t="s">
        <v>110</v>
      </c>
      <c r="F86" t="s">
        <v>108</v>
      </c>
      <c r="G86" t="s">
        <v>16</v>
      </c>
      <c r="H86">
        <v>5</v>
      </c>
      <c r="I86">
        <v>0</v>
      </c>
    </row>
    <row r="87" spans="1:9" x14ac:dyDescent="0.25">
      <c r="A87" s="5" t="str">
        <f>TrendSheetPrdData[[#This Row],[Population]]&amp;TrendSheetPrdData[[#This Row],[Cost Basis]]&amp;TrendSheetPrdData[[#This Row],[Period]]&amp;TrendSheetPrdData[[#This Row],[Trend]]</f>
        <v>EMPLOYEESAllowed2016-01-01Avoidable Admission Cost</v>
      </c>
      <c r="B87" t="s">
        <v>90</v>
      </c>
      <c r="C87" t="s">
        <v>90</v>
      </c>
      <c r="D87" t="s">
        <v>91</v>
      </c>
      <c r="E87" s="1" t="s">
        <v>92</v>
      </c>
      <c r="F87" t="s">
        <v>93</v>
      </c>
      <c r="G87" t="s">
        <v>17</v>
      </c>
      <c r="H87">
        <v>6</v>
      </c>
      <c r="I87">
        <v>10915.8</v>
      </c>
    </row>
    <row r="88" spans="1:9" x14ac:dyDescent="0.25">
      <c r="A88" s="5" t="str">
        <f>TrendSheetPrdData[[#This Row],[Population]]&amp;TrendSheetPrdData[[#This Row],[Cost Basis]]&amp;TrendSheetPrdData[[#This Row],[Period]]&amp;TrendSheetPrdData[[#This Row],[Trend]]</f>
        <v>EMPLOYEESAllowed2016-02-01Avoidable Admission Cost</v>
      </c>
      <c r="B88" t="s">
        <v>90</v>
      </c>
      <c r="C88" t="s">
        <v>90</v>
      </c>
      <c r="D88" t="s">
        <v>91</v>
      </c>
      <c r="E88" s="1" t="s">
        <v>94</v>
      </c>
      <c r="F88" t="s">
        <v>93</v>
      </c>
      <c r="G88" t="s">
        <v>17</v>
      </c>
      <c r="H88">
        <v>6</v>
      </c>
      <c r="I88">
        <v>31391.4</v>
      </c>
    </row>
    <row r="89" spans="1:9" x14ac:dyDescent="0.25">
      <c r="A89" s="5" t="str">
        <f>TrendSheetPrdData[[#This Row],[Population]]&amp;TrendSheetPrdData[[#This Row],[Cost Basis]]&amp;TrendSheetPrdData[[#This Row],[Period]]&amp;TrendSheetPrdData[[#This Row],[Trend]]</f>
        <v>EMPLOYEESAllowed2016-03-01Avoidable Admission Cost</v>
      </c>
      <c r="B89" t="s">
        <v>90</v>
      </c>
      <c r="C89" t="s">
        <v>90</v>
      </c>
      <c r="D89" t="s">
        <v>91</v>
      </c>
      <c r="E89" s="1" t="s">
        <v>95</v>
      </c>
      <c r="F89" t="s">
        <v>93</v>
      </c>
      <c r="G89" t="s">
        <v>17</v>
      </c>
      <c r="H89">
        <v>6</v>
      </c>
      <c r="I89">
        <v>0</v>
      </c>
    </row>
    <row r="90" spans="1:9" x14ac:dyDescent="0.25">
      <c r="A90" s="5" t="str">
        <f>TrendSheetPrdData[[#This Row],[Population]]&amp;TrendSheetPrdData[[#This Row],[Cost Basis]]&amp;TrendSheetPrdData[[#This Row],[Period]]&amp;TrendSheetPrdData[[#This Row],[Trend]]</f>
        <v>EMPLOYEESAllowed2016-04-01Avoidable Admission Cost</v>
      </c>
      <c r="B90" t="s">
        <v>90</v>
      </c>
      <c r="C90" t="s">
        <v>90</v>
      </c>
      <c r="D90" t="s">
        <v>91</v>
      </c>
      <c r="E90" s="1" t="s">
        <v>96</v>
      </c>
      <c r="F90" t="s">
        <v>93</v>
      </c>
      <c r="G90" t="s">
        <v>17</v>
      </c>
      <c r="H90">
        <v>6</v>
      </c>
      <c r="I90">
        <v>62787.040000000001</v>
      </c>
    </row>
    <row r="91" spans="1:9" x14ac:dyDescent="0.25">
      <c r="A91" s="5" t="str">
        <f>TrendSheetPrdData[[#This Row],[Population]]&amp;TrendSheetPrdData[[#This Row],[Cost Basis]]&amp;TrendSheetPrdData[[#This Row],[Period]]&amp;TrendSheetPrdData[[#This Row],[Trend]]</f>
        <v>EMPLOYEESAllowed2016-05-01Avoidable Admission Cost</v>
      </c>
      <c r="B91" t="s">
        <v>90</v>
      </c>
      <c r="C91" t="s">
        <v>90</v>
      </c>
      <c r="D91" t="s">
        <v>91</v>
      </c>
      <c r="E91" s="1" t="s">
        <v>97</v>
      </c>
      <c r="F91" t="s">
        <v>93</v>
      </c>
      <c r="G91" t="s">
        <v>17</v>
      </c>
      <c r="H91">
        <v>6</v>
      </c>
      <c r="I91">
        <v>0</v>
      </c>
    </row>
    <row r="92" spans="1:9" x14ac:dyDescent="0.25">
      <c r="A92" s="5" t="str">
        <f>TrendSheetPrdData[[#This Row],[Population]]&amp;TrendSheetPrdData[[#This Row],[Cost Basis]]&amp;TrendSheetPrdData[[#This Row],[Period]]&amp;TrendSheetPrdData[[#This Row],[Trend]]</f>
        <v>EMPLOYEESAllowed2016-06-01Avoidable Admission Cost</v>
      </c>
      <c r="B92" t="s">
        <v>90</v>
      </c>
      <c r="C92" t="s">
        <v>90</v>
      </c>
      <c r="D92" t="s">
        <v>91</v>
      </c>
      <c r="E92" s="1" t="s">
        <v>98</v>
      </c>
      <c r="F92" t="s">
        <v>93</v>
      </c>
      <c r="G92" t="s">
        <v>17</v>
      </c>
      <c r="H92">
        <v>6</v>
      </c>
      <c r="I92">
        <v>6632.12</v>
      </c>
    </row>
    <row r="93" spans="1:9" x14ac:dyDescent="0.25">
      <c r="A93" s="5" t="str">
        <f>TrendSheetPrdData[[#This Row],[Population]]&amp;TrendSheetPrdData[[#This Row],[Cost Basis]]&amp;TrendSheetPrdData[[#This Row],[Period]]&amp;TrendSheetPrdData[[#This Row],[Trend]]</f>
        <v>EMPLOYEESAllowed2016-07-01Avoidable Admission Cost</v>
      </c>
      <c r="B93" t="s">
        <v>90</v>
      </c>
      <c r="C93" t="s">
        <v>90</v>
      </c>
      <c r="D93" t="s">
        <v>91</v>
      </c>
      <c r="E93" s="1" t="s">
        <v>99</v>
      </c>
      <c r="F93" t="s">
        <v>93</v>
      </c>
      <c r="G93" t="s">
        <v>17</v>
      </c>
      <c r="H93">
        <v>6</v>
      </c>
      <c r="I93">
        <v>0</v>
      </c>
    </row>
    <row r="94" spans="1:9" x14ac:dyDescent="0.25">
      <c r="A94" s="5" t="str">
        <f>TrendSheetPrdData[[#This Row],[Population]]&amp;TrendSheetPrdData[[#This Row],[Cost Basis]]&amp;TrendSheetPrdData[[#This Row],[Period]]&amp;TrendSheetPrdData[[#This Row],[Trend]]</f>
        <v>EMPLOYEESAllowed2016-08-01Avoidable Admission Cost</v>
      </c>
      <c r="B94" t="s">
        <v>90</v>
      </c>
      <c r="C94" t="s">
        <v>90</v>
      </c>
      <c r="D94" t="s">
        <v>91</v>
      </c>
      <c r="E94" s="1" t="s">
        <v>100</v>
      </c>
      <c r="F94" t="s">
        <v>93</v>
      </c>
      <c r="G94" t="s">
        <v>17</v>
      </c>
      <c r="H94">
        <v>6</v>
      </c>
      <c r="I94">
        <v>0</v>
      </c>
    </row>
    <row r="95" spans="1:9" x14ac:dyDescent="0.25">
      <c r="A95" s="5" t="str">
        <f>TrendSheetPrdData[[#This Row],[Population]]&amp;TrendSheetPrdData[[#This Row],[Cost Basis]]&amp;TrendSheetPrdData[[#This Row],[Period]]&amp;TrendSheetPrdData[[#This Row],[Trend]]</f>
        <v>EMPLOYEESAllowed2016-09-01Avoidable Admission Cost</v>
      </c>
      <c r="B95" t="s">
        <v>90</v>
      </c>
      <c r="C95" t="s">
        <v>90</v>
      </c>
      <c r="D95" t="s">
        <v>91</v>
      </c>
      <c r="E95" s="1" t="s">
        <v>101</v>
      </c>
      <c r="F95" t="s">
        <v>93</v>
      </c>
      <c r="G95" t="s">
        <v>17</v>
      </c>
      <c r="H95">
        <v>6</v>
      </c>
      <c r="I95">
        <v>36644.15</v>
      </c>
    </row>
    <row r="96" spans="1:9" x14ac:dyDescent="0.25">
      <c r="A96" s="5" t="str">
        <f>TrendSheetPrdData[[#This Row],[Population]]&amp;TrendSheetPrdData[[#This Row],[Cost Basis]]&amp;TrendSheetPrdData[[#This Row],[Period]]&amp;TrendSheetPrdData[[#This Row],[Trend]]</f>
        <v>EMPLOYEESAllowed2016-10-01Avoidable Admission Cost</v>
      </c>
      <c r="B96" t="s">
        <v>90</v>
      </c>
      <c r="C96" t="s">
        <v>90</v>
      </c>
      <c r="D96" t="s">
        <v>91</v>
      </c>
      <c r="E96" s="1" t="s">
        <v>102</v>
      </c>
      <c r="F96" t="s">
        <v>93</v>
      </c>
      <c r="G96" t="s">
        <v>17</v>
      </c>
      <c r="H96">
        <v>6</v>
      </c>
      <c r="I96">
        <v>7888.05</v>
      </c>
    </row>
    <row r="97" spans="1:9" x14ac:dyDescent="0.25">
      <c r="A97" s="5" t="str">
        <f>TrendSheetPrdData[[#This Row],[Population]]&amp;TrendSheetPrdData[[#This Row],[Cost Basis]]&amp;TrendSheetPrdData[[#This Row],[Period]]&amp;TrendSheetPrdData[[#This Row],[Trend]]</f>
        <v>EMPLOYEESAllowed2016-11-01Avoidable Admission Cost</v>
      </c>
      <c r="B97" t="s">
        <v>90</v>
      </c>
      <c r="C97" t="s">
        <v>90</v>
      </c>
      <c r="D97" t="s">
        <v>91</v>
      </c>
      <c r="E97" s="1" t="s">
        <v>103</v>
      </c>
      <c r="F97" t="s">
        <v>93</v>
      </c>
      <c r="G97" t="s">
        <v>17</v>
      </c>
      <c r="H97">
        <v>6</v>
      </c>
      <c r="I97">
        <v>0</v>
      </c>
    </row>
    <row r="98" spans="1:9" x14ac:dyDescent="0.25">
      <c r="A98" s="5" t="str">
        <f>TrendSheetPrdData[[#This Row],[Population]]&amp;TrendSheetPrdData[[#This Row],[Cost Basis]]&amp;TrendSheetPrdData[[#This Row],[Period]]&amp;TrendSheetPrdData[[#This Row],[Trend]]</f>
        <v>EMPLOYEESAllowed2016-12-01Avoidable Admission Cost</v>
      </c>
      <c r="B98" t="s">
        <v>90</v>
      </c>
      <c r="C98" t="s">
        <v>90</v>
      </c>
      <c r="D98" t="s">
        <v>91</v>
      </c>
      <c r="E98" s="1" t="s">
        <v>104</v>
      </c>
      <c r="F98" t="s">
        <v>93</v>
      </c>
      <c r="G98" t="s">
        <v>17</v>
      </c>
      <c r="H98">
        <v>6</v>
      </c>
      <c r="I98">
        <v>7888.05</v>
      </c>
    </row>
    <row r="99" spans="1:9" x14ac:dyDescent="0.25">
      <c r="A99" s="5" t="str">
        <f>TrendSheetPrdData[[#This Row],[Population]]&amp;TrendSheetPrdData[[#This Row],[Cost Basis]]&amp;TrendSheetPrdData[[#This Row],[Period]]&amp;TrendSheetPrdData[[#This Row],[Trend]]</f>
        <v>EMPLOYEESAllowed2017-01-01Avoidable Admission Cost</v>
      </c>
      <c r="B99" t="s">
        <v>90</v>
      </c>
      <c r="C99" t="s">
        <v>90</v>
      </c>
      <c r="D99" t="s">
        <v>91</v>
      </c>
      <c r="E99" s="1" t="s">
        <v>105</v>
      </c>
      <c r="F99" t="s">
        <v>93</v>
      </c>
      <c r="G99" t="s">
        <v>17</v>
      </c>
      <c r="H99">
        <v>6</v>
      </c>
      <c r="I99">
        <v>7888.05</v>
      </c>
    </row>
    <row r="100" spans="1:9" x14ac:dyDescent="0.25">
      <c r="A100" s="5" t="str">
        <f>TrendSheetPrdData[[#This Row],[Population]]&amp;TrendSheetPrdData[[#This Row],[Cost Basis]]&amp;TrendSheetPrdData[[#This Row],[Period]]&amp;TrendSheetPrdData[[#This Row],[Trend]]</f>
        <v>EMPLOYEESAllowed2017-02-01Avoidable Admission Cost</v>
      </c>
      <c r="B100" t="s">
        <v>90</v>
      </c>
      <c r="C100" t="s">
        <v>90</v>
      </c>
      <c r="D100" t="s">
        <v>91</v>
      </c>
      <c r="E100" s="1" t="s">
        <v>106</v>
      </c>
      <c r="F100" t="s">
        <v>93</v>
      </c>
      <c r="G100" t="s">
        <v>17</v>
      </c>
      <c r="H100">
        <v>6</v>
      </c>
      <c r="I100">
        <v>0</v>
      </c>
    </row>
    <row r="101" spans="1:9" x14ac:dyDescent="0.25">
      <c r="A101" s="5" t="str">
        <f>TrendSheetPrdData[[#This Row],[Population]]&amp;TrendSheetPrdData[[#This Row],[Cost Basis]]&amp;TrendSheetPrdData[[#This Row],[Period]]&amp;TrendSheetPrdData[[#This Row],[Trend]]</f>
        <v>EMPLOYEESAllowed2017-03-01Avoidable Admission Cost</v>
      </c>
      <c r="B101" t="s">
        <v>90</v>
      </c>
      <c r="C101" t="s">
        <v>90</v>
      </c>
      <c r="D101" t="s">
        <v>91</v>
      </c>
      <c r="E101" s="1" t="s">
        <v>107</v>
      </c>
      <c r="F101" t="s">
        <v>108</v>
      </c>
      <c r="G101" t="s">
        <v>17</v>
      </c>
      <c r="H101">
        <v>6</v>
      </c>
      <c r="I101">
        <v>11627.31</v>
      </c>
    </row>
    <row r="102" spans="1:9" x14ac:dyDescent="0.25">
      <c r="A102" s="5" t="str">
        <f>TrendSheetPrdData[[#This Row],[Population]]&amp;TrendSheetPrdData[[#This Row],[Cost Basis]]&amp;TrendSheetPrdData[[#This Row],[Period]]&amp;TrendSheetPrdData[[#This Row],[Trend]]</f>
        <v>EMPLOYEESAllowed2017-04-01Avoidable Admission Cost</v>
      </c>
      <c r="B102" t="s">
        <v>90</v>
      </c>
      <c r="C102" t="s">
        <v>90</v>
      </c>
      <c r="D102" t="s">
        <v>91</v>
      </c>
      <c r="E102" s="1" t="s">
        <v>109</v>
      </c>
      <c r="F102" t="s">
        <v>108</v>
      </c>
      <c r="G102" t="s">
        <v>17</v>
      </c>
      <c r="H102">
        <v>6</v>
      </c>
      <c r="I102">
        <v>0</v>
      </c>
    </row>
    <row r="103" spans="1:9" x14ac:dyDescent="0.25">
      <c r="A103" s="5" t="str">
        <f>TrendSheetPrdData[[#This Row],[Population]]&amp;TrendSheetPrdData[[#This Row],[Cost Basis]]&amp;TrendSheetPrdData[[#This Row],[Period]]&amp;TrendSheetPrdData[[#This Row],[Trend]]</f>
        <v>EMPLOYEESAllowed2017-05-01Avoidable Admission Cost</v>
      </c>
      <c r="B103" t="s">
        <v>90</v>
      </c>
      <c r="C103" t="s">
        <v>90</v>
      </c>
      <c r="D103" t="s">
        <v>91</v>
      </c>
      <c r="E103" s="1" t="s">
        <v>110</v>
      </c>
      <c r="F103" t="s">
        <v>108</v>
      </c>
      <c r="G103" t="s">
        <v>17</v>
      </c>
      <c r="H103">
        <v>6</v>
      </c>
      <c r="I103">
        <v>9739.8799999999992</v>
      </c>
    </row>
    <row r="104" spans="1:9" x14ac:dyDescent="0.25">
      <c r="A104" s="5" t="str">
        <f>TrendSheetPrdData[[#This Row],[Population]]&amp;TrendSheetPrdData[[#This Row],[Cost Basis]]&amp;TrendSheetPrdData[[#This Row],[Period]]&amp;TrendSheetPrdData[[#This Row],[Trend]]</f>
        <v>EMPLOYEESAllowed2016-01-01Avoidable Admission Quality</v>
      </c>
      <c r="B104" t="s">
        <v>90</v>
      </c>
      <c r="C104" t="s">
        <v>90</v>
      </c>
      <c r="D104" t="s">
        <v>91</v>
      </c>
      <c r="E104" s="1" t="s">
        <v>92</v>
      </c>
      <c r="F104" t="s">
        <v>93</v>
      </c>
      <c r="G104" t="s">
        <v>18</v>
      </c>
      <c r="H104">
        <v>7</v>
      </c>
      <c r="I104">
        <v>1</v>
      </c>
    </row>
    <row r="105" spans="1:9" x14ac:dyDescent="0.25">
      <c r="A105" s="5" t="str">
        <f>TrendSheetPrdData[[#This Row],[Population]]&amp;TrendSheetPrdData[[#This Row],[Cost Basis]]&amp;TrendSheetPrdData[[#This Row],[Period]]&amp;TrendSheetPrdData[[#This Row],[Trend]]</f>
        <v>EMPLOYEESAllowed2016-02-01Avoidable Admission Quality</v>
      </c>
      <c r="B105" t="s">
        <v>90</v>
      </c>
      <c r="C105" t="s">
        <v>90</v>
      </c>
      <c r="D105" t="s">
        <v>91</v>
      </c>
      <c r="E105" s="1" t="s">
        <v>94</v>
      </c>
      <c r="F105" t="s">
        <v>93</v>
      </c>
      <c r="G105" t="s">
        <v>18</v>
      </c>
      <c r="H105">
        <v>7</v>
      </c>
      <c r="I105">
        <v>1</v>
      </c>
    </row>
    <row r="106" spans="1:9" x14ac:dyDescent="0.25">
      <c r="A106" s="5" t="str">
        <f>TrendSheetPrdData[[#This Row],[Population]]&amp;TrendSheetPrdData[[#This Row],[Cost Basis]]&amp;TrendSheetPrdData[[#This Row],[Period]]&amp;TrendSheetPrdData[[#This Row],[Trend]]</f>
        <v>EMPLOYEESAllowed2016-03-01Avoidable Admission Quality</v>
      </c>
      <c r="B106" t="s">
        <v>90</v>
      </c>
      <c r="C106" t="s">
        <v>90</v>
      </c>
      <c r="D106" t="s">
        <v>91</v>
      </c>
      <c r="E106" s="1" t="s">
        <v>95</v>
      </c>
      <c r="F106" t="s">
        <v>93</v>
      </c>
      <c r="G106" t="s">
        <v>18</v>
      </c>
      <c r="H106">
        <v>7</v>
      </c>
      <c r="I106">
        <v>0</v>
      </c>
    </row>
    <row r="107" spans="1:9" x14ac:dyDescent="0.25">
      <c r="A107" s="5" t="str">
        <f>TrendSheetPrdData[[#This Row],[Population]]&amp;TrendSheetPrdData[[#This Row],[Cost Basis]]&amp;TrendSheetPrdData[[#This Row],[Period]]&amp;TrendSheetPrdData[[#This Row],[Trend]]</f>
        <v>EMPLOYEESAllowed2016-04-01Avoidable Admission Quality</v>
      </c>
      <c r="B107" t="s">
        <v>90</v>
      </c>
      <c r="C107" t="s">
        <v>90</v>
      </c>
      <c r="D107" t="s">
        <v>91</v>
      </c>
      <c r="E107" s="1" t="s">
        <v>96</v>
      </c>
      <c r="F107" t="s">
        <v>93</v>
      </c>
      <c r="G107" t="s">
        <v>18</v>
      </c>
      <c r="H107">
        <v>7</v>
      </c>
      <c r="I107">
        <v>3</v>
      </c>
    </row>
    <row r="108" spans="1:9" x14ac:dyDescent="0.25">
      <c r="A108" s="5" t="str">
        <f>TrendSheetPrdData[[#This Row],[Population]]&amp;TrendSheetPrdData[[#This Row],[Cost Basis]]&amp;TrendSheetPrdData[[#This Row],[Period]]&amp;TrendSheetPrdData[[#This Row],[Trend]]</f>
        <v>EMPLOYEESAllowed2016-05-01Avoidable Admission Quality</v>
      </c>
      <c r="B108" t="s">
        <v>90</v>
      </c>
      <c r="C108" t="s">
        <v>90</v>
      </c>
      <c r="D108" t="s">
        <v>91</v>
      </c>
      <c r="E108" s="1" t="s">
        <v>97</v>
      </c>
      <c r="F108" t="s">
        <v>93</v>
      </c>
      <c r="G108" t="s">
        <v>18</v>
      </c>
      <c r="H108">
        <v>7</v>
      </c>
      <c r="I108">
        <v>0</v>
      </c>
    </row>
    <row r="109" spans="1:9" x14ac:dyDescent="0.25">
      <c r="A109" s="5" t="str">
        <f>TrendSheetPrdData[[#This Row],[Population]]&amp;TrendSheetPrdData[[#This Row],[Cost Basis]]&amp;TrendSheetPrdData[[#This Row],[Period]]&amp;TrendSheetPrdData[[#This Row],[Trend]]</f>
        <v>EMPLOYEESAllowed2016-06-01Avoidable Admission Quality</v>
      </c>
      <c r="B109" t="s">
        <v>90</v>
      </c>
      <c r="C109" t="s">
        <v>90</v>
      </c>
      <c r="D109" t="s">
        <v>91</v>
      </c>
      <c r="E109" s="1" t="s">
        <v>98</v>
      </c>
      <c r="F109" t="s">
        <v>93</v>
      </c>
      <c r="G109" t="s">
        <v>18</v>
      </c>
      <c r="H109">
        <v>7</v>
      </c>
      <c r="I109">
        <v>1</v>
      </c>
    </row>
    <row r="110" spans="1:9" x14ac:dyDescent="0.25">
      <c r="A110" s="5" t="str">
        <f>TrendSheetPrdData[[#This Row],[Population]]&amp;TrendSheetPrdData[[#This Row],[Cost Basis]]&amp;TrendSheetPrdData[[#This Row],[Period]]&amp;TrendSheetPrdData[[#This Row],[Trend]]</f>
        <v>EMPLOYEESAllowed2016-07-01Avoidable Admission Quality</v>
      </c>
      <c r="B110" t="s">
        <v>90</v>
      </c>
      <c r="C110" t="s">
        <v>90</v>
      </c>
      <c r="D110" t="s">
        <v>91</v>
      </c>
      <c r="E110" s="1" t="s">
        <v>99</v>
      </c>
      <c r="F110" t="s">
        <v>93</v>
      </c>
      <c r="G110" t="s">
        <v>18</v>
      </c>
      <c r="H110">
        <v>7</v>
      </c>
      <c r="I110">
        <v>0</v>
      </c>
    </row>
    <row r="111" spans="1:9" x14ac:dyDescent="0.25">
      <c r="A111" s="5" t="str">
        <f>TrendSheetPrdData[[#This Row],[Population]]&amp;TrendSheetPrdData[[#This Row],[Cost Basis]]&amp;TrendSheetPrdData[[#This Row],[Period]]&amp;TrendSheetPrdData[[#This Row],[Trend]]</f>
        <v>EMPLOYEESAllowed2016-08-01Avoidable Admission Quality</v>
      </c>
      <c r="B111" t="s">
        <v>90</v>
      </c>
      <c r="C111" t="s">
        <v>90</v>
      </c>
      <c r="D111" t="s">
        <v>91</v>
      </c>
      <c r="E111" s="1" t="s">
        <v>100</v>
      </c>
      <c r="F111" t="s">
        <v>93</v>
      </c>
      <c r="G111" t="s">
        <v>18</v>
      </c>
      <c r="H111">
        <v>7</v>
      </c>
      <c r="I111">
        <v>0</v>
      </c>
    </row>
    <row r="112" spans="1:9" x14ac:dyDescent="0.25">
      <c r="A112" s="5" t="str">
        <f>TrendSheetPrdData[[#This Row],[Population]]&amp;TrendSheetPrdData[[#This Row],[Cost Basis]]&amp;TrendSheetPrdData[[#This Row],[Period]]&amp;TrendSheetPrdData[[#This Row],[Trend]]</f>
        <v>EMPLOYEESAllowed2016-09-01Avoidable Admission Quality</v>
      </c>
      <c r="B112" t="s">
        <v>90</v>
      </c>
      <c r="C112" t="s">
        <v>90</v>
      </c>
      <c r="D112" t="s">
        <v>91</v>
      </c>
      <c r="E112" s="1" t="s">
        <v>101</v>
      </c>
      <c r="F112" t="s">
        <v>93</v>
      </c>
      <c r="G112" t="s">
        <v>18</v>
      </c>
      <c r="H112">
        <v>7</v>
      </c>
      <c r="I112">
        <v>3</v>
      </c>
    </row>
    <row r="113" spans="1:9" x14ac:dyDescent="0.25">
      <c r="A113" s="5" t="str">
        <f>TrendSheetPrdData[[#This Row],[Population]]&amp;TrendSheetPrdData[[#This Row],[Cost Basis]]&amp;TrendSheetPrdData[[#This Row],[Period]]&amp;TrendSheetPrdData[[#This Row],[Trend]]</f>
        <v>EMPLOYEESAllowed2016-10-01Avoidable Admission Quality</v>
      </c>
      <c r="B113" t="s">
        <v>90</v>
      </c>
      <c r="C113" t="s">
        <v>90</v>
      </c>
      <c r="D113" t="s">
        <v>91</v>
      </c>
      <c r="E113" s="1" t="s">
        <v>102</v>
      </c>
      <c r="F113" t="s">
        <v>93</v>
      </c>
      <c r="G113" t="s">
        <v>18</v>
      </c>
      <c r="H113">
        <v>7</v>
      </c>
      <c r="I113">
        <v>1</v>
      </c>
    </row>
    <row r="114" spans="1:9" x14ac:dyDescent="0.25">
      <c r="A114" s="5" t="str">
        <f>TrendSheetPrdData[[#This Row],[Population]]&amp;TrendSheetPrdData[[#This Row],[Cost Basis]]&amp;TrendSheetPrdData[[#This Row],[Period]]&amp;TrendSheetPrdData[[#This Row],[Trend]]</f>
        <v>EMPLOYEESAllowed2016-11-01Avoidable Admission Quality</v>
      </c>
      <c r="B114" t="s">
        <v>90</v>
      </c>
      <c r="C114" t="s">
        <v>90</v>
      </c>
      <c r="D114" t="s">
        <v>91</v>
      </c>
      <c r="E114" s="1" t="s">
        <v>103</v>
      </c>
      <c r="F114" t="s">
        <v>93</v>
      </c>
      <c r="G114" t="s">
        <v>18</v>
      </c>
      <c r="H114">
        <v>7</v>
      </c>
      <c r="I114">
        <v>0</v>
      </c>
    </row>
    <row r="115" spans="1:9" x14ac:dyDescent="0.25">
      <c r="A115" s="5" t="str">
        <f>TrendSheetPrdData[[#This Row],[Population]]&amp;TrendSheetPrdData[[#This Row],[Cost Basis]]&amp;TrendSheetPrdData[[#This Row],[Period]]&amp;TrendSheetPrdData[[#This Row],[Trend]]</f>
        <v>EMPLOYEESAllowed2016-12-01Avoidable Admission Quality</v>
      </c>
      <c r="B115" t="s">
        <v>90</v>
      </c>
      <c r="C115" t="s">
        <v>90</v>
      </c>
      <c r="D115" t="s">
        <v>91</v>
      </c>
      <c r="E115" s="1" t="s">
        <v>104</v>
      </c>
      <c r="F115" t="s">
        <v>93</v>
      </c>
      <c r="G115" t="s">
        <v>18</v>
      </c>
      <c r="H115">
        <v>7</v>
      </c>
      <c r="I115">
        <v>1</v>
      </c>
    </row>
    <row r="116" spans="1:9" x14ac:dyDescent="0.25">
      <c r="A116" s="5" t="str">
        <f>TrendSheetPrdData[[#This Row],[Population]]&amp;TrendSheetPrdData[[#This Row],[Cost Basis]]&amp;TrendSheetPrdData[[#This Row],[Period]]&amp;TrendSheetPrdData[[#This Row],[Trend]]</f>
        <v>EMPLOYEESAllowed2017-01-01Avoidable Admission Quality</v>
      </c>
      <c r="B116" t="s">
        <v>90</v>
      </c>
      <c r="C116" t="s">
        <v>90</v>
      </c>
      <c r="D116" t="s">
        <v>91</v>
      </c>
      <c r="E116" s="1" t="s">
        <v>105</v>
      </c>
      <c r="F116" t="s">
        <v>93</v>
      </c>
      <c r="G116" t="s">
        <v>18</v>
      </c>
      <c r="H116">
        <v>7</v>
      </c>
      <c r="I116">
        <v>1</v>
      </c>
    </row>
    <row r="117" spans="1:9" x14ac:dyDescent="0.25">
      <c r="A117" s="5" t="str">
        <f>TrendSheetPrdData[[#This Row],[Population]]&amp;TrendSheetPrdData[[#This Row],[Cost Basis]]&amp;TrendSheetPrdData[[#This Row],[Period]]&amp;TrendSheetPrdData[[#This Row],[Trend]]</f>
        <v>EMPLOYEESAllowed2017-02-01Avoidable Admission Quality</v>
      </c>
      <c r="B117" t="s">
        <v>90</v>
      </c>
      <c r="C117" t="s">
        <v>90</v>
      </c>
      <c r="D117" t="s">
        <v>91</v>
      </c>
      <c r="E117" s="1" t="s">
        <v>106</v>
      </c>
      <c r="F117" t="s">
        <v>93</v>
      </c>
      <c r="G117" t="s">
        <v>18</v>
      </c>
      <c r="H117">
        <v>7</v>
      </c>
      <c r="I117">
        <v>0</v>
      </c>
    </row>
    <row r="118" spans="1:9" x14ac:dyDescent="0.25">
      <c r="A118" s="5" t="str">
        <f>TrendSheetPrdData[[#This Row],[Population]]&amp;TrendSheetPrdData[[#This Row],[Cost Basis]]&amp;TrendSheetPrdData[[#This Row],[Period]]&amp;TrendSheetPrdData[[#This Row],[Trend]]</f>
        <v>EMPLOYEESAllowed2017-03-01Avoidable Admission Quality</v>
      </c>
      <c r="B118" t="s">
        <v>90</v>
      </c>
      <c r="C118" t="s">
        <v>90</v>
      </c>
      <c r="D118" t="s">
        <v>91</v>
      </c>
      <c r="E118" s="1" t="s">
        <v>107</v>
      </c>
      <c r="F118" t="s">
        <v>108</v>
      </c>
      <c r="G118" t="s">
        <v>18</v>
      </c>
      <c r="H118">
        <v>7</v>
      </c>
      <c r="I118">
        <v>1</v>
      </c>
    </row>
    <row r="119" spans="1:9" x14ac:dyDescent="0.25">
      <c r="A119" s="5" t="str">
        <f>TrendSheetPrdData[[#This Row],[Population]]&amp;TrendSheetPrdData[[#This Row],[Cost Basis]]&amp;TrendSheetPrdData[[#This Row],[Period]]&amp;TrendSheetPrdData[[#This Row],[Trend]]</f>
        <v>EMPLOYEESAllowed2017-04-01Avoidable Admission Quality</v>
      </c>
      <c r="B119" t="s">
        <v>90</v>
      </c>
      <c r="C119" t="s">
        <v>90</v>
      </c>
      <c r="D119" t="s">
        <v>91</v>
      </c>
      <c r="E119" s="1" t="s">
        <v>109</v>
      </c>
      <c r="F119" t="s">
        <v>108</v>
      </c>
      <c r="G119" t="s">
        <v>18</v>
      </c>
      <c r="H119">
        <v>7</v>
      </c>
      <c r="I119">
        <v>0</v>
      </c>
    </row>
    <row r="120" spans="1:9" x14ac:dyDescent="0.25">
      <c r="A120" s="5" t="str">
        <f>TrendSheetPrdData[[#This Row],[Population]]&amp;TrendSheetPrdData[[#This Row],[Cost Basis]]&amp;TrendSheetPrdData[[#This Row],[Period]]&amp;TrendSheetPrdData[[#This Row],[Trend]]</f>
        <v>EMPLOYEESAllowed2017-05-01Avoidable Admission Quality</v>
      </c>
      <c r="B120" t="s">
        <v>90</v>
      </c>
      <c r="C120" t="s">
        <v>90</v>
      </c>
      <c r="D120" t="s">
        <v>91</v>
      </c>
      <c r="E120" s="1" t="s">
        <v>110</v>
      </c>
      <c r="F120" t="s">
        <v>108</v>
      </c>
      <c r="G120" t="s">
        <v>18</v>
      </c>
      <c r="H120">
        <v>7</v>
      </c>
      <c r="I120">
        <v>1</v>
      </c>
    </row>
    <row r="121" spans="1:9" x14ac:dyDescent="0.25">
      <c r="A121" s="5" t="str">
        <f>TrendSheetPrdData[[#This Row],[Population]]&amp;TrendSheetPrdData[[#This Row],[Cost Basis]]&amp;TrendSheetPrdData[[#This Row],[Period]]&amp;TrendSheetPrdData[[#This Row],[Trend]]</f>
        <v>EMPLOYEESAllowed2016-01-01Outpatient Imaging Cost</v>
      </c>
      <c r="B121" t="s">
        <v>90</v>
      </c>
      <c r="C121" t="s">
        <v>90</v>
      </c>
      <c r="D121" t="s">
        <v>91</v>
      </c>
      <c r="E121" s="1" t="s">
        <v>92</v>
      </c>
      <c r="F121" t="s">
        <v>93</v>
      </c>
      <c r="G121" t="s">
        <v>19</v>
      </c>
      <c r="H121">
        <v>8</v>
      </c>
      <c r="I121">
        <v>23465.75</v>
      </c>
    </row>
    <row r="122" spans="1:9" x14ac:dyDescent="0.25">
      <c r="A122" s="5" t="str">
        <f>TrendSheetPrdData[[#This Row],[Population]]&amp;TrendSheetPrdData[[#This Row],[Cost Basis]]&amp;TrendSheetPrdData[[#This Row],[Period]]&amp;TrendSheetPrdData[[#This Row],[Trend]]</f>
        <v>EMPLOYEESAllowed2016-02-01Outpatient Imaging Cost</v>
      </c>
      <c r="B122" t="s">
        <v>90</v>
      </c>
      <c r="C122" t="s">
        <v>90</v>
      </c>
      <c r="D122" t="s">
        <v>91</v>
      </c>
      <c r="E122" s="1" t="s">
        <v>94</v>
      </c>
      <c r="F122" t="s">
        <v>93</v>
      </c>
      <c r="G122" t="s">
        <v>19</v>
      </c>
      <c r="H122">
        <v>8</v>
      </c>
      <c r="I122">
        <v>29063.439999999999</v>
      </c>
    </row>
    <row r="123" spans="1:9" x14ac:dyDescent="0.25">
      <c r="A123" s="5" t="str">
        <f>TrendSheetPrdData[[#This Row],[Population]]&amp;TrendSheetPrdData[[#This Row],[Cost Basis]]&amp;TrendSheetPrdData[[#This Row],[Period]]&amp;TrendSheetPrdData[[#This Row],[Trend]]</f>
        <v>EMPLOYEESAllowed2016-03-01Outpatient Imaging Cost</v>
      </c>
      <c r="B123" t="s">
        <v>90</v>
      </c>
      <c r="C123" t="s">
        <v>90</v>
      </c>
      <c r="D123" t="s">
        <v>91</v>
      </c>
      <c r="E123" s="1" t="s">
        <v>95</v>
      </c>
      <c r="F123" t="s">
        <v>93</v>
      </c>
      <c r="G123" t="s">
        <v>19</v>
      </c>
      <c r="H123">
        <v>8</v>
      </c>
      <c r="I123">
        <v>48015.38</v>
      </c>
    </row>
    <row r="124" spans="1:9" x14ac:dyDescent="0.25">
      <c r="A124" s="5" t="str">
        <f>TrendSheetPrdData[[#This Row],[Population]]&amp;TrendSheetPrdData[[#This Row],[Cost Basis]]&amp;TrendSheetPrdData[[#This Row],[Period]]&amp;TrendSheetPrdData[[#This Row],[Trend]]</f>
        <v>EMPLOYEESAllowed2016-04-01Outpatient Imaging Cost</v>
      </c>
      <c r="B124" t="s">
        <v>90</v>
      </c>
      <c r="C124" t="s">
        <v>90</v>
      </c>
      <c r="D124" t="s">
        <v>91</v>
      </c>
      <c r="E124" s="1" t="s">
        <v>96</v>
      </c>
      <c r="F124" t="s">
        <v>93</v>
      </c>
      <c r="G124" t="s">
        <v>19</v>
      </c>
      <c r="H124">
        <v>8</v>
      </c>
      <c r="I124">
        <v>41460.199999999997</v>
      </c>
    </row>
    <row r="125" spans="1:9" x14ac:dyDescent="0.25">
      <c r="A125" s="5" t="str">
        <f>TrendSheetPrdData[[#This Row],[Population]]&amp;TrendSheetPrdData[[#This Row],[Cost Basis]]&amp;TrendSheetPrdData[[#This Row],[Period]]&amp;TrendSheetPrdData[[#This Row],[Trend]]</f>
        <v>EMPLOYEESAllowed2016-05-01Outpatient Imaging Cost</v>
      </c>
      <c r="B125" t="s">
        <v>90</v>
      </c>
      <c r="C125" t="s">
        <v>90</v>
      </c>
      <c r="D125" t="s">
        <v>91</v>
      </c>
      <c r="E125" s="1" t="s">
        <v>97</v>
      </c>
      <c r="F125" t="s">
        <v>93</v>
      </c>
      <c r="G125" t="s">
        <v>19</v>
      </c>
      <c r="H125">
        <v>8</v>
      </c>
      <c r="I125">
        <v>37665.49</v>
      </c>
    </row>
    <row r="126" spans="1:9" x14ac:dyDescent="0.25">
      <c r="A126" s="5" t="str">
        <f>TrendSheetPrdData[[#This Row],[Population]]&amp;TrendSheetPrdData[[#This Row],[Cost Basis]]&amp;TrendSheetPrdData[[#This Row],[Period]]&amp;TrendSheetPrdData[[#This Row],[Trend]]</f>
        <v>EMPLOYEESAllowed2016-06-01Outpatient Imaging Cost</v>
      </c>
      <c r="B126" t="s">
        <v>90</v>
      </c>
      <c r="C126" t="s">
        <v>90</v>
      </c>
      <c r="D126" t="s">
        <v>91</v>
      </c>
      <c r="E126" s="1" t="s">
        <v>98</v>
      </c>
      <c r="F126" t="s">
        <v>93</v>
      </c>
      <c r="G126" t="s">
        <v>19</v>
      </c>
      <c r="H126">
        <v>8</v>
      </c>
      <c r="I126">
        <v>40884.769999999997</v>
      </c>
    </row>
    <row r="127" spans="1:9" x14ac:dyDescent="0.25">
      <c r="A127" s="5" t="str">
        <f>TrendSheetPrdData[[#This Row],[Population]]&amp;TrendSheetPrdData[[#This Row],[Cost Basis]]&amp;TrendSheetPrdData[[#This Row],[Period]]&amp;TrendSheetPrdData[[#This Row],[Trend]]</f>
        <v>EMPLOYEESAllowed2016-07-01Outpatient Imaging Cost</v>
      </c>
      <c r="B127" t="s">
        <v>90</v>
      </c>
      <c r="C127" t="s">
        <v>90</v>
      </c>
      <c r="D127" t="s">
        <v>91</v>
      </c>
      <c r="E127" s="1" t="s">
        <v>99</v>
      </c>
      <c r="F127" t="s">
        <v>93</v>
      </c>
      <c r="G127" t="s">
        <v>19</v>
      </c>
      <c r="H127">
        <v>8</v>
      </c>
      <c r="I127">
        <v>33851.96</v>
      </c>
    </row>
    <row r="128" spans="1:9" x14ac:dyDescent="0.25">
      <c r="A128" s="5" t="str">
        <f>TrendSheetPrdData[[#This Row],[Population]]&amp;TrendSheetPrdData[[#This Row],[Cost Basis]]&amp;TrendSheetPrdData[[#This Row],[Period]]&amp;TrendSheetPrdData[[#This Row],[Trend]]</f>
        <v>EMPLOYEESAllowed2016-08-01Outpatient Imaging Cost</v>
      </c>
      <c r="B128" t="s">
        <v>90</v>
      </c>
      <c r="C128" t="s">
        <v>90</v>
      </c>
      <c r="D128" t="s">
        <v>91</v>
      </c>
      <c r="E128" s="1" t="s">
        <v>100</v>
      </c>
      <c r="F128" t="s">
        <v>93</v>
      </c>
      <c r="G128" t="s">
        <v>19</v>
      </c>
      <c r="H128">
        <v>8</v>
      </c>
      <c r="I128">
        <v>47794.65</v>
      </c>
    </row>
    <row r="129" spans="1:9" x14ac:dyDescent="0.25">
      <c r="A129" s="5" t="str">
        <f>TrendSheetPrdData[[#This Row],[Population]]&amp;TrendSheetPrdData[[#This Row],[Cost Basis]]&amp;TrendSheetPrdData[[#This Row],[Period]]&amp;TrendSheetPrdData[[#This Row],[Trend]]</f>
        <v>EMPLOYEESAllowed2016-09-01Outpatient Imaging Cost</v>
      </c>
      <c r="B129" t="s">
        <v>90</v>
      </c>
      <c r="C129" t="s">
        <v>90</v>
      </c>
      <c r="D129" t="s">
        <v>91</v>
      </c>
      <c r="E129" s="1" t="s">
        <v>101</v>
      </c>
      <c r="F129" t="s">
        <v>93</v>
      </c>
      <c r="G129" t="s">
        <v>19</v>
      </c>
      <c r="H129">
        <v>8</v>
      </c>
      <c r="I129">
        <v>41995.69</v>
      </c>
    </row>
    <row r="130" spans="1:9" x14ac:dyDescent="0.25">
      <c r="A130" s="5" t="str">
        <f>TrendSheetPrdData[[#This Row],[Population]]&amp;TrendSheetPrdData[[#This Row],[Cost Basis]]&amp;TrendSheetPrdData[[#This Row],[Period]]&amp;TrendSheetPrdData[[#This Row],[Trend]]</f>
        <v>EMPLOYEESAllowed2016-10-01Outpatient Imaging Cost</v>
      </c>
      <c r="B130" t="s">
        <v>90</v>
      </c>
      <c r="C130" t="s">
        <v>90</v>
      </c>
      <c r="D130" t="s">
        <v>91</v>
      </c>
      <c r="E130" s="1" t="s">
        <v>102</v>
      </c>
      <c r="F130" t="s">
        <v>93</v>
      </c>
      <c r="G130" t="s">
        <v>19</v>
      </c>
      <c r="H130">
        <v>8</v>
      </c>
      <c r="I130">
        <v>32375.59</v>
      </c>
    </row>
    <row r="131" spans="1:9" x14ac:dyDescent="0.25">
      <c r="A131" s="5" t="str">
        <f>TrendSheetPrdData[[#This Row],[Population]]&amp;TrendSheetPrdData[[#This Row],[Cost Basis]]&amp;TrendSheetPrdData[[#This Row],[Period]]&amp;TrendSheetPrdData[[#This Row],[Trend]]</f>
        <v>EMPLOYEESAllowed2016-11-01Outpatient Imaging Cost</v>
      </c>
      <c r="B131" t="s">
        <v>90</v>
      </c>
      <c r="C131" t="s">
        <v>90</v>
      </c>
      <c r="D131" t="s">
        <v>91</v>
      </c>
      <c r="E131" s="1" t="s">
        <v>103</v>
      </c>
      <c r="F131" t="s">
        <v>93</v>
      </c>
      <c r="G131" t="s">
        <v>19</v>
      </c>
      <c r="H131">
        <v>8</v>
      </c>
      <c r="I131">
        <v>32133.18</v>
      </c>
    </row>
    <row r="132" spans="1:9" x14ac:dyDescent="0.25">
      <c r="A132" s="5" t="str">
        <f>TrendSheetPrdData[[#This Row],[Population]]&amp;TrendSheetPrdData[[#This Row],[Cost Basis]]&amp;TrendSheetPrdData[[#This Row],[Period]]&amp;TrendSheetPrdData[[#This Row],[Trend]]</f>
        <v>EMPLOYEESAllowed2016-12-01Outpatient Imaging Cost</v>
      </c>
      <c r="B132" t="s">
        <v>90</v>
      </c>
      <c r="C132" t="s">
        <v>90</v>
      </c>
      <c r="D132" t="s">
        <v>91</v>
      </c>
      <c r="E132" s="1" t="s">
        <v>104</v>
      </c>
      <c r="F132" t="s">
        <v>93</v>
      </c>
      <c r="G132" t="s">
        <v>19</v>
      </c>
      <c r="H132">
        <v>8</v>
      </c>
      <c r="I132">
        <v>40714.5</v>
      </c>
    </row>
    <row r="133" spans="1:9" x14ac:dyDescent="0.25">
      <c r="A133" s="5" t="str">
        <f>TrendSheetPrdData[[#This Row],[Population]]&amp;TrendSheetPrdData[[#This Row],[Cost Basis]]&amp;TrendSheetPrdData[[#This Row],[Period]]&amp;TrendSheetPrdData[[#This Row],[Trend]]</f>
        <v>EMPLOYEESAllowed2017-01-01Outpatient Imaging Cost</v>
      </c>
      <c r="B133" t="s">
        <v>90</v>
      </c>
      <c r="C133" t="s">
        <v>90</v>
      </c>
      <c r="D133" t="s">
        <v>91</v>
      </c>
      <c r="E133" s="1" t="s">
        <v>105</v>
      </c>
      <c r="F133" t="s">
        <v>93</v>
      </c>
      <c r="G133" t="s">
        <v>19</v>
      </c>
      <c r="H133">
        <v>8</v>
      </c>
      <c r="I133">
        <v>30982.55</v>
      </c>
    </row>
    <row r="134" spans="1:9" x14ac:dyDescent="0.25">
      <c r="A134" s="5" t="str">
        <f>TrendSheetPrdData[[#This Row],[Population]]&amp;TrendSheetPrdData[[#This Row],[Cost Basis]]&amp;TrendSheetPrdData[[#This Row],[Period]]&amp;TrendSheetPrdData[[#This Row],[Trend]]</f>
        <v>EMPLOYEESAllowed2017-02-01Outpatient Imaging Cost</v>
      </c>
      <c r="B134" t="s">
        <v>90</v>
      </c>
      <c r="C134" t="s">
        <v>90</v>
      </c>
      <c r="D134" t="s">
        <v>91</v>
      </c>
      <c r="E134" s="1" t="s">
        <v>106</v>
      </c>
      <c r="F134" t="s">
        <v>93</v>
      </c>
      <c r="G134" t="s">
        <v>19</v>
      </c>
      <c r="H134">
        <v>8</v>
      </c>
      <c r="I134">
        <v>32518.28</v>
      </c>
    </row>
    <row r="135" spans="1:9" x14ac:dyDescent="0.25">
      <c r="A135" s="5" t="str">
        <f>TrendSheetPrdData[[#This Row],[Population]]&amp;TrendSheetPrdData[[#This Row],[Cost Basis]]&amp;TrendSheetPrdData[[#This Row],[Period]]&amp;TrendSheetPrdData[[#This Row],[Trend]]</f>
        <v>EMPLOYEESAllowed2017-03-01Outpatient Imaging Cost</v>
      </c>
      <c r="B135" t="s">
        <v>90</v>
      </c>
      <c r="C135" t="s">
        <v>90</v>
      </c>
      <c r="D135" t="s">
        <v>91</v>
      </c>
      <c r="E135" s="1" t="s">
        <v>107</v>
      </c>
      <c r="F135" t="s">
        <v>108</v>
      </c>
      <c r="G135" t="s">
        <v>19</v>
      </c>
      <c r="H135">
        <v>8</v>
      </c>
      <c r="I135">
        <v>41450.71</v>
      </c>
    </row>
    <row r="136" spans="1:9" x14ac:dyDescent="0.25">
      <c r="A136" s="5" t="str">
        <f>TrendSheetPrdData[[#This Row],[Population]]&amp;TrendSheetPrdData[[#This Row],[Cost Basis]]&amp;TrendSheetPrdData[[#This Row],[Period]]&amp;TrendSheetPrdData[[#This Row],[Trend]]</f>
        <v>EMPLOYEESAllowed2017-04-01Outpatient Imaging Cost</v>
      </c>
      <c r="B136" t="s">
        <v>90</v>
      </c>
      <c r="C136" t="s">
        <v>90</v>
      </c>
      <c r="D136" t="s">
        <v>91</v>
      </c>
      <c r="E136" s="1" t="s">
        <v>109</v>
      </c>
      <c r="F136" t="s">
        <v>108</v>
      </c>
      <c r="G136" t="s">
        <v>19</v>
      </c>
      <c r="H136">
        <v>8</v>
      </c>
      <c r="I136">
        <v>30359.46</v>
      </c>
    </row>
    <row r="137" spans="1:9" x14ac:dyDescent="0.25">
      <c r="A137" s="5" t="str">
        <f>TrendSheetPrdData[[#This Row],[Population]]&amp;TrendSheetPrdData[[#This Row],[Cost Basis]]&amp;TrendSheetPrdData[[#This Row],[Period]]&amp;TrendSheetPrdData[[#This Row],[Trend]]</f>
        <v>EMPLOYEESAllowed2017-05-01Outpatient Imaging Cost</v>
      </c>
      <c r="B137" t="s">
        <v>90</v>
      </c>
      <c r="C137" t="s">
        <v>90</v>
      </c>
      <c r="D137" t="s">
        <v>91</v>
      </c>
      <c r="E137" s="1" t="s">
        <v>110</v>
      </c>
      <c r="F137" t="s">
        <v>108</v>
      </c>
      <c r="G137" t="s">
        <v>19</v>
      </c>
      <c r="H137">
        <v>8</v>
      </c>
      <c r="I137">
        <v>18131.34</v>
      </c>
    </row>
    <row r="138" spans="1:9" x14ac:dyDescent="0.25">
      <c r="A138" s="5" t="str">
        <f>TrendSheetPrdData[[#This Row],[Population]]&amp;TrendSheetPrdData[[#This Row],[Cost Basis]]&amp;TrendSheetPrdData[[#This Row],[Period]]&amp;TrendSheetPrdData[[#This Row],[Trend]]</f>
        <v>EMPLOYEESAllowed2016-01-01Hospiatl Outpatient MRIs per 1k</v>
      </c>
      <c r="B138" t="s">
        <v>90</v>
      </c>
      <c r="C138" t="s">
        <v>90</v>
      </c>
      <c r="D138" t="s">
        <v>91</v>
      </c>
      <c r="E138" s="1" t="s">
        <v>92</v>
      </c>
      <c r="F138" t="s">
        <v>93</v>
      </c>
      <c r="G138" t="s">
        <v>20</v>
      </c>
      <c r="H138">
        <v>9</v>
      </c>
      <c r="I138">
        <v>32</v>
      </c>
    </row>
    <row r="139" spans="1:9" x14ac:dyDescent="0.25">
      <c r="A139" s="5" t="str">
        <f>TrendSheetPrdData[[#This Row],[Population]]&amp;TrendSheetPrdData[[#This Row],[Cost Basis]]&amp;TrendSheetPrdData[[#This Row],[Period]]&amp;TrendSheetPrdData[[#This Row],[Trend]]</f>
        <v>EMPLOYEESAllowed2016-02-01Hospiatl Outpatient MRIs per 1k</v>
      </c>
      <c r="B139" t="s">
        <v>90</v>
      </c>
      <c r="C139" t="s">
        <v>90</v>
      </c>
      <c r="D139" t="s">
        <v>91</v>
      </c>
      <c r="E139" s="1" t="s">
        <v>94</v>
      </c>
      <c r="F139" t="s">
        <v>93</v>
      </c>
      <c r="G139" t="s">
        <v>20</v>
      </c>
      <c r="H139">
        <v>9</v>
      </c>
      <c r="I139">
        <v>45</v>
      </c>
    </row>
    <row r="140" spans="1:9" x14ac:dyDescent="0.25">
      <c r="A140" s="5" t="str">
        <f>TrendSheetPrdData[[#This Row],[Population]]&amp;TrendSheetPrdData[[#This Row],[Cost Basis]]&amp;TrendSheetPrdData[[#This Row],[Period]]&amp;TrendSheetPrdData[[#This Row],[Trend]]</f>
        <v>EMPLOYEESAllowed2016-03-01Hospiatl Outpatient MRIs per 1k</v>
      </c>
      <c r="B140" t="s">
        <v>90</v>
      </c>
      <c r="C140" t="s">
        <v>90</v>
      </c>
      <c r="D140" t="s">
        <v>91</v>
      </c>
      <c r="E140" s="1" t="s">
        <v>95</v>
      </c>
      <c r="F140" t="s">
        <v>93</v>
      </c>
      <c r="G140" t="s">
        <v>20</v>
      </c>
      <c r="H140">
        <v>9</v>
      </c>
      <c r="I140">
        <v>72</v>
      </c>
    </row>
    <row r="141" spans="1:9" x14ac:dyDescent="0.25">
      <c r="A141" s="5" t="str">
        <f>TrendSheetPrdData[[#This Row],[Population]]&amp;TrendSheetPrdData[[#This Row],[Cost Basis]]&amp;TrendSheetPrdData[[#This Row],[Period]]&amp;TrendSheetPrdData[[#This Row],[Trend]]</f>
        <v>EMPLOYEESAllowed2016-04-01Hospiatl Outpatient MRIs per 1k</v>
      </c>
      <c r="B141" t="s">
        <v>90</v>
      </c>
      <c r="C141" t="s">
        <v>90</v>
      </c>
      <c r="D141" t="s">
        <v>91</v>
      </c>
      <c r="E141" s="1" t="s">
        <v>96</v>
      </c>
      <c r="F141" t="s">
        <v>93</v>
      </c>
      <c r="G141" t="s">
        <v>20</v>
      </c>
      <c r="H141">
        <v>9</v>
      </c>
      <c r="I141">
        <v>49</v>
      </c>
    </row>
    <row r="142" spans="1:9" x14ac:dyDescent="0.25">
      <c r="A142" s="5" t="str">
        <f>TrendSheetPrdData[[#This Row],[Population]]&amp;TrendSheetPrdData[[#This Row],[Cost Basis]]&amp;TrendSheetPrdData[[#This Row],[Period]]&amp;TrendSheetPrdData[[#This Row],[Trend]]</f>
        <v>EMPLOYEESAllowed2016-05-01Hospiatl Outpatient MRIs per 1k</v>
      </c>
      <c r="B142" t="s">
        <v>90</v>
      </c>
      <c r="C142" t="s">
        <v>90</v>
      </c>
      <c r="D142" t="s">
        <v>91</v>
      </c>
      <c r="E142" s="1" t="s">
        <v>97</v>
      </c>
      <c r="F142" t="s">
        <v>93</v>
      </c>
      <c r="G142" t="s">
        <v>20</v>
      </c>
      <c r="H142">
        <v>9</v>
      </c>
      <c r="I142">
        <v>58</v>
      </c>
    </row>
    <row r="143" spans="1:9" x14ac:dyDescent="0.25">
      <c r="A143" s="5" t="str">
        <f>TrendSheetPrdData[[#This Row],[Population]]&amp;TrendSheetPrdData[[#This Row],[Cost Basis]]&amp;TrendSheetPrdData[[#This Row],[Period]]&amp;TrendSheetPrdData[[#This Row],[Trend]]</f>
        <v>EMPLOYEESAllowed2016-06-01Hospiatl Outpatient MRIs per 1k</v>
      </c>
      <c r="B143" t="s">
        <v>90</v>
      </c>
      <c r="C143" t="s">
        <v>90</v>
      </c>
      <c r="D143" t="s">
        <v>91</v>
      </c>
      <c r="E143" s="1" t="s">
        <v>98</v>
      </c>
      <c r="F143" t="s">
        <v>93</v>
      </c>
      <c r="G143" t="s">
        <v>20</v>
      </c>
      <c r="H143">
        <v>9</v>
      </c>
      <c r="I143">
        <v>48</v>
      </c>
    </row>
    <row r="144" spans="1:9" x14ac:dyDescent="0.25">
      <c r="A144" s="5" t="str">
        <f>TrendSheetPrdData[[#This Row],[Population]]&amp;TrendSheetPrdData[[#This Row],[Cost Basis]]&amp;TrendSheetPrdData[[#This Row],[Period]]&amp;TrendSheetPrdData[[#This Row],[Trend]]</f>
        <v>EMPLOYEESAllowed2016-07-01Hospiatl Outpatient MRIs per 1k</v>
      </c>
      <c r="B144" t="s">
        <v>90</v>
      </c>
      <c r="C144" t="s">
        <v>90</v>
      </c>
      <c r="D144" t="s">
        <v>91</v>
      </c>
      <c r="E144" s="1" t="s">
        <v>99</v>
      </c>
      <c r="F144" t="s">
        <v>93</v>
      </c>
      <c r="G144" t="s">
        <v>20</v>
      </c>
      <c r="H144">
        <v>9</v>
      </c>
      <c r="I144">
        <v>57</v>
      </c>
    </row>
    <row r="145" spans="1:9" x14ac:dyDescent="0.25">
      <c r="A145" s="5" t="str">
        <f>TrendSheetPrdData[[#This Row],[Population]]&amp;TrendSheetPrdData[[#This Row],[Cost Basis]]&amp;TrendSheetPrdData[[#This Row],[Period]]&amp;TrendSheetPrdData[[#This Row],[Trend]]</f>
        <v>EMPLOYEESAllowed2016-08-01Hospiatl Outpatient MRIs per 1k</v>
      </c>
      <c r="B145" t="s">
        <v>90</v>
      </c>
      <c r="C145" t="s">
        <v>90</v>
      </c>
      <c r="D145" t="s">
        <v>91</v>
      </c>
      <c r="E145" s="1" t="s">
        <v>100</v>
      </c>
      <c r="F145" t="s">
        <v>93</v>
      </c>
      <c r="G145" t="s">
        <v>20</v>
      </c>
      <c r="H145">
        <v>9</v>
      </c>
      <c r="I145">
        <v>73</v>
      </c>
    </row>
    <row r="146" spans="1:9" x14ac:dyDescent="0.25">
      <c r="A146" s="5" t="str">
        <f>TrendSheetPrdData[[#This Row],[Population]]&amp;TrendSheetPrdData[[#This Row],[Cost Basis]]&amp;TrendSheetPrdData[[#This Row],[Period]]&amp;TrendSheetPrdData[[#This Row],[Trend]]</f>
        <v>EMPLOYEESAllowed2016-09-01Hospiatl Outpatient MRIs per 1k</v>
      </c>
      <c r="B146" t="s">
        <v>90</v>
      </c>
      <c r="C146" t="s">
        <v>90</v>
      </c>
      <c r="D146" t="s">
        <v>91</v>
      </c>
      <c r="E146" s="1" t="s">
        <v>101</v>
      </c>
      <c r="F146" t="s">
        <v>93</v>
      </c>
      <c r="G146" t="s">
        <v>20</v>
      </c>
      <c r="H146">
        <v>9</v>
      </c>
      <c r="I146">
        <v>86</v>
      </c>
    </row>
    <row r="147" spans="1:9" x14ac:dyDescent="0.25">
      <c r="A147" s="5" t="str">
        <f>TrendSheetPrdData[[#This Row],[Population]]&amp;TrendSheetPrdData[[#This Row],[Cost Basis]]&amp;TrendSheetPrdData[[#This Row],[Period]]&amp;TrendSheetPrdData[[#This Row],[Trend]]</f>
        <v>EMPLOYEESAllowed2016-10-01Hospiatl Outpatient MRIs per 1k</v>
      </c>
      <c r="B147" t="s">
        <v>90</v>
      </c>
      <c r="C147" t="s">
        <v>90</v>
      </c>
      <c r="D147" t="s">
        <v>91</v>
      </c>
      <c r="E147" s="1" t="s">
        <v>102</v>
      </c>
      <c r="F147" t="s">
        <v>93</v>
      </c>
      <c r="G147" t="s">
        <v>20</v>
      </c>
      <c r="H147">
        <v>9</v>
      </c>
      <c r="I147">
        <v>39</v>
      </c>
    </row>
    <row r="148" spans="1:9" x14ac:dyDescent="0.25">
      <c r="A148" s="5" t="str">
        <f>TrendSheetPrdData[[#This Row],[Population]]&amp;TrendSheetPrdData[[#This Row],[Cost Basis]]&amp;TrendSheetPrdData[[#This Row],[Period]]&amp;TrendSheetPrdData[[#This Row],[Trend]]</f>
        <v>EMPLOYEESAllowed2016-11-01Hospiatl Outpatient MRIs per 1k</v>
      </c>
      <c r="B148" t="s">
        <v>90</v>
      </c>
      <c r="C148" t="s">
        <v>90</v>
      </c>
      <c r="D148" t="s">
        <v>91</v>
      </c>
      <c r="E148" s="1" t="s">
        <v>103</v>
      </c>
      <c r="F148" t="s">
        <v>93</v>
      </c>
      <c r="G148" t="s">
        <v>20</v>
      </c>
      <c r="H148">
        <v>9</v>
      </c>
      <c r="I148">
        <v>55</v>
      </c>
    </row>
    <row r="149" spans="1:9" x14ac:dyDescent="0.25">
      <c r="A149" s="5" t="str">
        <f>TrendSheetPrdData[[#This Row],[Population]]&amp;TrendSheetPrdData[[#This Row],[Cost Basis]]&amp;TrendSheetPrdData[[#This Row],[Period]]&amp;TrendSheetPrdData[[#This Row],[Trend]]</f>
        <v>EMPLOYEESAllowed2016-12-01Hospiatl Outpatient MRIs per 1k</v>
      </c>
      <c r="B149" t="s">
        <v>90</v>
      </c>
      <c r="C149" t="s">
        <v>90</v>
      </c>
      <c r="D149" t="s">
        <v>91</v>
      </c>
      <c r="E149" s="1" t="s">
        <v>104</v>
      </c>
      <c r="F149" t="s">
        <v>93</v>
      </c>
      <c r="G149" t="s">
        <v>20</v>
      </c>
      <c r="H149">
        <v>9</v>
      </c>
      <c r="I149">
        <v>64</v>
      </c>
    </row>
    <row r="150" spans="1:9" x14ac:dyDescent="0.25">
      <c r="A150" s="5" t="str">
        <f>TrendSheetPrdData[[#This Row],[Population]]&amp;TrendSheetPrdData[[#This Row],[Cost Basis]]&amp;TrendSheetPrdData[[#This Row],[Period]]&amp;TrendSheetPrdData[[#This Row],[Trend]]</f>
        <v>EMPLOYEESAllowed2017-01-01Hospiatl Outpatient MRIs per 1k</v>
      </c>
      <c r="B150" t="s">
        <v>90</v>
      </c>
      <c r="C150" t="s">
        <v>90</v>
      </c>
      <c r="D150" t="s">
        <v>91</v>
      </c>
      <c r="E150" s="1" t="s">
        <v>105</v>
      </c>
      <c r="F150" t="s">
        <v>93</v>
      </c>
      <c r="G150" t="s">
        <v>20</v>
      </c>
      <c r="H150">
        <v>9</v>
      </c>
      <c r="I150">
        <v>38</v>
      </c>
    </row>
    <row r="151" spans="1:9" x14ac:dyDescent="0.25">
      <c r="A151" s="5" t="str">
        <f>TrendSheetPrdData[[#This Row],[Population]]&amp;TrendSheetPrdData[[#This Row],[Cost Basis]]&amp;TrendSheetPrdData[[#This Row],[Period]]&amp;TrendSheetPrdData[[#This Row],[Trend]]</f>
        <v>EMPLOYEESAllowed2017-02-01Hospiatl Outpatient MRIs per 1k</v>
      </c>
      <c r="B151" t="s">
        <v>90</v>
      </c>
      <c r="C151" t="s">
        <v>90</v>
      </c>
      <c r="D151" t="s">
        <v>91</v>
      </c>
      <c r="E151" s="1" t="s">
        <v>106</v>
      </c>
      <c r="F151" t="s">
        <v>93</v>
      </c>
      <c r="G151" t="s">
        <v>20</v>
      </c>
      <c r="H151">
        <v>9</v>
      </c>
      <c r="I151">
        <v>29</v>
      </c>
    </row>
    <row r="152" spans="1:9" x14ac:dyDescent="0.25">
      <c r="A152" s="5" t="str">
        <f>TrendSheetPrdData[[#This Row],[Population]]&amp;TrendSheetPrdData[[#This Row],[Cost Basis]]&amp;TrendSheetPrdData[[#This Row],[Period]]&amp;TrendSheetPrdData[[#This Row],[Trend]]</f>
        <v>EMPLOYEESAllowed2017-03-01Hospiatl Outpatient MRIs per 1k</v>
      </c>
      <c r="B152" t="s">
        <v>90</v>
      </c>
      <c r="C152" t="s">
        <v>90</v>
      </c>
      <c r="D152" t="s">
        <v>91</v>
      </c>
      <c r="E152" s="1" t="s">
        <v>107</v>
      </c>
      <c r="F152" t="s">
        <v>108</v>
      </c>
      <c r="G152" t="s">
        <v>20</v>
      </c>
      <c r="H152">
        <v>9</v>
      </c>
      <c r="I152">
        <v>46</v>
      </c>
    </row>
    <row r="153" spans="1:9" x14ac:dyDescent="0.25">
      <c r="A153" s="5" t="str">
        <f>TrendSheetPrdData[[#This Row],[Population]]&amp;TrendSheetPrdData[[#This Row],[Cost Basis]]&amp;TrendSheetPrdData[[#This Row],[Period]]&amp;TrendSheetPrdData[[#This Row],[Trend]]</f>
        <v>EMPLOYEESAllowed2017-04-01Hospiatl Outpatient MRIs per 1k</v>
      </c>
      <c r="B153" t="s">
        <v>90</v>
      </c>
      <c r="C153" t="s">
        <v>90</v>
      </c>
      <c r="D153" t="s">
        <v>91</v>
      </c>
      <c r="E153" s="1" t="s">
        <v>109</v>
      </c>
      <c r="F153" t="s">
        <v>108</v>
      </c>
      <c r="G153" t="s">
        <v>20</v>
      </c>
      <c r="H153">
        <v>9</v>
      </c>
      <c r="I153">
        <v>71</v>
      </c>
    </row>
    <row r="154" spans="1:9" x14ac:dyDescent="0.25">
      <c r="A154" s="5" t="str">
        <f>TrendSheetPrdData[[#This Row],[Population]]&amp;TrendSheetPrdData[[#This Row],[Cost Basis]]&amp;TrendSheetPrdData[[#This Row],[Period]]&amp;TrendSheetPrdData[[#This Row],[Trend]]</f>
        <v>EMPLOYEESAllowed2017-05-01Hospiatl Outpatient MRIs per 1k</v>
      </c>
      <c r="B154" t="s">
        <v>90</v>
      </c>
      <c r="C154" t="s">
        <v>90</v>
      </c>
      <c r="D154" t="s">
        <v>91</v>
      </c>
      <c r="E154" s="1" t="s">
        <v>110</v>
      </c>
      <c r="F154" t="s">
        <v>108</v>
      </c>
      <c r="G154" t="s">
        <v>20</v>
      </c>
      <c r="H154">
        <v>9</v>
      </c>
      <c r="I154">
        <v>37</v>
      </c>
    </row>
    <row r="155" spans="1:9" x14ac:dyDescent="0.25">
      <c r="A155" s="5" t="str">
        <f>TrendSheetPrdData[[#This Row],[Population]]&amp;TrendSheetPrdData[[#This Row],[Cost Basis]]&amp;TrendSheetPrdData[[#This Row],[Period]]&amp;TrendSheetPrdData[[#This Row],[Trend]]</f>
        <v>EMPLOYEESAllowed2016-01-01Hospiatl Outpatient CTs per 1k</v>
      </c>
      <c r="B155" t="s">
        <v>90</v>
      </c>
      <c r="C155" t="s">
        <v>90</v>
      </c>
      <c r="D155" t="s">
        <v>91</v>
      </c>
      <c r="E155" s="1" t="s">
        <v>92</v>
      </c>
      <c r="F155" t="s">
        <v>93</v>
      </c>
      <c r="G155" t="s">
        <v>21</v>
      </c>
      <c r="H155">
        <v>10</v>
      </c>
      <c r="I155">
        <v>37</v>
      </c>
    </row>
    <row r="156" spans="1:9" x14ac:dyDescent="0.25">
      <c r="A156" s="5" t="str">
        <f>TrendSheetPrdData[[#This Row],[Population]]&amp;TrendSheetPrdData[[#This Row],[Cost Basis]]&amp;TrendSheetPrdData[[#This Row],[Period]]&amp;TrendSheetPrdData[[#This Row],[Trend]]</f>
        <v>EMPLOYEESAllowed2016-02-01Hospiatl Outpatient CTs per 1k</v>
      </c>
      <c r="B156" t="s">
        <v>90</v>
      </c>
      <c r="C156" t="s">
        <v>90</v>
      </c>
      <c r="D156" t="s">
        <v>91</v>
      </c>
      <c r="E156" s="1" t="s">
        <v>94</v>
      </c>
      <c r="F156" t="s">
        <v>93</v>
      </c>
      <c r="G156" t="s">
        <v>21</v>
      </c>
      <c r="H156">
        <v>10</v>
      </c>
      <c r="I156">
        <v>50</v>
      </c>
    </row>
    <row r="157" spans="1:9" x14ac:dyDescent="0.25">
      <c r="A157" s="5" t="str">
        <f>TrendSheetPrdData[[#This Row],[Population]]&amp;TrendSheetPrdData[[#This Row],[Cost Basis]]&amp;TrendSheetPrdData[[#This Row],[Period]]&amp;TrendSheetPrdData[[#This Row],[Trend]]</f>
        <v>EMPLOYEESAllowed2016-03-01Hospiatl Outpatient CTs per 1k</v>
      </c>
      <c r="B157" t="s">
        <v>90</v>
      </c>
      <c r="C157" t="s">
        <v>90</v>
      </c>
      <c r="D157" t="s">
        <v>91</v>
      </c>
      <c r="E157" s="1" t="s">
        <v>95</v>
      </c>
      <c r="F157" t="s">
        <v>93</v>
      </c>
      <c r="G157" t="s">
        <v>21</v>
      </c>
      <c r="H157">
        <v>10</v>
      </c>
      <c r="I157">
        <v>72</v>
      </c>
    </row>
    <row r="158" spans="1:9" x14ac:dyDescent="0.25">
      <c r="A158" s="5" t="str">
        <f>TrendSheetPrdData[[#This Row],[Population]]&amp;TrendSheetPrdData[[#This Row],[Cost Basis]]&amp;TrendSheetPrdData[[#This Row],[Period]]&amp;TrendSheetPrdData[[#This Row],[Trend]]</f>
        <v>EMPLOYEESAllowed2016-04-01Hospiatl Outpatient CTs per 1k</v>
      </c>
      <c r="B158" t="s">
        <v>90</v>
      </c>
      <c r="C158" t="s">
        <v>90</v>
      </c>
      <c r="D158" t="s">
        <v>91</v>
      </c>
      <c r="E158" s="1" t="s">
        <v>96</v>
      </c>
      <c r="F158" t="s">
        <v>93</v>
      </c>
      <c r="G158" t="s">
        <v>21</v>
      </c>
      <c r="H158">
        <v>10</v>
      </c>
      <c r="I158">
        <v>67</v>
      </c>
    </row>
    <row r="159" spans="1:9" x14ac:dyDescent="0.25">
      <c r="A159" s="5" t="str">
        <f>TrendSheetPrdData[[#This Row],[Population]]&amp;TrendSheetPrdData[[#This Row],[Cost Basis]]&amp;TrendSheetPrdData[[#This Row],[Period]]&amp;TrendSheetPrdData[[#This Row],[Trend]]</f>
        <v>EMPLOYEESAllowed2016-05-01Hospiatl Outpatient CTs per 1k</v>
      </c>
      <c r="B159" t="s">
        <v>90</v>
      </c>
      <c r="C159" t="s">
        <v>90</v>
      </c>
      <c r="D159" t="s">
        <v>91</v>
      </c>
      <c r="E159" s="1" t="s">
        <v>97</v>
      </c>
      <c r="F159" t="s">
        <v>93</v>
      </c>
      <c r="G159" t="s">
        <v>21</v>
      </c>
      <c r="H159">
        <v>10</v>
      </c>
      <c r="I159">
        <v>54</v>
      </c>
    </row>
    <row r="160" spans="1:9" x14ac:dyDescent="0.25">
      <c r="A160" s="5" t="str">
        <f>TrendSheetPrdData[[#This Row],[Population]]&amp;TrendSheetPrdData[[#This Row],[Cost Basis]]&amp;TrendSheetPrdData[[#This Row],[Period]]&amp;TrendSheetPrdData[[#This Row],[Trend]]</f>
        <v>EMPLOYEESAllowed2016-06-01Hospiatl Outpatient CTs per 1k</v>
      </c>
      <c r="B160" t="s">
        <v>90</v>
      </c>
      <c r="C160" t="s">
        <v>90</v>
      </c>
      <c r="D160" t="s">
        <v>91</v>
      </c>
      <c r="E160" s="1" t="s">
        <v>98</v>
      </c>
      <c r="F160" t="s">
        <v>93</v>
      </c>
      <c r="G160" t="s">
        <v>21</v>
      </c>
      <c r="H160">
        <v>10</v>
      </c>
      <c r="I160">
        <v>136</v>
      </c>
    </row>
    <row r="161" spans="1:9" x14ac:dyDescent="0.25">
      <c r="A161" s="5" t="str">
        <f>TrendSheetPrdData[[#This Row],[Population]]&amp;TrendSheetPrdData[[#This Row],[Cost Basis]]&amp;TrendSheetPrdData[[#This Row],[Period]]&amp;TrendSheetPrdData[[#This Row],[Trend]]</f>
        <v>EMPLOYEESAllowed2016-07-01Hospiatl Outpatient CTs per 1k</v>
      </c>
      <c r="B161" t="s">
        <v>90</v>
      </c>
      <c r="C161" t="s">
        <v>90</v>
      </c>
      <c r="D161" t="s">
        <v>91</v>
      </c>
      <c r="E161" s="1" t="s">
        <v>99</v>
      </c>
      <c r="F161" t="s">
        <v>93</v>
      </c>
      <c r="G161" t="s">
        <v>21</v>
      </c>
      <c r="H161">
        <v>10</v>
      </c>
      <c r="I161">
        <v>35</v>
      </c>
    </row>
    <row r="162" spans="1:9" x14ac:dyDescent="0.25">
      <c r="A162" s="5" t="str">
        <f>TrendSheetPrdData[[#This Row],[Population]]&amp;TrendSheetPrdData[[#This Row],[Cost Basis]]&amp;TrendSheetPrdData[[#This Row],[Period]]&amp;TrendSheetPrdData[[#This Row],[Trend]]</f>
        <v>EMPLOYEESAllowed2016-08-01Hospiatl Outpatient CTs per 1k</v>
      </c>
      <c r="B162" t="s">
        <v>90</v>
      </c>
      <c r="C162" t="s">
        <v>90</v>
      </c>
      <c r="D162" t="s">
        <v>91</v>
      </c>
      <c r="E162" s="1" t="s">
        <v>100</v>
      </c>
      <c r="F162" t="s">
        <v>93</v>
      </c>
      <c r="G162" t="s">
        <v>21</v>
      </c>
      <c r="H162">
        <v>10</v>
      </c>
      <c r="I162">
        <v>73</v>
      </c>
    </row>
    <row r="163" spans="1:9" x14ac:dyDescent="0.25">
      <c r="A163" s="5" t="str">
        <f>TrendSheetPrdData[[#This Row],[Population]]&amp;TrendSheetPrdData[[#This Row],[Cost Basis]]&amp;TrendSheetPrdData[[#This Row],[Period]]&amp;TrendSheetPrdData[[#This Row],[Trend]]</f>
        <v>EMPLOYEESAllowed2016-09-01Hospiatl Outpatient CTs per 1k</v>
      </c>
      <c r="B163" t="s">
        <v>90</v>
      </c>
      <c r="C163" t="s">
        <v>90</v>
      </c>
      <c r="D163" t="s">
        <v>91</v>
      </c>
      <c r="E163" s="1" t="s">
        <v>101</v>
      </c>
      <c r="F163" t="s">
        <v>93</v>
      </c>
      <c r="G163" t="s">
        <v>21</v>
      </c>
      <c r="H163">
        <v>10</v>
      </c>
      <c r="I163">
        <v>81</v>
      </c>
    </row>
    <row r="164" spans="1:9" x14ac:dyDescent="0.25">
      <c r="A164" s="5" t="str">
        <f>TrendSheetPrdData[[#This Row],[Population]]&amp;TrendSheetPrdData[[#This Row],[Cost Basis]]&amp;TrendSheetPrdData[[#This Row],[Period]]&amp;TrendSheetPrdData[[#This Row],[Trend]]</f>
        <v>EMPLOYEESAllowed2016-10-01Hospiatl Outpatient CTs per 1k</v>
      </c>
      <c r="B164" t="s">
        <v>90</v>
      </c>
      <c r="C164" t="s">
        <v>90</v>
      </c>
      <c r="D164" t="s">
        <v>91</v>
      </c>
      <c r="E164" s="1" t="s">
        <v>102</v>
      </c>
      <c r="F164" t="s">
        <v>93</v>
      </c>
      <c r="G164" t="s">
        <v>21</v>
      </c>
      <c r="H164">
        <v>10</v>
      </c>
      <c r="I164">
        <v>43</v>
      </c>
    </row>
    <row r="165" spans="1:9" x14ac:dyDescent="0.25">
      <c r="A165" s="5" t="str">
        <f>TrendSheetPrdData[[#This Row],[Population]]&amp;TrendSheetPrdData[[#This Row],[Cost Basis]]&amp;TrendSheetPrdData[[#This Row],[Period]]&amp;TrendSheetPrdData[[#This Row],[Trend]]</f>
        <v>EMPLOYEESAllowed2016-11-01Hospiatl Outpatient CTs per 1k</v>
      </c>
      <c r="B165" t="s">
        <v>90</v>
      </c>
      <c r="C165" t="s">
        <v>90</v>
      </c>
      <c r="D165" t="s">
        <v>91</v>
      </c>
      <c r="E165" s="1" t="s">
        <v>103</v>
      </c>
      <c r="F165" t="s">
        <v>93</v>
      </c>
      <c r="G165" t="s">
        <v>21</v>
      </c>
      <c r="H165">
        <v>10</v>
      </c>
      <c r="I165">
        <v>43</v>
      </c>
    </row>
    <row r="166" spans="1:9" x14ac:dyDescent="0.25">
      <c r="A166" s="5" t="str">
        <f>TrendSheetPrdData[[#This Row],[Population]]&amp;TrendSheetPrdData[[#This Row],[Cost Basis]]&amp;TrendSheetPrdData[[#This Row],[Period]]&amp;TrendSheetPrdData[[#This Row],[Trend]]</f>
        <v>EMPLOYEESAllowed2016-12-01Hospiatl Outpatient CTs per 1k</v>
      </c>
      <c r="B166" t="s">
        <v>90</v>
      </c>
      <c r="C166" t="s">
        <v>90</v>
      </c>
      <c r="D166" t="s">
        <v>91</v>
      </c>
      <c r="E166" s="1" t="s">
        <v>104</v>
      </c>
      <c r="F166" t="s">
        <v>93</v>
      </c>
      <c r="G166" t="s">
        <v>21</v>
      </c>
      <c r="H166">
        <v>10</v>
      </c>
      <c r="I166">
        <v>94</v>
      </c>
    </row>
    <row r="167" spans="1:9" x14ac:dyDescent="0.25">
      <c r="A167" s="5" t="str">
        <f>TrendSheetPrdData[[#This Row],[Population]]&amp;TrendSheetPrdData[[#This Row],[Cost Basis]]&amp;TrendSheetPrdData[[#This Row],[Period]]&amp;TrendSheetPrdData[[#This Row],[Trend]]</f>
        <v>EMPLOYEESAllowed2017-01-01Hospiatl Outpatient CTs per 1k</v>
      </c>
      <c r="B167" t="s">
        <v>90</v>
      </c>
      <c r="C167" t="s">
        <v>90</v>
      </c>
      <c r="D167" t="s">
        <v>91</v>
      </c>
      <c r="E167" s="1" t="s">
        <v>105</v>
      </c>
      <c r="F167" t="s">
        <v>93</v>
      </c>
      <c r="G167" t="s">
        <v>21</v>
      </c>
      <c r="H167">
        <v>10</v>
      </c>
      <c r="I167">
        <v>63</v>
      </c>
    </row>
    <row r="168" spans="1:9" x14ac:dyDescent="0.25">
      <c r="A168" s="5" t="str">
        <f>TrendSheetPrdData[[#This Row],[Population]]&amp;TrendSheetPrdData[[#This Row],[Cost Basis]]&amp;TrendSheetPrdData[[#This Row],[Period]]&amp;TrendSheetPrdData[[#This Row],[Trend]]</f>
        <v>EMPLOYEESAllowed2017-02-01Hospiatl Outpatient CTs per 1k</v>
      </c>
      <c r="B168" t="s">
        <v>90</v>
      </c>
      <c r="C168" t="s">
        <v>90</v>
      </c>
      <c r="D168" t="s">
        <v>91</v>
      </c>
      <c r="E168" s="1" t="s">
        <v>106</v>
      </c>
      <c r="F168" t="s">
        <v>93</v>
      </c>
      <c r="G168" t="s">
        <v>21</v>
      </c>
      <c r="H168">
        <v>10</v>
      </c>
      <c r="I168">
        <v>54</v>
      </c>
    </row>
    <row r="169" spans="1:9" x14ac:dyDescent="0.25">
      <c r="A169" s="5" t="str">
        <f>TrendSheetPrdData[[#This Row],[Population]]&amp;TrendSheetPrdData[[#This Row],[Cost Basis]]&amp;TrendSheetPrdData[[#This Row],[Period]]&amp;TrendSheetPrdData[[#This Row],[Trend]]</f>
        <v>EMPLOYEESAllowed2017-03-01Hospiatl Outpatient CTs per 1k</v>
      </c>
      <c r="B169" t="s">
        <v>90</v>
      </c>
      <c r="C169" t="s">
        <v>90</v>
      </c>
      <c r="D169" t="s">
        <v>91</v>
      </c>
      <c r="E169" s="1" t="s">
        <v>107</v>
      </c>
      <c r="F169" t="s">
        <v>108</v>
      </c>
      <c r="G169" t="s">
        <v>21</v>
      </c>
      <c r="H169">
        <v>10</v>
      </c>
      <c r="I169">
        <v>62</v>
      </c>
    </row>
    <row r="170" spans="1:9" x14ac:dyDescent="0.25">
      <c r="A170" s="5" t="str">
        <f>TrendSheetPrdData[[#This Row],[Population]]&amp;TrendSheetPrdData[[#This Row],[Cost Basis]]&amp;TrendSheetPrdData[[#This Row],[Period]]&amp;TrendSheetPrdData[[#This Row],[Trend]]</f>
        <v>EMPLOYEESAllowed2017-04-01Hospiatl Outpatient CTs per 1k</v>
      </c>
      <c r="B170" t="s">
        <v>90</v>
      </c>
      <c r="C170" t="s">
        <v>90</v>
      </c>
      <c r="D170" t="s">
        <v>91</v>
      </c>
      <c r="E170" s="1" t="s">
        <v>109</v>
      </c>
      <c r="F170" t="s">
        <v>108</v>
      </c>
      <c r="G170" t="s">
        <v>21</v>
      </c>
      <c r="H170">
        <v>10</v>
      </c>
      <c r="I170">
        <v>29</v>
      </c>
    </row>
    <row r="171" spans="1:9" x14ac:dyDescent="0.25">
      <c r="A171" s="5" t="str">
        <f>TrendSheetPrdData[[#This Row],[Population]]&amp;TrendSheetPrdData[[#This Row],[Cost Basis]]&amp;TrendSheetPrdData[[#This Row],[Period]]&amp;TrendSheetPrdData[[#This Row],[Trend]]</f>
        <v>EMPLOYEESAllowed2017-05-01Hospiatl Outpatient CTs per 1k</v>
      </c>
      <c r="B171" t="s">
        <v>90</v>
      </c>
      <c r="C171" t="s">
        <v>90</v>
      </c>
      <c r="D171" t="s">
        <v>91</v>
      </c>
      <c r="E171" s="1" t="s">
        <v>110</v>
      </c>
      <c r="F171" t="s">
        <v>108</v>
      </c>
      <c r="G171" t="s">
        <v>21</v>
      </c>
      <c r="H171">
        <v>10</v>
      </c>
      <c r="I171">
        <v>21</v>
      </c>
    </row>
    <row r="172" spans="1:9" x14ac:dyDescent="0.25">
      <c r="A172" s="5" t="str">
        <f>TrendSheetPrdData[[#This Row],[Population]]&amp;TrendSheetPrdData[[#This Row],[Cost Basis]]&amp;TrendSheetPrdData[[#This Row],[Period]]&amp;TrendSheetPrdData[[#This Row],[Trend]]</f>
        <v>EMPLOYEESAllowed2016-01-01Office Based MRIs per 1k</v>
      </c>
      <c r="B172" t="s">
        <v>90</v>
      </c>
      <c r="C172" t="s">
        <v>90</v>
      </c>
      <c r="D172" t="s">
        <v>91</v>
      </c>
      <c r="E172" s="1" t="s">
        <v>92</v>
      </c>
      <c r="F172" t="s">
        <v>93</v>
      </c>
      <c r="G172" t="s">
        <v>22</v>
      </c>
      <c r="H172">
        <v>11</v>
      </c>
      <c r="I172">
        <v>0</v>
      </c>
    </row>
    <row r="173" spans="1:9" x14ac:dyDescent="0.25">
      <c r="A173" s="5" t="str">
        <f>TrendSheetPrdData[[#This Row],[Population]]&amp;TrendSheetPrdData[[#This Row],[Cost Basis]]&amp;TrendSheetPrdData[[#This Row],[Period]]&amp;TrendSheetPrdData[[#This Row],[Trend]]</f>
        <v>EMPLOYEESAllowed2016-02-01Office Based MRIs per 1k</v>
      </c>
      <c r="B173" t="s">
        <v>90</v>
      </c>
      <c r="C173" t="s">
        <v>90</v>
      </c>
      <c r="D173" t="s">
        <v>91</v>
      </c>
      <c r="E173" s="1" t="s">
        <v>94</v>
      </c>
      <c r="F173" t="s">
        <v>93</v>
      </c>
      <c r="G173" t="s">
        <v>22</v>
      </c>
      <c r="H173">
        <v>11</v>
      </c>
      <c r="I173">
        <v>0</v>
      </c>
    </row>
    <row r="174" spans="1:9" x14ac:dyDescent="0.25">
      <c r="A174" s="5" t="str">
        <f>TrendSheetPrdData[[#This Row],[Population]]&amp;TrendSheetPrdData[[#This Row],[Cost Basis]]&amp;TrendSheetPrdData[[#This Row],[Period]]&amp;TrendSheetPrdData[[#This Row],[Trend]]</f>
        <v>EMPLOYEESAllowed2016-03-01Office Based MRIs per 1k</v>
      </c>
      <c r="B174" t="s">
        <v>90</v>
      </c>
      <c r="C174" t="s">
        <v>90</v>
      </c>
      <c r="D174" t="s">
        <v>91</v>
      </c>
      <c r="E174" s="1" t="s">
        <v>95</v>
      </c>
      <c r="F174" t="s">
        <v>93</v>
      </c>
      <c r="G174" t="s">
        <v>22</v>
      </c>
      <c r="H174">
        <v>11</v>
      </c>
      <c r="I174">
        <v>0</v>
      </c>
    </row>
    <row r="175" spans="1:9" x14ac:dyDescent="0.25">
      <c r="A175" s="5" t="str">
        <f>TrendSheetPrdData[[#This Row],[Population]]&amp;TrendSheetPrdData[[#This Row],[Cost Basis]]&amp;TrendSheetPrdData[[#This Row],[Period]]&amp;TrendSheetPrdData[[#This Row],[Trend]]</f>
        <v>EMPLOYEESAllowed2016-04-01Office Based MRIs per 1k</v>
      </c>
      <c r="B175" t="s">
        <v>90</v>
      </c>
      <c r="C175" t="s">
        <v>90</v>
      </c>
      <c r="D175" t="s">
        <v>91</v>
      </c>
      <c r="E175" s="1" t="s">
        <v>96</v>
      </c>
      <c r="F175" t="s">
        <v>93</v>
      </c>
      <c r="G175" t="s">
        <v>22</v>
      </c>
      <c r="H175">
        <v>11</v>
      </c>
      <c r="I175">
        <v>0</v>
      </c>
    </row>
    <row r="176" spans="1:9" x14ac:dyDescent="0.25">
      <c r="A176" s="5" t="str">
        <f>TrendSheetPrdData[[#This Row],[Population]]&amp;TrendSheetPrdData[[#This Row],[Cost Basis]]&amp;TrendSheetPrdData[[#This Row],[Period]]&amp;TrendSheetPrdData[[#This Row],[Trend]]</f>
        <v>EMPLOYEESAllowed2016-05-01Office Based MRIs per 1k</v>
      </c>
      <c r="B176" t="s">
        <v>90</v>
      </c>
      <c r="C176" t="s">
        <v>90</v>
      </c>
      <c r="D176" t="s">
        <v>91</v>
      </c>
      <c r="E176" s="1" t="s">
        <v>97</v>
      </c>
      <c r="F176" t="s">
        <v>93</v>
      </c>
      <c r="G176" t="s">
        <v>22</v>
      </c>
      <c r="H176">
        <v>11</v>
      </c>
      <c r="I176">
        <v>0</v>
      </c>
    </row>
    <row r="177" spans="1:9" x14ac:dyDescent="0.25">
      <c r="A177" s="5" t="str">
        <f>TrendSheetPrdData[[#This Row],[Population]]&amp;TrendSheetPrdData[[#This Row],[Cost Basis]]&amp;TrendSheetPrdData[[#This Row],[Period]]&amp;TrendSheetPrdData[[#This Row],[Trend]]</f>
        <v>EMPLOYEESAllowed2016-06-01Office Based MRIs per 1k</v>
      </c>
      <c r="B177" t="s">
        <v>90</v>
      </c>
      <c r="C177" t="s">
        <v>90</v>
      </c>
      <c r="D177" t="s">
        <v>91</v>
      </c>
      <c r="E177" s="1" t="s">
        <v>98</v>
      </c>
      <c r="F177" t="s">
        <v>93</v>
      </c>
      <c r="G177" t="s">
        <v>22</v>
      </c>
      <c r="H177">
        <v>11</v>
      </c>
      <c r="I177">
        <v>0</v>
      </c>
    </row>
    <row r="178" spans="1:9" x14ac:dyDescent="0.25">
      <c r="A178" s="5" t="str">
        <f>TrendSheetPrdData[[#This Row],[Population]]&amp;TrendSheetPrdData[[#This Row],[Cost Basis]]&amp;TrendSheetPrdData[[#This Row],[Period]]&amp;TrendSheetPrdData[[#This Row],[Trend]]</f>
        <v>EMPLOYEESAllowed2016-07-01Office Based MRIs per 1k</v>
      </c>
      <c r="B178" t="s">
        <v>90</v>
      </c>
      <c r="C178" t="s">
        <v>90</v>
      </c>
      <c r="D178" t="s">
        <v>91</v>
      </c>
      <c r="E178" s="1" t="s">
        <v>99</v>
      </c>
      <c r="F178" t="s">
        <v>93</v>
      </c>
      <c r="G178" t="s">
        <v>22</v>
      </c>
      <c r="H178">
        <v>11</v>
      </c>
      <c r="I178">
        <v>0</v>
      </c>
    </row>
    <row r="179" spans="1:9" x14ac:dyDescent="0.25">
      <c r="A179" s="5" t="str">
        <f>TrendSheetPrdData[[#This Row],[Population]]&amp;TrendSheetPrdData[[#This Row],[Cost Basis]]&amp;TrendSheetPrdData[[#This Row],[Period]]&amp;TrendSheetPrdData[[#This Row],[Trend]]</f>
        <v>EMPLOYEESAllowed2016-08-01Office Based MRIs per 1k</v>
      </c>
      <c r="B179" t="s">
        <v>90</v>
      </c>
      <c r="C179" t="s">
        <v>90</v>
      </c>
      <c r="D179" t="s">
        <v>91</v>
      </c>
      <c r="E179" s="1" t="s">
        <v>100</v>
      </c>
      <c r="F179" t="s">
        <v>93</v>
      </c>
      <c r="G179" t="s">
        <v>22</v>
      </c>
      <c r="H179">
        <v>11</v>
      </c>
      <c r="I179">
        <v>0</v>
      </c>
    </row>
    <row r="180" spans="1:9" x14ac:dyDescent="0.25">
      <c r="A180" s="5" t="str">
        <f>TrendSheetPrdData[[#This Row],[Population]]&amp;TrendSheetPrdData[[#This Row],[Cost Basis]]&amp;TrendSheetPrdData[[#This Row],[Period]]&amp;TrendSheetPrdData[[#This Row],[Trend]]</f>
        <v>EMPLOYEESAllowed2016-09-01Office Based MRIs per 1k</v>
      </c>
      <c r="B180" t="s">
        <v>90</v>
      </c>
      <c r="C180" t="s">
        <v>90</v>
      </c>
      <c r="D180" t="s">
        <v>91</v>
      </c>
      <c r="E180" s="1" t="s">
        <v>101</v>
      </c>
      <c r="F180" t="s">
        <v>93</v>
      </c>
      <c r="G180" t="s">
        <v>22</v>
      </c>
      <c r="H180">
        <v>11</v>
      </c>
      <c r="I180">
        <v>0</v>
      </c>
    </row>
    <row r="181" spans="1:9" x14ac:dyDescent="0.25">
      <c r="A181" s="5" t="str">
        <f>TrendSheetPrdData[[#This Row],[Population]]&amp;TrendSheetPrdData[[#This Row],[Cost Basis]]&amp;TrendSheetPrdData[[#This Row],[Period]]&amp;TrendSheetPrdData[[#This Row],[Trend]]</f>
        <v>EMPLOYEESAllowed2016-10-01Office Based MRIs per 1k</v>
      </c>
      <c r="B181" t="s">
        <v>90</v>
      </c>
      <c r="C181" t="s">
        <v>90</v>
      </c>
      <c r="D181" t="s">
        <v>91</v>
      </c>
      <c r="E181" s="1" t="s">
        <v>102</v>
      </c>
      <c r="F181" t="s">
        <v>93</v>
      </c>
      <c r="G181" t="s">
        <v>22</v>
      </c>
      <c r="H181">
        <v>11</v>
      </c>
      <c r="I181">
        <v>0</v>
      </c>
    </row>
    <row r="182" spans="1:9" x14ac:dyDescent="0.25">
      <c r="A182" s="5" t="str">
        <f>TrendSheetPrdData[[#This Row],[Population]]&amp;TrendSheetPrdData[[#This Row],[Cost Basis]]&amp;TrendSheetPrdData[[#This Row],[Period]]&amp;TrendSheetPrdData[[#This Row],[Trend]]</f>
        <v>EMPLOYEESAllowed2016-11-01Office Based MRIs per 1k</v>
      </c>
      <c r="B182" t="s">
        <v>90</v>
      </c>
      <c r="C182" t="s">
        <v>90</v>
      </c>
      <c r="D182" t="s">
        <v>91</v>
      </c>
      <c r="E182" s="1" t="s">
        <v>103</v>
      </c>
      <c r="F182" t="s">
        <v>93</v>
      </c>
      <c r="G182" t="s">
        <v>22</v>
      </c>
      <c r="H182">
        <v>11</v>
      </c>
      <c r="I182">
        <v>0</v>
      </c>
    </row>
    <row r="183" spans="1:9" x14ac:dyDescent="0.25">
      <c r="A183" s="5" t="str">
        <f>TrendSheetPrdData[[#This Row],[Population]]&amp;TrendSheetPrdData[[#This Row],[Cost Basis]]&amp;TrendSheetPrdData[[#This Row],[Period]]&amp;TrendSheetPrdData[[#This Row],[Trend]]</f>
        <v>EMPLOYEESAllowed2016-12-01Office Based MRIs per 1k</v>
      </c>
      <c r="B183" t="s">
        <v>90</v>
      </c>
      <c r="C183" t="s">
        <v>90</v>
      </c>
      <c r="D183" t="s">
        <v>91</v>
      </c>
      <c r="E183" s="1" t="s">
        <v>104</v>
      </c>
      <c r="F183" t="s">
        <v>93</v>
      </c>
      <c r="G183" t="s">
        <v>22</v>
      </c>
      <c r="H183">
        <v>11</v>
      </c>
      <c r="I183">
        <v>0</v>
      </c>
    </row>
    <row r="184" spans="1:9" x14ac:dyDescent="0.25">
      <c r="A184" s="5" t="str">
        <f>TrendSheetPrdData[[#This Row],[Population]]&amp;TrendSheetPrdData[[#This Row],[Cost Basis]]&amp;TrendSheetPrdData[[#This Row],[Period]]&amp;TrendSheetPrdData[[#This Row],[Trend]]</f>
        <v>EMPLOYEESAllowed2017-01-01Office Based MRIs per 1k</v>
      </c>
      <c r="B184" t="s">
        <v>90</v>
      </c>
      <c r="C184" t="s">
        <v>90</v>
      </c>
      <c r="D184" t="s">
        <v>91</v>
      </c>
      <c r="E184" s="1" t="s">
        <v>105</v>
      </c>
      <c r="F184" t="s">
        <v>93</v>
      </c>
      <c r="G184" t="s">
        <v>22</v>
      </c>
      <c r="H184">
        <v>11</v>
      </c>
      <c r="I184">
        <v>0</v>
      </c>
    </row>
    <row r="185" spans="1:9" x14ac:dyDescent="0.25">
      <c r="A185" s="5" t="str">
        <f>TrendSheetPrdData[[#This Row],[Population]]&amp;TrendSheetPrdData[[#This Row],[Cost Basis]]&amp;TrendSheetPrdData[[#This Row],[Period]]&amp;TrendSheetPrdData[[#This Row],[Trend]]</f>
        <v>EMPLOYEESAllowed2017-02-01Office Based MRIs per 1k</v>
      </c>
      <c r="B185" t="s">
        <v>90</v>
      </c>
      <c r="C185" t="s">
        <v>90</v>
      </c>
      <c r="D185" t="s">
        <v>91</v>
      </c>
      <c r="E185" s="1" t="s">
        <v>106</v>
      </c>
      <c r="F185" t="s">
        <v>93</v>
      </c>
      <c r="G185" t="s">
        <v>22</v>
      </c>
      <c r="H185">
        <v>11</v>
      </c>
      <c r="I185">
        <v>0</v>
      </c>
    </row>
    <row r="186" spans="1:9" x14ac:dyDescent="0.25">
      <c r="A186" s="5" t="str">
        <f>TrendSheetPrdData[[#This Row],[Population]]&amp;TrendSheetPrdData[[#This Row],[Cost Basis]]&amp;TrendSheetPrdData[[#This Row],[Period]]&amp;TrendSheetPrdData[[#This Row],[Trend]]</f>
        <v>EMPLOYEESAllowed2017-03-01Office Based MRIs per 1k</v>
      </c>
      <c r="B186" t="s">
        <v>90</v>
      </c>
      <c r="C186" t="s">
        <v>90</v>
      </c>
      <c r="D186" t="s">
        <v>91</v>
      </c>
      <c r="E186" s="1" t="s">
        <v>107</v>
      </c>
      <c r="F186" t="s">
        <v>108</v>
      </c>
      <c r="G186" t="s">
        <v>22</v>
      </c>
      <c r="H186">
        <v>11</v>
      </c>
      <c r="I186">
        <v>0</v>
      </c>
    </row>
    <row r="187" spans="1:9" x14ac:dyDescent="0.25">
      <c r="A187" s="5" t="str">
        <f>TrendSheetPrdData[[#This Row],[Population]]&amp;TrendSheetPrdData[[#This Row],[Cost Basis]]&amp;TrendSheetPrdData[[#This Row],[Period]]&amp;TrendSheetPrdData[[#This Row],[Trend]]</f>
        <v>EMPLOYEESAllowed2017-04-01Office Based MRIs per 1k</v>
      </c>
      <c r="B187" t="s">
        <v>90</v>
      </c>
      <c r="C187" t="s">
        <v>90</v>
      </c>
      <c r="D187" t="s">
        <v>91</v>
      </c>
      <c r="E187" s="1" t="s">
        <v>109</v>
      </c>
      <c r="F187" t="s">
        <v>108</v>
      </c>
      <c r="G187" t="s">
        <v>22</v>
      </c>
      <c r="H187">
        <v>11</v>
      </c>
      <c r="I187">
        <v>0</v>
      </c>
    </row>
    <row r="188" spans="1:9" x14ac:dyDescent="0.25">
      <c r="A188" s="5" t="str">
        <f>TrendSheetPrdData[[#This Row],[Population]]&amp;TrendSheetPrdData[[#This Row],[Cost Basis]]&amp;TrendSheetPrdData[[#This Row],[Period]]&amp;TrendSheetPrdData[[#This Row],[Trend]]</f>
        <v>EMPLOYEESAllowed2017-05-01Office Based MRIs per 1k</v>
      </c>
      <c r="B188" t="s">
        <v>90</v>
      </c>
      <c r="C188" t="s">
        <v>90</v>
      </c>
      <c r="D188" t="s">
        <v>91</v>
      </c>
      <c r="E188" s="1" t="s">
        <v>110</v>
      </c>
      <c r="F188" t="s">
        <v>108</v>
      </c>
      <c r="G188" t="s">
        <v>22</v>
      </c>
      <c r="H188">
        <v>11</v>
      </c>
      <c r="I188">
        <v>0</v>
      </c>
    </row>
    <row r="189" spans="1:9" x14ac:dyDescent="0.25">
      <c r="A189" s="5" t="str">
        <f>TrendSheetPrdData[[#This Row],[Population]]&amp;TrendSheetPrdData[[#This Row],[Cost Basis]]&amp;TrendSheetPrdData[[#This Row],[Period]]&amp;TrendSheetPrdData[[#This Row],[Trend]]</f>
        <v>EMPLOYEESAllowed2016-01-01Office Based CTs per 1k</v>
      </c>
      <c r="B189" t="s">
        <v>90</v>
      </c>
      <c r="C189" t="s">
        <v>90</v>
      </c>
      <c r="D189" t="s">
        <v>91</v>
      </c>
      <c r="E189" s="1" t="s">
        <v>92</v>
      </c>
      <c r="F189" t="s">
        <v>93</v>
      </c>
      <c r="G189" t="s">
        <v>23</v>
      </c>
      <c r="H189">
        <v>12</v>
      </c>
      <c r="I189">
        <v>0</v>
      </c>
    </row>
    <row r="190" spans="1:9" x14ac:dyDescent="0.25">
      <c r="A190" s="5" t="str">
        <f>TrendSheetPrdData[[#This Row],[Population]]&amp;TrendSheetPrdData[[#This Row],[Cost Basis]]&amp;TrendSheetPrdData[[#This Row],[Period]]&amp;TrendSheetPrdData[[#This Row],[Trend]]</f>
        <v>EMPLOYEESAllowed2016-02-01Office Based CTs per 1k</v>
      </c>
      <c r="B190" t="s">
        <v>90</v>
      </c>
      <c r="C190" t="s">
        <v>90</v>
      </c>
      <c r="D190" t="s">
        <v>91</v>
      </c>
      <c r="E190" s="1" t="s">
        <v>94</v>
      </c>
      <c r="F190" t="s">
        <v>93</v>
      </c>
      <c r="G190" t="s">
        <v>23</v>
      </c>
      <c r="H190">
        <v>12</v>
      </c>
      <c r="I190">
        <v>5</v>
      </c>
    </row>
    <row r="191" spans="1:9" x14ac:dyDescent="0.25">
      <c r="A191" s="5" t="str">
        <f>TrendSheetPrdData[[#This Row],[Population]]&amp;TrendSheetPrdData[[#This Row],[Cost Basis]]&amp;TrendSheetPrdData[[#This Row],[Period]]&amp;TrendSheetPrdData[[#This Row],[Trend]]</f>
        <v>EMPLOYEESAllowed2016-03-01Office Based CTs per 1k</v>
      </c>
      <c r="B191" t="s">
        <v>90</v>
      </c>
      <c r="C191" t="s">
        <v>90</v>
      </c>
      <c r="D191" t="s">
        <v>91</v>
      </c>
      <c r="E191" s="1" t="s">
        <v>95</v>
      </c>
      <c r="F191" t="s">
        <v>93</v>
      </c>
      <c r="G191" t="s">
        <v>23</v>
      </c>
      <c r="H191">
        <v>12</v>
      </c>
      <c r="I191">
        <v>5</v>
      </c>
    </row>
    <row r="192" spans="1:9" x14ac:dyDescent="0.25">
      <c r="A192" s="5" t="str">
        <f>TrendSheetPrdData[[#This Row],[Population]]&amp;TrendSheetPrdData[[#This Row],[Cost Basis]]&amp;TrendSheetPrdData[[#This Row],[Period]]&amp;TrendSheetPrdData[[#This Row],[Trend]]</f>
        <v>EMPLOYEESAllowed2016-04-01Office Based CTs per 1k</v>
      </c>
      <c r="B192" t="s">
        <v>90</v>
      </c>
      <c r="C192" t="s">
        <v>90</v>
      </c>
      <c r="D192" t="s">
        <v>91</v>
      </c>
      <c r="E192" s="1" t="s">
        <v>96</v>
      </c>
      <c r="F192" t="s">
        <v>93</v>
      </c>
      <c r="G192" t="s">
        <v>23</v>
      </c>
      <c r="H192">
        <v>12</v>
      </c>
      <c r="I192">
        <v>9</v>
      </c>
    </row>
    <row r="193" spans="1:9" x14ac:dyDescent="0.25">
      <c r="A193" s="5" t="str">
        <f>TrendSheetPrdData[[#This Row],[Population]]&amp;TrendSheetPrdData[[#This Row],[Cost Basis]]&amp;TrendSheetPrdData[[#This Row],[Period]]&amp;TrendSheetPrdData[[#This Row],[Trend]]</f>
        <v>EMPLOYEESAllowed2016-05-01Office Based CTs per 1k</v>
      </c>
      <c r="B193" t="s">
        <v>90</v>
      </c>
      <c r="C193" t="s">
        <v>90</v>
      </c>
      <c r="D193" t="s">
        <v>91</v>
      </c>
      <c r="E193" s="1" t="s">
        <v>97</v>
      </c>
      <c r="F193" t="s">
        <v>93</v>
      </c>
      <c r="G193" t="s">
        <v>23</v>
      </c>
      <c r="H193">
        <v>12</v>
      </c>
      <c r="I193">
        <v>0</v>
      </c>
    </row>
    <row r="194" spans="1:9" x14ac:dyDescent="0.25">
      <c r="A194" s="5" t="str">
        <f>TrendSheetPrdData[[#This Row],[Population]]&amp;TrendSheetPrdData[[#This Row],[Cost Basis]]&amp;TrendSheetPrdData[[#This Row],[Period]]&amp;TrendSheetPrdData[[#This Row],[Trend]]</f>
        <v>EMPLOYEESAllowed2016-06-01Office Based CTs per 1k</v>
      </c>
      <c r="B194" t="s">
        <v>90</v>
      </c>
      <c r="C194" t="s">
        <v>90</v>
      </c>
      <c r="D194" t="s">
        <v>91</v>
      </c>
      <c r="E194" s="1" t="s">
        <v>98</v>
      </c>
      <c r="F194" t="s">
        <v>93</v>
      </c>
      <c r="G194" t="s">
        <v>23</v>
      </c>
      <c r="H194">
        <v>12</v>
      </c>
      <c r="I194">
        <v>0</v>
      </c>
    </row>
    <row r="195" spans="1:9" x14ac:dyDescent="0.25">
      <c r="A195" s="5" t="str">
        <f>TrendSheetPrdData[[#This Row],[Population]]&amp;TrendSheetPrdData[[#This Row],[Cost Basis]]&amp;TrendSheetPrdData[[#This Row],[Period]]&amp;TrendSheetPrdData[[#This Row],[Trend]]</f>
        <v>EMPLOYEESAllowed2016-07-01Office Based CTs per 1k</v>
      </c>
      <c r="B195" t="s">
        <v>90</v>
      </c>
      <c r="C195" t="s">
        <v>90</v>
      </c>
      <c r="D195" t="s">
        <v>91</v>
      </c>
      <c r="E195" s="1" t="s">
        <v>99</v>
      </c>
      <c r="F195" t="s">
        <v>93</v>
      </c>
      <c r="G195" t="s">
        <v>23</v>
      </c>
      <c r="H195">
        <v>12</v>
      </c>
      <c r="I195">
        <v>0</v>
      </c>
    </row>
    <row r="196" spans="1:9" x14ac:dyDescent="0.25">
      <c r="A196" s="5" t="str">
        <f>TrendSheetPrdData[[#This Row],[Population]]&amp;TrendSheetPrdData[[#This Row],[Cost Basis]]&amp;TrendSheetPrdData[[#This Row],[Period]]&amp;TrendSheetPrdData[[#This Row],[Trend]]</f>
        <v>EMPLOYEESAllowed2016-08-01Office Based CTs per 1k</v>
      </c>
      <c r="B196" t="s">
        <v>90</v>
      </c>
      <c r="C196" t="s">
        <v>90</v>
      </c>
      <c r="D196" t="s">
        <v>91</v>
      </c>
      <c r="E196" s="1" t="s">
        <v>100</v>
      </c>
      <c r="F196" t="s">
        <v>93</v>
      </c>
      <c r="G196" t="s">
        <v>23</v>
      </c>
      <c r="H196">
        <v>12</v>
      </c>
      <c r="I196">
        <v>0</v>
      </c>
    </row>
    <row r="197" spans="1:9" x14ac:dyDescent="0.25">
      <c r="A197" s="5" t="str">
        <f>TrendSheetPrdData[[#This Row],[Population]]&amp;TrendSheetPrdData[[#This Row],[Cost Basis]]&amp;TrendSheetPrdData[[#This Row],[Period]]&amp;TrendSheetPrdData[[#This Row],[Trend]]</f>
        <v>EMPLOYEESAllowed2016-09-01Office Based CTs per 1k</v>
      </c>
      <c r="B197" t="s">
        <v>90</v>
      </c>
      <c r="C197" t="s">
        <v>90</v>
      </c>
      <c r="D197" t="s">
        <v>91</v>
      </c>
      <c r="E197" s="1" t="s">
        <v>101</v>
      </c>
      <c r="F197" t="s">
        <v>93</v>
      </c>
      <c r="G197" t="s">
        <v>23</v>
      </c>
      <c r="H197">
        <v>12</v>
      </c>
      <c r="I197">
        <v>0</v>
      </c>
    </row>
    <row r="198" spans="1:9" x14ac:dyDescent="0.25">
      <c r="A198" s="5" t="str">
        <f>TrendSheetPrdData[[#This Row],[Population]]&amp;TrendSheetPrdData[[#This Row],[Cost Basis]]&amp;TrendSheetPrdData[[#This Row],[Period]]&amp;TrendSheetPrdData[[#This Row],[Trend]]</f>
        <v>EMPLOYEESAllowed2016-10-01Office Based CTs per 1k</v>
      </c>
      <c r="B198" t="s">
        <v>90</v>
      </c>
      <c r="C198" t="s">
        <v>90</v>
      </c>
      <c r="D198" t="s">
        <v>91</v>
      </c>
      <c r="E198" s="1" t="s">
        <v>102</v>
      </c>
      <c r="F198" t="s">
        <v>93</v>
      </c>
      <c r="G198" t="s">
        <v>23</v>
      </c>
      <c r="H198">
        <v>12</v>
      </c>
      <c r="I198">
        <v>0</v>
      </c>
    </row>
    <row r="199" spans="1:9" x14ac:dyDescent="0.25">
      <c r="A199" s="5" t="str">
        <f>TrendSheetPrdData[[#This Row],[Population]]&amp;TrendSheetPrdData[[#This Row],[Cost Basis]]&amp;TrendSheetPrdData[[#This Row],[Period]]&amp;TrendSheetPrdData[[#This Row],[Trend]]</f>
        <v>EMPLOYEESAllowed2016-11-01Office Based CTs per 1k</v>
      </c>
      <c r="B199" t="s">
        <v>90</v>
      </c>
      <c r="C199" t="s">
        <v>90</v>
      </c>
      <c r="D199" t="s">
        <v>91</v>
      </c>
      <c r="E199" s="1" t="s">
        <v>103</v>
      </c>
      <c r="F199" t="s">
        <v>93</v>
      </c>
      <c r="G199" t="s">
        <v>23</v>
      </c>
      <c r="H199">
        <v>12</v>
      </c>
      <c r="I199">
        <v>0</v>
      </c>
    </row>
    <row r="200" spans="1:9" x14ac:dyDescent="0.25">
      <c r="A200" s="5" t="str">
        <f>TrendSheetPrdData[[#This Row],[Population]]&amp;TrendSheetPrdData[[#This Row],[Cost Basis]]&amp;TrendSheetPrdData[[#This Row],[Period]]&amp;TrendSheetPrdData[[#This Row],[Trend]]</f>
        <v>EMPLOYEESAllowed2016-12-01Office Based CTs per 1k</v>
      </c>
      <c r="B200" t="s">
        <v>90</v>
      </c>
      <c r="C200" t="s">
        <v>90</v>
      </c>
      <c r="D200" t="s">
        <v>91</v>
      </c>
      <c r="E200" s="1" t="s">
        <v>104</v>
      </c>
      <c r="F200" t="s">
        <v>93</v>
      </c>
      <c r="G200" t="s">
        <v>23</v>
      </c>
      <c r="H200">
        <v>12</v>
      </c>
      <c r="I200">
        <v>0</v>
      </c>
    </row>
    <row r="201" spans="1:9" x14ac:dyDescent="0.25">
      <c r="A201" s="5" t="str">
        <f>TrendSheetPrdData[[#This Row],[Population]]&amp;TrendSheetPrdData[[#This Row],[Cost Basis]]&amp;TrendSheetPrdData[[#This Row],[Period]]&amp;TrendSheetPrdData[[#This Row],[Trend]]</f>
        <v>EMPLOYEESAllowed2017-01-01Office Based CTs per 1k</v>
      </c>
      <c r="B201" t="s">
        <v>90</v>
      </c>
      <c r="C201" t="s">
        <v>90</v>
      </c>
      <c r="D201" t="s">
        <v>91</v>
      </c>
      <c r="E201" s="1" t="s">
        <v>105</v>
      </c>
      <c r="F201" t="s">
        <v>93</v>
      </c>
      <c r="G201" t="s">
        <v>23</v>
      </c>
      <c r="H201">
        <v>12</v>
      </c>
      <c r="I201">
        <v>0</v>
      </c>
    </row>
    <row r="202" spans="1:9" x14ac:dyDescent="0.25">
      <c r="A202" s="5" t="str">
        <f>TrendSheetPrdData[[#This Row],[Population]]&amp;TrendSheetPrdData[[#This Row],[Cost Basis]]&amp;TrendSheetPrdData[[#This Row],[Period]]&amp;TrendSheetPrdData[[#This Row],[Trend]]</f>
        <v>EMPLOYEESAllowed2017-02-01Office Based CTs per 1k</v>
      </c>
      <c r="B202" t="s">
        <v>90</v>
      </c>
      <c r="C202" t="s">
        <v>90</v>
      </c>
      <c r="D202" t="s">
        <v>91</v>
      </c>
      <c r="E202" s="1" t="s">
        <v>106</v>
      </c>
      <c r="F202" t="s">
        <v>93</v>
      </c>
      <c r="G202" t="s">
        <v>23</v>
      </c>
      <c r="H202">
        <v>12</v>
      </c>
      <c r="I202">
        <v>0</v>
      </c>
    </row>
    <row r="203" spans="1:9" x14ac:dyDescent="0.25">
      <c r="A203" s="5" t="str">
        <f>TrendSheetPrdData[[#This Row],[Population]]&amp;TrendSheetPrdData[[#This Row],[Cost Basis]]&amp;TrendSheetPrdData[[#This Row],[Period]]&amp;TrendSheetPrdData[[#This Row],[Trend]]</f>
        <v>EMPLOYEESAllowed2017-03-01Office Based CTs per 1k</v>
      </c>
      <c r="B203" t="s">
        <v>90</v>
      </c>
      <c r="C203" t="s">
        <v>90</v>
      </c>
      <c r="D203" t="s">
        <v>91</v>
      </c>
      <c r="E203" s="1" t="s">
        <v>107</v>
      </c>
      <c r="F203" t="s">
        <v>108</v>
      </c>
      <c r="G203" t="s">
        <v>23</v>
      </c>
      <c r="H203">
        <v>12</v>
      </c>
      <c r="I203">
        <v>0</v>
      </c>
    </row>
    <row r="204" spans="1:9" x14ac:dyDescent="0.25">
      <c r="A204" s="5" t="str">
        <f>TrendSheetPrdData[[#This Row],[Population]]&amp;TrendSheetPrdData[[#This Row],[Cost Basis]]&amp;TrendSheetPrdData[[#This Row],[Period]]&amp;TrendSheetPrdData[[#This Row],[Trend]]</f>
        <v>EMPLOYEESAllowed2017-04-01Office Based CTs per 1k</v>
      </c>
      <c r="B204" t="s">
        <v>90</v>
      </c>
      <c r="C204" t="s">
        <v>90</v>
      </c>
      <c r="D204" t="s">
        <v>91</v>
      </c>
      <c r="E204" s="1" t="s">
        <v>109</v>
      </c>
      <c r="F204" t="s">
        <v>108</v>
      </c>
      <c r="G204" t="s">
        <v>23</v>
      </c>
      <c r="H204">
        <v>12</v>
      </c>
      <c r="I204">
        <v>0</v>
      </c>
    </row>
    <row r="205" spans="1:9" x14ac:dyDescent="0.25">
      <c r="A205" s="5" t="str">
        <f>TrendSheetPrdData[[#This Row],[Population]]&amp;TrendSheetPrdData[[#This Row],[Cost Basis]]&amp;TrendSheetPrdData[[#This Row],[Period]]&amp;TrendSheetPrdData[[#This Row],[Trend]]</f>
        <v>EMPLOYEESAllowed2017-05-01Office Based CTs per 1k</v>
      </c>
      <c r="B205" t="s">
        <v>90</v>
      </c>
      <c r="C205" t="s">
        <v>90</v>
      </c>
      <c r="D205" t="s">
        <v>91</v>
      </c>
      <c r="E205" s="1" t="s">
        <v>110</v>
      </c>
      <c r="F205" t="s">
        <v>108</v>
      </c>
      <c r="G205" t="s">
        <v>23</v>
      </c>
      <c r="H205">
        <v>12</v>
      </c>
      <c r="I205">
        <v>0</v>
      </c>
    </row>
    <row r="206" spans="1:9" x14ac:dyDescent="0.25">
      <c r="A206" s="5" t="str">
        <f>TrendSheetPrdData[[#This Row],[Population]]&amp;TrendSheetPrdData[[#This Row],[Cost Basis]]&amp;TrendSheetPrdData[[#This Row],[Period]]&amp;TrendSheetPrdData[[#This Row],[Trend]]</f>
        <v>EMPLOYEESAllowed2016-01-01ED Cost</v>
      </c>
      <c r="B206" t="s">
        <v>90</v>
      </c>
      <c r="C206" t="s">
        <v>90</v>
      </c>
      <c r="D206" t="s">
        <v>91</v>
      </c>
      <c r="E206" s="1" t="s">
        <v>92</v>
      </c>
      <c r="F206" t="s">
        <v>93</v>
      </c>
      <c r="G206" t="s">
        <v>24</v>
      </c>
      <c r="H206">
        <v>13</v>
      </c>
      <c r="I206">
        <v>127602</v>
      </c>
    </row>
    <row r="207" spans="1:9" x14ac:dyDescent="0.25">
      <c r="A207" s="5" t="str">
        <f>TrendSheetPrdData[[#This Row],[Population]]&amp;TrendSheetPrdData[[#This Row],[Cost Basis]]&amp;TrendSheetPrdData[[#This Row],[Period]]&amp;TrendSheetPrdData[[#This Row],[Trend]]</f>
        <v>EMPLOYEESAllowed2016-02-01ED Cost</v>
      </c>
      <c r="B207" t="s">
        <v>90</v>
      </c>
      <c r="C207" t="s">
        <v>90</v>
      </c>
      <c r="D207" t="s">
        <v>91</v>
      </c>
      <c r="E207" s="1" t="s">
        <v>94</v>
      </c>
      <c r="F207" t="s">
        <v>93</v>
      </c>
      <c r="G207" t="s">
        <v>24</v>
      </c>
      <c r="H207">
        <v>13</v>
      </c>
      <c r="I207">
        <v>88976</v>
      </c>
    </row>
    <row r="208" spans="1:9" x14ac:dyDescent="0.25">
      <c r="A208" s="5" t="str">
        <f>TrendSheetPrdData[[#This Row],[Population]]&amp;TrendSheetPrdData[[#This Row],[Cost Basis]]&amp;TrendSheetPrdData[[#This Row],[Period]]&amp;TrendSheetPrdData[[#This Row],[Trend]]</f>
        <v>EMPLOYEESAllowed2016-03-01ED Cost</v>
      </c>
      <c r="B208" t="s">
        <v>90</v>
      </c>
      <c r="C208" t="s">
        <v>90</v>
      </c>
      <c r="D208" t="s">
        <v>91</v>
      </c>
      <c r="E208" s="1" t="s">
        <v>95</v>
      </c>
      <c r="F208" t="s">
        <v>93</v>
      </c>
      <c r="G208" t="s">
        <v>24</v>
      </c>
      <c r="H208">
        <v>13</v>
      </c>
      <c r="I208">
        <v>91366</v>
      </c>
    </row>
    <row r="209" spans="1:9" x14ac:dyDescent="0.25">
      <c r="A209" s="5" t="str">
        <f>TrendSheetPrdData[[#This Row],[Population]]&amp;TrendSheetPrdData[[#This Row],[Cost Basis]]&amp;TrendSheetPrdData[[#This Row],[Period]]&amp;TrendSheetPrdData[[#This Row],[Trend]]</f>
        <v>EMPLOYEESAllowed2016-04-01ED Cost</v>
      </c>
      <c r="B209" t="s">
        <v>90</v>
      </c>
      <c r="C209" t="s">
        <v>90</v>
      </c>
      <c r="D209" t="s">
        <v>91</v>
      </c>
      <c r="E209" s="1" t="s">
        <v>96</v>
      </c>
      <c r="F209" t="s">
        <v>93</v>
      </c>
      <c r="G209" t="s">
        <v>24</v>
      </c>
      <c r="H209">
        <v>13</v>
      </c>
      <c r="I209">
        <v>113524</v>
      </c>
    </row>
    <row r="210" spans="1:9" x14ac:dyDescent="0.25">
      <c r="A210" s="5" t="str">
        <f>TrendSheetPrdData[[#This Row],[Population]]&amp;TrendSheetPrdData[[#This Row],[Cost Basis]]&amp;TrendSheetPrdData[[#This Row],[Period]]&amp;TrendSheetPrdData[[#This Row],[Trend]]</f>
        <v>EMPLOYEESAllowed2016-05-01ED Cost</v>
      </c>
      <c r="B210" t="s">
        <v>90</v>
      </c>
      <c r="C210" t="s">
        <v>90</v>
      </c>
      <c r="D210" t="s">
        <v>91</v>
      </c>
      <c r="E210" s="1" t="s">
        <v>97</v>
      </c>
      <c r="F210" t="s">
        <v>93</v>
      </c>
      <c r="G210" t="s">
        <v>24</v>
      </c>
      <c r="H210">
        <v>13</v>
      </c>
      <c r="I210">
        <v>55847</v>
      </c>
    </row>
    <row r="211" spans="1:9" x14ac:dyDescent="0.25">
      <c r="A211" s="5" t="str">
        <f>TrendSheetPrdData[[#This Row],[Population]]&amp;TrendSheetPrdData[[#This Row],[Cost Basis]]&amp;TrendSheetPrdData[[#This Row],[Period]]&amp;TrendSheetPrdData[[#This Row],[Trend]]</f>
        <v>EMPLOYEESAllowed2016-06-01ED Cost</v>
      </c>
      <c r="B211" t="s">
        <v>90</v>
      </c>
      <c r="C211" t="s">
        <v>90</v>
      </c>
      <c r="D211" t="s">
        <v>91</v>
      </c>
      <c r="E211" s="1" t="s">
        <v>98</v>
      </c>
      <c r="F211" t="s">
        <v>93</v>
      </c>
      <c r="G211" t="s">
        <v>24</v>
      </c>
      <c r="H211">
        <v>13</v>
      </c>
      <c r="I211">
        <v>70561</v>
      </c>
    </row>
    <row r="212" spans="1:9" x14ac:dyDescent="0.25">
      <c r="A212" s="5" t="str">
        <f>TrendSheetPrdData[[#This Row],[Population]]&amp;TrendSheetPrdData[[#This Row],[Cost Basis]]&amp;TrendSheetPrdData[[#This Row],[Period]]&amp;TrendSheetPrdData[[#This Row],[Trend]]</f>
        <v>EMPLOYEESAllowed2016-07-01ED Cost</v>
      </c>
      <c r="B212" t="s">
        <v>90</v>
      </c>
      <c r="C212" t="s">
        <v>90</v>
      </c>
      <c r="D212" t="s">
        <v>91</v>
      </c>
      <c r="E212" s="1" t="s">
        <v>99</v>
      </c>
      <c r="F212" t="s">
        <v>93</v>
      </c>
      <c r="G212" t="s">
        <v>24</v>
      </c>
      <c r="H212">
        <v>13</v>
      </c>
      <c r="I212">
        <v>126002</v>
      </c>
    </row>
    <row r="213" spans="1:9" x14ac:dyDescent="0.25">
      <c r="A213" s="5" t="str">
        <f>TrendSheetPrdData[[#This Row],[Population]]&amp;TrendSheetPrdData[[#This Row],[Cost Basis]]&amp;TrendSheetPrdData[[#This Row],[Period]]&amp;TrendSheetPrdData[[#This Row],[Trend]]</f>
        <v>EMPLOYEESAllowed2016-08-01ED Cost</v>
      </c>
      <c r="B213" t="s">
        <v>90</v>
      </c>
      <c r="C213" t="s">
        <v>90</v>
      </c>
      <c r="D213" t="s">
        <v>91</v>
      </c>
      <c r="E213" s="1" t="s">
        <v>100</v>
      </c>
      <c r="F213" t="s">
        <v>93</v>
      </c>
      <c r="G213" t="s">
        <v>24</v>
      </c>
      <c r="H213">
        <v>13</v>
      </c>
      <c r="I213">
        <v>62469</v>
      </c>
    </row>
    <row r="214" spans="1:9" x14ac:dyDescent="0.25">
      <c r="A214" s="5" t="str">
        <f>TrendSheetPrdData[[#This Row],[Population]]&amp;TrendSheetPrdData[[#This Row],[Cost Basis]]&amp;TrendSheetPrdData[[#This Row],[Period]]&amp;TrendSheetPrdData[[#This Row],[Trend]]</f>
        <v>EMPLOYEESAllowed2016-09-01ED Cost</v>
      </c>
      <c r="B214" t="s">
        <v>90</v>
      </c>
      <c r="C214" t="s">
        <v>90</v>
      </c>
      <c r="D214" t="s">
        <v>91</v>
      </c>
      <c r="E214" s="1" t="s">
        <v>101</v>
      </c>
      <c r="F214" t="s">
        <v>93</v>
      </c>
      <c r="G214" t="s">
        <v>24</v>
      </c>
      <c r="H214">
        <v>13</v>
      </c>
      <c r="I214">
        <v>67990</v>
      </c>
    </row>
    <row r="215" spans="1:9" x14ac:dyDescent="0.25">
      <c r="A215" s="5" t="str">
        <f>TrendSheetPrdData[[#This Row],[Population]]&amp;TrendSheetPrdData[[#This Row],[Cost Basis]]&amp;TrendSheetPrdData[[#This Row],[Period]]&amp;TrendSheetPrdData[[#This Row],[Trend]]</f>
        <v>EMPLOYEESAllowed2016-10-01ED Cost</v>
      </c>
      <c r="B215" t="s">
        <v>90</v>
      </c>
      <c r="C215" t="s">
        <v>90</v>
      </c>
      <c r="D215" t="s">
        <v>91</v>
      </c>
      <c r="E215" s="1" t="s">
        <v>102</v>
      </c>
      <c r="F215" t="s">
        <v>93</v>
      </c>
      <c r="G215" t="s">
        <v>24</v>
      </c>
      <c r="H215">
        <v>13</v>
      </c>
      <c r="I215">
        <v>61532</v>
      </c>
    </row>
    <row r="216" spans="1:9" x14ac:dyDescent="0.25">
      <c r="A216" s="5" t="str">
        <f>TrendSheetPrdData[[#This Row],[Population]]&amp;TrendSheetPrdData[[#This Row],[Cost Basis]]&amp;TrendSheetPrdData[[#This Row],[Period]]&amp;TrendSheetPrdData[[#This Row],[Trend]]</f>
        <v>EMPLOYEESAllowed2016-11-01ED Cost</v>
      </c>
      <c r="B216" t="s">
        <v>90</v>
      </c>
      <c r="C216" t="s">
        <v>90</v>
      </c>
      <c r="D216" t="s">
        <v>91</v>
      </c>
      <c r="E216" s="1" t="s">
        <v>103</v>
      </c>
      <c r="F216" t="s">
        <v>93</v>
      </c>
      <c r="G216" t="s">
        <v>24</v>
      </c>
      <c r="H216">
        <v>13</v>
      </c>
      <c r="I216">
        <v>86858</v>
      </c>
    </row>
    <row r="217" spans="1:9" x14ac:dyDescent="0.25">
      <c r="A217" s="5" t="str">
        <f>TrendSheetPrdData[[#This Row],[Population]]&amp;TrendSheetPrdData[[#This Row],[Cost Basis]]&amp;TrendSheetPrdData[[#This Row],[Period]]&amp;TrendSheetPrdData[[#This Row],[Trend]]</f>
        <v>EMPLOYEESAllowed2016-12-01ED Cost</v>
      </c>
      <c r="B217" t="s">
        <v>90</v>
      </c>
      <c r="C217" t="s">
        <v>90</v>
      </c>
      <c r="D217" t="s">
        <v>91</v>
      </c>
      <c r="E217" s="1" t="s">
        <v>104</v>
      </c>
      <c r="F217" t="s">
        <v>93</v>
      </c>
      <c r="G217" t="s">
        <v>24</v>
      </c>
      <c r="H217">
        <v>13</v>
      </c>
      <c r="I217">
        <v>75212</v>
      </c>
    </row>
    <row r="218" spans="1:9" x14ac:dyDescent="0.25">
      <c r="A218" s="5" t="str">
        <f>TrendSheetPrdData[[#This Row],[Population]]&amp;TrendSheetPrdData[[#This Row],[Cost Basis]]&amp;TrendSheetPrdData[[#This Row],[Period]]&amp;TrendSheetPrdData[[#This Row],[Trend]]</f>
        <v>EMPLOYEESAllowed2017-01-01ED Cost</v>
      </c>
      <c r="B218" t="s">
        <v>90</v>
      </c>
      <c r="C218" t="s">
        <v>90</v>
      </c>
      <c r="D218" t="s">
        <v>91</v>
      </c>
      <c r="E218" s="1" t="s">
        <v>105</v>
      </c>
      <c r="F218" t="s">
        <v>93</v>
      </c>
      <c r="G218" t="s">
        <v>24</v>
      </c>
      <c r="H218">
        <v>13</v>
      </c>
      <c r="I218">
        <v>82690</v>
      </c>
    </row>
    <row r="219" spans="1:9" x14ac:dyDescent="0.25">
      <c r="A219" s="5" t="str">
        <f>TrendSheetPrdData[[#This Row],[Population]]&amp;TrendSheetPrdData[[#This Row],[Cost Basis]]&amp;TrendSheetPrdData[[#This Row],[Period]]&amp;TrendSheetPrdData[[#This Row],[Trend]]</f>
        <v>EMPLOYEESAllowed2017-02-01ED Cost</v>
      </c>
      <c r="B219" t="s">
        <v>90</v>
      </c>
      <c r="C219" t="s">
        <v>90</v>
      </c>
      <c r="D219" t="s">
        <v>91</v>
      </c>
      <c r="E219" s="1" t="s">
        <v>106</v>
      </c>
      <c r="F219" t="s">
        <v>93</v>
      </c>
      <c r="G219" t="s">
        <v>24</v>
      </c>
      <c r="H219">
        <v>13</v>
      </c>
      <c r="I219">
        <v>70924</v>
      </c>
    </row>
    <row r="220" spans="1:9" x14ac:dyDescent="0.25">
      <c r="A220" s="5" t="str">
        <f>TrendSheetPrdData[[#This Row],[Population]]&amp;TrendSheetPrdData[[#This Row],[Cost Basis]]&amp;TrendSheetPrdData[[#This Row],[Period]]&amp;TrendSheetPrdData[[#This Row],[Trend]]</f>
        <v>EMPLOYEESAllowed2017-03-01ED Cost</v>
      </c>
      <c r="B220" t="s">
        <v>90</v>
      </c>
      <c r="C220" t="s">
        <v>90</v>
      </c>
      <c r="D220" t="s">
        <v>91</v>
      </c>
      <c r="E220" s="1" t="s">
        <v>107</v>
      </c>
      <c r="F220" t="s">
        <v>108</v>
      </c>
      <c r="G220" t="s">
        <v>24</v>
      </c>
      <c r="H220">
        <v>13</v>
      </c>
      <c r="I220">
        <v>123806</v>
      </c>
    </row>
    <row r="221" spans="1:9" x14ac:dyDescent="0.25">
      <c r="A221" s="5" t="str">
        <f>TrendSheetPrdData[[#This Row],[Population]]&amp;TrendSheetPrdData[[#This Row],[Cost Basis]]&amp;TrendSheetPrdData[[#This Row],[Period]]&amp;TrendSheetPrdData[[#This Row],[Trend]]</f>
        <v>EMPLOYEESAllowed2017-04-01ED Cost</v>
      </c>
      <c r="B221" t="s">
        <v>90</v>
      </c>
      <c r="C221" t="s">
        <v>90</v>
      </c>
      <c r="D221" t="s">
        <v>91</v>
      </c>
      <c r="E221" s="1" t="s">
        <v>109</v>
      </c>
      <c r="F221" t="s">
        <v>108</v>
      </c>
      <c r="G221" t="s">
        <v>24</v>
      </c>
      <c r="H221">
        <v>13</v>
      </c>
      <c r="I221">
        <v>66874</v>
      </c>
    </row>
    <row r="222" spans="1:9" x14ac:dyDescent="0.25">
      <c r="A222" s="5" t="str">
        <f>TrendSheetPrdData[[#This Row],[Population]]&amp;TrendSheetPrdData[[#This Row],[Cost Basis]]&amp;TrendSheetPrdData[[#This Row],[Period]]&amp;TrendSheetPrdData[[#This Row],[Trend]]</f>
        <v>EMPLOYEESAllowed2017-05-01ED Cost</v>
      </c>
      <c r="B222" t="s">
        <v>90</v>
      </c>
      <c r="C222" t="s">
        <v>90</v>
      </c>
      <c r="D222" t="s">
        <v>91</v>
      </c>
      <c r="E222" s="1" t="s">
        <v>110</v>
      </c>
      <c r="F222" t="s">
        <v>108</v>
      </c>
      <c r="G222" t="s">
        <v>24</v>
      </c>
      <c r="H222">
        <v>13</v>
      </c>
      <c r="I222">
        <v>64171</v>
      </c>
    </row>
    <row r="223" spans="1:9" x14ac:dyDescent="0.25">
      <c r="A223" s="5" t="str">
        <f>TrendSheetPrdData[[#This Row],[Population]]&amp;TrendSheetPrdData[[#This Row],[Cost Basis]]&amp;TrendSheetPrdData[[#This Row],[Period]]&amp;TrendSheetPrdData[[#This Row],[Trend]]</f>
        <v>EMPLOYEESAllowed2016-01-01ED Utilization</v>
      </c>
      <c r="B223" t="s">
        <v>90</v>
      </c>
      <c r="C223" t="s">
        <v>90</v>
      </c>
      <c r="D223" t="s">
        <v>91</v>
      </c>
      <c r="E223" s="1" t="s">
        <v>92</v>
      </c>
      <c r="F223" t="s">
        <v>93</v>
      </c>
      <c r="G223" t="s">
        <v>25</v>
      </c>
      <c r="H223">
        <v>14</v>
      </c>
      <c r="I223">
        <v>207</v>
      </c>
    </row>
    <row r="224" spans="1:9" x14ac:dyDescent="0.25">
      <c r="A224" s="5" t="str">
        <f>TrendSheetPrdData[[#This Row],[Population]]&amp;TrendSheetPrdData[[#This Row],[Cost Basis]]&amp;TrendSheetPrdData[[#This Row],[Period]]&amp;TrendSheetPrdData[[#This Row],[Trend]]</f>
        <v>EMPLOYEESAllowed2016-02-01ED Utilization</v>
      </c>
      <c r="B224" t="s">
        <v>90</v>
      </c>
      <c r="C224" t="s">
        <v>90</v>
      </c>
      <c r="D224" t="s">
        <v>91</v>
      </c>
      <c r="E224" s="1" t="s">
        <v>94</v>
      </c>
      <c r="F224" t="s">
        <v>93</v>
      </c>
      <c r="G224" t="s">
        <v>25</v>
      </c>
      <c r="H224">
        <v>14</v>
      </c>
      <c r="I224">
        <v>172</v>
      </c>
    </row>
    <row r="225" spans="1:9" x14ac:dyDescent="0.25">
      <c r="A225" s="5" t="str">
        <f>TrendSheetPrdData[[#This Row],[Population]]&amp;TrendSheetPrdData[[#This Row],[Cost Basis]]&amp;TrendSheetPrdData[[#This Row],[Period]]&amp;TrendSheetPrdData[[#This Row],[Trend]]</f>
        <v>EMPLOYEESAllowed2016-03-01ED Utilization</v>
      </c>
      <c r="B225" t="s">
        <v>90</v>
      </c>
      <c r="C225" t="s">
        <v>90</v>
      </c>
      <c r="D225" t="s">
        <v>91</v>
      </c>
      <c r="E225" s="1" t="s">
        <v>95</v>
      </c>
      <c r="F225" t="s">
        <v>93</v>
      </c>
      <c r="G225" t="s">
        <v>25</v>
      </c>
      <c r="H225">
        <v>14</v>
      </c>
      <c r="I225">
        <v>212</v>
      </c>
    </row>
    <row r="226" spans="1:9" x14ac:dyDescent="0.25">
      <c r="A226" s="5" t="str">
        <f>TrendSheetPrdData[[#This Row],[Population]]&amp;TrendSheetPrdData[[#This Row],[Cost Basis]]&amp;TrendSheetPrdData[[#This Row],[Period]]&amp;TrendSheetPrdData[[#This Row],[Trend]]</f>
        <v>EMPLOYEESAllowed2016-04-01ED Utilization</v>
      </c>
      <c r="B226" t="s">
        <v>90</v>
      </c>
      <c r="C226" t="s">
        <v>90</v>
      </c>
      <c r="D226" t="s">
        <v>91</v>
      </c>
      <c r="E226" s="1" t="s">
        <v>96</v>
      </c>
      <c r="F226" t="s">
        <v>93</v>
      </c>
      <c r="G226" t="s">
        <v>25</v>
      </c>
      <c r="H226">
        <v>14</v>
      </c>
      <c r="I226">
        <v>261</v>
      </c>
    </row>
    <row r="227" spans="1:9" x14ac:dyDescent="0.25">
      <c r="A227" s="5" t="str">
        <f>TrendSheetPrdData[[#This Row],[Population]]&amp;TrendSheetPrdData[[#This Row],[Cost Basis]]&amp;TrendSheetPrdData[[#This Row],[Period]]&amp;TrendSheetPrdData[[#This Row],[Trend]]</f>
        <v>EMPLOYEESAllowed2016-05-01ED Utilization</v>
      </c>
      <c r="B227" t="s">
        <v>90</v>
      </c>
      <c r="C227" t="s">
        <v>90</v>
      </c>
      <c r="D227" t="s">
        <v>91</v>
      </c>
      <c r="E227" s="1" t="s">
        <v>97</v>
      </c>
      <c r="F227" t="s">
        <v>93</v>
      </c>
      <c r="G227" t="s">
        <v>25</v>
      </c>
      <c r="H227">
        <v>14</v>
      </c>
      <c r="I227">
        <v>156</v>
      </c>
    </row>
    <row r="228" spans="1:9" x14ac:dyDescent="0.25">
      <c r="A228" s="5" t="str">
        <f>TrendSheetPrdData[[#This Row],[Population]]&amp;TrendSheetPrdData[[#This Row],[Cost Basis]]&amp;TrendSheetPrdData[[#This Row],[Period]]&amp;TrendSheetPrdData[[#This Row],[Trend]]</f>
        <v>EMPLOYEESAllowed2016-06-01ED Utilization</v>
      </c>
      <c r="B228" t="s">
        <v>90</v>
      </c>
      <c r="C228" t="s">
        <v>90</v>
      </c>
      <c r="D228" t="s">
        <v>91</v>
      </c>
      <c r="E228" s="1" t="s">
        <v>98</v>
      </c>
      <c r="F228" t="s">
        <v>93</v>
      </c>
      <c r="G228" t="s">
        <v>25</v>
      </c>
      <c r="H228">
        <v>14</v>
      </c>
      <c r="I228">
        <v>171</v>
      </c>
    </row>
    <row r="229" spans="1:9" x14ac:dyDescent="0.25">
      <c r="A229" s="5" t="str">
        <f>TrendSheetPrdData[[#This Row],[Population]]&amp;TrendSheetPrdData[[#This Row],[Cost Basis]]&amp;TrendSheetPrdData[[#This Row],[Period]]&amp;TrendSheetPrdData[[#This Row],[Trend]]</f>
        <v>EMPLOYEESAllowed2016-07-01ED Utilization</v>
      </c>
      <c r="B229" t="s">
        <v>90</v>
      </c>
      <c r="C229" t="s">
        <v>90</v>
      </c>
      <c r="D229" t="s">
        <v>91</v>
      </c>
      <c r="E229" s="1" t="s">
        <v>99</v>
      </c>
      <c r="F229" t="s">
        <v>93</v>
      </c>
      <c r="G229" t="s">
        <v>25</v>
      </c>
      <c r="H229">
        <v>14</v>
      </c>
      <c r="I229">
        <v>244</v>
      </c>
    </row>
    <row r="230" spans="1:9" x14ac:dyDescent="0.25">
      <c r="A230" s="5" t="str">
        <f>TrendSheetPrdData[[#This Row],[Population]]&amp;TrendSheetPrdData[[#This Row],[Cost Basis]]&amp;TrendSheetPrdData[[#This Row],[Period]]&amp;TrendSheetPrdData[[#This Row],[Trend]]</f>
        <v>EMPLOYEESAllowed2016-08-01ED Utilization</v>
      </c>
      <c r="B230" t="s">
        <v>90</v>
      </c>
      <c r="C230" t="s">
        <v>90</v>
      </c>
      <c r="D230" t="s">
        <v>91</v>
      </c>
      <c r="E230" s="1" t="s">
        <v>100</v>
      </c>
      <c r="F230" t="s">
        <v>93</v>
      </c>
      <c r="G230" t="s">
        <v>25</v>
      </c>
      <c r="H230">
        <v>14</v>
      </c>
      <c r="I230">
        <v>160</v>
      </c>
    </row>
    <row r="231" spans="1:9" x14ac:dyDescent="0.25">
      <c r="A231" s="5" t="str">
        <f>TrendSheetPrdData[[#This Row],[Population]]&amp;TrendSheetPrdData[[#This Row],[Cost Basis]]&amp;TrendSheetPrdData[[#This Row],[Period]]&amp;TrendSheetPrdData[[#This Row],[Trend]]</f>
        <v>EMPLOYEESAllowed2016-09-01ED Utilization</v>
      </c>
      <c r="B231" t="s">
        <v>90</v>
      </c>
      <c r="C231" t="s">
        <v>90</v>
      </c>
      <c r="D231" t="s">
        <v>91</v>
      </c>
      <c r="E231" s="1" t="s">
        <v>101</v>
      </c>
      <c r="F231" t="s">
        <v>93</v>
      </c>
      <c r="G231" t="s">
        <v>25</v>
      </c>
      <c r="H231">
        <v>14</v>
      </c>
      <c r="I231">
        <v>154</v>
      </c>
    </row>
    <row r="232" spans="1:9" x14ac:dyDescent="0.25">
      <c r="A232" s="5" t="str">
        <f>TrendSheetPrdData[[#This Row],[Population]]&amp;TrendSheetPrdData[[#This Row],[Cost Basis]]&amp;TrendSheetPrdData[[#This Row],[Period]]&amp;TrendSheetPrdData[[#This Row],[Trend]]</f>
        <v>EMPLOYEESAllowed2016-10-01ED Utilization</v>
      </c>
      <c r="B232" t="s">
        <v>90</v>
      </c>
      <c r="C232" t="s">
        <v>90</v>
      </c>
      <c r="D232" t="s">
        <v>91</v>
      </c>
      <c r="E232" s="1" t="s">
        <v>102</v>
      </c>
      <c r="F232" t="s">
        <v>93</v>
      </c>
      <c r="G232" t="s">
        <v>25</v>
      </c>
      <c r="H232">
        <v>14</v>
      </c>
      <c r="I232">
        <v>141</v>
      </c>
    </row>
    <row r="233" spans="1:9" x14ac:dyDescent="0.25">
      <c r="A233" s="5" t="str">
        <f>TrendSheetPrdData[[#This Row],[Population]]&amp;TrendSheetPrdData[[#This Row],[Cost Basis]]&amp;TrendSheetPrdData[[#This Row],[Period]]&amp;TrendSheetPrdData[[#This Row],[Trend]]</f>
        <v>EMPLOYEESAllowed2016-11-01ED Utilization</v>
      </c>
      <c r="B233" t="s">
        <v>90</v>
      </c>
      <c r="C233" t="s">
        <v>90</v>
      </c>
      <c r="D233" t="s">
        <v>91</v>
      </c>
      <c r="E233" s="1" t="s">
        <v>103</v>
      </c>
      <c r="F233" t="s">
        <v>93</v>
      </c>
      <c r="G233" t="s">
        <v>25</v>
      </c>
      <c r="H233">
        <v>14</v>
      </c>
      <c r="I233">
        <v>192</v>
      </c>
    </row>
    <row r="234" spans="1:9" x14ac:dyDescent="0.25">
      <c r="A234" s="5" t="str">
        <f>TrendSheetPrdData[[#This Row],[Population]]&amp;TrendSheetPrdData[[#This Row],[Cost Basis]]&amp;TrendSheetPrdData[[#This Row],[Period]]&amp;TrendSheetPrdData[[#This Row],[Trend]]</f>
        <v>EMPLOYEESAllowed2016-12-01ED Utilization</v>
      </c>
      <c r="B234" t="s">
        <v>90</v>
      </c>
      <c r="C234" t="s">
        <v>90</v>
      </c>
      <c r="D234" t="s">
        <v>91</v>
      </c>
      <c r="E234" s="1" t="s">
        <v>104</v>
      </c>
      <c r="F234" t="s">
        <v>93</v>
      </c>
      <c r="G234" t="s">
        <v>25</v>
      </c>
      <c r="H234">
        <v>14</v>
      </c>
      <c r="I234">
        <v>179</v>
      </c>
    </row>
    <row r="235" spans="1:9" x14ac:dyDescent="0.25">
      <c r="A235" s="5" t="str">
        <f>TrendSheetPrdData[[#This Row],[Population]]&amp;TrendSheetPrdData[[#This Row],[Cost Basis]]&amp;TrendSheetPrdData[[#This Row],[Period]]&amp;TrendSheetPrdData[[#This Row],[Trend]]</f>
        <v>EMPLOYEESAllowed2017-01-01ED Utilization</v>
      </c>
      <c r="B235" t="s">
        <v>90</v>
      </c>
      <c r="C235" t="s">
        <v>90</v>
      </c>
      <c r="D235" t="s">
        <v>91</v>
      </c>
      <c r="E235" s="1" t="s">
        <v>105</v>
      </c>
      <c r="F235" t="s">
        <v>93</v>
      </c>
      <c r="G235" t="s">
        <v>25</v>
      </c>
      <c r="H235">
        <v>14</v>
      </c>
      <c r="I235">
        <v>190</v>
      </c>
    </row>
    <row r="236" spans="1:9" x14ac:dyDescent="0.25">
      <c r="A236" s="5" t="str">
        <f>TrendSheetPrdData[[#This Row],[Population]]&amp;TrendSheetPrdData[[#This Row],[Cost Basis]]&amp;TrendSheetPrdData[[#This Row],[Period]]&amp;TrendSheetPrdData[[#This Row],[Trend]]</f>
        <v>EMPLOYEESAllowed2017-02-01ED Utilization</v>
      </c>
      <c r="B236" t="s">
        <v>90</v>
      </c>
      <c r="C236" t="s">
        <v>90</v>
      </c>
      <c r="D236" t="s">
        <v>91</v>
      </c>
      <c r="E236" s="1" t="s">
        <v>106</v>
      </c>
      <c r="F236" t="s">
        <v>93</v>
      </c>
      <c r="G236" t="s">
        <v>25</v>
      </c>
      <c r="H236">
        <v>14</v>
      </c>
      <c r="I236">
        <v>187</v>
      </c>
    </row>
    <row r="237" spans="1:9" x14ac:dyDescent="0.25">
      <c r="A237" s="5" t="str">
        <f>TrendSheetPrdData[[#This Row],[Population]]&amp;TrendSheetPrdData[[#This Row],[Cost Basis]]&amp;TrendSheetPrdData[[#This Row],[Period]]&amp;TrendSheetPrdData[[#This Row],[Trend]]</f>
        <v>EMPLOYEESAllowed2017-03-01ED Utilization</v>
      </c>
      <c r="B237" t="s">
        <v>90</v>
      </c>
      <c r="C237" t="s">
        <v>90</v>
      </c>
      <c r="D237" t="s">
        <v>91</v>
      </c>
      <c r="E237" s="1" t="s">
        <v>107</v>
      </c>
      <c r="F237" t="s">
        <v>108</v>
      </c>
      <c r="G237" t="s">
        <v>25</v>
      </c>
      <c r="H237">
        <v>14</v>
      </c>
      <c r="I237">
        <v>262</v>
      </c>
    </row>
    <row r="238" spans="1:9" x14ac:dyDescent="0.25">
      <c r="A238" s="5" t="str">
        <f>TrendSheetPrdData[[#This Row],[Population]]&amp;TrendSheetPrdData[[#This Row],[Cost Basis]]&amp;TrendSheetPrdData[[#This Row],[Period]]&amp;TrendSheetPrdData[[#This Row],[Trend]]</f>
        <v>EMPLOYEESAllowed2017-04-01ED Utilization</v>
      </c>
      <c r="B238" t="s">
        <v>90</v>
      </c>
      <c r="C238" t="s">
        <v>90</v>
      </c>
      <c r="D238" t="s">
        <v>91</v>
      </c>
      <c r="E238" s="1" t="s">
        <v>109</v>
      </c>
      <c r="F238" t="s">
        <v>108</v>
      </c>
      <c r="G238" t="s">
        <v>25</v>
      </c>
      <c r="H238">
        <v>14</v>
      </c>
      <c r="I238">
        <v>150</v>
      </c>
    </row>
    <row r="239" spans="1:9" x14ac:dyDescent="0.25">
      <c r="A239" s="5" t="str">
        <f>TrendSheetPrdData[[#This Row],[Population]]&amp;TrendSheetPrdData[[#This Row],[Cost Basis]]&amp;TrendSheetPrdData[[#This Row],[Period]]&amp;TrendSheetPrdData[[#This Row],[Trend]]</f>
        <v>EMPLOYEESAllowed2017-05-01ED Utilization</v>
      </c>
      <c r="B239" t="s">
        <v>90</v>
      </c>
      <c r="C239" t="s">
        <v>90</v>
      </c>
      <c r="D239" t="s">
        <v>91</v>
      </c>
      <c r="E239" s="1" t="s">
        <v>110</v>
      </c>
      <c r="F239" t="s">
        <v>108</v>
      </c>
      <c r="G239" t="s">
        <v>25</v>
      </c>
      <c r="H239">
        <v>14</v>
      </c>
      <c r="I239">
        <v>141</v>
      </c>
    </row>
    <row r="240" spans="1:9" x14ac:dyDescent="0.25">
      <c r="A240" s="5" t="str">
        <f>TrendSheetPrdData[[#This Row],[Population]]&amp;TrendSheetPrdData[[#This Row],[Cost Basis]]&amp;TrendSheetPrdData[[#This Row],[Period]]&amp;TrendSheetPrdData[[#This Row],[Trend]]</f>
        <v>EMPLOYEESAllowed2016-01-01Drug - Generic Utilization Cost</v>
      </c>
      <c r="B240" t="s">
        <v>90</v>
      </c>
      <c r="C240" t="s">
        <v>90</v>
      </c>
      <c r="D240" t="s">
        <v>91</v>
      </c>
      <c r="E240" s="1" t="s">
        <v>92</v>
      </c>
      <c r="F240" t="s">
        <v>93</v>
      </c>
      <c r="G240" t="s">
        <v>26</v>
      </c>
      <c r="H240">
        <v>15</v>
      </c>
      <c r="I240">
        <v>198291</v>
      </c>
    </row>
    <row r="241" spans="1:9" x14ac:dyDescent="0.25">
      <c r="A241" s="5" t="str">
        <f>TrendSheetPrdData[[#This Row],[Population]]&amp;TrendSheetPrdData[[#This Row],[Cost Basis]]&amp;TrendSheetPrdData[[#This Row],[Period]]&amp;TrendSheetPrdData[[#This Row],[Trend]]</f>
        <v>EMPLOYEESAllowed2016-02-01Drug - Generic Utilization Cost</v>
      </c>
      <c r="B241" t="s">
        <v>90</v>
      </c>
      <c r="C241" t="s">
        <v>90</v>
      </c>
      <c r="D241" t="s">
        <v>91</v>
      </c>
      <c r="E241" s="1" t="s">
        <v>94</v>
      </c>
      <c r="F241" t="s">
        <v>93</v>
      </c>
      <c r="G241" t="s">
        <v>26</v>
      </c>
      <c r="H241">
        <v>15</v>
      </c>
      <c r="I241">
        <v>247231</v>
      </c>
    </row>
    <row r="242" spans="1:9" x14ac:dyDescent="0.25">
      <c r="A242" s="5" t="str">
        <f>TrendSheetPrdData[[#This Row],[Population]]&amp;TrendSheetPrdData[[#This Row],[Cost Basis]]&amp;TrendSheetPrdData[[#This Row],[Period]]&amp;TrendSheetPrdData[[#This Row],[Trend]]</f>
        <v>EMPLOYEESAllowed2016-03-01Drug - Generic Utilization Cost</v>
      </c>
      <c r="B242" t="s">
        <v>90</v>
      </c>
      <c r="C242" t="s">
        <v>90</v>
      </c>
      <c r="D242" t="s">
        <v>91</v>
      </c>
      <c r="E242" s="1" t="s">
        <v>95</v>
      </c>
      <c r="F242" t="s">
        <v>93</v>
      </c>
      <c r="G242" t="s">
        <v>26</v>
      </c>
      <c r="H242">
        <v>15</v>
      </c>
      <c r="I242">
        <v>219396</v>
      </c>
    </row>
    <row r="243" spans="1:9" x14ac:dyDescent="0.25">
      <c r="A243" s="5" t="str">
        <f>TrendSheetPrdData[[#This Row],[Population]]&amp;TrendSheetPrdData[[#This Row],[Cost Basis]]&amp;TrendSheetPrdData[[#This Row],[Period]]&amp;TrendSheetPrdData[[#This Row],[Trend]]</f>
        <v>EMPLOYEESAllowed2016-04-01Drug - Generic Utilization Cost</v>
      </c>
      <c r="B243" t="s">
        <v>90</v>
      </c>
      <c r="C243" t="s">
        <v>90</v>
      </c>
      <c r="D243" t="s">
        <v>91</v>
      </c>
      <c r="E243" s="1" t="s">
        <v>96</v>
      </c>
      <c r="F243" t="s">
        <v>93</v>
      </c>
      <c r="G243" t="s">
        <v>26</v>
      </c>
      <c r="H243">
        <v>15</v>
      </c>
      <c r="I243">
        <v>215632</v>
      </c>
    </row>
    <row r="244" spans="1:9" x14ac:dyDescent="0.25">
      <c r="A244" s="5" t="str">
        <f>TrendSheetPrdData[[#This Row],[Population]]&amp;TrendSheetPrdData[[#This Row],[Cost Basis]]&amp;TrendSheetPrdData[[#This Row],[Period]]&amp;TrendSheetPrdData[[#This Row],[Trend]]</f>
        <v>EMPLOYEESAllowed2016-05-01Drug - Generic Utilization Cost</v>
      </c>
      <c r="B244" t="s">
        <v>90</v>
      </c>
      <c r="C244" t="s">
        <v>90</v>
      </c>
      <c r="D244" t="s">
        <v>91</v>
      </c>
      <c r="E244" s="1" t="s">
        <v>97</v>
      </c>
      <c r="F244" t="s">
        <v>93</v>
      </c>
      <c r="G244" t="s">
        <v>26</v>
      </c>
      <c r="H244">
        <v>15</v>
      </c>
      <c r="I244">
        <v>234054</v>
      </c>
    </row>
    <row r="245" spans="1:9" x14ac:dyDescent="0.25">
      <c r="A245" s="5" t="str">
        <f>TrendSheetPrdData[[#This Row],[Population]]&amp;TrendSheetPrdData[[#This Row],[Cost Basis]]&amp;TrendSheetPrdData[[#This Row],[Period]]&amp;TrendSheetPrdData[[#This Row],[Trend]]</f>
        <v>EMPLOYEESAllowed2016-06-01Drug - Generic Utilization Cost</v>
      </c>
      <c r="B245" t="s">
        <v>90</v>
      </c>
      <c r="C245" t="s">
        <v>90</v>
      </c>
      <c r="D245" t="s">
        <v>91</v>
      </c>
      <c r="E245" s="1" t="s">
        <v>98</v>
      </c>
      <c r="F245" t="s">
        <v>93</v>
      </c>
      <c r="G245" t="s">
        <v>26</v>
      </c>
      <c r="H245">
        <v>15</v>
      </c>
      <c r="I245">
        <v>195858</v>
      </c>
    </row>
    <row r="246" spans="1:9" x14ac:dyDescent="0.25">
      <c r="A246" s="5" t="str">
        <f>TrendSheetPrdData[[#This Row],[Population]]&amp;TrendSheetPrdData[[#This Row],[Cost Basis]]&amp;TrendSheetPrdData[[#This Row],[Period]]&amp;TrendSheetPrdData[[#This Row],[Trend]]</f>
        <v>EMPLOYEESAllowed2016-07-01Drug - Generic Utilization Cost</v>
      </c>
      <c r="B246" t="s">
        <v>90</v>
      </c>
      <c r="C246" t="s">
        <v>90</v>
      </c>
      <c r="D246" t="s">
        <v>91</v>
      </c>
      <c r="E246" s="1" t="s">
        <v>99</v>
      </c>
      <c r="F246" t="s">
        <v>93</v>
      </c>
      <c r="G246" t="s">
        <v>26</v>
      </c>
      <c r="H246">
        <v>15</v>
      </c>
      <c r="I246">
        <v>194675</v>
      </c>
    </row>
    <row r="247" spans="1:9" x14ac:dyDescent="0.25">
      <c r="A247" s="5" t="str">
        <f>TrendSheetPrdData[[#This Row],[Population]]&amp;TrendSheetPrdData[[#This Row],[Cost Basis]]&amp;TrendSheetPrdData[[#This Row],[Period]]&amp;TrendSheetPrdData[[#This Row],[Trend]]</f>
        <v>EMPLOYEESAllowed2016-08-01Drug - Generic Utilization Cost</v>
      </c>
      <c r="B247" t="s">
        <v>90</v>
      </c>
      <c r="C247" t="s">
        <v>90</v>
      </c>
      <c r="D247" t="s">
        <v>91</v>
      </c>
      <c r="E247" s="1" t="s">
        <v>100</v>
      </c>
      <c r="F247" t="s">
        <v>93</v>
      </c>
      <c r="G247" t="s">
        <v>26</v>
      </c>
      <c r="H247">
        <v>15</v>
      </c>
      <c r="I247">
        <v>278054</v>
      </c>
    </row>
    <row r="248" spans="1:9" x14ac:dyDescent="0.25">
      <c r="A248" s="5" t="str">
        <f>TrendSheetPrdData[[#This Row],[Population]]&amp;TrendSheetPrdData[[#This Row],[Cost Basis]]&amp;TrendSheetPrdData[[#This Row],[Period]]&amp;TrendSheetPrdData[[#This Row],[Trend]]</f>
        <v>EMPLOYEESAllowed2016-09-01Drug - Generic Utilization Cost</v>
      </c>
      <c r="B248" t="s">
        <v>90</v>
      </c>
      <c r="C248" t="s">
        <v>90</v>
      </c>
      <c r="D248" t="s">
        <v>91</v>
      </c>
      <c r="E248" s="1" t="s">
        <v>101</v>
      </c>
      <c r="F248" t="s">
        <v>93</v>
      </c>
      <c r="G248" t="s">
        <v>26</v>
      </c>
      <c r="H248">
        <v>15</v>
      </c>
      <c r="I248">
        <v>209462</v>
      </c>
    </row>
    <row r="249" spans="1:9" x14ac:dyDescent="0.25">
      <c r="A249" s="5" t="str">
        <f>TrendSheetPrdData[[#This Row],[Population]]&amp;TrendSheetPrdData[[#This Row],[Cost Basis]]&amp;TrendSheetPrdData[[#This Row],[Period]]&amp;TrendSheetPrdData[[#This Row],[Trend]]</f>
        <v>EMPLOYEESAllowed2016-10-01Drug - Generic Utilization Cost</v>
      </c>
      <c r="B249" t="s">
        <v>90</v>
      </c>
      <c r="C249" t="s">
        <v>90</v>
      </c>
      <c r="D249" t="s">
        <v>91</v>
      </c>
      <c r="E249" s="1" t="s">
        <v>102</v>
      </c>
      <c r="F249" t="s">
        <v>93</v>
      </c>
      <c r="G249" t="s">
        <v>26</v>
      </c>
      <c r="H249">
        <v>15</v>
      </c>
      <c r="I249">
        <v>234459</v>
      </c>
    </row>
    <row r="250" spans="1:9" x14ac:dyDescent="0.25">
      <c r="A250" s="5" t="str">
        <f>TrendSheetPrdData[[#This Row],[Population]]&amp;TrendSheetPrdData[[#This Row],[Cost Basis]]&amp;TrendSheetPrdData[[#This Row],[Period]]&amp;TrendSheetPrdData[[#This Row],[Trend]]</f>
        <v>EMPLOYEESAllowed2016-11-01Drug - Generic Utilization Cost</v>
      </c>
      <c r="B250" t="s">
        <v>90</v>
      </c>
      <c r="C250" t="s">
        <v>90</v>
      </c>
      <c r="D250" t="s">
        <v>91</v>
      </c>
      <c r="E250" s="1" t="s">
        <v>103</v>
      </c>
      <c r="F250" t="s">
        <v>93</v>
      </c>
      <c r="G250" t="s">
        <v>26</v>
      </c>
      <c r="H250">
        <v>15</v>
      </c>
      <c r="I250">
        <v>320267</v>
      </c>
    </row>
    <row r="251" spans="1:9" x14ac:dyDescent="0.25">
      <c r="A251" s="5" t="str">
        <f>TrendSheetPrdData[[#This Row],[Population]]&amp;TrendSheetPrdData[[#This Row],[Cost Basis]]&amp;TrendSheetPrdData[[#This Row],[Period]]&amp;TrendSheetPrdData[[#This Row],[Trend]]</f>
        <v>EMPLOYEESAllowed2016-12-01Drug - Generic Utilization Cost</v>
      </c>
      <c r="B251" t="s">
        <v>90</v>
      </c>
      <c r="C251" t="s">
        <v>90</v>
      </c>
      <c r="D251" t="s">
        <v>91</v>
      </c>
      <c r="E251" s="1" t="s">
        <v>104</v>
      </c>
      <c r="F251" t="s">
        <v>93</v>
      </c>
      <c r="G251" t="s">
        <v>26</v>
      </c>
      <c r="H251">
        <v>15</v>
      </c>
      <c r="I251">
        <v>167747</v>
      </c>
    </row>
    <row r="252" spans="1:9" x14ac:dyDescent="0.25">
      <c r="A252" s="5" t="str">
        <f>TrendSheetPrdData[[#This Row],[Population]]&amp;TrendSheetPrdData[[#This Row],[Cost Basis]]&amp;TrendSheetPrdData[[#This Row],[Period]]&amp;TrendSheetPrdData[[#This Row],[Trend]]</f>
        <v>EMPLOYEESAllowed2017-01-01Drug - Generic Utilization Cost</v>
      </c>
      <c r="B252" t="s">
        <v>90</v>
      </c>
      <c r="C252" t="s">
        <v>90</v>
      </c>
      <c r="D252" t="s">
        <v>91</v>
      </c>
      <c r="E252" s="1" t="s">
        <v>105</v>
      </c>
      <c r="F252" t="s">
        <v>93</v>
      </c>
      <c r="G252" t="s">
        <v>26</v>
      </c>
      <c r="H252">
        <v>15</v>
      </c>
      <c r="I252">
        <v>276784</v>
      </c>
    </row>
    <row r="253" spans="1:9" x14ac:dyDescent="0.25">
      <c r="A253" s="5" t="str">
        <f>TrendSheetPrdData[[#This Row],[Population]]&amp;TrendSheetPrdData[[#This Row],[Cost Basis]]&amp;TrendSheetPrdData[[#This Row],[Period]]&amp;TrendSheetPrdData[[#This Row],[Trend]]</f>
        <v>EMPLOYEESAllowed2017-02-01Drug - Generic Utilization Cost</v>
      </c>
      <c r="B253" t="s">
        <v>90</v>
      </c>
      <c r="C253" t="s">
        <v>90</v>
      </c>
      <c r="D253" t="s">
        <v>91</v>
      </c>
      <c r="E253" s="1" t="s">
        <v>106</v>
      </c>
      <c r="F253" t="s">
        <v>93</v>
      </c>
      <c r="G253" t="s">
        <v>26</v>
      </c>
      <c r="H253">
        <v>15</v>
      </c>
      <c r="I253">
        <v>322042</v>
      </c>
    </row>
    <row r="254" spans="1:9" x14ac:dyDescent="0.25">
      <c r="A254" s="5" t="str">
        <f>TrendSheetPrdData[[#This Row],[Population]]&amp;TrendSheetPrdData[[#This Row],[Cost Basis]]&amp;TrendSheetPrdData[[#This Row],[Period]]&amp;TrendSheetPrdData[[#This Row],[Trend]]</f>
        <v>EMPLOYEESAllowed2017-03-01Drug - Generic Utilization Cost</v>
      </c>
      <c r="B254" t="s">
        <v>90</v>
      </c>
      <c r="C254" t="s">
        <v>90</v>
      </c>
      <c r="D254" t="s">
        <v>91</v>
      </c>
      <c r="E254" s="1" t="s">
        <v>107</v>
      </c>
      <c r="F254" t="s">
        <v>108</v>
      </c>
      <c r="G254" t="s">
        <v>26</v>
      </c>
      <c r="H254">
        <v>15</v>
      </c>
      <c r="I254">
        <v>342628</v>
      </c>
    </row>
    <row r="255" spans="1:9" x14ac:dyDescent="0.25">
      <c r="A255" s="5" t="str">
        <f>TrendSheetPrdData[[#This Row],[Population]]&amp;TrendSheetPrdData[[#This Row],[Cost Basis]]&amp;TrendSheetPrdData[[#This Row],[Period]]&amp;TrendSheetPrdData[[#This Row],[Trend]]</f>
        <v>EMPLOYEESAllowed2017-04-01Drug - Generic Utilization Cost</v>
      </c>
      <c r="B255" t="s">
        <v>90</v>
      </c>
      <c r="C255" t="s">
        <v>90</v>
      </c>
      <c r="D255" t="s">
        <v>91</v>
      </c>
      <c r="E255" s="1" t="s">
        <v>109</v>
      </c>
      <c r="F255" t="s">
        <v>108</v>
      </c>
      <c r="G255" t="s">
        <v>26</v>
      </c>
      <c r="H255">
        <v>15</v>
      </c>
      <c r="I255">
        <v>298781</v>
      </c>
    </row>
    <row r="256" spans="1:9" x14ac:dyDescent="0.25">
      <c r="A256" s="5" t="str">
        <f>TrendSheetPrdData[[#This Row],[Population]]&amp;TrendSheetPrdData[[#This Row],[Cost Basis]]&amp;TrendSheetPrdData[[#This Row],[Period]]&amp;TrendSheetPrdData[[#This Row],[Trend]]</f>
        <v>EMPLOYEESAllowed2017-05-01Drug - Generic Utilization Cost</v>
      </c>
      <c r="B256" t="s">
        <v>90</v>
      </c>
      <c r="C256" t="s">
        <v>90</v>
      </c>
      <c r="D256" t="s">
        <v>91</v>
      </c>
      <c r="E256" s="1" t="s">
        <v>110</v>
      </c>
      <c r="F256" t="s">
        <v>108</v>
      </c>
      <c r="G256" t="s">
        <v>26</v>
      </c>
      <c r="H256">
        <v>15</v>
      </c>
      <c r="I256">
        <v>253911</v>
      </c>
    </row>
    <row r="257" spans="1:9" x14ac:dyDescent="0.25">
      <c r="A257" s="5" t="str">
        <f>TrendSheetPrdData[[#This Row],[Population]]&amp;TrendSheetPrdData[[#This Row],[Cost Basis]]&amp;TrendSheetPrdData[[#This Row],[Period]]&amp;TrendSheetPrdData[[#This Row],[Trend]]</f>
        <v>EMPLOYEESAllowed2016-01-01Drug - Generic Utilization</v>
      </c>
      <c r="B257" t="s">
        <v>90</v>
      </c>
      <c r="C257" t="s">
        <v>90</v>
      </c>
      <c r="D257" t="s">
        <v>91</v>
      </c>
      <c r="E257" s="1" t="s">
        <v>92</v>
      </c>
      <c r="F257" t="s">
        <v>93</v>
      </c>
      <c r="G257" t="s">
        <v>27</v>
      </c>
      <c r="H257">
        <v>16</v>
      </c>
      <c r="I257">
        <v>0.87</v>
      </c>
    </row>
    <row r="258" spans="1:9" x14ac:dyDescent="0.25">
      <c r="A258" s="5" t="str">
        <f>TrendSheetPrdData[[#This Row],[Population]]&amp;TrendSheetPrdData[[#This Row],[Cost Basis]]&amp;TrendSheetPrdData[[#This Row],[Period]]&amp;TrendSheetPrdData[[#This Row],[Trend]]</f>
        <v>EMPLOYEESAllowed2016-02-01Drug - Generic Utilization</v>
      </c>
      <c r="B258" t="s">
        <v>90</v>
      </c>
      <c r="C258" t="s">
        <v>90</v>
      </c>
      <c r="D258" t="s">
        <v>91</v>
      </c>
      <c r="E258" s="1" t="s">
        <v>94</v>
      </c>
      <c r="F258" t="s">
        <v>93</v>
      </c>
      <c r="G258" t="s">
        <v>27</v>
      </c>
      <c r="H258">
        <v>16</v>
      </c>
      <c r="I258">
        <v>0.87</v>
      </c>
    </row>
    <row r="259" spans="1:9" x14ac:dyDescent="0.25">
      <c r="A259" s="5" t="str">
        <f>TrendSheetPrdData[[#This Row],[Population]]&amp;TrendSheetPrdData[[#This Row],[Cost Basis]]&amp;TrendSheetPrdData[[#This Row],[Period]]&amp;TrendSheetPrdData[[#This Row],[Trend]]</f>
        <v>EMPLOYEESAllowed2016-03-01Drug - Generic Utilization</v>
      </c>
      <c r="B259" t="s">
        <v>90</v>
      </c>
      <c r="C259" t="s">
        <v>90</v>
      </c>
      <c r="D259" t="s">
        <v>91</v>
      </c>
      <c r="E259" s="1" t="s">
        <v>95</v>
      </c>
      <c r="F259" t="s">
        <v>93</v>
      </c>
      <c r="G259" t="s">
        <v>27</v>
      </c>
      <c r="H259">
        <v>16</v>
      </c>
      <c r="I259">
        <v>0.87</v>
      </c>
    </row>
    <row r="260" spans="1:9" x14ac:dyDescent="0.25">
      <c r="A260" s="5" t="str">
        <f>TrendSheetPrdData[[#This Row],[Population]]&amp;TrendSheetPrdData[[#This Row],[Cost Basis]]&amp;TrendSheetPrdData[[#This Row],[Period]]&amp;TrendSheetPrdData[[#This Row],[Trend]]</f>
        <v>EMPLOYEESAllowed2016-04-01Drug - Generic Utilization</v>
      </c>
      <c r="B260" t="s">
        <v>90</v>
      </c>
      <c r="C260" t="s">
        <v>90</v>
      </c>
      <c r="D260" t="s">
        <v>91</v>
      </c>
      <c r="E260" s="1" t="s">
        <v>96</v>
      </c>
      <c r="F260" t="s">
        <v>93</v>
      </c>
      <c r="G260" t="s">
        <v>27</v>
      </c>
      <c r="H260">
        <v>16</v>
      </c>
      <c r="I260">
        <v>0.86</v>
      </c>
    </row>
    <row r="261" spans="1:9" x14ac:dyDescent="0.25">
      <c r="A261" s="5" t="str">
        <f>TrendSheetPrdData[[#This Row],[Population]]&amp;TrendSheetPrdData[[#This Row],[Cost Basis]]&amp;TrendSheetPrdData[[#This Row],[Period]]&amp;TrendSheetPrdData[[#This Row],[Trend]]</f>
        <v>EMPLOYEESAllowed2016-05-01Drug - Generic Utilization</v>
      </c>
      <c r="B261" t="s">
        <v>90</v>
      </c>
      <c r="C261" t="s">
        <v>90</v>
      </c>
      <c r="D261" t="s">
        <v>91</v>
      </c>
      <c r="E261" s="1" t="s">
        <v>97</v>
      </c>
      <c r="F261" t="s">
        <v>93</v>
      </c>
      <c r="G261" t="s">
        <v>27</v>
      </c>
      <c r="H261">
        <v>16</v>
      </c>
      <c r="I261">
        <v>0.88</v>
      </c>
    </row>
    <row r="262" spans="1:9" x14ac:dyDescent="0.25">
      <c r="A262" s="5" t="str">
        <f>TrendSheetPrdData[[#This Row],[Population]]&amp;TrendSheetPrdData[[#This Row],[Cost Basis]]&amp;TrendSheetPrdData[[#This Row],[Period]]&amp;TrendSheetPrdData[[#This Row],[Trend]]</f>
        <v>EMPLOYEESAllowed2016-06-01Drug - Generic Utilization</v>
      </c>
      <c r="B262" t="s">
        <v>90</v>
      </c>
      <c r="C262" t="s">
        <v>90</v>
      </c>
      <c r="D262" t="s">
        <v>91</v>
      </c>
      <c r="E262" s="1" t="s">
        <v>98</v>
      </c>
      <c r="F262" t="s">
        <v>93</v>
      </c>
      <c r="G262" t="s">
        <v>27</v>
      </c>
      <c r="H262">
        <v>16</v>
      </c>
      <c r="I262">
        <v>0.88</v>
      </c>
    </row>
    <row r="263" spans="1:9" x14ac:dyDescent="0.25">
      <c r="A263" s="5" t="str">
        <f>TrendSheetPrdData[[#This Row],[Population]]&amp;TrendSheetPrdData[[#This Row],[Cost Basis]]&amp;TrendSheetPrdData[[#This Row],[Period]]&amp;TrendSheetPrdData[[#This Row],[Trend]]</f>
        <v>EMPLOYEESAllowed2016-07-01Drug - Generic Utilization</v>
      </c>
      <c r="B263" t="s">
        <v>90</v>
      </c>
      <c r="C263" t="s">
        <v>90</v>
      </c>
      <c r="D263" t="s">
        <v>91</v>
      </c>
      <c r="E263" s="1" t="s">
        <v>99</v>
      </c>
      <c r="F263" t="s">
        <v>93</v>
      </c>
      <c r="G263" t="s">
        <v>27</v>
      </c>
      <c r="H263">
        <v>16</v>
      </c>
      <c r="I263">
        <v>0.87</v>
      </c>
    </row>
    <row r="264" spans="1:9" x14ac:dyDescent="0.25">
      <c r="A264" s="5" t="str">
        <f>TrendSheetPrdData[[#This Row],[Population]]&amp;TrendSheetPrdData[[#This Row],[Cost Basis]]&amp;TrendSheetPrdData[[#This Row],[Period]]&amp;TrendSheetPrdData[[#This Row],[Trend]]</f>
        <v>EMPLOYEESAllowed2016-08-01Drug - Generic Utilization</v>
      </c>
      <c r="B264" t="s">
        <v>90</v>
      </c>
      <c r="C264" t="s">
        <v>90</v>
      </c>
      <c r="D264" t="s">
        <v>91</v>
      </c>
      <c r="E264" s="1" t="s">
        <v>100</v>
      </c>
      <c r="F264" t="s">
        <v>93</v>
      </c>
      <c r="G264" t="s">
        <v>27</v>
      </c>
      <c r="H264">
        <v>16</v>
      </c>
      <c r="I264">
        <v>0.87</v>
      </c>
    </row>
    <row r="265" spans="1:9" x14ac:dyDescent="0.25">
      <c r="A265" s="5" t="str">
        <f>TrendSheetPrdData[[#This Row],[Population]]&amp;TrendSheetPrdData[[#This Row],[Cost Basis]]&amp;TrendSheetPrdData[[#This Row],[Period]]&amp;TrendSheetPrdData[[#This Row],[Trend]]</f>
        <v>EMPLOYEESAllowed2016-09-01Drug - Generic Utilization</v>
      </c>
      <c r="B265" t="s">
        <v>90</v>
      </c>
      <c r="C265" t="s">
        <v>90</v>
      </c>
      <c r="D265" t="s">
        <v>91</v>
      </c>
      <c r="E265" s="1" t="s">
        <v>101</v>
      </c>
      <c r="F265" t="s">
        <v>93</v>
      </c>
      <c r="G265" t="s">
        <v>27</v>
      </c>
      <c r="H265">
        <v>16</v>
      </c>
      <c r="I265">
        <v>0.89</v>
      </c>
    </row>
    <row r="266" spans="1:9" x14ac:dyDescent="0.25">
      <c r="A266" s="5" t="str">
        <f>TrendSheetPrdData[[#This Row],[Population]]&amp;TrendSheetPrdData[[#This Row],[Cost Basis]]&amp;TrendSheetPrdData[[#This Row],[Period]]&amp;TrendSheetPrdData[[#This Row],[Trend]]</f>
        <v>EMPLOYEESAllowed2016-10-01Drug - Generic Utilization</v>
      </c>
      <c r="B266" t="s">
        <v>90</v>
      </c>
      <c r="C266" t="s">
        <v>90</v>
      </c>
      <c r="D266" t="s">
        <v>91</v>
      </c>
      <c r="E266" s="1" t="s">
        <v>102</v>
      </c>
      <c r="F266" t="s">
        <v>93</v>
      </c>
      <c r="G266" t="s">
        <v>27</v>
      </c>
      <c r="H266">
        <v>16</v>
      </c>
      <c r="I266">
        <v>0.89</v>
      </c>
    </row>
    <row r="267" spans="1:9" x14ac:dyDescent="0.25">
      <c r="A267" s="5" t="str">
        <f>TrendSheetPrdData[[#This Row],[Population]]&amp;TrendSheetPrdData[[#This Row],[Cost Basis]]&amp;TrendSheetPrdData[[#This Row],[Period]]&amp;TrendSheetPrdData[[#This Row],[Trend]]</f>
        <v>EMPLOYEESAllowed2016-11-01Drug - Generic Utilization</v>
      </c>
      <c r="B267" t="s">
        <v>90</v>
      </c>
      <c r="C267" t="s">
        <v>90</v>
      </c>
      <c r="D267" t="s">
        <v>91</v>
      </c>
      <c r="E267" s="1" t="s">
        <v>103</v>
      </c>
      <c r="F267" t="s">
        <v>93</v>
      </c>
      <c r="G267" t="s">
        <v>27</v>
      </c>
      <c r="H267">
        <v>16</v>
      </c>
      <c r="I267">
        <v>0.88</v>
      </c>
    </row>
    <row r="268" spans="1:9" x14ac:dyDescent="0.25">
      <c r="A268" s="5" t="str">
        <f>TrendSheetPrdData[[#This Row],[Population]]&amp;TrendSheetPrdData[[#This Row],[Cost Basis]]&amp;TrendSheetPrdData[[#This Row],[Period]]&amp;TrendSheetPrdData[[#This Row],[Trend]]</f>
        <v>EMPLOYEESAllowed2016-12-01Drug - Generic Utilization</v>
      </c>
      <c r="B268" t="s">
        <v>90</v>
      </c>
      <c r="C268" t="s">
        <v>90</v>
      </c>
      <c r="D268" t="s">
        <v>91</v>
      </c>
      <c r="E268" s="1" t="s">
        <v>104</v>
      </c>
      <c r="F268" t="s">
        <v>93</v>
      </c>
      <c r="G268" t="s">
        <v>27</v>
      </c>
      <c r="H268">
        <v>16</v>
      </c>
      <c r="I268">
        <v>0.89</v>
      </c>
    </row>
    <row r="269" spans="1:9" x14ac:dyDescent="0.25">
      <c r="A269" s="5" t="str">
        <f>TrendSheetPrdData[[#This Row],[Population]]&amp;TrendSheetPrdData[[#This Row],[Cost Basis]]&amp;TrendSheetPrdData[[#This Row],[Period]]&amp;TrendSheetPrdData[[#This Row],[Trend]]</f>
        <v>EMPLOYEESAllowed2017-01-01Drug - Generic Utilization</v>
      </c>
      <c r="B269" t="s">
        <v>90</v>
      </c>
      <c r="C269" t="s">
        <v>90</v>
      </c>
      <c r="D269" t="s">
        <v>91</v>
      </c>
      <c r="E269" s="1" t="s">
        <v>105</v>
      </c>
      <c r="F269" t="s">
        <v>93</v>
      </c>
      <c r="G269" t="s">
        <v>27</v>
      </c>
      <c r="H269">
        <v>16</v>
      </c>
      <c r="I269">
        <v>0.88</v>
      </c>
    </row>
    <row r="270" spans="1:9" x14ac:dyDescent="0.25">
      <c r="A270" s="5" t="str">
        <f>TrendSheetPrdData[[#This Row],[Population]]&amp;TrendSheetPrdData[[#This Row],[Cost Basis]]&amp;TrendSheetPrdData[[#This Row],[Period]]&amp;TrendSheetPrdData[[#This Row],[Trend]]</f>
        <v>EMPLOYEESAllowed2017-02-01Drug - Generic Utilization</v>
      </c>
      <c r="B270" t="s">
        <v>90</v>
      </c>
      <c r="C270" t="s">
        <v>90</v>
      </c>
      <c r="D270" t="s">
        <v>91</v>
      </c>
      <c r="E270" s="1" t="s">
        <v>106</v>
      </c>
      <c r="F270" t="s">
        <v>93</v>
      </c>
      <c r="G270" t="s">
        <v>27</v>
      </c>
      <c r="H270">
        <v>16</v>
      </c>
      <c r="I270">
        <v>0.9</v>
      </c>
    </row>
    <row r="271" spans="1:9" x14ac:dyDescent="0.25">
      <c r="A271" s="5" t="str">
        <f>TrendSheetPrdData[[#This Row],[Population]]&amp;TrendSheetPrdData[[#This Row],[Cost Basis]]&amp;TrendSheetPrdData[[#This Row],[Period]]&amp;TrendSheetPrdData[[#This Row],[Trend]]</f>
        <v>EMPLOYEESAllowed2017-03-01Drug - Generic Utilization</v>
      </c>
      <c r="B271" t="s">
        <v>90</v>
      </c>
      <c r="C271" t="s">
        <v>90</v>
      </c>
      <c r="D271" t="s">
        <v>91</v>
      </c>
      <c r="E271" s="1" t="s">
        <v>107</v>
      </c>
      <c r="F271" t="s">
        <v>108</v>
      </c>
      <c r="G271" t="s">
        <v>27</v>
      </c>
      <c r="H271">
        <v>16</v>
      </c>
      <c r="I271">
        <v>0.89</v>
      </c>
    </row>
    <row r="272" spans="1:9" x14ac:dyDescent="0.25">
      <c r="A272" s="5" t="str">
        <f>TrendSheetPrdData[[#This Row],[Population]]&amp;TrendSheetPrdData[[#This Row],[Cost Basis]]&amp;TrendSheetPrdData[[#This Row],[Period]]&amp;TrendSheetPrdData[[#This Row],[Trend]]</f>
        <v>EMPLOYEESAllowed2017-04-01Drug - Generic Utilization</v>
      </c>
      <c r="B272" t="s">
        <v>90</v>
      </c>
      <c r="C272" t="s">
        <v>90</v>
      </c>
      <c r="D272" t="s">
        <v>91</v>
      </c>
      <c r="E272" s="1" t="s">
        <v>109</v>
      </c>
      <c r="F272" t="s">
        <v>108</v>
      </c>
      <c r="G272" t="s">
        <v>27</v>
      </c>
      <c r="H272">
        <v>16</v>
      </c>
      <c r="I272">
        <v>0.89</v>
      </c>
    </row>
    <row r="273" spans="1:9" x14ac:dyDescent="0.25">
      <c r="A273" s="5" t="str">
        <f>TrendSheetPrdData[[#This Row],[Population]]&amp;TrendSheetPrdData[[#This Row],[Cost Basis]]&amp;TrendSheetPrdData[[#This Row],[Period]]&amp;TrendSheetPrdData[[#This Row],[Trend]]</f>
        <v>EMPLOYEESAllowed2017-05-01Drug - Generic Utilization</v>
      </c>
      <c r="B273" t="s">
        <v>90</v>
      </c>
      <c r="C273" t="s">
        <v>90</v>
      </c>
      <c r="D273" t="s">
        <v>91</v>
      </c>
      <c r="E273" s="1" t="s">
        <v>110</v>
      </c>
      <c r="F273" t="s">
        <v>108</v>
      </c>
      <c r="G273" t="s">
        <v>27</v>
      </c>
      <c r="H273">
        <v>16</v>
      </c>
      <c r="I273">
        <v>0.89</v>
      </c>
    </row>
    <row r="274" spans="1:9" x14ac:dyDescent="0.25">
      <c r="A274" s="5" t="str">
        <f>TrendSheetPrdData[[#This Row],[Population]]&amp;TrendSheetPrdData[[#This Row],[Cost Basis]]&amp;TrendSheetPrdData[[#This Row],[Period]]&amp;TrendSheetPrdData[[#This Row],[Trend]]</f>
        <v>EMPLOYEESAllowed2016-01-01Chronic Disease Management - Cost</v>
      </c>
      <c r="B274" t="s">
        <v>90</v>
      </c>
      <c r="C274" t="s">
        <v>90</v>
      </c>
      <c r="D274" t="s">
        <v>91</v>
      </c>
      <c r="E274" s="1" t="s">
        <v>92</v>
      </c>
      <c r="F274" t="s">
        <v>93</v>
      </c>
      <c r="G274" t="s">
        <v>28</v>
      </c>
      <c r="H274">
        <v>17</v>
      </c>
      <c r="I274">
        <v>1245893</v>
      </c>
    </row>
    <row r="275" spans="1:9" x14ac:dyDescent="0.25">
      <c r="A275" s="5" t="str">
        <f>TrendSheetPrdData[[#This Row],[Population]]&amp;TrendSheetPrdData[[#This Row],[Cost Basis]]&amp;TrendSheetPrdData[[#This Row],[Period]]&amp;TrendSheetPrdData[[#This Row],[Trend]]</f>
        <v>EMPLOYEESAllowed2016-02-01Chronic Disease Management - Cost</v>
      </c>
      <c r="B275" t="s">
        <v>90</v>
      </c>
      <c r="C275" t="s">
        <v>90</v>
      </c>
      <c r="D275" t="s">
        <v>91</v>
      </c>
      <c r="E275" s="1" t="s">
        <v>94</v>
      </c>
      <c r="F275" t="s">
        <v>93</v>
      </c>
      <c r="G275" t="s">
        <v>28</v>
      </c>
      <c r="H275">
        <v>17</v>
      </c>
      <c r="I275">
        <v>1147946</v>
      </c>
    </row>
    <row r="276" spans="1:9" x14ac:dyDescent="0.25">
      <c r="A276" s="5" t="str">
        <f>TrendSheetPrdData[[#This Row],[Population]]&amp;TrendSheetPrdData[[#This Row],[Cost Basis]]&amp;TrendSheetPrdData[[#This Row],[Period]]&amp;TrendSheetPrdData[[#This Row],[Trend]]</f>
        <v>EMPLOYEESAllowed2016-03-01Chronic Disease Management - Cost</v>
      </c>
      <c r="B276" t="s">
        <v>90</v>
      </c>
      <c r="C276" t="s">
        <v>90</v>
      </c>
      <c r="D276" t="s">
        <v>91</v>
      </c>
      <c r="E276" s="1" t="s">
        <v>95</v>
      </c>
      <c r="F276" t="s">
        <v>93</v>
      </c>
      <c r="G276" t="s">
        <v>28</v>
      </c>
      <c r="H276">
        <v>17</v>
      </c>
      <c r="I276">
        <v>1260970</v>
      </c>
    </row>
    <row r="277" spans="1:9" x14ac:dyDescent="0.25">
      <c r="A277" s="5" t="str">
        <f>TrendSheetPrdData[[#This Row],[Population]]&amp;TrendSheetPrdData[[#This Row],[Cost Basis]]&amp;TrendSheetPrdData[[#This Row],[Period]]&amp;TrendSheetPrdData[[#This Row],[Trend]]</f>
        <v>EMPLOYEESAllowed2016-04-01Chronic Disease Management - Cost</v>
      </c>
      <c r="B277" t="s">
        <v>90</v>
      </c>
      <c r="C277" t="s">
        <v>90</v>
      </c>
      <c r="D277" t="s">
        <v>91</v>
      </c>
      <c r="E277" s="1" t="s">
        <v>96</v>
      </c>
      <c r="F277" t="s">
        <v>93</v>
      </c>
      <c r="G277" t="s">
        <v>28</v>
      </c>
      <c r="H277">
        <v>17</v>
      </c>
      <c r="I277">
        <v>1462399</v>
      </c>
    </row>
    <row r="278" spans="1:9" x14ac:dyDescent="0.25">
      <c r="A278" s="5" t="str">
        <f>TrendSheetPrdData[[#This Row],[Population]]&amp;TrendSheetPrdData[[#This Row],[Cost Basis]]&amp;TrendSheetPrdData[[#This Row],[Period]]&amp;TrendSheetPrdData[[#This Row],[Trend]]</f>
        <v>EMPLOYEESAllowed2016-05-01Chronic Disease Management - Cost</v>
      </c>
      <c r="B278" t="s">
        <v>90</v>
      </c>
      <c r="C278" t="s">
        <v>90</v>
      </c>
      <c r="D278" t="s">
        <v>91</v>
      </c>
      <c r="E278" s="1" t="s">
        <v>97</v>
      </c>
      <c r="F278" t="s">
        <v>93</v>
      </c>
      <c r="G278" t="s">
        <v>28</v>
      </c>
      <c r="H278">
        <v>17</v>
      </c>
      <c r="I278">
        <v>1375233</v>
      </c>
    </row>
    <row r="279" spans="1:9" x14ac:dyDescent="0.25">
      <c r="A279" s="5" t="str">
        <f>TrendSheetPrdData[[#This Row],[Population]]&amp;TrendSheetPrdData[[#This Row],[Cost Basis]]&amp;TrendSheetPrdData[[#This Row],[Period]]&amp;TrendSheetPrdData[[#This Row],[Trend]]</f>
        <v>EMPLOYEESAllowed2016-06-01Chronic Disease Management - Cost</v>
      </c>
      <c r="B279" t="s">
        <v>90</v>
      </c>
      <c r="C279" t="s">
        <v>90</v>
      </c>
      <c r="D279" t="s">
        <v>91</v>
      </c>
      <c r="E279" s="1" t="s">
        <v>98</v>
      </c>
      <c r="F279" t="s">
        <v>93</v>
      </c>
      <c r="G279" t="s">
        <v>28</v>
      </c>
      <c r="H279">
        <v>17</v>
      </c>
      <c r="I279">
        <v>1272216</v>
      </c>
    </row>
    <row r="280" spans="1:9" x14ac:dyDescent="0.25">
      <c r="A280" s="5" t="str">
        <f>TrendSheetPrdData[[#This Row],[Population]]&amp;TrendSheetPrdData[[#This Row],[Cost Basis]]&amp;TrendSheetPrdData[[#This Row],[Period]]&amp;TrendSheetPrdData[[#This Row],[Trend]]</f>
        <v>EMPLOYEESAllowed2016-07-01Chronic Disease Management - Cost</v>
      </c>
      <c r="B280" t="s">
        <v>90</v>
      </c>
      <c r="C280" t="s">
        <v>90</v>
      </c>
      <c r="D280" t="s">
        <v>91</v>
      </c>
      <c r="E280" s="1" t="s">
        <v>99</v>
      </c>
      <c r="F280" t="s">
        <v>93</v>
      </c>
      <c r="G280" t="s">
        <v>28</v>
      </c>
      <c r="H280">
        <v>17</v>
      </c>
      <c r="I280">
        <v>1416580</v>
      </c>
    </row>
    <row r="281" spans="1:9" x14ac:dyDescent="0.25">
      <c r="A281" s="5" t="str">
        <f>TrendSheetPrdData[[#This Row],[Population]]&amp;TrendSheetPrdData[[#This Row],[Cost Basis]]&amp;TrendSheetPrdData[[#This Row],[Period]]&amp;TrendSheetPrdData[[#This Row],[Trend]]</f>
        <v>EMPLOYEESAllowed2016-08-01Chronic Disease Management - Cost</v>
      </c>
      <c r="B281" t="s">
        <v>90</v>
      </c>
      <c r="C281" t="s">
        <v>90</v>
      </c>
      <c r="D281" t="s">
        <v>91</v>
      </c>
      <c r="E281" s="1" t="s">
        <v>100</v>
      </c>
      <c r="F281" t="s">
        <v>93</v>
      </c>
      <c r="G281" t="s">
        <v>28</v>
      </c>
      <c r="H281">
        <v>17</v>
      </c>
      <c r="I281">
        <v>1418733</v>
      </c>
    </row>
    <row r="282" spans="1:9" x14ac:dyDescent="0.25">
      <c r="A282" s="5" t="str">
        <f>TrendSheetPrdData[[#This Row],[Population]]&amp;TrendSheetPrdData[[#This Row],[Cost Basis]]&amp;TrendSheetPrdData[[#This Row],[Period]]&amp;TrendSheetPrdData[[#This Row],[Trend]]</f>
        <v>EMPLOYEESAllowed2016-09-01Chronic Disease Management - Cost</v>
      </c>
      <c r="B282" t="s">
        <v>90</v>
      </c>
      <c r="C282" t="s">
        <v>90</v>
      </c>
      <c r="D282" t="s">
        <v>91</v>
      </c>
      <c r="E282" s="1" t="s">
        <v>101</v>
      </c>
      <c r="F282" t="s">
        <v>93</v>
      </c>
      <c r="G282" t="s">
        <v>28</v>
      </c>
      <c r="H282">
        <v>17</v>
      </c>
      <c r="I282">
        <v>1367394</v>
      </c>
    </row>
    <row r="283" spans="1:9" x14ac:dyDescent="0.25">
      <c r="A283" s="5" t="str">
        <f>TrendSheetPrdData[[#This Row],[Population]]&amp;TrendSheetPrdData[[#This Row],[Cost Basis]]&amp;TrendSheetPrdData[[#This Row],[Period]]&amp;TrendSheetPrdData[[#This Row],[Trend]]</f>
        <v>EMPLOYEESAllowed2016-10-01Chronic Disease Management - Cost</v>
      </c>
      <c r="B283" t="s">
        <v>90</v>
      </c>
      <c r="C283" t="s">
        <v>90</v>
      </c>
      <c r="D283" t="s">
        <v>91</v>
      </c>
      <c r="E283" s="1" t="s">
        <v>102</v>
      </c>
      <c r="F283" t="s">
        <v>93</v>
      </c>
      <c r="G283" t="s">
        <v>28</v>
      </c>
      <c r="H283">
        <v>17</v>
      </c>
      <c r="I283">
        <v>1211213</v>
      </c>
    </row>
    <row r="284" spans="1:9" x14ac:dyDescent="0.25">
      <c r="A284" s="5" t="str">
        <f>TrendSheetPrdData[[#This Row],[Population]]&amp;TrendSheetPrdData[[#This Row],[Cost Basis]]&amp;TrendSheetPrdData[[#This Row],[Period]]&amp;TrendSheetPrdData[[#This Row],[Trend]]</f>
        <v>EMPLOYEESAllowed2016-11-01Chronic Disease Management - Cost</v>
      </c>
      <c r="B284" t="s">
        <v>90</v>
      </c>
      <c r="C284" t="s">
        <v>90</v>
      </c>
      <c r="D284" t="s">
        <v>91</v>
      </c>
      <c r="E284" s="1" t="s">
        <v>103</v>
      </c>
      <c r="F284" t="s">
        <v>93</v>
      </c>
      <c r="G284" t="s">
        <v>28</v>
      </c>
      <c r="H284">
        <v>17</v>
      </c>
      <c r="I284">
        <v>1286114</v>
      </c>
    </row>
    <row r="285" spans="1:9" x14ac:dyDescent="0.25">
      <c r="A285" s="5" t="str">
        <f>TrendSheetPrdData[[#This Row],[Population]]&amp;TrendSheetPrdData[[#This Row],[Cost Basis]]&amp;TrendSheetPrdData[[#This Row],[Period]]&amp;TrendSheetPrdData[[#This Row],[Trend]]</f>
        <v>EMPLOYEESAllowed2016-12-01Chronic Disease Management - Cost</v>
      </c>
      <c r="B285" t="s">
        <v>90</v>
      </c>
      <c r="C285" t="s">
        <v>90</v>
      </c>
      <c r="D285" t="s">
        <v>91</v>
      </c>
      <c r="E285" s="1" t="s">
        <v>104</v>
      </c>
      <c r="F285" t="s">
        <v>93</v>
      </c>
      <c r="G285" t="s">
        <v>28</v>
      </c>
      <c r="H285">
        <v>17</v>
      </c>
      <c r="I285">
        <v>1465114</v>
      </c>
    </row>
    <row r="286" spans="1:9" x14ac:dyDescent="0.25">
      <c r="A286" s="5" t="str">
        <f>TrendSheetPrdData[[#This Row],[Population]]&amp;TrendSheetPrdData[[#This Row],[Cost Basis]]&amp;TrendSheetPrdData[[#This Row],[Period]]&amp;TrendSheetPrdData[[#This Row],[Trend]]</f>
        <v>EMPLOYEESAllowed2017-01-01Chronic Disease Management - Cost</v>
      </c>
      <c r="B286" t="s">
        <v>90</v>
      </c>
      <c r="C286" t="s">
        <v>90</v>
      </c>
      <c r="D286" t="s">
        <v>91</v>
      </c>
      <c r="E286" s="1" t="s">
        <v>105</v>
      </c>
      <c r="F286" t="s">
        <v>93</v>
      </c>
      <c r="G286" t="s">
        <v>28</v>
      </c>
      <c r="H286">
        <v>17</v>
      </c>
      <c r="I286">
        <v>1398846</v>
      </c>
    </row>
    <row r="287" spans="1:9" x14ac:dyDescent="0.25">
      <c r="A287" s="5" t="str">
        <f>TrendSheetPrdData[[#This Row],[Population]]&amp;TrendSheetPrdData[[#This Row],[Cost Basis]]&amp;TrendSheetPrdData[[#This Row],[Period]]&amp;TrendSheetPrdData[[#This Row],[Trend]]</f>
        <v>EMPLOYEESAllowed2017-02-01Chronic Disease Management - Cost</v>
      </c>
      <c r="B287" t="s">
        <v>90</v>
      </c>
      <c r="C287" t="s">
        <v>90</v>
      </c>
      <c r="D287" t="s">
        <v>91</v>
      </c>
      <c r="E287" s="1" t="s">
        <v>106</v>
      </c>
      <c r="F287" t="s">
        <v>93</v>
      </c>
      <c r="G287" t="s">
        <v>28</v>
      </c>
      <c r="H287">
        <v>17</v>
      </c>
      <c r="I287">
        <v>1308201</v>
      </c>
    </row>
    <row r="288" spans="1:9" x14ac:dyDescent="0.25">
      <c r="A288" s="5" t="str">
        <f>TrendSheetPrdData[[#This Row],[Population]]&amp;TrendSheetPrdData[[#This Row],[Cost Basis]]&amp;TrendSheetPrdData[[#This Row],[Period]]&amp;TrendSheetPrdData[[#This Row],[Trend]]</f>
        <v>EMPLOYEESAllowed2017-03-01Chronic Disease Management - Cost</v>
      </c>
      <c r="B288" t="s">
        <v>90</v>
      </c>
      <c r="C288" t="s">
        <v>90</v>
      </c>
      <c r="D288" t="s">
        <v>91</v>
      </c>
      <c r="E288" s="1" t="s">
        <v>107</v>
      </c>
      <c r="F288" t="s">
        <v>108</v>
      </c>
      <c r="G288" t="s">
        <v>28</v>
      </c>
      <c r="H288">
        <v>17</v>
      </c>
      <c r="I288">
        <v>1353265</v>
      </c>
    </row>
    <row r="289" spans="1:9" x14ac:dyDescent="0.25">
      <c r="A289" s="5" t="str">
        <f>TrendSheetPrdData[[#This Row],[Population]]&amp;TrendSheetPrdData[[#This Row],[Cost Basis]]&amp;TrendSheetPrdData[[#This Row],[Period]]&amp;TrendSheetPrdData[[#This Row],[Trend]]</f>
        <v>EMPLOYEESAllowed2017-04-01Chronic Disease Management - Cost</v>
      </c>
      <c r="B289" t="s">
        <v>90</v>
      </c>
      <c r="C289" t="s">
        <v>90</v>
      </c>
      <c r="D289" t="s">
        <v>91</v>
      </c>
      <c r="E289" s="1" t="s">
        <v>109</v>
      </c>
      <c r="F289" t="s">
        <v>108</v>
      </c>
      <c r="G289" t="s">
        <v>28</v>
      </c>
      <c r="H289">
        <v>17</v>
      </c>
      <c r="I289">
        <v>1197582</v>
      </c>
    </row>
    <row r="290" spans="1:9" x14ac:dyDescent="0.25">
      <c r="A290" s="5" t="str">
        <f>TrendSheetPrdData[[#This Row],[Population]]&amp;TrendSheetPrdData[[#This Row],[Cost Basis]]&amp;TrendSheetPrdData[[#This Row],[Period]]&amp;TrendSheetPrdData[[#This Row],[Trend]]</f>
        <v>EMPLOYEESAllowed2017-05-01Chronic Disease Management - Cost</v>
      </c>
      <c r="B290" t="s">
        <v>90</v>
      </c>
      <c r="C290" t="s">
        <v>90</v>
      </c>
      <c r="D290" t="s">
        <v>91</v>
      </c>
      <c r="E290" s="1" t="s">
        <v>110</v>
      </c>
      <c r="F290" t="s">
        <v>108</v>
      </c>
      <c r="G290" t="s">
        <v>28</v>
      </c>
      <c r="H290">
        <v>17</v>
      </c>
      <c r="I290">
        <v>736347</v>
      </c>
    </row>
    <row r="291" spans="1:9" x14ac:dyDescent="0.25">
      <c r="A291" s="5" t="str">
        <f>TrendSheetPrdData[[#This Row],[Population]]&amp;TrendSheetPrdData[[#This Row],[Cost Basis]]&amp;TrendSheetPrdData[[#This Row],[Period]]&amp;TrendSheetPrdData[[#This Row],[Trend]]</f>
        <v>EMPLOYEESAllowed2016-01-01Chronic Disease Management - Members</v>
      </c>
      <c r="B291" t="s">
        <v>90</v>
      </c>
      <c r="C291" t="s">
        <v>90</v>
      </c>
      <c r="D291" t="s">
        <v>91</v>
      </c>
      <c r="E291" s="1" t="s">
        <v>92</v>
      </c>
      <c r="F291" t="s">
        <v>93</v>
      </c>
      <c r="G291" t="s">
        <v>29</v>
      </c>
      <c r="H291">
        <v>18</v>
      </c>
      <c r="I291">
        <v>487.37</v>
      </c>
    </row>
    <row r="292" spans="1:9" x14ac:dyDescent="0.25">
      <c r="A292" s="5" t="str">
        <f>TrendSheetPrdData[[#This Row],[Population]]&amp;TrendSheetPrdData[[#This Row],[Cost Basis]]&amp;TrendSheetPrdData[[#This Row],[Period]]&amp;TrendSheetPrdData[[#This Row],[Trend]]</f>
        <v>EMPLOYEESAllowed2016-02-01Chronic Disease Management - Members</v>
      </c>
      <c r="B292" t="s">
        <v>90</v>
      </c>
      <c r="C292" t="s">
        <v>90</v>
      </c>
      <c r="D292" t="s">
        <v>91</v>
      </c>
      <c r="E292" s="1" t="s">
        <v>94</v>
      </c>
      <c r="F292" t="s">
        <v>93</v>
      </c>
      <c r="G292" t="s">
        <v>29</v>
      </c>
      <c r="H292">
        <v>18</v>
      </c>
      <c r="I292">
        <v>487.9</v>
      </c>
    </row>
    <row r="293" spans="1:9" x14ac:dyDescent="0.25">
      <c r="A293" s="5" t="str">
        <f>TrendSheetPrdData[[#This Row],[Population]]&amp;TrendSheetPrdData[[#This Row],[Cost Basis]]&amp;TrendSheetPrdData[[#This Row],[Period]]&amp;TrendSheetPrdData[[#This Row],[Trend]]</f>
        <v>EMPLOYEESAllowed2016-03-01Chronic Disease Management - Members</v>
      </c>
      <c r="B293" t="s">
        <v>90</v>
      </c>
      <c r="C293" t="s">
        <v>90</v>
      </c>
      <c r="D293" t="s">
        <v>91</v>
      </c>
      <c r="E293" s="1" t="s">
        <v>95</v>
      </c>
      <c r="F293" t="s">
        <v>93</v>
      </c>
      <c r="G293" t="s">
        <v>29</v>
      </c>
      <c r="H293">
        <v>18</v>
      </c>
      <c r="I293">
        <v>487.39</v>
      </c>
    </row>
    <row r="294" spans="1:9" x14ac:dyDescent="0.25">
      <c r="A294" s="5" t="str">
        <f>TrendSheetPrdData[[#This Row],[Population]]&amp;TrendSheetPrdData[[#This Row],[Cost Basis]]&amp;TrendSheetPrdData[[#This Row],[Period]]&amp;TrendSheetPrdData[[#This Row],[Trend]]</f>
        <v>EMPLOYEESAllowed2016-04-01Chronic Disease Management - Members</v>
      </c>
      <c r="B294" t="s">
        <v>90</v>
      </c>
      <c r="C294" t="s">
        <v>90</v>
      </c>
      <c r="D294" t="s">
        <v>91</v>
      </c>
      <c r="E294" s="1" t="s">
        <v>96</v>
      </c>
      <c r="F294" t="s">
        <v>93</v>
      </c>
      <c r="G294" t="s">
        <v>29</v>
      </c>
      <c r="H294">
        <v>18</v>
      </c>
      <c r="I294">
        <v>481.63</v>
      </c>
    </row>
    <row r="295" spans="1:9" x14ac:dyDescent="0.25">
      <c r="A295" s="5" t="str">
        <f>TrendSheetPrdData[[#This Row],[Population]]&amp;TrendSheetPrdData[[#This Row],[Cost Basis]]&amp;TrendSheetPrdData[[#This Row],[Period]]&amp;TrendSheetPrdData[[#This Row],[Trend]]</f>
        <v>EMPLOYEESAllowed2016-05-01Chronic Disease Management - Members</v>
      </c>
      <c r="B295" t="s">
        <v>90</v>
      </c>
      <c r="C295" t="s">
        <v>90</v>
      </c>
      <c r="D295" t="s">
        <v>91</v>
      </c>
      <c r="E295" s="1" t="s">
        <v>97</v>
      </c>
      <c r="F295" t="s">
        <v>93</v>
      </c>
      <c r="G295" t="s">
        <v>29</v>
      </c>
      <c r="H295">
        <v>18</v>
      </c>
      <c r="I295">
        <v>481</v>
      </c>
    </row>
    <row r="296" spans="1:9" x14ac:dyDescent="0.25">
      <c r="A296" s="5" t="str">
        <f>TrendSheetPrdData[[#This Row],[Population]]&amp;TrendSheetPrdData[[#This Row],[Cost Basis]]&amp;TrendSheetPrdData[[#This Row],[Period]]&amp;TrendSheetPrdData[[#This Row],[Trend]]</f>
        <v>EMPLOYEESAllowed2016-06-01Chronic Disease Management - Members</v>
      </c>
      <c r="B296" t="s">
        <v>90</v>
      </c>
      <c r="C296" t="s">
        <v>90</v>
      </c>
      <c r="D296" t="s">
        <v>91</v>
      </c>
      <c r="E296" s="1" t="s">
        <v>98</v>
      </c>
      <c r="F296" t="s">
        <v>93</v>
      </c>
      <c r="G296" t="s">
        <v>29</v>
      </c>
      <c r="H296">
        <v>18</v>
      </c>
      <c r="I296">
        <v>473.84</v>
      </c>
    </row>
    <row r="297" spans="1:9" x14ac:dyDescent="0.25">
      <c r="A297" s="5" t="str">
        <f>TrendSheetPrdData[[#This Row],[Population]]&amp;TrendSheetPrdData[[#This Row],[Cost Basis]]&amp;TrendSheetPrdData[[#This Row],[Period]]&amp;TrendSheetPrdData[[#This Row],[Trend]]</f>
        <v>EMPLOYEESAllowed2016-07-01Chronic Disease Management - Members</v>
      </c>
      <c r="B297" t="s">
        <v>90</v>
      </c>
      <c r="C297" t="s">
        <v>90</v>
      </c>
      <c r="D297" t="s">
        <v>91</v>
      </c>
      <c r="E297" s="1" t="s">
        <v>99</v>
      </c>
      <c r="F297" t="s">
        <v>93</v>
      </c>
      <c r="G297" t="s">
        <v>29</v>
      </c>
      <c r="H297">
        <v>18</v>
      </c>
      <c r="I297">
        <v>473.17</v>
      </c>
    </row>
    <row r="298" spans="1:9" x14ac:dyDescent="0.25">
      <c r="A298" s="5" t="str">
        <f>TrendSheetPrdData[[#This Row],[Population]]&amp;TrendSheetPrdData[[#This Row],[Cost Basis]]&amp;TrendSheetPrdData[[#This Row],[Period]]&amp;TrendSheetPrdData[[#This Row],[Trend]]</f>
        <v>EMPLOYEESAllowed2016-08-01Chronic Disease Management - Members</v>
      </c>
      <c r="B298" t="s">
        <v>90</v>
      </c>
      <c r="C298" t="s">
        <v>90</v>
      </c>
      <c r="D298" t="s">
        <v>91</v>
      </c>
      <c r="E298" s="1" t="s">
        <v>100</v>
      </c>
      <c r="F298" t="s">
        <v>93</v>
      </c>
      <c r="G298" t="s">
        <v>29</v>
      </c>
      <c r="H298">
        <v>18</v>
      </c>
      <c r="I298">
        <v>477.7</v>
      </c>
    </row>
    <row r="299" spans="1:9" x14ac:dyDescent="0.25">
      <c r="A299" s="5" t="str">
        <f>TrendSheetPrdData[[#This Row],[Population]]&amp;TrendSheetPrdData[[#This Row],[Cost Basis]]&amp;TrendSheetPrdData[[#This Row],[Period]]&amp;TrendSheetPrdData[[#This Row],[Trend]]</f>
        <v>EMPLOYEESAllowed2016-09-01Chronic Disease Management - Members</v>
      </c>
      <c r="B299" t="s">
        <v>90</v>
      </c>
      <c r="C299" t="s">
        <v>90</v>
      </c>
      <c r="D299" t="s">
        <v>91</v>
      </c>
      <c r="E299" s="1" t="s">
        <v>101</v>
      </c>
      <c r="F299" t="s">
        <v>93</v>
      </c>
      <c r="G299" t="s">
        <v>29</v>
      </c>
      <c r="H299">
        <v>18</v>
      </c>
      <c r="I299">
        <v>477.14</v>
      </c>
    </row>
    <row r="300" spans="1:9" x14ac:dyDescent="0.25">
      <c r="A300" s="5" t="str">
        <f>TrendSheetPrdData[[#This Row],[Population]]&amp;TrendSheetPrdData[[#This Row],[Cost Basis]]&amp;TrendSheetPrdData[[#This Row],[Period]]&amp;TrendSheetPrdData[[#This Row],[Trend]]</f>
        <v>EMPLOYEESAllowed2016-10-01Chronic Disease Management - Members</v>
      </c>
      <c r="B300" t="s">
        <v>90</v>
      </c>
      <c r="C300" t="s">
        <v>90</v>
      </c>
      <c r="D300" t="s">
        <v>91</v>
      </c>
      <c r="E300" s="1" t="s">
        <v>102</v>
      </c>
      <c r="F300" t="s">
        <v>93</v>
      </c>
      <c r="G300" t="s">
        <v>29</v>
      </c>
      <c r="H300">
        <v>18</v>
      </c>
      <c r="I300">
        <v>478.23</v>
      </c>
    </row>
    <row r="301" spans="1:9" x14ac:dyDescent="0.25">
      <c r="A301" s="5" t="str">
        <f>TrendSheetPrdData[[#This Row],[Population]]&amp;TrendSheetPrdData[[#This Row],[Cost Basis]]&amp;TrendSheetPrdData[[#This Row],[Period]]&amp;TrendSheetPrdData[[#This Row],[Trend]]</f>
        <v>EMPLOYEESAllowed2016-11-01Chronic Disease Management - Members</v>
      </c>
      <c r="B301" t="s">
        <v>90</v>
      </c>
      <c r="C301" t="s">
        <v>90</v>
      </c>
      <c r="D301" t="s">
        <v>91</v>
      </c>
      <c r="E301" s="1" t="s">
        <v>103</v>
      </c>
      <c r="F301" t="s">
        <v>93</v>
      </c>
      <c r="G301" t="s">
        <v>29</v>
      </c>
      <c r="H301">
        <v>18</v>
      </c>
      <c r="I301">
        <v>474.77</v>
      </c>
    </row>
    <row r="302" spans="1:9" x14ac:dyDescent="0.25">
      <c r="A302" s="5" t="str">
        <f>TrendSheetPrdData[[#This Row],[Population]]&amp;TrendSheetPrdData[[#This Row],[Cost Basis]]&amp;TrendSheetPrdData[[#This Row],[Period]]&amp;TrendSheetPrdData[[#This Row],[Trend]]</f>
        <v>EMPLOYEESAllowed2016-12-01Chronic Disease Management - Members</v>
      </c>
      <c r="B302" t="s">
        <v>90</v>
      </c>
      <c r="C302" t="s">
        <v>90</v>
      </c>
      <c r="D302" t="s">
        <v>91</v>
      </c>
      <c r="E302" s="1" t="s">
        <v>104</v>
      </c>
      <c r="F302" t="s">
        <v>93</v>
      </c>
      <c r="G302" t="s">
        <v>29</v>
      </c>
      <c r="H302">
        <v>18</v>
      </c>
      <c r="I302">
        <v>476.17</v>
      </c>
    </row>
    <row r="303" spans="1:9" x14ac:dyDescent="0.25">
      <c r="A303" s="5" t="str">
        <f>TrendSheetPrdData[[#This Row],[Population]]&amp;TrendSheetPrdData[[#This Row],[Cost Basis]]&amp;TrendSheetPrdData[[#This Row],[Period]]&amp;TrendSheetPrdData[[#This Row],[Trend]]</f>
        <v>EMPLOYEESAllowed2017-01-01Chronic Disease Management - Members</v>
      </c>
      <c r="B303" t="s">
        <v>90</v>
      </c>
      <c r="C303" t="s">
        <v>90</v>
      </c>
      <c r="D303" t="s">
        <v>91</v>
      </c>
      <c r="E303" s="1" t="s">
        <v>105</v>
      </c>
      <c r="F303" t="s">
        <v>93</v>
      </c>
      <c r="G303" t="s">
        <v>29</v>
      </c>
      <c r="H303">
        <v>18</v>
      </c>
      <c r="I303">
        <v>478.57</v>
      </c>
    </row>
    <row r="304" spans="1:9" x14ac:dyDescent="0.25">
      <c r="A304" s="5" t="str">
        <f>TrendSheetPrdData[[#This Row],[Population]]&amp;TrendSheetPrdData[[#This Row],[Cost Basis]]&amp;TrendSheetPrdData[[#This Row],[Period]]&amp;TrendSheetPrdData[[#This Row],[Trend]]</f>
        <v>EMPLOYEESAllowed2017-02-01Chronic Disease Management - Members</v>
      </c>
      <c r="B304" t="s">
        <v>90</v>
      </c>
      <c r="C304" t="s">
        <v>90</v>
      </c>
      <c r="D304" t="s">
        <v>91</v>
      </c>
      <c r="E304" s="1" t="s">
        <v>106</v>
      </c>
      <c r="F304" t="s">
        <v>93</v>
      </c>
      <c r="G304" t="s">
        <v>29</v>
      </c>
      <c r="H304">
        <v>18</v>
      </c>
      <c r="I304">
        <v>471.22</v>
      </c>
    </row>
    <row r="305" spans="1:9" x14ac:dyDescent="0.25">
      <c r="A305" s="5" t="str">
        <f>TrendSheetPrdData[[#This Row],[Population]]&amp;TrendSheetPrdData[[#This Row],[Cost Basis]]&amp;TrendSheetPrdData[[#This Row],[Period]]&amp;TrendSheetPrdData[[#This Row],[Trend]]</f>
        <v>EMPLOYEESAllowed2017-03-01Chronic Disease Management - Members</v>
      </c>
      <c r="B305" t="s">
        <v>90</v>
      </c>
      <c r="C305" t="s">
        <v>90</v>
      </c>
      <c r="D305" t="s">
        <v>91</v>
      </c>
      <c r="E305" s="1" t="s">
        <v>107</v>
      </c>
      <c r="F305" t="s">
        <v>108</v>
      </c>
      <c r="G305" t="s">
        <v>29</v>
      </c>
      <c r="H305">
        <v>18</v>
      </c>
      <c r="I305">
        <v>466.23</v>
      </c>
    </row>
    <row r="306" spans="1:9" x14ac:dyDescent="0.25">
      <c r="A306" s="5" t="str">
        <f>TrendSheetPrdData[[#This Row],[Population]]&amp;TrendSheetPrdData[[#This Row],[Cost Basis]]&amp;TrendSheetPrdData[[#This Row],[Period]]&amp;TrendSheetPrdData[[#This Row],[Trend]]</f>
        <v>EMPLOYEESAllowed2017-04-01Chronic Disease Management - Members</v>
      </c>
      <c r="B306" t="s">
        <v>90</v>
      </c>
      <c r="C306" t="s">
        <v>90</v>
      </c>
      <c r="D306" t="s">
        <v>91</v>
      </c>
      <c r="E306" s="1" t="s">
        <v>109</v>
      </c>
      <c r="F306" t="s">
        <v>108</v>
      </c>
      <c r="G306" t="s">
        <v>29</v>
      </c>
      <c r="H306">
        <v>18</v>
      </c>
      <c r="I306">
        <v>464.29</v>
      </c>
    </row>
    <row r="307" spans="1:9" x14ac:dyDescent="0.25">
      <c r="A307" s="5" t="str">
        <f>TrendSheetPrdData[[#This Row],[Population]]&amp;TrendSheetPrdData[[#This Row],[Cost Basis]]&amp;TrendSheetPrdData[[#This Row],[Period]]&amp;TrendSheetPrdData[[#This Row],[Trend]]</f>
        <v>EMPLOYEESAllowed2017-05-01Chronic Disease Management - Members</v>
      </c>
      <c r="B307" t="s">
        <v>90</v>
      </c>
      <c r="C307" t="s">
        <v>90</v>
      </c>
      <c r="D307" t="s">
        <v>91</v>
      </c>
      <c r="E307" s="1" t="s">
        <v>110</v>
      </c>
      <c r="F307" t="s">
        <v>108</v>
      </c>
      <c r="G307" t="s">
        <v>29</v>
      </c>
      <c r="H307">
        <v>18</v>
      </c>
      <c r="I307">
        <v>460.05</v>
      </c>
    </row>
    <row r="308" spans="1:9" x14ac:dyDescent="0.25">
      <c r="A308" s="5" t="str">
        <f>TrendSheetPrdData[[#This Row],[Population]]&amp;TrendSheetPrdData[[#This Row],[Cost Basis]]&amp;TrendSheetPrdData[[#This Row],[Period]]&amp;TrendSheetPrdData[[#This Row],[Trend]]</f>
        <v>EMPLOYEESAllowed2016-01-01Inpatient Claim Count</v>
      </c>
      <c r="B308" t="s">
        <v>90</v>
      </c>
      <c r="C308" t="s">
        <v>90</v>
      </c>
      <c r="D308" t="s">
        <v>91</v>
      </c>
      <c r="E308" s="1" t="s">
        <v>92</v>
      </c>
      <c r="F308" t="s">
        <v>93</v>
      </c>
      <c r="G308" t="s">
        <v>30</v>
      </c>
      <c r="H308">
        <v>19</v>
      </c>
      <c r="I308">
        <v>425</v>
      </c>
    </row>
    <row r="309" spans="1:9" x14ac:dyDescent="0.25">
      <c r="A309" s="5" t="str">
        <f>TrendSheetPrdData[[#This Row],[Population]]&amp;TrendSheetPrdData[[#This Row],[Cost Basis]]&amp;TrendSheetPrdData[[#This Row],[Period]]&amp;TrendSheetPrdData[[#This Row],[Trend]]</f>
        <v>EMPLOYEESAllowed2016-02-01Inpatient Claim Count</v>
      </c>
      <c r="B309" t="s">
        <v>90</v>
      </c>
      <c r="C309" t="s">
        <v>90</v>
      </c>
      <c r="D309" t="s">
        <v>91</v>
      </c>
      <c r="E309" s="1" t="s">
        <v>94</v>
      </c>
      <c r="F309" t="s">
        <v>93</v>
      </c>
      <c r="G309" t="s">
        <v>30</v>
      </c>
      <c r="H309">
        <v>19</v>
      </c>
      <c r="I309">
        <v>341</v>
      </c>
    </row>
    <row r="310" spans="1:9" x14ac:dyDescent="0.25">
      <c r="A310" s="5" t="str">
        <f>TrendSheetPrdData[[#This Row],[Population]]&amp;TrendSheetPrdData[[#This Row],[Cost Basis]]&amp;TrendSheetPrdData[[#This Row],[Period]]&amp;TrendSheetPrdData[[#This Row],[Trend]]</f>
        <v>EMPLOYEESAllowed2016-03-01Inpatient Claim Count</v>
      </c>
      <c r="B310" t="s">
        <v>90</v>
      </c>
      <c r="C310" t="s">
        <v>90</v>
      </c>
      <c r="D310" t="s">
        <v>91</v>
      </c>
      <c r="E310" s="1" t="s">
        <v>95</v>
      </c>
      <c r="F310" t="s">
        <v>93</v>
      </c>
      <c r="G310" t="s">
        <v>30</v>
      </c>
      <c r="H310">
        <v>19</v>
      </c>
      <c r="I310">
        <v>234</v>
      </c>
    </row>
    <row r="311" spans="1:9" x14ac:dyDescent="0.25">
      <c r="A311" s="5" t="str">
        <f>TrendSheetPrdData[[#This Row],[Population]]&amp;TrendSheetPrdData[[#This Row],[Cost Basis]]&amp;TrendSheetPrdData[[#This Row],[Period]]&amp;TrendSheetPrdData[[#This Row],[Trend]]</f>
        <v>EMPLOYEESAllowed2016-04-01Inpatient Claim Count</v>
      </c>
      <c r="B311" t="s">
        <v>90</v>
      </c>
      <c r="C311" t="s">
        <v>90</v>
      </c>
      <c r="D311" t="s">
        <v>91</v>
      </c>
      <c r="E311" s="1" t="s">
        <v>96</v>
      </c>
      <c r="F311" t="s">
        <v>93</v>
      </c>
      <c r="G311" t="s">
        <v>30</v>
      </c>
      <c r="H311">
        <v>19</v>
      </c>
      <c r="I311">
        <v>326</v>
      </c>
    </row>
    <row r="312" spans="1:9" x14ac:dyDescent="0.25">
      <c r="A312" s="5" t="str">
        <f>TrendSheetPrdData[[#This Row],[Population]]&amp;TrendSheetPrdData[[#This Row],[Cost Basis]]&amp;TrendSheetPrdData[[#This Row],[Period]]&amp;TrendSheetPrdData[[#This Row],[Trend]]</f>
        <v>EMPLOYEESAllowed2016-05-01Inpatient Claim Count</v>
      </c>
      <c r="B312" t="s">
        <v>90</v>
      </c>
      <c r="C312" t="s">
        <v>90</v>
      </c>
      <c r="D312" t="s">
        <v>91</v>
      </c>
      <c r="E312" s="1" t="s">
        <v>97</v>
      </c>
      <c r="F312" t="s">
        <v>93</v>
      </c>
      <c r="G312" t="s">
        <v>30</v>
      </c>
      <c r="H312">
        <v>19</v>
      </c>
      <c r="I312">
        <v>343</v>
      </c>
    </row>
    <row r="313" spans="1:9" x14ac:dyDescent="0.25">
      <c r="A313" s="5" t="str">
        <f>TrendSheetPrdData[[#This Row],[Population]]&amp;TrendSheetPrdData[[#This Row],[Cost Basis]]&amp;TrendSheetPrdData[[#This Row],[Period]]&amp;TrendSheetPrdData[[#This Row],[Trend]]</f>
        <v>EMPLOYEESAllowed2016-06-01Inpatient Claim Count</v>
      </c>
      <c r="B313" t="s">
        <v>90</v>
      </c>
      <c r="C313" t="s">
        <v>90</v>
      </c>
      <c r="D313" t="s">
        <v>91</v>
      </c>
      <c r="E313" s="1" t="s">
        <v>98</v>
      </c>
      <c r="F313" t="s">
        <v>93</v>
      </c>
      <c r="G313" t="s">
        <v>30</v>
      </c>
      <c r="H313">
        <v>19</v>
      </c>
      <c r="I313">
        <v>212</v>
      </c>
    </row>
    <row r="314" spans="1:9" x14ac:dyDescent="0.25">
      <c r="A314" s="5" t="str">
        <f>TrendSheetPrdData[[#This Row],[Population]]&amp;TrendSheetPrdData[[#This Row],[Cost Basis]]&amp;TrendSheetPrdData[[#This Row],[Period]]&amp;TrendSheetPrdData[[#This Row],[Trend]]</f>
        <v>EMPLOYEESAllowed2016-07-01Inpatient Claim Count</v>
      </c>
      <c r="B314" t="s">
        <v>90</v>
      </c>
      <c r="C314" t="s">
        <v>90</v>
      </c>
      <c r="D314" t="s">
        <v>91</v>
      </c>
      <c r="E314" s="1" t="s">
        <v>99</v>
      </c>
      <c r="F314" t="s">
        <v>93</v>
      </c>
      <c r="G314" t="s">
        <v>30</v>
      </c>
      <c r="H314">
        <v>19</v>
      </c>
      <c r="I314">
        <v>423</v>
      </c>
    </row>
    <row r="315" spans="1:9" x14ac:dyDescent="0.25">
      <c r="A315" s="5" t="str">
        <f>TrendSheetPrdData[[#This Row],[Population]]&amp;TrendSheetPrdData[[#This Row],[Cost Basis]]&amp;TrendSheetPrdData[[#This Row],[Period]]&amp;TrendSheetPrdData[[#This Row],[Trend]]</f>
        <v>EMPLOYEESAllowed2016-08-01Inpatient Claim Count</v>
      </c>
      <c r="B315" t="s">
        <v>90</v>
      </c>
      <c r="C315" t="s">
        <v>90</v>
      </c>
      <c r="D315" t="s">
        <v>91</v>
      </c>
      <c r="E315" s="1" t="s">
        <v>100</v>
      </c>
      <c r="F315" t="s">
        <v>93</v>
      </c>
      <c r="G315" t="s">
        <v>30</v>
      </c>
      <c r="H315">
        <v>19</v>
      </c>
      <c r="I315">
        <v>319</v>
      </c>
    </row>
    <row r="316" spans="1:9" x14ac:dyDescent="0.25">
      <c r="A316" s="5" t="str">
        <f>TrendSheetPrdData[[#This Row],[Population]]&amp;TrendSheetPrdData[[#This Row],[Cost Basis]]&amp;TrendSheetPrdData[[#This Row],[Period]]&amp;TrendSheetPrdData[[#This Row],[Trend]]</f>
        <v>EMPLOYEESAllowed2016-09-01Inpatient Claim Count</v>
      </c>
      <c r="B316" t="s">
        <v>90</v>
      </c>
      <c r="C316" t="s">
        <v>90</v>
      </c>
      <c r="D316" t="s">
        <v>91</v>
      </c>
      <c r="E316" s="1" t="s">
        <v>101</v>
      </c>
      <c r="F316" t="s">
        <v>93</v>
      </c>
      <c r="G316" t="s">
        <v>30</v>
      </c>
      <c r="H316">
        <v>19</v>
      </c>
      <c r="I316">
        <v>317</v>
      </c>
    </row>
    <row r="317" spans="1:9" x14ac:dyDescent="0.25">
      <c r="A317" s="5" t="str">
        <f>TrendSheetPrdData[[#This Row],[Population]]&amp;TrendSheetPrdData[[#This Row],[Cost Basis]]&amp;TrendSheetPrdData[[#This Row],[Period]]&amp;TrendSheetPrdData[[#This Row],[Trend]]</f>
        <v>EMPLOYEESAllowed2016-10-01Inpatient Claim Count</v>
      </c>
      <c r="B317" t="s">
        <v>90</v>
      </c>
      <c r="C317" t="s">
        <v>90</v>
      </c>
      <c r="D317" t="s">
        <v>91</v>
      </c>
      <c r="E317" s="1" t="s">
        <v>102</v>
      </c>
      <c r="F317" t="s">
        <v>93</v>
      </c>
      <c r="G317" t="s">
        <v>30</v>
      </c>
      <c r="H317">
        <v>19</v>
      </c>
      <c r="I317">
        <v>277</v>
      </c>
    </row>
    <row r="318" spans="1:9" x14ac:dyDescent="0.25">
      <c r="A318" s="5" t="str">
        <f>TrendSheetPrdData[[#This Row],[Population]]&amp;TrendSheetPrdData[[#This Row],[Cost Basis]]&amp;TrendSheetPrdData[[#This Row],[Period]]&amp;TrendSheetPrdData[[#This Row],[Trend]]</f>
        <v>EMPLOYEESAllowed2016-11-01Inpatient Claim Count</v>
      </c>
      <c r="B318" t="s">
        <v>90</v>
      </c>
      <c r="C318" t="s">
        <v>90</v>
      </c>
      <c r="D318" t="s">
        <v>91</v>
      </c>
      <c r="E318" s="1" t="s">
        <v>103</v>
      </c>
      <c r="F318" t="s">
        <v>93</v>
      </c>
      <c r="G318" t="s">
        <v>30</v>
      </c>
      <c r="H318">
        <v>19</v>
      </c>
      <c r="I318">
        <v>194</v>
      </c>
    </row>
    <row r="319" spans="1:9" x14ac:dyDescent="0.25">
      <c r="A319" s="5" t="str">
        <f>TrendSheetPrdData[[#This Row],[Population]]&amp;TrendSheetPrdData[[#This Row],[Cost Basis]]&amp;TrendSheetPrdData[[#This Row],[Period]]&amp;TrendSheetPrdData[[#This Row],[Trend]]</f>
        <v>EMPLOYEESAllowed2016-12-01Inpatient Claim Count</v>
      </c>
      <c r="B319" t="s">
        <v>90</v>
      </c>
      <c r="C319" t="s">
        <v>90</v>
      </c>
      <c r="D319" t="s">
        <v>91</v>
      </c>
      <c r="E319" s="1" t="s">
        <v>104</v>
      </c>
      <c r="F319" t="s">
        <v>93</v>
      </c>
      <c r="G319" t="s">
        <v>30</v>
      </c>
      <c r="H319">
        <v>19</v>
      </c>
      <c r="I319">
        <v>261</v>
      </c>
    </row>
    <row r="320" spans="1:9" x14ac:dyDescent="0.25">
      <c r="A320" s="5" t="str">
        <f>TrendSheetPrdData[[#This Row],[Population]]&amp;TrendSheetPrdData[[#This Row],[Cost Basis]]&amp;TrendSheetPrdData[[#This Row],[Period]]&amp;TrendSheetPrdData[[#This Row],[Trend]]</f>
        <v>EMPLOYEESAllowed2017-01-01Inpatient Claim Count</v>
      </c>
      <c r="B320" t="s">
        <v>90</v>
      </c>
      <c r="C320" t="s">
        <v>90</v>
      </c>
      <c r="D320" t="s">
        <v>91</v>
      </c>
      <c r="E320" s="1" t="s">
        <v>105</v>
      </c>
      <c r="F320" t="s">
        <v>93</v>
      </c>
      <c r="G320" t="s">
        <v>30</v>
      </c>
      <c r="H320">
        <v>19</v>
      </c>
      <c r="I320">
        <v>206</v>
      </c>
    </row>
    <row r="321" spans="1:9" x14ac:dyDescent="0.25">
      <c r="A321" s="5" t="str">
        <f>TrendSheetPrdData[[#This Row],[Population]]&amp;TrendSheetPrdData[[#This Row],[Cost Basis]]&amp;TrendSheetPrdData[[#This Row],[Period]]&amp;TrendSheetPrdData[[#This Row],[Trend]]</f>
        <v>EMPLOYEESAllowed2017-02-01Inpatient Claim Count</v>
      </c>
      <c r="B321" t="s">
        <v>90</v>
      </c>
      <c r="C321" t="s">
        <v>90</v>
      </c>
      <c r="D321" t="s">
        <v>91</v>
      </c>
      <c r="E321" s="1" t="s">
        <v>106</v>
      </c>
      <c r="F321" t="s">
        <v>93</v>
      </c>
      <c r="G321" t="s">
        <v>30</v>
      </c>
      <c r="H321">
        <v>19</v>
      </c>
      <c r="I321">
        <v>264</v>
      </c>
    </row>
    <row r="322" spans="1:9" x14ac:dyDescent="0.25">
      <c r="A322" s="5" t="str">
        <f>TrendSheetPrdData[[#This Row],[Population]]&amp;TrendSheetPrdData[[#This Row],[Cost Basis]]&amp;TrendSheetPrdData[[#This Row],[Period]]&amp;TrendSheetPrdData[[#This Row],[Trend]]</f>
        <v>EMPLOYEESAllowed2017-03-01Inpatient Claim Count</v>
      </c>
      <c r="B322" t="s">
        <v>90</v>
      </c>
      <c r="C322" t="s">
        <v>90</v>
      </c>
      <c r="D322" t="s">
        <v>91</v>
      </c>
      <c r="E322" s="1" t="s">
        <v>107</v>
      </c>
      <c r="F322" t="s">
        <v>108</v>
      </c>
      <c r="G322" t="s">
        <v>30</v>
      </c>
      <c r="H322">
        <v>19</v>
      </c>
      <c r="I322">
        <v>257</v>
      </c>
    </row>
    <row r="323" spans="1:9" x14ac:dyDescent="0.25">
      <c r="A323" s="5" t="str">
        <f>TrendSheetPrdData[[#This Row],[Population]]&amp;TrendSheetPrdData[[#This Row],[Cost Basis]]&amp;TrendSheetPrdData[[#This Row],[Period]]&amp;TrendSheetPrdData[[#This Row],[Trend]]</f>
        <v>EMPLOYEESAllowed2017-04-01Inpatient Claim Count</v>
      </c>
      <c r="B323" t="s">
        <v>90</v>
      </c>
      <c r="C323" t="s">
        <v>90</v>
      </c>
      <c r="D323" t="s">
        <v>91</v>
      </c>
      <c r="E323" s="1" t="s">
        <v>109</v>
      </c>
      <c r="F323" t="s">
        <v>108</v>
      </c>
      <c r="G323" t="s">
        <v>30</v>
      </c>
      <c r="H323">
        <v>19</v>
      </c>
      <c r="I323">
        <v>155</v>
      </c>
    </row>
    <row r="324" spans="1:9" x14ac:dyDescent="0.25">
      <c r="A324" s="5" t="str">
        <f>TrendSheetPrdData[[#This Row],[Population]]&amp;TrendSheetPrdData[[#This Row],[Cost Basis]]&amp;TrendSheetPrdData[[#This Row],[Period]]&amp;TrendSheetPrdData[[#This Row],[Trend]]</f>
        <v>EMPLOYEESAllowed2017-05-01Inpatient Claim Count</v>
      </c>
      <c r="B324" t="s">
        <v>90</v>
      </c>
      <c r="C324" t="s">
        <v>90</v>
      </c>
      <c r="D324" t="s">
        <v>91</v>
      </c>
      <c r="E324" s="1" t="s">
        <v>110</v>
      </c>
      <c r="F324" t="s">
        <v>108</v>
      </c>
      <c r="G324" t="s">
        <v>30</v>
      </c>
      <c r="H324">
        <v>19</v>
      </c>
      <c r="I324">
        <v>133</v>
      </c>
    </row>
    <row r="325" spans="1:9" x14ac:dyDescent="0.25">
      <c r="A325" s="5" t="str">
        <f>TrendSheetPrdData[[#This Row],[Population]]&amp;TrendSheetPrdData[[#This Row],[Cost Basis]]&amp;TrendSheetPrdData[[#This Row],[Period]]&amp;TrendSheetPrdData[[#This Row],[Trend]]</f>
        <v>EMPLOYEESAllowed2016-01-01Outpatient Claim Count</v>
      </c>
      <c r="B325" t="s">
        <v>90</v>
      </c>
      <c r="C325" t="s">
        <v>90</v>
      </c>
      <c r="D325" t="s">
        <v>91</v>
      </c>
      <c r="E325" s="1" t="s">
        <v>92</v>
      </c>
      <c r="F325" t="s">
        <v>93</v>
      </c>
      <c r="G325" t="s">
        <v>31</v>
      </c>
      <c r="H325">
        <v>20</v>
      </c>
      <c r="I325">
        <v>3984</v>
      </c>
    </row>
    <row r="326" spans="1:9" x14ac:dyDescent="0.25">
      <c r="A326" s="5" t="str">
        <f>TrendSheetPrdData[[#This Row],[Population]]&amp;TrendSheetPrdData[[#This Row],[Cost Basis]]&amp;TrendSheetPrdData[[#This Row],[Period]]&amp;TrendSheetPrdData[[#This Row],[Trend]]</f>
        <v>EMPLOYEESAllowed2016-02-01Outpatient Claim Count</v>
      </c>
      <c r="B326" t="s">
        <v>90</v>
      </c>
      <c r="C326" t="s">
        <v>90</v>
      </c>
      <c r="D326" t="s">
        <v>91</v>
      </c>
      <c r="E326" s="1" t="s">
        <v>94</v>
      </c>
      <c r="F326" t="s">
        <v>93</v>
      </c>
      <c r="G326" t="s">
        <v>31</v>
      </c>
      <c r="H326">
        <v>20</v>
      </c>
      <c r="I326">
        <v>3674</v>
      </c>
    </row>
    <row r="327" spans="1:9" x14ac:dyDescent="0.25">
      <c r="A327" s="5" t="str">
        <f>TrendSheetPrdData[[#This Row],[Population]]&amp;TrendSheetPrdData[[#This Row],[Cost Basis]]&amp;TrendSheetPrdData[[#This Row],[Period]]&amp;TrendSheetPrdData[[#This Row],[Trend]]</f>
        <v>EMPLOYEESAllowed2016-03-01Outpatient Claim Count</v>
      </c>
      <c r="B327" t="s">
        <v>90</v>
      </c>
      <c r="C327" t="s">
        <v>90</v>
      </c>
      <c r="D327" t="s">
        <v>91</v>
      </c>
      <c r="E327" s="1" t="s">
        <v>95</v>
      </c>
      <c r="F327" t="s">
        <v>93</v>
      </c>
      <c r="G327" t="s">
        <v>31</v>
      </c>
      <c r="H327">
        <v>20</v>
      </c>
      <c r="I327">
        <v>3747</v>
      </c>
    </row>
    <row r="328" spans="1:9" x14ac:dyDescent="0.25">
      <c r="A328" s="5" t="str">
        <f>TrendSheetPrdData[[#This Row],[Population]]&amp;TrendSheetPrdData[[#This Row],[Cost Basis]]&amp;TrendSheetPrdData[[#This Row],[Period]]&amp;TrendSheetPrdData[[#This Row],[Trend]]</f>
        <v>EMPLOYEESAllowed2016-04-01Outpatient Claim Count</v>
      </c>
      <c r="B328" t="s">
        <v>90</v>
      </c>
      <c r="C328" t="s">
        <v>90</v>
      </c>
      <c r="D328" t="s">
        <v>91</v>
      </c>
      <c r="E328" s="1" t="s">
        <v>96</v>
      </c>
      <c r="F328" t="s">
        <v>93</v>
      </c>
      <c r="G328" t="s">
        <v>31</v>
      </c>
      <c r="H328">
        <v>20</v>
      </c>
      <c r="I328">
        <v>3976</v>
      </c>
    </row>
    <row r="329" spans="1:9" x14ac:dyDescent="0.25">
      <c r="A329" s="5" t="str">
        <f>TrendSheetPrdData[[#This Row],[Population]]&amp;TrendSheetPrdData[[#This Row],[Cost Basis]]&amp;TrendSheetPrdData[[#This Row],[Period]]&amp;TrendSheetPrdData[[#This Row],[Trend]]</f>
        <v>EMPLOYEESAllowed2016-05-01Outpatient Claim Count</v>
      </c>
      <c r="B329" t="s">
        <v>90</v>
      </c>
      <c r="C329" t="s">
        <v>90</v>
      </c>
      <c r="D329" t="s">
        <v>91</v>
      </c>
      <c r="E329" s="1" t="s">
        <v>97</v>
      </c>
      <c r="F329" t="s">
        <v>93</v>
      </c>
      <c r="G329" t="s">
        <v>31</v>
      </c>
      <c r="H329">
        <v>20</v>
      </c>
      <c r="I329">
        <v>3343</v>
      </c>
    </row>
    <row r="330" spans="1:9" x14ac:dyDescent="0.25">
      <c r="A330" s="5" t="str">
        <f>TrendSheetPrdData[[#This Row],[Population]]&amp;TrendSheetPrdData[[#This Row],[Cost Basis]]&amp;TrendSheetPrdData[[#This Row],[Period]]&amp;TrendSheetPrdData[[#This Row],[Trend]]</f>
        <v>EMPLOYEESAllowed2016-06-01Outpatient Claim Count</v>
      </c>
      <c r="B330" t="s">
        <v>90</v>
      </c>
      <c r="C330" t="s">
        <v>90</v>
      </c>
      <c r="D330" t="s">
        <v>91</v>
      </c>
      <c r="E330" s="1" t="s">
        <v>98</v>
      </c>
      <c r="F330" t="s">
        <v>93</v>
      </c>
      <c r="G330" t="s">
        <v>31</v>
      </c>
      <c r="H330">
        <v>20</v>
      </c>
      <c r="I330">
        <v>3510</v>
      </c>
    </row>
    <row r="331" spans="1:9" x14ac:dyDescent="0.25">
      <c r="A331" s="5" t="str">
        <f>TrendSheetPrdData[[#This Row],[Population]]&amp;TrendSheetPrdData[[#This Row],[Cost Basis]]&amp;TrendSheetPrdData[[#This Row],[Period]]&amp;TrendSheetPrdData[[#This Row],[Trend]]</f>
        <v>EMPLOYEESAllowed2016-07-01Outpatient Claim Count</v>
      </c>
      <c r="B331" t="s">
        <v>90</v>
      </c>
      <c r="C331" t="s">
        <v>90</v>
      </c>
      <c r="D331" t="s">
        <v>91</v>
      </c>
      <c r="E331" s="1" t="s">
        <v>99</v>
      </c>
      <c r="F331" t="s">
        <v>93</v>
      </c>
      <c r="G331" t="s">
        <v>31</v>
      </c>
      <c r="H331">
        <v>20</v>
      </c>
      <c r="I331">
        <v>2866</v>
      </c>
    </row>
    <row r="332" spans="1:9" x14ac:dyDescent="0.25">
      <c r="A332" s="5" t="str">
        <f>TrendSheetPrdData[[#This Row],[Population]]&amp;TrendSheetPrdData[[#This Row],[Cost Basis]]&amp;TrendSheetPrdData[[#This Row],[Period]]&amp;TrendSheetPrdData[[#This Row],[Trend]]</f>
        <v>EMPLOYEESAllowed2016-08-01Outpatient Claim Count</v>
      </c>
      <c r="B332" t="s">
        <v>90</v>
      </c>
      <c r="C332" t="s">
        <v>90</v>
      </c>
      <c r="D332" t="s">
        <v>91</v>
      </c>
      <c r="E332" s="1" t="s">
        <v>100</v>
      </c>
      <c r="F332" t="s">
        <v>93</v>
      </c>
      <c r="G332" t="s">
        <v>31</v>
      </c>
      <c r="H332">
        <v>20</v>
      </c>
      <c r="I332">
        <v>3160</v>
      </c>
    </row>
    <row r="333" spans="1:9" x14ac:dyDescent="0.25">
      <c r="A333" s="5" t="str">
        <f>TrendSheetPrdData[[#This Row],[Population]]&amp;TrendSheetPrdData[[#This Row],[Cost Basis]]&amp;TrendSheetPrdData[[#This Row],[Period]]&amp;TrendSheetPrdData[[#This Row],[Trend]]</f>
        <v>EMPLOYEESAllowed2016-09-01Outpatient Claim Count</v>
      </c>
      <c r="B333" t="s">
        <v>90</v>
      </c>
      <c r="C333" t="s">
        <v>90</v>
      </c>
      <c r="D333" t="s">
        <v>91</v>
      </c>
      <c r="E333" s="1" t="s">
        <v>101</v>
      </c>
      <c r="F333" t="s">
        <v>93</v>
      </c>
      <c r="G333" t="s">
        <v>31</v>
      </c>
      <c r="H333">
        <v>20</v>
      </c>
      <c r="I333">
        <v>2983</v>
      </c>
    </row>
    <row r="334" spans="1:9" x14ac:dyDescent="0.25">
      <c r="A334" s="5" t="str">
        <f>TrendSheetPrdData[[#This Row],[Population]]&amp;TrendSheetPrdData[[#This Row],[Cost Basis]]&amp;TrendSheetPrdData[[#This Row],[Period]]&amp;TrendSheetPrdData[[#This Row],[Trend]]</f>
        <v>EMPLOYEESAllowed2016-10-01Outpatient Claim Count</v>
      </c>
      <c r="B334" t="s">
        <v>90</v>
      </c>
      <c r="C334" t="s">
        <v>90</v>
      </c>
      <c r="D334" t="s">
        <v>91</v>
      </c>
      <c r="E334" s="1" t="s">
        <v>102</v>
      </c>
      <c r="F334" t="s">
        <v>93</v>
      </c>
      <c r="G334" t="s">
        <v>31</v>
      </c>
      <c r="H334">
        <v>20</v>
      </c>
      <c r="I334">
        <v>3085</v>
      </c>
    </row>
    <row r="335" spans="1:9" x14ac:dyDescent="0.25">
      <c r="A335" s="5" t="str">
        <f>TrendSheetPrdData[[#This Row],[Population]]&amp;TrendSheetPrdData[[#This Row],[Cost Basis]]&amp;TrendSheetPrdData[[#This Row],[Period]]&amp;TrendSheetPrdData[[#This Row],[Trend]]</f>
        <v>EMPLOYEESAllowed2016-11-01Outpatient Claim Count</v>
      </c>
      <c r="B335" t="s">
        <v>90</v>
      </c>
      <c r="C335" t="s">
        <v>90</v>
      </c>
      <c r="D335" t="s">
        <v>91</v>
      </c>
      <c r="E335" s="1" t="s">
        <v>103</v>
      </c>
      <c r="F335" t="s">
        <v>93</v>
      </c>
      <c r="G335" t="s">
        <v>31</v>
      </c>
      <c r="H335">
        <v>20</v>
      </c>
      <c r="I335">
        <v>3212</v>
      </c>
    </row>
    <row r="336" spans="1:9" x14ac:dyDescent="0.25">
      <c r="A336" s="5" t="str">
        <f>TrendSheetPrdData[[#This Row],[Population]]&amp;TrendSheetPrdData[[#This Row],[Cost Basis]]&amp;TrendSheetPrdData[[#This Row],[Period]]&amp;TrendSheetPrdData[[#This Row],[Trend]]</f>
        <v>EMPLOYEESAllowed2016-12-01Outpatient Claim Count</v>
      </c>
      <c r="B336" t="s">
        <v>90</v>
      </c>
      <c r="C336" t="s">
        <v>90</v>
      </c>
      <c r="D336" t="s">
        <v>91</v>
      </c>
      <c r="E336" s="1" t="s">
        <v>104</v>
      </c>
      <c r="F336" t="s">
        <v>93</v>
      </c>
      <c r="G336" t="s">
        <v>31</v>
      </c>
      <c r="H336">
        <v>20</v>
      </c>
      <c r="I336">
        <v>3042</v>
      </c>
    </row>
    <row r="337" spans="1:9" x14ac:dyDescent="0.25">
      <c r="A337" s="5" t="str">
        <f>TrendSheetPrdData[[#This Row],[Population]]&amp;TrendSheetPrdData[[#This Row],[Cost Basis]]&amp;TrendSheetPrdData[[#This Row],[Period]]&amp;TrendSheetPrdData[[#This Row],[Trend]]</f>
        <v>EMPLOYEESAllowed2017-01-01Outpatient Claim Count</v>
      </c>
      <c r="B337" t="s">
        <v>90</v>
      </c>
      <c r="C337" t="s">
        <v>90</v>
      </c>
      <c r="D337" t="s">
        <v>91</v>
      </c>
      <c r="E337" s="1" t="s">
        <v>105</v>
      </c>
      <c r="F337" t="s">
        <v>93</v>
      </c>
      <c r="G337" t="s">
        <v>31</v>
      </c>
      <c r="H337">
        <v>20</v>
      </c>
      <c r="I337">
        <v>3456</v>
      </c>
    </row>
    <row r="338" spans="1:9" x14ac:dyDescent="0.25">
      <c r="A338" s="5" t="str">
        <f>TrendSheetPrdData[[#This Row],[Population]]&amp;TrendSheetPrdData[[#This Row],[Cost Basis]]&amp;TrendSheetPrdData[[#This Row],[Period]]&amp;TrendSheetPrdData[[#This Row],[Trend]]</f>
        <v>EMPLOYEESAllowed2017-02-01Outpatient Claim Count</v>
      </c>
      <c r="B338" t="s">
        <v>90</v>
      </c>
      <c r="C338" t="s">
        <v>90</v>
      </c>
      <c r="D338" t="s">
        <v>91</v>
      </c>
      <c r="E338" s="1" t="s">
        <v>106</v>
      </c>
      <c r="F338" t="s">
        <v>93</v>
      </c>
      <c r="G338" t="s">
        <v>31</v>
      </c>
      <c r="H338">
        <v>20</v>
      </c>
      <c r="I338">
        <v>3184</v>
      </c>
    </row>
    <row r="339" spans="1:9" x14ac:dyDescent="0.25">
      <c r="A339" s="5" t="str">
        <f>TrendSheetPrdData[[#This Row],[Population]]&amp;TrendSheetPrdData[[#This Row],[Cost Basis]]&amp;TrendSheetPrdData[[#This Row],[Period]]&amp;TrendSheetPrdData[[#This Row],[Trend]]</f>
        <v>EMPLOYEESAllowed2017-03-01Outpatient Claim Count</v>
      </c>
      <c r="B339" t="s">
        <v>90</v>
      </c>
      <c r="C339" t="s">
        <v>90</v>
      </c>
      <c r="D339" t="s">
        <v>91</v>
      </c>
      <c r="E339" s="1" t="s">
        <v>107</v>
      </c>
      <c r="F339" t="s">
        <v>108</v>
      </c>
      <c r="G339" t="s">
        <v>31</v>
      </c>
      <c r="H339">
        <v>20</v>
      </c>
      <c r="I339">
        <v>3451</v>
      </c>
    </row>
    <row r="340" spans="1:9" x14ac:dyDescent="0.25">
      <c r="A340" s="5" t="str">
        <f>TrendSheetPrdData[[#This Row],[Population]]&amp;TrendSheetPrdData[[#This Row],[Cost Basis]]&amp;TrendSheetPrdData[[#This Row],[Period]]&amp;TrendSheetPrdData[[#This Row],[Trend]]</f>
        <v>EMPLOYEESAllowed2017-04-01Outpatient Claim Count</v>
      </c>
      <c r="B340" t="s">
        <v>90</v>
      </c>
      <c r="C340" t="s">
        <v>90</v>
      </c>
      <c r="D340" t="s">
        <v>91</v>
      </c>
      <c r="E340" s="1" t="s">
        <v>109</v>
      </c>
      <c r="F340" t="s">
        <v>108</v>
      </c>
      <c r="G340" t="s">
        <v>31</v>
      </c>
      <c r="H340">
        <v>20</v>
      </c>
      <c r="I340">
        <v>2689</v>
      </c>
    </row>
    <row r="341" spans="1:9" x14ac:dyDescent="0.25">
      <c r="A341" s="5" t="str">
        <f>TrendSheetPrdData[[#This Row],[Population]]&amp;TrendSheetPrdData[[#This Row],[Cost Basis]]&amp;TrendSheetPrdData[[#This Row],[Period]]&amp;TrendSheetPrdData[[#This Row],[Trend]]</f>
        <v>EMPLOYEESAllowed2017-05-01Outpatient Claim Count</v>
      </c>
      <c r="B341" t="s">
        <v>90</v>
      </c>
      <c r="C341" t="s">
        <v>90</v>
      </c>
      <c r="D341" t="s">
        <v>91</v>
      </c>
      <c r="E341" s="1" t="s">
        <v>110</v>
      </c>
      <c r="F341" t="s">
        <v>108</v>
      </c>
      <c r="G341" t="s">
        <v>31</v>
      </c>
      <c r="H341">
        <v>20</v>
      </c>
      <c r="I341">
        <v>1823</v>
      </c>
    </row>
    <row r="342" spans="1:9" x14ac:dyDescent="0.25">
      <c r="A342" s="5" t="str">
        <f>TrendSheetPrdData[[#This Row],[Population]]&amp;TrendSheetPrdData[[#This Row],[Cost Basis]]&amp;TrendSheetPrdData[[#This Row],[Period]]&amp;TrendSheetPrdData[[#This Row],[Trend]]</f>
        <v>EMPLOYEESAllowed2016-01-01Professional Claim Count</v>
      </c>
      <c r="B342" t="s">
        <v>90</v>
      </c>
      <c r="C342" t="s">
        <v>90</v>
      </c>
      <c r="D342" t="s">
        <v>91</v>
      </c>
      <c r="E342" s="1" t="s">
        <v>92</v>
      </c>
      <c r="F342" t="s">
        <v>93</v>
      </c>
      <c r="G342" t="s">
        <v>32</v>
      </c>
      <c r="H342">
        <v>21</v>
      </c>
      <c r="I342">
        <v>3024</v>
      </c>
    </row>
    <row r="343" spans="1:9" x14ac:dyDescent="0.25">
      <c r="A343" s="5" t="str">
        <f>TrendSheetPrdData[[#This Row],[Population]]&amp;TrendSheetPrdData[[#This Row],[Cost Basis]]&amp;TrendSheetPrdData[[#This Row],[Period]]&amp;TrendSheetPrdData[[#This Row],[Trend]]</f>
        <v>EMPLOYEESAllowed2016-02-01Professional Claim Count</v>
      </c>
      <c r="B343" t="s">
        <v>90</v>
      </c>
      <c r="C343" t="s">
        <v>90</v>
      </c>
      <c r="D343" t="s">
        <v>91</v>
      </c>
      <c r="E343" s="1" t="s">
        <v>94</v>
      </c>
      <c r="F343" t="s">
        <v>93</v>
      </c>
      <c r="G343" t="s">
        <v>32</v>
      </c>
      <c r="H343">
        <v>21</v>
      </c>
      <c r="I343">
        <v>3401</v>
      </c>
    </row>
    <row r="344" spans="1:9" x14ac:dyDescent="0.25">
      <c r="A344" s="5" t="str">
        <f>TrendSheetPrdData[[#This Row],[Population]]&amp;TrendSheetPrdData[[#This Row],[Cost Basis]]&amp;TrendSheetPrdData[[#This Row],[Period]]&amp;TrendSheetPrdData[[#This Row],[Trend]]</f>
        <v>EMPLOYEESAllowed2016-03-01Professional Claim Count</v>
      </c>
      <c r="B344" t="s">
        <v>90</v>
      </c>
      <c r="C344" t="s">
        <v>90</v>
      </c>
      <c r="D344" t="s">
        <v>91</v>
      </c>
      <c r="E344" s="1" t="s">
        <v>95</v>
      </c>
      <c r="F344" t="s">
        <v>93</v>
      </c>
      <c r="G344" t="s">
        <v>32</v>
      </c>
      <c r="H344">
        <v>21</v>
      </c>
      <c r="I344">
        <v>3547</v>
      </c>
    </row>
    <row r="345" spans="1:9" x14ac:dyDescent="0.25">
      <c r="A345" s="5" t="str">
        <f>TrendSheetPrdData[[#This Row],[Population]]&amp;TrendSheetPrdData[[#This Row],[Cost Basis]]&amp;TrendSheetPrdData[[#This Row],[Period]]&amp;TrendSheetPrdData[[#This Row],[Trend]]</f>
        <v>EMPLOYEESAllowed2016-04-01Professional Claim Count</v>
      </c>
      <c r="B345" t="s">
        <v>90</v>
      </c>
      <c r="C345" t="s">
        <v>90</v>
      </c>
      <c r="D345" t="s">
        <v>91</v>
      </c>
      <c r="E345" s="1" t="s">
        <v>96</v>
      </c>
      <c r="F345" t="s">
        <v>93</v>
      </c>
      <c r="G345" t="s">
        <v>32</v>
      </c>
      <c r="H345">
        <v>21</v>
      </c>
      <c r="I345">
        <v>3018</v>
      </c>
    </row>
    <row r="346" spans="1:9" x14ac:dyDescent="0.25">
      <c r="A346" s="5" t="str">
        <f>TrendSheetPrdData[[#This Row],[Population]]&amp;TrendSheetPrdData[[#This Row],[Cost Basis]]&amp;TrendSheetPrdData[[#This Row],[Period]]&amp;TrendSheetPrdData[[#This Row],[Trend]]</f>
        <v>EMPLOYEESAllowed2016-05-01Professional Claim Count</v>
      </c>
      <c r="B346" t="s">
        <v>90</v>
      </c>
      <c r="C346" t="s">
        <v>90</v>
      </c>
      <c r="D346" t="s">
        <v>91</v>
      </c>
      <c r="E346" s="1" t="s">
        <v>97</v>
      </c>
      <c r="F346" t="s">
        <v>93</v>
      </c>
      <c r="G346" t="s">
        <v>32</v>
      </c>
      <c r="H346">
        <v>21</v>
      </c>
      <c r="I346">
        <v>2932</v>
      </c>
    </row>
    <row r="347" spans="1:9" x14ac:dyDescent="0.25">
      <c r="A347" s="5" t="str">
        <f>TrendSheetPrdData[[#This Row],[Population]]&amp;TrendSheetPrdData[[#This Row],[Cost Basis]]&amp;TrendSheetPrdData[[#This Row],[Period]]&amp;TrendSheetPrdData[[#This Row],[Trend]]</f>
        <v>EMPLOYEESAllowed2016-06-01Professional Claim Count</v>
      </c>
      <c r="B347" t="s">
        <v>90</v>
      </c>
      <c r="C347" t="s">
        <v>90</v>
      </c>
      <c r="D347" t="s">
        <v>91</v>
      </c>
      <c r="E347" s="1" t="s">
        <v>98</v>
      </c>
      <c r="F347" t="s">
        <v>93</v>
      </c>
      <c r="G347" t="s">
        <v>32</v>
      </c>
      <c r="H347">
        <v>21</v>
      </c>
      <c r="I347">
        <v>2635</v>
      </c>
    </row>
    <row r="348" spans="1:9" x14ac:dyDescent="0.25">
      <c r="A348" s="5" t="str">
        <f>TrendSheetPrdData[[#This Row],[Population]]&amp;TrendSheetPrdData[[#This Row],[Cost Basis]]&amp;TrendSheetPrdData[[#This Row],[Period]]&amp;TrendSheetPrdData[[#This Row],[Trend]]</f>
        <v>EMPLOYEESAllowed2016-07-01Professional Claim Count</v>
      </c>
      <c r="B348" t="s">
        <v>90</v>
      </c>
      <c r="C348" t="s">
        <v>90</v>
      </c>
      <c r="D348" t="s">
        <v>91</v>
      </c>
      <c r="E348" s="1" t="s">
        <v>99</v>
      </c>
      <c r="F348" t="s">
        <v>93</v>
      </c>
      <c r="G348" t="s">
        <v>32</v>
      </c>
      <c r="H348">
        <v>21</v>
      </c>
      <c r="I348">
        <v>2709</v>
      </c>
    </row>
    <row r="349" spans="1:9" x14ac:dyDescent="0.25">
      <c r="A349" s="5" t="str">
        <f>TrendSheetPrdData[[#This Row],[Population]]&amp;TrendSheetPrdData[[#This Row],[Cost Basis]]&amp;TrendSheetPrdData[[#This Row],[Period]]&amp;TrendSheetPrdData[[#This Row],[Trend]]</f>
        <v>EMPLOYEESAllowed2016-08-01Professional Claim Count</v>
      </c>
      <c r="B349" t="s">
        <v>90</v>
      </c>
      <c r="C349" t="s">
        <v>90</v>
      </c>
      <c r="D349" t="s">
        <v>91</v>
      </c>
      <c r="E349" s="1" t="s">
        <v>100</v>
      </c>
      <c r="F349" t="s">
        <v>93</v>
      </c>
      <c r="G349" t="s">
        <v>32</v>
      </c>
      <c r="H349">
        <v>21</v>
      </c>
      <c r="I349">
        <v>3042</v>
      </c>
    </row>
    <row r="350" spans="1:9" x14ac:dyDescent="0.25">
      <c r="A350" s="5" t="str">
        <f>TrendSheetPrdData[[#This Row],[Population]]&amp;TrendSheetPrdData[[#This Row],[Cost Basis]]&amp;TrendSheetPrdData[[#This Row],[Period]]&amp;TrendSheetPrdData[[#This Row],[Trend]]</f>
        <v>EMPLOYEESAllowed2016-09-01Professional Claim Count</v>
      </c>
      <c r="B350" t="s">
        <v>90</v>
      </c>
      <c r="C350" t="s">
        <v>90</v>
      </c>
      <c r="D350" t="s">
        <v>91</v>
      </c>
      <c r="E350" s="1" t="s">
        <v>101</v>
      </c>
      <c r="F350" t="s">
        <v>93</v>
      </c>
      <c r="G350" t="s">
        <v>32</v>
      </c>
      <c r="H350">
        <v>21</v>
      </c>
      <c r="I350">
        <v>2556</v>
      </c>
    </row>
    <row r="351" spans="1:9" x14ac:dyDescent="0.25">
      <c r="A351" s="5" t="str">
        <f>TrendSheetPrdData[[#This Row],[Population]]&amp;TrendSheetPrdData[[#This Row],[Cost Basis]]&amp;TrendSheetPrdData[[#This Row],[Period]]&amp;TrendSheetPrdData[[#This Row],[Trend]]</f>
        <v>EMPLOYEESAllowed2016-10-01Professional Claim Count</v>
      </c>
      <c r="B351" t="s">
        <v>90</v>
      </c>
      <c r="C351" t="s">
        <v>90</v>
      </c>
      <c r="D351" t="s">
        <v>91</v>
      </c>
      <c r="E351" s="1" t="s">
        <v>102</v>
      </c>
      <c r="F351" t="s">
        <v>93</v>
      </c>
      <c r="G351" t="s">
        <v>32</v>
      </c>
      <c r="H351">
        <v>21</v>
      </c>
      <c r="I351">
        <v>2929</v>
      </c>
    </row>
    <row r="352" spans="1:9" x14ac:dyDescent="0.25">
      <c r="A352" s="5" t="str">
        <f>TrendSheetPrdData[[#This Row],[Population]]&amp;TrendSheetPrdData[[#This Row],[Cost Basis]]&amp;TrendSheetPrdData[[#This Row],[Period]]&amp;TrendSheetPrdData[[#This Row],[Trend]]</f>
        <v>EMPLOYEESAllowed2016-11-01Professional Claim Count</v>
      </c>
      <c r="B352" t="s">
        <v>90</v>
      </c>
      <c r="C352" t="s">
        <v>90</v>
      </c>
      <c r="D352" t="s">
        <v>91</v>
      </c>
      <c r="E352" s="1" t="s">
        <v>103</v>
      </c>
      <c r="F352" t="s">
        <v>93</v>
      </c>
      <c r="G352" t="s">
        <v>32</v>
      </c>
      <c r="H352">
        <v>21</v>
      </c>
      <c r="I352">
        <v>2510</v>
      </c>
    </row>
    <row r="353" spans="1:9" x14ac:dyDescent="0.25">
      <c r="A353" s="5" t="str">
        <f>TrendSheetPrdData[[#This Row],[Population]]&amp;TrendSheetPrdData[[#This Row],[Cost Basis]]&amp;TrendSheetPrdData[[#This Row],[Period]]&amp;TrendSheetPrdData[[#This Row],[Trend]]</f>
        <v>EMPLOYEESAllowed2016-12-01Professional Claim Count</v>
      </c>
      <c r="B353" t="s">
        <v>90</v>
      </c>
      <c r="C353" t="s">
        <v>90</v>
      </c>
      <c r="D353" t="s">
        <v>91</v>
      </c>
      <c r="E353" s="1" t="s">
        <v>104</v>
      </c>
      <c r="F353" t="s">
        <v>93</v>
      </c>
      <c r="G353" t="s">
        <v>32</v>
      </c>
      <c r="H353">
        <v>21</v>
      </c>
      <c r="I353">
        <v>2705</v>
      </c>
    </row>
    <row r="354" spans="1:9" x14ac:dyDescent="0.25">
      <c r="A354" s="5" t="str">
        <f>TrendSheetPrdData[[#This Row],[Population]]&amp;TrendSheetPrdData[[#This Row],[Cost Basis]]&amp;TrendSheetPrdData[[#This Row],[Period]]&amp;TrendSheetPrdData[[#This Row],[Trend]]</f>
        <v>EMPLOYEESAllowed2017-01-01Professional Claim Count</v>
      </c>
      <c r="B354" t="s">
        <v>90</v>
      </c>
      <c r="C354" t="s">
        <v>90</v>
      </c>
      <c r="D354" t="s">
        <v>91</v>
      </c>
      <c r="E354" s="1" t="s">
        <v>105</v>
      </c>
      <c r="F354" t="s">
        <v>93</v>
      </c>
      <c r="G354" t="s">
        <v>32</v>
      </c>
      <c r="H354">
        <v>21</v>
      </c>
      <c r="I354">
        <v>2841</v>
      </c>
    </row>
    <row r="355" spans="1:9" x14ac:dyDescent="0.25">
      <c r="A355" s="5" t="str">
        <f>TrendSheetPrdData[[#This Row],[Population]]&amp;TrendSheetPrdData[[#This Row],[Cost Basis]]&amp;TrendSheetPrdData[[#This Row],[Period]]&amp;TrendSheetPrdData[[#This Row],[Trend]]</f>
        <v>EMPLOYEESAllowed2017-02-01Professional Claim Count</v>
      </c>
      <c r="B355" t="s">
        <v>90</v>
      </c>
      <c r="C355" t="s">
        <v>90</v>
      </c>
      <c r="D355" t="s">
        <v>91</v>
      </c>
      <c r="E355" s="1" t="s">
        <v>106</v>
      </c>
      <c r="F355" t="s">
        <v>93</v>
      </c>
      <c r="G355" t="s">
        <v>32</v>
      </c>
      <c r="H355">
        <v>21</v>
      </c>
      <c r="I355">
        <v>2545</v>
      </c>
    </row>
    <row r="356" spans="1:9" x14ac:dyDescent="0.25">
      <c r="A356" s="5" t="str">
        <f>TrendSheetPrdData[[#This Row],[Population]]&amp;TrendSheetPrdData[[#This Row],[Cost Basis]]&amp;TrendSheetPrdData[[#This Row],[Period]]&amp;TrendSheetPrdData[[#This Row],[Trend]]</f>
        <v>EMPLOYEESAllowed2017-03-01Professional Claim Count</v>
      </c>
      <c r="B356" t="s">
        <v>90</v>
      </c>
      <c r="C356" t="s">
        <v>90</v>
      </c>
      <c r="D356" t="s">
        <v>91</v>
      </c>
      <c r="E356" s="1" t="s">
        <v>107</v>
      </c>
      <c r="F356" t="s">
        <v>108</v>
      </c>
      <c r="G356" t="s">
        <v>32</v>
      </c>
      <c r="H356">
        <v>21</v>
      </c>
      <c r="I356">
        <v>2795</v>
      </c>
    </row>
    <row r="357" spans="1:9" x14ac:dyDescent="0.25">
      <c r="A357" s="5" t="str">
        <f>TrendSheetPrdData[[#This Row],[Population]]&amp;TrendSheetPrdData[[#This Row],[Cost Basis]]&amp;TrendSheetPrdData[[#This Row],[Period]]&amp;TrendSheetPrdData[[#This Row],[Trend]]</f>
        <v>EMPLOYEESAllowed2017-04-01Professional Claim Count</v>
      </c>
      <c r="B357" t="s">
        <v>90</v>
      </c>
      <c r="C357" t="s">
        <v>90</v>
      </c>
      <c r="D357" t="s">
        <v>91</v>
      </c>
      <c r="E357" s="1" t="s">
        <v>109</v>
      </c>
      <c r="F357" t="s">
        <v>108</v>
      </c>
      <c r="G357" t="s">
        <v>32</v>
      </c>
      <c r="H357">
        <v>21</v>
      </c>
      <c r="I357">
        <v>2372</v>
      </c>
    </row>
    <row r="358" spans="1:9" x14ac:dyDescent="0.25">
      <c r="A358" s="5" t="str">
        <f>TrendSheetPrdData[[#This Row],[Population]]&amp;TrendSheetPrdData[[#This Row],[Cost Basis]]&amp;TrendSheetPrdData[[#This Row],[Period]]&amp;TrendSheetPrdData[[#This Row],[Trend]]</f>
        <v>EMPLOYEESAllowed2017-05-01Professional Claim Count</v>
      </c>
      <c r="B358" t="s">
        <v>90</v>
      </c>
      <c r="C358" t="s">
        <v>90</v>
      </c>
      <c r="D358" t="s">
        <v>91</v>
      </c>
      <c r="E358" s="1" t="s">
        <v>110</v>
      </c>
      <c r="F358" t="s">
        <v>108</v>
      </c>
      <c r="G358" t="s">
        <v>32</v>
      </c>
      <c r="H358">
        <v>21</v>
      </c>
      <c r="I358">
        <v>1938</v>
      </c>
    </row>
    <row r="359" spans="1:9" x14ac:dyDescent="0.25">
      <c r="A359" s="5" t="str">
        <f>TrendSheetPrdData[[#This Row],[Population]]&amp;TrendSheetPrdData[[#This Row],[Cost Basis]]&amp;TrendSheetPrdData[[#This Row],[Period]]&amp;TrendSheetPrdData[[#This Row],[Trend]]</f>
        <v>EMPLOYEESAllowed2016-01-01Ancillary Claim Count</v>
      </c>
      <c r="B359" t="s">
        <v>90</v>
      </c>
      <c r="C359" t="s">
        <v>90</v>
      </c>
      <c r="D359" t="s">
        <v>91</v>
      </c>
      <c r="E359" s="1" t="s">
        <v>92</v>
      </c>
      <c r="F359" t="s">
        <v>93</v>
      </c>
      <c r="G359" t="s">
        <v>33</v>
      </c>
      <c r="H359">
        <v>22</v>
      </c>
      <c r="I359">
        <v>76</v>
      </c>
    </row>
    <row r="360" spans="1:9" x14ac:dyDescent="0.25">
      <c r="A360" s="5" t="str">
        <f>TrendSheetPrdData[[#This Row],[Population]]&amp;TrendSheetPrdData[[#This Row],[Cost Basis]]&amp;TrendSheetPrdData[[#This Row],[Period]]&amp;TrendSheetPrdData[[#This Row],[Trend]]</f>
        <v>EMPLOYEESAllowed2016-02-01Ancillary Claim Count</v>
      </c>
      <c r="B360" t="s">
        <v>90</v>
      </c>
      <c r="C360" t="s">
        <v>90</v>
      </c>
      <c r="D360" t="s">
        <v>91</v>
      </c>
      <c r="E360" s="1" t="s">
        <v>94</v>
      </c>
      <c r="F360" t="s">
        <v>93</v>
      </c>
      <c r="G360" t="s">
        <v>33</v>
      </c>
      <c r="H360">
        <v>22</v>
      </c>
      <c r="I360">
        <v>84</v>
      </c>
    </row>
    <row r="361" spans="1:9" x14ac:dyDescent="0.25">
      <c r="A361" s="5" t="str">
        <f>TrendSheetPrdData[[#This Row],[Population]]&amp;TrendSheetPrdData[[#This Row],[Cost Basis]]&amp;TrendSheetPrdData[[#This Row],[Period]]&amp;TrendSheetPrdData[[#This Row],[Trend]]</f>
        <v>EMPLOYEESAllowed2016-03-01Ancillary Claim Count</v>
      </c>
      <c r="B361" t="s">
        <v>90</v>
      </c>
      <c r="C361" t="s">
        <v>90</v>
      </c>
      <c r="D361" t="s">
        <v>91</v>
      </c>
      <c r="E361" s="1" t="s">
        <v>95</v>
      </c>
      <c r="F361" t="s">
        <v>93</v>
      </c>
      <c r="G361" t="s">
        <v>33</v>
      </c>
      <c r="H361">
        <v>22</v>
      </c>
      <c r="I361">
        <v>127</v>
      </c>
    </row>
    <row r="362" spans="1:9" x14ac:dyDescent="0.25">
      <c r="A362" s="5" t="str">
        <f>TrendSheetPrdData[[#This Row],[Population]]&amp;TrendSheetPrdData[[#This Row],[Cost Basis]]&amp;TrendSheetPrdData[[#This Row],[Period]]&amp;TrendSheetPrdData[[#This Row],[Trend]]</f>
        <v>EMPLOYEESAllowed2016-04-01Ancillary Claim Count</v>
      </c>
      <c r="B362" t="s">
        <v>90</v>
      </c>
      <c r="C362" t="s">
        <v>90</v>
      </c>
      <c r="D362" t="s">
        <v>91</v>
      </c>
      <c r="E362" s="1" t="s">
        <v>96</v>
      </c>
      <c r="F362" t="s">
        <v>93</v>
      </c>
      <c r="G362" t="s">
        <v>33</v>
      </c>
      <c r="H362">
        <v>22</v>
      </c>
      <c r="I362">
        <v>111</v>
      </c>
    </row>
    <row r="363" spans="1:9" x14ac:dyDescent="0.25">
      <c r="A363" s="5" t="str">
        <f>TrendSheetPrdData[[#This Row],[Population]]&amp;TrendSheetPrdData[[#This Row],[Cost Basis]]&amp;TrendSheetPrdData[[#This Row],[Period]]&amp;TrendSheetPrdData[[#This Row],[Trend]]</f>
        <v>EMPLOYEESAllowed2016-05-01Ancillary Claim Count</v>
      </c>
      <c r="B363" t="s">
        <v>90</v>
      </c>
      <c r="C363" t="s">
        <v>90</v>
      </c>
      <c r="D363" t="s">
        <v>91</v>
      </c>
      <c r="E363" s="1" t="s">
        <v>97</v>
      </c>
      <c r="F363" t="s">
        <v>93</v>
      </c>
      <c r="G363" t="s">
        <v>33</v>
      </c>
      <c r="H363">
        <v>22</v>
      </c>
      <c r="I363">
        <v>119</v>
      </c>
    </row>
    <row r="364" spans="1:9" x14ac:dyDescent="0.25">
      <c r="A364" s="5" t="str">
        <f>TrendSheetPrdData[[#This Row],[Population]]&amp;TrendSheetPrdData[[#This Row],[Cost Basis]]&amp;TrendSheetPrdData[[#This Row],[Period]]&amp;TrendSheetPrdData[[#This Row],[Trend]]</f>
        <v>EMPLOYEESAllowed2016-06-01Ancillary Claim Count</v>
      </c>
      <c r="B364" t="s">
        <v>90</v>
      </c>
      <c r="C364" t="s">
        <v>90</v>
      </c>
      <c r="D364" t="s">
        <v>91</v>
      </c>
      <c r="E364" s="1" t="s">
        <v>98</v>
      </c>
      <c r="F364" t="s">
        <v>93</v>
      </c>
      <c r="G364" t="s">
        <v>33</v>
      </c>
      <c r="H364">
        <v>22</v>
      </c>
      <c r="I364">
        <v>140</v>
      </c>
    </row>
    <row r="365" spans="1:9" x14ac:dyDescent="0.25">
      <c r="A365" s="5" t="str">
        <f>TrendSheetPrdData[[#This Row],[Population]]&amp;TrendSheetPrdData[[#This Row],[Cost Basis]]&amp;TrendSheetPrdData[[#This Row],[Period]]&amp;TrendSheetPrdData[[#This Row],[Trend]]</f>
        <v>EMPLOYEESAllowed2016-07-01Ancillary Claim Count</v>
      </c>
      <c r="B365" t="s">
        <v>90</v>
      </c>
      <c r="C365" t="s">
        <v>90</v>
      </c>
      <c r="D365" t="s">
        <v>91</v>
      </c>
      <c r="E365" s="1" t="s">
        <v>99</v>
      </c>
      <c r="F365" t="s">
        <v>93</v>
      </c>
      <c r="G365" t="s">
        <v>33</v>
      </c>
      <c r="H365">
        <v>22</v>
      </c>
      <c r="I365">
        <v>87</v>
      </c>
    </row>
    <row r="366" spans="1:9" x14ac:dyDescent="0.25">
      <c r="A366" s="5" t="str">
        <f>TrendSheetPrdData[[#This Row],[Population]]&amp;TrendSheetPrdData[[#This Row],[Cost Basis]]&amp;TrendSheetPrdData[[#This Row],[Period]]&amp;TrendSheetPrdData[[#This Row],[Trend]]</f>
        <v>EMPLOYEESAllowed2016-08-01Ancillary Claim Count</v>
      </c>
      <c r="B366" t="s">
        <v>90</v>
      </c>
      <c r="C366" t="s">
        <v>90</v>
      </c>
      <c r="D366" t="s">
        <v>91</v>
      </c>
      <c r="E366" s="1" t="s">
        <v>100</v>
      </c>
      <c r="F366" t="s">
        <v>93</v>
      </c>
      <c r="G366" t="s">
        <v>33</v>
      </c>
      <c r="H366">
        <v>22</v>
      </c>
      <c r="I366">
        <v>123</v>
      </c>
    </row>
    <row r="367" spans="1:9" x14ac:dyDescent="0.25">
      <c r="A367" s="5" t="str">
        <f>TrendSheetPrdData[[#This Row],[Population]]&amp;TrendSheetPrdData[[#This Row],[Cost Basis]]&amp;TrendSheetPrdData[[#This Row],[Period]]&amp;TrendSheetPrdData[[#This Row],[Trend]]</f>
        <v>EMPLOYEESAllowed2016-09-01Ancillary Claim Count</v>
      </c>
      <c r="B367" t="s">
        <v>90</v>
      </c>
      <c r="C367" t="s">
        <v>90</v>
      </c>
      <c r="D367" t="s">
        <v>91</v>
      </c>
      <c r="E367" s="1" t="s">
        <v>101</v>
      </c>
      <c r="F367" t="s">
        <v>93</v>
      </c>
      <c r="G367" t="s">
        <v>33</v>
      </c>
      <c r="H367">
        <v>22</v>
      </c>
      <c r="I367">
        <v>128</v>
      </c>
    </row>
    <row r="368" spans="1:9" x14ac:dyDescent="0.25">
      <c r="A368" s="5" t="str">
        <f>TrendSheetPrdData[[#This Row],[Population]]&amp;TrendSheetPrdData[[#This Row],[Cost Basis]]&amp;TrendSheetPrdData[[#This Row],[Period]]&amp;TrendSheetPrdData[[#This Row],[Trend]]</f>
        <v>EMPLOYEESAllowed2016-10-01Ancillary Claim Count</v>
      </c>
      <c r="B368" t="s">
        <v>90</v>
      </c>
      <c r="C368" t="s">
        <v>90</v>
      </c>
      <c r="D368" t="s">
        <v>91</v>
      </c>
      <c r="E368" s="1" t="s">
        <v>102</v>
      </c>
      <c r="F368" t="s">
        <v>93</v>
      </c>
      <c r="G368" t="s">
        <v>33</v>
      </c>
      <c r="H368">
        <v>22</v>
      </c>
      <c r="I368">
        <v>118</v>
      </c>
    </row>
    <row r="369" spans="1:9" x14ac:dyDescent="0.25">
      <c r="A369" s="5" t="str">
        <f>TrendSheetPrdData[[#This Row],[Population]]&amp;TrendSheetPrdData[[#This Row],[Cost Basis]]&amp;TrendSheetPrdData[[#This Row],[Period]]&amp;TrendSheetPrdData[[#This Row],[Trend]]</f>
        <v>EMPLOYEESAllowed2016-11-01Ancillary Claim Count</v>
      </c>
      <c r="B369" t="s">
        <v>90</v>
      </c>
      <c r="C369" t="s">
        <v>90</v>
      </c>
      <c r="D369" t="s">
        <v>91</v>
      </c>
      <c r="E369" s="1" t="s">
        <v>103</v>
      </c>
      <c r="F369" t="s">
        <v>93</v>
      </c>
      <c r="G369" t="s">
        <v>33</v>
      </c>
      <c r="H369">
        <v>22</v>
      </c>
      <c r="I369">
        <v>114</v>
      </c>
    </row>
    <row r="370" spans="1:9" x14ac:dyDescent="0.25">
      <c r="A370" s="5" t="str">
        <f>TrendSheetPrdData[[#This Row],[Population]]&amp;TrendSheetPrdData[[#This Row],[Cost Basis]]&amp;TrendSheetPrdData[[#This Row],[Period]]&amp;TrendSheetPrdData[[#This Row],[Trend]]</f>
        <v>EMPLOYEESAllowed2016-12-01Ancillary Claim Count</v>
      </c>
      <c r="B370" t="s">
        <v>90</v>
      </c>
      <c r="C370" t="s">
        <v>90</v>
      </c>
      <c r="D370" t="s">
        <v>91</v>
      </c>
      <c r="E370" s="1" t="s">
        <v>104</v>
      </c>
      <c r="F370" t="s">
        <v>93</v>
      </c>
      <c r="G370" t="s">
        <v>33</v>
      </c>
      <c r="H370">
        <v>22</v>
      </c>
      <c r="I370">
        <v>128</v>
      </c>
    </row>
    <row r="371" spans="1:9" x14ac:dyDescent="0.25">
      <c r="A371" s="5" t="str">
        <f>TrendSheetPrdData[[#This Row],[Population]]&amp;TrendSheetPrdData[[#This Row],[Cost Basis]]&amp;TrendSheetPrdData[[#This Row],[Period]]&amp;TrendSheetPrdData[[#This Row],[Trend]]</f>
        <v>EMPLOYEESAllowed2017-01-01Ancillary Claim Count</v>
      </c>
      <c r="B371" t="s">
        <v>90</v>
      </c>
      <c r="C371" t="s">
        <v>90</v>
      </c>
      <c r="D371" t="s">
        <v>91</v>
      </c>
      <c r="E371" s="1" t="s">
        <v>105</v>
      </c>
      <c r="F371" t="s">
        <v>93</v>
      </c>
      <c r="G371" t="s">
        <v>33</v>
      </c>
      <c r="H371">
        <v>22</v>
      </c>
      <c r="I371">
        <v>169</v>
      </c>
    </row>
    <row r="372" spans="1:9" x14ac:dyDescent="0.25">
      <c r="A372" s="5" t="str">
        <f>TrendSheetPrdData[[#This Row],[Population]]&amp;TrendSheetPrdData[[#This Row],[Cost Basis]]&amp;TrendSheetPrdData[[#This Row],[Period]]&amp;TrendSheetPrdData[[#This Row],[Trend]]</f>
        <v>EMPLOYEESAllowed2017-02-01Ancillary Claim Count</v>
      </c>
      <c r="B372" t="s">
        <v>90</v>
      </c>
      <c r="C372" t="s">
        <v>90</v>
      </c>
      <c r="D372" t="s">
        <v>91</v>
      </c>
      <c r="E372" s="1" t="s">
        <v>106</v>
      </c>
      <c r="F372" t="s">
        <v>93</v>
      </c>
      <c r="G372" t="s">
        <v>33</v>
      </c>
      <c r="H372">
        <v>22</v>
      </c>
      <c r="I372">
        <v>106</v>
      </c>
    </row>
    <row r="373" spans="1:9" x14ac:dyDescent="0.25">
      <c r="A373" s="5" t="str">
        <f>TrendSheetPrdData[[#This Row],[Population]]&amp;TrendSheetPrdData[[#This Row],[Cost Basis]]&amp;TrendSheetPrdData[[#This Row],[Period]]&amp;TrendSheetPrdData[[#This Row],[Trend]]</f>
        <v>EMPLOYEESAllowed2017-03-01Ancillary Claim Count</v>
      </c>
      <c r="B373" t="s">
        <v>90</v>
      </c>
      <c r="C373" t="s">
        <v>90</v>
      </c>
      <c r="D373" t="s">
        <v>91</v>
      </c>
      <c r="E373" s="1" t="s">
        <v>107</v>
      </c>
      <c r="F373" t="s">
        <v>108</v>
      </c>
      <c r="G373" t="s">
        <v>33</v>
      </c>
      <c r="H373">
        <v>22</v>
      </c>
      <c r="I373">
        <v>96</v>
      </c>
    </row>
    <row r="374" spans="1:9" x14ac:dyDescent="0.25">
      <c r="A374" s="5" t="str">
        <f>TrendSheetPrdData[[#This Row],[Population]]&amp;TrendSheetPrdData[[#This Row],[Cost Basis]]&amp;TrendSheetPrdData[[#This Row],[Period]]&amp;TrendSheetPrdData[[#This Row],[Trend]]</f>
        <v>EMPLOYEESAllowed2017-04-01Ancillary Claim Count</v>
      </c>
      <c r="B374" t="s">
        <v>90</v>
      </c>
      <c r="C374" t="s">
        <v>90</v>
      </c>
      <c r="D374" t="s">
        <v>91</v>
      </c>
      <c r="E374" s="1" t="s">
        <v>109</v>
      </c>
      <c r="F374" t="s">
        <v>108</v>
      </c>
      <c r="G374" t="s">
        <v>33</v>
      </c>
      <c r="H374">
        <v>22</v>
      </c>
      <c r="I374">
        <v>109</v>
      </c>
    </row>
    <row r="375" spans="1:9" x14ac:dyDescent="0.25">
      <c r="A375" s="5" t="str">
        <f>TrendSheetPrdData[[#This Row],[Population]]&amp;TrendSheetPrdData[[#This Row],[Cost Basis]]&amp;TrendSheetPrdData[[#This Row],[Period]]&amp;TrendSheetPrdData[[#This Row],[Trend]]</f>
        <v>EMPLOYEESAllowed2017-05-01Ancillary Claim Count</v>
      </c>
      <c r="B375" t="s">
        <v>90</v>
      </c>
      <c r="C375" t="s">
        <v>90</v>
      </c>
      <c r="D375" t="s">
        <v>91</v>
      </c>
      <c r="E375" s="1" t="s">
        <v>110</v>
      </c>
      <c r="F375" t="s">
        <v>108</v>
      </c>
      <c r="G375" t="s">
        <v>33</v>
      </c>
      <c r="H375">
        <v>22</v>
      </c>
      <c r="I375">
        <v>72</v>
      </c>
    </row>
    <row r="376" spans="1:9" x14ac:dyDescent="0.25">
      <c r="A376" s="5" t="str">
        <f>TrendSheetPrdData[[#This Row],[Population]]&amp;TrendSheetPrdData[[#This Row],[Cost Basis]]&amp;TrendSheetPrdData[[#This Row],[Period]]&amp;TrendSheetPrdData[[#This Row],[Trend]]</f>
        <v>EMPLOYEESAllowed2016-01-01Drug Claim Count</v>
      </c>
      <c r="B376" t="s">
        <v>90</v>
      </c>
      <c r="C376" t="s">
        <v>90</v>
      </c>
      <c r="D376" t="s">
        <v>91</v>
      </c>
      <c r="E376" s="1" t="s">
        <v>92</v>
      </c>
      <c r="F376" t="s">
        <v>93</v>
      </c>
      <c r="G376" t="s">
        <v>34</v>
      </c>
      <c r="H376">
        <v>23</v>
      </c>
      <c r="I376">
        <v>3248</v>
      </c>
    </row>
    <row r="377" spans="1:9" x14ac:dyDescent="0.25">
      <c r="A377" s="5" t="str">
        <f>TrendSheetPrdData[[#This Row],[Population]]&amp;TrendSheetPrdData[[#This Row],[Cost Basis]]&amp;TrendSheetPrdData[[#This Row],[Period]]&amp;TrendSheetPrdData[[#This Row],[Trend]]</f>
        <v>EMPLOYEESAllowed2016-02-01Drug Claim Count</v>
      </c>
      <c r="B377" t="s">
        <v>90</v>
      </c>
      <c r="C377" t="s">
        <v>90</v>
      </c>
      <c r="D377" t="s">
        <v>91</v>
      </c>
      <c r="E377" s="1" t="s">
        <v>94</v>
      </c>
      <c r="F377" t="s">
        <v>93</v>
      </c>
      <c r="G377" t="s">
        <v>34</v>
      </c>
      <c r="H377">
        <v>23</v>
      </c>
      <c r="I377">
        <v>3397</v>
      </c>
    </row>
    <row r="378" spans="1:9" x14ac:dyDescent="0.25">
      <c r="A378" s="5" t="str">
        <f>TrendSheetPrdData[[#This Row],[Population]]&amp;TrendSheetPrdData[[#This Row],[Cost Basis]]&amp;TrendSheetPrdData[[#This Row],[Period]]&amp;TrendSheetPrdData[[#This Row],[Trend]]</f>
        <v>EMPLOYEESAllowed2016-03-01Drug Claim Count</v>
      </c>
      <c r="B378" t="s">
        <v>90</v>
      </c>
      <c r="C378" t="s">
        <v>90</v>
      </c>
      <c r="D378" t="s">
        <v>91</v>
      </c>
      <c r="E378" s="1" t="s">
        <v>95</v>
      </c>
      <c r="F378" t="s">
        <v>93</v>
      </c>
      <c r="G378" t="s">
        <v>34</v>
      </c>
      <c r="H378">
        <v>23</v>
      </c>
      <c r="I378">
        <v>3437</v>
      </c>
    </row>
    <row r="379" spans="1:9" x14ac:dyDescent="0.25">
      <c r="A379" s="5" t="str">
        <f>TrendSheetPrdData[[#This Row],[Population]]&amp;TrendSheetPrdData[[#This Row],[Cost Basis]]&amp;TrendSheetPrdData[[#This Row],[Period]]&amp;TrendSheetPrdData[[#This Row],[Trend]]</f>
        <v>EMPLOYEESAllowed2016-04-01Drug Claim Count</v>
      </c>
      <c r="B379" t="s">
        <v>90</v>
      </c>
      <c r="C379" t="s">
        <v>90</v>
      </c>
      <c r="D379" t="s">
        <v>91</v>
      </c>
      <c r="E379" s="1" t="s">
        <v>96</v>
      </c>
      <c r="F379" t="s">
        <v>93</v>
      </c>
      <c r="G379" t="s">
        <v>34</v>
      </c>
      <c r="H379">
        <v>23</v>
      </c>
      <c r="I379">
        <v>3333</v>
      </c>
    </row>
    <row r="380" spans="1:9" x14ac:dyDescent="0.25">
      <c r="A380" s="5" t="str">
        <f>TrendSheetPrdData[[#This Row],[Population]]&amp;TrendSheetPrdData[[#This Row],[Cost Basis]]&amp;TrendSheetPrdData[[#This Row],[Period]]&amp;TrendSheetPrdData[[#This Row],[Trend]]</f>
        <v>EMPLOYEESAllowed2016-05-01Drug Claim Count</v>
      </c>
      <c r="B380" t="s">
        <v>90</v>
      </c>
      <c r="C380" t="s">
        <v>90</v>
      </c>
      <c r="D380" t="s">
        <v>91</v>
      </c>
      <c r="E380" s="1" t="s">
        <v>97</v>
      </c>
      <c r="F380" t="s">
        <v>93</v>
      </c>
      <c r="G380" t="s">
        <v>34</v>
      </c>
      <c r="H380">
        <v>23</v>
      </c>
      <c r="I380">
        <v>3344</v>
      </c>
    </row>
    <row r="381" spans="1:9" x14ac:dyDescent="0.25">
      <c r="A381" s="5" t="str">
        <f>TrendSheetPrdData[[#This Row],[Population]]&amp;TrendSheetPrdData[[#This Row],[Cost Basis]]&amp;TrendSheetPrdData[[#This Row],[Period]]&amp;TrendSheetPrdData[[#This Row],[Trend]]</f>
        <v>EMPLOYEESAllowed2016-06-01Drug Claim Count</v>
      </c>
      <c r="B381" t="s">
        <v>90</v>
      </c>
      <c r="C381" t="s">
        <v>90</v>
      </c>
      <c r="D381" t="s">
        <v>91</v>
      </c>
      <c r="E381" s="1" t="s">
        <v>98</v>
      </c>
      <c r="F381" t="s">
        <v>93</v>
      </c>
      <c r="G381" t="s">
        <v>34</v>
      </c>
      <c r="H381">
        <v>23</v>
      </c>
      <c r="I381">
        <v>3135</v>
      </c>
    </row>
    <row r="382" spans="1:9" x14ac:dyDescent="0.25">
      <c r="A382" s="5" t="str">
        <f>TrendSheetPrdData[[#This Row],[Population]]&amp;TrendSheetPrdData[[#This Row],[Cost Basis]]&amp;TrendSheetPrdData[[#This Row],[Period]]&amp;TrendSheetPrdData[[#This Row],[Trend]]</f>
        <v>EMPLOYEESAllowed2016-07-01Drug Claim Count</v>
      </c>
      <c r="B382" t="s">
        <v>90</v>
      </c>
      <c r="C382" t="s">
        <v>90</v>
      </c>
      <c r="D382" t="s">
        <v>91</v>
      </c>
      <c r="E382" s="1" t="s">
        <v>99</v>
      </c>
      <c r="F382" t="s">
        <v>93</v>
      </c>
      <c r="G382" t="s">
        <v>34</v>
      </c>
      <c r="H382">
        <v>23</v>
      </c>
      <c r="I382">
        <v>3206</v>
      </c>
    </row>
    <row r="383" spans="1:9" x14ac:dyDescent="0.25">
      <c r="A383" s="5" t="str">
        <f>TrendSheetPrdData[[#This Row],[Population]]&amp;TrendSheetPrdData[[#This Row],[Cost Basis]]&amp;TrendSheetPrdData[[#This Row],[Period]]&amp;TrendSheetPrdData[[#This Row],[Trend]]</f>
        <v>EMPLOYEESAllowed2016-08-01Drug Claim Count</v>
      </c>
      <c r="B383" t="s">
        <v>90</v>
      </c>
      <c r="C383" t="s">
        <v>90</v>
      </c>
      <c r="D383" t="s">
        <v>91</v>
      </c>
      <c r="E383" s="1" t="s">
        <v>100</v>
      </c>
      <c r="F383" t="s">
        <v>93</v>
      </c>
      <c r="G383" t="s">
        <v>34</v>
      </c>
      <c r="H383">
        <v>23</v>
      </c>
      <c r="I383">
        <v>3490</v>
      </c>
    </row>
    <row r="384" spans="1:9" x14ac:dyDescent="0.25">
      <c r="A384" s="5" t="str">
        <f>TrendSheetPrdData[[#This Row],[Population]]&amp;TrendSheetPrdData[[#This Row],[Cost Basis]]&amp;TrendSheetPrdData[[#This Row],[Period]]&amp;TrendSheetPrdData[[#This Row],[Trend]]</f>
        <v>EMPLOYEESAllowed2016-09-01Drug Claim Count</v>
      </c>
      <c r="B384" t="s">
        <v>90</v>
      </c>
      <c r="C384" t="s">
        <v>90</v>
      </c>
      <c r="D384" t="s">
        <v>91</v>
      </c>
      <c r="E384" s="1" t="s">
        <v>101</v>
      </c>
      <c r="F384" t="s">
        <v>93</v>
      </c>
      <c r="G384" t="s">
        <v>34</v>
      </c>
      <c r="H384">
        <v>23</v>
      </c>
      <c r="I384">
        <v>3290</v>
      </c>
    </row>
    <row r="385" spans="1:9" x14ac:dyDescent="0.25">
      <c r="A385" s="5" t="str">
        <f>TrendSheetPrdData[[#This Row],[Population]]&amp;TrendSheetPrdData[[#This Row],[Cost Basis]]&amp;TrendSheetPrdData[[#This Row],[Period]]&amp;TrendSheetPrdData[[#This Row],[Trend]]</f>
        <v>EMPLOYEESAllowed2016-10-01Drug Claim Count</v>
      </c>
      <c r="B385" t="s">
        <v>90</v>
      </c>
      <c r="C385" t="s">
        <v>90</v>
      </c>
      <c r="D385" t="s">
        <v>91</v>
      </c>
      <c r="E385" s="1" t="s">
        <v>102</v>
      </c>
      <c r="F385" t="s">
        <v>93</v>
      </c>
      <c r="G385" t="s">
        <v>34</v>
      </c>
      <c r="H385">
        <v>23</v>
      </c>
      <c r="I385">
        <v>3417</v>
      </c>
    </row>
    <row r="386" spans="1:9" x14ac:dyDescent="0.25">
      <c r="A386" s="5" t="str">
        <f>TrendSheetPrdData[[#This Row],[Population]]&amp;TrendSheetPrdData[[#This Row],[Cost Basis]]&amp;TrendSheetPrdData[[#This Row],[Period]]&amp;TrendSheetPrdData[[#This Row],[Trend]]</f>
        <v>EMPLOYEESAllowed2016-11-01Drug Claim Count</v>
      </c>
      <c r="B386" t="s">
        <v>90</v>
      </c>
      <c r="C386" t="s">
        <v>90</v>
      </c>
      <c r="D386" t="s">
        <v>91</v>
      </c>
      <c r="E386" s="1" t="s">
        <v>103</v>
      </c>
      <c r="F386" t="s">
        <v>93</v>
      </c>
      <c r="G386" t="s">
        <v>34</v>
      </c>
      <c r="H386">
        <v>23</v>
      </c>
      <c r="I386">
        <v>3435</v>
      </c>
    </row>
    <row r="387" spans="1:9" x14ac:dyDescent="0.25">
      <c r="A387" s="5" t="str">
        <f>TrendSheetPrdData[[#This Row],[Population]]&amp;TrendSheetPrdData[[#This Row],[Cost Basis]]&amp;TrendSheetPrdData[[#This Row],[Period]]&amp;TrendSheetPrdData[[#This Row],[Trend]]</f>
        <v>EMPLOYEESAllowed2016-12-01Drug Claim Count</v>
      </c>
      <c r="B387" t="s">
        <v>90</v>
      </c>
      <c r="C387" t="s">
        <v>90</v>
      </c>
      <c r="D387" t="s">
        <v>91</v>
      </c>
      <c r="E387" s="1" t="s">
        <v>104</v>
      </c>
      <c r="F387" t="s">
        <v>93</v>
      </c>
      <c r="G387" t="s">
        <v>34</v>
      </c>
      <c r="H387">
        <v>23</v>
      </c>
      <c r="I387">
        <v>3460</v>
      </c>
    </row>
    <row r="388" spans="1:9" x14ac:dyDescent="0.25">
      <c r="A388" s="5" t="str">
        <f>TrendSheetPrdData[[#This Row],[Population]]&amp;TrendSheetPrdData[[#This Row],[Cost Basis]]&amp;TrendSheetPrdData[[#This Row],[Period]]&amp;TrendSheetPrdData[[#This Row],[Trend]]</f>
        <v>EMPLOYEESAllowed2017-01-01Drug Claim Count</v>
      </c>
      <c r="B388" t="s">
        <v>90</v>
      </c>
      <c r="C388" t="s">
        <v>90</v>
      </c>
      <c r="D388" t="s">
        <v>91</v>
      </c>
      <c r="E388" s="1" t="s">
        <v>105</v>
      </c>
      <c r="F388" t="s">
        <v>93</v>
      </c>
      <c r="G388" t="s">
        <v>34</v>
      </c>
      <c r="H388">
        <v>23</v>
      </c>
      <c r="I388">
        <v>3898</v>
      </c>
    </row>
    <row r="389" spans="1:9" x14ac:dyDescent="0.25">
      <c r="A389" s="5" t="str">
        <f>TrendSheetPrdData[[#This Row],[Population]]&amp;TrendSheetPrdData[[#This Row],[Cost Basis]]&amp;TrendSheetPrdData[[#This Row],[Period]]&amp;TrendSheetPrdData[[#This Row],[Trend]]</f>
        <v>EMPLOYEESAllowed2017-02-01Drug Claim Count</v>
      </c>
      <c r="B389" t="s">
        <v>90</v>
      </c>
      <c r="C389" t="s">
        <v>90</v>
      </c>
      <c r="D389" t="s">
        <v>91</v>
      </c>
      <c r="E389" s="1" t="s">
        <v>106</v>
      </c>
      <c r="F389" t="s">
        <v>93</v>
      </c>
      <c r="G389" t="s">
        <v>34</v>
      </c>
      <c r="H389">
        <v>23</v>
      </c>
      <c r="I389">
        <v>3409</v>
      </c>
    </row>
    <row r="390" spans="1:9" x14ac:dyDescent="0.25">
      <c r="A390" s="5" t="str">
        <f>TrendSheetPrdData[[#This Row],[Population]]&amp;TrendSheetPrdData[[#This Row],[Cost Basis]]&amp;TrendSheetPrdData[[#This Row],[Period]]&amp;TrendSheetPrdData[[#This Row],[Trend]]</f>
        <v>EMPLOYEESAllowed2017-03-01Drug Claim Count</v>
      </c>
      <c r="B390" t="s">
        <v>90</v>
      </c>
      <c r="C390" t="s">
        <v>90</v>
      </c>
      <c r="D390" t="s">
        <v>91</v>
      </c>
      <c r="E390" s="1" t="s">
        <v>107</v>
      </c>
      <c r="F390" t="s">
        <v>108</v>
      </c>
      <c r="G390" t="s">
        <v>34</v>
      </c>
      <c r="H390">
        <v>23</v>
      </c>
      <c r="I390">
        <v>3783</v>
      </c>
    </row>
    <row r="391" spans="1:9" x14ac:dyDescent="0.25">
      <c r="A391" s="5" t="str">
        <f>TrendSheetPrdData[[#This Row],[Population]]&amp;TrendSheetPrdData[[#This Row],[Cost Basis]]&amp;TrendSheetPrdData[[#This Row],[Period]]&amp;TrendSheetPrdData[[#This Row],[Trend]]</f>
        <v>EMPLOYEESAllowed2017-04-01Drug Claim Count</v>
      </c>
      <c r="B391" t="s">
        <v>90</v>
      </c>
      <c r="C391" t="s">
        <v>90</v>
      </c>
      <c r="D391" t="s">
        <v>91</v>
      </c>
      <c r="E391" s="1" t="s">
        <v>109</v>
      </c>
      <c r="F391" t="s">
        <v>108</v>
      </c>
      <c r="G391" t="s">
        <v>34</v>
      </c>
      <c r="H391">
        <v>23</v>
      </c>
      <c r="I391">
        <v>3411</v>
      </c>
    </row>
    <row r="392" spans="1:9" x14ac:dyDescent="0.25">
      <c r="A392" s="5" t="str">
        <f>TrendSheetPrdData[[#This Row],[Population]]&amp;TrendSheetPrdData[[#This Row],[Cost Basis]]&amp;TrendSheetPrdData[[#This Row],[Period]]&amp;TrendSheetPrdData[[#This Row],[Trend]]</f>
        <v>EMPLOYEESAllowed2017-05-01Drug Claim Count</v>
      </c>
      <c r="B392" t="s">
        <v>90</v>
      </c>
      <c r="C392" t="s">
        <v>90</v>
      </c>
      <c r="D392" t="s">
        <v>91</v>
      </c>
      <c r="E392" s="1" t="s">
        <v>110</v>
      </c>
      <c r="F392" t="s">
        <v>108</v>
      </c>
      <c r="G392" t="s">
        <v>34</v>
      </c>
      <c r="H392">
        <v>23</v>
      </c>
      <c r="I392">
        <v>3090</v>
      </c>
    </row>
    <row r="393" spans="1:9" x14ac:dyDescent="0.25">
      <c r="A393" s="5" t="str">
        <f>TrendSheetPrdData[[#This Row],[Population]]&amp;TrendSheetPrdData[[#This Row],[Cost Basis]]&amp;TrendSheetPrdData[[#This Row],[Period]]&amp;TrendSheetPrdData[[#This Row],[Trend]]</f>
        <v>EMPLOYEESPaid2016-01-01Medical PMPM</v>
      </c>
      <c r="B393" t="s">
        <v>90</v>
      </c>
      <c r="C393" t="s">
        <v>90</v>
      </c>
      <c r="D393" t="s">
        <v>78</v>
      </c>
      <c r="E393" s="1" t="s">
        <v>92</v>
      </c>
      <c r="F393" t="s">
        <v>93</v>
      </c>
      <c r="G393" t="s">
        <v>12</v>
      </c>
      <c r="H393">
        <v>1</v>
      </c>
      <c r="I393">
        <v>449.13</v>
      </c>
    </row>
    <row r="394" spans="1:9" x14ac:dyDescent="0.25">
      <c r="A394" s="5" t="str">
        <f>TrendSheetPrdData[[#This Row],[Population]]&amp;TrendSheetPrdData[[#This Row],[Cost Basis]]&amp;TrendSheetPrdData[[#This Row],[Period]]&amp;TrendSheetPrdData[[#This Row],[Trend]]</f>
        <v>EMPLOYEESPaid2016-02-01Medical PMPM</v>
      </c>
      <c r="B394" t="s">
        <v>90</v>
      </c>
      <c r="C394" t="s">
        <v>90</v>
      </c>
      <c r="D394" t="s">
        <v>78</v>
      </c>
      <c r="E394" s="1" t="s">
        <v>94</v>
      </c>
      <c r="F394" t="s">
        <v>93</v>
      </c>
      <c r="G394" t="s">
        <v>12</v>
      </c>
      <c r="H394">
        <v>1</v>
      </c>
      <c r="I394">
        <v>468.46</v>
      </c>
    </row>
    <row r="395" spans="1:9" x14ac:dyDescent="0.25">
      <c r="A395" s="5" t="str">
        <f>TrendSheetPrdData[[#This Row],[Population]]&amp;TrendSheetPrdData[[#This Row],[Cost Basis]]&amp;TrendSheetPrdData[[#This Row],[Period]]&amp;TrendSheetPrdData[[#This Row],[Trend]]</f>
        <v>EMPLOYEESPaid2016-03-01Medical PMPM</v>
      </c>
      <c r="B395" t="s">
        <v>90</v>
      </c>
      <c r="C395" t="s">
        <v>90</v>
      </c>
      <c r="D395" t="s">
        <v>78</v>
      </c>
      <c r="E395" s="1" t="s">
        <v>95</v>
      </c>
      <c r="F395" t="s">
        <v>93</v>
      </c>
      <c r="G395" t="s">
        <v>12</v>
      </c>
      <c r="H395">
        <v>1</v>
      </c>
      <c r="I395">
        <v>455.51</v>
      </c>
    </row>
    <row r="396" spans="1:9" x14ac:dyDescent="0.25">
      <c r="A396" s="5" t="str">
        <f>TrendSheetPrdData[[#This Row],[Population]]&amp;TrendSheetPrdData[[#This Row],[Cost Basis]]&amp;TrendSheetPrdData[[#This Row],[Period]]&amp;TrendSheetPrdData[[#This Row],[Trend]]</f>
        <v>EMPLOYEESPaid2016-04-01Medical PMPM</v>
      </c>
      <c r="B396" t="s">
        <v>90</v>
      </c>
      <c r="C396" t="s">
        <v>90</v>
      </c>
      <c r="D396" t="s">
        <v>78</v>
      </c>
      <c r="E396" s="1" t="s">
        <v>96</v>
      </c>
      <c r="F396" t="s">
        <v>93</v>
      </c>
      <c r="G396" t="s">
        <v>12</v>
      </c>
      <c r="H396">
        <v>1</v>
      </c>
      <c r="I396">
        <v>533.49</v>
      </c>
    </row>
    <row r="397" spans="1:9" x14ac:dyDescent="0.25">
      <c r="A397" s="5" t="str">
        <f>TrendSheetPrdData[[#This Row],[Population]]&amp;TrendSheetPrdData[[#This Row],[Cost Basis]]&amp;TrendSheetPrdData[[#This Row],[Period]]&amp;TrendSheetPrdData[[#This Row],[Trend]]</f>
        <v>EMPLOYEESPaid2016-05-01Medical PMPM</v>
      </c>
      <c r="B397" t="s">
        <v>90</v>
      </c>
      <c r="C397" t="s">
        <v>90</v>
      </c>
      <c r="D397" t="s">
        <v>78</v>
      </c>
      <c r="E397" s="1" t="s">
        <v>97</v>
      </c>
      <c r="F397" t="s">
        <v>93</v>
      </c>
      <c r="G397" t="s">
        <v>12</v>
      </c>
      <c r="H397">
        <v>1</v>
      </c>
      <c r="I397">
        <v>466.93</v>
      </c>
    </row>
    <row r="398" spans="1:9" x14ac:dyDescent="0.25">
      <c r="A398" s="5" t="str">
        <f>TrendSheetPrdData[[#This Row],[Population]]&amp;TrendSheetPrdData[[#This Row],[Cost Basis]]&amp;TrendSheetPrdData[[#This Row],[Period]]&amp;TrendSheetPrdData[[#This Row],[Trend]]</f>
        <v>EMPLOYEESPaid2016-06-01Medical PMPM</v>
      </c>
      <c r="B398" t="s">
        <v>90</v>
      </c>
      <c r="C398" t="s">
        <v>90</v>
      </c>
      <c r="D398" t="s">
        <v>78</v>
      </c>
      <c r="E398" s="1" t="s">
        <v>98</v>
      </c>
      <c r="F398" t="s">
        <v>93</v>
      </c>
      <c r="G398" t="s">
        <v>12</v>
      </c>
      <c r="H398">
        <v>1</v>
      </c>
      <c r="I398">
        <v>437.19</v>
      </c>
    </row>
    <row r="399" spans="1:9" x14ac:dyDescent="0.25">
      <c r="A399" s="5" t="str">
        <f>TrendSheetPrdData[[#This Row],[Population]]&amp;TrendSheetPrdData[[#This Row],[Cost Basis]]&amp;TrendSheetPrdData[[#This Row],[Period]]&amp;TrendSheetPrdData[[#This Row],[Trend]]</f>
        <v>EMPLOYEESPaid2016-07-01Medical PMPM</v>
      </c>
      <c r="B399" t="s">
        <v>90</v>
      </c>
      <c r="C399" t="s">
        <v>90</v>
      </c>
      <c r="D399" t="s">
        <v>78</v>
      </c>
      <c r="E399" s="1" t="s">
        <v>99</v>
      </c>
      <c r="F399" t="s">
        <v>93</v>
      </c>
      <c r="G399" t="s">
        <v>12</v>
      </c>
      <c r="H399">
        <v>1</v>
      </c>
      <c r="I399">
        <v>527.73</v>
      </c>
    </row>
    <row r="400" spans="1:9" x14ac:dyDescent="0.25">
      <c r="A400" s="5" t="str">
        <f>TrendSheetPrdData[[#This Row],[Population]]&amp;TrendSheetPrdData[[#This Row],[Cost Basis]]&amp;TrendSheetPrdData[[#This Row],[Period]]&amp;TrendSheetPrdData[[#This Row],[Trend]]</f>
        <v>EMPLOYEESPaid2016-08-01Medical PMPM</v>
      </c>
      <c r="B400" t="s">
        <v>90</v>
      </c>
      <c r="C400" t="s">
        <v>90</v>
      </c>
      <c r="D400" t="s">
        <v>78</v>
      </c>
      <c r="E400" s="1" t="s">
        <v>100</v>
      </c>
      <c r="F400" t="s">
        <v>93</v>
      </c>
      <c r="G400" t="s">
        <v>12</v>
      </c>
      <c r="H400">
        <v>1</v>
      </c>
      <c r="I400">
        <v>447.7</v>
      </c>
    </row>
    <row r="401" spans="1:9" x14ac:dyDescent="0.25">
      <c r="A401" s="5" t="str">
        <f>TrendSheetPrdData[[#This Row],[Population]]&amp;TrendSheetPrdData[[#This Row],[Cost Basis]]&amp;TrendSheetPrdData[[#This Row],[Period]]&amp;TrendSheetPrdData[[#This Row],[Trend]]</f>
        <v>EMPLOYEESPaid2016-09-01Medical PMPM</v>
      </c>
      <c r="B401" t="s">
        <v>90</v>
      </c>
      <c r="C401" t="s">
        <v>90</v>
      </c>
      <c r="D401" t="s">
        <v>78</v>
      </c>
      <c r="E401" s="1" t="s">
        <v>101</v>
      </c>
      <c r="F401" t="s">
        <v>93</v>
      </c>
      <c r="G401" t="s">
        <v>12</v>
      </c>
      <c r="H401">
        <v>1</v>
      </c>
      <c r="I401">
        <v>447.78</v>
      </c>
    </row>
    <row r="402" spans="1:9" x14ac:dyDescent="0.25">
      <c r="A402" s="5" t="str">
        <f>TrendSheetPrdData[[#This Row],[Population]]&amp;TrendSheetPrdData[[#This Row],[Cost Basis]]&amp;TrendSheetPrdData[[#This Row],[Period]]&amp;TrendSheetPrdData[[#This Row],[Trend]]</f>
        <v>EMPLOYEESPaid2016-10-01Medical PMPM</v>
      </c>
      <c r="B402" t="s">
        <v>90</v>
      </c>
      <c r="C402" t="s">
        <v>90</v>
      </c>
      <c r="D402" t="s">
        <v>78</v>
      </c>
      <c r="E402" s="1" t="s">
        <v>102</v>
      </c>
      <c r="F402" t="s">
        <v>93</v>
      </c>
      <c r="G402" t="s">
        <v>12</v>
      </c>
      <c r="H402">
        <v>1</v>
      </c>
      <c r="I402">
        <v>380.05</v>
      </c>
    </row>
    <row r="403" spans="1:9" x14ac:dyDescent="0.25">
      <c r="A403" s="5" t="str">
        <f>TrendSheetPrdData[[#This Row],[Population]]&amp;TrendSheetPrdData[[#This Row],[Cost Basis]]&amp;TrendSheetPrdData[[#This Row],[Period]]&amp;TrendSheetPrdData[[#This Row],[Trend]]</f>
        <v>EMPLOYEESPaid2016-11-01Medical PMPM</v>
      </c>
      <c r="B403" t="s">
        <v>90</v>
      </c>
      <c r="C403" t="s">
        <v>90</v>
      </c>
      <c r="D403" t="s">
        <v>78</v>
      </c>
      <c r="E403" s="1" t="s">
        <v>103</v>
      </c>
      <c r="F403" t="s">
        <v>93</v>
      </c>
      <c r="G403" t="s">
        <v>12</v>
      </c>
      <c r="H403">
        <v>1</v>
      </c>
      <c r="I403">
        <v>403.44</v>
      </c>
    </row>
    <row r="404" spans="1:9" x14ac:dyDescent="0.25">
      <c r="A404" s="5" t="str">
        <f>TrendSheetPrdData[[#This Row],[Population]]&amp;TrendSheetPrdData[[#This Row],[Cost Basis]]&amp;TrendSheetPrdData[[#This Row],[Period]]&amp;TrendSheetPrdData[[#This Row],[Trend]]</f>
        <v>EMPLOYEESPaid2016-12-01Medical PMPM</v>
      </c>
      <c r="B404" t="s">
        <v>90</v>
      </c>
      <c r="C404" t="s">
        <v>90</v>
      </c>
      <c r="D404" t="s">
        <v>78</v>
      </c>
      <c r="E404" s="1" t="s">
        <v>104</v>
      </c>
      <c r="F404" t="s">
        <v>93</v>
      </c>
      <c r="G404" t="s">
        <v>12</v>
      </c>
      <c r="H404">
        <v>1</v>
      </c>
      <c r="I404">
        <v>501.31</v>
      </c>
    </row>
    <row r="405" spans="1:9" x14ac:dyDescent="0.25">
      <c r="A405" s="5" t="str">
        <f>TrendSheetPrdData[[#This Row],[Population]]&amp;TrendSheetPrdData[[#This Row],[Cost Basis]]&amp;TrendSheetPrdData[[#This Row],[Period]]&amp;TrendSheetPrdData[[#This Row],[Trend]]</f>
        <v>EMPLOYEESPaid2017-01-01Medical PMPM</v>
      </c>
      <c r="B405" t="s">
        <v>90</v>
      </c>
      <c r="C405" t="s">
        <v>90</v>
      </c>
      <c r="D405" t="s">
        <v>78</v>
      </c>
      <c r="E405" s="1" t="s">
        <v>105</v>
      </c>
      <c r="F405" t="s">
        <v>93</v>
      </c>
      <c r="G405" t="s">
        <v>12</v>
      </c>
      <c r="H405">
        <v>1</v>
      </c>
      <c r="I405">
        <v>418.38</v>
      </c>
    </row>
    <row r="406" spans="1:9" x14ac:dyDescent="0.25">
      <c r="A406" s="5" t="str">
        <f>TrendSheetPrdData[[#This Row],[Population]]&amp;TrendSheetPrdData[[#This Row],[Cost Basis]]&amp;TrendSheetPrdData[[#This Row],[Period]]&amp;TrendSheetPrdData[[#This Row],[Trend]]</f>
        <v>EMPLOYEESPaid2017-02-01Medical PMPM</v>
      </c>
      <c r="B406" t="s">
        <v>90</v>
      </c>
      <c r="C406" t="s">
        <v>90</v>
      </c>
      <c r="D406" t="s">
        <v>78</v>
      </c>
      <c r="E406" s="1" t="s">
        <v>106</v>
      </c>
      <c r="F406" t="s">
        <v>93</v>
      </c>
      <c r="G406" t="s">
        <v>12</v>
      </c>
      <c r="H406">
        <v>1</v>
      </c>
      <c r="I406">
        <v>344.48</v>
      </c>
    </row>
    <row r="407" spans="1:9" x14ac:dyDescent="0.25">
      <c r="A407" s="5" t="str">
        <f>TrendSheetPrdData[[#This Row],[Population]]&amp;TrendSheetPrdData[[#This Row],[Cost Basis]]&amp;TrendSheetPrdData[[#This Row],[Period]]&amp;TrendSheetPrdData[[#This Row],[Trend]]</f>
        <v>EMPLOYEESPaid2017-03-01Medical PMPM</v>
      </c>
      <c r="B407" t="s">
        <v>90</v>
      </c>
      <c r="C407" t="s">
        <v>90</v>
      </c>
      <c r="D407" t="s">
        <v>78</v>
      </c>
      <c r="E407" s="1" t="s">
        <v>107</v>
      </c>
      <c r="F407" t="s">
        <v>108</v>
      </c>
      <c r="G407" t="s">
        <v>12</v>
      </c>
      <c r="H407">
        <v>1</v>
      </c>
      <c r="I407">
        <v>374.52</v>
      </c>
    </row>
    <row r="408" spans="1:9" x14ac:dyDescent="0.25">
      <c r="A408" s="5" t="str">
        <f>TrendSheetPrdData[[#This Row],[Population]]&amp;TrendSheetPrdData[[#This Row],[Cost Basis]]&amp;TrendSheetPrdData[[#This Row],[Period]]&amp;TrendSheetPrdData[[#This Row],[Trend]]</f>
        <v>EMPLOYEESPaid2017-04-01Medical PMPM</v>
      </c>
      <c r="B408" t="s">
        <v>90</v>
      </c>
      <c r="C408" t="s">
        <v>90</v>
      </c>
      <c r="D408" t="s">
        <v>78</v>
      </c>
      <c r="E408" s="1" t="s">
        <v>109</v>
      </c>
      <c r="F408" t="s">
        <v>108</v>
      </c>
      <c r="G408" t="s">
        <v>12</v>
      </c>
      <c r="H408">
        <v>1</v>
      </c>
      <c r="I408">
        <v>375.92</v>
      </c>
    </row>
    <row r="409" spans="1:9" x14ac:dyDescent="0.25">
      <c r="A409" s="5" t="str">
        <f>TrendSheetPrdData[[#This Row],[Population]]&amp;TrendSheetPrdData[[#This Row],[Cost Basis]]&amp;TrendSheetPrdData[[#This Row],[Period]]&amp;TrendSheetPrdData[[#This Row],[Trend]]</f>
        <v>EMPLOYEESPaid2017-05-01Medical PMPM</v>
      </c>
      <c r="B409" t="s">
        <v>90</v>
      </c>
      <c r="C409" t="s">
        <v>90</v>
      </c>
      <c r="D409" t="s">
        <v>78</v>
      </c>
      <c r="E409" s="1" t="s">
        <v>110</v>
      </c>
      <c r="F409" t="s">
        <v>108</v>
      </c>
      <c r="G409" t="s">
        <v>12</v>
      </c>
      <c r="H409">
        <v>1</v>
      </c>
      <c r="I409">
        <v>201.44</v>
      </c>
    </row>
    <row r="410" spans="1:9" x14ac:dyDescent="0.25">
      <c r="A410" s="5" t="str">
        <f>TrendSheetPrdData[[#This Row],[Population]]&amp;TrendSheetPrdData[[#This Row],[Cost Basis]]&amp;TrendSheetPrdData[[#This Row],[Period]]&amp;TrendSheetPrdData[[#This Row],[Trend]]</f>
        <v>EMPLOYEESPaid2016-01-01Drug PMPM</v>
      </c>
      <c r="B410" t="s">
        <v>90</v>
      </c>
      <c r="C410" t="s">
        <v>90</v>
      </c>
      <c r="D410" t="s">
        <v>78</v>
      </c>
      <c r="E410" s="1" t="s">
        <v>92</v>
      </c>
      <c r="F410" t="s">
        <v>93</v>
      </c>
      <c r="G410" t="s">
        <v>13</v>
      </c>
      <c r="H410">
        <v>2</v>
      </c>
      <c r="I410">
        <v>59.62</v>
      </c>
    </row>
    <row r="411" spans="1:9" x14ac:dyDescent="0.25">
      <c r="A411" s="5" t="str">
        <f>TrendSheetPrdData[[#This Row],[Population]]&amp;TrendSheetPrdData[[#This Row],[Cost Basis]]&amp;TrendSheetPrdData[[#This Row],[Period]]&amp;TrendSheetPrdData[[#This Row],[Trend]]</f>
        <v>EMPLOYEESPaid2016-02-01Drug PMPM</v>
      </c>
      <c r="B411" t="s">
        <v>90</v>
      </c>
      <c r="C411" t="s">
        <v>90</v>
      </c>
      <c r="D411" t="s">
        <v>78</v>
      </c>
      <c r="E411" s="1" t="s">
        <v>94</v>
      </c>
      <c r="F411" t="s">
        <v>93</v>
      </c>
      <c r="G411" t="s">
        <v>13</v>
      </c>
      <c r="H411">
        <v>2</v>
      </c>
      <c r="I411">
        <v>76.260000000000005</v>
      </c>
    </row>
    <row r="412" spans="1:9" x14ac:dyDescent="0.25">
      <c r="A412" s="5" t="str">
        <f>TrendSheetPrdData[[#This Row],[Population]]&amp;TrendSheetPrdData[[#This Row],[Cost Basis]]&amp;TrendSheetPrdData[[#This Row],[Period]]&amp;TrendSheetPrdData[[#This Row],[Trend]]</f>
        <v>EMPLOYEESPaid2016-03-01Drug PMPM</v>
      </c>
      <c r="B412" t="s">
        <v>90</v>
      </c>
      <c r="C412" t="s">
        <v>90</v>
      </c>
      <c r="D412" t="s">
        <v>78</v>
      </c>
      <c r="E412" s="1" t="s">
        <v>95</v>
      </c>
      <c r="F412" t="s">
        <v>93</v>
      </c>
      <c r="G412" t="s">
        <v>13</v>
      </c>
      <c r="H412">
        <v>2</v>
      </c>
      <c r="I412">
        <v>64.84</v>
      </c>
    </row>
    <row r="413" spans="1:9" x14ac:dyDescent="0.25">
      <c r="A413" s="5" t="str">
        <f>TrendSheetPrdData[[#This Row],[Population]]&amp;TrendSheetPrdData[[#This Row],[Cost Basis]]&amp;TrendSheetPrdData[[#This Row],[Period]]&amp;TrendSheetPrdData[[#This Row],[Trend]]</f>
        <v>EMPLOYEESPaid2016-04-01Drug PMPM</v>
      </c>
      <c r="B413" t="s">
        <v>90</v>
      </c>
      <c r="C413" t="s">
        <v>90</v>
      </c>
      <c r="D413" t="s">
        <v>78</v>
      </c>
      <c r="E413" s="1" t="s">
        <v>96</v>
      </c>
      <c r="F413" t="s">
        <v>93</v>
      </c>
      <c r="G413" t="s">
        <v>13</v>
      </c>
      <c r="H413">
        <v>2</v>
      </c>
      <c r="I413">
        <v>65.63</v>
      </c>
    </row>
    <row r="414" spans="1:9" x14ac:dyDescent="0.25">
      <c r="A414" s="5" t="str">
        <f>TrendSheetPrdData[[#This Row],[Population]]&amp;TrendSheetPrdData[[#This Row],[Cost Basis]]&amp;TrendSheetPrdData[[#This Row],[Period]]&amp;TrendSheetPrdData[[#This Row],[Trend]]</f>
        <v>EMPLOYEESPaid2016-05-01Drug PMPM</v>
      </c>
      <c r="B414" t="s">
        <v>90</v>
      </c>
      <c r="C414" t="s">
        <v>90</v>
      </c>
      <c r="D414" t="s">
        <v>78</v>
      </c>
      <c r="E414" s="1" t="s">
        <v>97</v>
      </c>
      <c r="F414" t="s">
        <v>93</v>
      </c>
      <c r="G414" t="s">
        <v>13</v>
      </c>
      <c r="H414">
        <v>2</v>
      </c>
      <c r="I414">
        <v>71.069999999999993</v>
      </c>
    </row>
    <row r="415" spans="1:9" x14ac:dyDescent="0.25">
      <c r="A415" s="5" t="str">
        <f>TrendSheetPrdData[[#This Row],[Population]]&amp;TrendSheetPrdData[[#This Row],[Cost Basis]]&amp;TrendSheetPrdData[[#This Row],[Period]]&amp;TrendSheetPrdData[[#This Row],[Trend]]</f>
        <v>EMPLOYEESPaid2016-06-01Drug PMPM</v>
      </c>
      <c r="B415" t="s">
        <v>90</v>
      </c>
      <c r="C415" t="s">
        <v>90</v>
      </c>
      <c r="D415" t="s">
        <v>78</v>
      </c>
      <c r="E415" s="1" t="s">
        <v>98</v>
      </c>
      <c r="F415" t="s">
        <v>93</v>
      </c>
      <c r="G415" t="s">
        <v>13</v>
      </c>
      <c r="H415">
        <v>2</v>
      </c>
      <c r="I415">
        <v>58.45</v>
      </c>
    </row>
    <row r="416" spans="1:9" x14ac:dyDescent="0.25">
      <c r="A416" s="5" t="str">
        <f>TrendSheetPrdData[[#This Row],[Population]]&amp;TrendSheetPrdData[[#This Row],[Cost Basis]]&amp;TrendSheetPrdData[[#This Row],[Period]]&amp;TrendSheetPrdData[[#This Row],[Trend]]</f>
        <v>EMPLOYEESPaid2016-07-01Drug PMPM</v>
      </c>
      <c r="B416" t="s">
        <v>90</v>
      </c>
      <c r="C416" t="s">
        <v>90</v>
      </c>
      <c r="D416" t="s">
        <v>78</v>
      </c>
      <c r="E416" s="1" t="s">
        <v>99</v>
      </c>
      <c r="F416" t="s">
        <v>93</v>
      </c>
      <c r="G416" t="s">
        <v>13</v>
      </c>
      <c r="H416">
        <v>2</v>
      </c>
      <c r="I416">
        <v>56.77</v>
      </c>
    </row>
    <row r="417" spans="1:9" x14ac:dyDescent="0.25">
      <c r="A417" s="5" t="str">
        <f>TrendSheetPrdData[[#This Row],[Population]]&amp;TrendSheetPrdData[[#This Row],[Cost Basis]]&amp;TrendSheetPrdData[[#This Row],[Period]]&amp;TrendSheetPrdData[[#This Row],[Trend]]</f>
        <v>EMPLOYEESPaid2016-08-01Drug PMPM</v>
      </c>
      <c r="B417" t="s">
        <v>90</v>
      </c>
      <c r="C417" t="s">
        <v>90</v>
      </c>
      <c r="D417" t="s">
        <v>78</v>
      </c>
      <c r="E417" s="1" t="s">
        <v>100</v>
      </c>
      <c r="F417" t="s">
        <v>93</v>
      </c>
      <c r="G417" t="s">
        <v>13</v>
      </c>
      <c r="H417">
        <v>2</v>
      </c>
      <c r="I417">
        <v>83.74</v>
      </c>
    </row>
    <row r="418" spans="1:9" x14ac:dyDescent="0.25">
      <c r="A418" s="5" t="str">
        <f>TrendSheetPrdData[[#This Row],[Population]]&amp;TrendSheetPrdData[[#This Row],[Cost Basis]]&amp;TrendSheetPrdData[[#This Row],[Period]]&amp;TrendSheetPrdData[[#This Row],[Trend]]</f>
        <v>EMPLOYEESPaid2016-09-01Drug PMPM</v>
      </c>
      <c r="B418" t="s">
        <v>90</v>
      </c>
      <c r="C418" t="s">
        <v>90</v>
      </c>
      <c r="D418" t="s">
        <v>78</v>
      </c>
      <c r="E418" s="1" t="s">
        <v>101</v>
      </c>
      <c r="F418" t="s">
        <v>93</v>
      </c>
      <c r="G418" t="s">
        <v>13</v>
      </c>
      <c r="H418">
        <v>2</v>
      </c>
      <c r="I418">
        <v>61.69</v>
      </c>
    </row>
    <row r="419" spans="1:9" x14ac:dyDescent="0.25">
      <c r="A419" s="5" t="str">
        <f>TrendSheetPrdData[[#This Row],[Population]]&amp;TrendSheetPrdData[[#This Row],[Cost Basis]]&amp;TrendSheetPrdData[[#This Row],[Period]]&amp;TrendSheetPrdData[[#This Row],[Trend]]</f>
        <v>EMPLOYEESPaid2016-10-01Drug PMPM</v>
      </c>
      <c r="B419" t="s">
        <v>90</v>
      </c>
      <c r="C419" t="s">
        <v>90</v>
      </c>
      <c r="D419" t="s">
        <v>78</v>
      </c>
      <c r="E419" s="1" t="s">
        <v>102</v>
      </c>
      <c r="F419" t="s">
        <v>93</v>
      </c>
      <c r="G419" t="s">
        <v>13</v>
      </c>
      <c r="H419">
        <v>2</v>
      </c>
      <c r="I419">
        <v>69.349999999999994</v>
      </c>
    </row>
    <row r="420" spans="1:9" x14ac:dyDescent="0.25">
      <c r="A420" s="5" t="str">
        <f>TrendSheetPrdData[[#This Row],[Population]]&amp;TrendSheetPrdData[[#This Row],[Cost Basis]]&amp;TrendSheetPrdData[[#This Row],[Period]]&amp;TrendSheetPrdData[[#This Row],[Trend]]</f>
        <v>EMPLOYEESPaid2016-11-01Drug PMPM</v>
      </c>
      <c r="B420" t="s">
        <v>90</v>
      </c>
      <c r="C420" t="s">
        <v>90</v>
      </c>
      <c r="D420" t="s">
        <v>78</v>
      </c>
      <c r="E420" s="1" t="s">
        <v>103</v>
      </c>
      <c r="F420" t="s">
        <v>93</v>
      </c>
      <c r="G420" t="s">
        <v>13</v>
      </c>
      <c r="H420">
        <v>2</v>
      </c>
      <c r="I420">
        <v>98.11</v>
      </c>
    </row>
    <row r="421" spans="1:9" x14ac:dyDescent="0.25">
      <c r="A421" s="5" t="str">
        <f>TrendSheetPrdData[[#This Row],[Population]]&amp;TrendSheetPrdData[[#This Row],[Cost Basis]]&amp;TrendSheetPrdData[[#This Row],[Period]]&amp;TrendSheetPrdData[[#This Row],[Trend]]</f>
        <v>EMPLOYEESPaid2016-12-01Drug PMPM</v>
      </c>
      <c r="B421" t="s">
        <v>90</v>
      </c>
      <c r="C421" t="s">
        <v>90</v>
      </c>
      <c r="D421" t="s">
        <v>78</v>
      </c>
      <c r="E421" s="1" t="s">
        <v>104</v>
      </c>
      <c r="F421" t="s">
        <v>93</v>
      </c>
      <c r="G421" t="s">
        <v>13</v>
      </c>
      <c r="H421">
        <v>2</v>
      </c>
      <c r="I421">
        <v>45.92</v>
      </c>
    </row>
    <row r="422" spans="1:9" x14ac:dyDescent="0.25">
      <c r="A422" s="5" t="str">
        <f>TrendSheetPrdData[[#This Row],[Population]]&amp;TrendSheetPrdData[[#This Row],[Cost Basis]]&amp;TrendSheetPrdData[[#This Row],[Period]]&amp;TrendSheetPrdData[[#This Row],[Trend]]</f>
        <v>EMPLOYEESPaid2017-01-01Drug PMPM</v>
      </c>
      <c r="B422" t="s">
        <v>90</v>
      </c>
      <c r="C422" t="s">
        <v>90</v>
      </c>
      <c r="D422" t="s">
        <v>78</v>
      </c>
      <c r="E422" s="1" t="s">
        <v>105</v>
      </c>
      <c r="F422" t="s">
        <v>93</v>
      </c>
      <c r="G422" t="s">
        <v>13</v>
      </c>
      <c r="H422">
        <v>2</v>
      </c>
      <c r="I422">
        <v>80.12</v>
      </c>
    </row>
    <row r="423" spans="1:9" x14ac:dyDescent="0.25">
      <c r="A423" s="5" t="str">
        <f>TrendSheetPrdData[[#This Row],[Population]]&amp;TrendSheetPrdData[[#This Row],[Cost Basis]]&amp;TrendSheetPrdData[[#This Row],[Period]]&amp;TrendSheetPrdData[[#This Row],[Trend]]</f>
        <v>EMPLOYEESPaid2017-02-01Drug PMPM</v>
      </c>
      <c r="B423" t="s">
        <v>90</v>
      </c>
      <c r="C423" t="s">
        <v>90</v>
      </c>
      <c r="D423" t="s">
        <v>78</v>
      </c>
      <c r="E423" s="1" t="s">
        <v>106</v>
      </c>
      <c r="F423" t="s">
        <v>93</v>
      </c>
      <c r="G423" t="s">
        <v>13</v>
      </c>
      <c r="H423">
        <v>2</v>
      </c>
      <c r="I423">
        <v>96.9</v>
      </c>
    </row>
    <row r="424" spans="1:9" x14ac:dyDescent="0.25">
      <c r="A424" s="5" t="str">
        <f>TrendSheetPrdData[[#This Row],[Population]]&amp;TrendSheetPrdData[[#This Row],[Cost Basis]]&amp;TrendSheetPrdData[[#This Row],[Period]]&amp;TrendSheetPrdData[[#This Row],[Trend]]</f>
        <v>EMPLOYEESPaid2017-03-01Drug PMPM</v>
      </c>
      <c r="B424" t="s">
        <v>90</v>
      </c>
      <c r="C424" t="s">
        <v>90</v>
      </c>
      <c r="D424" t="s">
        <v>78</v>
      </c>
      <c r="E424" s="1" t="s">
        <v>107</v>
      </c>
      <c r="F424" t="s">
        <v>108</v>
      </c>
      <c r="G424" t="s">
        <v>13</v>
      </c>
      <c r="H424">
        <v>2</v>
      </c>
      <c r="I424">
        <v>102.47</v>
      </c>
    </row>
    <row r="425" spans="1:9" x14ac:dyDescent="0.25">
      <c r="A425" s="5" t="str">
        <f>TrendSheetPrdData[[#This Row],[Population]]&amp;TrendSheetPrdData[[#This Row],[Cost Basis]]&amp;TrendSheetPrdData[[#This Row],[Period]]&amp;TrendSheetPrdData[[#This Row],[Trend]]</f>
        <v>EMPLOYEESPaid2017-04-01Drug PMPM</v>
      </c>
      <c r="B425" t="s">
        <v>90</v>
      </c>
      <c r="C425" t="s">
        <v>90</v>
      </c>
      <c r="D425" t="s">
        <v>78</v>
      </c>
      <c r="E425" s="1" t="s">
        <v>109</v>
      </c>
      <c r="F425" t="s">
        <v>108</v>
      </c>
      <c r="G425" t="s">
        <v>13</v>
      </c>
      <c r="H425">
        <v>2</v>
      </c>
      <c r="I425">
        <v>88.83</v>
      </c>
    </row>
    <row r="426" spans="1:9" x14ac:dyDescent="0.25">
      <c r="A426" s="5" t="str">
        <f>TrendSheetPrdData[[#This Row],[Population]]&amp;TrendSheetPrdData[[#This Row],[Cost Basis]]&amp;TrendSheetPrdData[[#This Row],[Period]]&amp;TrendSheetPrdData[[#This Row],[Trend]]</f>
        <v>EMPLOYEESPaid2017-05-01Drug PMPM</v>
      </c>
      <c r="B426" t="s">
        <v>90</v>
      </c>
      <c r="C426" t="s">
        <v>90</v>
      </c>
      <c r="D426" t="s">
        <v>78</v>
      </c>
      <c r="E426" s="1" t="s">
        <v>110</v>
      </c>
      <c r="F426" t="s">
        <v>108</v>
      </c>
      <c r="G426" t="s">
        <v>13</v>
      </c>
      <c r="H426">
        <v>2</v>
      </c>
      <c r="I426">
        <v>73.37</v>
      </c>
    </row>
    <row r="427" spans="1:9" x14ac:dyDescent="0.25">
      <c r="A427" s="5" t="str">
        <f>TrendSheetPrdData[[#This Row],[Population]]&amp;TrendSheetPrdData[[#This Row],[Cost Basis]]&amp;TrendSheetPrdData[[#This Row],[Period]]&amp;TrendSheetPrdData[[#This Row],[Trend]]</f>
        <v>EMPLOYEESPaid2016-01-01Overall PMPM</v>
      </c>
      <c r="B427" t="s">
        <v>90</v>
      </c>
      <c r="C427" t="s">
        <v>90</v>
      </c>
      <c r="D427" t="s">
        <v>78</v>
      </c>
      <c r="E427" s="1" t="s">
        <v>92</v>
      </c>
      <c r="F427" t="s">
        <v>93</v>
      </c>
      <c r="G427" t="s">
        <v>14</v>
      </c>
      <c r="H427">
        <v>3</v>
      </c>
      <c r="I427">
        <v>508.75</v>
      </c>
    </row>
    <row r="428" spans="1:9" x14ac:dyDescent="0.25">
      <c r="A428" s="5" t="str">
        <f>TrendSheetPrdData[[#This Row],[Population]]&amp;TrendSheetPrdData[[#This Row],[Cost Basis]]&amp;TrendSheetPrdData[[#This Row],[Period]]&amp;TrendSheetPrdData[[#This Row],[Trend]]</f>
        <v>EMPLOYEESPaid2016-02-01Overall PMPM</v>
      </c>
      <c r="B428" t="s">
        <v>90</v>
      </c>
      <c r="C428" t="s">
        <v>90</v>
      </c>
      <c r="D428" t="s">
        <v>78</v>
      </c>
      <c r="E428" s="1" t="s">
        <v>94</v>
      </c>
      <c r="F428" t="s">
        <v>93</v>
      </c>
      <c r="G428" t="s">
        <v>14</v>
      </c>
      <c r="H428">
        <v>3</v>
      </c>
      <c r="I428">
        <v>544.72</v>
      </c>
    </row>
    <row r="429" spans="1:9" x14ac:dyDescent="0.25">
      <c r="A429" s="5" t="str">
        <f>TrendSheetPrdData[[#This Row],[Population]]&amp;TrendSheetPrdData[[#This Row],[Cost Basis]]&amp;TrendSheetPrdData[[#This Row],[Period]]&amp;TrendSheetPrdData[[#This Row],[Trend]]</f>
        <v>EMPLOYEESPaid2016-03-01Overall PMPM</v>
      </c>
      <c r="B429" t="s">
        <v>90</v>
      </c>
      <c r="C429" t="s">
        <v>90</v>
      </c>
      <c r="D429" t="s">
        <v>78</v>
      </c>
      <c r="E429" s="1" t="s">
        <v>95</v>
      </c>
      <c r="F429" t="s">
        <v>93</v>
      </c>
      <c r="G429" t="s">
        <v>14</v>
      </c>
      <c r="H429">
        <v>3</v>
      </c>
      <c r="I429">
        <v>520.35</v>
      </c>
    </row>
    <row r="430" spans="1:9" x14ac:dyDescent="0.25">
      <c r="A430" s="5" t="str">
        <f>TrendSheetPrdData[[#This Row],[Population]]&amp;TrendSheetPrdData[[#This Row],[Cost Basis]]&amp;TrendSheetPrdData[[#This Row],[Period]]&amp;TrendSheetPrdData[[#This Row],[Trend]]</f>
        <v>EMPLOYEESPaid2016-04-01Overall PMPM</v>
      </c>
      <c r="B430" t="s">
        <v>90</v>
      </c>
      <c r="C430" t="s">
        <v>90</v>
      </c>
      <c r="D430" t="s">
        <v>78</v>
      </c>
      <c r="E430" s="1" t="s">
        <v>96</v>
      </c>
      <c r="F430" t="s">
        <v>93</v>
      </c>
      <c r="G430" t="s">
        <v>14</v>
      </c>
      <c r="H430">
        <v>3</v>
      </c>
      <c r="I430">
        <v>599.12</v>
      </c>
    </row>
    <row r="431" spans="1:9" x14ac:dyDescent="0.25">
      <c r="A431" s="5" t="str">
        <f>TrendSheetPrdData[[#This Row],[Population]]&amp;TrendSheetPrdData[[#This Row],[Cost Basis]]&amp;TrendSheetPrdData[[#This Row],[Period]]&amp;TrendSheetPrdData[[#This Row],[Trend]]</f>
        <v>EMPLOYEESPaid2016-05-01Overall PMPM</v>
      </c>
      <c r="B431" t="s">
        <v>90</v>
      </c>
      <c r="C431" t="s">
        <v>90</v>
      </c>
      <c r="D431" t="s">
        <v>78</v>
      </c>
      <c r="E431" s="1" t="s">
        <v>97</v>
      </c>
      <c r="F431" t="s">
        <v>93</v>
      </c>
      <c r="G431" t="s">
        <v>14</v>
      </c>
      <c r="H431">
        <v>3</v>
      </c>
      <c r="I431">
        <v>538</v>
      </c>
    </row>
    <row r="432" spans="1:9" x14ac:dyDescent="0.25">
      <c r="A432" s="5" t="str">
        <f>TrendSheetPrdData[[#This Row],[Population]]&amp;TrendSheetPrdData[[#This Row],[Cost Basis]]&amp;TrendSheetPrdData[[#This Row],[Period]]&amp;TrendSheetPrdData[[#This Row],[Trend]]</f>
        <v>EMPLOYEESPaid2016-06-01Overall PMPM</v>
      </c>
      <c r="B432" t="s">
        <v>90</v>
      </c>
      <c r="C432" t="s">
        <v>90</v>
      </c>
      <c r="D432" t="s">
        <v>78</v>
      </c>
      <c r="E432" s="1" t="s">
        <v>98</v>
      </c>
      <c r="F432" t="s">
        <v>93</v>
      </c>
      <c r="G432" t="s">
        <v>14</v>
      </c>
      <c r="H432">
        <v>3</v>
      </c>
      <c r="I432">
        <v>495.64</v>
      </c>
    </row>
    <row r="433" spans="1:9" x14ac:dyDescent="0.25">
      <c r="A433" s="5" t="str">
        <f>TrendSheetPrdData[[#This Row],[Population]]&amp;TrendSheetPrdData[[#This Row],[Cost Basis]]&amp;TrendSheetPrdData[[#This Row],[Period]]&amp;TrendSheetPrdData[[#This Row],[Trend]]</f>
        <v>EMPLOYEESPaid2016-07-01Overall PMPM</v>
      </c>
      <c r="B433" t="s">
        <v>90</v>
      </c>
      <c r="C433" t="s">
        <v>90</v>
      </c>
      <c r="D433" t="s">
        <v>78</v>
      </c>
      <c r="E433" s="1" t="s">
        <v>99</v>
      </c>
      <c r="F433" t="s">
        <v>93</v>
      </c>
      <c r="G433" t="s">
        <v>14</v>
      </c>
      <c r="H433">
        <v>3</v>
      </c>
      <c r="I433">
        <v>584.5</v>
      </c>
    </row>
    <row r="434" spans="1:9" x14ac:dyDescent="0.25">
      <c r="A434" s="5" t="str">
        <f>TrendSheetPrdData[[#This Row],[Population]]&amp;TrendSheetPrdData[[#This Row],[Cost Basis]]&amp;TrendSheetPrdData[[#This Row],[Period]]&amp;TrendSheetPrdData[[#This Row],[Trend]]</f>
        <v>EMPLOYEESPaid2016-08-01Overall PMPM</v>
      </c>
      <c r="B434" t="s">
        <v>90</v>
      </c>
      <c r="C434" t="s">
        <v>90</v>
      </c>
      <c r="D434" t="s">
        <v>78</v>
      </c>
      <c r="E434" s="1" t="s">
        <v>100</v>
      </c>
      <c r="F434" t="s">
        <v>93</v>
      </c>
      <c r="G434" t="s">
        <v>14</v>
      </c>
      <c r="H434">
        <v>3</v>
      </c>
      <c r="I434">
        <v>531.44000000000005</v>
      </c>
    </row>
    <row r="435" spans="1:9" x14ac:dyDescent="0.25">
      <c r="A435" s="5" t="str">
        <f>TrendSheetPrdData[[#This Row],[Population]]&amp;TrendSheetPrdData[[#This Row],[Cost Basis]]&amp;TrendSheetPrdData[[#This Row],[Period]]&amp;TrendSheetPrdData[[#This Row],[Trend]]</f>
        <v>EMPLOYEESPaid2016-09-01Overall PMPM</v>
      </c>
      <c r="B435" t="s">
        <v>90</v>
      </c>
      <c r="C435" t="s">
        <v>90</v>
      </c>
      <c r="D435" t="s">
        <v>78</v>
      </c>
      <c r="E435" s="1" t="s">
        <v>101</v>
      </c>
      <c r="F435" t="s">
        <v>93</v>
      </c>
      <c r="G435" t="s">
        <v>14</v>
      </c>
      <c r="H435">
        <v>3</v>
      </c>
      <c r="I435">
        <v>509.47</v>
      </c>
    </row>
    <row r="436" spans="1:9" x14ac:dyDescent="0.25">
      <c r="A436" s="5" t="str">
        <f>TrendSheetPrdData[[#This Row],[Population]]&amp;TrendSheetPrdData[[#This Row],[Cost Basis]]&amp;TrendSheetPrdData[[#This Row],[Period]]&amp;TrendSheetPrdData[[#This Row],[Trend]]</f>
        <v>EMPLOYEESPaid2016-10-01Overall PMPM</v>
      </c>
      <c r="B436" t="s">
        <v>90</v>
      </c>
      <c r="C436" t="s">
        <v>90</v>
      </c>
      <c r="D436" t="s">
        <v>78</v>
      </c>
      <c r="E436" s="1" t="s">
        <v>102</v>
      </c>
      <c r="F436" t="s">
        <v>93</v>
      </c>
      <c r="G436" t="s">
        <v>14</v>
      </c>
      <c r="H436">
        <v>3</v>
      </c>
      <c r="I436">
        <v>449.4</v>
      </c>
    </row>
    <row r="437" spans="1:9" x14ac:dyDescent="0.25">
      <c r="A437" s="5" t="str">
        <f>TrendSheetPrdData[[#This Row],[Population]]&amp;TrendSheetPrdData[[#This Row],[Cost Basis]]&amp;TrendSheetPrdData[[#This Row],[Period]]&amp;TrendSheetPrdData[[#This Row],[Trend]]</f>
        <v>EMPLOYEESPaid2016-11-01Overall PMPM</v>
      </c>
      <c r="B437" t="s">
        <v>90</v>
      </c>
      <c r="C437" t="s">
        <v>90</v>
      </c>
      <c r="D437" t="s">
        <v>78</v>
      </c>
      <c r="E437" s="1" t="s">
        <v>103</v>
      </c>
      <c r="F437" t="s">
        <v>93</v>
      </c>
      <c r="G437" t="s">
        <v>14</v>
      </c>
      <c r="H437">
        <v>3</v>
      </c>
      <c r="I437">
        <v>501.55</v>
      </c>
    </row>
    <row r="438" spans="1:9" x14ac:dyDescent="0.25">
      <c r="A438" s="5" t="str">
        <f>TrendSheetPrdData[[#This Row],[Population]]&amp;TrendSheetPrdData[[#This Row],[Cost Basis]]&amp;TrendSheetPrdData[[#This Row],[Period]]&amp;TrendSheetPrdData[[#This Row],[Trend]]</f>
        <v>EMPLOYEESPaid2016-12-01Overall PMPM</v>
      </c>
      <c r="B438" t="s">
        <v>90</v>
      </c>
      <c r="C438" t="s">
        <v>90</v>
      </c>
      <c r="D438" t="s">
        <v>78</v>
      </c>
      <c r="E438" s="1" t="s">
        <v>104</v>
      </c>
      <c r="F438" t="s">
        <v>93</v>
      </c>
      <c r="G438" t="s">
        <v>14</v>
      </c>
      <c r="H438">
        <v>3</v>
      </c>
      <c r="I438">
        <v>547.23</v>
      </c>
    </row>
    <row r="439" spans="1:9" x14ac:dyDescent="0.25">
      <c r="A439" s="5" t="str">
        <f>TrendSheetPrdData[[#This Row],[Population]]&amp;TrendSheetPrdData[[#This Row],[Cost Basis]]&amp;TrendSheetPrdData[[#This Row],[Period]]&amp;TrendSheetPrdData[[#This Row],[Trend]]</f>
        <v>EMPLOYEESPaid2017-01-01Overall PMPM</v>
      </c>
      <c r="B439" t="s">
        <v>90</v>
      </c>
      <c r="C439" t="s">
        <v>90</v>
      </c>
      <c r="D439" t="s">
        <v>78</v>
      </c>
      <c r="E439" s="1" t="s">
        <v>105</v>
      </c>
      <c r="F439" t="s">
        <v>93</v>
      </c>
      <c r="G439" t="s">
        <v>14</v>
      </c>
      <c r="H439">
        <v>3</v>
      </c>
      <c r="I439">
        <v>498.5</v>
      </c>
    </row>
    <row r="440" spans="1:9" x14ac:dyDescent="0.25">
      <c r="A440" s="5" t="str">
        <f>TrendSheetPrdData[[#This Row],[Population]]&amp;TrendSheetPrdData[[#This Row],[Cost Basis]]&amp;TrendSheetPrdData[[#This Row],[Period]]&amp;TrendSheetPrdData[[#This Row],[Trend]]</f>
        <v>EMPLOYEESPaid2017-02-01Overall PMPM</v>
      </c>
      <c r="B440" t="s">
        <v>90</v>
      </c>
      <c r="C440" t="s">
        <v>90</v>
      </c>
      <c r="D440" t="s">
        <v>78</v>
      </c>
      <c r="E440" s="1" t="s">
        <v>106</v>
      </c>
      <c r="F440" t="s">
        <v>93</v>
      </c>
      <c r="G440" t="s">
        <v>14</v>
      </c>
      <c r="H440">
        <v>3</v>
      </c>
      <c r="I440">
        <v>441.38</v>
      </c>
    </row>
    <row r="441" spans="1:9" x14ac:dyDescent="0.25">
      <c r="A441" s="5" t="str">
        <f>TrendSheetPrdData[[#This Row],[Population]]&amp;TrendSheetPrdData[[#This Row],[Cost Basis]]&amp;TrendSheetPrdData[[#This Row],[Period]]&amp;TrendSheetPrdData[[#This Row],[Trend]]</f>
        <v>EMPLOYEESPaid2017-03-01Overall PMPM</v>
      </c>
      <c r="B441" t="s">
        <v>90</v>
      </c>
      <c r="C441" t="s">
        <v>90</v>
      </c>
      <c r="D441" t="s">
        <v>78</v>
      </c>
      <c r="E441" s="1" t="s">
        <v>107</v>
      </c>
      <c r="F441" t="s">
        <v>108</v>
      </c>
      <c r="G441" t="s">
        <v>14</v>
      </c>
      <c r="H441">
        <v>3</v>
      </c>
      <c r="I441">
        <v>476.99</v>
      </c>
    </row>
    <row r="442" spans="1:9" x14ac:dyDescent="0.25">
      <c r="A442" s="5" t="str">
        <f>TrendSheetPrdData[[#This Row],[Population]]&amp;TrendSheetPrdData[[#This Row],[Cost Basis]]&amp;TrendSheetPrdData[[#This Row],[Period]]&amp;TrendSheetPrdData[[#This Row],[Trend]]</f>
        <v>EMPLOYEESPaid2017-04-01Overall PMPM</v>
      </c>
      <c r="B442" t="s">
        <v>90</v>
      </c>
      <c r="C442" t="s">
        <v>90</v>
      </c>
      <c r="D442" t="s">
        <v>78</v>
      </c>
      <c r="E442" s="1" t="s">
        <v>109</v>
      </c>
      <c r="F442" t="s">
        <v>108</v>
      </c>
      <c r="G442" t="s">
        <v>14</v>
      </c>
      <c r="H442">
        <v>3</v>
      </c>
      <c r="I442">
        <v>464.75</v>
      </c>
    </row>
    <row r="443" spans="1:9" x14ac:dyDescent="0.25">
      <c r="A443" s="5" t="str">
        <f>TrendSheetPrdData[[#This Row],[Population]]&amp;TrendSheetPrdData[[#This Row],[Cost Basis]]&amp;TrendSheetPrdData[[#This Row],[Period]]&amp;TrendSheetPrdData[[#This Row],[Trend]]</f>
        <v>EMPLOYEESPaid2017-05-01Overall PMPM</v>
      </c>
      <c r="B443" t="s">
        <v>90</v>
      </c>
      <c r="C443" t="s">
        <v>90</v>
      </c>
      <c r="D443" t="s">
        <v>78</v>
      </c>
      <c r="E443" s="1" t="s">
        <v>110</v>
      </c>
      <c r="F443" t="s">
        <v>108</v>
      </c>
      <c r="G443" t="s">
        <v>14</v>
      </c>
      <c r="H443">
        <v>3</v>
      </c>
      <c r="I443">
        <v>274.81</v>
      </c>
    </row>
    <row r="444" spans="1:9" x14ac:dyDescent="0.25">
      <c r="A444" s="5" t="str">
        <f>TrendSheetPrdData[[#This Row],[Population]]&amp;TrendSheetPrdData[[#This Row],[Cost Basis]]&amp;TrendSheetPrdData[[#This Row],[Period]]&amp;TrendSheetPrdData[[#This Row],[Trend]]</f>
        <v>EMPLOYEESPaid2016-01-01Readmission Cost</v>
      </c>
      <c r="B444" t="s">
        <v>90</v>
      </c>
      <c r="C444" t="s">
        <v>90</v>
      </c>
      <c r="D444" t="s">
        <v>78</v>
      </c>
      <c r="E444" s="1" t="s">
        <v>92</v>
      </c>
      <c r="F444" t="s">
        <v>93</v>
      </c>
      <c r="G444" t="s">
        <v>15</v>
      </c>
      <c r="H444">
        <v>4</v>
      </c>
      <c r="I444">
        <v>0</v>
      </c>
    </row>
    <row r="445" spans="1:9" x14ac:dyDescent="0.25">
      <c r="A445" s="5" t="str">
        <f>TrendSheetPrdData[[#This Row],[Population]]&amp;TrendSheetPrdData[[#This Row],[Cost Basis]]&amp;TrendSheetPrdData[[#This Row],[Period]]&amp;TrendSheetPrdData[[#This Row],[Trend]]</f>
        <v>EMPLOYEESPaid2016-02-01Readmission Cost</v>
      </c>
      <c r="B445" t="s">
        <v>90</v>
      </c>
      <c r="C445" t="s">
        <v>90</v>
      </c>
      <c r="D445" t="s">
        <v>78</v>
      </c>
      <c r="E445" s="1" t="s">
        <v>94</v>
      </c>
      <c r="F445" t="s">
        <v>93</v>
      </c>
      <c r="G445" t="s">
        <v>15</v>
      </c>
      <c r="H445">
        <v>4</v>
      </c>
      <c r="I445">
        <v>0</v>
      </c>
    </row>
    <row r="446" spans="1:9" x14ac:dyDescent="0.25">
      <c r="A446" s="5" t="str">
        <f>TrendSheetPrdData[[#This Row],[Population]]&amp;TrendSheetPrdData[[#This Row],[Cost Basis]]&amp;TrendSheetPrdData[[#This Row],[Period]]&amp;TrendSheetPrdData[[#This Row],[Trend]]</f>
        <v>EMPLOYEESPaid2016-03-01Readmission Cost</v>
      </c>
      <c r="B446" t="s">
        <v>90</v>
      </c>
      <c r="C446" t="s">
        <v>90</v>
      </c>
      <c r="D446" t="s">
        <v>78</v>
      </c>
      <c r="E446" s="1" t="s">
        <v>95</v>
      </c>
      <c r="F446" t="s">
        <v>93</v>
      </c>
      <c r="G446" t="s">
        <v>15</v>
      </c>
      <c r="H446">
        <v>4</v>
      </c>
      <c r="I446">
        <v>0</v>
      </c>
    </row>
    <row r="447" spans="1:9" x14ac:dyDescent="0.25">
      <c r="A447" s="5" t="str">
        <f>TrendSheetPrdData[[#This Row],[Population]]&amp;TrendSheetPrdData[[#This Row],[Cost Basis]]&amp;TrendSheetPrdData[[#This Row],[Period]]&amp;TrendSheetPrdData[[#This Row],[Trend]]</f>
        <v>EMPLOYEESPaid2016-04-01Readmission Cost</v>
      </c>
      <c r="B447" t="s">
        <v>90</v>
      </c>
      <c r="C447" t="s">
        <v>90</v>
      </c>
      <c r="D447" t="s">
        <v>78</v>
      </c>
      <c r="E447" s="1" t="s">
        <v>96</v>
      </c>
      <c r="F447" t="s">
        <v>93</v>
      </c>
      <c r="G447" t="s">
        <v>15</v>
      </c>
      <c r="H447">
        <v>4</v>
      </c>
      <c r="I447">
        <v>38215.160000000003</v>
      </c>
    </row>
    <row r="448" spans="1:9" x14ac:dyDescent="0.25">
      <c r="A448" s="5" t="str">
        <f>TrendSheetPrdData[[#This Row],[Population]]&amp;TrendSheetPrdData[[#This Row],[Cost Basis]]&amp;TrendSheetPrdData[[#This Row],[Period]]&amp;TrendSheetPrdData[[#This Row],[Trend]]</f>
        <v>EMPLOYEESPaid2016-05-01Readmission Cost</v>
      </c>
      <c r="B448" t="s">
        <v>90</v>
      </c>
      <c r="C448" t="s">
        <v>90</v>
      </c>
      <c r="D448" t="s">
        <v>78</v>
      </c>
      <c r="E448" s="1" t="s">
        <v>97</v>
      </c>
      <c r="F448" t="s">
        <v>93</v>
      </c>
      <c r="G448" t="s">
        <v>15</v>
      </c>
      <c r="H448">
        <v>4</v>
      </c>
      <c r="I448">
        <v>5503.48</v>
      </c>
    </row>
    <row r="449" spans="1:9" x14ac:dyDescent="0.25">
      <c r="A449" s="5" t="str">
        <f>TrendSheetPrdData[[#This Row],[Population]]&amp;TrendSheetPrdData[[#This Row],[Cost Basis]]&amp;TrendSheetPrdData[[#This Row],[Period]]&amp;TrendSheetPrdData[[#This Row],[Trend]]</f>
        <v>EMPLOYEESPaid2016-06-01Readmission Cost</v>
      </c>
      <c r="B449" t="s">
        <v>90</v>
      </c>
      <c r="C449" t="s">
        <v>90</v>
      </c>
      <c r="D449" t="s">
        <v>78</v>
      </c>
      <c r="E449" s="1" t="s">
        <v>98</v>
      </c>
      <c r="F449" t="s">
        <v>93</v>
      </c>
      <c r="G449" t="s">
        <v>15</v>
      </c>
      <c r="H449">
        <v>4</v>
      </c>
      <c r="I449">
        <v>0</v>
      </c>
    </row>
    <row r="450" spans="1:9" x14ac:dyDescent="0.25">
      <c r="A450" s="5" t="str">
        <f>TrendSheetPrdData[[#This Row],[Population]]&amp;TrendSheetPrdData[[#This Row],[Cost Basis]]&amp;TrendSheetPrdData[[#This Row],[Period]]&amp;TrendSheetPrdData[[#This Row],[Trend]]</f>
        <v>EMPLOYEESPaid2016-07-01Readmission Cost</v>
      </c>
      <c r="B450" t="s">
        <v>90</v>
      </c>
      <c r="C450" t="s">
        <v>90</v>
      </c>
      <c r="D450" t="s">
        <v>78</v>
      </c>
      <c r="E450" s="1" t="s">
        <v>99</v>
      </c>
      <c r="F450" t="s">
        <v>93</v>
      </c>
      <c r="G450" t="s">
        <v>15</v>
      </c>
      <c r="H450">
        <v>4</v>
      </c>
      <c r="I450">
        <v>0</v>
      </c>
    </row>
    <row r="451" spans="1:9" x14ac:dyDescent="0.25">
      <c r="A451" s="5" t="str">
        <f>TrendSheetPrdData[[#This Row],[Population]]&amp;TrendSheetPrdData[[#This Row],[Cost Basis]]&amp;TrendSheetPrdData[[#This Row],[Period]]&amp;TrendSheetPrdData[[#This Row],[Trend]]</f>
        <v>EMPLOYEESPaid2016-08-01Readmission Cost</v>
      </c>
      <c r="B451" t="s">
        <v>90</v>
      </c>
      <c r="C451" t="s">
        <v>90</v>
      </c>
      <c r="D451" t="s">
        <v>78</v>
      </c>
      <c r="E451" s="1" t="s">
        <v>100</v>
      </c>
      <c r="F451" t="s">
        <v>93</v>
      </c>
      <c r="G451" t="s">
        <v>15</v>
      </c>
      <c r="H451">
        <v>4</v>
      </c>
      <c r="I451">
        <v>22432.23</v>
      </c>
    </row>
    <row r="452" spans="1:9" x14ac:dyDescent="0.25">
      <c r="A452" s="5" t="str">
        <f>TrendSheetPrdData[[#This Row],[Population]]&amp;TrendSheetPrdData[[#This Row],[Cost Basis]]&amp;TrendSheetPrdData[[#This Row],[Period]]&amp;TrendSheetPrdData[[#This Row],[Trend]]</f>
        <v>EMPLOYEESPaid2016-09-01Readmission Cost</v>
      </c>
      <c r="B452" t="s">
        <v>90</v>
      </c>
      <c r="C452" t="s">
        <v>90</v>
      </c>
      <c r="D452" t="s">
        <v>78</v>
      </c>
      <c r="E452" s="1" t="s">
        <v>101</v>
      </c>
      <c r="F452" t="s">
        <v>93</v>
      </c>
      <c r="G452" t="s">
        <v>15</v>
      </c>
      <c r="H452">
        <v>4</v>
      </c>
      <c r="I452">
        <v>17070.05</v>
      </c>
    </row>
    <row r="453" spans="1:9" x14ac:dyDescent="0.25">
      <c r="A453" s="5" t="str">
        <f>TrendSheetPrdData[[#This Row],[Population]]&amp;TrendSheetPrdData[[#This Row],[Cost Basis]]&amp;TrendSheetPrdData[[#This Row],[Period]]&amp;TrendSheetPrdData[[#This Row],[Trend]]</f>
        <v>EMPLOYEESPaid2016-10-01Readmission Cost</v>
      </c>
      <c r="B453" t="s">
        <v>90</v>
      </c>
      <c r="C453" t="s">
        <v>90</v>
      </c>
      <c r="D453" t="s">
        <v>78</v>
      </c>
      <c r="E453" s="1" t="s">
        <v>102</v>
      </c>
      <c r="F453" t="s">
        <v>93</v>
      </c>
      <c r="G453" t="s">
        <v>15</v>
      </c>
      <c r="H453">
        <v>4</v>
      </c>
      <c r="I453">
        <v>37819.94</v>
      </c>
    </row>
    <row r="454" spans="1:9" x14ac:dyDescent="0.25">
      <c r="A454" s="5" t="str">
        <f>TrendSheetPrdData[[#This Row],[Population]]&amp;TrendSheetPrdData[[#This Row],[Cost Basis]]&amp;TrendSheetPrdData[[#This Row],[Period]]&amp;TrendSheetPrdData[[#This Row],[Trend]]</f>
        <v>EMPLOYEESPaid2016-11-01Readmission Cost</v>
      </c>
      <c r="B454" t="s">
        <v>90</v>
      </c>
      <c r="C454" t="s">
        <v>90</v>
      </c>
      <c r="D454" t="s">
        <v>78</v>
      </c>
      <c r="E454" s="1" t="s">
        <v>103</v>
      </c>
      <c r="F454" t="s">
        <v>93</v>
      </c>
      <c r="G454" t="s">
        <v>15</v>
      </c>
      <c r="H454">
        <v>4</v>
      </c>
      <c r="I454">
        <v>3830.39</v>
      </c>
    </row>
    <row r="455" spans="1:9" x14ac:dyDescent="0.25">
      <c r="A455" s="5" t="str">
        <f>TrendSheetPrdData[[#This Row],[Population]]&amp;TrendSheetPrdData[[#This Row],[Cost Basis]]&amp;TrendSheetPrdData[[#This Row],[Period]]&amp;TrendSheetPrdData[[#This Row],[Trend]]</f>
        <v>EMPLOYEESPaid2016-12-01Readmission Cost</v>
      </c>
      <c r="B455" t="s">
        <v>90</v>
      </c>
      <c r="C455" t="s">
        <v>90</v>
      </c>
      <c r="D455" t="s">
        <v>78</v>
      </c>
      <c r="E455" s="1" t="s">
        <v>104</v>
      </c>
      <c r="F455" t="s">
        <v>93</v>
      </c>
      <c r="G455" t="s">
        <v>15</v>
      </c>
      <c r="H455">
        <v>4</v>
      </c>
      <c r="I455">
        <v>0</v>
      </c>
    </row>
    <row r="456" spans="1:9" x14ac:dyDescent="0.25">
      <c r="A456" s="5" t="str">
        <f>TrendSheetPrdData[[#This Row],[Population]]&amp;TrendSheetPrdData[[#This Row],[Cost Basis]]&amp;TrendSheetPrdData[[#This Row],[Period]]&amp;TrendSheetPrdData[[#This Row],[Trend]]</f>
        <v>EMPLOYEESPaid2017-01-01Readmission Cost</v>
      </c>
      <c r="B456" t="s">
        <v>90</v>
      </c>
      <c r="C456" t="s">
        <v>90</v>
      </c>
      <c r="D456" t="s">
        <v>78</v>
      </c>
      <c r="E456" s="1" t="s">
        <v>105</v>
      </c>
      <c r="F456" t="s">
        <v>93</v>
      </c>
      <c r="G456" t="s">
        <v>15</v>
      </c>
      <c r="H456">
        <v>4</v>
      </c>
      <c r="I456">
        <v>0</v>
      </c>
    </row>
    <row r="457" spans="1:9" x14ac:dyDescent="0.25">
      <c r="A457" s="5" t="str">
        <f>TrendSheetPrdData[[#This Row],[Population]]&amp;TrendSheetPrdData[[#This Row],[Cost Basis]]&amp;TrendSheetPrdData[[#This Row],[Period]]&amp;TrendSheetPrdData[[#This Row],[Trend]]</f>
        <v>EMPLOYEESPaid2017-02-01Readmission Cost</v>
      </c>
      <c r="B457" t="s">
        <v>90</v>
      </c>
      <c r="C457" t="s">
        <v>90</v>
      </c>
      <c r="D457" t="s">
        <v>78</v>
      </c>
      <c r="E457" s="1" t="s">
        <v>106</v>
      </c>
      <c r="F457" t="s">
        <v>93</v>
      </c>
      <c r="G457" t="s">
        <v>15</v>
      </c>
      <c r="H457">
        <v>4</v>
      </c>
      <c r="I457">
        <v>0</v>
      </c>
    </row>
    <row r="458" spans="1:9" x14ac:dyDescent="0.25">
      <c r="A458" s="5" t="str">
        <f>TrendSheetPrdData[[#This Row],[Population]]&amp;TrendSheetPrdData[[#This Row],[Cost Basis]]&amp;TrendSheetPrdData[[#This Row],[Period]]&amp;TrendSheetPrdData[[#This Row],[Trend]]</f>
        <v>EMPLOYEESPaid2017-03-01Readmission Cost</v>
      </c>
      <c r="B458" t="s">
        <v>90</v>
      </c>
      <c r="C458" t="s">
        <v>90</v>
      </c>
      <c r="D458" t="s">
        <v>78</v>
      </c>
      <c r="E458" s="1" t="s">
        <v>107</v>
      </c>
      <c r="F458" t="s">
        <v>108</v>
      </c>
      <c r="G458" t="s">
        <v>15</v>
      </c>
      <c r="H458">
        <v>4</v>
      </c>
      <c r="I458">
        <v>18856.55</v>
      </c>
    </row>
    <row r="459" spans="1:9" x14ac:dyDescent="0.25">
      <c r="A459" s="5" t="str">
        <f>TrendSheetPrdData[[#This Row],[Population]]&amp;TrendSheetPrdData[[#This Row],[Cost Basis]]&amp;TrendSheetPrdData[[#This Row],[Period]]&amp;TrendSheetPrdData[[#This Row],[Trend]]</f>
        <v>EMPLOYEESPaid2017-04-01Readmission Cost</v>
      </c>
      <c r="B459" t="s">
        <v>90</v>
      </c>
      <c r="C459" t="s">
        <v>90</v>
      </c>
      <c r="D459" t="s">
        <v>78</v>
      </c>
      <c r="E459" s="1" t="s">
        <v>109</v>
      </c>
      <c r="F459" t="s">
        <v>108</v>
      </c>
      <c r="G459" t="s">
        <v>15</v>
      </c>
      <c r="H459">
        <v>4</v>
      </c>
      <c r="I459">
        <v>11457.42</v>
      </c>
    </row>
    <row r="460" spans="1:9" x14ac:dyDescent="0.25">
      <c r="A460" s="5" t="str">
        <f>TrendSheetPrdData[[#This Row],[Population]]&amp;TrendSheetPrdData[[#This Row],[Cost Basis]]&amp;TrendSheetPrdData[[#This Row],[Period]]&amp;TrendSheetPrdData[[#This Row],[Trend]]</f>
        <v>EMPLOYEESPaid2017-05-01Readmission Cost</v>
      </c>
      <c r="B460" t="s">
        <v>90</v>
      </c>
      <c r="C460" t="s">
        <v>90</v>
      </c>
      <c r="D460" t="s">
        <v>78</v>
      </c>
      <c r="E460" s="1" t="s">
        <v>110</v>
      </c>
      <c r="F460" t="s">
        <v>108</v>
      </c>
      <c r="G460" t="s">
        <v>15</v>
      </c>
      <c r="H460">
        <v>4</v>
      </c>
      <c r="I460">
        <v>0</v>
      </c>
    </row>
    <row r="461" spans="1:9" x14ac:dyDescent="0.25">
      <c r="A461" s="5" t="str">
        <f>TrendSheetPrdData[[#This Row],[Population]]&amp;TrendSheetPrdData[[#This Row],[Cost Basis]]&amp;TrendSheetPrdData[[#This Row],[Period]]&amp;TrendSheetPrdData[[#This Row],[Trend]]</f>
        <v>EMPLOYEESPaid2016-01-01Readmission Quality</v>
      </c>
      <c r="B461" t="s">
        <v>90</v>
      </c>
      <c r="C461" t="s">
        <v>90</v>
      </c>
      <c r="D461" t="s">
        <v>78</v>
      </c>
      <c r="E461" s="1" t="s">
        <v>92</v>
      </c>
      <c r="F461" t="s">
        <v>93</v>
      </c>
      <c r="G461" t="s">
        <v>16</v>
      </c>
      <c r="H461">
        <v>5</v>
      </c>
      <c r="I461">
        <v>0</v>
      </c>
    </row>
    <row r="462" spans="1:9" x14ac:dyDescent="0.25">
      <c r="A462" s="5" t="str">
        <f>TrendSheetPrdData[[#This Row],[Population]]&amp;TrendSheetPrdData[[#This Row],[Cost Basis]]&amp;TrendSheetPrdData[[#This Row],[Period]]&amp;TrendSheetPrdData[[#This Row],[Trend]]</f>
        <v>EMPLOYEESPaid2016-02-01Readmission Quality</v>
      </c>
      <c r="B462" t="s">
        <v>90</v>
      </c>
      <c r="C462" t="s">
        <v>90</v>
      </c>
      <c r="D462" t="s">
        <v>78</v>
      </c>
      <c r="E462" s="1" t="s">
        <v>94</v>
      </c>
      <c r="F462" t="s">
        <v>93</v>
      </c>
      <c r="G462" t="s">
        <v>16</v>
      </c>
      <c r="H462">
        <v>5</v>
      </c>
      <c r="I462">
        <v>0</v>
      </c>
    </row>
    <row r="463" spans="1:9" x14ac:dyDescent="0.25">
      <c r="A463" s="5" t="str">
        <f>TrendSheetPrdData[[#This Row],[Population]]&amp;TrendSheetPrdData[[#This Row],[Cost Basis]]&amp;TrendSheetPrdData[[#This Row],[Period]]&amp;TrendSheetPrdData[[#This Row],[Trend]]</f>
        <v>EMPLOYEESPaid2016-03-01Readmission Quality</v>
      </c>
      <c r="B463" t="s">
        <v>90</v>
      </c>
      <c r="C463" t="s">
        <v>90</v>
      </c>
      <c r="D463" t="s">
        <v>78</v>
      </c>
      <c r="E463" s="1" t="s">
        <v>95</v>
      </c>
      <c r="F463" t="s">
        <v>93</v>
      </c>
      <c r="G463" t="s">
        <v>16</v>
      </c>
      <c r="H463">
        <v>5</v>
      </c>
      <c r="I463">
        <v>0</v>
      </c>
    </row>
    <row r="464" spans="1:9" x14ac:dyDescent="0.25">
      <c r="A464" s="5" t="str">
        <f>TrendSheetPrdData[[#This Row],[Population]]&amp;TrendSheetPrdData[[#This Row],[Cost Basis]]&amp;TrendSheetPrdData[[#This Row],[Period]]&amp;TrendSheetPrdData[[#This Row],[Trend]]</f>
        <v>EMPLOYEESPaid2016-04-01Readmission Quality</v>
      </c>
      <c r="B464" t="s">
        <v>90</v>
      </c>
      <c r="C464" t="s">
        <v>90</v>
      </c>
      <c r="D464" t="s">
        <v>78</v>
      </c>
      <c r="E464" s="1" t="s">
        <v>96</v>
      </c>
      <c r="F464" t="s">
        <v>93</v>
      </c>
      <c r="G464" t="s">
        <v>16</v>
      </c>
      <c r="H464">
        <v>5</v>
      </c>
      <c r="I464">
        <v>3</v>
      </c>
    </row>
    <row r="465" spans="1:9" x14ac:dyDescent="0.25">
      <c r="A465" s="5" t="str">
        <f>TrendSheetPrdData[[#This Row],[Population]]&amp;TrendSheetPrdData[[#This Row],[Cost Basis]]&amp;TrendSheetPrdData[[#This Row],[Period]]&amp;TrendSheetPrdData[[#This Row],[Trend]]</f>
        <v>EMPLOYEESPaid2016-05-01Readmission Quality</v>
      </c>
      <c r="B465" t="s">
        <v>90</v>
      </c>
      <c r="C465" t="s">
        <v>90</v>
      </c>
      <c r="D465" t="s">
        <v>78</v>
      </c>
      <c r="E465" s="1" t="s">
        <v>97</v>
      </c>
      <c r="F465" t="s">
        <v>93</v>
      </c>
      <c r="G465" t="s">
        <v>16</v>
      </c>
      <c r="H465">
        <v>5</v>
      </c>
      <c r="I465">
        <v>1</v>
      </c>
    </row>
    <row r="466" spans="1:9" x14ac:dyDescent="0.25">
      <c r="A466" s="5" t="str">
        <f>TrendSheetPrdData[[#This Row],[Population]]&amp;TrendSheetPrdData[[#This Row],[Cost Basis]]&amp;TrendSheetPrdData[[#This Row],[Period]]&amp;TrendSheetPrdData[[#This Row],[Trend]]</f>
        <v>EMPLOYEESPaid2016-06-01Readmission Quality</v>
      </c>
      <c r="B466" t="s">
        <v>90</v>
      </c>
      <c r="C466" t="s">
        <v>90</v>
      </c>
      <c r="D466" t="s">
        <v>78</v>
      </c>
      <c r="E466" s="1" t="s">
        <v>98</v>
      </c>
      <c r="F466" t="s">
        <v>93</v>
      </c>
      <c r="G466" t="s">
        <v>16</v>
      </c>
      <c r="H466">
        <v>5</v>
      </c>
      <c r="I466">
        <v>0</v>
      </c>
    </row>
    <row r="467" spans="1:9" x14ac:dyDescent="0.25">
      <c r="A467" s="5" t="str">
        <f>TrendSheetPrdData[[#This Row],[Population]]&amp;TrendSheetPrdData[[#This Row],[Cost Basis]]&amp;TrendSheetPrdData[[#This Row],[Period]]&amp;TrendSheetPrdData[[#This Row],[Trend]]</f>
        <v>EMPLOYEESPaid2016-07-01Readmission Quality</v>
      </c>
      <c r="B467" t="s">
        <v>90</v>
      </c>
      <c r="C467" t="s">
        <v>90</v>
      </c>
      <c r="D467" t="s">
        <v>78</v>
      </c>
      <c r="E467" s="1" t="s">
        <v>99</v>
      </c>
      <c r="F467" t="s">
        <v>93</v>
      </c>
      <c r="G467" t="s">
        <v>16</v>
      </c>
      <c r="H467">
        <v>5</v>
      </c>
      <c r="I467">
        <v>0</v>
      </c>
    </row>
    <row r="468" spans="1:9" x14ac:dyDescent="0.25">
      <c r="A468" s="5" t="str">
        <f>TrendSheetPrdData[[#This Row],[Population]]&amp;TrendSheetPrdData[[#This Row],[Cost Basis]]&amp;TrendSheetPrdData[[#This Row],[Period]]&amp;TrendSheetPrdData[[#This Row],[Trend]]</f>
        <v>EMPLOYEESPaid2016-08-01Readmission Quality</v>
      </c>
      <c r="B468" t="s">
        <v>90</v>
      </c>
      <c r="C468" t="s">
        <v>90</v>
      </c>
      <c r="D468" t="s">
        <v>78</v>
      </c>
      <c r="E468" s="1" t="s">
        <v>100</v>
      </c>
      <c r="F468" t="s">
        <v>93</v>
      </c>
      <c r="G468" t="s">
        <v>16</v>
      </c>
      <c r="H468">
        <v>5</v>
      </c>
      <c r="I468">
        <v>2</v>
      </c>
    </row>
    <row r="469" spans="1:9" x14ac:dyDescent="0.25">
      <c r="A469" s="5" t="str">
        <f>TrendSheetPrdData[[#This Row],[Population]]&amp;TrendSheetPrdData[[#This Row],[Cost Basis]]&amp;TrendSheetPrdData[[#This Row],[Period]]&amp;TrendSheetPrdData[[#This Row],[Trend]]</f>
        <v>EMPLOYEESPaid2016-09-01Readmission Quality</v>
      </c>
      <c r="B469" t="s">
        <v>90</v>
      </c>
      <c r="C469" t="s">
        <v>90</v>
      </c>
      <c r="D469" t="s">
        <v>78</v>
      </c>
      <c r="E469" s="1" t="s">
        <v>101</v>
      </c>
      <c r="F469" t="s">
        <v>93</v>
      </c>
      <c r="G469" t="s">
        <v>16</v>
      </c>
      <c r="H469">
        <v>5</v>
      </c>
      <c r="I469">
        <v>1</v>
      </c>
    </row>
    <row r="470" spans="1:9" x14ac:dyDescent="0.25">
      <c r="A470" s="5" t="str">
        <f>TrendSheetPrdData[[#This Row],[Population]]&amp;TrendSheetPrdData[[#This Row],[Cost Basis]]&amp;TrendSheetPrdData[[#This Row],[Period]]&amp;TrendSheetPrdData[[#This Row],[Trend]]</f>
        <v>EMPLOYEESPaid2016-10-01Readmission Quality</v>
      </c>
      <c r="B470" t="s">
        <v>90</v>
      </c>
      <c r="C470" t="s">
        <v>90</v>
      </c>
      <c r="D470" t="s">
        <v>78</v>
      </c>
      <c r="E470" s="1" t="s">
        <v>102</v>
      </c>
      <c r="F470" t="s">
        <v>93</v>
      </c>
      <c r="G470" t="s">
        <v>16</v>
      </c>
      <c r="H470">
        <v>5</v>
      </c>
      <c r="I470">
        <v>2</v>
      </c>
    </row>
    <row r="471" spans="1:9" x14ac:dyDescent="0.25">
      <c r="A471" s="5" t="str">
        <f>TrendSheetPrdData[[#This Row],[Population]]&amp;TrendSheetPrdData[[#This Row],[Cost Basis]]&amp;TrendSheetPrdData[[#This Row],[Period]]&amp;TrendSheetPrdData[[#This Row],[Trend]]</f>
        <v>EMPLOYEESPaid2016-11-01Readmission Quality</v>
      </c>
      <c r="B471" t="s">
        <v>90</v>
      </c>
      <c r="C471" t="s">
        <v>90</v>
      </c>
      <c r="D471" t="s">
        <v>78</v>
      </c>
      <c r="E471" s="1" t="s">
        <v>103</v>
      </c>
      <c r="F471" t="s">
        <v>93</v>
      </c>
      <c r="G471" t="s">
        <v>16</v>
      </c>
      <c r="H471">
        <v>5</v>
      </c>
      <c r="I471">
        <v>1</v>
      </c>
    </row>
    <row r="472" spans="1:9" x14ac:dyDescent="0.25">
      <c r="A472" s="5" t="str">
        <f>TrendSheetPrdData[[#This Row],[Population]]&amp;TrendSheetPrdData[[#This Row],[Cost Basis]]&amp;TrendSheetPrdData[[#This Row],[Period]]&amp;TrendSheetPrdData[[#This Row],[Trend]]</f>
        <v>EMPLOYEESPaid2016-12-01Readmission Quality</v>
      </c>
      <c r="B472" t="s">
        <v>90</v>
      </c>
      <c r="C472" t="s">
        <v>90</v>
      </c>
      <c r="D472" t="s">
        <v>78</v>
      </c>
      <c r="E472" s="1" t="s">
        <v>104</v>
      </c>
      <c r="F472" t="s">
        <v>93</v>
      </c>
      <c r="G472" t="s">
        <v>16</v>
      </c>
      <c r="H472">
        <v>5</v>
      </c>
      <c r="I472">
        <v>0</v>
      </c>
    </row>
    <row r="473" spans="1:9" x14ac:dyDescent="0.25">
      <c r="A473" s="5" t="str">
        <f>TrendSheetPrdData[[#This Row],[Population]]&amp;TrendSheetPrdData[[#This Row],[Cost Basis]]&amp;TrendSheetPrdData[[#This Row],[Period]]&amp;TrendSheetPrdData[[#This Row],[Trend]]</f>
        <v>EMPLOYEESPaid2017-01-01Readmission Quality</v>
      </c>
      <c r="B473" t="s">
        <v>90</v>
      </c>
      <c r="C473" t="s">
        <v>90</v>
      </c>
      <c r="D473" t="s">
        <v>78</v>
      </c>
      <c r="E473" s="1" t="s">
        <v>105</v>
      </c>
      <c r="F473" t="s">
        <v>93</v>
      </c>
      <c r="G473" t="s">
        <v>16</v>
      </c>
      <c r="H473">
        <v>5</v>
      </c>
      <c r="I473">
        <v>0</v>
      </c>
    </row>
    <row r="474" spans="1:9" x14ac:dyDescent="0.25">
      <c r="A474" s="5" t="str">
        <f>TrendSheetPrdData[[#This Row],[Population]]&amp;TrendSheetPrdData[[#This Row],[Cost Basis]]&amp;TrendSheetPrdData[[#This Row],[Period]]&amp;TrendSheetPrdData[[#This Row],[Trend]]</f>
        <v>EMPLOYEESPaid2017-02-01Readmission Quality</v>
      </c>
      <c r="B474" t="s">
        <v>90</v>
      </c>
      <c r="C474" t="s">
        <v>90</v>
      </c>
      <c r="D474" t="s">
        <v>78</v>
      </c>
      <c r="E474" s="1" t="s">
        <v>106</v>
      </c>
      <c r="F474" t="s">
        <v>93</v>
      </c>
      <c r="G474" t="s">
        <v>16</v>
      </c>
      <c r="H474">
        <v>5</v>
      </c>
      <c r="I474">
        <v>0</v>
      </c>
    </row>
    <row r="475" spans="1:9" x14ac:dyDescent="0.25">
      <c r="A475" s="5" t="str">
        <f>TrendSheetPrdData[[#This Row],[Population]]&amp;TrendSheetPrdData[[#This Row],[Cost Basis]]&amp;TrendSheetPrdData[[#This Row],[Period]]&amp;TrendSheetPrdData[[#This Row],[Trend]]</f>
        <v>EMPLOYEESPaid2017-03-01Readmission Quality</v>
      </c>
      <c r="B475" t="s">
        <v>90</v>
      </c>
      <c r="C475" t="s">
        <v>90</v>
      </c>
      <c r="D475" t="s">
        <v>78</v>
      </c>
      <c r="E475" s="1" t="s">
        <v>107</v>
      </c>
      <c r="F475" t="s">
        <v>108</v>
      </c>
      <c r="G475" t="s">
        <v>16</v>
      </c>
      <c r="H475">
        <v>5</v>
      </c>
      <c r="I475">
        <v>1</v>
      </c>
    </row>
    <row r="476" spans="1:9" x14ac:dyDescent="0.25">
      <c r="A476" s="5" t="str">
        <f>TrendSheetPrdData[[#This Row],[Population]]&amp;TrendSheetPrdData[[#This Row],[Cost Basis]]&amp;TrendSheetPrdData[[#This Row],[Period]]&amp;TrendSheetPrdData[[#This Row],[Trend]]</f>
        <v>EMPLOYEESPaid2017-04-01Readmission Quality</v>
      </c>
      <c r="B476" t="s">
        <v>90</v>
      </c>
      <c r="C476" t="s">
        <v>90</v>
      </c>
      <c r="D476" t="s">
        <v>78</v>
      </c>
      <c r="E476" s="1" t="s">
        <v>109</v>
      </c>
      <c r="F476" t="s">
        <v>108</v>
      </c>
      <c r="G476" t="s">
        <v>16</v>
      </c>
      <c r="H476">
        <v>5</v>
      </c>
      <c r="I476">
        <v>1</v>
      </c>
    </row>
    <row r="477" spans="1:9" x14ac:dyDescent="0.25">
      <c r="A477" s="5" t="str">
        <f>TrendSheetPrdData[[#This Row],[Population]]&amp;TrendSheetPrdData[[#This Row],[Cost Basis]]&amp;TrendSheetPrdData[[#This Row],[Period]]&amp;TrendSheetPrdData[[#This Row],[Trend]]</f>
        <v>EMPLOYEESPaid2017-05-01Readmission Quality</v>
      </c>
      <c r="B477" t="s">
        <v>90</v>
      </c>
      <c r="C477" t="s">
        <v>90</v>
      </c>
      <c r="D477" t="s">
        <v>78</v>
      </c>
      <c r="E477" s="1" t="s">
        <v>110</v>
      </c>
      <c r="F477" t="s">
        <v>108</v>
      </c>
      <c r="G477" t="s">
        <v>16</v>
      </c>
      <c r="H477">
        <v>5</v>
      </c>
      <c r="I477">
        <v>0</v>
      </c>
    </row>
    <row r="478" spans="1:9" x14ac:dyDescent="0.25">
      <c r="A478" s="5" t="str">
        <f>TrendSheetPrdData[[#This Row],[Population]]&amp;TrendSheetPrdData[[#This Row],[Cost Basis]]&amp;TrendSheetPrdData[[#This Row],[Period]]&amp;TrendSheetPrdData[[#This Row],[Trend]]</f>
        <v>EMPLOYEESPaid2016-01-01Avoidable Admission Cost</v>
      </c>
      <c r="B478" t="s">
        <v>90</v>
      </c>
      <c r="C478" t="s">
        <v>90</v>
      </c>
      <c r="D478" t="s">
        <v>78</v>
      </c>
      <c r="E478" s="1" t="s">
        <v>92</v>
      </c>
      <c r="F478" t="s">
        <v>93</v>
      </c>
      <c r="G478" t="s">
        <v>17</v>
      </c>
      <c r="H478">
        <v>6</v>
      </c>
      <c r="I478">
        <v>10215.799999999999</v>
      </c>
    </row>
    <row r="479" spans="1:9" x14ac:dyDescent="0.25">
      <c r="A479" s="5" t="str">
        <f>TrendSheetPrdData[[#This Row],[Population]]&amp;TrendSheetPrdData[[#This Row],[Cost Basis]]&amp;TrendSheetPrdData[[#This Row],[Period]]&amp;TrendSheetPrdData[[#This Row],[Trend]]</f>
        <v>EMPLOYEESPaid2016-02-01Avoidable Admission Cost</v>
      </c>
      <c r="B479" t="s">
        <v>90</v>
      </c>
      <c r="C479" t="s">
        <v>90</v>
      </c>
      <c r="D479" t="s">
        <v>78</v>
      </c>
      <c r="E479" s="1" t="s">
        <v>94</v>
      </c>
      <c r="F479" t="s">
        <v>93</v>
      </c>
      <c r="G479" t="s">
        <v>17</v>
      </c>
      <c r="H479">
        <v>6</v>
      </c>
      <c r="I479">
        <v>30761.67</v>
      </c>
    </row>
    <row r="480" spans="1:9" x14ac:dyDescent="0.25">
      <c r="A480" s="5" t="str">
        <f>TrendSheetPrdData[[#This Row],[Population]]&amp;TrendSheetPrdData[[#This Row],[Cost Basis]]&amp;TrendSheetPrdData[[#This Row],[Period]]&amp;TrendSheetPrdData[[#This Row],[Trend]]</f>
        <v>EMPLOYEESPaid2016-03-01Avoidable Admission Cost</v>
      </c>
      <c r="B480" t="s">
        <v>90</v>
      </c>
      <c r="C480" t="s">
        <v>90</v>
      </c>
      <c r="D480" t="s">
        <v>78</v>
      </c>
      <c r="E480" s="1" t="s">
        <v>95</v>
      </c>
      <c r="F480" t="s">
        <v>93</v>
      </c>
      <c r="G480" t="s">
        <v>17</v>
      </c>
      <c r="H480">
        <v>6</v>
      </c>
      <c r="I480">
        <v>0</v>
      </c>
    </row>
    <row r="481" spans="1:9" x14ac:dyDescent="0.25">
      <c r="A481" s="5" t="str">
        <f>TrendSheetPrdData[[#This Row],[Population]]&amp;TrendSheetPrdData[[#This Row],[Cost Basis]]&amp;TrendSheetPrdData[[#This Row],[Period]]&amp;TrendSheetPrdData[[#This Row],[Trend]]</f>
        <v>EMPLOYEESPaid2016-04-01Avoidable Admission Cost</v>
      </c>
      <c r="B481" t="s">
        <v>90</v>
      </c>
      <c r="C481" t="s">
        <v>90</v>
      </c>
      <c r="D481" t="s">
        <v>78</v>
      </c>
      <c r="E481" s="1" t="s">
        <v>96</v>
      </c>
      <c r="F481" t="s">
        <v>93</v>
      </c>
      <c r="G481" t="s">
        <v>17</v>
      </c>
      <c r="H481">
        <v>6</v>
      </c>
      <c r="I481">
        <v>63454.91</v>
      </c>
    </row>
    <row r="482" spans="1:9" x14ac:dyDescent="0.25">
      <c r="A482" s="5" t="str">
        <f>TrendSheetPrdData[[#This Row],[Population]]&amp;TrendSheetPrdData[[#This Row],[Cost Basis]]&amp;TrendSheetPrdData[[#This Row],[Period]]&amp;TrendSheetPrdData[[#This Row],[Trend]]</f>
        <v>EMPLOYEESPaid2016-05-01Avoidable Admission Cost</v>
      </c>
      <c r="B482" t="s">
        <v>90</v>
      </c>
      <c r="C482" t="s">
        <v>90</v>
      </c>
      <c r="D482" t="s">
        <v>78</v>
      </c>
      <c r="E482" s="1" t="s">
        <v>97</v>
      </c>
      <c r="F482" t="s">
        <v>93</v>
      </c>
      <c r="G482" t="s">
        <v>17</v>
      </c>
      <c r="H482">
        <v>6</v>
      </c>
      <c r="I482">
        <v>0</v>
      </c>
    </row>
    <row r="483" spans="1:9" x14ac:dyDescent="0.25">
      <c r="A483" s="5" t="str">
        <f>TrendSheetPrdData[[#This Row],[Population]]&amp;TrendSheetPrdData[[#This Row],[Cost Basis]]&amp;TrendSheetPrdData[[#This Row],[Period]]&amp;TrendSheetPrdData[[#This Row],[Trend]]</f>
        <v>EMPLOYEESPaid2016-06-01Avoidable Admission Cost</v>
      </c>
      <c r="B483" t="s">
        <v>90</v>
      </c>
      <c r="C483" t="s">
        <v>90</v>
      </c>
      <c r="D483" t="s">
        <v>78</v>
      </c>
      <c r="E483" s="1" t="s">
        <v>98</v>
      </c>
      <c r="F483" t="s">
        <v>93</v>
      </c>
      <c r="G483" t="s">
        <v>17</v>
      </c>
      <c r="H483">
        <v>6</v>
      </c>
      <c r="I483">
        <v>5968.92</v>
      </c>
    </row>
    <row r="484" spans="1:9" x14ac:dyDescent="0.25">
      <c r="A484" s="5" t="str">
        <f>TrendSheetPrdData[[#This Row],[Population]]&amp;TrendSheetPrdData[[#This Row],[Cost Basis]]&amp;TrendSheetPrdData[[#This Row],[Period]]&amp;TrendSheetPrdData[[#This Row],[Trend]]</f>
        <v>EMPLOYEESPaid2016-07-01Avoidable Admission Cost</v>
      </c>
      <c r="B484" t="s">
        <v>90</v>
      </c>
      <c r="C484" t="s">
        <v>90</v>
      </c>
      <c r="D484" t="s">
        <v>78</v>
      </c>
      <c r="E484" s="1" t="s">
        <v>99</v>
      </c>
      <c r="F484" t="s">
        <v>93</v>
      </c>
      <c r="G484" t="s">
        <v>17</v>
      </c>
      <c r="H484">
        <v>6</v>
      </c>
      <c r="I484">
        <v>0</v>
      </c>
    </row>
    <row r="485" spans="1:9" x14ac:dyDescent="0.25">
      <c r="A485" s="5" t="str">
        <f>TrendSheetPrdData[[#This Row],[Population]]&amp;TrendSheetPrdData[[#This Row],[Cost Basis]]&amp;TrendSheetPrdData[[#This Row],[Period]]&amp;TrendSheetPrdData[[#This Row],[Trend]]</f>
        <v>EMPLOYEESPaid2016-08-01Avoidable Admission Cost</v>
      </c>
      <c r="B485" t="s">
        <v>90</v>
      </c>
      <c r="C485" t="s">
        <v>90</v>
      </c>
      <c r="D485" t="s">
        <v>78</v>
      </c>
      <c r="E485" s="1" t="s">
        <v>100</v>
      </c>
      <c r="F485" t="s">
        <v>93</v>
      </c>
      <c r="G485" t="s">
        <v>17</v>
      </c>
      <c r="H485">
        <v>6</v>
      </c>
      <c r="I485">
        <v>0</v>
      </c>
    </row>
    <row r="486" spans="1:9" x14ac:dyDescent="0.25">
      <c r="A486" s="5" t="str">
        <f>TrendSheetPrdData[[#This Row],[Population]]&amp;TrendSheetPrdData[[#This Row],[Cost Basis]]&amp;TrendSheetPrdData[[#This Row],[Period]]&amp;TrendSheetPrdData[[#This Row],[Trend]]</f>
        <v>EMPLOYEESPaid2016-09-01Avoidable Admission Cost</v>
      </c>
      <c r="B486" t="s">
        <v>90</v>
      </c>
      <c r="C486" t="s">
        <v>90</v>
      </c>
      <c r="D486" t="s">
        <v>78</v>
      </c>
      <c r="E486" s="1" t="s">
        <v>101</v>
      </c>
      <c r="F486" t="s">
        <v>93</v>
      </c>
      <c r="G486" t="s">
        <v>17</v>
      </c>
      <c r="H486">
        <v>6</v>
      </c>
      <c r="I486">
        <v>35351.68</v>
      </c>
    </row>
    <row r="487" spans="1:9" x14ac:dyDescent="0.25">
      <c r="A487" s="5" t="str">
        <f>TrendSheetPrdData[[#This Row],[Population]]&amp;TrendSheetPrdData[[#This Row],[Cost Basis]]&amp;TrendSheetPrdData[[#This Row],[Period]]&amp;TrendSheetPrdData[[#This Row],[Trend]]</f>
        <v>EMPLOYEESPaid2016-10-01Avoidable Admission Cost</v>
      </c>
      <c r="B487" t="s">
        <v>90</v>
      </c>
      <c r="C487" t="s">
        <v>90</v>
      </c>
      <c r="D487" t="s">
        <v>78</v>
      </c>
      <c r="E487" s="1" t="s">
        <v>102</v>
      </c>
      <c r="F487" t="s">
        <v>93</v>
      </c>
      <c r="G487" t="s">
        <v>17</v>
      </c>
      <c r="H487">
        <v>6</v>
      </c>
      <c r="I487">
        <v>7329.46</v>
      </c>
    </row>
    <row r="488" spans="1:9" x14ac:dyDescent="0.25">
      <c r="A488" s="5" t="str">
        <f>TrendSheetPrdData[[#This Row],[Population]]&amp;TrendSheetPrdData[[#This Row],[Cost Basis]]&amp;TrendSheetPrdData[[#This Row],[Period]]&amp;TrendSheetPrdData[[#This Row],[Trend]]</f>
        <v>EMPLOYEESPaid2016-11-01Avoidable Admission Cost</v>
      </c>
      <c r="B488" t="s">
        <v>90</v>
      </c>
      <c r="C488" t="s">
        <v>90</v>
      </c>
      <c r="D488" t="s">
        <v>78</v>
      </c>
      <c r="E488" s="1" t="s">
        <v>103</v>
      </c>
      <c r="F488" t="s">
        <v>93</v>
      </c>
      <c r="G488" t="s">
        <v>17</v>
      </c>
      <c r="H488">
        <v>6</v>
      </c>
      <c r="I488">
        <v>0</v>
      </c>
    </row>
    <row r="489" spans="1:9" x14ac:dyDescent="0.25">
      <c r="A489" s="5" t="str">
        <f>TrendSheetPrdData[[#This Row],[Population]]&amp;TrendSheetPrdData[[#This Row],[Cost Basis]]&amp;TrendSheetPrdData[[#This Row],[Period]]&amp;TrendSheetPrdData[[#This Row],[Trend]]</f>
        <v>EMPLOYEESPaid2016-12-01Avoidable Admission Cost</v>
      </c>
      <c r="B489" t="s">
        <v>90</v>
      </c>
      <c r="C489" t="s">
        <v>90</v>
      </c>
      <c r="D489" t="s">
        <v>78</v>
      </c>
      <c r="E489" s="1" t="s">
        <v>104</v>
      </c>
      <c r="F489" t="s">
        <v>93</v>
      </c>
      <c r="G489" t="s">
        <v>17</v>
      </c>
      <c r="H489">
        <v>6</v>
      </c>
      <c r="I489">
        <v>7392.68</v>
      </c>
    </row>
    <row r="490" spans="1:9" x14ac:dyDescent="0.25">
      <c r="A490" s="5" t="str">
        <f>TrendSheetPrdData[[#This Row],[Population]]&amp;TrendSheetPrdData[[#This Row],[Cost Basis]]&amp;TrendSheetPrdData[[#This Row],[Period]]&amp;TrendSheetPrdData[[#This Row],[Trend]]</f>
        <v>EMPLOYEESPaid2017-01-01Avoidable Admission Cost</v>
      </c>
      <c r="B490" t="s">
        <v>90</v>
      </c>
      <c r="C490" t="s">
        <v>90</v>
      </c>
      <c r="D490" t="s">
        <v>78</v>
      </c>
      <c r="E490" s="1" t="s">
        <v>105</v>
      </c>
      <c r="F490" t="s">
        <v>93</v>
      </c>
      <c r="G490" t="s">
        <v>17</v>
      </c>
      <c r="H490">
        <v>6</v>
      </c>
      <c r="I490">
        <v>7188.05</v>
      </c>
    </row>
    <row r="491" spans="1:9" x14ac:dyDescent="0.25">
      <c r="A491" s="5" t="str">
        <f>TrendSheetPrdData[[#This Row],[Population]]&amp;TrendSheetPrdData[[#This Row],[Cost Basis]]&amp;TrendSheetPrdData[[#This Row],[Period]]&amp;TrendSheetPrdData[[#This Row],[Trend]]</f>
        <v>EMPLOYEESPaid2017-02-01Avoidable Admission Cost</v>
      </c>
      <c r="B491" t="s">
        <v>90</v>
      </c>
      <c r="C491" t="s">
        <v>90</v>
      </c>
      <c r="D491" t="s">
        <v>78</v>
      </c>
      <c r="E491" s="1" t="s">
        <v>106</v>
      </c>
      <c r="F491" t="s">
        <v>93</v>
      </c>
      <c r="G491" t="s">
        <v>17</v>
      </c>
      <c r="H491">
        <v>6</v>
      </c>
      <c r="I491">
        <v>0</v>
      </c>
    </row>
    <row r="492" spans="1:9" x14ac:dyDescent="0.25">
      <c r="A492" s="5" t="str">
        <f>TrendSheetPrdData[[#This Row],[Population]]&amp;TrendSheetPrdData[[#This Row],[Cost Basis]]&amp;TrendSheetPrdData[[#This Row],[Period]]&amp;TrendSheetPrdData[[#This Row],[Trend]]</f>
        <v>EMPLOYEESPaid2017-03-01Avoidable Admission Cost</v>
      </c>
      <c r="B492" t="s">
        <v>90</v>
      </c>
      <c r="C492" t="s">
        <v>90</v>
      </c>
      <c r="D492" t="s">
        <v>78</v>
      </c>
      <c r="E492" s="1" t="s">
        <v>107</v>
      </c>
      <c r="F492" t="s">
        <v>108</v>
      </c>
      <c r="G492" t="s">
        <v>17</v>
      </c>
      <c r="H492">
        <v>6</v>
      </c>
      <c r="I492">
        <v>10927.31</v>
      </c>
    </row>
    <row r="493" spans="1:9" x14ac:dyDescent="0.25">
      <c r="A493" s="5" t="str">
        <f>TrendSheetPrdData[[#This Row],[Population]]&amp;TrendSheetPrdData[[#This Row],[Cost Basis]]&amp;TrendSheetPrdData[[#This Row],[Period]]&amp;TrendSheetPrdData[[#This Row],[Trend]]</f>
        <v>EMPLOYEESPaid2017-04-01Avoidable Admission Cost</v>
      </c>
      <c r="B493" t="s">
        <v>90</v>
      </c>
      <c r="C493" t="s">
        <v>90</v>
      </c>
      <c r="D493" t="s">
        <v>78</v>
      </c>
      <c r="E493" s="1" t="s">
        <v>109</v>
      </c>
      <c r="F493" t="s">
        <v>108</v>
      </c>
      <c r="G493" t="s">
        <v>17</v>
      </c>
      <c r="H493">
        <v>6</v>
      </c>
      <c r="I493">
        <v>0</v>
      </c>
    </row>
    <row r="494" spans="1:9" x14ac:dyDescent="0.25">
      <c r="A494" s="5" t="str">
        <f>TrendSheetPrdData[[#This Row],[Population]]&amp;TrendSheetPrdData[[#This Row],[Cost Basis]]&amp;TrendSheetPrdData[[#This Row],[Period]]&amp;TrendSheetPrdData[[#This Row],[Trend]]</f>
        <v>EMPLOYEESPaid2017-05-01Avoidable Admission Cost</v>
      </c>
      <c r="B494" t="s">
        <v>90</v>
      </c>
      <c r="C494" t="s">
        <v>90</v>
      </c>
      <c r="D494" t="s">
        <v>78</v>
      </c>
      <c r="E494" s="1" t="s">
        <v>110</v>
      </c>
      <c r="F494" t="s">
        <v>108</v>
      </c>
      <c r="G494" t="s">
        <v>17</v>
      </c>
      <c r="H494">
        <v>6</v>
      </c>
      <c r="I494">
        <v>9039.8799999999992</v>
      </c>
    </row>
    <row r="495" spans="1:9" x14ac:dyDescent="0.25">
      <c r="A495" s="5" t="str">
        <f>TrendSheetPrdData[[#This Row],[Population]]&amp;TrendSheetPrdData[[#This Row],[Cost Basis]]&amp;TrendSheetPrdData[[#This Row],[Period]]&amp;TrendSheetPrdData[[#This Row],[Trend]]</f>
        <v>EMPLOYEESPaid2016-01-01Avoidable Admission Quality</v>
      </c>
      <c r="B495" t="s">
        <v>90</v>
      </c>
      <c r="C495" t="s">
        <v>90</v>
      </c>
      <c r="D495" t="s">
        <v>78</v>
      </c>
      <c r="E495" s="1" t="s">
        <v>92</v>
      </c>
      <c r="F495" t="s">
        <v>93</v>
      </c>
      <c r="G495" t="s">
        <v>18</v>
      </c>
      <c r="H495">
        <v>7</v>
      </c>
      <c r="I495">
        <v>1</v>
      </c>
    </row>
    <row r="496" spans="1:9" x14ac:dyDescent="0.25">
      <c r="A496" s="5" t="str">
        <f>TrendSheetPrdData[[#This Row],[Population]]&amp;TrendSheetPrdData[[#This Row],[Cost Basis]]&amp;TrendSheetPrdData[[#This Row],[Period]]&amp;TrendSheetPrdData[[#This Row],[Trend]]</f>
        <v>EMPLOYEESPaid2016-02-01Avoidable Admission Quality</v>
      </c>
      <c r="B496" t="s">
        <v>90</v>
      </c>
      <c r="C496" t="s">
        <v>90</v>
      </c>
      <c r="D496" t="s">
        <v>78</v>
      </c>
      <c r="E496" s="1" t="s">
        <v>94</v>
      </c>
      <c r="F496" t="s">
        <v>93</v>
      </c>
      <c r="G496" t="s">
        <v>18</v>
      </c>
      <c r="H496">
        <v>7</v>
      </c>
      <c r="I496">
        <v>1</v>
      </c>
    </row>
    <row r="497" spans="1:9" x14ac:dyDescent="0.25">
      <c r="A497" s="5" t="str">
        <f>TrendSheetPrdData[[#This Row],[Population]]&amp;TrendSheetPrdData[[#This Row],[Cost Basis]]&amp;TrendSheetPrdData[[#This Row],[Period]]&amp;TrendSheetPrdData[[#This Row],[Trend]]</f>
        <v>EMPLOYEESPaid2016-03-01Avoidable Admission Quality</v>
      </c>
      <c r="B497" t="s">
        <v>90</v>
      </c>
      <c r="C497" t="s">
        <v>90</v>
      </c>
      <c r="D497" t="s">
        <v>78</v>
      </c>
      <c r="E497" s="1" t="s">
        <v>95</v>
      </c>
      <c r="F497" t="s">
        <v>93</v>
      </c>
      <c r="G497" t="s">
        <v>18</v>
      </c>
      <c r="H497">
        <v>7</v>
      </c>
      <c r="I497">
        <v>0</v>
      </c>
    </row>
    <row r="498" spans="1:9" x14ac:dyDescent="0.25">
      <c r="A498" s="5" t="str">
        <f>TrendSheetPrdData[[#This Row],[Population]]&amp;TrendSheetPrdData[[#This Row],[Cost Basis]]&amp;TrendSheetPrdData[[#This Row],[Period]]&amp;TrendSheetPrdData[[#This Row],[Trend]]</f>
        <v>EMPLOYEESPaid2016-04-01Avoidable Admission Quality</v>
      </c>
      <c r="B498" t="s">
        <v>90</v>
      </c>
      <c r="C498" t="s">
        <v>90</v>
      </c>
      <c r="D498" t="s">
        <v>78</v>
      </c>
      <c r="E498" s="1" t="s">
        <v>96</v>
      </c>
      <c r="F498" t="s">
        <v>93</v>
      </c>
      <c r="G498" t="s">
        <v>18</v>
      </c>
      <c r="H498">
        <v>7</v>
      </c>
      <c r="I498">
        <v>3</v>
      </c>
    </row>
    <row r="499" spans="1:9" x14ac:dyDescent="0.25">
      <c r="A499" s="5" t="str">
        <f>TrendSheetPrdData[[#This Row],[Population]]&amp;TrendSheetPrdData[[#This Row],[Cost Basis]]&amp;TrendSheetPrdData[[#This Row],[Period]]&amp;TrendSheetPrdData[[#This Row],[Trend]]</f>
        <v>EMPLOYEESPaid2016-05-01Avoidable Admission Quality</v>
      </c>
      <c r="B499" t="s">
        <v>90</v>
      </c>
      <c r="C499" t="s">
        <v>90</v>
      </c>
      <c r="D499" t="s">
        <v>78</v>
      </c>
      <c r="E499" s="1" t="s">
        <v>97</v>
      </c>
      <c r="F499" t="s">
        <v>93</v>
      </c>
      <c r="G499" t="s">
        <v>18</v>
      </c>
      <c r="H499">
        <v>7</v>
      </c>
      <c r="I499">
        <v>0</v>
      </c>
    </row>
    <row r="500" spans="1:9" x14ac:dyDescent="0.25">
      <c r="A500" s="5" t="str">
        <f>TrendSheetPrdData[[#This Row],[Population]]&amp;TrendSheetPrdData[[#This Row],[Cost Basis]]&amp;TrendSheetPrdData[[#This Row],[Period]]&amp;TrendSheetPrdData[[#This Row],[Trend]]</f>
        <v>EMPLOYEESPaid2016-06-01Avoidable Admission Quality</v>
      </c>
      <c r="B500" t="s">
        <v>90</v>
      </c>
      <c r="C500" t="s">
        <v>90</v>
      </c>
      <c r="D500" t="s">
        <v>78</v>
      </c>
      <c r="E500" s="1" t="s">
        <v>98</v>
      </c>
      <c r="F500" t="s">
        <v>93</v>
      </c>
      <c r="G500" t="s">
        <v>18</v>
      </c>
      <c r="H500">
        <v>7</v>
      </c>
      <c r="I500">
        <v>1</v>
      </c>
    </row>
    <row r="501" spans="1:9" x14ac:dyDescent="0.25">
      <c r="A501" s="5" t="str">
        <f>TrendSheetPrdData[[#This Row],[Population]]&amp;TrendSheetPrdData[[#This Row],[Cost Basis]]&amp;TrendSheetPrdData[[#This Row],[Period]]&amp;TrendSheetPrdData[[#This Row],[Trend]]</f>
        <v>EMPLOYEESPaid2016-07-01Avoidable Admission Quality</v>
      </c>
      <c r="B501" t="s">
        <v>90</v>
      </c>
      <c r="C501" t="s">
        <v>90</v>
      </c>
      <c r="D501" t="s">
        <v>78</v>
      </c>
      <c r="E501" s="1" t="s">
        <v>99</v>
      </c>
      <c r="F501" t="s">
        <v>93</v>
      </c>
      <c r="G501" t="s">
        <v>18</v>
      </c>
      <c r="H501">
        <v>7</v>
      </c>
      <c r="I501">
        <v>0</v>
      </c>
    </row>
    <row r="502" spans="1:9" x14ac:dyDescent="0.25">
      <c r="A502" s="5" t="str">
        <f>TrendSheetPrdData[[#This Row],[Population]]&amp;TrendSheetPrdData[[#This Row],[Cost Basis]]&amp;TrendSheetPrdData[[#This Row],[Period]]&amp;TrendSheetPrdData[[#This Row],[Trend]]</f>
        <v>EMPLOYEESPaid2016-08-01Avoidable Admission Quality</v>
      </c>
      <c r="B502" t="s">
        <v>90</v>
      </c>
      <c r="C502" t="s">
        <v>90</v>
      </c>
      <c r="D502" t="s">
        <v>78</v>
      </c>
      <c r="E502" s="1" t="s">
        <v>100</v>
      </c>
      <c r="F502" t="s">
        <v>93</v>
      </c>
      <c r="G502" t="s">
        <v>18</v>
      </c>
      <c r="H502">
        <v>7</v>
      </c>
      <c r="I502">
        <v>0</v>
      </c>
    </row>
    <row r="503" spans="1:9" x14ac:dyDescent="0.25">
      <c r="A503" s="5" t="str">
        <f>TrendSheetPrdData[[#This Row],[Population]]&amp;TrendSheetPrdData[[#This Row],[Cost Basis]]&amp;TrendSheetPrdData[[#This Row],[Period]]&amp;TrendSheetPrdData[[#This Row],[Trend]]</f>
        <v>EMPLOYEESPaid2016-09-01Avoidable Admission Quality</v>
      </c>
      <c r="B503" t="s">
        <v>90</v>
      </c>
      <c r="C503" t="s">
        <v>90</v>
      </c>
      <c r="D503" t="s">
        <v>78</v>
      </c>
      <c r="E503" s="1" t="s">
        <v>101</v>
      </c>
      <c r="F503" t="s">
        <v>93</v>
      </c>
      <c r="G503" t="s">
        <v>18</v>
      </c>
      <c r="H503">
        <v>7</v>
      </c>
      <c r="I503">
        <v>3</v>
      </c>
    </row>
    <row r="504" spans="1:9" x14ac:dyDescent="0.25">
      <c r="A504" s="5" t="str">
        <f>TrendSheetPrdData[[#This Row],[Population]]&amp;TrendSheetPrdData[[#This Row],[Cost Basis]]&amp;TrendSheetPrdData[[#This Row],[Period]]&amp;TrendSheetPrdData[[#This Row],[Trend]]</f>
        <v>EMPLOYEESPaid2016-10-01Avoidable Admission Quality</v>
      </c>
      <c r="B504" t="s">
        <v>90</v>
      </c>
      <c r="C504" t="s">
        <v>90</v>
      </c>
      <c r="D504" t="s">
        <v>78</v>
      </c>
      <c r="E504" s="1" t="s">
        <v>102</v>
      </c>
      <c r="F504" t="s">
        <v>93</v>
      </c>
      <c r="G504" t="s">
        <v>18</v>
      </c>
      <c r="H504">
        <v>7</v>
      </c>
      <c r="I504">
        <v>1</v>
      </c>
    </row>
    <row r="505" spans="1:9" x14ac:dyDescent="0.25">
      <c r="A505" s="5" t="str">
        <f>TrendSheetPrdData[[#This Row],[Population]]&amp;TrendSheetPrdData[[#This Row],[Cost Basis]]&amp;TrendSheetPrdData[[#This Row],[Period]]&amp;TrendSheetPrdData[[#This Row],[Trend]]</f>
        <v>EMPLOYEESPaid2016-11-01Avoidable Admission Quality</v>
      </c>
      <c r="B505" t="s">
        <v>90</v>
      </c>
      <c r="C505" t="s">
        <v>90</v>
      </c>
      <c r="D505" t="s">
        <v>78</v>
      </c>
      <c r="E505" s="1" t="s">
        <v>103</v>
      </c>
      <c r="F505" t="s">
        <v>93</v>
      </c>
      <c r="G505" t="s">
        <v>18</v>
      </c>
      <c r="H505">
        <v>7</v>
      </c>
      <c r="I505">
        <v>0</v>
      </c>
    </row>
    <row r="506" spans="1:9" x14ac:dyDescent="0.25">
      <c r="A506" s="5" t="str">
        <f>TrendSheetPrdData[[#This Row],[Population]]&amp;TrendSheetPrdData[[#This Row],[Cost Basis]]&amp;TrendSheetPrdData[[#This Row],[Period]]&amp;TrendSheetPrdData[[#This Row],[Trend]]</f>
        <v>EMPLOYEESPaid2016-12-01Avoidable Admission Quality</v>
      </c>
      <c r="B506" t="s">
        <v>90</v>
      </c>
      <c r="C506" t="s">
        <v>90</v>
      </c>
      <c r="D506" t="s">
        <v>78</v>
      </c>
      <c r="E506" s="1" t="s">
        <v>104</v>
      </c>
      <c r="F506" t="s">
        <v>93</v>
      </c>
      <c r="G506" t="s">
        <v>18</v>
      </c>
      <c r="H506">
        <v>7</v>
      </c>
      <c r="I506">
        <v>1</v>
      </c>
    </row>
    <row r="507" spans="1:9" x14ac:dyDescent="0.25">
      <c r="A507" s="5" t="str">
        <f>TrendSheetPrdData[[#This Row],[Population]]&amp;TrendSheetPrdData[[#This Row],[Cost Basis]]&amp;TrendSheetPrdData[[#This Row],[Period]]&amp;TrendSheetPrdData[[#This Row],[Trend]]</f>
        <v>EMPLOYEESPaid2017-01-01Avoidable Admission Quality</v>
      </c>
      <c r="B507" t="s">
        <v>90</v>
      </c>
      <c r="C507" t="s">
        <v>90</v>
      </c>
      <c r="D507" t="s">
        <v>78</v>
      </c>
      <c r="E507" s="1" t="s">
        <v>105</v>
      </c>
      <c r="F507" t="s">
        <v>93</v>
      </c>
      <c r="G507" t="s">
        <v>18</v>
      </c>
      <c r="H507">
        <v>7</v>
      </c>
      <c r="I507">
        <v>1</v>
      </c>
    </row>
    <row r="508" spans="1:9" x14ac:dyDescent="0.25">
      <c r="A508" s="5" t="str">
        <f>TrendSheetPrdData[[#This Row],[Population]]&amp;TrendSheetPrdData[[#This Row],[Cost Basis]]&amp;TrendSheetPrdData[[#This Row],[Period]]&amp;TrendSheetPrdData[[#This Row],[Trend]]</f>
        <v>EMPLOYEESPaid2017-02-01Avoidable Admission Quality</v>
      </c>
      <c r="B508" t="s">
        <v>90</v>
      </c>
      <c r="C508" t="s">
        <v>90</v>
      </c>
      <c r="D508" t="s">
        <v>78</v>
      </c>
      <c r="E508" s="1" t="s">
        <v>106</v>
      </c>
      <c r="F508" t="s">
        <v>93</v>
      </c>
      <c r="G508" t="s">
        <v>18</v>
      </c>
      <c r="H508">
        <v>7</v>
      </c>
      <c r="I508">
        <v>0</v>
      </c>
    </row>
    <row r="509" spans="1:9" x14ac:dyDescent="0.25">
      <c r="A509" s="5" t="str">
        <f>TrendSheetPrdData[[#This Row],[Population]]&amp;TrendSheetPrdData[[#This Row],[Cost Basis]]&amp;TrendSheetPrdData[[#This Row],[Period]]&amp;TrendSheetPrdData[[#This Row],[Trend]]</f>
        <v>EMPLOYEESPaid2017-03-01Avoidable Admission Quality</v>
      </c>
      <c r="B509" t="s">
        <v>90</v>
      </c>
      <c r="C509" t="s">
        <v>90</v>
      </c>
      <c r="D509" t="s">
        <v>78</v>
      </c>
      <c r="E509" s="1" t="s">
        <v>107</v>
      </c>
      <c r="F509" t="s">
        <v>108</v>
      </c>
      <c r="G509" t="s">
        <v>18</v>
      </c>
      <c r="H509">
        <v>7</v>
      </c>
      <c r="I509">
        <v>1</v>
      </c>
    </row>
    <row r="510" spans="1:9" x14ac:dyDescent="0.25">
      <c r="A510" s="5" t="str">
        <f>TrendSheetPrdData[[#This Row],[Population]]&amp;TrendSheetPrdData[[#This Row],[Cost Basis]]&amp;TrendSheetPrdData[[#This Row],[Period]]&amp;TrendSheetPrdData[[#This Row],[Trend]]</f>
        <v>EMPLOYEESPaid2017-04-01Avoidable Admission Quality</v>
      </c>
      <c r="B510" t="s">
        <v>90</v>
      </c>
      <c r="C510" t="s">
        <v>90</v>
      </c>
      <c r="D510" t="s">
        <v>78</v>
      </c>
      <c r="E510" s="1" t="s">
        <v>109</v>
      </c>
      <c r="F510" t="s">
        <v>108</v>
      </c>
      <c r="G510" t="s">
        <v>18</v>
      </c>
      <c r="H510">
        <v>7</v>
      </c>
      <c r="I510">
        <v>0</v>
      </c>
    </row>
    <row r="511" spans="1:9" x14ac:dyDescent="0.25">
      <c r="A511" s="5" t="str">
        <f>TrendSheetPrdData[[#This Row],[Population]]&amp;TrendSheetPrdData[[#This Row],[Cost Basis]]&amp;TrendSheetPrdData[[#This Row],[Period]]&amp;TrendSheetPrdData[[#This Row],[Trend]]</f>
        <v>EMPLOYEESPaid2017-05-01Avoidable Admission Quality</v>
      </c>
      <c r="B511" t="s">
        <v>90</v>
      </c>
      <c r="C511" t="s">
        <v>90</v>
      </c>
      <c r="D511" t="s">
        <v>78</v>
      </c>
      <c r="E511" s="1" t="s">
        <v>110</v>
      </c>
      <c r="F511" t="s">
        <v>108</v>
      </c>
      <c r="G511" t="s">
        <v>18</v>
      </c>
      <c r="H511">
        <v>7</v>
      </c>
      <c r="I511">
        <v>1</v>
      </c>
    </row>
    <row r="512" spans="1:9" x14ac:dyDescent="0.25">
      <c r="A512" s="5" t="str">
        <f>TrendSheetPrdData[[#This Row],[Population]]&amp;TrendSheetPrdData[[#This Row],[Cost Basis]]&amp;TrendSheetPrdData[[#This Row],[Period]]&amp;TrendSheetPrdData[[#This Row],[Trend]]</f>
        <v>EMPLOYEESPaid2016-01-01Outpatient Imaging Cost</v>
      </c>
      <c r="B512" t="s">
        <v>90</v>
      </c>
      <c r="C512" t="s">
        <v>90</v>
      </c>
      <c r="D512" t="s">
        <v>78</v>
      </c>
      <c r="E512" s="1" t="s">
        <v>92</v>
      </c>
      <c r="F512" t="s">
        <v>93</v>
      </c>
      <c r="G512" t="s">
        <v>19</v>
      </c>
      <c r="H512">
        <v>8</v>
      </c>
      <c r="I512">
        <v>19415.509999999998</v>
      </c>
    </row>
    <row r="513" spans="1:9" x14ac:dyDescent="0.25">
      <c r="A513" s="5" t="str">
        <f>TrendSheetPrdData[[#This Row],[Population]]&amp;TrendSheetPrdData[[#This Row],[Cost Basis]]&amp;TrendSheetPrdData[[#This Row],[Period]]&amp;TrendSheetPrdData[[#This Row],[Trend]]</f>
        <v>EMPLOYEESPaid2016-02-01Outpatient Imaging Cost</v>
      </c>
      <c r="B513" t="s">
        <v>90</v>
      </c>
      <c r="C513" t="s">
        <v>90</v>
      </c>
      <c r="D513" t="s">
        <v>78</v>
      </c>
      <c r="E513" s="1" t="s">
        <v>94</v>
      </c>
      <c r="F513" t="s">
        <v>93</v>
      </c>
      <c r="G513" t="s">
        <v>19</v>
      </c>
      <c r="H513">
        <v>8</v>
      </c>
      <c r="I513">
        <v>26087.14</v>
      </c>
    </row>
    <row r="514" spans="1:9" x14ac:dyDescent="0.25">
      <c r="A514" s="5" t="str">
        <f>TrendSheetPrdData[[#This Row],[Population]]&amp;TrendSheetPrdData[[#This Row],[Cost Basis]]&amp;TrendSheetPrdData[[#This Row],[Period]]&amp;TrendSheetPrdData[[#This Row],[Trend]]</f>
        <v>EMPLOYEESPaid2016-03-01Outpatient Imaging Cost</v>
      </c>
      <c r="B514" t="s">
        <v>90</v>
      </c>
      <c r="C514" t="s">
        <v>90</v>
      </c>
      <c r="D514" t="s">
        <v>78</v>
      </c>
      <c r="E514" s="1" t="s">
        <v>95</v>
      </c>
      <c r="F514" t="s">
        <v>93</v>
      </c>
      <c r="G514" t="s">
        <v>19</v>
      </c>
      <c r="H514">
        <v>8</v>
      </c>
      <c r="I514">
        <v>42231.95</v>
      </c>
    </row>
    <row r="515" spans="1:9" x14ac:dyDescent="0.25">
      <c r="A515" s="5" t="str">
        <f>TrendSheetPrdData[[#This Row],[Population]]&amp;TrendSheetPrdData[[#This Row],[Cost Basis]]&amp;TrendSheetPrdData[[#This Row],[Period]]&amp;TrendSheetPrdData[[#This Row],[Trend]]</f>
        <v>EMPLOYEESPaid2016-04-01Outpatient Imaging Cost</v>
      </c>
      <c r="B515" t="s">
        <v>90</v>
      </c>
      <c r="C515" t="s">
        <v>90</v>
      </c>
      <c r="D515" t="s">
        <v>78</v>
      </c>
      <c r="E515" s="1" t="s">
        <v>96</v>
      </c>
      <c r="F515" t="s">
        <v>93</v>
      </c>
      <c r="G515" t="s">
        <v>19</v>
      </c>
      <c r="H515">
        <v>8</v>
      </c>
      <c r="I515">
        <v>38042.269999999997</v>
      </c>
    </row>
    <row r="516" spans="1:9" x14ac:dyDescent="0.25">
      <c r="A516" s="5" t="str">
        <f>TrendSheetPrdData[[#This Row],[Population]]&amp;TrendSheetPrdData[[#This Row],[Cost Basis]]&amp;TrendSheetPrdData[[#This Row],[Period]]&amp;TrendSheetPrdData[[#This Row],[Trend]]</f>
        <v>EMPLOYEESPaid2016-05-01Outpatient Imaging Cost</v>
      </c>
      <c r="B516" t="s">
        <v>90</v>
      </c>
      <c r="C516" t="s">
        <v>90</v>
      </c>
      <c r="D516" t="s">
        <v>78</v>
      </c>
      <c r="E516" s="1" t="s">
        <v>97</v>
      </c>
      <c r="F516" t="s">
        <v>93</v>
      </c>
      <c r="G516" t="s">
        <v>19</v>
      </c>
      <c r="H516">
        <v>8</v>
      </c>
      <c r="I516">
        <v>34888.71</v>
      </c>
    </row>
    <row r="517" spans="1:9" x14ac:dyDescent="0.25">
      <c r="A517" s="5" t="str">
        <f>TrendSheetPrdData[[#This Row],[Population]]&amp;TrendSheetPrdData[[#This Row],[Cost Basis]]&amp;TrendSheetPrdData[[#This Row],[Period]]&amp;TrendSheetPrdData[[#This Row],[Trend]]</f>
        <v>EMPLOYEESPaid2016-06-01Outpatient Imaging Cost</v>
      </c>
      <c r="B517" t="s">
        <v>90</v>
      </c>
      <c r="C517" t="s">
        <v>90</v>
      </c>
      <c r="D517" t="s">
        <v>78</v>
      </c>
      <c r="E517" s="1" t="s">
        <v>98</v>
      </c>
      <c r="F517" t="s">
        <v>93</v>
      </c>
      <c r="G517" t="s">
        <v>19</v>
      </c>
      <c r="H517">
        <v>8</v>
      </c>
      <c r="I517">
        <v>38225.019999999997</v>
      </c>
    </row>
    <row r="518" spans="1:9" x14ac:dyDescent="0.25">
      <c r="A518" s="5" t="str">
        <f>TrendSheetPrdData[[#This Row],[Population]]&amp;TrendSheetPrdData[[#This Row],[Cost Basis]]&amp;TrendSheetPrdData[[#This Row],[Period]]&amp;TrendSheetPrdData[[#This Row],[Trend]]</f>
        <v>EMPLOYEESPaid2016-07-01Outpatient Imaging Cost</v>
      </c>
      <c r="B518" t="s">
        <v>90</v>
      </c>
      <c r="C518" t="s">
        <v>90</v>
      </c>
      <c r="D518" t="s">
        <v>78</v>
      </c>
      <c r="E518" s="1" t="s">
        <v>99</v>
      </c>
      <c r="F518" t="s">
        <v>93</v>
      </c>
      <c r="G518" t="s">
        <v>19</v>
      </c>
      <c r="H518">
        <v>8</v>
      </c>
      <c r="I518">
        <v>31438.02</v>
      </c>
    </row>
    <row r="519" spans="1:9" x14ac:dyDescent="0.25">
      <c r="A519" s="5" t="str">
        <f>TrendSheetPrdData[[#This Row],[Population]]&amp;TrendSheetPrdData[[#This Row],[Cost Basis]]&amp;TrendSheetPrdData[[#This Row],[Period]]&amp;TrendSheetPrdData[[#This Row],[Trend]]</f>
        <v>EMPLOYEESPaid2016-08-01Outpatient Imaging Cost</v>
      </c>
      <c r="B519" t="s">
        <v>90</v>
      </c>
      <c r="C519" t="s">
        <v>90</v>
      </c>
      <c r="D519" t="s">
        <v>78</v>
      </c>
      <c r="E519" s="1" t="s">
        <v>100</v>
      </c>
      <c r="F519" t="s">
        <v>93</v>
      </c>
      <c r="G519" t="s">
        <v>19</v>
      </c>
      <c r="H519">
        <v>8</v>
      </c>
      <c r="I519">
        <v>44517.84</v>
      </c>
    </row>
    <row r="520" spans="1:9" x14ac:dyDescent="0.25">
      <c r="A520" s="5" t="str">
        <f>TrendSheetPrdData[[#This Row],[Population]]&amp;TrendSheetPrdData[[#This Row],[Cost Basis]]&amp;TrendSheetPrdData[[#This Row],[Period]]&amp;TrendSheetPrdData[[#This Row],[Trend]]</f>
        <v>EMPLOYEESPaid2016-09-01Outpatient Imaging Cost</v>
      </c>
      <c r="B520" t="s">
        <v>90</v>
      </c>
      <c r="C520" t="s">
        <v>90</v>
      </c>
      <c r="D520" t="s">
        <v>78</v>
      </c>
      <c r="E520" s="1" t="s">
        <v>101</v>
      </c>
      <c r="F520" t="s">
        <v>93</v>
      </c>
      <c r="G520" t="s">
        <v>19</v>
      </c>
      <c r="H520">
        <v>8</v>
      </c>
      <c r="I520">
        <v>38412.1</v>
      </c>
    </row>
    <row r="521" spans="1:9" x14ac:dyDescent="0.25">
      <c r="A521" s="5" t="str">
        <f>TrendSheetPrdData[[#This Row],[Population]]&amp;TrendSheetPrdData[[#This Row],[Cost Basis]]&amp;TrendSheetPrdData[[#This Row],[Period]]&amp;TrendSheetPrdData[[#This Row],[Trend]]</f>
        <v>EMPLOYEESPaid2016-10-01Outpatient Imaging Cost</v>
      </c>
      <c r="B521" t="s">
        <v>90</v>
      </c>
      <c r="C521" t="s">
        <v>90</v>
      </c>
      <c r="D521" t="s">
        <v>78</v>
      </c>
      <c r="E521" s="1" t="s">
        <v>102</v>
      </c>
      <c r="F521" t="s">
        <v>93</v>
      </c>
      <c r="G521" t="s">
        <v>19</v>
      </c>
      <c r="H521">
        <v>8</v>
      </c>
      <c r="I521">
        <v>30592.91</v>
      </c>
    </row>
    <row r="522" spans="1:9" x14ac:dyDescent="0.25">
      <c r="A522" s="5" t="str">
        <f>TrendSheetPrdData[[#This Row],[Population]]&amp;TrendSheetPrdData[[#This Row],[Cost Basis]]&amp;TrendSheetPrdData[[#This Row],[Period]]&amp;TrendSheetPrdData[[#This Row],[Trend]]</f>
        <v>EMPLOYEESPaid2016-11-01Outpatient Imaging Cost</v>
      </c>
      <c r="B522" t="s">
        <v>90</v>
      </c>
      <c r="C522" t="s">
        <v>90</v>
      </c>
      <c r="D522" t="s">
        <v>78</v>
      </c>
      <c r="E522" s="1" t="s">
        <v>103</v>
      </c>
      <c r="F522" t="s">
        <v>93</v>
      </c>
      <c r="G522" t="s">
        <v>19</v>
      </c>
      <c r="H522">
        <v>8</v>
      </c>
      <c r="I522">
        <v>30043.759999999998</v>
      </c>
    </row>
    <row r="523" spans="1:9" x14ac:dyDescent="0.25">
      <c r="A523" s="5" t="str">
        <f>TrendSheetPrdData[[#This Row],[Population]]&amp;TrendSheetPrdData[[#This Row],[Cost Basis]]&amp;TrendSheetPrdData[[#This Row],[Period]]&amp;TrendSheetPrdData[[#This Row],[Trend]]</f>
        <v>EMPLOYEESPaid2016-12-01Outpatient Imaging Cost</v>
      </c>
      <c r="B523" t="s">
        <v>90</v>
      </c>
      <c r="C523" t="s">
        <v>90</v>
      </c>
      <c r="D523" t="s">
        <v>78</v>
      </c>
      <c r="E523" s="1" t="s">
        <v>104</v>
      </c>
      <c r="F523" t="s">
        <v>93</v>
      </c>
      <c r="G523" t="s">
        <v>19</v>
      </c>
      <c r="H523">
        <v>8</v>
      </c>
      <c r="I523">
        <v>38302.339999999997</v>
      </c>
    </row>
    <row r="524" spans="1:9" x14ac:dyDescent="0.25">
      <c r="A524" s="5" t="str">
        <f>TrendSheetPrdData[[#This Row],[Population]]&amp;TrendSheetPrdData[[#This Row],[Cost Basis]]&amp;TrendSheetPrdData[[#This Row],[Period]]&amp;TrendSheetPrdData[[#This Row],[Trend]]</f>
        <v>EMPLOYEESPaid2017-01-01Outpatient Imaging Cost</v>
      </c>
      <c r="B524" t="s">
        <v>90</v>
      </c>
      <c r="C524" t="s">
        <v>90</v>
      </c>
      <c r="D524" t="s">
        <v>78</v>
      </c>
      <c r="E524" s="1" t="s">
        <v>105</v>
      </c>
      <c r="F524" t="s">
        <v>93</v>
      </c>
      <c r="G524" t="s">
        <v>19</v>
      </c>
      <c r="H524">
        <v>8</v>
      </c>
      <c r="I524">
        <v>26309.14</v>
      </c>
    </row>
    <row r="525" spans="1:9" x14ac:dyDescent="0.25">
      <c r="A525" s="5" t="str">
        <f>TrendSheetPrdData[[#This Row],[Population]]&amp;TrendSheetPrdData[[#This Row],[Cost Basis]]&amp;TrendSheetPrdData[[#This Row],[Period]]&amp;TrendSheetPrdData[[#This Row],[Trend]]</f>
        <v>EMPLOYEESPaid2017-02-01Outpatient Imaging Cost</v>
      </c>
      <c r="B525" t="s">
        <v>90</v>
      </c>
      <c r="C525" t="s">
        <v>90</v>
      </c>
      <c r="D525" t="s">
        <v>78</v>
      </c>
      <c r="E525" s="1" t="s">
        <v>106</v>
      </c>
      <c r="F525" t="s">
        <v>93</v>
      </c>
      <c r="G525" t="s">
        <v>19</v>
      </c>
      <c r="H525">
        <v>8</v>
      </c>
      <c r="I525">
        <v>28688.63</v>
      </c>
    </row>
    <row r="526" spans="1:9" x14ac:dyDescent="0.25">
      <c r="A526" s="5" t="str">
        <f>TrendSheetPrdData[[#This Row],[Population]]&amp;TrendSheetPrdData[[#This Row],[Cost Basis]]&amp;TrendSheetPrdData[[#This Row],[Period]]&amp;TrendSheetPrdData[[#This Row],[Trend]]</f>
        <v>EMPLOYEESPaid2017-03-01Outpatient Imaging Cost</v>
      </c>
      <c r="B526" t="s">
        <v>90</v>
      </c>
      <c r="C526" t="s">
        <v>90</v>
      </c>
      <c r="D526" t="s">
        <v>78</v>
      </c>
      <c r="E526" s="1" t="s">
        <v>107</v>
      </c>
      <c r="F526" t="s">
        <v>108</v>
      </c>
      <c r="G526" t="s">
        <v>19</v>
      </c>
      <c r="H526">
        <v>8</v>
      </c>
      <c r="I526">
        <v>36813.69</v>
      </c>
    </row>
    <row r="527" spans="1:9" x14ac:dyDescent="0.25">
      <c r="A527" s="5" t="str">
        <f>TrendSheetPrdData[[#This Row],[Population]]&amp;TrendSheetPrdData[[#This Row],[Cost Basis]]&amp;TrendSheetPrdData[[#This Row],[Period]]&amp;TrendSheetPrdData[[#This Row],[Trend]]</f>
        <v>EMPLOYEESPaid2017-04-01Outpatient Imaging Cost</v>
      </c>
      <c r="B527" t="s">
        <v>90</v>
      </c>
      <c r="C527" t="s">
        <v>90</v>
      </c>
      <c r="D527" t="s">
        <v>78</v>
      </c>
      <c r="E527" s="1" t="s">
        <v>109</v>
      </c>
      <c r="F527" t="s">
        <v>108</v>
      </c>
      <c r="G527" t="s">
        <v>19</v>
      </c>
      <c r="H527">
        <v>8</v>
      </c>
      <c r="I527">
        <v>27408.71</v>
      </c>
    </row>
    <row r="528" spans="1:9" x14ac:dyDescent="0.25">
      <c r="A528" s="5" t="str">
        <f>TrendSheetPrdData[[#This Row],[Population]]&amp;TrendSheetPrdData[[#This Row],[Cost Basis]]&amp;TrendSheetPrdData[[#This Row],[Period]]&amp;TrendSheetPrdData[[#This Row],[Trend]]</f>
        <v>EMPLOYEESPaid2017-05-01Outpatient Imaging Cost</v>
      </c>
      <c r="B528" t="s">
        <v>90</v>
      </c>
      <c r="C528" t="s">
        <v>90</v>
      </c>
      <c r="D528" t="s">
        <v>78</v>
      </c>
      <c r="E528" s="1" t="s">
        <v>110</v>
      </c>
      <c r="F528" t="s">
        <v>108</v>
      </c>
      <c r="G528" t="s">
        <v>19</v>
      </c>
      <c r="H528">
        <v>8</v>
      </c>
      <c r="I528">
        <v>16095.77</v>
      </c>
    </row>
    <row r="529" spans="1:9" x14ac:dyDescent="0.25">
      <c r="A529" s="5" t="str">
        <f>TrendSheetPrdData[[#This Row],[Population]]&amp;TrendSheetPrdData[[#This Row],[Cost Basis]]&amp;TrendSheetPrdData[[#This Row],[Period]]&amp;TrendSheetPrdData[[#This Row],[Trend]]</f>
        <v>EMPLOYEESPaid2016-01-01Hospiatl Outpatient MRIs per 1k</v>
      </c>
      <c r="B529" t="s">
        <v>90</v>
      </c>
      <c r="C529" t="s">
        <v>90</v>
      </c>
      <c r="D529" t="s">
        <v>78</v>
      </c>
      <c r="E529" s="1" t="s">
        <v>92</v>
      </c>
      <c r="F529" t="s">
        <v>93</v>
      </c>
      <c r="G529" t="s">
        <v>20</v>
      </c>
      <c r="H529">
        <v>9</v>
      </c>
      <c r="I529">
        <v>32</v>
      </c>
    </row>
    <row r="530" spans="1:9" x14ac:dyDescent="0.25">
      <c r="A530" s="5" t="str">
        <f>TrendSheetPrdData[[#This Row],[Population]]&amp;TrendSheetPrdData[[#This Row],[Cost Basis]]&amp;TrendSheetPrdData[[#This Row],[Period]]&amp;TrendSheetPrdData[[#This Row],[Trend]]</f>
        <v>EMPLOYEESPaid2016-02-01Hospiatl Outpatient MRIs per 1k</v>
      </c>
      <c r="B530" t="s">
        <v>90</v>
      </c>
      <c r="C530" t="s">
        <v>90</v>
      </c>
      <c r="D530" t="s">
        <v>78</v>
      </c>
      <c r="E530" s="1" t="s">
        <v>94</v>
      </c>
      <c r="F530" t="s">
        <v>93</v>
      </c>
      <c r="G530" t="s">
        <v>20</v>
      </c>
      <c r="H530">
        <v>9</v>
      </c>
      <c r="I530">
        <v>45</v>
      </c>
    </row>
    <row r="531" spans="1:9" x14ac:dyDescent="0.25">
      <c r="A531" s="5" t="str">
        <f>TrendSheetPrdData[[#This Row],[Population]]&amp;TrendSheetPrdData[[#This Row],[Cost Basis]]&amp;TrendSheetPrdData[[#This Row],[Period]]&amp;TrendSheetPrdData[[#This Row],[Trend]]</f>
        <v>EMPLOYEESPaid2016-03-01Hospiatl Outpatient MRIs per 1k</v>
      </c>
      <c r="B531" t="s">
        <v>90</v>
      </c>
      <c r="C531" t="s">
        <v>90</v>
      </c>
      <c r="D531" t="s">
        <v>78</v>
      </c>
      <c r="E531" s="1" t="s">
        <v>95</v>
      </c>
      <c r="F531" t="s">
        <v>93</v>
      </c>
      <c r="G531" t="s">
        <v>20</v>
      </c>
      <c r="H531">
        <v>9</v>
      </c>
      <c r="I531">
        <v>72</v>
      </c>
    </row>
    <row r="532" spans="1:9" x14ac:dyDescent="0.25">
      <c r="A532" s="5" t="str">
        <f>TrendSheetPrdData[[#This Row],[Population]]&amp;TrendSheetPrdData[[#This Row],[Cost Basis]]&amp;TrendSheetPrdData[[#This Row],[Period]]&amp;TrendSheetPrdData[[#This Row],[Trend]]</f>
        <v>EMPLOYEESPaid2016-04-01Hospiatl Outpatient MRIs per 1k</v>
      </c>
      <c r="B532" t="s">
        <v>90</v>
      </c>
      <c r="C532" t="s">
        <v>90</v>
      </c>
      <c r="D532" t="s">
        <v>78</v>
      </c>
      <c r="E532" s="1" t="s">
        <v>96</v>
      </c>
      <c r="F532" t="s">
        <v>93</v>
      </c>
      <c r="G532" t="s">
        <v>20</v>
      </c>
      <c r="H532">
        <v>9</v>
      </c>
      <c r="I532">
        <v>49</v>
      </c>
    </row>
    <row r="533" spans="1:9" x14ac:dyDescent="0.25">
      <c r="A533" s="5" t="str">
        <f>TrendSheetPrdData[[#This Row],[Population]]&amp;TrendSheetPrdData[[#This Row],[Cost Basis]]&amp;TrendSheetPrdData[[#This Row],[Period]]&amp;TrendSheetPrdData[[#This Row],[Trend]]</f>
        <v>EMPLOYEESPaid2016-05-01Hospiatl Outpatient MRIs per 1k</v>
      </c>
      <c r="B533" t="s">
        <v>90</v>
      </c>
      <c r="C533" t="s">
        <v>90</v>
      </c>
      <c r="D533" t="s">
        <v>78</v>
      </c>
      <c r="E533" s="1" t="s">
        <v>97</v>
      </c>
      <c r="F533" t="s">
        <v>93</v>
      </c>
      <c r="G533" t="s">
        <v>20</v>
      </c>
      <c r="H533">
        <v>9</v>
      </c>
      <c r="I533">
        <v>58</v>
      </c>
    </row>
    <row r="534" spans="1:9" x14ac:dyDescent="0.25">
      <c r="A534" s="5" t="str">
        <f>TrendSheetPrdData[[#This Row],[Population]]&amp;TrendSheetPrdData[[#This Row],[Cost Basis]]&amp;TrendSheetPrdData[[#This Row],[Period]]&amp;TrendSheetPrdData[[#This Row],[Trend]]</f>
        <v>EMPLOYEESPaid2016-06-01Hospiatl Outpatient MRIs per 1k</v>
      </c>
      <c r="B534" t="s">
        <v>90</v>
      </c>
      <c r="C534" t="s">
        <v>90</v>
      </c>
      <c r="D534" t="s">
        <v>78</v>
      </c>
      <c r="E534" s="1" t="s">
        <v>98</v>
      </c>
      <c r="F534" t="s">
        <v>93</v>
      </c>
      <c r="G534" t="s">
        <v>20</v>
      </c>
      <c r="H534">
        <v>9</v>
      </c>
      <c r="I534">
        <v>48</v>
      </c>
    </row>
    <row r="535" spans="1:9" x14ac:dyDescent="0.25">
      <c r="A535" s="5" t="str">
        <f>TrendSheetPrdData[[#This Row],[Population]]&amp;TrendSheetPrdData[[#This Row],[Cost Basis]]&amp;TrendSheetPrdData[[#This Row],[Period]]&amp;TrendSheetPrdData[[#This Row],[Trend]]</f>
        <v>EMPLOYEESPaid2016-07-01Hospiatl Outpatient MRIs per 1k</v>
      </c>
      <c r="B535" t="s">
        <v>90</v>
      </c>
      <c r="C535" t="s">
        <v>90</v>
      </c>
      <c r="D535" t="s">
        <v>78</v>
      </c>
      <c r="E535" s="1" t="s">
        <v>99</v>
      </c>
      <c r="F535" t="s">
        <v>93</v>
      </c>
      <c r="G535" t="s">
        <v>20</v>
      </c>
      <c r="H535">
        <v>9</v>
      </c>
      <c r="I535">
        <v>57</v>
      </c>
    </row>
    <row r="536" spans="1:9" x14ac:dyDescent="0.25">
      <c r="A536" s="5" t="str">
        <f>TrendSheetPrdData[[#This Row],[Population]]&amp;TrendSheetPrdData[[#This Row],[Cost Basis]]&amp;TrendSheetPrdData[[#This Row],[Period]]&amp;TrendSheetPrdData[[#This Row],[Trend]]</f>
        <v>EMPLOYEESPaid2016-08-01Hospiatl Outpatient MRIs per 1k</v>
      </c>
      <c r="B536" t="s">
        <v>90</v>
      </c>
      <c r="C536" t="s">
        <v>90</v>
      </c>
      <c r="D536" t="s">
        <v>78</v>
      </c>
      <c r="E536" s="1" t="s">
        <v>100</v>
      </c>
      <c r="F536" t="s">
        <v>93</v>
      </c>
      <c r="G536" t="s">
        <v>20</v>
      </c>
      <c r="H536">
        <v>9</v>
      </c>
      <c r="I536">
        <v>73</v>
      </c>
    </row>
    <row r="537" spans="1:9" x14ac:dyDescent="0.25">
      <c r="A537" s="5" t="str">
        <f>TrendSheetPrdData[[#This Row],[Population]]&amp;TrendSheetPrdData[[#This Row],[Cost Basis]]&amp;TrendSheetPrdData[[#This Row],[Period]]&amp;TrendSheetPrdData[[#This Row],[Trend]]</f>
        <v>EMPLOYEESPaid2016-09-01Hospiatl Outpatient MRIs per 1k</v>
      </c>
      <c r="B537" t="s">
        <v>90</v>
      </c>
      <c r="C537" t="s">
        <v>90</v>
      </c>
      <c r="D537" t="s">
        <v>78</v>
      </c>
      <c r="E537" s="1" t="s">
        <v>101</v>
      </c>
      <c r="F537" t="s">
        <v>93</v>
      </c>
      <c r="G537" t="s">
        <v>20</v>
      </c>
      <c r="H537">
        <v>9</v>
      </c>
      <c r="I537">
        <v>86</v>
      </c>
    </row>
    <row r="538" spans="1:9" x14ac:dyDescent="0.25">
      <c r="A538" s="5" t="str">
        <f>TrendSheetPrdData[[#This Row],[Population]]&amp;TrendSheetPrdData[[#This Row],[Cost Basis]]&amp;TrendSheetPrdData[[#This Row],[Period]]&amp;TrendSheetPrdData[[#This Row],[Trend]]</f>
        <v>EMPLOYEESPaid2016-10-01Hospiatl Outpatient MRIs per 1k</v>
      </c>
      <c r="B538" t="s">
        <v>90</v>
      </c>
      <c r="C538" t="s">
        <v>90</v>
      </c>
      <c r="D538" t="s">
        <v>78</v>
      </c>
      <c r="E538" s="1" t="s">
        <v>102</v>
      </c>
      <c r="F538" t="s">
        <v>93</v>
      </c>
      <c r="G538" t="s">
        <v>20</v>
      </c>
      <c r="H538">
        <v>9</v>
      </c>
      <c r="I538">
        <v>39</v>
      </c>
    </row>
    <row r="539" spans="1:9" x14ac:dyDescent="0.25">
      <c r="A539" s="5" t="str">
        <f>TrendSheetPrdData[[#This Row],[Population]]&amp;TrendSheetPrdData[[#This Row],[Cost Basis]]&amp;TrendSheetPrdData[[#This Row],[Period]]&amp;TrendSheetPrdData[[#This Row],[Trend]]</f>
        <v>EMPLOYEESPaid2016-11-01Hospiatl Outpatient MRIs per 1k</v>
      </c>
      <c r="B539" t="s">
        <v>90</v>
      </c>
      <c r="C539" t="s">
        <v>90</v>
      </c>
      <c r="D539" t="s">
        <v>78</v>
      </c>
      <c r="E539" s="1" t="s">
        <v>103</v>
      </c>
      <c r="F539" t="s">
        <v>93</v>
      </c>
      <c r="G539" t="s">
        <v>20</v>
      </c>
      <c r="H539">
        <v>9</v>
      </c>
      <c r="I539">
        <v>55</v>
      </c>
    </row>
    <row r="540" spans="1:9" x14ac:dyDescent="0.25">
      <c r="A540" s="5" t="str">
        <f>TrendSheetPrdData[[#This Row],[Population]]&amp;TrendSheetPrdData[[#This Row],[Cost Basis]]&amp;TrendSheetPrdData[[#This Row],[Period]]&amp;TrendSheetPrdData[[#This Row],[Trend]]</f>
        <v>EMPLOYEESPaid2016-12-01Hospiatl Outpatient MRIs per 1k</v>
      </c>
      <c r="B540" t="s">
        <v>90</v>
      </c>
      <c r="C540" t="s">
        <v>90</v>
      </c>
      <c r="D540" t="s">
        <v>78</v>
      </c>
      <c r="E540" s="1" t="s">
        <v>104</v>
      </c>
      <c r="F540" t="s">
        <v>93</v>
      </c>
      <c r="G540" t="s">
        <v>20</v>
      </c>
      <c r="H540">
        <v>9</v>
      </c>
      <c r="I540">
        <v>64</v>
      </c>
    </row>
    <row r="541" spans="1:9" x14ac:dyDescent="0.25">
      <c r="A541" s="5" t="str">
        <f>TrendSheetPrdData[[#This Row],[Population]]&amp;TrendSheetPrdData[[#This Row],[Cost Basis]]&amp;TrendSheetPrdData[[#This Row],[Period]]&amp;TrendSheetPrdData[[#This Row],[Trend]]</f>
        <v>EMPLOYEESPaid2017-01-01Hospiatl Outpatient MRIs per 1k</v>
      </c>
      <c r="B541" t="s">
        <v>90</v>
      </c>
      <c r="C541" t="s">
        <v>90</v>
      </c>
      <c r="D541" t="s">
        <v>78</v>
      </c>
      <c r="E541" s="1" t="s">
        <v>105</v>
      </c>
      <c r="F541" t="s">
        <v>93</v>
      </c>
      <c r="G541" t="s">
        <v>20</v>
      </c>
      <c r="H541">
        <v>9</v>
      </c>
      <c r="I541">
        <v>38</v>
      </c>
    </row>
    <row r="542" spans="1:9" x14ac:dyDescent="0.25">
      <c r="A542" s="5" t="str">
        <f>TrendSheetPrdData[[#This Row],[Population]]&amp;TrendSheetPrdData[[#This Row],[Cost Basis]]&amp;TrendSheetPrdData[[#This Row],[Period]]&amp;TrendSheetPrdData[[#This Row],[Trend]]</f>
        <v>EMPLOYEESPaid2017-02-01Hospiatl Outpatient MRIs per 1k</v>
      </c>
      <c r="B542" t="s">
        <v>90</v>
      </c>
      <c r="C542" t="s">
        <v>90</v>
      </c>
      <c r="D542" t="s">
        <v>78</v>
      </c>
      <c r="E542" s="1" t="s">
        <v>106</v>
      </c>
      <c r="F542" t="s">
        <v>93</v>
      </c>
      <c r="G542" t="s">
        <v>20</v>
      </c>
      <c r="H542">
        <v>9</v>
      </c>
      <c r="I542">
        <v>29</v>
      </c>
    </row>
    <row r="543" spans="1:9" x14ac:dyDescent="0.25">
      <c r="A543" s="5" t="str">
        <f>TrendSheetPrdData[[#This Row],[Population]]&amp;TrendSheetPrdData[[#This Row],[Cost Basis]]&amp;TrendSheetPrdData[[#This Row],[Period]]&amp;TrendSheetPrdData[[#This Row],[Trend]]</f>
        <v>EMPLOYEESPaid2017-03-01Hospiatl Outpatient MRIs per 1k</v>
      </c>
      <c r="B543" t="s">
        <v>90</v>
      </c>
      <c r="C543" t="s">
        <v>90</v>
      </c>
      <c r="D543" t="s">
        <v>78</v>
      </c>
      <c r="E543" s="1" t="s">
        <v>107</v>
      </c>
      <c r="F543" t="s">
        <v>108</v>
      </c>
      <c r="G543" t="s">
        <v>20</v>
      </c>
      <c r="H543">
        <v>9</v>
      </c>
      <c r="I543">
        <v>46</v>
      </c>
    </row>
    <row r="544" spans="1:9" x14ac:dyDescent="0.25">
      <c r="A544" s="5" t="str">
        <f>TrendSheetPrdData[[#This Row],[Population]]&amp;TrendSheetPrdData[[#This Row],[Cost Basis]]&amp;TrendSheetPrdData[[#This Row],[Period]]&amp;TrendSheetPrdData[[#This Row],[Trend]]</f>
        <v>EMPLOYEESPaid2017-04-01Hospiatl Outpatient MRIs per 1k</v>
      </c>
      <c r="B544" t="s">
        <v>90</v>
      </c>
      <c r="C544" t="s">
        <v>90</v>
      </c>
      <c r="D544" t="s">
        <v>78</v>
      </c>
      <c r="E544" s="1" t="s">
        <v>109</v>
      </c>
      <c r="F544" t="s">
        <v>108</v>
      </c>
      <c r="G544" t="s">
        <v>20</v>
      </c>
      <c r="H544">
        <v>9</v>
      </c>
      <c r="I544">
        <v>71</v>
      </c>
    </row>
    <row r="545" spans="1:9" x14ac:dyDescent="0.25">
      <c r="A545" s="5" t="str">
        <f>TrendSheetPrdData[[#This Row],[Population]]&amp;TrendSheetPrdData[[#This Row],[Cost Basis]]&amp;TrendSheetPrdData[[#This Row],[Period]]&amp;TrendSheetPrdData[[#This Row],[Trend]]</f>
        <v>EMPLOYEESPaid2017-05-01Hospiatl Outpatient MRIs per 1k</v>
      </c>
      <c r="B545" t="s">
        <v>90</v>
      </c>
      <c r="C545" t="s">
        <v>90</v>
      </c>
      <c r="D545" t="s">
        <v>78</v>
      </c>
      <c r="E545" s="1" t="s">
        <v>110</v>
      </c>
      <c r="F545" t="s">
        <v>108</v>
      </c>
      <c r="G545" t="s">
        <v>20</v>
      </c>
      <c r="H545">
        <v>9</v>
      </c>
      <c r="I545">
        <v>37</v>
      </c>
    </row>
    <row r="546" spans="1:9" x14ac:dyDescent="0.25">
      <c r="A546" s="5" t="str">
        <f>TrendSheetPrdData[[#This Row],[Population]]&amp;TrendSheetPrdData[[#This Row],[Cost Basis]]&amp;TrendSheetPrdData[[#This Row],[Period]]&amp;TrendSheetPrdData[[#This Row],[Trend]]</f>
        <v>EMPLOYEESPaid2016-01-01Hospiatl Outpatient CTs per 1k</v>
      </c>
      <c r="B546" t="s">
        <v>90</v>
      </c>
      <c r="C546" t="s">
        <v>90</v>
      </c>
      <c r="D546" t="s">
        <v>78</v>
      </c>
      <c r="E546" s="1" t="s">
        <v>92</v>
      </c>
      <c r="F546" t="s">
        <v>93</v>
      </c>
      <c r="G546" t="s">
        <v>21</v>
      </c>
      <c r="H546">
        <v>10</v>
      </c>
      <c r="I546">
        <v>37</v>
      </c>
    </row>
    <row r="547" spans="1:9" x14ac:dyDescent="0.25">
      <c r="A547" s="5" t="str">
        <f>TrendSheetPrdData[[#This Row],[Population]]&amp;TrendSheetPrdData[[#This Row],[Cost Basis]]&amp;TrendSheetPrdData[[#This Row],[Period]]&amp;TrendSheetPrdData[[#This Row],[Trend]]</f>
        <v>EMPLOYEESPaid2016-02-01Hospiatl Outpatient CTs per 1k</v>
      </c>
      <c r="B547" t="s">
        <v>90</v>
      </c>
      <c r="C547" t="s">
        <v>90</v>
      </c>
      <c r="D547" t="s">
        <v>78</v>
      </c>
      <c r="E547" s="1" t="s">
        <v>94</v>
      </c>
      <c r="F547" t="s">
        <v>93</v>
      </c>
      <c r="G547" t="s">
        <v>21</v>
      </c>
      <c r="H547">
        <v>10</v>
      </c>
      <c r="I547">
        <v>50</v>
      </c>
    </row>
    <row r="548" spans="1:9" x14ac:dyDescent="0.25">
      <c r="A548" s="5" t="str">
        <f>TrendSheetPrdData[[#This Row],[Population]]&amp;TrendSheetPrdData[[#This Row],[Cost Basis]]&amp;TrendSheetPrdData[[#This Row],[Period]]&amp;TrendSheetPrdData[[#This Row],[Trend]]</f>
        <v>EMPLOYEESPaid2016-03-01Hospiatl Outpatient CTs per 1k</v>
      </c>
      <c r="B548" t="s">
        <v>90</v>
      </c>
      <c r="C548" t="s">
        <v>90</v>
      </c>
      <c r="D548" t="s">
        <v>78</v>
      </c>
      <c r="E548" s="1" t="s">
        <v>95</v>
      </c>
      <c r="F548" t="s">
        <v>93</v>
      </c>
      <c r="G548" t="s">
        <v>21</v>
      </c>
      <c r="H548">
        <v>10</v>
      </c>
      <c r="I548">
        <v>72</v>
      </c>
    </row>
    <row r="549" spans="1:9" x14ac:dyDescent="0.25">
      <c r="A549" s="5" t="str">
        <f>TrendSheetPrdData[[#This Row],[Population]]&amp;TrendSheetPrdData[[#This Row],[Cost Basis]]&amp;TrendSheetPrdData[[#This Row],[Period]]&amp;TrendSheetPrdData[[#This Row],[Trend]]</f>
        <v>EMPLOYEESPaid2016-04-01Hospiatl Outpatient CTs per 1k</v>
      </c>
      <c r="B549" t="s">
        <v>90</v>
      </c>
      <c r="C549" t="s">
        <v>90</v>
      </c>
      <c r="D549" t="s">
        <v>78</v>
      </c>
      <c r="E549" s="1" t="s">
        <v>96</v>
      </c>
      <c r="F549" t="s">
        <v>93</v>
      </c>
      <c r="G549" t="s">
        <v>21</v>
      </c>
      <c r="H549">
        <v>10</v>
      </c>
      <c r="I549">
        <v>67</v>
      </c>
    </row>
    <row r="550" spans="1:9" x14ac:dyDescent="0.25">
      <c r="A550" s="5" t="str">
        <f>TrendSheetPrdData[[#This Row],[Population]]&amp;TrendSheetPrdData[[#This Row],[Cost Basis]]&amp;TrendSheetPrdData[[#This Row],[Period]]&amp;TrendSheetPrdData[[#This Row],[Trend]]</f>
        <v>EMPLOYEESPaid2016-05-01Hospiatl Outpatient CTs per 1k</v>
      </c>
      <c r="B550" t="s">
        <v>90</v>
      </c>
      <c r="C550" t="s">
        <v>90</v>
      </c>
      <c r="D550" t="s">
        <v>78</v>
      </c>
      <c r="E550" s="1" t="s">
        <v>97</v>
      </c>
      <c r="F550" t="s">
        <v>93</v>
      </c>
      <c r="G550" t="s">
        <v>21</v>
      </c>
      <c r="H550">
        <v>10</v>
      </c>
      <c r="I550">
        <v>54</v>
      </c>
    </row>
    <row r="551" spans="1:9" x14ac:dyDescent="0.25">
      <c r="A551" s="5" t="str">
        <f>TrendSheetPrdData[[#This Row],[Population]]&amp;TrendSheetPrdData[[#This Row],[Cost Basis]]&amp;TrendSheetPrdData[[#This Row],[Period]]&amp;TrendSheetPrdData[[#This Row],[Trend]]</f>
        <v>EMPLOYEESPaid2016-06-01Hospiatl Outpatient CTs per 1k</v>
      </c>
      <c r="B551" t="s">
        <v>90</v>
      </c>
      <c r="C551" t="s">
        <v>90</v>
      </c>
      <c r="D551" t="s">
        <v>78</v>
      </c>
      <c r="E551" s="1" t="s">
        <v>98</v>
      </c>
      <c r="F551" t="s">
        <v>93</v>
      </c>
      <c r="G551" t="s">
        <v>21</v>
      </c>
      <c r="H551">
        <v>10</v>
      </c>
      <c r="I551">
        <v>136</v>
      </c>
    </row>
    <row r="552" spans="1:9" x14ac:dyDescent="0.25">
      <c r="A552" s="5" t="str">
        <f>TrendSheetPrdData[[#This Row],[Population]]&amp;TrendSheetPrdData[[#This Row],[Cost Basis]]&amp;TrendSheetPrdData[[#This Row],[Period]]&amp;TrendSheetPrdData[[#This Row],[Trend]]</f>
        <v>EMPLOYEESPaid2016-07-01Hospiatl Outpatient CTs per 1k</v>
      </c>
      <c r="B552" t="s">
        <v>90</v>
      </c>
      <c r="C552" t="s">
        <v>90</v>
      </c>
      <c r="D552" t="s">
        <v>78</v>
      </c>
      <c r="E552" s="1" t="s">
        <v>99</v>
      </c>
      <c r="F552" t="s">
        <v>93</v>
      </c>
      <c r="G552" t="s">
        <v>21</v>
      </c>
      <c r="H552">
        <v>10</v>
      </c>
      <c r="I552">
        <v>35</v>
      </c>
    </row>
    <row r="553" spans="1:9" x14ac:dyDescent="0.25">
      <c r="A553" s="5" t="str">
        <f>TrendSheetPrdData[[#This Row],[Population]]&amp;TrendSheetPrdData[[#This Row],[Cost Basis]]&amp;TrendSheetPrdData[[#This Row],[Period]]&amp;TrendSheetPrdData[[#This Row],[Trend]]</f>
        <v>EMPLOYEESPaid2016-08-01Hospiatl Outpatient CTs per 1k</v>
      </c>
      <c r="B553" t="s">
        <v>90</v>
      </c>
      <c r="C553" t="s">
        <v>90</v>
      </c>
      <c r="D553" t="s">
        <v>78</v>
      </c>
      <c r="E553" s="1" t="s">
        <v>100</v>
      </c>
      <c r="F553" t="s">
        <v>93</v>
      </c>
      <c r="G553" t="s">
        <v>21</v>
      </c>
      <c r="H553">
        <v>10</v>
      </c>
      <c r="I553">
        <v>73</v>
      </c>
    </row>
    <row r="554" spans="1:9" x14ac:dyDescent="0.25">
      <c r="A554" s="5" t="str">
        <f>TrendSheetPrdData[[#This Row],[Population]]&amp;TrendSheetPrdData[[#This Row],[Cost Basis]]&amp;TrendSheetPrdData[[#This Row],[Period]]&amp;TrendSheetPrdData[[#This Row],[Trend]]</f>
        <v>EMPLOYEESPaid2016-09-01Hospiatl Outpatient CTs per 1k</v>
      </c>
      <c r="B554" t="s">
        <v>90</v>
      </c>
      <c r="C554" t="s">
        <v>90</v>
      </c>
      <c r="D554" t="s">
        <v>78</v>
      </c>
      <c r="E554" s="1" t="s">
        <v>101</v>
      </c>
      <c r="F554" t="s">
        <v>93</v>
      </c>
      <c r="G554" t="s">
        <v>21</v>
      </c>
      <c r="H554">
        <v>10</v>
      </c>
      <c r="I554">
        <v>81</v>
      </c>
    </row>
    <row r="555" spans="1:9" x14ac:dyDescent="0.25">
      <c r="A555" s="5" t="str">
        <f>TrendSheetPrdData[[#This Row],[Population]]&amp;TrendSheetPrdData[[#This Row],[Cost Basis]]&amp;TrendSheetPrdData[[#This Row],[Period]]&amp;TrendSheetPrdData[[#This Row],[Trend]]</f>
        <v>EMPLOYEESPaid2016-10-01Hospiatl Outpatient CTs per 1k</v>
      </c>
      <c r="B555" t="s">
        <v>90</v>
      </c>
      <c r="C555" t="s">
        <v>90</v>
      </c>
      <c r="D555" t="s">
        <v>78</v>
      </c>
      <c r="E555" s="1" t="s">
        <v>102</v>
      </c>
      <c r="F555" t="s">
        <v>93</v>
      </c>
      <c r="G555" t="s">
        <v>21</v>
      </c>
      <c r="H555">
        <v>10</v>
      </c>
      <c r="I555">
        <v>43</v>
      </c>
    </row>
    <row r="556" spans="1:9" x14ac:dyDescent="0.25">
      <c r="A556" s="5" t="str">
        <f>TrendSheetPrdData[[#This Row],[Population]]&amp;TrendSheetPrdData[[#This Row],[Cost Basis]]&amp;TrendSheetPrdData[[#This Row],[Period]]&amp;TrendSheetPrdData[[#This Row],[Trend]]</f>
        <v>EMPLOYEESPaid2016-11-01Hospiatl Outpatient CTs per 1k</v>
      </c>
      <c r="B556" t="s">
        <v>90</v>
      </c>
      <c r="C556" t="s">
        <v>90</v>
      </c>
      <c r="D556" t="s">
        <v>78</v>
      </c>
      <c r="E556" s="1" t="s">
        <v>103</v>
      </c>
      <c r="F556" t="s">
        <v>93</v>
      </c>
      <c r="G556" t="s">
        <v>21</v>
      </c>
      <c r="H556">
        <v>10</v>
      </c>
      <c r="I556">
        <v>43</v>
      </c>
    </row>
    <row r="557" spans="1:9" x14ac:dyDescent="0.25">
      <c r="A557" s="5" t="str">
        <f>TrendSheetPrdData[[#This Row],[Population]]&amp;TrendSheetPrdData[[#This Row],[Cost Basis]]&amp;TrendSheetPrdData[[#This Row],[Period]]&amp;TrendSheetPrdData[[#This Row],[Trend]]</f>
        <v>EMPLOYEESPaid2016-12-01Hospiatl Outpatient CTs per 1k</v>
      </c>
      <c r="B557" t="s">
        <v>90</v>
      </c>
      <c r="C557" t="s">
        <v>90</v>
      </c>
      <c r="D557" t="s">
        <v>78</v>
      </c>
      <c r="E557" s="1" t="s">
        <v>104</v>
      </c>
      <c r="F557" t="s">
        <v>93</v>
      </c>
      <c r="G557" t="s">
        <v>21</v>
      </c>
      <c r="H557">
        <v>10</v>
      </c>
      <c r="I557">
        <v>94</v>
      </c>
    </row>
    <row r="558" spans="1:9" x14ac:dyDescent="0.25">
      <c r="A558" s="5" t="str">
        <f>TrendSheetPrdData[[#This Row],[Population]]&amp;TrendSheetPrdData[[#This Row],[Cost Basis]]&amp;TrendSheetPrdData[[#This Row],[Period]]&amp;TrendSheetPrdData[[#This Row],[Trend]]</f>
        <v>EMPLOYEESPaid2017-01-01Hospiatl Outpatient CTs per 1k</v>
      </c>
      <c r="B558" t="s">
        <v>90</v>
      </c>
      <c r="C558" t="s">
        <v>90</v>
      </c>
      <c r="D558" t="s">
        <v>78</v>
      </c>
      <c r="E558" s="1" t="s">
        <v>105</v>
      </c>
      <c r="F558" t="s">
        <v>93</v>
      </c>
      <c r="G558" t="s">
        <v>21</v>
      </c>
      <c r="H558">
        <v>10</v>
      </c>
      <c r="I558">
        <v>63</v>
      </c>
    </row>
    <row r="559" spans="1:9" x14ac:dyDescent="0.25">
      <c r="A559" s="5" t="str">
        <f>TrendSheetPrdData[[#This Row],[Population]]&amp;TrendSheetPrdData[[#This Row],[Cost Basis]]&amp;TrendSheetPrdData[[#This Row],[Period]]&amp;TrendSheetPrdData[[#This Row],[Trend]]</f>
        <v>EMPLOYEESPaid2017-02-01Hospiatl Outpatient CTs per 1k</v>
      </c>
      <c r="B559" t="s">
        <v>90</v>
      </c>
      <c r="C559" t="s">
        <v>90</v>
      </c>
      <c r="D559" t="s">
        <v>78</v>
      </c>
      <c r="E559" s="1" t="s">
        <v>106</v>
      </c>
      <c r="F559" t="s">
        <v>93</v>
      </c>
      <c r="G559" t="s">
        <v>21</v>
      </c>
      <c r="H559">
        <v>10</v>
      </c>
      <c r="I559">
        <v>54</v>
      </c>
    </row>
    <row r="560" spans="1:9" x14ac:dyDescent="0.25">
      <c r="A560" s="5" t="str">
        <f>TrendSheetPrdData[[#This Row],[Population]]&amp;TrendSheetPrdData[[#This Row],[Cost Basis]]&amp;TrendSheetPrdData[[#This Row],[Period]]&amp;TrendSheetPrdData[[#This Row],[Trend]]</f>
        <v>EMPLOYEESPaid2017-03-01Hospiatl Outpatient CTs per 1k</v>
      </c>
      <c r="B560" t="s">
        <v>90</v>
      </c>
      <c r="C560" t="s">
        <v>90</v>
      </c>
      <c r="D560" t="s">
        <v>78</v>
      </c>
      <c r="E560" s="1" t="s">
        <v>107</v>
      </c>
      <c r="F560" t="s">
        <v>108</v>
      </c>
      <c r="G560" t="s">
        <v>21</v>
      </c>
      <c r="H560">
        <v>10</v>
      </c>
      <c r="I560">
        <v>62</v>
      </c>
    </row>
    <row r="561" spans="1:9" x14ac:dyDescent="0.25">
      <c r="A561" s="5" t="str">
        <f>TrendSheetPrdData[[#This Row],[Population]]&amp;TrendSheetPrdData[[#This Row],[Cost Basis]]&amp;TrendSheetPrdData[[#This Row],[Period]]&amp;TrendSheetPrdData[[#This Row],[Trend]]</f>
        <v>EMPLOYEESPaid2017-04-01Hospiatl Outpatient CTs per 1k</v>
      </c>
      <c r="B561" t="s">
        <v>90</v>
      </c>
      <c r="C561" t="s">
        <v>90</v>
      </c>
      <c r="D561" t="s">
        <v>78</v>
      </c>
      <c r="E561" s="1" t="s">
        <v>109</v>
      </c>
      <c r="F561" t="s">
        <v>108</v>
      </c>
      <c r="G561" t="s">
        <v>21</v>
      </c>
      <c r="H561">
        <v>10</v>
      </c>
      <c r="I561">
        <v>29</v>
      </c>
    </row>
    <row r="562" spans="1:9" x14ac:dyDescent="0.25">
      <c r="A562" s="5" t="str">
        <f>TrendSheetPrdData[[#This Row],[Population]]&amp;TrendSheetPrdData[[#This Row],[Cost Basis]]&amp;TrendSheetPrdData[[#This Row],[Period]]&amp;TrendSheetPrdData[[#This Row],[Trend]]</f>
        <v>EMPLOYEESPaid2017-05-01Hospiatl Outpatient CTs per 1k</v>
      </c>
      <c r="B562" t="s">
        <v>90</v>
      </c>
      <c r="C562" t="s">
        <v>90</v>
      </c>
      <c r="D562" t="s">
        <v>78</v>
      </c>
      <c r="E562" s="1" t="s">
        <v>110</v>
      </c>
      <c r="F562" t="s">
        <v>108</v>
      </c>
      <c r="G562" t="s">
        <v>21</v>
      </c>
      <c r="H562">
        <v>10</v>
      </c>
      <c r="I562">
        <v>21</v>
      </c>
    </row>
    <row r="563" spans="1:9" x14ac:dyDescent="0.25">
      <c r="A563" s="5" t="str">
        <f>TrendSheetPrdData[[#This Row],[Population]]&amp;TrendSheetPrdData[[#This Row],[Cost Basis]]&amp;TrendSheetPrdData[[#This Row],[Period]]&amp;TrendSheetPrdData[[#This Row],[Trend]]</f>
        <v>EMPLOYEESPaid2016-01-01Office Based MRIs per 1k</v>
      </c>
      <c r="B563" t="s">
        <v>90</v>
      </c>
      <c r="C563" t="s">
        <v>90</v>
      </c>
      <c r="D563" t="s">
        <v>78</v>
      </c>
      <c r="E563" s="1" t="s">
        <v>92</v>
      </c>
      <c r="F563" t="s">
        <v>93</v>
      </c>
      <c r="G563" t="s">
        <v>22</v>
      </c>
      <c r="H563">
        <v>11</v>
      </c>
      <c r="I563">
        <v>0</v>
      </c>
    </row>
    <row r="564" spans="1:9" x14ac:dyDescent="0.25">
      <c r="A564" s="5" t="str">
        <f>TrendSheetPrdData[[#This Row],[Population]]&amp;TrendSheetPrdData[[#This Row],[Cost Basis]]&amp;TrendSheetPrdData[[#This Row],[Period]]&amp;TrendSheetPrdData[[#This Row],[Trend]]</f>
        <v>EMPLOYEESPaid2016-02-01Office Based MRIs per 1k</v>
      </c>
      <c r="B564" t="s">
        <v>90</v>
      </c>
      <c r="C564" t="s">
        <v>90</v>
      </c>
      <c r="D564" t="s">
        <v>78</v>
      </c>
      <c r="E564" s="1" t="s">
        <v>94</v>
      </c>
      <c r="F564" t="s">
        <v>93</v>
      </c>
      <c r="G564" t="s">
        <v>22</v>
      </c>
      <c r="H564">
        <v>11</v>
      </c>
      <c r="I564">
        <v>0</v>
      </c>
    </row>
    <row r="565" spans="1:9" x14ac:dyDescent="0.25">
      <c r="A565" s="5" t="str">
        <f>TrendSheetPrdData[[#This Row],[Population]]&amp;TrendSheetPrdData[[#This Row],[Cost Basis]]&amp;TrendSheetPrdData[[#This Row],[Period]]&amp;TrendSheetPrdData[[#This Row],[Trend]]</f>
        <v>EMPLOYEESPaid2016-03-01Office Based MRIs per 1k</v>
      </c>
      <c r="B565" t="s">
        <v>90</v>
      </c>
      <c r="C565" t="s">
        <v>90</v>
      </c>
      <c r="D565" t="s">
        <v>78</v>
      </c>
      <c r="E565" s="1" t="s">
        <v>95</v>
      </c>
      <c r="F565" t="s">
        <v>93</v>
      </c>
      <c r="G565" t="s">
        <v>22</v>
      </c>
      <c r="H565">
        <v>11</v>
      </c>
      <c r="I565">
        <v>0</v>
      </c>
    </row>
    <row r="566" spans="1:9" x14ac:dyDescent="0.25">
      <c r="A566" s="5" t="str">
        <f>TrendSheetPrdData[[#This Row],[Population]]&amp;TrendSheetPrdData[[#This Row],[Cost Basis]]&amp;TrendSheetPrdData[[#This Row],[Period]]&amp;TrendSheetPrdData[[#This Row],[Trend]]</f>
        <v>EMPLOYEESPaid2016-04-01Office Based MRIs per 1k</v>
      </c>
      <c r="B566" t="s">
        <v>90</v>
      </c>
      <c r="C566" t="s">
        <v>90</v>
      </c>
      <c r="D566" t="s">
        <v>78</v>
      </c>
      <c r="E566" s="1" t="s">
        <v>96</v>
      </c>
      <c r="F566" t="s">
        <v>93</v>
      </c>
      <c r="G566" t="s">
        <v>22</v>
      </c>
      <c r="H566">
        <v>11</v>
      </c>
      <c r="I566">
        <v>0</v>
      </c>
    </row>
    <row r="567" spans="1:9" x14ac:dyDescent="0.25">
      <c r="A567" s="5" t="str">
        <f>TrendSheetPrdData[[#This Row],[Population]]&amp;TrendSheetPrdData[[#This Row],[Cost Basis]]&amp;TrendSheetPrdData[[#This Row],[Period]]&amp;TrendSheetPrdData[[#This Row],[Trend]]</f>
        <v>EMPLOYEESPaid2016-05-01Office Based MRIs per 1k</v>
      </c>
      <c r="B567" t="s">
        <v>90</v>
      </c>
      <c r="C567" t="s">
        <v>90</v>
      </c>
      <c r="D567" t="s">
        <v>78</v>
      </c>
      <c r="E567" s="1" t="s">
        <v>97</v>
      </c>
      <c r="F567" t="s">
        <v>93</v>
      </c>
      <c r="G567" t="s">
        <v>22</v>
      </c>
      <c r="H567">
        <v>11</v>
      </c>
      <c r="I567">
        <v>0</v>
      </c>
    </row>
    <row r="568" spans="1:9" x14ac:dyDescent="0.25">
      <c r="A568" s="5" t="str">
        <f>TrendSheetPrdData[[#This Row],[Population]]&amp;TrendSheetPrdData[[#This Row],[Cost Basis]]&amp;TrendSheetPrdData[[#This Row],[Period]]&amp;TrendSheetPrdData[[#This Row],[Trend]]</f>
        <v>EMPLOYEESPaid2016-06-01Office Based MRIs per 1k</v>
      </c>
      <c r="B568" t="s">
        <v>90</v>
      </c>
      <c r="C568" t="s">
        <v>90</v>
      </c>
      <c r="D568" t="s">
        <v>78</v>
      </c>
      <c r="E568" s="1" t="s">
        <v>98</v>
      </c>
      <c r="F568" t="s">
        <v>93</v>
      </c>
      <c r="G568" t="s">
        <v>22</v>
      </c>
      <c r="H568">
        <v>11</v>
      </c>
      <c r="I568">
        <v>0</v>
      </c>
    </row>
    <row r="569" spans="1:9" x14ac:dyDescent="0.25">
      <c r="A569" s="5" t="str">
        <f>TrendSheetPrdData[[#This Row],[Population]]&amp;TrendSheetPrdData[[#This Row],[Cost Basis]]&amp;TrendSheetPrdData[[#This Row],[Period]]&amp;TrendSheetPrdData[[#This Row],[Trend]]</f>
        <v>EMPLOYEESPaid2016-07-01Office Based MRIs per 1k</v>
      </c>
      <c r="B569" t="s">
        <v>90</v>
      </c>
      <c r="C569" t="s">
        <v>90</v>
      </c>
      <c r="D569" t="s">
        <v>78</v>
      </c>
      <c r="E569" s="1" t="s">
        <v>99</v>
      </c>
      <c r="F569" t="s">
        <v>93</v>
      </c>
      <c r="G569" t="s">
        <v>22</v>
      </c>
      <c r="H569">
        <v>11</v>
      </c>
      <c r="I569">
        <v>0</v>
      </c>
    </row>
    <row r="570" spans="1:9" x14ac:dyDescent="0.25">
      <c r="A570" s="5" t="str">
        <f>TrendSheetPrdData[[#This Row],[Population]]&amp;TrendSheetPrdData[[#This Row],[Cost Basis]]&amp;TrendSheetPrdData[[#This Row],[Period]]&amp;TrendSheetPrdData[[#This Row],[Trend]]</f>
        <v>EMPLOYEESPaid2016-08-01Office Based MRIs per 1k</v>
      </c>
      <c r="B570" t="s">
        <v>90</v>
      </c>
      <c r="C570" t="s">
        <v>90</v>
      </c>
      <c r="D570" t="s">
        <v>78</v>
      </c>
      <c r="E570" s="1" t="s">
        <v>100</v>
      </c>
      <c r="F570" t="s">
        <v>93</v>
      </c>
      <c r="G570" t="s">
        <v>22</v>
      </c>
      <c r="H570">
        <v>11</v>
      </c>
      <c r="I570">
        <v>0</v>
      </c>
    </row>
    <row r="571" spans="1:9" x14ac:dyDescent="0.25">
      <c r="A571" s="5" t="str">
        <f>TrendSheetPrdData[[#This Row],[Population]]&amp;TrendSheetPrdData[[#This Row],[Cost Basis]]&amp;TrendSheetPrdData[[#This Row],[Period]]&amp;TrendSheetPrdData[[#This Row],[Trend]]</f>
        <v>EMPLOYEESPaid2016-09-01Office Based MRIs per 1k</v>
      </c>
      <c r="B571" t="s">
        <v>90</v>
      </c>
      <c r="C571" t="s">
        <v>90</v>
      </c>
      <c r="D571" t="s">
        <v>78</v>
      </c>
      <c r="E571" s="1" t="s">
        <v>101</v>
      </c>
      <c r="F571" t="s">
        <v>93</v>
      </c>
      <c r="G571" t="s">
        <v>22</v>
      </c>
      <c r="H571">
        <v>11</v>
      </c>
      <c r="I571">
        <v>0</v>
      </c>
    </row>
    <row r="572" spans="1:9" x14ac:dyDescent="0.25">
      <c r="A572" s="5" t="str">
        <f>TrendSheetPrdData[[#This Row],[Population]]&amp;TrendSheetPrdData[[#This Row],[Cost Basis]]&amp;TrendSheetPrdData[[#This Row],[Period]]&amp;TrendSheetPrdData[[#This Row],[Trend]]</f>
        <v>EMPLOYEESPaid2016-10-01Office Based MRIs per 1k</v>
      </c>
      <c r="B572" t="s">
        <v>90</v>
      </c>
      <c r="C572" t="s">
        <v>90</v>
      </c>
      <c r="D572" t="s">
        <v>78</v>
      </c>
      <c r="E572" s="1" t="s">
        <v>102</v>
      </c>
      <c r="F572" t="s">
        <v>93</v>
      </c>
      <c r="G572" t="s">
        <v>22</v>
      </c>
      <c r="H572">
        <v>11</v>
      </c>
      <c r="I572">
        <v>0</v>
      </c>
    </row>
    <row r="573" spans="1:9" x14ac:dyDescent="0.25">
      <c r="A573" s="5" t="str">
        <f>TrendSheetPrdData[[#This Row],[Population]]&amp;TrendSheetPrdData[[#This Row],[Cost Basis]]&amp;TrendSheetPrdData[[#This Row],[Period]]&amp;TrendSheetPrdData[[#This Row],[Trend]]</f>
        <v>EMPLOYEESPaid2016-11-01Office Based MRIs per 1k</v>
      </c>
      <c r="B573" t="s">
        <v>90</v>
      </c>
      <c r="C573" t="s">
        <v>90</v>
      </c>
      <c r="D573" t="s">
        <v>78</v>
      </c>
      <c r="E573" s="1" t="s">
        <v>103</v>
      </c>
      <c r="F573" t="s">
        <v>93</v>
      </c>
      <c r="G573" t="s">
        <v>22</v>
      </c>
      <c r="H573">
        <v>11</v>
      </c>
      <c r="I573">
        <v>0</v>
      </c>
    </row>
    <row r="574" spans="1:9" x14ac:dyDescent="0.25">
      <c r="A574" s="5" t="str">
        <f>TrendSheetPrdData[[#This Row],[Population]]&amp;TrendSheetPrdData[[#This Row],[Cost Basis]]&amp;TrendSheetPrdData[[#This Row],[Period]]&amp;TrendSheetPrdData[[#This Row],[Trend]]</f>
        <v>EMPLOYEESPaid2016-12-01Office Based MRIs per 1k</v>
      </c>
      <c r="B574" t="s">
        <v>90</v>
      </c>
      <c r="C574" t="s">
        <v>90</v>
      </c>
      <c r="D574" t="s">
        <v>78</v>
      </c>
      <c r="E574" s="1" t="s">
        <v>104</v>
      </c>
      <c r="F574" t="s">
        <v>93</v>
      </c>
      <c r="G574" t="s">
        <v>22</v>
      </c>
      <c r="H574">
        <v>11</v>
      </c>
      <c r="I574">
        <v>0</v>
      </c>
    </row>
    <row r="575" spans="1:9" x14ac:dyDescent="0.25">
      <c r="A575" s="5" t="str">
        <f>TrendSheetPrdData[[#This Row],[Population]]&amp;TrendSheetPrdData[[#This Row],[Cost Basis]]&amp;TrendSheetPrdData[[#This Row],[Period]]&amp;TrendSheetPrdData[[#This Row],[Trend]]</f>
        <v>EMPLOYEESPaid2017-01-01Office Based MRIs per 1k</v>
      </c>
      <c r="B575" t="s">
        <v>90</v>
      </c>
      <c r="C575" t="s">
        <v>90</v>
      </c>
      <c r="D575" t="s">
        <v>78</v>
      </c>
      <c r="E575" s="1" t="s">
        <v>105</v>
      </c>
      <c r="F575" t="s">
        <v>93</v>
      </c>
      <c r="G575" t="s">
        <v>22</v>
      </c>
      <c r="H575">
        <v>11</v>
      </c>
      <c r="I575">
        <v>0</v>
      </c>
    </row>
    <row r="576" spans="1:9" x14ac:dyDescent="0.25">
      <c r="A576" s="5" t="str">
        <f>TrendSheetPrdData[[#This Row],[Population]]&amp;TrendSheetPrdData[[#This Row],[Cost Basis]]&amp;TrendSheetPrdData[[#This Row],[Period]]&amp;TrendSheetPrdData[[#This Row],[Trend]]</f>
        <v>EMPLOYEESPaid2017-02-01Office Based MRIs per 1k</v>
      </c>
      <c r="B576" t="s">
        <v>90</v>
      </c>
      <c r="C576" t="s">
        <v>90</v>
      </c>
      <c r="D576" t="s">
        <v>78</v>
      </c>
      <c r="E576" s="1" t="s">
        <v>106</v>
      </c>
      <c r="F576" t="s">
        <v>93</v>
      </c>
      <c r="G576" t="s">
        <v>22</v>
      </c>
      <c r="H576">
        <v>11</v>
      </c>
      <c r="I576">
        <v>0</v>
      </c>
    </row>
    <row r="577" spans="1:9" x14ac:dyDescent="0.25">
      <c r="A577" s="5" t="str">
        <f>TrendSheetPrdData[[#This Row],[Population]]&amp;TrendSheetPrdData[[#This Row],[Cost Basis]]&amp;TrendSheetPrdData[[#This Row],[Period]]&amp;TrendSheetPrdData[[#This Row],[Trend]]</f>
        <v>EMPLOYEESPaid2017-03-01Office Based MRIs per 1k</v>
      </c>
      <c r="B577" t="s">
        <v>90</v>
      </c>
      <c r="C577" t="s">
        <v>90</v>
      </c>
      <c r="D577" t="s">
        <v>78</v>
      </c>
      <c r="E577" s="1" t="s">
        <v>107</v>
      </c>
      <c r="F577" t="s">
        <v>108</v>
      </c>
      <c r="G577" t="s">
        <v>22</v>
      </c>
      <c r="H577">
        <v>11</v>
      </c>
      <c r="I577">
        <v>0</v>
      </c>
    </row>
    <row r="578" spans="1:9" x14ac:dyDescent="0.25">
      <c r="A578" s="5" t="str">
        <f>TrendSheetPrdData[[#This Row],[Population]]&amp;TrendSheetPrdData[[#This Row],[Cost Basis]]&amp;TrendSheetPrdData[[#This Row],[Period]]&amp;TrendSheetPrdData[[#This Row],[Trend]]</f>
        <v>EMPLOYEESPaid2017-04-01Office Based MRIs per 1k</v>
      </c>
      <c r="B578" t="s">
        <v>90</v>
      </c>
      <c r="C578" t="s">
        <v>90</v>
      </c>
      <c r="D578" t="s">
        <v>78</v>
      </c>
      <c r="E578" s="1" t="s">
        <v>109</v>
      </c>
      <c r="F578" t="s">
        <v>108</v>
      </c>
      <c r="G578" t="s">
        <v>22</v>
      </c>
      <c r="H578">
        <v>11</v>
      </c>
      <c r="I578">
        <v>0</v>
      </c>
    </row>
    <row r="579" spans="1:9" x14ac:dyDescent="0.25">
      <c r="A579" s="5" t="str">
        <f>TrendSheetPrdData[[#This Row],[Population]]&amp;TrendSheetPrdData[[#This Row],[Cost Basis]]&amp;TrendSheetPrdData[[#This Row],[Period]]&amp;TrendSheetPrdData[[#This Row],[Trend]]</f>
        <v>EMPLOYEESPaid2017-05-01Office Based MRIs per 1k</v>
      </c>
      <c r="B579" t="s">
        <v>90</v>
      </c>
      <c r="C579" t="s">
        <v>90</v>
      </c>
      <c r="D579" t="s">
        <v>78</v>
      </c>
      <c r="E579" s="1" t="s">
        <v>110</v>
      </c>
      <c r="F579" t="s">
        <v>108</v>
      </c>
      <c r="G579" t="s">
        <v>22</v>
      </c>
      <c r="H579">
        <v>11</v>
      </c>
      <c r="I579">
        <v>0</v>
      </c>
    </row>
    <row r="580" spans="1:9" x14ac:dyDescent="0.25">
      <c r="A580" s="5" t="str">
        <f>TrendSheetPrdData[[#This Row],[Population]]&amp;TrendSheetPrdData[[#This Row],[Cost Basis]]&amp;TrendSheetPrdData[[#This Row],[Period]]&amp;TrendSheetPrdData[[#This Row],[Trend]]</f>
        <v>EMPLOYEESPaid2016-01-01Office Based CTs per 1k</v>
      </c>
      <c r="B580" t="s">
        <v>90</v>
      </c>
      <c r="C580" t="s">
        <v>90</v>
      </c>
      <c r="D580" t="s">
        <v>78</v>
      </c>
      <c r="E580" s="1" t="s">
        <v>92</v>
      </c>
      <c r="F580" t="s">
        <v>93</v>
      </c>
      <c r="G580" t="s">
        <v>23</v>
      </c>
      <c r="H580">
        <v>12</v>
      </c>
      <c r="I580">
        <v>0</v>
      </c>
    </row>
    <row r="581" spans="1:9" x14ac:dyDescent="0.25">
      <c r="A581" s="5" t="str">
        <f>TrendSheetPrdData[[#This Row],[Population]]&amp;TrendSheetPrdData[[#This Row],[Cost Basis]]&amp;TrendSheetPrdData[[#This Row],[Period]]&amp;TrendSheetPrdData[[#This Row],[Trend]]</f>
        <v>EMPLOYEESPaid2016-02-01Office Based CTs per 1k</v>
      </c>
      <c r="B581" t="s">
        <v>90</v>
      </c>
      <c r="C581" t="s">
        <v>90</v>
      </c>
      <c r="D581" t="s">
        <v>78</v>
      </c>
      <c r="E581" s="1" t="s">
        <v>94</v>
      </c>
      <c r="F581" t="s">
        <v>93</v>
      </c>
      <c r="G581" t="s">
        <v>23</v>
      </c>
      <c r="H581">
        <v>12</v>
      </c>
      <c r="I581">
        <v>5</v>
      </c>
    </row>
    <row r="582" spans="1:9" x14ac:dyDescent="0.25">
      <c r="A582" s="5" t="str">
        <f>TrendSheetPrdData[[#This Row],[Population]]&amp;TrendSheetPrdData[[#This Row],[Cost Basis]]&amp;TrendSheetPrdData[[#This Row],[Period]]&amp;TrendSheetPrdData[[#This Row],[Trend]]</f>
        <v>EMPLOYEESPaid2016-03-01Office Based CTs per 1k</v>
      </c>
      <c r="B582" t="s">
        <v>90</v>
      </c>
      <c r="C582" t="s">
        <v>90</v>
      </c>
      <c r="D582" t="s">
        <v>78</v>
      </c>
      <c r="E582" s="1" t="s">
        <v>95</v>
      </c>
      <c r="F582" t="s">
        <v>93</v>
      </c>
      <c r="G582" t="s">
        <v>23</v>
      </c>
      <c r="H582">
        <v>12</v>
      </c>
      <c r="I582">
        <v>5</v>
      </c>
    </row>
    <row r="583" spans="1:9" x14ac:dyDescent="0.25">
      <c r="A583" s="5" t="str">
        <f>TrendSheetPrdData[[#This Row],[Population]]&amp;TrendSheetPrdData[[#This Row],[Cost Basis]]&amp;TrendSheetPrdData[[#This Row],[Period]]&amp;TrendSheetPrdData[[#This Row],[Trend]]</f>
        <v>EMPLOYEESPaid2016-04-01Office Based CTs per 1k</v>
      </c>
      <c r="B583" t="s">
        <v>90</v>
      </c>
      <c r="C583" t="s">
        <v>90</v>
      </c>
      <c r="D583" t="s">
        <v>78</v>
      </c>
      <c r="E583" s="1" t="s">
        <v>96</v>
      </c>
      <c r="F583" t="s">
        <v>93</v>
      </c>
      <c r="G583" t="s">
        <v>23</v>
      </c>
      <c r="H583">
        <v>12</v>
      </c>
      <c r="I583">
        <v>9</v>
      </c>
    </row>
    <row r="584" spans="1:9" x14ac:dyDescent="0.25">
      <c r="A584" s="5" t="str">
        <f>TrendSheetPrdData[[#This Row],[Population]]&amp;TrendSheetPrdData[[#This Row],[Cost Basis]]&amp;TrendSheetPrdData[[#This Row],[Period]]&amp;TrendSheetPrdData[[#This Row],[Trend]]</f>
        <v>EMPLOYEESPaid2016-05-01Office Based CTs per 1k</v>
      </c>
      <c r="B584" t="s">
        <v>90</v>
      </c>
      <c r="C584" t="s">
        <v>90</v>
      </c>
      <c r="D584" t="s">
        <v>78</v>
      </c>
      <c r="E584" s="1" t="s">
        <v>97</v>
      </c>
      <c r="F584" t="s">
        <v>93</v>
      </c>
      <c r="G584" t="s">
        <v>23</v>
      </c>
      <c r="H584">
        <v>12</v>
      </c>
      <c r="I584">
        <v>0</v>
      </c>
    </row>
    <row r="585" spans="1:9" x14ac:dyDescent="0.25">
      <c r="A585" s="5" t="str">
        <f>TrendSheetPrdData[[#This Row],[Population]]&amp;TrendSheetPrdData[[#This Row],[Cost Basis]]&amp;TrendSheetPrdData[[#This Row],[Period]]&amp;TrendSheetPrdData[[#This Row],[Trend]]</f>
        <v>EMPLOYEESPaid2016-06-01Office Based CTs per 1k</v>
      </c>
      <c r="B585" t="s">
        <v>90</v>
      </c>
      <c r="C585" t="s">
        <v>90</v>
      </c>
      <c r="D585" t="s">
        <v>78</v>
      </c>
      <c r="E585" s="1" t="s">
        <v>98</v>
      </c>
      <c r="F585" t="s">
        <v>93</v>
      </c>
      <c r="G585" t="s">
        <v>23</v>
      </c>
      <c r="H585">
        <v>12</v>
      </c>
      <c r="I585">
        <v>0</v>
      </c>
    </row>
    <row r="586" spans="1:9" x14ac:dyDescent="0.25">
      <c r="A586" s="5" t="str">
        <f>TrendSheetPrdData[[#This Row],[Population]]&amp;TrendSheetPrdData[[#This Row],[Cost Basis]]&amp;TrendSheetPrdData[[#This Row],[Period]]&amp;TrendSheetPrdData[[#This Row],[Trend]]</f>
        <v>EMPLOYEESPaid2016-07-01Office Based CTs per 1k</v>
      </c>
      <c r="B586" t="s">
        <v>90</v>
      </c>
      <c r="C586" t="s">
        <v>90</v>
      </c>
      <c r="D586" t="s">
        <v>78</v>
      </c>
      <c r="E586" s="1" t="s">
        <v>99</v>
      </c>
      <c r="F586" t="s">
        <v>93</v>
      </c>
      <c r="G586" t="s">
        <v>23</v>
      </c>
      <c r="H586">
        <v>12</v>
      </c>
      <c r="I586">
        <v>0</v>
      </c>
    </row>
    <row r="587" spans="1:9" x14ac:dyDescent="0.25">
      <c r="A587" s="5" t="str">
        <f>TrendSheetPrdData[[#This Row],[Population]]&amp;TrendSheetPrdData[[#This Row],[Cost Basis]]&amp;TrendSheetPrdData[[#This Row],[Period]]&amp;TrendSheetPrdData[[#This Row],[Trend]]</f>
        <v>EMPLOYEESPaid2016-08-01Office Based CTs per 1k</v>
      </c>
      <c r="B587" t="s">
        <v>90</v>
      </c>
      <c r="C587" t="s">
        <v>90</v>
      </c>
      <c r="D587" t="s">
        <v>78</v>
      </c>
      <c r="E587" s="1" t="s">
        <v>100</v>
      </c>
      <c r="F587" t="s">
        <v>93</v>
      </c>
      <c r="G587" t="s">
        <v>23</v>
      </c>
      <c r="H587">
        <v>12</v>
      </c>
      <c r="I587">
        <v>0</v>
      </c>
    </row>
    <row r="588" spans="1:9" x14ac:dyDescent="0.25">
      <c r="A588" s="5" t="str">
        <f>TrendSheetPrdData[[#This Row],[Population]]&amp;TrendSheetPrdData[[#This Row],[Cost Basis]]&amp;TrendSheetPrdData[[#This Row],[Period]]&amp;TrendSheetPrdData[[#This Row],[Trend]]</f>
        <v>EMPLOYEESPaid2016-09-01Office Based CTs per 1k</v>
      </c>
      <c r="B588" t="s">
        <v>90</v>
      </c>
      <c r="C588" t="s">
        <v>90</v>
      </c>
      <c r="D588" t="s">
        <v>78</v>
      </c>
      <c r="E588" s="1" t="s">
        <v>101</v>
      </c>
      <c r="F588" t="s">
        <v>93</v>
      </c>
      <c r="G588" t="s">
        <v>23</v>
      </c>
      <c r="H588">
        <v>12</v>
      </c>
      <c r="I588">
        <v>0</v>
      </c>
    </row>
    <row r="589" spans="1:9" x14ac:dyDescent="0.25">
      <c r="A589" s="5" t="str">
        <f>TrendSheetPrdData[[#This Row],[Population]]&amp;TrendSheetPrdData[[#This Row],[Cost Basis]]&amp;TrendSheetPrdData[[#This Row],[Period]]&amp;TrendSheetPrdData[[#This Row],[Trend]]</f>
        <v>EMPLOYEESPaid2016-10-01Office Based CTs per 1k</v>
      </c>
      <c r="B589" t="s">
        <v>90</v>
      </c>
      <c r="C589" t="s">
        <v>90</v>
      </c>
      <c r="D589" t="s">
        <v>78</v>
      </c>
      <c r="E589" s="1" t="s">
        <v>102</v>
      </c>
      <c r="F589" t="s">
        <v>93</v>
      </c>
      <c r="G589" t="s">
        <v>23</v>
      </c>
      <c r="H589">
        <v>12</v>
      </c>
      <c r="I589">
        <v>0</v>
      </c>
    </row>
    <row r="590" spans="1:9" x14ac:dyDescent="0.25">
      <c r="A590" s="5" t="str">
        <f>TrendSheetPrdData[[#This Row],[Population]]&amp;TrendSheetPrdData[[#This Row],[Cost Basis]]&amp;TrendSheetPrdData[[#This Row],[Period]]&amp;TrendSheetPrdData[[#This Row],[Trend]]</f>
        <v>EMPLOYEESPaid2016-11-01Office Based CTs per 1k</v>
      </c>
      <c r="B590" t="s">
        <v>90</v>
      </c>
      <c r="C590" t="s">
        <v>90</v>
      </c>
      <c r="D590" t="s">
        <v>78</v>
      </c>
      <c r="E590" s="1" t="s">
        <v>103</v>
      </c>
      <c r="F590" t="s">
        <v>93</v>
      </c>
      <c r="G590" t="s">
        <v>23</v>
      </c>
      <c r="H590">
        <v>12</v>
      </c>
      <c r="I590">
        <v>0</v>
      </c>
    </row>
    <row r="591" spans="1:9" x14ac:dyDescent="0.25">
      <c r="A591" s="5" t="str">
        <f>TrendSheetPrdData[[#This Row],[Population]]&amp;TrendSheetPrdData[[#This Row],[Cost Basis]]&amp;TrendSheetPrdData[[#This Row],[Period]]&amp;TrendSheetPrdData[[#This Row],[Trend]]</f>
        <v>EMPLOYEESPaid2016-12-01Office Based CTs per 1k</v>
      </c>
      <c r="B591" t="s">
        <v>90</v>
      </c>
      <c r="C591" t="s">
        <v>90</v>
      </c>
      <c r="D591" t="s">
        <v>78</v>
      </c>
      <c r="E591" s="1" t="s">
        <v>104</v>
      </c>
      <c r="F591" t="s">
        <v>93</v>
      </c>
      <c r="G591" t="s">
        <v>23</v>
      </c>
      <c r="H591">
        <v>12</v>
      </c>
      <c r="I591">
        <v>0</v>
      </c>
    </row>
    <row r="592" spans="1:9" x14ac:dyDescent="0.25">
      <c r="A592" s="5" t="str">
        <f>TrendSheetPrdData[[#This Row],[Population]]&amp;TrendSheetPrdData[[#This Row],[Cost Basis]]&amp;TrendSheetPrdData[[#This Row],[Period]]&amp;TrendSheetPrdData[[#This Row],[Trend]]</f>
        <v>EMPLOYEESPaid2017-01-01Office Based CTs per 1k</v>
      </c>
      <c r="B592" t="s">
        <v>90</v>
      </c>
      <c r="C592" t="s">
        <v>90</v>
      </c>
      <c r="D592" t="s">
        <v>78</v>
      </c>
      <c r="E592" s="1" t="s">
        <v>105</v>
      </c>
      <c r="F592" t="s">
        <v>93</v>
      </c>
      <c r="G592" t="s">
        <v>23</v>
      </c>
      <c r="H592">
        <v>12</v>
      </c>
      <c r="I592">
        <v>0</v>
      </c>
    </row>
    <row r="593" spans="1:9" x14ac:dyDescent="0.25">
      <c r="A593" s="5" t="str">
        <f>TrendSheetPrdData[[#This Row],[Population]]&amp;TrendSheetPrdData[[#This Row],[Cost Basis]]&amp;TrendSheetPrdData[[#This Row],[Period]]&amp;TrendSheetPrdData[[#This Row],[Trend]]</f>
        <v>EMPLOYEESPaid2017-02-01Office Based CTs per 1k</v>
      </c>
      <c r="B593" t="s">
        <v>90</v>
      </c>
      <c r="C593" t="s">
        <v>90</v>
      </c>
      <c r="D593" t="s">
        <v>78</v>
      </c>
      <c r="E593" s="1" t="s">
        <v>106</v>
      </c>
      <c r="F593" t="s">
        <v>93</v>
      </c>
      <c r="G593" t="s">
        <v>23</v>
      </c>
      <c r="H593">
        <v>12</v>
      </c>
      <c r="I593">
        <v>0</v>
      </c>
    </row>
    <row r="594" spans="1:9" x14ac:dyDescent="0.25">
      <c r="A594" s="5" t="str">
        <f>TrendSheetPrdData[[#This Row],[Population]]&amp;TrendSheetPrdData[[#This Row],[Cost Basis]]&amp;TrendSheetPrdData[[#This Row],[Period]]&amp;TrendSheetPrdData[[#This Row],[Trend]]</f>
        <v>EMPLOYEESPaid2017-03-01Office Based CTs per 1k</v>
      </c>
      <c r="B594" t="s">
        <v>90</v>
      </c>
      <c r="C594" t="s">
        <v>90</v>
      </c>
      <c r="D594" t="s">
        <v>78</v>
      </c>
      <c r="E594" s="1" t="s">
        <v>107</v>
      </c>
      <c r="F594" t="s">
        <v>108</v>
      </c>
      <c r="G594" t="s">
        <v>23</v>
      </c>
      <c r="H594">
        <v>12</v>
      </c>
      <c r="I594">
        <v>0</v>
      </c>
    </row>
    <row r="595" spans="1:9" x14ac:dyDescent="0.25">
      <c r="A595" s="5" t="str">
        <f>TrendSheetPrdData[[#This Row],[Population]]&amp;TrendSheetPrdData[[#This Row],[Cost Basis]]&amp;TrendSheetPrdData[[#This Row],[Period]]&amp;TrendSheetPrdData[[#This Row],[Trend]]</f>
        <v>EMPLOYEESPaid2017-04-01Office Based CTs per 1k</v>
      </c>
      <c r="B595" t="s">
        <v>90</v>
      </c>
      <c r="C595" t="s">
        <v>90</v>
      </c>
      <c r="D595" t="s">
        <v>78</v>
      </c>
      <c r="E595" s="1" t="s">
        <v>109</v>
      </c>
      <c r="F595" t="s">
        <v>108</v>
      </c>
      <c r="G595" t="s">
        <v>23</v>
      </c>
      <c r="H595">
        <v>12</v>
      </c>
      <c r="I595">
        <v>0</v>
      </c>
    </row>
    <row r="596" spans="1:9" x14ac:dyDescent="0.25">
      <c r="A596" s="5" t="str">
        <f>TrendSheetPrdData[[#This Row],[Population]]&amp;TrendSheetPrdData[[#This Row],[Cost Basis]]&amp;TrendSheetPrdData[[#This Row],[Period]]&amp;TrendSheetPrdData[[#This Row],[Trend]]</f>
        <v>EMPLOYEESPaid2017-05-01Office Based CTs per 1k</v>
      </c>
      <c r="B596" t="s">
        <v>90</v>
      </c>
      <c r="C596" t="s">
        <v>90</v>
      </c>
      <c r="D596" t="s">
        <v>78</v>
      </c>
      <c r="E596" s="1" t="s">
        <v>110</v>
      </c>
      <c r="F596" t="s">
        <v>108</v>
      </c>
      <c r="G596" t="s">
        <v>23</v>
      </c>
      <c r="H596">
        <v>12</v>
      </c>
      <c r="I596">
        <v>0</v>
      </c>
    </row>
    <row r="597" spans="1:9" x14ac:dyDescent="0.25">
      <c r="A597" s="5" t="str">
        <f>TrendSheetPrdData[[#This Row],[Population]]&amp;TrendSheetPrdData[[#This Row],[Cost Basis]]&amp;TrendSheetPrdData[[#This Row],[Period]]&amp;TrendSheetPrdData[[#This Row],[Trend]]</f>
        <v>EMPLOYEESPaid2016-01-01ED Cost</v>
      </c>
      <c r="B597" t="s">
        <v>90</v>
      </c>
      <c r="C597" t="s">
        <v>90</v>
      </c>
      <c r="D597" t="s">
        <v>78</v>
      </c>
      <c r="E597" s="1" t="s">
        <v>92</v>
      </c>
      <c r="F597" t="s">
        <v>93</v>
      </c>
      <c r="G597" t="s">
        <v>24</v>
      </c>
      <c r="H597">
        <v>13</v>
      </c>
      <c r="I597">
        <v>117506</v>
      </c>
    </row>
    <row r="598" spans="1:9" x14ac:dyDescent="0.25">
      <c r="A598" s="5" t="str">
        <f>TrendSheetPrdData[[#This Row],[Population]]&amp;TrendSheetPrdData[[#This Row],[Cost Basis]]&amp;TrendSheetPrdData[[#This Row],[Period]]&amp;TrendSheetPrdData[[#This Row],[Trend]]</f>
        <v>EMPLOYEESPaid2016-02-01ED Cost</v>
      </c>
      <c r="B598" t="s">
        <v>90</v>
      </c>
      <c r="C598" t="s">
        <v>90</v>
      </c>
      <c r="D598" t="s">
        <v>78</v>
      </c>
      <c r="E598" s="1" t="s">
        <v>94</v>
      </c>
      <c r="F598" t="s">
        <v>93</v>
      </c>
      <c r="G598" t="s">
        <v>24</v>
      </c>
      <c r="H598">
        <v>13</v>
      </c>
      <c r="I598">
        <v>83381</v>
      </c>
    </row>
    <row r="599" spans="1:9" x14ac:dyDescent="0.25">
      <c r="A599" s="5" t="str">
        <f>TrendSheetPrdData[[#This Row],[Population]]&amp;TrendSheetPrdData[[#This Row],[Cost Basis]]&amp;TrendSheetPrdData[[#This Row],[Period]]&amp;TrendSheetPrdData[[#This Row],[Trend]]</f>
        <v>EMPLOYEESPaid2016-03-01ED Cost</v>
      </c>
      <c r="B599" t="s">
        <v>90</v>
      </c>
      <c r="C599" t="s">
        <v>90</v>
      </c>
      <c r="D599" t="s">
        <v>78</v>
      </c>
      <c r="E599" s="1" t="s">
        <v>95</v>
      </c>
      <c r="F599" t="s">
        <v>93</v>
      </c>
      <c r="G599" t="s">
        <v>24</v>
      </c>
      <c r="H599">
        <v>13</v>
      </c>
      <c r="I599">
        <v>84357</v>
      </c>
    </row>
    <row r="600" spans="1:9" x14ac:dyDescent="0.25">
      <c r="A600" s="5" t="str">
        <f>TrendSheetPrdData[[#This Row],[Population]]&amp;TrendSheetPrdData[[#This Row],[Cost Basis]]&amp;TrendSheetPrdData[[#This Row],[Period]]&amp;TrendSheetPrdData[[#This Row],[Trend]]</f>
        <v>EMPLOYEESPaid2016-04-01ED Cost</v>
      </c>
      <c r="B600" t="s">
        <v>90</v>
      </c>
      <c r="C600" t="s">
        <v>90</v>
      </c>
      <c r="D600" t="s">
        <v>78</v>
      </c>
      <c r="E600" s="1" t="s">
        <v>96</v>
      </c>
      <c r="F600" t="s">
        <v>93</v>
      </c>
      <c r="G600" t="s">
        <v>24</v>
      </c>
      <c r="H600">
        <v>13</v>
      </c>
      <c r="I600">
        <v>102313</v>
      </c>
    </row>
    <row r="601" spans="1:9" x14ac:dyDescent="0.25">
      <c r="A601" s="5" t="str">
        <f>TrendSheetPrdData[[#This Row],[Population]]&amp;TrendSheetPrdData[[#This Row],[Cost Basis]]&amp;TrendSheetPrdData[[#This Row],[Period]]&amp;TrendSheetPrdData[[#This Row],[Trend]]</f>
        <v>EMPLOYEESPaid2016-05-01ED Cost</v>
      </c>
      <c r="B601" t="s">
        <v>90</v>
      </c>
      <c r="C601" t="s">
        <v>90</v>
      </c>
      <c r="D601" t="s">
        <v>78</v>
      </c>
      <c r="E601" s="1" t="s">
        <v>97</v>
      </c>
      <c r="F601" t="s">
        <v>93</v>
      </c>
      <c r="G601" t="s">
        <v>24</v>
      </c>
      <c r="H601">
        <v>13</v>
      </c>
      <c r="I601">
        <v>50376</v>
      </c>
    </row>
    <row r="602" spans="1:9" x14ac:dyDescent="0.25">
      <c r="A602" s="5" t="str">
        <f>TrendSheetPrdData[[#This Row],[Population]]&amp;TrendSheetPrdData[[#This Row],[Cost Basis]]&amp;TrendSheetPrdData[[#This Row],[Period]]&amp;TrendSheetPrdData[[#This Row],[Trend]]</f>
        <v>EMPLOYEESPaid2016-06-01ED Cost</v>
      </c>
      <c r="B602" t="s">
        <v>90</v>
      </c>
      <c r="C602" t="s">
        <v>90</v>
      </c>
      <c r="D602" t="s">
        <v>78</v>
      </c>
      <c r="E602" s="1" t="s">
        <v>98</v>
      </c>
      <c r="F602" t="s">
        <v>93</v>
      </c>
      <c r="G602" t="s">
        <v>24</v>
      </c>
      <c r="H602">
        <v>13</v>
      </c>
      <c r="I602">
        <v>64747</v>
      </c>
    </row>
    <row r="603" spans="1:9" x14ac:dyDescent="0.25">
      <c r="A603" s="5" t="str">
        <f>TrendSheetPrdData[[#This Row],[Population]]&amp;TrendSheetPrdData[[#This Row],[Cost Basis]]&amp;TrendSheetPrdData[[#This Row],[Period]]&amp;TrendSheetPrdData[[#This Row],[Trend]]</f>
        <v>EMPLOYEESPaid2016-07-01ED Cost</v>
      </c>
      <c r="B603" t="s">
        <v>90</v>
      </c>
      <c r="C603" t="s">
        <v>90</v>
      </c>
      <c r="D603" t="s">
        <v>78</v>
      </c>
      <c r="E603" s="1" t="s">
        <v>99</v>
      </c>
      <c r="F603" t="s">
        <v>93</v>
      </c>
      <c r="G603" t="s">
        <v>24</v>
      </c>
      <c r="H603">
        <v>13</v>
      </c>
      <c r="I603">
        <v>116827</v>
      </c>
    </row>
    <row r="604" spans="1:9" x14ac:dyDescent="0.25">
      <c r="A604" s="5" t="str">
        <f>TrendSheetPrdData[[#This Row],[Population]]&amp;TrendSheetPrdData[[#This Row],[Cost Basis]]&amp;TrendSheetPrdData[[#This Row],[Period]]&amp;TrendSheetPrdData[[#This Row],[Trend]]</f>
        <v>EMPLOYEESPaid2016-08-01ED Cost</v>
      </c>
      <c r="B604" t="s">
        <v>90</v>
      </c>
      <c r="C604" t="s">
        <v>90</v>
      </c>
      <c r="D604" t="s">
        <v>78</v>
      </c>
      <c r="E604" s="1" t="s">
        <v>100</v>
      </c>
      <c r="F604" t="s">
        <v>93</v>
      </c>
      <c r="G604" t="s">
        <v>24</v>
      </c>
      <c r="H604">
        <v>13</v>
      </c>
      <c r="I604">
        <v>56786</v>
      </c>
    </row>
    <row r="605" spans="1:9" x14ac:dyDescent="0.25">
      <c r="A605" s="5" t="str">
        <f>TrendSheetPrdData[[#This Row],[Population]]&amp;TrendSheetPrdData[[#This Row],[Cost Basis]]&amp;TrendSheetPrdData[[#This Row],[Period]]&amp;TrendSheetPrdData[[#This Row],[Trend]]</f>
        <v>EMPLOYEESPaid2016-09-01ED Cost</v>
      </c>
      <c r="B605" t="s">
        <v>90</v>
      </c>
      <c r="C605" t="s">
        <v>90</v>
      </c>
      <c r="D605" t="s">
        <v>78</v>
      </c>
      <c r="E605" s="1" t="s">
        <v>101</v>
      </c>
      <c r="F605" t="s">
        <v>93</v>
      </c>
      <c r="G605" t="s">
        <v>24</v>
      </c>
      <c r="H605">
        <v>13</v>
      </c>
      <c r="I605">
        <v>62601</v>
      </c>
    </row>
    <row r="606" spans="1:9" x14ac:dyDescent="0.25">
      <c r="A606" s="5" t="str">
        <f>TrendSheetPrdData[[#This Row],[Population]]&amp;TrendSheetPrdData[[#This Row],[Cost Basis]]&amp;TrendSheetPrdData[[#This Row],[Period]]&amp;TrendSheetPrdData[[#This Row],[Trend]]</f>
        <v>EMPLOYEESPaid2016-10-01ED Cost</v>
      </c>
      <c r="B606" t="s">
        <v>90</v>
      </c>
      <c r="C606" t="s">
        <v>90</v>
      </c>
      <c r="D606" t="s">
        <v>78</v>
      </c>
      <c r="E606" s="1" t="s">
        <v>102</v>
      </c>
      <c r="F606" t="s">
        <v>93</v>
      </c>
      <c r="G606" t="s">
        <v>24</v>
      </c>
      <c r="H606">
        <v>13</v>
      </c>
      <c r="I606">
        <v>56553</v>
      </c>
    </row>
    <row r="607" spans="1:9" x14ac:dyDescent="0.25">
      <c r="A607" s="5" t="str">
        <f>TrendSheetPrdData[[#This Row],[Population]]&amp;TrendSheetPrdData[[#This Row],[Cost Basis]]&amp;TrendSheetPrdData[[#This Row],[Period]]&amp;TrendSheetPrdData[[#This Row],[Trend]]</f>
        <v>EMPLOYEESPaid2016-11-01ED Cost</v>
      </c>
      <c r="B607" t="s">
        <v>90</v>
      </c>
      <c r="C607" t="s">
        <v>90</v>
      </c>
      <c r="D607" t="s">
        <v>78</v>
      </c>
      <c r="E607" s="1" t="s">
        <v>103</v>
      </c>
      <c r="F607" t="s">
        <v>93</v>
      </c>
      <c r="G607" t="s">
        <v>24</v>
      </c>
      <c r="H607">
        <v>13</v>
      </c>
      <c r="I607">
        <v>80193</v>
      </c>
    </row>
    <row r="608" spans="1:9" x14ac:dyDescent="0.25">
      <c r="A608" s="5" t="str">
        <f>TrendSheetPrdData[[#This Row],[Population]]&amp;TrendSheetPrdData[[#This Row],[Cost Basis]]&amp;TrendSheetPrdData[[#This Row],[Period]]&amp;TrendSheetPrdData[[#This Row],[Trend]]</f>
        <v>EMPLOYEESPaid2016-12-01ED Cost</v>
      </c>
      <c r="B608" t="s">
        <v>90</v>
      </c>
      <c r="C608" t="s">
        <v>90</v>
      </c>
      <c r="D608" t="s">
        <v>78</v>
      </c>
      <c r="E608" s="1" t="s">
        <v>104</v>
      </c>
      <c r="F608" t="s">
        <v>93</v>
      </c>
      <c r="G608" t="s">
        <v>24</v>
      </c>
      <c r="H608">
        <v>13</v>
      </c>
      <c r="I608">
        <v>69133</v>
      </c>
    </row>
    <row r="609" spans="1:9" x14ac:dyDescent="0.25">
      <c r="A609" s="5" t="str">
        <f>TrendSheetPrdData[[#This Row],[Population]]&amp;TrendSheetPrdData[[#This Row],[Cost Basis]]&amp;TrendSheetPrdData[[#This Row],[Period]]&amp;TrendSheetPrdData[[#This Row],[Trend]]</f>
        <v>EMPLOYEESPaid2017-01-01ED Cost</v>
      </c>
      <c r="B609" t="s">
        <v>90</v>
      </c>
      <c r="C609" t="s">
        <v>90</v>
      </c>
      <c r="D609" t="s">
        <v>78</v>
      </c>
      <c r="E609" s="1" t="s">
        <v>105</v>
      </c>
      <c r="F609" t="s">
        <v>93</v>
      </c>
      <c r="G609" t="s">
        <v>24</v>
      </c>
      <c r="H609">
        <v>13</v>
      </c>
      <c r="I609">
        <v>75022</v>
      </c>
    </row>
    <row r="610" spans="1:9" x14ac:dyDescent="0.25">
      <c r="A610" s="5" t="str">
        <f>TrendSheetPrdData[[#This Row],[Population]]&amp;TrendSheetPrdData[[#This Row],[Cost Basis]]&amp;TrendSheetPrdData[[#This Row],[Period]]&amp;TrendSheetPrdData[[#This Row],[Trend]]</f>
        <v>EMPLOYEESPaid2017-02-01ED Cost</v>
      </c>
      <c r="B610" t="s">
        <v>90</v>
      </c>
      <c r="C610" t="s">
        <v>90</v>
      </c>
      <c r="D610" t="s">
        <v>78</v>
      </c>
      <c r="E610" s="1" t="s">
        <v>106</v>
      </c>
      <c r="F610" t="s">
        <v>93</v>
      </c>
      <c r="G610" t="s">
        <v>24</v>
      </c>
      <c r="H610">
        <v>13</v>
      </c>
      <c r="I610">
        <v>64292</v>
      </c>
    </row>
    <row r="611" spans="1:9" x14ac:dyDescent="0.25">
      <c r="A611" s="5" t="str">
        <f>TrendSheetPrdData[[#This Row],[Population]]&amp;TrendSheetPrdData[[#This Row],[Cost Basis]]&amp;TrendSheetPrdData[[#This Row],[Period]]&amp;TrendSheetPrdData[[#This Row],[Trend]]</f>
        <v>EMPLOYEESPaid2017-03-01ED Cost</v>
      </c>
      <c r="B611" t="s">
        <v>90</v>
      </c>
      <c r="C611" t="s">
        <v>90</v>
      </c>
      <c r="D611" t="s">
        <v>78</v>
      </c>
      <c r="E611" s="1" t="s">
        <v>107</v>
      </c>
      <c r="F611" t="s">
        <v>108</v>
      </c>
      <c r="G611" t="s">
        <v>24</v>
      </c>
      <c r="H611">
        <v>13</v>
      </c>
      <c r="I611">
        <v>113879</v>
      </c>
    </row>
    <row r="612" spans="1:9" x14ac:dyDescent="0.25">
      <c r="A612" s="5" t="str">
        <f>TrendSheetPrdData[[#This Row],[Population]]&amp;TrendSheetPrdData[[#This Row],[Cost Basis]]&amp;TrendSheetPrdData[[#This Row],[Period]]&amp;TrendSheetPrdData[[#This Row],[Trend]]</f>
        <v>EMPLOYEESPaid2017-04-01ED Cost</v>
      </c>
      <c r="B612" t="s">
        <v>90</v>
      </c>
      <c r="C612" t="s">
        <v>90</v>
      </c>
      <c r="D612" t="s">
        <v>78</v>
      </c>
      <c r="E612" s="1" t="s">
        <v>109</v>
      </c>
      <c r="F612" t="s">
        <v>108</v>
      </c>
      <c r="G612" t="s">
        <v>24</v>
      </c>
      <c r="H612">
        <v>13</v>
      </c>
      <c r="I612">
        <v>60835</v>
      </c>
    </row>
    <row r="613" spans="1:9" x14ac:dyDescent="0.25">
      <c r="A613" s="5" t="str">
        <f>TrendSheetPrdData[[#This Row],[Population]]&amp;TrendSheetPrdData[[#This Row],[Cost Basis]]&amp;TrendSheetPrdData[[#This Row],[Period]]&amp;TrendSheetPrdData[[#This Row],[Trend]]</f>
        <v>EMPLOYEESPaid2017-05-01ED Cost</v>
      </c>
      <c r="B613" t="s">
        <v>90</v>
      </c>
      <c r="C613" t="s">
        <v>90</v>
      </c>
      <c r="D613" t="s">
        <v>78</v>
      </c>
      <c r="E613" s="1" t="s">
        <v>110</v>
      </c>
      <c r="F613" t="s">
        <v>108</v>
      </c>
      <c r="G613" t="s">
        <v>24</v>
      </c>
      <c r="H613">
        <v>13</v>
      </c>
      <c r="I613">
        <v>59139</v>
      </c>
    </row>
    <row r="614" spans="1:9" x14ac:dyDescent="0.25">
      <c r="A614" s="5" t="str">
        <f>TrendSheetPrdData[[#This Row],[Population]]&amp;TrendSheetPrdData[[#This Row],[Cost Basis]]&amp;TrendSheetPrdData[[#This Row],[Period]]&amp;TrendSheetPrdData[[#This Row],[Trend]]</f>
        <v>EMPLOYEESPaid2016-01-01ED Utilization</v>
      </c>
      <c r="B614" t="s">
        <v>90</v>
      </c>
      <c r="C614" t="s">
        <v>90</v>
      </c>
      <c r="D614" t="s">
        <v>78</v>
      </c>
      <c r="E614" s="1" t="s">
        <v>92</v>
      </c>
      <c r="F614" t="s">
        <v>93</v>
      </c>
      <c r="G614" t="s">
        <v>25</v>
      </c>
      <c r="H614">
        <v>14</v>
      </c>
      <c r="I614">
        <v>207</v>
      </c>
    </row>
    <row r="615" spans="1:9" x14ac:dyDescent="0.25">
      <c r="A615" s="5" t="str">
        <f>TrendSheetPrdData[[#This Row],[Population]]&amp;TrendSheetPrdData[[#This Row],[Cost Basis]]&amp;TrendSheetPrdData[[#This Row],[Period]]&amp;TrendSheetPrdData[[#This Row],[Trend]]</f>
        <v>EMPLOYEESPaid2016-02-01ED Utilization</v>
      </c>
      <c r="B615" t="s">
        <v>90</v>
      </c>
      <c r="C615" t="s">
        <v>90</v>
      </c>
      <c r="D615" t="s">
        <v>78</v>
      </c>
      <c r="E615" s="1" t="s">
        <v>94</v>
      </c>
      <c r="F615" t="s">
        <v>93</v>
      </c>
      <c r="G615" t="s">
        <v>25</v>
      </c>
      <c r="H615">
        <v>14</v>
      </c>
      <c r="I615">
        <v>172</v>
      </c>
    </row>
    <row r="616" spans="1:9" x14ac:dyDescent="0.25">
      <c r="A616" s="5" t="str">
        <f>TrendSheetPrdData[[#This Row],[Population]]&amp;TrendSheetPrdData[[#This Row],[Cost Basis]]&amp;TrendSheetPrdData[[#This Row],[Period]]&amp;TrendSheetPrdData[[#This Row],[Trend]]</f>
        <v>EMPLOYEESPaid2016-03-01ED Utilization</v>
      </c>
      <c r="B616" t="s">
        <v>90</v>
      </c>
      <c r="C616" t="s">
        <v>90</v>
      </c>
      <c r="D616" t="s">
        <v>78</v>
      </c>
      <c r="E616" s="1" t="s">
        <v>95</v>
      </c>
      <c r="F616" t="s">
        <v>93</v>
      </c>
      <c r="G616" t="s">
        <v>25</v>
      </c>
      <c r="H616">
        <v>14</v>
      </c>
      <c r="I616">
        <v>212</v>
      </c>
    </row>
    <row r="617" spans="1:9" x14ac:dyDescent="0.25">
      <c r="A617" s="5" t="str">
        <f>TrendSheetPrdData[[#This Row],[Population]]&amp;TrendSheetPrdData[[#This Row],[Cost Basis]]&amp;TrendSheetPrdData[[#This Row],[Period]]&amp;TrendSheetPrdData[[#This Row],[Trend]]</f>
        <v>EMPLOYEESPaid2016-04-01ED Utilization</v>
      </c>
      <c r="B617" t="s">
        <v>90</v>
      </c>
      <c r="C617" t="s">
        <v>90</v>
      </c>
      <c r="D617" t="s">
        <v>78</v>
      </c>
      <c r="E617" s="1" t="s">
        <v>96</v>
      </c>
      <c r="F617" t="s">
        <v>93</v>
      </c>
      <c r="G617" t="s">
        <v>25</v>
      </c>
      <c r="H617">
        <v>14</v>
      </c>
      <c r="I617">
        <v>261</v>
      </c>
    </row>
    <row r="618" spans="1:9" x14ac:dyDescent="0.25">
      <c r="A618" s="5" t="str">
        <f>TrendSheetPrdData[[#This Row],[Population]]&amp;TrendSheetPrdData[[#This Row],[Cost Basis]]&amp;TrendSheetPrdData[[#This Row],[Period]]&amp;TrendSheetPrdData[[#This Row],[Trend]]</f>
        <v>EMPLOYEESPaid2016-05-01ED Utilization</v>
      </c>
      <c r="B618" t="s">
        <v>90</v>
      </c>
      <c r="C618" t="s">
        <v>90</v>
      </c>
      <c r="D618" t="s">
        <v>78</v>
      </c>
      <c r="E618" s="1" t="s">
        <v>97</v>
      </c>
      <c r="F618" t="s">
        <v>93</v>
      </c>
      <c r="G618" t="s">
        <v>25</v>
      </c>
      <c r="H618">
        <v>14</v>
      </c>
      <c r="I618">
        <v>156</v>
      </c>
    </row>
    <row r="619" spans="1:9" x14ac:dyDescent="0.25">
      <c r="A619" s="5" t="str">
        <f>TrendSheetPrdData[[#This Row],[Population]]&amp;TrendSheetPrdData[[#This Row],[Cost Basis]]&amp;TrendSheetPrdData[[#This Row],[Period]]&amp;TrendSheetPrdData[[#This Row],[Trend]]</f>
        <v>EMPLOYEESPaid2016-06-01ED Utilization</v>
      </c>
      <c r="B619" t="s">
        <v>90</v>
      </c>
      <c r="C619" t="s">
        <v>90</v>
      </c>
      <c r="D619" t="s">
        <v>78</v>
      </c>
      <c r="E619" s="1" t="s">
        <v>98</v>
      </c>
      <c r="F619" t="s">
        <v>93</v>
      </c>
      <c r="G619" t="s">
        <v>25</v>
      </c>
      <c r="H619">
        <v>14</v>
      </c>
      <c r="I619">
        <v>171</v>
      </c>
    </row>
    <row r="620" spans="1:9" x14ac:dyDescent="0.25">
      <c r="A620" s="5" t="str">
        <f>TrendSheetPrdData[[#This Row],[Population]]&amp;TrendSheetPrdData[[#This Row],[Cost Basis]]&amp;TrendSheetPrdData[[#This Row],[Period]]&amp;TrendSheetPrdData[[#This Row],[Trend]]</f>
        <v>EMPLOYEESPaid2016-07-01ED Utilization</v>
      </c>
      <c r="B620" t="s">
        <v>90</v>
      </c>
      <c r="C620" t="s">
        <v>90</v>
      </c>
      <c r="D620" t="s">
        <v>78</v>
      </c>
      <c r="E620" s="1" t="s">
        <v>99</v>
      </c>
      <c r="F620" t="s">
        <v>93</v>
      </c>
      <c r="G620" t="s">
        <v>25</v>
      </c>
      <c r="H620">
        <v>14</v>
      </c>
      <c r="I620">
        <v>244</v>
      </c>
    </row>
    <row r="621" spans="1:9" x14ac:dyDescent="0.25">
      <c r="A621" s="5" t="str">
        <f>TrendSheetPrdData[[#This Row],[Population]]&amp;TrendSheetPrdData[[#This Row],[Cost Basis]]&amp;TrendSheetPrdData[[#This Row],[Period]]&amp;TrendSheetPrdData[[#This Row],[Trend]]</f>
        <v>EMPLOYEESPaid2016-08-01ED Utilization</v>
      </c>
      <c r="B621" t="s">
        <v>90</v>
      </c>
      <c r="C621" t="s">
        <v>90</v>
      </c>
      <c r="D621" t="s">
        <v>78</v>
      </c>
      <c r="E621" s="1" t="s">
        <v>100</v>
      </c>
      <c r="F621" t="s">
        <v>93</v>
      </c>
      <c r="G621" t="s">
        <v>25</v>
      </c>
      <c r="H621">
        <v>14</v>
      </c>
      <c r="I621">
        <v>160</v>
      </c>
    </row>
    <row r="622" spans="1:9" x14ac:dyDescent="0.25">
      <c r="A622" s="5" t="str">
        <f>TrendSheetPrdData[[#This Row],[Population]]&amp;TrendSheetPrdData[[#This Row],[Cost Basis]]&amp;TrendSheetPrdData[[#This Row],[Period]]&amp;TrendSheetPrdData[[#This Row],[Trend]]</f>
        <v>EMPLOYEESPaid2016-09-01ED Utilization</v>
      </c>
      <c r="B622" t="s">
        <v>90</v>
      </c>
      <c r="C622" t="s">
        <v>90</v>
      </c>
      <c r="D622" t="s">
        <v>78</v>
      </c>
      <c r="E622" s="1" t="s">
        <v>101</v>
      </c>
      <c r="F622" t="s">
        <v>93</v>
      </c>
      <c r="G622" t="s">
        <v>25</v>
      </c>
      <c r="H622">
        <v>14</v>
      </c>
      <c r="I622">
        <v>154</v>
      </c>
    </row>
    <row r="623" spans="1:9" x14ac:dyDescent="0.25">
      <c r="A623" s="5" t="str">
        <f>TrendSheetPrdData[[#This Row],[Population]]&amp;TrendSheetPrdData[[#This Row],[Cost Basis]]&amp;TrendSheetPrdData[[#This Row],[Period]]&amp;TrendSheetPrdData[[#This Row],[Trend]]</f>
        <v>EMPLOYEESPaid2016-10-01ED Utilization</v>
      </c>
      <c r="B623" t="s">
        <v>90</v>
      </c>
      <c r="C623" t="s">
        <v>90</v>
      </c>
      <c r="D623" t="s">
        <v>78</v>
      </c>
      <c r="E623" s="1" t="s">
        <v>102</v>
      </c>
      <c r="F623" t="s">
        <v>93</v>
      </c>
      <c r="G623" t="s">
        <v>25</v>
      </c>
      <c r="H623">
        <v>14</v>
      </c>
      <c r="I623">
        <v>141</v>
      </c>
    </row>
    <row r="624" spans="1:9" x14ac:dyDescent="0.25">
      <c r="A624" s="5" t="str">
        <f>TrendSheetPrdData[[#This Row],[Population]]&amp;TrendSheetPrdData[[#This Row],[Cost Basis]]&amp;TrendSheetPrdData[[#This Row],[Period]]&amp;TrendSheetPrdData[[#This Row],[Trend]]</f>
        <v>EMPLOYEESPaid2016-11-01ED Utilization</v>
      </c>
      <c r="B624" t="s">
        <v>90</v>
      </c>
      <c r="C624" t="s">
        <v>90</v>
      </c>
      <c r="D624" t="s">
        <v>78</v>
      </c>
      <c r="E624" s="1" t="s">
        <v>103</v>
      </c>
      <c r="F624" t="s">
        <v>93</v>
      </c>
      <c r="G624" t="s">
        <v>25</v>
      </c>
      <c r="H624">
        <v>14</v>
      </c>
      <c r="I624">
        <v>192</v>
      </c>
    </row>
    <row r="625" spans="1:9" x14ac:dyDescent="0.25">
      <c r="A625" s="5" t="str">
        <f>TrendSheetPrdData[[#This Row],[Population]]&amp;TrendSheetPrdData[[#This Row],[Cost Basis]]&amp;TrendSheetPrdData[[#This Row],[Period]]&amp;TrendSheetPrdData[[#This Row],[Trend]]</f>
        <v>EMPLOYEESPaid2016-12-01ED Utilization</v>
      </c>
      <c r="B625" t="s">
        <v>90</v>
      </c>
      <c r="C625" t="s">
        <v>90</v>
      </c>
      <c r="D625" t="s">
        <v>78</v>
      </c>
      <c r="E625" s="1" t="s">
        <v>104</v>
      </c>
      <c r="F625" t="s">
        <v>93</v>
      </c>
      <c r="G625" t="s">
        <v>25</v>
      </c>
      <c r="H625">
        <v>14</v>
      </c>
      <c r="I625">
        <v>179</v>
      </c>
    </row>
    <row r="626" spans="1:9" x14ac:dyDescent="0.25">
      <c r="A626" s="5" t="str">
        <f>TrendSheetPrdData[[#This Row],[Population]]&amp;TrendSheetPrdData[[#This Row],[Cost Basis]]&amp;TrendSheetPrdData[[#This Row],[Period]]&amp;TrendSheetPrdData[[#This Row],[Trend]]</f>
        <v>EMPLOYEESPaid2017-01-01ED Utilization</v>
      </c>
      <c r="B626" t="s">
        <v>90</v>
      </c>
      <c r="C626" t="s">
        <v>90</v>
      </c>
      <c r="D626" t="s">
        <v>78</v>
      </c>
      <c r="E626" s="1" t="s">
        <v>105</v>
      </c>
      <c r="F626" t="s">
        <v>93</v>
      </c>
      <c r="G626" t="s">
        <v>25</v>
      </c>
      <c r="H626">
        <v>14</v>
      </c>
      <c r="I626">
        <v>190</v>
      </c>
    </row>
    <row r="627" spans="1:9" x14ac:dyDescent="0.25">
      <c r="A627" s="5" t="str">
        <f>TrendSheetPrdData[[#This Row],[Population]]&amp;TrendSheetPrdData[[#This Row],[Cost Basis]]&amp;TrendSheetPrdData[[#This Row],[Period]]&amp;TrendSheetPrdData[[#This Row],[Trend]]</f>
        <v>EMPLOYEESPaid2017-02-01ED Utilization</v>
      </c>
      <c r="B627" t="s">
        <v>90</v>
      </c>
      <c r="C627" t="s">
        <v>90</v>
      </c>
      <c r="D627" t="s">
        <v>78</v>
      </c>
      <c r="E627" s="1" t="s">
        <v>106</v>
      </c>
      <c r="F627" t="s">
        <v>93</v>
      </c>
      <c r="G627" t="s">
        <v>25</v>
      </c>
      <c r="H627">
        <v>14</v>
      </c>
      <c r="I627">
        <v>187</v>
      </c>
    </row>
    <row r="628" spans="1:9" x14ac:dyDescent="0.25">
      <c r="A628" s="5" t="str">
        <f>TrendSheetPrdData[[#This Row],[Population]]&amp;TrendSheetPrdData[[#This Row],[Cost Basis]]&amp;TrendSheetPrdData[[#This Row],[Period]]&amp;TrendSheetPrdData[[#This Row],[Trend]]</f>
        <v>EMPLOYEESPaid2017-03-01ED Utilization</v>
      </c>
      <c r="B628" t="s">
        <v>90</v>
      </c>
      <c r="C628" t="s">
        <v>90</v>
      </c>
      <c r="D628" t="s">
        <v>78</v>
      </c>
      <c r="E628" s="1" t="s">
        <v>107</v>
      </c>
      <c r="F628" t="s">
        <v>108</v>
      </c>
      <c r="G628" t="s">
        <v>25</v>
      </c>
      <c r="H628">
        <v>14</v>
      </c>
      <c r="I628">
        <v>262</v>
      </c>
    </row>
    <row r="629" spans="1:9" x14ac:dyDescent="0.25">
      <c r="A629" s="5" t="str">
        <f>TrendSheetPrdData[[#This Row],[Population]]&amp;TrendSheetPrdData[[#This Row],[Cost Basis]]&amp;TrendSheetPrdData[[#This Row],[Period]]&amp;TrendSheetPrdData[[#This Row],[Trend]]</f>
        <v>EMPLOYEESPaid2017-04-01ED Utilization</v>
      </c>
      <c r="B629" t="s">
        <v>90</v>
      </c>
      <c r="C629" t="s">
        <v>90</v>
      </c>
      <c r="D629" t="s">
        <v>78</v>
      </c>
      <c r="E629" s="1" t="s">
        <v>109</v>
      </c>
      <c r="F629" t="s">
        <v>108</v>
      </c>
      <c r="G629" t="s">
        <v>25</v>
      </c>
      <c r="H629">
        <v>14</v>
      </c>
      <c r="I629">
        <v>150</v>
      </c>
    </row>
    <row r="630" spans="1:9" x14ac:dyDescent="0.25">
      <c r="A630" s="5" t="str">
        <f>TrendSheetPrdData[[#This Row],[Population]]&amp;TrendSheetPrdData[[#This Row],[Cost Basis]]&amp;TrendSheetPrdData[[#This Row],[Period]]&amp;TrendSheetPrdData[[#This Row],[Trend]]</f>
        <v>EMPLOYEESPaid2017-05-01ED Utilization</v>
      </c>
      <c r="B630" t="s">
        <v>90</v>
      </c>
      <c r="C630" t="s">
        <v>90</v>
      </c>
      <c r="D630" t="s">
        <v>78</v>
      </c>
      <c r="E630" s="1" t="s">
        <v>110</v>
      </c>
      <c r="F630" t="s">
        <v>108</v>
      </c>
      <c r="G630" t="s">
        <v>25</v>
      </c>
      <c r="H630">
        <v>14</v>
      </c>
      <c r="I630">
        <v>141</v>
      </c>
    </row>
    <row r="631" spans="1:9" x14ac:dyDescent="0.25">
      <c r="A631" s="5" t="str">
        <f>TrendSheetPrdData[[#This Row],[Population]]&amp;TrendSheetPrdData[[#This Row],[Cost Basis]]&amp;TrendSheetPrdData[[#This Row],[Period]]&amp;TrendSheetPrdData[[#This Row],[Trend]]</f>
        <v>EMPLOYEESPaid2016-01-01Drug - Generic Utilization Cost</v>
      </c>
      <c r="B631" t="s">
        <v>90</v>
      </c>
      <c r="C631" t="s">
        <v>90</v>
      </c>
      <c r="D631" t="s">
        <v>78</v>
      </c>
      <c r="E631" s="1" t="s">
        <v>92</v>
      </c>
      <c r="F631" t="s">
        <v>93</v>
      </c>
      <c r="G631" t="s">
        <v>26</v>
      </c>
      <c r="H631">
        <v>15</v>
      </c>
      <c r="I631">
        <v>155734</v>
      </c>
    </row>
    <row r="632" spans="1:9" x14ac:dyDescent="0.25">
      <c r="A632" s="5" t="str">
        <f>TrendSheetPrdData[[#This Row],[Population]]&amp;TrendSheetPrdData[[#This Row],[Cost Basis]]&amp;TrendSheetPrdData[[#This Row],[Period]]&amp;TrendSheetPrdData[[#This Row],[Trend]]</f>
        <v>EMPLOYEESPaid2016-02-01Drug - Generic Utilization Cost</v>
      </c>
      <c r="B632" t="s">
        <v>90</v>
      </c>
      <c r="C632" t="s">
        <v>90</v>
      </c>
      <c r="D632" t="s">
        <v>78</v>
      </c>
      <c r="E632" s="1" t="s">
        <v>94</v>
      </c>
      <c r="F632" t="s">
        <v>93</v>
      </c>
      <c r="G632" t="s">
        <v>26</v>
      </c>
      <c r="H632">
        <v>15</v>
      </c>
      <c r="I632">
        <v>201639</v>
      </c>
    </row>
    <row r="633" spans="1:9" x14ac:dyDescent="0.25">
      <c r="A633" s="5" t="str">
        <f>TrendSheetPrdData[[#This Row],[Population]]&amp;TrendSheetPrdData[[#This Row],[Cost Basis]]&amp;TrendSheetPrdData[[#This Row],[Period]]&amp;TrendSheetPrdData[[#This Row],[Trend]]</f>
        <v>EMPLOYEESPaid2016-03-01Drug - Generic Utilization Cost</v>
      </c>
      <c r="B633" t="s">
        <v>90</v>
      </c>
      <c r="C633" t="s">
        <v>90</v>
      </c>
      <c r="D633" t="s">
        <v>78</v>
      </c>
      <c r="E633" s="1" t="s">
        <v>95</v>
      </c>
      <c r="F633" t="s">
        <v>93</v>
      </c>
      <c r="G633" t="s">
        <v>26</v>
      </c>
      <c r="H633">
        <v>15</v>
      </c>
      <c r="I633">
        <v>172268</v>
      </c>
    </row>
    <row r="634" spans="1:9" x14ac:dyDescent="0.25">
      <c r="A634" s="5" t="str">
        <f>TrendSheetPrdData[[#This Row],[Population]]&amp;TrendSheetPrdData[[#This Row],[Cost Basis]]&amp;TrendSheetPrdData[[#This Row],[Period]]&amp;TrendSheetPrdData[[#This Row],[Trend]]</f>
        <v>EMPLOYEESPaid2016-04-01Drug - Generic Utilization Cost</v>
      </c>
      <c r="B634" t="s">
        <v>90</v>
      </c>
      <c r="C634" t="s">
        <v>90</v>
      </c>
      <c r="D634" t="s">
        <v>78</v>
      </c>
      <c r="E634" s="1" t="s">
        <v>96</v>
      </c>
      <c r="F634" t="s">
        <v>93</v>
      </c>
      <c r="G634" t="s">
        <v>26</v>
      </c>
      <c r="H634">
        <v>15</v>
      </c>
      <c r="I634">
        <v>175090</v>
      </c>
    </row>
    <row r="635" spans="1:9" x14ac:dyDescent="0.25">
      <c r="A635" s="5" t="str">
        <f>TrendSheetPrdData[[#This Row],[Population]]&amp;TrendSheetPrdData[[#This Row],[Cost Basis]]&amp;TrendSheetPrdData[[#This Row],[Period]]&amp;TrendSheetPrdData[[#This Row],[Trend]]</f>
        <v>EMPLOYEESPaid2016-05-01Drug - Generic Utilization Cost</v>
      </c>
      <c r="B635" t="s">
        <v>90</v>
      </c>
      <c r="C635" t="s">
        <v>90</v>
      </c>
      <c r="D635" t="s">
        <v>78</v>
      </c>
      <c r="E635" s="1" t="s">
        <v>97</v>
      </c>
      <c r="F635" t="s">
        <v>93</v>
      </c>
      <c r="G635" t="s">
        <v>26</v>
      </c>
      <c r="H635">
        <v>15</v>
      </c>
      <c r="I635">
        <v>190755</v>
      </c>
    </row>
    <row r="636" spans="1:9" x14ac:dyDescent="0.25">
      <c r="A636" s="5" t="str">
        <f>TrendSheetPrdData[[#This Row],[Population]]&amp;TrendSheetPrdData[[#This Row],[Cost Basis]]&amp;TrendSheetPrdData[[#This Row],[Period]]&amp;TrendSheetPrdData[[#This Row],[Trend]]</f>
        <v>EMPLOYEESPaid2016-06-01Drug - Generic Utilization Cost</v>
      </c>
      <c r="B636" t="s">
        <v>90</v>
      </c>
      <c r="C636" t="s">
        <v>90</v>
      </c>
      <c r="D636" t="s">
        <v>78</v>
      </c>
      <c r="E636" s="1" t="s">
        <v>98</v>
      </c>
      <c r="F636" t="s">
        <v>93</v>
      </c>
      <c r="G636" t="s">
        <v>26</v>
      </c>
      <c r="H636">
        <v>15</v>
      </c>
      <c r="I636">
        <v>159734</v>
      </c>
    </row>
    <row r="637" spans="1:9" x14ac:dyDescent="0.25">
      <c r="A637" s="5" t="str">
        <f>TrendSheetPrdData[[#This Row],[Population]]&amp;TrendSheetPrdData[[#This Row],[Cost Basis]]&amp;TrendSheetPrdData[[#This Row],[Period]]&amp;TrendSheetPrdData[[#This Row],[Trend]]</f>
        <v>EMPLOYEESPaid2016-07-01Drug - Generic Utilization Cost</v>
      </c>
      <c r="B637" t="s">
        <v>90</v>
      </c>
      <c r="C637" t="s">
        <v>90</v>
      </c>
      <c r="D637" t="s">
        <v>78</v>
      </c>
      <c r="E637" s="1" t="s">
        <v>99</v>
      </c>
      <c r="F637" t="s">
        <v>93</v>
      </c>
      <c r="G637" t="s">
        <v>26</v>
      </c>
      <c r="H637">
        <v>15</v>
      </c>
      <c r="I637">
        <v>156584</v>
      </c>
    </row>
    <row r="638" spans="1:9" x14ac:dyDescent="0.25">
      <c r="A638" s="5" t="str">
        <f>TrendSheetPrdData[[#This Row],[Population]]&amp;TrendSheetPrdData[[#This Row],[Cost Basis]]&amp;TrendSheetPrdData[[#This Row],[Period]]&amp;TrendSheetPrdData[[#This Row],[Trend]]</f>
        <v>EMPLOYEESPaid2016-08-01Drug - Generic Utilization Cost</v>
      </c>
      <c r="B638" t="s">
        <v>90</v>
      </c>
      <c r="C638" t="s">
        <v>90</v>
      </c>
      <c r="D638" t="s">
        <v>78</v>
      </c>
      <c r="E638" s="1" t="s">
        <v>100</v>
      </c>
      <c r="F638" t="s">
        <v>93</v>
      </c>
      <c r="G638" t="s">
        <v>26</v>
      </c>
      <c r="H638">
        <v>15</v>
      </c>
      <c r="I638">
        <v>232804</v>
      </c>
    </row>
    <row r="639" spans="1:9" x14ac:dyDescent="0.25">
      <c r="A639" s="5" t="str">
        <f>TrendSheetPrdData[[#This Row],[Population]]&amp;TrendSheetPrdData[[#This Row],[Cost Basis]]&amp;TrendSheetPrdData[[#This Row],[Period]]&amp;TrendSheetPrdData[[#This Row],[Trend]]</f>
        <v>EMPLOYEESPaid2016-09-01Drug - Generic Utilization Cost</v>
      </c>
      <c r="B639" t="s">
        <v>90</v>
      </c>
      <c r="C639" t="s">
        <v>90</v>
      </c>
      <c r="D639" t="s">
        <v>78</v>
      </c>
      <c r="E639" s="1" t="s">
        <v>101</v>
      </c>
      <c r="F639" t="s">
        <v>93</v>
      </c>
      <c r="G639" t="s">
        <v>26</v>
      </c>
      <c r="H639">
        <v>15</v>
      </c>
      <c r="I639">
        <v>172723</v>
      </c>
    </row>
    <row r="640" spans="1:9" x14ac:dyDescent="0.25">
      <c r="A640" s="5" t="str">
        <f>TrendSheetPrdData[[#This Row],[Population]]&amp;TrendSheetPrdData[[#This Row],[Cost Basis]]&amp;TrendSheetPrdData[[#This Row],[Period]]&amp;TrendSheetPrdData[[#This Row],[Trend]]</f>
        <v>EMPLOYEESPaid2016-10-01Drug - Generic Utilization Cost</v>
      </c>
      <c r="B640" t="s">
        <v>90</v>
      </c>
      <c r="C640" t="s">
        <v>90</v>
      </c>
      <c r="D640" t="s">
        <v>78</v>
      </c>
      <c r="E640" s="1" t="s">
        <v>102</v>
      </c>
      <c r="F640" t="s">
        <v>93</v>
      </c>
      <c r="G640" t="s">
        <v>26</v>
      </c>
      <c r="H640">
        <v>15</v>
      </c>
      <c r="I640">
        <v>194325</v>
      </c>
    </row>
    <row r="641" spans="1:9" x14ac:dyDescent="0.25">
      <c r="A641" s="5" t="str">
        <f>TrendSheetPrdData[[#This Row],[Population]]&amp;TrendSheetPrdData[[#This Row],[Cost Basis]]&amp;TrendSheetPrdData[[#This Row],[Period]]&amp;TrendSheetPrdData[[#This Row],[Trend]]</f>
        <v>EMPLOYEESPaid2016-11-01Drug - Generic Utilization Cost</v>
      </c>
      <c r="B641" t="s">
        <v>90</v>
      </c>
      <c r="C641" t="s">
        <v>90</v>
      </c>
      <c r="D641" t="s">
        <v>78</v>
      </c>
      <c r="E641" s="1" t="s">
        <v>103</v>
      </c>
      <c r="F641" t="s">
        <v>93</v>
      </c>
      <c r="G641" t="s">
        <v>26</v>
      </c>
      <c r="H641">
        <v>15</v>
      </c>
      <c r="I641">
        <v>276084</v>
      </c>
    </row>
    <row r="642" spans="1:9" x14ac:dyDescent="0.25">
      <c r="A642" s="5" t="str">
        <f>TrendSheetPrdData[[#This Row],[Population]]&amp;TrendSheetPrdData[[#This Row],[Cost Basis]]&amp;TrendSheetPrdData[[#This Row],[Period]]&amp;TrendSheetPrdData[[#This Row],[Trend]]</f>
        <v>EMPLOYEESPaid2016-12-01Drug - Generic Utilization Cost</v>
      </c>
      <c r="B642" t="s">
        <v>90</v>
      </c>
      <c r="C642" t="s">
        <v>90</v>
      </c>
      <c r="D642" t="s">
        <v>78</v>
      </c>
      <c r="E642" s="1" t="s">
        <v>104</v>
      </c>
      <c r="F642" t="s">
        <v>93</v>
      </c>
      <c r="G642" t="s">
        <v>26</v>
      </c>
      <c r="H642">
        <v>15</v>
      </c>
      <c r="I642">
        <v>129115</v>
      </c>
    </row>
    <row r="643" spans="1:9" x14ac:dyDescent="0.25">
      <c r="A643" s="5" t="str">
        <f>TrendSheetPrdData[[#This Row],[Population]]&amp;TrendSheetPrdData[[#This Row],[Cost Basis]]&amp;TrendSheetPrdData[[#This Row],[Period]]&amp;TrendSheetPrdData[[#This Row],[Trend]]</f>
        <v>EMPLOYEESPaid2017-01-01Drug - Generic Utilization Cost</v>
      </c>
      <c r="B643" t="s">
        <v>90</v>
      </c>
      <c r="C643" t="s">
        <v>90</v>
      </c>
      <c r="D643" t="s">
        <v>78</v>
      </c>
      <c r="E643" s="1" t="s">
        <v>105</v>
      </c>
      <c r="F643" t="s">
        <v>93</v>
      </c>
      <c r="G643" t="s">
        <v>26</v>
      </c>
      <c r="H643">
        <v>15</v>
      </c>
      <c r="I643">
        <v>228014</v>
      </c>
    </row>
    <row r="644" spans="1:9" x14ac:dyDescent="0.25">
      <c r="A644" s="5" t="str">
        <f>TrendSheetPrdData[[#This Row],[Population]]&amp;TrendSheetPrdData[[#This Row],[Cost Basis]]&amp;TrendSheetPrdData[[#This Row],[Period]]&amp;TrendSheetPrdData[[#This Row],[Trend]]</f>
        <v>EMPLOYEESPaid2017-02-01Drug - Generic Utilization Cost</v>
      </c>
      <c r="B644" t="s">
        <v>90</v>
      </c>
      <c r="C644" t="s">
        <v>90</v>
      </c>
      <c r="D644" t="s">
        <v>78</v>
      </c>
      <c r="E644" s="1" t="s">
        <v>106</v>
      </c>
      <c r="F644" t="s">
        <v>93</v>
      </c>
      <c r="G644" t="s">
        <v>26</v>
      </c>
      <c r="H644">
        <v>15</v>
      </c>
      <c r="I644">
        <v>279449</v>
      </c>
    </row>
    <row r="645" spans="1:9" x14ac:dyDescent="0.25">
      <c r="A645" s="5" t="str">
        <f>TrendSheetPrdData[[#This Row],[Population]]&amp;TrendSheetPrdData[[#This Row],[Cost Basis]]&amp;TrendSheetPrdData[[#This Row],[Period]]&amp;TrendSheetPrdData[[#This Row],[Trend]]</f>
        <v>EMPLOYEESPaid2017-03-01Drug - Generic Utilization Cost</v>
      </c>
      <c r="B645" t="s">
        <v>90</v>
      </c>
      <c r="C645" t="s">
        <v>90</v>
      </c>
      <c r="D645" t="s">
        <v>78</v>
      </c>
      <c r="E645" s="1" t="s">
        <v>107</v>
      </c>
      <c r="F645" t="s">
        <v>108</v>
      </c>
      <c r="G645" t="s">
        <v>26</v>
      </c>
      <c r="H645">
        <v>15</v>
      </c>
      <c r="I645">
        <v>295838</v>
      </c>
    </row>
    <row r="646" spans="1:9" x14ac:dyDescent="0.25">
      <c r="A646" s="5" t="str">
        <f>TrendSheetPrdData[[#This Row],[Population]]&amp;TrendSheetPrdData[[#This Row],[Cost Basis]]&amp;TrendSheetPrdData[[#This Row],[Period]]&amp;TrendSheetPrdData[[#This Row],[Trend]]</f>
        <v>EMPLOYEESPaid2017-04-01Drug - Generic Utilization Cost</v>
      </c>
      <c r="B646" t="s">
        <v>90</v>
      </c>
      <c r="C646" t="s">
        <v>90</v>
      </c>
      <c r="D646" t="s">
        <v>78</v>
      </c>
      <c r="E646" s="1" t="s">
        <v>109</v>
      </c>
      <c r="F646" t="s">
        <v>108</v>
      </c>
      <c r="G646" t="s">
        <v>26</v>
      </c>
      <c r="H646">
        <v>15</v>
      </c>
      <c r="I646">
        <v>256173</v>
      </c>
    </row>
    <row r="647" spans="1:9" x14ac:dyDescent="0.25">
      <c r="A647" s="5" t="str">
        <f>TrendSheetPrdData[[#This Row],[Population]]&amp;TrendSheetPrdData[[#This Row],[Cost Basis]]&amp;TrendSheetPrdData[[#This Row],[Period]]&amp;TrendSheetPrdData[[#This Row],[Trend]]</f>
        <v>EMPLOYEESPaid2017-05-01Drug - Generic Utilization Cost</v>
      </c>
      <c r="B647" t="s">
        <v>90</v>
      </c>
      <c r="C647" t="s">
        <v>90</v>
      </c>
      <c r="D647" t="s">
        <v>78</v>
      </c>
      <c r="E647" s="1" t="s">
        <v>110</v>
      </c>
      <c r="F647" t="s">
        <v>108</v>
      </c>
      <c r="G647" t="s">
        <v>26</v>
      </c>
      <c r="H647">
        <v>15</v>
      </c>
      <c r="I647">
        <v>212109</v>
      </c>
    </row>
    <row r="648" spans="1:9" x14ac:dyDescent="0.25">
      <c r="A648" s="5" t="str">
        <f>TrendSheetPrdData[[#This Row],[Population]]&amp;TrendSheetPrdData[[#This Row],[Cost Basis]]&amp;TrendSheetPrdData[[#This Row],[Period]]&amp;TrendSheetPrdData[[#This Row],[Trend]]</f>
        <v>EMPLOYEESPaid2016-01-01Drug - Generic Utilization</v>
      </c>
      <c r="B648" t="s">
        <v>90</v>
      </c>
      <c r="C648" t="s">
        <v>90</v>
      </c>
      <c r="D648" t="s">
        <v>78</v>
      </c>
      <c r="E648" s="1" t="s">
        <v>92</v>
      </c>
      <c r="F648" t="s">
        <v>93</v>
      </c>
      <c r="G648" t="s">
        <v>27</v>
      </c>
      <c r="H648">
        <v>16</v>
      </c>
      <c r="I648">
        <v>0.87</v>
      </c>
    </row>
    <row r="649" spans="1:9" x14ac:dyDescent="0.25">
      <c r="A649" s="5" t="str">
        <f>TrendSheetPrdData[[#This Row],[Population]]&amp;TrendSheetPrdData[[#This Row],[Cost Basis]]&amp;TrendSheetPrdData[[#This Row],[Period]]&amp;TrendSheetPrdData[[#This Row],[Trend]]</f>
        <v>EMPLOYEESPaid2016-02-01Drug - Generic Utilization</v>
      </c>
      <c r="B649" t="s">
        <v>90</v>
      </c>
      <c r="C649" t="s">
        <v>90</v>
      </c>
      <c r="D649" t="s">
        <v>78</v>
      </c>
      <c r="E649" s="1" t="s">
        <v>94</v>
      </c>
      <c r="F649" t="s">
        <v>93</v>
      </c>
      <c r="G649" t="s">
        <v>27</v>
      </c>
      <c r="H649">
        <v>16</v>
      </c>
      <c r="I649">
        <v>0.87</v>
      </c>
    </row>
    <row r="650" spans="1:9" x14ac:dyDescent="0.25">
      <c r="A650" s="5" t="str">
        <f>TrendSheetPrdData[[#This Row],[Population]]&amp;TrendSheetPrdData[[#This Row],[Cost Basis]]&amp;TrendSheetPrdData[[#This Row],[Period]]&amp;TrendSheetPrdData[[#This Row],[Trend]]</f>
        <v>EMPLOYEESPaid2016-03-01Drug - Generic Utilization</v>
      </c>
      <c r="B650" t="s">
        <v>90</v>
      </c>
      <c r="C650" t="s">
        <v>90</v>
      </c>
      <c r="D650" t="s">
        <v>78</v>
      </c>
      <c r="E650" s="1" t="s">
        <v>95</v>
      </c>
      <c r="F650" t="s">
        <v>93</v>
      </c>
      <c r="G650" t="s">
        <v>27</v>
      </c>
      <c r="H650">
        <v>16</v>
      </c>
      <c r="I650">
        <v>0.87</v>
      </c>
    </row>
    <row r="651" spans="1:9" x14ac:dyDescent="0.25">
      <c r="A651" s="5" t="str">
        <f>TrendSheetPrdData[[#This Row],[Population]]&amp;TrendSheetPrdData[[#This Row],[Cost Basis]]&amp;TrendSheetPrdData[[#This Row],[Period]]&amp;TrendSheetPrdData[[#This Row],[Trend]]</f>
        <v>EMPLOYEESPaid2016-04-01Drug - Generic Utilization</v>
      </c>
      <c r="B651" t="s">
        <v>90</v>
      </c>
      <c r="C651" t="s">
        <v>90</v>
      </c>
      <c r="D651" t="s">
        <v>78</v>
      </c>
      <c r="E651" s="1" t="s">
        <v>96</v>
      </c>
      <c r="F651" t="s">
        <v>93</v>
      </c>
      <c r="G651" t="s">
        <v>27</v>
      </c>
      <c r="H651">
        <v>16</v>
      </c>
      <c r="I651">
        <v>0.86</v>
      </c>
    </row>
    <row r="652" spans="1:9" x14ac:dyDescent="0.25">
      <c r="A652" s="5" t="str">
        <f>TrendSheetPrdData[[#This Row],[Population]]&amp;TrendSheetPrdData[[#This Row],[Cost Basis]]&amp;TrendSheetPrdData[[#This Row],[Period]]&amp;TrendSheetPrdData[[#This Row],[Trend]]</f>
        <v>EMPLOYEESPaid2016-05-01Drug - Generic Utilization</v>
      </c>
      <c r="B652" t="s">
        <v>90</v>
      </c>
      <c r="C652" t="s">
        <v>90</v>
      </c>
      <c r="D652" t="s">
        <v>78</v>
      </c>
      <c r="E652" s="1" t="s">
        <v>97</v>
      </c>
      <c r="F652" t="s">
        <v>93</v>
      </c>
      <c r="G652" t="s">
        <v>27</v>
      </c>
      <c r="H652">
        <v>16</v>
      </c>
      <c r="I652">
        <v>0.88</v>
      </c>
    </row>
    <row r="653" spans="1:9" x14ac:dyDescent="0.25">
      <c r="A653" s="5" t="str">
        <f>TrendSheetPrdData[[#This Row],[Population]]&amp;TrendSheetPrdData[[#This Row],[Cost Basis]]&amp;TrendSheetPrdData[[#This Row],[Period]]&amp;TrendSheetPrdData[[#This Row],[Trend]]</f>
        <v>EMPLOYEESPaid2016-06-01Drug - Generic Utilization</v>
      </c>
      <c r="B653" t="s">
        <v>90</v>
      </c>
      <c r="C653" t="s">
        <v>90</v>
      </c>
      <c r="D653" t="s">
        <v>78</v>
      </c>
      <c r="E653" s="1" t="s">
        <v>98</v>
      </c>
      <c r="F653" t="s">
        <v>93</v>
      </c>
      <c r="G653" t="s">
        <v>27</v>
      </c>
      <c r="H653">
        <v>16</v>
      </c>
      <c r="I653">
        <v>0.88</v>
      </c>
    </row>
    <row r="654" spans="1:9" x14ac:dyDescent="0.25">
      <c r="A654" s="5" t="str">
        <f>TrendSheetPrdData[[#This Row],[Population]]&amp;TrendSheetPrdData[[#This Row],[Cost Basis]]&amp;TrendSheetPrdData[[#This Row],[Period]]&amp;TrendSheetPrdData[[#This Row],[Trend]]</f>
        <v>EMPLOYEESPaid2016-07-01Drug - Generic Utilization</v>
      </c>
      <c r="B654" t="s">
        <v>90</v>
      </c>
      <c r="C654" t="s">
        <v>90</v>
      </c>
      <c r="D654" t="s">
        <v>78</v>
      </c>
      <c r="E654" s="1" t="s">
        <v>99</v>
      </c>
      <c r="F654" t="s">
        <v>93</v>
      </c>
      <c r="G654" t="s">
        <v>27</v>
      </c>
      <c r="H654">
        <v>16</v>
      </c>
      <c r="I654">
        <v>0.87</v>
      </c>
    </row>
    <row r="655" spans="1:9" x14ac:dyDescent="0.25">
      <c r="A655" s="5" t="str">
        <f>TrendSheetPrdData[[#This Row],[Population]]&amp;TrendSheetPrdData[[#This Row],[Cost Basis]]&amp;TrendSheetPrdData[[#This Row],[Period]]&amp;TrendSheetPrdData[[#This Row],[Trend]]</f>
        <v>EMPLOYEESPaid2016-08-01Drug - Generic Utilization</v>
      </c>
      <c r="B655" t="s">
        <v>90</v>
      </c>
      <c r="C655" t="s">
        <v>90</v>
      </c>
      <c r="D655" t="s">
        <v>78</v>
      </c>
      <c r="E655" s="1" t="s">
        <v>100</v>
      </c>
      <c r="F655" t="s">
        <v>93</v>
      </c>
      <c r="G655" t="s">
        <v>27</v>
      </c>
      <c r="H655">
        <v>16</v>
      </c>
      <c r="I655">
        <v>0.87</v>
      </c>
    </row>
    <row r="656" spans="1:9" x14ac:dyDescent="0.25">
      <c r="A656" s="5" t="str">
        <f>TrendSheetPrdData[[#This Row],[Population]]&amp;TrendSheetPrdData[[#This Row],[Cost Basis]]&amp;TrendSheetPrdData[[#This Row],[Period]]&amp;TrendSheetPrdData[[#This Row],[Trend]]</f>
        <v>EMPLOYEESPaid2016-09-01Drug - Generic Utilization</v>
      </c>
      <c r="B656" t="s">
        <v>90</v>
      </c>
      <c r="C656" t="s">
        <v>90</v>
      </c>
      <c r="D656" t="s">
        <v>78</v>
      </c>
      <c r="E656" s="1" t="s">
        <v>101</v>
      </c>
      <c r="F656" t="s">
        <v>93</v>
      </c>
      <c r="G656" t="s">
        <v>27</v>
      </c>
      <c r="H656">
        <v>16</v>
      </c>
      <c r="I656">
        <v>0.89</v>
      </c>
    </row>
    <row r="657" spans="1:9" x14ac:dyDescent="0.25">
      <c r="A657" s="5" t="str">
        <f>TrendSheetPrdData[[#This Row],[Population]]&amp;TrendSheetPrdData[[#This Row],[Cost Basis]]&amp;TrendSheetPrdData[[#This Row],[Period]]&amp;TrendSheetPrdData[[#This Row],[Trend]]</f>
        <v>EMPLOYEESPaid2016-10-01Drug - Generic Utilization</v>
      </c>
      <c r="B657" t="s">
        <v>90</v>
      </c>
      <c r="C657" t="s">
        <v>90</v>
      </c>
      <c r="D657" t="s">
        <v>78</v>
      </c>
      <c r="E657" s="1" t="s">
        <v>102</v>
      </c>
      <c r="F657" t="s">
        <v>93</v>
      </c>
      <c r="G657" t="s">
        <v>27</v>
      </c>
      <c r="H657">
        <v>16</v>
      </c>
      <c r="I657">
        <v>0.89</v>
      </c>
    </row>
    <row r="658" spans="1:9" x14ac:dyDescent="0.25">
      <c r="A658" s="5" t="str">
        <f>TrendSheetPrdData[[#This Row],[Population]]&amp;TrendSheetPrdData[[#This Row],[Cost Basis]]&amp;TrendSheetPrdData[[#This Row],[Period]]&amp;TrendSheetPrdData[[#This Row],[Trend]]</f>
        <v>EMPLOYEESPaid2016-11-01Drug - Generic Utilization</v>
      </c>
      <c r="B658" t="s">
        <v>90</v>
      </c>
      <c r="C658" t="s">
        <v>90</v>
      </c>
      <c r="D658" t="s">
        <v>78</v>
      </c>
      <c r="E658" s="1" t="s">
        <v>103</v>
      </c>
      <c r="F658" t="s">
        <v>93</v>
      </c>
      <c r="G658" t="s">
        <v>27</v>
      </c>
      <c r="H658">
        <v>16</v>
      </c>
      <c r="I658">
        <v>0.88</v>
      </c>
    </row>
    <row r="659" spans="1:9" x14ac:dyDescent="0.25">
      <c r="A659" s="5" t="str">
        <f>TrendSheetPrdData[[#This Row],[Population]]&amp;TrendSheetPrdData[[#This Row],[Cost Basis]]&amp;TrendSheetPrdData[[#This Row],[Period]]&amp;TrendSheetPrdData[[#This Row],[Trend]]</f>
        <v>EMPLOYEESPaid2016-12-01Drug - Generic Utilization</v>
      </c>
      <c r="B659" t="s">
        <v>90</v>
      </c>
      <c r="C659" t="s">
        <v>90</v>
      </c>
      <c r="D659" t="s">
        <v>78</v>
      </c>
      <c r="E659" s="1" t="s">
        <v>104</v>
      </c>
      <c r="F659" t="s">
        <v>93</v>
      </c>
      <c r="G659" t="s">
        <v>27</v>
      </c>
      <c r="H659">
        <v>16</v>
      </c>
      <c r="I659">
        <v>0.89</v>
      </c>
    </row>
    <row r="660" spans="1:9" x14ac:dyDescent="0.25">
      <c r="A660" s="5" t="str">
        <f>TrendSheetPrdData[[#This Row],[Population]]&amp;TrendSheetPrdData[[#This Row],[Cost Basis]]&amp;TrendSheetPrdData[[#This Row],[Period]]&amp;TrendSheetPrdData[[#This Row],[Trend]]</f>
        <v>EMPLOYEESPaid2017-01-01Drug - Generic Utilization</v>
      </c>
      <c r="B660" t="s">
        <v>90</v>
      </c>
      <c r="C660" t="s">
        <v>90</v>
      </c>
      <c r="D660" t="s">
        <v>78</v>
      </c>
      <c r="E660" s="1" t="s">
        <v>105</v>
      </c>
      <c r="F660" t="s">
        <v>93</v>
      </c>
      <c r="G660" t="s">
        <v>27</v>
      </c>
      <c r="H660">
        <v>16</v>
      </c>
      <c r="I660">
        <v>0.88</v>
      </c>
    </row>
    <row r="661" spans="1:9" x14ac:dyDescent="0.25">
      <c r="A661" s="5" t="str">
        <f>TrendSheetPrdData[[#This Row],[Population]]&amp;TrendSheetPrdData[[#This Row],[Cost Basis]]&amp;TrendSheetPrdData[[#This Row],[Period]]&amp;TrendSheetPrdData[[#This Row],[Trend]]</f>
        <v>EMPLOYEESPaid2017-02-01Drug - Generic Utilization</v>
      </c>
      <c r="B661" t="s">
        <v>90</v>
      </c>
      <c r="C661" t="s">
        <v>90</v>
      </c>
      <c r="D661" t="s">
        <v>78</v>
      </c>
      <c r="E661" s="1" t="s">
        <v>106</v>
      </c>
      <c r="F661" t="s">
        <v>93</v>
      </c>
      <c r="G661" t="s">
        <v>27</v>
      </c>
      <c r="H661">
        <v>16</v>
      </c>
      <c r="I661">
        <v>0.9</v>
      </c>
    </row>
    <row r="662" spans="1:9" x14ac:dyDescent="0.25">
      <c r="A662" s="5" t="str">
        <f>TrendSheetPrdData[[#This Row],[Population]]&amp;TrendSheetPrdData[[#This Row],[Cost Basis]]&amp;TrendSheetPrdData[[#This Row],[Period]]&amp;TrendSheetPrdData[[#This Row],[Trend]]</f>
        <v>EMPLOYEESPaid2017-03-01Drug - Generic Utilization</v>
      </c>
      <c r="B662" t="s">
        <v>90</v>
      </c>
      <c r="C662" t="s">
        <v>90</v>
      </c>
      <c r="D662" t="s">
        <v>78</v>
      </c>
      <c r="E662" s="1" t="s">
        <v>107</v>
      </c>
      <c r="F662" t="s">
        <v>108</v>
      </c>
      <c r="G662" t="s">
        <v>27</v>
      </c>
      <c r="H662">
        <v>16</v>
      </c>
      <c r="I662">
        <v>0.89</v>
      </c>
    </row>
    <row r="663" spans="1:9" x14ac:dyDescent="0.25">
      <c r="A663" s="5" t="str">
        <f>TrendSheetPrdData[[#This Row],[Population]]&amp;TrendSheetPrdData[[#This Row],[Cost Basis]]&amp;TrendSheetPrdData[[#This Row],[Period]]&amp;TrendSheetPrdData[[#This Row],[Trend]]</f>
        <v>EMPLOYEESPaid2017-04-01Drug - Generic Utilization</v>
      </c>
      <c r="B663" t="s">
        <v>90</v>
      </c>
      <c r="C663" t="s">
        <v>90</v>
      </c>
      <c r="D663" t="s">
        <v>78</v>
      </c>
      <c r="E663" s="1" t="s">
        <v>109</v>
      </c>
      <c r="F663" t="s">
        <v>108</v>
      </c>
      <c r="G663" t="s">
        <v>27</v>
      </c>
      <c r="H663">
        <v>16</v>
      </c>
      <c r="I663">
        <v>0.89</v>
      </c>
    </row>
    <row r="664" spans="1:9" x14ac:dyDescent="0.25">
      <c r="A664" s="5" t="str">
        <f>TrendSheetPrdData[[#This Row],[Population]]&amp;TrendSheetPrdData[[#This Row],[Cost Basis]]&amp;TrendSheetPrdData[[#This Row],[Period]]&amp;TrendSheetPrdData[[#This Row],[Trend]]</f>
        <v>EMPLOYEESPaid2017-05-01Drug - Generic Utilization</v>
      </c>
      <c r="B664" t="s">
        <v>90</v>
      </c>
      <c r="C664" t="s">
        <v>90</v>
      </c>
      <c r="D664" t="s">
        <v>78</v>
      </c>
      <c r="E664" s="1" t="s">
        <v>110</v>
      </c>
      <c r="F664" t="s">
        <v>108</v>
      </c>
      <c r="G664" t="s">
        <v>27</v>
      </c>
      <c r="H664">
        <v>16</v>
      </c>
      <c r="I664">
        <v>0.89</v>
      </c>
    </row>
    <row r="665" spans="1:9" x14ac:dyDescent="0.25">
      <c r="A665" s="5" t="str">
        <f>TrendSheetPrdData[[#This Row],[Population]]&amp;TrendSheetPrdData[[#This Row],[Cost Basis]]&amp;TrendSheetPrdData[[#This Row],[Period]]&amp;TrendSheetPrdData[[#This Row],[Trend]]</f>
        <v>EMPLOYEESPaid2016-01-01Chronic Disease Management - Cost</v>
      </c>
      <c r="B665" t="s">
        <v>90</v>
      </c>
      <c r="C665" t="s">
        <v>90</v>
      </c>
      <c r="D665" t="s">
        <v>78</v>
      </c>
      <c r="E665" s="1" t="s">
        <v>92</v>
      </c>
      <c r="F665" t="s">
        <v>93</v>
      </c>
      <c r="G665" t="s">
        <v>28</v>
      </c>
      <c r="H665">
        <v>17</v>
      </c>
      <c r="I665">
        <v>1045326</v>
      </c>
    </row>
    <row r="666" spans="1:9" x14ac:dyDescent="0.25">
      <c r="A666" s="5" t="str">
        <f>TrendSheetPrdData[[#This Row],[Population]]&amp;TrendSheetPrdData[[#This Row],[Cost Basis]]&amp;TrendSheetPrdData[[#This Row],[Period]]&amp;TrendSheetPrdData[[#This Row],[Trend]]</f>
        <v>EMPLOYEESPaid2016-02-01Chronic Disease Management - Cost</v>
      </c>
      <c r="B666" t="s">
        <v>90</v>
      </c>
      <c r="C666" t="s">
        <v>90</v>
      </c>
      <c r="D666" t="s">
        <v>78</v>
      </c>
      <c r="E666" s="1" t="s">
        <v>94</v>
      </c>
      <c r="F666" t="s">
        <v>93</v>
      </c>
      <c r="G666" t="s">
        <v>28</v>
      </c>
      <c r="H666">
        <v>17</v>
      </c>
      <c r="I666">
        <v>982964</v>
      </c>
    </row>
    <row r="667" spans="1:9" x14ac:dyDescent="0.25">
      <c r="A667" s="5" t="str">
        <f>TrendSheetPrdData[[#This Row],[Population]]&amp;TrendSheetPrdData[[#This Row],[Cost Basis]]&amp;TrendSheetPrdData[[#This Row],[Period]]&amp;TrendSheetPrdData[[#This Row],[Trend]]</f>
        <v>EMPLOYEESPaid2016-03-01Chronic Disease Management - Cost</v>
      </c>
      <c r="B667" t="s">
        <v>90</v>
      </c>
      <c r="C667" t="s">
        <v>90</v>
      </c>
      <c r="D667" t="s">
        <v>78</v>
      </c>
      <c r="E667" s="1" t="s">
        <v>95</v>
      </c>
      <c r="F667" t="s">
        <v>93</v>
      </c>
      <c r="G667" t="s">
        <v>28</v>
      </c>
      <c r="H667">
        <v>17</v>
      </c>
      <c r="I667">
        <v>1078201</v>
      </c>
    </row>
    <row r="668" spans="1:9" x14ac:dyDescent="0.25">
      <c r="A668" s="5" t="str">
        <f>TrendSheetPrdData[[#This Row],[Population]]&amp;TrendSheetPrdData[[#This Row],[Cost Basis]]&amp;TrendSheetPrdData[[#This Row],[Period]]&amp;TrendSheetPrdData[[#This Row],[Trend]]</f>
        <v>EMPLOYEESPaid2016-04-01Chronic Disease Management - Cost</v>
      </c>
      <c r="B668" t="s">
        <v>90</v>
      </c>
      <c r="C668" t="s">
        <v>90</v>
      </c>
      <c r="D668" t="s">
        <v>78</v>
      </c>
      <c r="E668" s="1" t="s">
        <v>96</v>
      </c>
      <c r="F668" t="s">
        <v>93</v>
      </c>
      <c r="G668" t="s">
        <v>28</v>
      </c>
      <c r="H668">
        <v>17</v>
      </c>
      <c r="I668">
        <v>1346044</v>
      </c>
    </row>
    <row r="669" spans="1:9" x14ac:dyDescent="0.25">
      <c r="A669" s="5" t="str">
        <f>TrendSheetPrdData[[#This Row],[Population]]&amp;TrendSheetPrdData[[#This Row],[Cost Basis]]&amp;TrendSheetPrdData[[#This Row],[Period]]&amp;TrendSheetPrdData[[#This Row],[Trend]]</f>
        <v>EMPLOYEESPaid2016-05-01Chronic Disease Management - Cost</v>
      </c>
      <c r="B669" t="s">
        <v>90</v>
      </c>
      <c r="C669" t="s">
        <v>90</v>
      </c>
      <c r="D669" t="s">
        <v>78</v>
      </c>
      <c r="E669" s="1" t="s">
        <v>97</v>
      </c>
      <c r="F669" t="s">
        <v>93</v>
      </c>
      <c r="G669" t="s">
        <v>28</v>
      </c>
      <c r="H669">
        <v>17</v>
      </c>
      <c r="I669">
        <v>1228220</v>
      </c>
    </row>
    <row r="670" spans="1:9" x14ac:dyDescent="0.25">
      <c r="A670" s="5" t="str">
        <f>TrendSheetPrdData[[#This Row],[Population]]&amp;TrendSheetPrdData[[#This Row],[Cost Basis]]&amp;TrendSheetPrdData[[#This Row],[Period]]&amp;TrendSheetPrdData[[#This Row],[Trend]]</f>
        <v>EMPLOYEESPaid2016-06-01Chronic Disease Management - Cost</v>
      </c>
      <c r="B670" t="s">
        <v>90</v>
      </c>
      <c r="C670" t="s">
        <v>90</v>
      </c>
      <c r="D670" t="s">
        <v>78</v>
      </c>
      <c r="E670" s="1" t="s">
        <v>98</v>
      </c>
      <c r="F670" t="s">
        <v>93</v>
      </c>
      <c r="G670" t="s">
        <v>28</v>
      </c>
      <c r="H670">
        <v>17</v>
      </c>
      <c r="I670">
        <v>1122928</v>
      </c>
    </row>
    <row r="671" spans="1:9" x14ac:dyDescent="0.25">
      <c r="A671" s="5" t="str">
        <f>TrendSheetPrdData[[#This Row],[Population]]&amp;TrendSheetPrdData[[#This Row],[Cost Basis]]&amp;TrendSheetPrdData[[#This Row],[Period]]&amp;TrendSheetPrdData[[#This Row],[Trend]]</f>
        <v>EMPLOYEESPaid2016-07-01Chronic Disease Management - Cost</v>
      </c>
      <c r="B671" t="s">
        <v>90</v>
      </c>
      <c r="C671" t="s">
        <v>90</v>
      </c>
      <c r="D671" t="s">
        <v>78</v>
      </c>
      <c r="E671" s="1" t="s">
        <v>99</v>
      </c>
      <c r="F671" t="s">
        <v>93</v>
      </c>
      <c r="G671" t="s">
        <v>28</v>
      </c>
      <c r="H671">
        <v>17</v>
      </c>
      <c r="I671">
        <v>1268156</v>
      </c>
    </row>
    <row r="672" spans="1:9" x14ac:dyDescent="0.25">
      <c r="A672" s="5" t="str">
        <f>TrendSheetPrdData[[#This Row],[Population]]&amp;TrendSheetPrdData[[#This Row],[Cost Basis]]&amp;TrendSheetPrdData[[#This Row],[Period]]&amp;TrendSheetPrdData[[#This Row],[Trend]]</f>
        <v>EMPLOYEESPaid2016-08-01Chronic Disease Management - Cost</v>
      </c>
      <c r="B672" t="s">
        <v>90</v>
      </c>
      <c r="C672" t="s">
        <v>90</v>
      </c>
      <c r="D672" t="s">
        <v>78</v>
      </c>
      <c r="E672" s="1" t="s">
        <v>100</v>
      </c>
      <c r="F672" t="s">
        <v>93</v>
      </c>
      <c r="G672" t="s">
        <v>28</v>
      </c>
      <c r="H672">
        <v>17</v>
      </c>
      <c r="I672">
        <v>1260094</v>
      </c>
    </row>
    <row r="673" spans="1:9" x14ac:dyDescent="0.25">
      <c r="A673" s="5" t="str">
        <f>TrendSheetPrdData[[#This Row],[Population]]&amp;TrendSheetPrdData[[#This Row],[Cost Basis]]&amp;TrendSheetPrdData[[#This Row],[Period]]&amp;TrendSheetPrdData[[#This Row],[Trend]]</f>
        <v>EMPLOYEESPaid2016-09-01Chronic Disease Management - Cost</v>
      </c>
      <c r="B673" t="s">
        <v>90</v>
      </c>
      <c r="C673" t="s">
        <v>90</v>
      </c>
      <c r="D673" t="s">
        <v>78</v>
      </c>
      <c r="E673" s="1" t="s">
        <v>101</v>
      </c>
      <c r="F673" t="s">
        <v>93</v>
      </c>
      <c r="G673" t="s">
        <v>28</v>
      </c>
      <c r="H673">
        <v>17</v>
      </c>
      <c r="I673">
        <v>1210499</v>
      </c>
    </row>
    <row r="674" spans="1:9" x14ac:dyDescent="0.25">
      <c r="A674" s="5" t="str">
        <f>TrendSheetPrdData[[#This Row],[Population]]&amp;TrendSheetPrdData[[#This Row],[Cost Basis]]&amp;TrendSheetPrdData[[#This Row],[Period]]&amp;TrendSheetPrdData[[#This Row],[Trend]]</f>
        <v>EMPLOYEESPaid2016-10-01Chronic Disease Management - Cost</v>
      </c>
      <c r="B674" t="s">
        <v>90</v>
      </c>
      <c r="C674" t="s">
        <v>90</v>
      </c>
      <c r="D674" t="s">
        <v>78</v>
      </c>
      <c r="E674" s="1" t="s">
        <v>102</v>
      </c>
      <c r="F674" t="s">
        <v>93</v>
      </c>
      <c r="G674" t="s">
        <v>28</v>
      </c>
      <c r="H674">
        <v>17</v>
      </c>
      <c r="I674">
        <v>1069856</v>
      </c>
    </row>
    <row r="675" spans="1:9" x14ac:dyDescent="0.25">
      <c r="A675" s="5" t="str">
        <f>TrendSheetPrdData[[#This Row],[Population]]&amp;TrendSheetPrdData[[#This Row],[Cost Basis]]&amp;TrendSheetPrdData[[#This Row],[Period]]&amp;TrendSheetPrdData[[#This Row],[Trend]]</f>
        <v>EMPLOYEESPaid2016-11-01Chronic Disease Management - Cost</v>
      </c>
      <c r="B675" t="s">
        <v>90</v>
      </c>
      <c r="C675" t="s">
        <v>90</v>
      </c>
      <c r="D675" t="s">
        <v>78</v>
      </c>
      <c r="E675" s="1" t="s">
        <v>103</v>
      </c>
      <c r="F675" t="s">
        <v>93</v>
      </c>
      <c r="G675" t="s">
        <v>28</v>
      </c>
      <c r="H675">
        <v>17</v>
      </c>
      <c r="I675">
        <v>1148468</v>
      </c>
    </row>
    <row r="676" spans="1:9" x14ac:dyDescent="0.25">
      <c r="A676" s="5" t="str">
        <f>TrendSheetPrdData[[#This Row],[Population]]&amp;TrendSheetPrdData[[#This Row],[Cost Basis]]&amp;TrendSheetPrdData[[#This Row],[Period]]&amp;TrendSheetPrdData[[#This Row],[Trend]]</f>
        <v>EMPLOYEESPaid2016-12-01Chronic Disease Management - Cost</v>
      </c>
      <c r="B676" t="s">
        <v>90</v>
      </c>
      <c r="C676" t="s">
        <v>90</v>
      </c>
      <c r="D676" t="s">
        <v>78</v>
      </c>
      <c r="E676" s="1" t="s">
        <v>104</v>
      </c>
      <c r="F676" t="s">
        <v>93</v>
      </c>
      <c r="G676" t="s">
        <v>28</v>
      </c>
      <c r="H676">
        <v>17</v>
      </c>
      <c r="I676">
        <v>1314372</v>
      </c>
    </row>
    <row r="677" spans="1:9" x14ac:dyDescent="0.25">
      <c r="A677" s="5" t="str">
        <f>TrendSheetPrdData[[#This Row],[Population]]&amp;TrendSheetPrdData[[#This Row],[Cost Basis]]&amp;TrendSheetPrdData[[#This Row],[Period]]&amp;TrendSheetPrdData[[#This Row],[Trend]]</f>
        <v>EMPLOYEESPaid2017-01-01Chronic Disease Management - Cost</v>
      </c>
      <c r="B677" t="s">
        <v>90</v>
      </c>
      <c r="C677" t="s">
        <v>90</v>
      </c>
      <c r="D677" t="s">
        <v>78</v>
      </c>
      <c r="E677" s="1" t="s">
        <v>105</v>
      </c>
      <c r="F677" t="s">
        <v>93</v>
      </c>
      <c r="G677" t="s">
        <v>28</v>
      </c>
      <c r="H677">
        <v>17</v>
      </c>
      <c r="I677">
        <v>1184649</v>
      </c>
    </row>
    <row r="678" spans="1:9" x14ac:dyDescent="0.25">
      <c r="A678" s="5" t="str">
        <f>TrendSheetPrdData[[#This Row],[Population]]&amp;TrendSheetPrdData[[#This Row],[Cost Basis]]&amp;TrendSheetPrdData[[#This Row],[Period]]&amp;TrendSheetPrdData[[#This Row],[Trend]]</f>
        <v>EMPLOYEESPaid2017-02-01Chronic Disease Management - Cost</v>
      </c>
      <c r="B678" t="s">
        <v>90</v>
      </c>
      <c r="C678" t="s">
        <v>90</v>
      </c>
      <c r="D678" t="s">
        <v>78</v>
      </c>
      <c r="E678" s="1" t="s">
        <v>106</v>
      </c>
      <c r="F678" t="s">
        <v>93</v>
      </c>
      <c r="G678" t="s">
        <v>28</v>
      </c>
      <c r="H678">
        <v>17</v>
      </c>
      <c r="I678">
        <v>1122861</v>
      </c>
    </row>
    <row r="679" spans="1:9" x14ac:dyDescent="0.25">
      <c r="A679" s="5" t="str">
        <f>TrendSheetPrdData[[#This Row],[Population]]&amp;TrendSheetPrdData[[#This Row],[Cost Basis]]&amp;TrendSheetPrdData[[#This Row],[Period]]&amp;TrendSheetPrdData[[#This Row],[Trend]]</f>
        <v>EMPLOYEESPaid2017-03-01Chronic Disease Management - Cost</v>
      </c>
      <c r="B679" t="s">
        <v>90</v>
      </c>
      <c r="C679" t="s">
        <v>90</v>
      </c>
      <c r="D679" t="s">
        <v>78</v>
      </c>
      <c r="E679" s="1" t="s">
        <v>107</v>
      </c>
      <c r="F679" t="s">
        <v>108</v>
      </c>
      <c r="G679" t="s">
        <v>28</v>
      </c>
      <c r="H679">
        <v>17</v>
      </c>
      <c r="I679">
        <v>1170832</v>
      </c>
    </row>
    <row r="680" spans="1:9" x14ac:dyDescent="0.25">
      <c r="A680" s="5" t="str">
        <f>TrendSheetPrdData[[#This Row],[Population]]&amp;TrendSheetPrdData[[#This Row],[Cost Basis]]&amp;TrendSheetPrdData[[#This Row],[Period]]&amp;TrendSheetPrdData[[#This Row],[Trend]]</f>
        <v>EMPLOYEESPaid2017-04-01Chronic Disease Management - Cost</v>
      </c>
      <c r="B680" t="s">
        <v>90</v>
      </c>
      <c r="C680" t="s">
        <v>90</v>
      </c>
      <c r="D680" t="s">
        <v>78</v>
      </c>
      <c r="E680" s="1" t="s">
        <v>109</v>
      </c>
      <c r="F680" t="s">
        <v>108</v>
      </c>
      <c r="G680" t="s">
        <v>28</v>
      </c>
      <c r="H680">
        <v>17</v>
      </c>
      <c r="I680">
        <v>1046287</v>
      </c>
    </row>
    <row r="681" spans="1:9" x14ac:dyDescent="0.25">
      <c r="A681" s="5" t="str">
        <f>TrendSheetPrdData[[#This Row],[Population]]&amp;TrendSheetPrdData[[#This Row],[Cost Basis]]&amp;TrendSheetPrdData[[#This Row],[Period]]&amp;TrendSheetPrdData[[#This Row],[Trend]]</f>
        <v>EMPLOYEESPaid2017-05-01Chronic Disease Management - Cost</v>
      </c>
      <c r="B681" t="s">
        <v>90</v>
      </c>
      <c r="C681" t="s">
        <v>90</v>
      </c>
      <c r="D681" t="s">
        <v>78</v>
      </c>
      <c r="E681" s="1" t="s">
        <v>110</v>
      </c>
      <c r="F681" t="s">
        <v>108</v>
      </c>
      <c r="G681" t="s">
        <v>28</v>
      </c>
      <c r="H681">
        <v>17</v>
      </c>
      <c r="I681">
        <v>631934</v>
      </c>
    </row>
    <row r="682" spans="1:9" x14ac:dyDescent="0.25">
      <c r="A682" s="5" t="str">
        <f>TrendSheetPrdData[[#This Row],[Population]]&amp;TrendSheetPrdData[[#This Row],[Cost Basis]]&amp;TrendSheetPrdData[[#This Row],[Period]]&amp;TrendSheetPrdData[[#This Row],[Trend]]</f>
        <v>EMPLOYEESPaid2016-01-01Chronic Disease Management - Members</v>
      </c>
      <c r="B682" t="s">
        <v>90</v>
      </c>
      <c r="C682" t="s">
        <v>90</v>
      </c>
      <c r="D682" t="s">
        <v>78</v>
      </c>
      <c r="E682" s="1" t="s">
        <v>92</v>
      </c>
      <c r="F682" t="s">
        <v>93</v>
      </c>
      <c r="G682" t="s">
        <v>29</v>
      </c>
      <c r="H682">
        <v>18</v>
      </c>
      <c r="I682">
        <v>487.37</v>
      </c>
    </row>
    <row r="683" spans="1:9" x14ac:dyDescent="0.25">
      <c r="A683" s="5" t="str">
        <f>TrendSheetPrdData[[#This Row],[Population]]&amp;TrendSheetPrdData[[#This Row],[Cost Basis]]&amp;TrendSheetPrdData[[#This Row],[Period]]&amp;TrendSheetPrdData[[#This Row],[Trend]]</f>
        <v>EMPLOYEESPaid2016-02-01Chronic Disease Management - Members</v>
      </c>
      <c r="B683" t="s">
        <v>90</v>
      </c>
      <c r="C683" t="s">
        <v>90</v>
      </c>
      <c r="D683" t="s">
        <v>78</v>
      </c>
      <c r="E683" s="1" t="s">
        <v>94</v>
      </c>
      <c r="F683" t="s">
        <v>93</v>
      </c>
      <c r="G683" t="s">
        <v>29</v>
      </c>
      <c r="H683">
        <v>18</v>
      </c>
      <c r="I683">
        <v>487.9</v>
      </c>
    </row>
    <row r="684" spans="1:9" x14ac:dyDescent="0.25">
      <c r="A684" s="5" t="str">
        <f>TrendSheetPrdData[[#This Row],[Population]]&amp;TrendSheetPrdData[[#This Row],[Cost Basis]]&amp;TrendSheetPrdData[[#This Row],[Period]]&amp;TrendSheetPrdData[[#This Row],[Trend]]</f>
        <v>EMPLOYEESPaid2016-03-01Chronic Disease Management - Members</v>
      </c>
      <c r="B684" t="s">
        <v>90</v>
      </c>
      <c r="C684" t="s">
        <v>90</v>
      </c>
      <c r="D684" t="s">
        <v>78</v>
      </c>
      <c r="E684" s="1" t="s">
        <v>95</v>
      </c>
      <c r="F684" t="s">
        <v>93</v>
      </c>
      <c r="G684" t="s">
        <v>29</v>
      </c>
      <c r="H684">
        <v>18</v>
      </c>
      <c r="I684">
        <v>487.39</v>
      </c>
    </row>
    <row r="685" spans="1:9" x14ac:dyDescent="0.25">
      <c r="A685" s="5" t="str">
        <f>TrendSheetPrdData[[#This Row],[Population]]&amp;TrendSheetPrdData[[#This Row],[Cost Basis]]&amp;TrendSheetPrdData[[#This Row],[Period]]&amp;TrendSheetPrdData[[#This Row],[Trend]]</f>
        <v>EMPLOYEESPaid2016-04-01Chronic Disease Management - Members</v>
      </c>
      <c r="B685" t="s">
        <v>90</v>
      </c>
      <c r="C685" t="s">
        <v>90</v>
      </c>
      <c r="D685" t="s">
        <v>78</v>
      </c>
      <c r="E685" s="1" t="s">
        <v>96</v>
      </c>
      <c r="F685" t="s">
        <v>93</v>
      </c>
      <c r="G685" t="s">
        <v>29</v>
      </c>
      <c r="H685">
        <v>18</v>
      </c>
      <c r="I685">
        <v>481.63</v>
      </c>
    </row>
    <row r="686" spans="1:9" x14ac:dyDescent="0.25">
      <c r="A686" s="5" t="str">
        <f>TrendSheetPrdData[[#This Row],[Population]]&amp;TrendSheetPrdData[[#This Row],[Cost Basis]]&amp;TrendSheetPrdData[[#This Row],[Period]]&amp;TrendSheetPrdData[[#This Row],[Trend]]</f>
        <v>EMPLOYEESPaid2016-05-01Chronic Disease Management - Members</v>
      </c>
      <c r="B686" t="s">
        <v>90</v>
      </c>
      <c r="C686" t="s">
        <v>90</v>
      </c>
      <c r="D686" t="s">
        <v>78</v>
      </c>
      <c r="E686" s="1" t="s">
        <v>97</v>
      </c>
      <c r="F686" t="s">
        <v>93</v>
      </c>
      <c r="G686" t="s">
        <v>29</v>
      </c>
      <c r="H686">
        <v>18</v>
      </c>
      <c r="I686">
        <v>481</v>
      </c>
    </row>
    <row r="687" spans="1:9" x14ac:dyDescent="0.25">
      <c r="A687" s="5" t="str">
        <f>TrendSheetPrdData[[#This Row],[Population]]&amp;TrendSheetPrdData[[#This Row],[Cost Basis]]&amp;TrendSheetPrdData[[#This Row],[Period]]&amp;TrendSheetPrdData[[#This Row],[Trend]]</f>
        <v>EMPLOYEESPaid2016-06-01Chronic Disease Management - Members</v>
      </c>
      <c r="B687" t="s">
        <v>90</v>
      </c>
      <c r="C687" t="s">
        <v>90</v>
      </c>
      <c r="D687" t="s">
        <v>78</v>
      </c>
      <c r="E687" s="1" t="s">
        <v>98</v>
      </c>
      <c r="F687" t="s">
        <v>93</v>
      </c>
      <c r="G687" t="s">
        <v>29</v>
      </c>
      <c r="H687">
        <v>18</v>
      </c>
      <c r="I687">
        <v>473.84</v>
      </c>
    </row>
    <row r="688" spans="1:9" x14ac:dyDescent="0.25">
      <c r="A688" s="5" t="str">
        <f>TrendSheetPrdData[[#This Row],[Population]]&amp;TrendSheetPrdData[[#This Row],[Cost Basis]]&amp;TrendSheetPrdData[[#This Row],[Period]]&amp;TrendSheetPrdData[[#This Row],[Trend]]</f>
        <v>EMPLOYEESPaid2016-07-01Chronic Disease Management - Members</v>
      </c>
      <c r="B688" t="s">
        <v>90</v>
      </c>
      <c r="C688" t="s">
        <v>90</v>
      </c>
      <c r="D688" t="s">
        <v>78</v>
      </c>
      <c r="E688" s="1" t="s">
        <v>99</v>
      </c>
      <c r="F688" t="s">
        <v>93</v>
      </c>
      <c r="G688" t="s">
        <v>29</v>
      </c>
      <c r="H688">
        <v>18</v>
      </c>
      <c r="I688">
        <v>473.17</v>
      </c>
    </row>
    <row r="689" spans="1:9" x14ac:dyDescent="0.25">
      <c r="A689" s="5" t="str">
        <f>TrendSheetPrdData[[#This Row],[Population]]&amp;TrendSheetPrdData[[#This Row],[Cost Basis]]&amp;TrendSheetPrdData[[#This Row],[Period]]&amp;TrendSheetPrdData[[#This Row],[Trend]]</f>
        <v>EMPLOYEESPaid2016-08-01Chronic Disease Management - Members</v>
      </c>
      <c r="B689" t="s">
        <v>90</v>
      </c>
      <c r="C689" t="s">
        <v>90</v>
      </c>
      <c r="D689" t="s">
        <v>78</v>
      </c>
      <c r="E689" s="1" t="s">
        <v>100</v>
      </c>
      <c r="F689" t="s">
        <v>93</v>
      </c>
      <c r="G689" t="s">
        <v>29</v>
      </c>
      <c r="H689">
        <v>18</v>
      </c>
      <c r="I689">
        <v>477.7</v>
      </c>
    </row>
    <row r="690" spans="1:9" x14ac:dyDescent="0.25">
      <c r="A690" s="5" t="str">
        <f>TrendSheetPrdData[[#This Row],[Population]]&amp;TrendSheetPrdData[[#This Row],[Cost Basis]]&amp;TrendSheetPrdData[[#This Row],[Period]]&amp;TrendSheetPrdData[[#This Row],[Trend]]</f>
        <v>EMPLOYEESPaid2016-09-01Chronic Disease Management - Members</v>
      </c>
      <c r="B690" t="s">
        <v>90</v>
      </c>
      <c r="C690" t="s">
        <v>90</v>
      </c>
      <c r="D690" t="s">
        <v>78</v>
      </c>
      <c r="E690" s="1" t="s">
        <v>101</v>
      </c>
      <c r="F690" t="s">
        <v>93</v>
      </c>
      <c r="G690" t="s">
        <v>29</v>
      </c>
      <c r="H690">
        <v>18</v>
      </c>
      <c r="I690">
        <v>477.14</v>
      </c>
    </row>
    <row r="691" spans="1:9" x14ac:dyDescent="0.25">
      <c r="A691" s="5" t="str">
        <f>TrendSheetPrdData[[#This Row],[Population]]&amp;TrendSheetPrdData[[#This Row],[Cost Basis]]&amp;TrendSheetPrdData[[#This Row],[Period]]&amp;TrendSheetPrdData[[#This Row],[Trend]]</f>
        <v>EMPLOYEESPaid2016-10-01Chronic Disease Management - Members</v>
      </c>
      <c r="B691" t="s">
        <v>90</v>
      </c>
      <c r="C691" t="s">
        <v>90</v>
      </c>
      <c r="D691" t="s">
        <v>78</v>
      </c>
      <c r="E691" s="1" t="s">
        <v>102</v>
      </c>
      <c r="F691" t="s">
        <v>93</v>
      </c>
      <c r="G691" t="s">
        <v>29</v>
      </c>
      <c r="H691">
        <v>18</v>
      </c>
      <c r="I691">
        <v>478.23</v>
      </c>
    </row>
    <row r="692" spans="1:9" x14ac:dyDescent="0.25">
      <c r="A692" s="5" t="str">
        <f>TrendSheetPrdData[[#This Row],[Population]]&amp;TrendSheetPrdData[[#This Row],[Cost Basis]]&amp;TrendSheetPrdData[[#This Row],[Period]]&amp;TrendSheetPrdData[[#This Row],[Trend]]</f>
        <v>EMPLOYEESPaid2016-11-01Chronic Disease Management - Members</v>
      </c>
      <c r="B692" t="s">
        <v>90</v>
      </c>
      <c r="C692" t="s">
        <v>90</v>
      </c>
      <c r="D692" t="s">
        <v>78</v>
      </c>
      <c r="E692" s="1" t="s">
        <v>103</v>
      </c>
      <c r="F692" t="s">
        <v>93</v>
      </c>
      <c r="G692" t="s">
        <v>29</v>
      </c>
      <c r="H692">
        <v>18</v>
      </c>
      <c r="I692">
        <v>474.77</v>
      </c>
    </row>
    <row r="693" spans="1:9" x14ac:dyDescent="0.25">
      <c r="A693" s="5" t="str">
        <f>TrendSheetPrdData[[#This Row],[Population]]&amp;TrendSheetPrdData[[#This Row],[Cost Basis]]&amp;TrendSheetPrdData[[#This Row],[Period]]&amp;TrendSheetPrdData[[#This Row],[Trend]]</f>
        <v>EMPLOYEESPaid2016-12-01Chronic Disease Management - Members</v>
      </c>
      <c r="B693" t="s">
        <v>90</v>
      </c>
      <c r="C693" t="s">
        <v>90</v>
      </c>
      <c r="D693" t="s">
        <v>78</v>
      </c>
      <c r="E693" s="1" t="s">
        <v>104</v>
      </c>
      <c r="F693" t="s">
        <v>93</v>
      </c>
      <c r="G693" t="s">
        <v>29</v>
      </c>
      <c r="H693">
        <v>18</v>
      </c>
      <c r="I693">
        <v>476.17</v>
      </c>
    </row>
    <row r="694" spans="1:9" x14ac:dyDescent="0.25">
      <c r="A694" s="5" t="str">
        <f>TrendSheetPrdData[[#This Row],[Population]]&amp;TrendSheetPrdData[[#This Row],[Cost Basis]]&amp;TrendSheetPrdData[[#This Row],[Period]]&amp;TrendSheetPrdData[[#This Row],[Trend]]</f>
        <v>EMPLOYEESPaid2017-01-01Chronic Disease Management - Members</v>
      </c>
      <c r="B694" t="s">
        <v>90</v>
      </c>
      <c r="C694" t="s">
        <v>90</v>
      </c>
      <c r="D694" t="s">
        <v>78</v>
      </c>
      <c r="E694" s="1" t="s">
        <v>105</v>
      </c>
      <c r="F694" t="s">
        <v>93</v>
      </c>
      <c r="G694" t="s">
        <v>29</v>
      </c>
      <c r="H694">
        <v>18</v>
      </c>
      <c r="I694">
        <v>478.57</v>
      </c>
    </row>
    <row r="695" spans="1:9" x14ac:dyDescent="0.25">
      <c r="A695" s="5" t="str">
        <f>TrendSheetPrdData[[#This Row],[Population]]&amp;TrendSheetPrdData[[#This Row],[Cost Basis]]&amp;TrendSheetPrdData[[#This Row],[Period]]&amp;TrendSheetPrdData[[#This Row],[Trend]]</f>
        <v>EMPLOYEESPaid2017-02-01Chronic Disease Management - Members</v>
      </c>
      <c r="B695" t="s">
        <v>90</v>
      </c>
      <c r="C695" t="s">
        <v>90</v>
      </c>
      <c r="D695" t="s">
        <v>78</v>
      </c>
      <c r="E695" s="1" t="s">
        <v>106</v>
      </c>
      <c r="F695" t="s">
        <v>93</v>
      </c>
      <c r="G695" t="s">
        <v>29</v>
      </c>
      <c r="H695">
        <v>18</v>
      </c>
      <c r="I695">
        <v>471.22</v>
      </c>
    </row>
    <row r="696" spans="1:9" x14ac:dyDescent="0.25">
      <c r="A696" s="5" t="str">
        <f>TrendSheetPrdData[[#This Row],[Population]]&amp;TrendSheetPrdData[[#This Row],[Cost Basis]]&amp;TrendSheetPrdData[[#This Row],[Period]]&amp;TrendSheetPrdData[[#This Row],[Trend]]</f>
        <v>EMPLOYEESPaid2017-03-01Chronic Disease Management - Members</v>
      </c>
      <c r="B696" t="s">
        <v>90</v>
      </c>
      <c r="C696" t="s">
        <v>90</v>
      </c>
      <c r="D696" t="s">
        <v>78</v>
      </c>
      <c r="E696" s="1" t="s">
        <v>107</v>
      </c>
      <c r="F696" t="s">
        <v>108</v>
      </c>
      <c r="G696" t="s">
        <v>29</v>
      </c>
      <c r="H696">
        <v>18</v>
      </c>
      <c r="I696">
        <v>466.23</v>
      </c>
    </row>
    <row r="697" spans="1:9" x14ac:dyDescent="0.25">
      <c r="A697" s="5" t="str">
        <f>TrendSheetPrdData[[#This Row],[Population]]&amp;TrendSheetPrdData[[#This Row],[Cost Basis]]&amp;TrendSheetPrdData[[#This Row],[Period]]&amp;TrendSheetPrdData[[#This Row],[Trend]]</f>
        <v>EMPLOYEESPaid2017-04-01Chronic Disease Management - Members</v>
      </c>
      <c r="B697" t="s">
        <v>90</v>
      </c>
      <c r="C697" t="s">
        <v>90</v>
      </c>
      <c r="D697" t="s">
        <v>78</v>
      </c>
      <c r="E697" s="1" t="s">
        <v>109</v>
      </c>
      <c r="F697" t="s">
        <v>108</v>
      </c>
      <c r="G697" t="s">
        <v>29</v>
      </c>
      <c r="H697">
        <v>18</v>
      </c>
      <c r="I697">
        <v>464.29</v>
      </c>
    </row>
    <row r="698" spans="1:9" x14ac:dyDescent="0.25">
      <c r="A698" s="5" t="str">
        <f>TrendSheetPrdData[[#This Row],[Population]]&amp;TrendSheetPrdData[[#This Row],[Cost Basis]]&amp;TrendSheetPrdData[[#This Row],[Period]]&amp;TrendSheetPrdData[[#This Row],[Trend]]</f>
        <v>EMPLOYEESPaid2017-05-01Chronic Disease Management - Members</v>
      </c>
      <c r="B698" t="s">
        <v>90</v>
      </c>
      <c r="C698" t="s">
        <v>90</v>
      </c>
      <c r="D698" t="s">
        <v>78</v>
      </c>
      <c r="E698" s="1" t="s">
        <v>110</v>
      </c>
      <c r="F698" t="s">
        <v>108</v>
      </c>
      <c r="G698" t="s">
        <v>29</v>
      </c>
      <c r="H698">
        <v>18</v>
      </c>
      <c r="I698">
        <v>460.05</v>
      </c>
    </row>
    <row r="699" spans="1:9" x14ac:dyDescent="0.25">
      <c r="A699" s="5" t="str">
        <f>TrendSheetPrdData[[#This Row],[Population]]&amp;TrendSheetPrdData[[#This Row],[Cost Basis]]&amp;TrendSheetPrdData[[#This Row],[Period]]&amp;TrendSheetPrdData[[#This Row],[Trend]]</f>
        <v>EMPLOYEESPaid2016-01-01Inpatient Claim Count</v>
      </c>
      <c r="B699" t="s">
        <v>90</v>
      </c>
      <c r="C699" t="s">
        <v>90</v>
      </c>
      <c r="D699" t="s">
        <v>78</v>
      </c>
      <c r="E699" s="1" t="s">
        <v>92</v>
      </c>
      <c r="F699" t="s">
        <v>93</v>
      </c>
      <c r="G699" t="s">
        <v>30</v>
      </c>
      <c r="H699">
        <v>19</v>
      </c>
      <c r="I699">
        <v>425</v>
      </c>
    </row>
    <row r="700" spans="1:9" x14ac:dyDescent="0.25">
      <c r="A700" s="5" t="str">
        <f>TrendSheetPrdData[[#This Row],[Population]]&amp;TrendSheetPrdData[[#This Row],[Cost Basis]]&amp;TrendSheetPrdData[[#This Row],[Period]]&amp;TrendSheetPrdData[[#This Row],[Trend]]</f>
        <v>EMPLOYEESPaid2016-02-01Inpatient Claim Count</v>
      </c>
      <c r="B700" t="s">
        <v>90</v>
      </c>
      <c r="C700" t="s">
        <v>90</v>
      </c>
      <c r="D700" t="s">
        <v>78</v>
      </c>
      <c r="E700" s="1" t="s">
        <v>94</v>
      </c>
      <c r="F700" t="s">
        <v>93</v>
      </c>
      <c r="G700" t="s">
        <v>30</v>
      </c>
      <c r="H700">
        <v>19</v>
      </c>
      <c r="I700">
        <v>341</v>
      </c>
    </row>
    <row r="701" spans="1:9" x14ac:dyDescent="0.25">
      <c r="A701" s="5" t="str">
        <f>TrendSheetPrdData[[#This Row],[Population]]&amp;TrendSheetPrdData[[#This Row],[Cost Basis]]&amp;TrendSheetPrdData[[#This Row],[Period]]&amp;TrendSheetPrdData[[#This Row],[Trend]]</f>
        <v>EMPLOYEESPaid2016-03-01Inpatient Claim Count</v>
      </c>
      <c r="B701" t="s">
        <v>90</v>
      </c>
      <c r="C701" t="s">
        <v>90</v>
      </c>
      <c r="D701" t="s">
        <v>78</v>
      </c>
      <c r="E701" s="1" t="s">
        <v>95</v>
      </c>
      <c r="F701" t="s">
        <v>93</v>
      </c>
      <c r="G701" t="s">
        <v>30</v>
      </c>
      <c r="H701">
        <v>19</v>
      </c>
      <c r="I701">
        <v>234</v>
      </c>
    </row>
    <row r="702" spans="1:9" x14ac:dyDescent="0.25">
      <c r="A702" s="5" t="str">
        <f>TrendSheetPrdData[[#This Row],[Population]]&amp;TrendSheetPrdData[[#This Row],[Cost Basis]]&amp;TrendSheetPrdData[[#This Row],[Period]]&amp;TrendSheetPrdData[[#This Row],[Trend]]</f>
        <v>EMPLOYEESPaid2016-04-01Inpatient Claim Count</v>
      </c>
      <c r="B702" t="s">
        <v>90</v>
      </c>
      <c r="C702" t="s">
        <v>90</v>
      </c>
      <c r="D702" t="s">
        <v>78</v>
      </c>
      <c r="E702" s="1" t="s">
        <v>96</v>
      </c>
      <c r="F702" t="s">
        <v>93</v>
      </c>
      <c r="G702" t="s">
        <v>30</v>
      </c>
      <c r="H702">
        <v>19</v>
      </c>
      <c r="I702">
        <v>326</v>
      </c>
    </row>
    <row r="703" spans="1:9" x14ac:dyDescent="0.25">
      <c r="A703" s="5" t="str">
        <f>TrendSheetPrdData[[#This Row],[Population]]&amp;TrendSheetPrdData[[#This Row],[Cost Basis]]&amp;TrendSheetPrdData[[#This Row],[Period]]&amp;TrendSheetPrdData[[#This Row],[Trend]]</f>
        <v>EMPLOYEESPaid2016-05-01Inpatient Claim Count</v>
      </c>
      <c r="B703" t="s">
        <v>90</v>
      </c>
      <c r="C703" t="s">
        <v>90</v>
      </c>
      <c r="D703" t="s">
        <v>78</v>
      </c>
      <c r="E703" s="1" t="s">
        <v>97</v>
      </c>
      <c r="F703" t="s">
        <v>93</v>
      </c>
      <c r="G703" t="s">
        <v>30</v>
      </c>
      <c r="H703">
        <v>19</v>
      </c>
      <c r="I703">
        <v>343</v>
      </c>
    </row>
    <row r="704" spans="1:9" x14ac:dyDescent="0.25">
      <c r="A704" s="5" t="str">
        <f>TrendSheetPrdData[[#This Row],[Population]]&amp;TrendSheetPrdData[[#This Row],[Cost Basis]]&amp;TrendSheetPrdData[[#This Row],[Period]]&amp;TrendSheetPrdData[[#This Row],[Trend]]</f>
        <v>EMPLOYEESPaid2016-06-01Inpatient Claim Count</v>
      </c>
      <c r="B704" t="s">
        <v>90</v>
      </c>
      <c r="C704" t="s">
        <v>90</v>
      </c>
      <c r="D704" t="s">
        <v>78</v>
      </c>
      <c r="E704" s="1" t="s">
        <v>98</v>
      </c>
      <c r="F704" t="s">
        <v>93</v>
      </c>
      <c r="G704" t="s">
        <v>30</v>
      </c>
      <c r="H704">
        <v>19</v>
      </c>
      <c r="I704">
        <v>212</v>
      </c>
    </row>
    <row r="705" spans="1:9" x14ac:dyDescent="0.25">
      <c r="A705" s="5" t="str">
        <f>TrendSheetPrdData[[#This Row],[Population]]&amp;TrendSheetPrdData[[#This Row],[Cost Basis]]&amp;TrendSheetPrdData[[#This Row],[Period]]&amp;TrendSheetPrdData[[#This Row],[Trend]]</f>
        <v>EMPLOYEESPaid2016-07-01Inpatient Claim Count</v>
      </c>
      <c r="B705" t="s">
        <v>90</v>
      </c>
      <c r="C705" t="s">
        <v>90</v>
      </c>
      <c r="D705" t="s">
        <v>78</v>
      </c>
      <c r="E705" s="1" t="s">
        <v>99</v>
      </c>
      <c r="F705" t="s">
        <v>93</v>
      </c>
      <c r="G705" t="s">
        <v>30</v>
      </c>
      <c r="H705">
        <v>19</v>
      </c>
      <c r="I705">
        <v>423</v>
      </c>
    </row>
    <row r="706" spans="1:9" x14ac:dyDescent="0.25">
      <c r="A706" s="5" t="str">
        <f>TrendSheetPrdData[[#This Row],[Population]]&amp;TrendSheetPrdData[[#This Row],[Cost Basis]]&amp;TrendSheetPrdData[[#This Row],[Period]]&amp;TrendSheetPrdData[[#This Row],[Trend]]</f>
        <v>EMPLOYEESPaid2016-08-01Inpatient Claim Count</v>
      </c>
      <c r="B706" t="s">
        <v>90</v>
      </c>
      <c r="C706" t="s">
        <v>90</v>
      </c>
      <c r="D706" t="s">
        <v>78</v>
      </c>
      <c r="E706" s="1" t="s">
        <v>100</v>
      </c>
      <c r="F706" t="s">
        <v>93</v>
      </c>
      <c r="G706" t="s">
        <v>30</v>
      </c>
      <c r="H706">
        <v>19</v>
      </c>
      <c r="I706">
        <v>319</v>
      </c>
    </row>
    <row r="707" spans="1:9" x14ac:dyDescent="0.25">
      <c r="A707" s="5" t="str">
        <f>TrendSheetPrdData[[#This Row],[Population]]&amp;TrendSheetPrdData[[#This Row],[Cost Basis]]&amp;TrendSheetPrdData[[#This Row],[Period]]&amp;TrendSheetPrdData[[#This Row],[Trend]]</f>
        <v>EMPLOYEESPaid2016-09-01Inpatient Claim Count</v>
      </c>
      <c r="B707" t="s">
        <v>90</v>
      </c>
      <c r="C707" t="s">
        <v>90</v>
      </c>
      <c r="D707" t="s">
        <v>78</v>
      </c>
      <c r="E707" s="1" t="s">
        <v>101</v>
      </c>
      <c r="F707" t="s">
        <v>93</v>
      </c>
      <c r="G707" t="s">
        <v>30</v>
      </c>
      <c r="H707">
        <v>19</v>
      </c>
      <c r="I707">
        <v>317</v>
      </c>
    </row>
    <row r="708" spans="1:9" x14ac:dyDescent="0.25">
      <c r="A708" s="5" t="str">
        <f>TrendSheetPrdData[[#This Row],[Population]]&amp;TrendSheetPrdData[[#This Row],[Cost Basis]]&amp;TrendSheetPrdData[[#This Row],[Period]]&amp;TrendSheetPrdData[[#This Row],[Trend]]</f>
        <v>EMPLOYEESPaid2016-10-01Inpatient Claim Count</v>
      </c>
      <c r="B708" t="s">
        <v>90</v>
      </c>
      <c r="C708" t="s">
        <v>90</v>
      </c>
      <c r="D708" t="s">
        <v>78</v>
      </c>
      <c r="E708" s="1" t="s">
        <v>102</v>
      </c>
      <c r="F708" t="s">
        <v>93</v>
      </c>
      <c r="G708" t="s">
        <v>30</v>
      </c>
      <c r="H708">
        <v>19</v>
      </c>
      <c r="I708">
        <v>277</v>
      </c>
    </row>
    <row r="709" spans="1:9" x14ac:dyDescent="0.25">
      <c r="A709" s="5" t="str">
        <f>TrendSheetPrdData[[#This Row],[Population]]&amp;TrendSheetPrdData[[#This Row],[Cost Basis]]&amp;TrendSheetPrdData[[#This Row],[Period]]&amp;TrendSheetPrdData[[#This Row],[Trend]]</f>
        <v>EMPLOYEESPaid2016-11-01Inpatient Claim Count</v>
      </c>
      <c r="B709" t="s">
        <v>90</v>
      </c>
      <c r="C709" t="s">
        <v>90</v>
      </c>
      <c r="D709" t="s">
        <v>78</v>
      </c>
      <c r="E709" s="1" t="s">
        <v>103</v>
      </c>
      <c r="F709" t="s">
        <v>93</v>
      </c>
      <c r="G709" t="s">
        <v>30</v>
      </c>
      <c r="H709">
        <v>19</v>
      </c>
      <c r="I709">
        <v>194</v>
      </c>
    </row>
    <row r="710" spans="1:9" x14ac:dyDescent="0.25">
      <c r="A710" s="5" t="str">
        <f>TrendSheetPrdData[[#This Row],[Population]]&amp;TrendSheetPrdData[[#This Row],[Cost Basis]]&amp;TrendSheetPrdData[[#This Row],[Period]]&amp;TrendSheetPrdData[[#This Row],[Trend]]</f>
        <v>EMPLOYEESPaid2016-12-01Inpatient Claim Count</v>
      </c>
      <c r="B710" t="s">
        <v>90</v>
      </c>
      <c r="C710" t="s">
        <v>90</v>
      </c>
      <c r="D710" t="s">
        <v>78</v>
      </c>
      <c r="E710" s="1" t="s">
        <v>104</v>
      </c>
      <c r="F710" t="s">
        <v>93</v>
      </c>
      <c r="G710" t="s">
        <v>30</v>
      </c>
      <c r="H710">
        <v>19</v>
      </c>
      <c r="I710">
        <v>261</v>
      </c>
    </row>
    <row r="711" spans="1:9" x14ac:dyDescent="0.25">
      <c r="A711" s="5" t="str">
        <f>TrendSheetPrdData[[#This Row],[Population]]&amp;TrendSheetPrdData[[#This Row],[Cost Basis]]&amp;TrendSheetPrdData[[#This Row],[Period]]&amp;TrendSheetPrdData[[#This Row],[Trend]]</f>
        <v>EMPLOYEESPaid2017-01-01Inpatient Claim Count</v>
      </c>
      <c r="B711" t="s">
        <v>90</v>
      </c>
      <c r="C711" t="s">
        <v>90</v>
      </c>
      <c r="D711" t="s">
        <v>78</v>
      </c>
      <c r="E711" s="1" t="s">
        <v>105</v>
      </c>
      <c r="F711" t="s">
        <v>93</v>
      </c>
      <c r="G711" t="s">
        <v>30</v>
      </c>
      <c r="H711">
        <v>19</v>
      </c>
      <c r="I711">
        <v>206</v>
      </c>
    </row>
    <row r="712" spans="1:9" x14ac:dyDescent="0.25">
      <c r="A712" s="5" t="str">
        <f>TrendSheetPrdData[[#This Row],[Population]]&amp;TrendSheetPrdData[[#This Row],[Cost Basis]]&amp;TrendSheetPrdData[[#This Row],[Period]]&amp;TrendSheetPrdData[[#This Row],[Trend]]</f>
        <v>EMPLOYEESPaid2017-02-01Inpatient Claim Count</v>
      </c>
      <c r="B712" t="s">
        <v>90</v>
      </c>
      <c r="C712" t="s">
        <v>90</v>
      </c>
      <c r="D712" t="s">
        <v>78</v>
      </c>
      <c r="E712" s="1" t="s">
        <v>106</v>
      </c>
      <c r="F712" t="s">
        <v>93</v>
      </c>
      <c r="G712" t="s">
        <v>30</v>
      </c>
      <c r="H712">
        <v>19</v>
      </c>
      <c r="I712">
        <v>264</v>
      </c>
    </row>
    <row r="713" spans="1:9" x14ac:dyDescent="0.25">
      <c r="A713" s="5" t="str">
        <f>TrendSheetPrdData[[#This Row],[Population]]&amp;TrendSheetPrdData[[#This Row],[Cost Basis]]&amp;TrendSheetPrdData[[#This Row],[Period]]&amp;TrendSheetPrdData[[#This Row],[Trend]]</f>
        <v>EMPLOYEESPaid2017-03-01Inpatient Claim Count</v>
      </c>
      <c r="B713" t="s">
        <v>90</v>
      </c>
      <c r="C713" t="s">
        <v>90</v>
      </c>
      <c r="D713" t="s">
        <v>78</v>
      </c>
      <c r="E713" s="1" t="s">
        <v>107</v>
      </c>
      <c r="F713" t="s">
        <v>108</v>
      </c>
      <c r="G713" t="s">
        <v>30</v>
      </c>
      <c r="H713">
        <v>19</v>
      </c>
      <c r="I713">
        <v>257</v>
      </c>
    </row>
    <row r="714" spans="1:9" x14ac:dyDescent="0.25">
      <c r="A714" s="5" t="str">
        <f>TrendSheetPrdData[[#This Row],[Population]]&amp;TrendSheetPrdData[[#This Row],[Cost Basis]]&amp;TrendSheetPrdData[[#This Row],[Period]]&amp;TrendSheetPrdData[[#This Row],[Trend]]</f>
        <v>EMPLOYEESPaid2017-04-01Inpatient Claim Count</v>
      </c>
      <c r="B714" t="s">
        <v>90</v>
      </c>
      <c r="C714" t="s">
        <v>90</v>
      </c>
      <c r="D714" t="s">
        <v>78</v>
      </c>
      <c r="E714" s="1" t="s">
        <v>109</v>
      </c>
      <c r="F714" t="s">
        <v>108</v>
      </c>
      <c r="G714" t="s">
        <v>30</v>
      </c>
      <c r="H714">
        <v>19</v>
      </c>
      <c r="I714">
        <v>155</v>
      </c>
    </row>
    <row r="715" spans="1:9" x14ac:dyDescent="0.25">
      <c r="A715" s="5" t="str">
        <f>TrendSheetPrdData[[#This Row],[Population]]&amp;TrendSheetPrdData[[#This Row],[Cost Basis]]&amp;TrendSheetPrdData[[#This Row],[Period]]&amp;TrendSheetPrdData[[#This Row],[Trend]]</f>
        <v>EMPLOYEESPaid2017-05-01Inpatient Claim Count</v>
      </c>
      <c r="B715" t="s">
        <v>90</v>
      </c>
      <c r="C715" t="s">
        <v>90</v>
      </c>
      <c r="D715" t="s">
        <v>78</v>
      </c>
      <c r="E715" s="1" t="s">
        <v>110</v>
      </c>
      <c r="F715" t="s">
        <v>108</v>
      </c>
      <c r="G715" t="s">
        <v>30</v>
      </c>
      <c r="H715">
        <v>19</v>
      </c>
      <c r="I715">
        <v>133</v>
      </c>
    </row>
    <row r="716" spans="1:9" x14ac:dyDescent="0.25">
      <c r="A716" s="5" t="str">
        <f>TrendSheetPrdData[[#This Row],[Population]]&amp;TrendSheetPrdData[[#This Row],[Cost Basis]]&amp;TrendSheetPrdData[[#This Row],[Period]]&amp;TrendSheetPrdData[[#This Row],[Trend]]</f>
        <v>EMPLOYEESPaid2016-01-01Outpatient Claim Count</v>
      </c>
      <c r="B716" t="s">
        <v>90</v>
      </c>
      <c r="C716" t="s">
        <v>90</v>
      </c>
      <c r="D716" t="s">
        <v>78</v>
      </c>
      <c r="E716" s="1" t="s">
        <v>92</v>
      </c>
      <c r="F716" t="s">
        <v>93</v>
      </c>
      <c r="G716" t="s">
        <v>31</v>
      </c>
      <c r="H716">
        <v>20</v>
      </c>
      <c r="I716">
        <v>3984</v>
      </c>
    </row>
    <row r="717" spans="1:9" x14ac:dyDescent="0.25">
      <c r="A717" s="5" t="str">
        <f>TrendSheetPrdData[[#This Row],[Population]]&amp;TrendSheetPrdData[[#This Row],[Cost Basis]]&amp;TrendSheetPrdData[[#This Row],[Period]]&amp;TrendSheetPrdData[[#This Row],[Trend]]</f>
        <v>EMPLOYEESPaid2016-02-01Outpatient Claim Count</v>
      </c>
      <c r="B717" t="s">
        <v>90</v>
      </c>
      <c r="C717" t="s">
        <v>90</v>
      </c>
      <c r="D717" t="s">
        <v>78</v>
      </c>
      <c r="E717" s="1" t="s">
        <v>94</v>
      </c>
      <c r="F717" t="s">
        <v>93</v>
      </c>
      <c r="G717" t="s">
        <v>31</v>
      </c>
      <c r="H717">
        <v>20</v>
      </c>
      <c r="I717">
        <v>3674</v>
      </c>
    </row>
    <row r="718" spans="1:9" x14ac:dyDescent="0.25">
      <c r="A718" s="5" t="str">
        <f>TrendSheetPrdData[[#This Row],[Population]]&amp;TrendSheetPrdData[[#This Row],[Cost Basis]]&amp;TrendSheetPrdData[[#This Row],[Period]]&amp;TrendSheetPrdData[[#This Row],[Trend]]</f>
        <v>EMPLOYEESPaid2016-03-01Outpatient Claim Count</v>
      </c>
      <c r="B718" t="s">
        <v>90</v>
      </c>
      <c r="C718" t="s">
        <v>90</v>
      </c>
      <c r="D718" t="s">
        <v>78</v>
      </c>
      <c r="E718" s="1" t="s">
        <v>95</v>
      </c>
      <c r="F718" t="s">
        <v>93</v>
      </c>
      <c r="G718" t="s">
        <v>31</v>
      </c>
      <c r="H718">
        <v>20</v>
      </c>
      <c r="I718">
        <v>3747</v>
      </c>
    </row>
    <row r="719" spans="1:9" x14ac:dyDescent="0.25">
      <c r="A719" s="5" t="str">
        <f>TrendSheetPrdData[[#This Row],[Population]]&amp;TrendSheetPrdData[[#This Row],[Cost Basis]]&amp;TrendSheetPrdData[[#This Row],[Period]]&amp;TrendSheetPrdData[[#This Row],[Trend]]</f>
        <v>EMPLOYEESPaid2016-04-01Outpatient Claim Count</v>
      </c>
      <c r="B719" t="s">
        <v>90</v>
      </c>
      <c r="C719" t="s">
        <v>90</v>
      </c>
      <c r="D719" t="s">
        <v>78</v>
      </c>
      <c r="E719" s="1" t="s">
        <v>96</v>
      </c>
      <c r="F719" t="s">
        <v>93</v>
      </c>
      <c r="G719" t="s">
        <v>31</v>
      </c>
      <c r="H719">
        <v>20</v>
      </c>
      <c r="I719">
        <v>3976</v>
      </c>
    </row>
    <row r="720" spans="1:9" x14ac:dyDescent="0.25">
      <c r="A720" s="5" t="str">
        <f>TrendSheetPrdData[[#This Row],[Population]]&amp;TrendSheetPrdData[[#This Row],[Cost Basis]]&amp;TrendSheetPrdData[[#This Row],[Period]]&amp;TrendSheetPrdData[[#This Row],[Trend]]</f>
        <v>EMPLOYEESPaid2016-05-01Outpatient Claim Count</v>
      </c>
      <c r="B720" t="s">
        <v>90</v>
      </c>
      <c r="C720" t="s">
        <v>90</v>
      </c>
      <c r="D720" t="s">
        <v>78</v>
      </c>
      <c r="E720" s="1" t="s">
        <v>97</v>
      </c>
      <c r="F720" t="s">
        <v>93</v>
      </c>
      <c r="G720" t="s">
        <v>31</v>
      </c>
      <c r="H720">
        <v>20</v>
      </c>
      <c r="I720">
        <v>3343</v>
      </c>
    </row>
    <row r="721" spans="1:9" x14ac:dyDescent="0.25">
      <c r="A721" s="5" t="str">
        <f>TrendSheetPrdData[[#This Row],[Population]]&amp;TrendSheetPrdData[[#This Row],[Cost Basis]]&amp;TrendSheetPrdData[[#This Row],[Period]]&amp;TrendSheetPrdData[[#This Row],[Trend]]</f>
        <v>EMPLOYEESPaid2016-06-01Outpatient Claim Count</v>
      </c>
      <c r="B721" t="s">
        <v>90</v>
      </c>
      <c r="C721" t="s">
        <v>90</v>
      </c>
      <c r="D721" t="s">
        <v>78</v>
      </c>
      <c r="E721" s="1" t="s">
        <v>98</v>
      </c>
      <c r="F721" t="s">
        <v>93</v>
      </c>
      <c r="G721" t="s">
        <v>31</v>
      </c>
      <c r="H721">
        <v>20</v>
      </c>
      <c r="I721">
        <v>3510</v>
      </c>
    </row>
    <row r="722" spans="1:9" x14ac:dyDescent="0.25">
      <c r="A722" s="5" t="str">
        <f>TrendSheetPrdData[[#This Row],[Population]]&amp;TrendSheetPrdData[[#This Row],[Cost Basis]]&amp;TrendSheetPrdData[[#This Row],[Period]]&amp;TrendSheetPrdData[[#This Row],[Trend]]</f>
        <v>EMPLOYEESPaid2016-07-01Outpatient Claim Count</v>
      </c>
      <c r="B722" t="s">
        <v>90</v>
      </c>
      <c r="C722" t="s">
        <v>90</v>
      </c>
      <c r="D722" t="s">
        <v>78</v>
      </c>
      <c r="E722" s="1" t="s">
        <v>99</v>
      </c>
      <c r="F722" t="s">
        <v>93</v>
      </c>
      <c r="G722" t="s">
        <v>31</v>
      </c>
      <c r="H722">
        <v>20</v>
      </c>
      <c r="I722">
        <v>2866</v>
      </c>
    </row>
    <row r="723" spans="1:9" x14ac:dyDescent="0.25">
      <c r="A723" s="5" t="str">
        <f>TrendSheetPrdData[[#This Row],[Population]]&amp;TrendSheetPrdData[[#This Row],[Cost Basis]]&amp;TrendSheetPrdData[[#This Row],[Period]]&amp;TrendSheetPrdData[[#This Row],[Trend]]</f>
        <v>EMPLOYEESPaid2016-08-01Outpatient Claim Count</v>
      </c>
      <c r="B723" t="s">
        <v>90</v>
      </c>
      <c r="C723" t="s">
        <v>90</v>
      </c>
      <c r="D723" t="s">
        <v>78</v>
      </c>
      <c r="E723" s="1" t="s">
        <v>100</v>
      </c>
      <c r="F723" t="s">
        <v>93</v>
      </c>
      <c r="G723" t="s">
        <v>31</v>
      </c>
      <c r="H723">
        <v>20</v>
      </c>
      <c r="I723">
        <v>3160</v>
      </c>
    </row>
    <row r="724" spans="1:9" x14ac:dyDescent="0.25">
      <c r="A724" s="5" t="str">
        <f>TrendSheetPrdData[[#This Row],[Population]]&amp;TrendSheetPrdData[[#This Row],[Cost Basis]]&amp;TrendSheetPrdData[[#This Row],[Period]]&amp;TrendSheetPrdData[[#This Row],[Trend]]</f>
        <v>EMPLOYEESPaid2016-09-01Outpatient Claim Count</v>
      </c>
      <c r="B724" t="s">
        <v>90</v>
      </c>
      <c r="C724" t="s">
        <v>90</v>
      </c>
      <c r="D724" t="s">
        <v>78</v>
      </c>
      <c r="E724" s="1" t="s">
        <v>101</v>
      </c>
      <c r="F724" t="s">
        <v>93</v>
      </c>
      <c r="G724" t="s">
        <v>31</v>
      </c>
      <c r="H724">
        <v>20</v>
      </c>
      <c r="I724">
        <v>2983</v>
      </c>
    </row>
    <row r="725" spans="1:9" x14ac:dyDescent="0.25">
      <c r="A725" s="5" t="str">
        <f>TrendSheetPrdData[[#This Row],[Population]]&amp;TrendSheetPrdData[[#This Row],[Cost Basis]]&amp;TrendSheetPrdData[[#This Row],[Period]]&amp;TrendSheetPrdData[[#This Row],[Trend]]</f>
        <v>EMPLOYEESPaid2016-10-01Outpatient Claim Count</v>
      </c>
      <c r="B725" t="s">
        <v>90</v>
      </c>
      <c r="C725" t="s">
        <v>90</v>
      </c>
      <c r="D725" t="s">
        <v>78</v>
      </c>
      <c r="E725" s="1" t="s">
        <v>102</v>
      </c>
      <c r="F725" t="s">
        <v>93</v>
      </c>
      <c r="G725" t="s">
        <v>31</v>
      </c>
      <c r="H725">
        <v>20</v>
      </c>
      <c r="I725">
        <v>3085</v>
      </c>
    </row>
    <row r="726" spans="1:9" x14ac:dyDescent="0.25">
      <c r="A726" s="5" t="str">
        <f>TrendSheetPrdData[[#This Row],[Population]]&amp;TrendSheetPrdData[[#This Row],[Cost Basis]]&amp;TrendSheetPrdData[[#This Row],[Period]]&amp;TrendSheetPrdData[[#This Row],[Trend]]</f>
        <v>EMPLOYEESPaid2016-11-01Outpatient Claim Count</v>
      </c>
      <c r="B726" t="s">
        <v>90</v>
      </c>
      <c r="C726" t="s">
        <v>90</v>
      </c>
      <c r="D726" t="s">
        <v>78</v>
      </c>
      <c r="E726" s="1" t="s">
        <v>103</v>
      </c>
      <c r="F726" t="s">
        <v>93</v>
      </c>
      <c r="G726" t="s">
        <v>31</v>
      </c>
      <c r="H726">
        <v>20</v>
      </c>
      <c r="I726">
        <v>3212</v>
      </c>
    </row>
    <row r="727" spans="1:9" x14ac:dyDescent="0.25">
      <c r="A727" s="5" t="str">
        <f>TrendSheetPrdData[[#This Row],[Population]]&amp;TrendSheetPrdData[[#This Row],[Cost Basis]]&amp;TrendSheetPrdData[[#This Row],[Period]]&amp;TrendSheetPrdData[[#This Row],[Trend]]</f>
        <v>EMPLOYEESPaid2016-12-01Outpatient Claim Count</v>
      </c>
      <c r="B727" t="s">
        <v>90</v>
      </c>
      <c r="C727" t="s">
        <v>90</v>
      </c>
      <c r="D727" t="s">
        <v>78</v>
      </c>
      <c r="E727" s="1" t="s">
        <v>104</v>
      </c>
      <c r="F727" t="s">
        <v>93</v>
      </c>
      <c r="G727" t="s">
        <v>31</v>
      </c>
      <c r="H727">
        <v>20</v>
      </c>
      <c r="I727">
        <v>3042</v>
      </c>
    </row>
    <row r="728" spans="1:9" x14ac:dyDescent="0.25">
      <c r="A728" s="5" t="str">
        <f>TrendSheetPrdData[[#This Row],[Population]]&amp;TrendSheetPrdData[[#This Row],[Cost Basis]]&amp;TrendSheetPrdData[[#This Row],[Period]]&amp;TrendSheetPrdData[[#This Row],[Trend]]</f>
        <v>EMPLOYEESPaid2017-01-01Outpatient Claim Count</v>
      </c>
      <c r="B728" t="s">
        <v>90</v>
      </c>
      <c r="C728" t="s">
        <v>90</v>
      </c>
      <c r="D728" t="s">
        <v>78</v>
      </c>
      <c r="E728" s="1" t="s">
        <v>105</v>
      </c>
      <c r="F728" t="s">
        <v>93</v>
      </c>
      <c r="G728" t="s">
        <v>31</v>
      </c>
      <c r="H728">
        <v>20</v>
      </c>
      <c r="I728">
        <v>3456</v>
      </c>
    </row>
    <row r="729" spans="1:9" x14ac:dyDescent="0.25">
      <c r="A729" s="5" t="str">
        <f>TrendSheetPrdData[[#This Row],[Population]]&amp;TrendSheetPrdData[[#This Row],[Cost Basis]]&amp;TrendSheetPrdData[[#This Row],[Period]]&amp;TrendSheetPrdData[[#This Row],[Trend]]</f>
        <v>EMPLOYEESPaid2017-02-01Outpatient Claim Count</v>
      </c>
      <c r="B729" t="s">
        <v>90</v>
      </c>
      <c r="C729" t="s">
        <v>90</v>
      </c>
      <c r="D729" t="s">
        <v>78</v>
      </c>
      <c r="E729" s="1" t="s">
        <v>106</v>
      </c>
      <c r="F729" t="s">
        <v>93</v>
      </c>
      <c r="G729" t="s">
        <v>31</v>
      </c>
      <c r="H729">
        <v>20</v>
      </c>
      <c r="I729">
        <v>3184</v>
      </c>
    </row>
    <row r="730" spans="1:9" x14ac:dyDescent="0.25">
      <c r="A730" s="5" t="str">
        <f>TrendSheetPrdData[[#This Row],[Population]]&amp;TrendSheetPrdData[[#This Row],[Cost Basis]]&amp;TrendSheetPrdData[[#This Row],[Period]]&amp;TrendSheetPrdData[[#This Row],[Trend]]</f>
        <v>EMPLOYEESPaid2017-03-01Outpatient Claim Count</v>
      </c>
      <c r="B730" t="s">
        <v>90</v>
      </c>
      <c r="C730" t="s">
        <v>90</v>
      </c>
      <c r="D730" t="s">
        <v>78</v>
      </c>
      <c r="E730" s="1" t="s">
        <v>107</v>
      </c>
      <c r="F730" t="s">
        <v>108</v>
      </c>
      <c r="G730" t="s">
        <v>31</v>
      </c>
      <c r="H730">
        <v>20</v>
      </c>
      <c r="I730">
        <v>3451</v>
      </c>
    </row>
    <row r="731" spans="1:9" x14ac:dyDescent="0.25">
      <c r="A731" s="5" t="str">
        <f>TrendSheetPrdData[[#This Row],[Population]]&amp;TrendSheetPrdData[[#This Row],[Cost Basis]]&amp;TrendSheetPrdData[[#This Row],[Period]]&amp;TrendSheetPrdData[[#This Row],[Trend]]</f>
        <v>EMPLOYEESPaid2017-04-01Outpatient Claim Count</v>
      </c>
      <c r="B731" t="s">
        <v>90</v>
      </c>
      <c r="C731" t="s">
        <v>90</v>
      </c>
      <c r="D731" t="s">
        <v>78</v>
      </c>
      <c r="E731" s="1" t="s">
        <v>109</v>
      </c>
      <c r="F731" t="s">
        <v>108</v>
      </c>
      <c r="G731" t="s">
        <v>31</v>
      </c>
      <c r="H731">
        <v>20</v>
      </c>
      <c r="I731">
        <v>2689</v>
      </c>
    </row>
    <row r="732" spans="1:9" x14ac:dyDescent="0.25">
      <c r="A732" s="5" t="str">
        <f>TrendSheetPrdData[[#This Row],[Population]]&amp;TrendSheetPrdData[[#This Row],[Cost Basis]]&amp;TrendSheetPrdData[[#This Row],[Period]]&amp;TrendSheetPrdData[[#This Row],[Trend]]</f>
        <v>EMPLOYEESPaid2017-05-01Outpatient Claim Count</v>
      </c>
      <c r="B732" t="s">
        <v>90</v>
      </c>
      <c r="C732" t="s">
        <v>90</v>
      </c>
      <c r="D732" t="s">
        <v>78</v>
      </c>
      <c r="E732" s="1" t="s">
        <v>110</v>
      </c>
      <c r="F732" t="s">
        <v>108</v>
      </c>
      <c r="G732" t="s">
        <v>31</v>
      </c>
      <c r="H732">
        <v>20</v>
      </c>
      <c r="I732">
        <v>1823</v>
      </c>
    </row>
    <row r="733" spans="1:9" x14ac:dyDescent="0.25">
      <c r="A733" s="5" t="str">
        <f>TrendSheetPrdData[[#This Row],[Population]]&amp;TrendSheetPrdData[[#This Row],[Cost Basis]]&amp;TrendSheetPrdData[[#This Row],[Period]]&amp;TrendSheetPrdData[[#This Row],[Trend]]</f>
        <v>EMPLOYEESPaid2016-01-01Professional Claim Count</v>
      </c>
      <c r="B733" t="s">
        <v>90</v>
      </c>
      <c r="C733" t="s">
        <v>90</v>
      </c>
      <c r="D733" t="s">
        <v>78</v>
      </c>
      <c r="E733" s="1" t="s">
        <v>92</v>
      </c>
      <c r="F733" t="s">
        <v>93</v>
      </c>
      <c r="G733" t="s">
        <v>32</v>
      </c>
      <c r="H733">
        <v>21</v>
      </c>
      <c r="I733">
        <v>3024</v>
      </c>
    </row>
    <row r="734" spans="1:9" x14ac:dyDescent="0.25">
      <c r="A734" s="5" t="str">
        <f>TrendSheetPrdData[[#This Row],[Population]]&amp;TrendSheetPrdData[[#This Row],[Cost Basis]]&amp;TrendSheetPrdData[[#This Row],[Period]]&amp;TrendSheetPrdData[[#This Row],[Trend]]</f>
        <v>EMPLOYEESPaid2016-02-01Professional Claim Count</v>
      </c>
      <c r="B734" t="s">
        <v>90</v>
      </c>
      <c r="C734" t="s">
        <v>90</v>
      </c>
      <c r="D734" t="s">
        <v>78</v>
      </c>
      <c r="E734" s="1" t="s">
        <v>94</v>
      </c>
      <c r="F734" t="s">
        <v>93</v>
      </c>
      <c r="G734" t="s">
        <v>32</v>
      </c>
      <c r="H734">
        <v>21</v>
      </c>
      <c r="I734">
        <v>3401</v>
      </c>
    </row>
    <row r="735" spans="1:9" x14ac:dyDescent="0.25">
      <c r="A735" s="5" t="str">
        <f>TrendSheetPrdData[[#This Row],[Population]]&amp;TrendSheetPrdData[[#This Row],[Cost Basis]]&amp;TrendSheetPrdData[[#This Row],[Period]]&amp;TrendSheetPrdData[[#This Row],[Trend]]</f>
        <v>EMPLOYEESPaid2016-03-01Professional Claim Count</v>
      </c>
      <c r="B735" t="s">
        <v>90</v>
      </c>
      <c r="C735" t="s">
        <v>90</v>
      </c>
      <c r="D735" t="s">
        <v>78</v>
      </c>
      <c r="E735" s="1" t="s">
        <v>95</v>
      </c>
      <c r="F735" t="s">
        <v>93</v>
      </c>
      <c r="G735" t="s">
        <v>32</v>
      </c>
      <c r="H735">
        <v>21</v>
      </c>
      <c r="I735">
        <v>3547</v>
      </c>
    </row>
    <row r="736" spans="1:9" x14ac:dyDescent="0.25">
      <c r="A736" s="5" t="str">
        <f>TrendSheetPrdData[[#This Row],[Population]]&amp;TrendSheetPrdData[[#This Row],[Cost Basis]]&amp;TrendSheetPrdData[[#This Row],[Period]]&amp;TrendSheetPrdData[[#This Row],[Trend]]</f>
        <v>EMPLOYEESPaid2016-04-01Professional Claim Count</v>
      </c>
      <c r="B736" t="s">
        <v>90</v>
      </c>
      <c r="C736" t="s">
        <v>90</v>
      </c>
      <c r="D736" t="s">
        <v>78</v>
      </c>
      <c r="E736" s="1" t="s">
        <v>96</v>
      </c>
      <c r="F736" t="s">
        <v>93</v>
      </c>
      <c r="G736" t="s">
        <v>32</v>
      </c>
      <c r="H736">
        <v>21</v>
      </c>
      <c r="I736">
        <v>3018</v>
      </c>
    </row>
    <row r="737" spans="1:9" x14ac:dyDescent="0.25">
      <c r="A737" s="5" t="str">
        <f>TrendSheetPrdData[[#This Row],[Population]]&amp;TrendSheetPrdData[[#This Row],[Cost Basis]]&amp;TrendSheetPrdData[[#This Row],[Period]]&amp;TrendSheetPrdData[[#This Row],[Trend]]</f>
        <v>EMPLOYEESPaid2016-05-01Professional Claim Count</v>
      </c>
      <c r="B737" t="s">
        <v>90</v>
      </c>
      <c r="C737" t="s">
        <v>90</v>
      </c>
      <c r="D737" t="s">
        <v>78</v>
      </c>
      <c r="E737" s="1" t="s">
        <v>97</v>
      </c>
      <c r="F737" t="s">
        <v>93</v>
      </c>
      <c r="G737" t="s">
        <v>32</v>
      </c>
      <c r="H737">
        <v>21</v>
      </c>
      <c r="I737">
        <v>2932</v>
      </c>
    </row>
    <row r="738" spans="1:9" x14ac:dyDescent="0.25">
      <c r="A738" s="5" t="str">
        <f>TrendSheetPrdData[[#This Row],[Population]]&amp;TrendSheetPrdData[[#This Row],[Cost Basis]]&amp;TrendSheetPrdData[[#This Row],[Period]]&amp;TrendSheetPrdData[[#This Row],[Trend]]</f>
        <v>EMPLOYEESPaid2016-06-01Professional Claim Count</v>
      </c>
      <c r="B738" t="s">
        <v>90</v>
      </c>
      <c r="C738" t="s">
        <v>90</v>
      </c>
      <c r="D738" t="s">
        <v>78</v>
      </c>
      <c r="E738" s="1" t="s">
        <v>98</v>
      </c>
      <c r="F738" t="s">
        <v>93</v>
      </c>
      <c r="G738" t="s">
        <v>32</v>
      </c>
      <c r="H738">
        <v>21</v>
      </c>
      <c r="I738">
        <v>2635</v>
      </c>
    </row>
    <row r="739" spans="1:9" x14ac:dyDescent="0.25">
      <c r="A739" s="5" t="str">
        <f>TrendSheetPrdData[[#This Row],[Population]]&amp;TrendSheetPrdData[[#This Row],[Cost Basis]]&amp;TrendSheetPrdData[[#This Row],[Period]]&amp;TrendSheetPrdData[[#This Row],[Trend]]</f>
        <v>EMPLOYEESPaid2016-07-01Professional Claim Count</v>
      </c>
      <c r="B739" t="s">
        <v>90</v>
      </c>
      <c r="C739" t="s">
        <v>90</v>
      </c>
      <c r="D739" t="s">
        <v>78</v>
      </c>
      <c r="E739" s="1" t="s">
        <v>99</v>
      </c>
      <c r="F739" t="s">
        <v>93</v>
      </c>
      <c r="G739" t="s">
        <v>32</v>
      </c>
      <c r="H739">
        <v>21</v>
      </c>
      <c r="I739">
        <v>2709</v>
      </c>
    </row>
    <row r="740" spans="1:9" x14ac:dyDescent="0.25">
      <c r="A740" s="5" t="str">
        <f>TrendSheetPrdData[[#This Row],[Population]]&amp;TrendSheetPrdData[[#This Row],[Cost Basis]]&amp;TrendSheetPrdData[[#This Row],[Period]]&amp;TrendSheetPrdData[[#This Row],[Trend]]</f>
        <v>EMPLOYEESPaid2016-08-01Professional Claim Count</v>
      </c>
      <c r="B740" t="s">
        <v>90</v>
      </c>
      <c r="C740" t="s">
        <v>90</v>
      </c>
      <c r="D740" t="s">
        <v>78</v>
      </c>
      <c r="E740" s="1" t="s">
        <v>100</v>
      </c>
      <c r="F740" t="s">
        <v>93</v>
      </c>
      <c r="G740" t="s">
        <v>32</v>
      </c>
      <c r="H740">
        <v>21</v>
      </c>
      <c r="I740">
        <v>3042</v>
      </c>
    </row>
    <row r="741" spans="1:9" x14ac:dyDescent="0.25">
      <c r="A741" s="5" t="str">
        <f>TrendSheetPrdData[[#This Row],[Population]]&amp;TrendSheetPrdData[[#This Row],[Cost Basis]]&amp;TrendSheetPrdData[[#This Row],[Period]]&amp;TrendSheetPrdData[[#This Row],[Trend]]</f>
        <v>EMPLOYEESPaid2016-09-01Professional Claim Count</v>
      </c>
      <c r="B741" t="s">
        <v>90</v>
      </c>
      <c r="C741" t="s">
        <v>90</v>
      </c>
      <c r="D741" t="s">
        <v>78</v>
      </c>
      <c r="E741" s="1" t="s">
        <v>101</v>
      </c>
      <c r="F741" t="s">
        <v>93</v>
      </c>
      <c r="G741" t="s">
        <v>32</v>
      </c>
      <c r="H741">
        <v>21</v>
      </c>
      <c r="I741">
        <v>2556</v>
      </c>
    </row>
    <row r="742" spans="1:9" x14ac:dyDescent="0.25">
      <c r="A742" s="5" t="str">
        <f>TrendSheetPrdData[[#This Row],[Population]]&amp;TrendSheetPrdData[[#This Row],[Cost Basis]]&amp;TrendSheetPrdData[[#This Row],[Period]]&amp;TrendSheetPrdData[[#This Row],[Trend]]</f>
        <v>EMPLOYEESPaid2016-10-01Professional Claim Count</v>
      </c>
      <c r="B742" t="s">
        <v>90</v>
      </c>
      <c r="C742" t="s">
        <v>90</v>
      </c>
      <c r="D742" t="s">
        <v>78</v>
      </c>
      <c r="E742" s="1" t="s">
        <v>102</v>
      </c>
      <c r="F742" t="s">
        <v>93</v>
      </c>
      <c r="G742" t="s">
        <v>32</v>
      </c>
      <c r="H742">
        <v>21</v>
      </c>
      <c r="I742">
        <v>2929</v>
      </c>
    </row>
    <row r="743" spans="1:9" x14ac:dyDescent="0.25">
      <c r="A743" s="5" t="str">
        <f>TrendSheetPrdData[[#This Row],[Population]]&amp;TrendSheetPrdData[[#This Row],[Cost Basis]]&amp;TrendSheetPrdData[[#This Row],[Period]]&amp;TrendSheetPrdData[[#This Row],[Trend]]</f>
        <v>EMPLOYEESPaid2016-11-01Professional Claim Count</v>
      </c>
      <c r="B743" t="s">
        <v>90</v>
      </c>
      <c r="C743" t="s">
        <v>90</v>
      </c>
      <c r="D743" t="s">
        <v>78</v>
      </c>
      <c r="E743" s="1" t="s">
        <v>103</v>
      </c>
      <c r="F743" t="s">
        <v>93</v>
      </c>
      <c r="G743" t="s">
        <v>32</v>
      </c>
      <c r="H743">
        <v>21</v>
      </c>
      <c r="I743">
        <v>2510</v>
      </c>
    </row>
    <row r="744" spans="1:9" x14ac:dyDescent="0.25">
      <c r="A744" s="5" t="str">
        <f>TrendSheetPrdData[[#This Row],[Population]]&amp;TrendSheetPrdData[[#This Row],[Cost Basis]]&amp;TrendSheetPrdData[[#This Row],[Period]]&amp;TrendSheetPrdData[[#This Row],[Trend]]</f>
        <v>EMPLOYEESPaid2016-12-01Professional Claim Count</v>
      </c>
      <c r="B744" t="s">
        <v>90</v>
      </c>
      <c r="C744" t="s">
        <v>90</v>
      </c>
      <c r="D744" t="s">
        <v>78</v>
      </c>
      <c r="E744" s="1" t="s">
        <v>104</v>
      </c>
      <c r="F744" t="s">
        <v>93</v>
      </c>
      <c r="G744" t="s">
        <v>32</v>
      </c>
      <c r="H744">
        <v>21</v>
      </c>
      <c r="I744">
        <v>2705</v>
      </c>
    </row>
    <row r="745" spans="1:9" x14ac:dyDescent="0.25">
      <c r="A745" s="5" t="str">
        <f>TrendSheetPrdData[[#This Row],[Population]]&amp;TrendSheetPrdData[[#This Row],[Cost Basis]]&amp;TrendSheetPrdData[[#This Row],[Period]]&amp;TrendSheetPrdData[[#This Row],[Trend]]</f>
        <v>EMPLOYEESPaid2017-01-01Professional Claim Count</v>
      </c>
      <c r="B745" t="s">
        <v>90</v>
      </c>
      <c r="C745" t="s">
        <v>90</v>
      </c>
      <c r="D745" t="s">
        <v>78</v>
      </c>
      <c r="E745" s="1" t="s">
        <v>105</v>
      </c>
      <c r="F745" t="s">
        <v>93</v>
      </c>
      <c r="G745" t="s">
        <v>32</v>
      </c>
      <c r="H745">
        <v>21</v>
      </c>
      <c r="I745">
        <v>2841</v>
      </c>
    </row>
    <row r="746" spans="1:9" x14ac:dyDescent="0.25">
      <c r="A746" s="5" t="str">
        <f>TrendSheetPrdData[[#This Row],[Population]]&amp;TrendSheetPrdData[[#This Row],[Cost Basis]]&amp;TrendSheetPrdData[[#This Row],[Period]]&amp;TrendSheetPrdData[[#This Row],[Trend]]</f>
        <v>EMPLOYEESPaid2017-02-01Professional Claim Count</v>
      </c>
      <c r="B746" t="s">
        <v>90</v>
      </c>
      <c r="C746" t="s">
        <v>90</v>
      </c>
      <c r="D746" t="s">
        <v>78</v>
      </c>
      <c r="E746" s="1" t="s">
        <v>106</v>
      </c>
      <c r="F746" t="s">
        <v>93</v>
      </c>
      <c r="G746" t="s">
        <v>32</v>
      </c>
      <c r="H746">
        <v>21</v>
      </c>
      <c r="I746">
        <v>2545</v>
      </c>
    </row>
    <row r="747" spans="1:9" x14ac:dyDescent="0.25">
      <c r="A747" s="5" t="str">
        <f>TrendSheetPrdData[[#This Row],[Population]]&amp;TrendSheetPrdData[[#This Row],[Cost Basis]]&amp;TrendSheetPrdData[[#This Row],[Period]]&amp;TrendSheetPrdData[[#This Row],[Trend]]</f>
        <v>EMPLOYEESPaid2017-03-01Professional Claim Count</v>
      </c>
      <c r="B747" t="s">
        <v>90</v>
      </c>
      <c r="C747" t="s">
        <v>90</v>
      </c>
      <c r="D747" t="s">
        <v>78</v>
      </c>
      <c r="E747" s="1" t="s">
        <v>107</v>
      </c>
      <c r="F747" t="s">
        <v>108</v>
      </c>
      <c r="G747" t="s">
        <v>32</v>
      </c>
      <c r="H747">
        <v>21</v>
      </c>
      <c r="I747">
        <v>2795</v>
      </c>
    </row>
    <row r="748" spans="1:9" x14ac:dyDescent="0.25">
      <c r="A748" s="5" t="str">
        <f>TrendSheetPrdData[[#This Row],[Population]]&amp;TrendSheetPrdData[[#This Row],[Cost Basis]]&amp;TrendSheetPrdData[[#This Row],[Period]]&amp;TrendSheetPrdData[[#This Row],[Trend]]</f>
        <v>EMPLOYEESPaid2017-04-01Professional Claim Count</v>
      </c>
      <c r="B748" t="s">
        <v>90</v>
      </c>
      <c r="C748" t="s">
        <v>90</v>
      </c>
      <c r="D748" t="s">
        <v>78</v>
      </c>
      <c r="E748" s="1" t="s">
        <v>109</v>
      </c>
      <c r="F748" t="s">
        <v>108</v>
      </c>
      <c r="G748" t="s">
        <v>32</v>
      </c>
      <c r="H748">
        <v>21</v>
      </c>
      <c r="I748">
        <v>2372</v>
      </c>
    </row>
    <row r="749" spans="1:9" x14ac:dyDescent="0.25">
      <c r="A749" s="5" t="str">
        <f>TrendSheetPrdData[[#This Row],[Population]]&amp;TrendSheetPrdData[[#This Row],[Cost Basis]]&amp;TrendSheetPrdData[[#This Row],[Period]]&amp;TrendSheetPrdData[[#This Row],[Trend]]</f>
        <v>EMPLOYEESPaid2017-05-01Professional Claim Count</v>
      </c>
      <c r="B749" t="s">
        <v>90</v>
      </c>
      <c r="C749" t="s">
        <v>90</v>
      </c>
      <c r="D749" t="s">
        <v>78</v>
      </c>
      <c r="E749" s="1" t="s">
        <v>110</v>
      </c>
      <c r="F749" t="s">
        <v>108</v>
      </c>
      <c r="G749" t="s">
        <v>32</v>
      </c>
      <c r="H749">
        <v>21</v>
      </c>
      <c r="I749">
        <v>1938</v>
      </c>
    </row>
    <row r="750" spans="1:9" x14ac:dyDescent="0.25">
      <c r="A750" s="5" t="str">
        <f>TrendSheetPrdData[[#This Row],[Population]]&amp;TrendSheetPrdData[[#This Row],[Cost Basis]]&amp;TrendSheetPrdData[[#This Row],[Period]]&amp;TrendSheetPrdData[[#This Row],[Trend]]</f>
        <v>EMPLOYEESPaid2016-01-01Ancillary Claim Count</v>
      </c>
      <c r="B750" t="s">
        <v>90</v>
      </c>
      <c r="C750" t="s">
        <v>90</v>
      </c>
      <c r="D750" t="s">
        <v>78</v>
      </c>
      <c r="E750" s="1" t="s">
        <v>92</v>
      </c>
      <c r="F750" t="s">
        <v>93</v>
      </c>
      <c r="G750" t="s">
        <v>33</v>
      </c>
      <c r="H750">
        <v>22</v>
      </c>
      <c r="I750">
        <v>76</v>
      </c>
    </row>
    <row r="751" spans="1:9" x14ac:dyDescent="0.25">
      <c r="A751" s="5" t="str">
        <f>TrendSheetPrdData[[#This Row],[Population]]&amp;TrendSheetPrdData[[#This Row],[Cost Basis]]&amp;TrendSheetPrdData[[#This Row],[Period]]&amp;TrendSheetPrdData[[#This Row],[Trend]]</f>
        <v>EMPLOYEESPaid2016-02-01Ancillary Claim Count</v>
      </c>
      <c r="B751" t="s">
        <v>90</v>
      </c>
      <c r="C751" t="s">
        <v>90</v>
      </c>
      <c r="D751" t="s">
        <v>78</v>
      </c>
      <c r="E751" s="1" t="s">
        <v>94</v>
      </c>
      <c r="F751" t="s">
        <v>93</v>
      </c>
      <c r="G751" t="s">
        <v>33</v>
      </c>
      <c r="H751">
        <v>22</v>
      </c>
      <c r="I751">
        <v>84</v>
      </c>
    </row>
    <row r="752" spans="1:9" x14ac:dyDescent="0.25">
      <c r="A752" s="5" t="str">
        <f>TrendSheetPrdData[[#This Row],[Population]]&amp;TrendSheetPrdData[[#This Row],[Cost Basis]]&amp;TrendSheetPrdData[[#This Row],[Period]]&amp;TrendSheetPrdData[[#This Row],[Trend]]</f>
        <v>EMPLOYEESPaid2016-03-01Ancillary Claim Count</v>
      </c>
      <c r="B752" t="s">
        <v>90</v>
      </c>
      <c r="C752" t="s">
        <v>90</v>
      </c>
      <c r="D752" t="s">
        <v>78</v>
      </c>
      <c r="E752" s="1" t="s">
        <v>95</v>
      </c>
      <c r="F752" t="s">
        <v>93</v>
      </c>
      <c r="G752" t="s">
        <v>33</v>
      </c>
      <c r="H752">
        <v>22</v>
      </c>
      <c r="I752">
        <v>127</v>
      </c>
    </row>
    <row r="753" spans="1:9" x14ac:dyDescent="0.25">
      <c r="A753" s="5" t="str">
        <f>TrendSheetPrdData[[#This Row],[Population]]&amp;TrendSheetPrdData[[#This Row],[Cost Basis]]&amp;TrendSheetPrdData[[#This Row],[Period]]&amp;TrendSheetPrdData[[#This Row],[Trend]]</f>
        <v>EMPLOYEESPaid2016-04-01Ancillary Claim Count</v>
      </c>
      <c r="B753" t="s">
        <v>90</v>
      </c>
      <c r="C753" t="s">
        <v>90</v>
      </c>
      <c r="D753" t="s">
        <v>78</v>
      </c>
      <c r="E753" s="1" t="s">
        <v>96</v>
      </c>
      <c r="F753" t="s">
        <v>93</v>
      </c>
      <c r="G753" t="s">
        <v>33</v>
      </c>
      <c r="H753">
        <v>22</v>
      </c>
      <c r="I753">
        <v>111</v>
      </c>
    </row>
    <row r="754" spans="1:9" x14ac:dyDescent="0.25">
      <c r="A754" s="5" t="str">
        <f>TrendSheetPrdData[[#This Row],[Population]]&amp;TrendSheetPrdData[[#This Row],[Cost Basis]]&amp;TrendSheetPrdData[[#This Row],[Period]]&amp;TrendSheetPrdData[[#This Row],[Trend]]</f>
        <v>EMPLOYEESPaid2016-05-01Ancillary Claim Count</v>
      </c>
      <c r="B754" t="s">
        <v>90</v>
      </c>
      <c r="C754" t="s">
        <v>90</v>
      </c>
      <c r="D754" t="s">
        <v>78</v>
      </c>
      <c r="E754" s="1" t="s">
        <v>97</v>
      </c>
      <c r="F754" t="s">
        <v>93</v>
      </c>
      <c r="G754" t="s">
        <v>33</v>
      </c>
      <c r="H754">
        <v>22</v>
      </c>
      <c r="I754">
        <v>119</v>
      </c>
    </row>
    <row r="755" spans="1:9" x14ac:dyDescent="0.25">
      <c r="A755" s="5" t="str">
        <f>TrendSheetPrdData[[#This Row],[Population]]&amp;TrendSheetPrdData[[#This Row],[Cost Basis]]&amp;TrendSheetPrdData[[#This Row],[Period]]&amp;TrendSheetPrdData[[#This Row],[Trend]]</f>
        <v>EMPLOYEESPaid2016-06-01Ancillary Claim Count</v>
      </c>
      <c r="B755" t="s">
        <v>90</v>
      </c>
      <c r="C755" t="s">
        <v>90</v>
      </c>
      <c r="D755" t="s">
        <v>78</v>
      </c>
      <c r="E755" s="1" t="s">
        <v>98</v>
      </c>
      <c r="F755" t="s">
        <v>93</v>
      </c>
      <c r="G755" t="s">
        <v>33</v>
      </c>
      <c r="H755">
        <v>22</v>
      </c>
      <c r="I755">
        <v>140</v>
      </c>
    </row>
    <row r="756" spans="1:9" x14ac:dyDescent="0.25">
      <c r="A756" s="5" t="str">
        <f>TrendSheetPrdData[[#This Row],[Population]]&amp;TrendSheetPrdData[[#This Row],[Cost Basis]]&amp;TrendSheetPrdData[[#This Row],[Period]]&amp;TrendSheetPrdData[[#This Row],[Trend]]</f>
        <v>EMPLOYEESPaid2016-07-01Ancillary Claim Count</v>
      </c>
      <c r="B756" t="s">
        <v>90</v>
      </c>
      <c r="C756" t="s">
        <v>90</v>
      </c>
      <c r="D756" t="s">
        <v>78</v>
      </c>
      <c r="E756" s="1" t="s">
        <v>99</v>
      </c>
      <c r="F756" t="s">
        <v>93</v>
      </c>
      <c r="G756" t="s">
        <v>33</v>
      </c>
      <c r="H756">
        <v>22</v>
      </c>
      <c r="I756">
        <v>87</v>
      </c>
    </row>
    <row r="757" spans="1:9" x14ac:dyDescent="0.25">
      <c r="A757" s="5" t="str">
        <f>TrendSheetPrdData[[#This Row],[Population]]&amp;TrendSheetPrdData[[#This Row],[Cost Basis]]&amp;TrendSheetPrdData[[#This Row],[Period]]&amp;TrendSheetPrdData[[#This Row],[Trend]]</f>
        <v>EMPLOYEESPaid2016-08-01Ancillary Claim Count</v>
      </c>
      <c r="B757" t="s">
        <v>90</v>
      </c>
      <c r="C757" t="s">
        <v>90</v>
      </c>
      <c r="D757" t="s">
        <v>78</v>
      </c>
      <c r="E757" s="1" t="s">
        <v>100</v>
      </c>
      <c r="F757" t="s">
        <v>93</v>
      </c>
      <c r="G757" t="s">
        <v>33</v>
      </c>
      <c r="H757">
        <v>22</v>
      </c>
      <c r="I757">
        <v>123</v>
      </c>
    </row>
    <row r="758" spans="1:9" x14ac:dyDescent="0.25">
      <c r="A758" s="5" t="str">
        <f>TrendSheetPrdData[[#This Row],[Population]]&amp;TrendSheetPrdData[[#This Row],[Cost Basis]]&amp;TrendSheetPrdData[[#This Row],[Period]]&amp;TrendSheetPrdData[[#This Row],[Trend]]</f>
        <v>EMPLOYEESPaid2016-09-01Ancillary Claim Count</v>
      </c>
      <c r="B758" t="s">
        <v>90</v>
      </c>
      <c r="C758" t="s">
        <v>90</v>
      </c>
      <c r="D758" t="s">
        <v>78</v>
      </c>
      <c r="E758" s="1" t="s">
        <v>101</v>
      </c>
      <c r="F758" t="s">
        <v>93</v>
      </c>
      <c r="G758" t="s">
        <v>33</v>
      </c>
      <c r="H758">
        <v>22</v>
      </c>
      <c r="I758">
        <v>128</v>
      </c>
    </row>
    <row r="759" spans="1:9" x14ac:dyDescent="0.25">
      <c r="A759" s="5" t="str">
        <f>TrendSheetPrdData[[#This Row],[Population]]&amp;TrendSheetPrdData[[#This Row],[Cost Basis]]&amp;TrendSheetPrdData[[#This Row],[Period]]&amp;TrendSheetPrdData[[#This Row],[Trend]]</f>
        <v>EMPLOYEESPaid2016-10-01Ancillary Claim Count</v>
      </c>
      <c r="B759" t="s">
        <v>90</v>
      </c>
      <c r="C759" t="s">
        <v>90</v>
      </c>
      <c r="D759" t="s">
        <v>78</v>
      </c>
      <c r="E759" s="1" t="s">
        <v>102</v>
      </c>
      <c r="F759" t="s">
        <v>93</v>
      </c>
      <c r="G759" t="s">
        <v>33</v>
      </c>
      <c r="H759">
        <v>22</v>
      </c>
      <c r="I759">
        <v>118</v>
      </c>
    </row>
    <row r="760" spans="1:9" x14ac:dyDescent="0.25">
      <c r="A760" s="5" t="str">
        <f>TrendSheetPrdData[[#This Row],[Population]]&amp;TrendSheetPrdData[[#This Row],[Cost Basis]]&amp;TrendSheetPrdData[[#This Row],[Period]]&amp;TrendSheetPrdData[[#This Row],[Trend]]</f>
        <v>EMPLOYEESPaid2016-11-01Ancillary Claim Count</v>
      </c>
      <c r="B760" t="s">
        <v>90</v>
      </c>
      <c r="C760" t="s">
        <v>90</v>
      </c>
      <c r="D760" t="s">
        <v>78</v>
      </c>
      <c r="E760" s="1" t="s">
        <v>103</v>
      </c>
      <c r="F760" t="s">
        <v>93</v>
      </c>
      <c r="G760" t="s">
        <v>33</v>
      </c>
      <c r="H760">
        <v>22</v>
      </c>
      <c r="I760">
        <v>114</v>
      </c>
    </row>
    <row r="761" spans="1:9" x14ac:dyDescent="0.25">
      <c r="A761" s="5" t="str">
        <f>TrendSheetPrdData[[#This Row],[Population]]&amp;TrendSheetPrdData[[#This Row],[Cost Basis]]&amp;TrendSheetPrdData[[#This Row],[Period]]&amp;TrendSheetPrdData[[#This Row],[Trend]]</f>
        <v>EMPLOYEESPaid2016-12-01Ancillary Claim Count</v>
      </c>
      <c r="B761" t="s">
        <v>90</v>
      </c>
      <c r="C761" t="s">
        <v>90</v>
      </c>
      <c r="D761" t="s">
        <v>78</v>
      </c>
      <c r="E761" s="1" t="s">
        <v>104</v>
      </c>
      <c r="F761" t="s">
        <v>93</v>
      </c>
      <c r="G761" t="s">
        <v>33</v>
      </c>
      <c r="H761">
        <v>22</v>
      </c>
      <c r="I761">
        <v>128</v>
      </c>
    </row>
    <row r="762" spans="1:9" x14ac:dyDescent="0.25">
      <c r="A762" s="5" t="str">
        <f>TrendSheetPrdData[[#This Row],[Population]]&amp;TrendSheetPrdData[[#This Row],[Cost Basis]]&amp;TrendSheetPrdData[[#This Row],[Period]]&amp;TrendSheetPrdData[[#This Row],[Trend]]</f>
        <v>EMPLOYEESPaid2017-01-01Ancillary Claim Count</v>
      </c>
      <c r="B762" t="s">
        <v>90</v>
      </c>
      <c r="C762" t="s">
        <v>90</v>
      </c>
      <c r="D762" t="s">
        <v>78</v>
      </c>
      <c r="E762" s="1" t="s">
        <v>105</v>
      </c>
      <c r="F762" t="s">
        <v>93</v>
      </c>
      <c r="G762" t="s">
        <v>33</v>
      </c>
      <c r="H762">
        <v>22</v>
      </c>
      <c r="I762">
        <v>169</v>
      </c>
    </row>
    <row r="763" spans="1:9" x14ac:dyDescent="0.25">
      <c r="A763" s="5" t="str">
        <f>TrendSheetPrdData[[#This Row],[Population]]&amp;TrendSheetPrdData[[#This Row],[Cost Basis]]&amp;TrendSheetPrdData[[#This Row],[Period]]&amp;TrendSheetPrdData[[#This Row],[Trend]]</f>
        <v>EMPLOYEESPaid2017-02-01Ancillary Claim Count</v>
      </c>
      <c r="B763" t="s">
        <v>90</v>
      </c>
      <c r="C763" t="s">
        <v>90</v>
      </c>
      <c r="D763" t="s">
        <v>78</v>
      </c>
      <c r="E763" s="1" t="s">
        <v>106</v>
      </c>
      <c r="F763" t="s">
        <v>93</v>
      </c>
      <c r="G763" t="s">
        <v>33</v>
      </c>
      <c r="H763">
        <v>22</v>
      </c>
      <c r="I763">
        <v>106</v>
      </c>
    </row>
    <row r="764" spans="1:9" x14ac:dyDescent="0.25">
      <c r="A764" s="5" t="str">
        <f>TrendSheetPrdData[[#This Row],[Population]]&amp;TrendSheetPrdData[[#This Row],[Cost Basis]]&amp;TrendSheetPrdData[[#This Row],[Period]]&amp;TrendSheetPrdData[[#This Row],[Trend]]</f>
        <v>EMPLOYEESPaid2017-03-01Ancillary Claim Count</v>
      </c>
      <c r="B764" t="s">
        <v>90</v>
      </c>
      <c r="C764" t="s">
        <v>90</v>
      </c>
      <c r="D764" t="s">
        <v>78</v>
      </c>
      <c r="E764" s="1" t="s">
        <v>107</v>
      </c>
      <c r="F764" t="s">
        <v>108</v>
      </c>
      <c r="G764" t="s">
        <v>33</v>
      </c>
      <c r="H764">
        <v>22</v>
      </c>
      <c r="I764">
        <v>96</v>
      </c>
    </row>
    <row r="765" spans="1:9" x14ac:dyDescent="0.25">
      <c r="A765" s="5" t="str">
        <f>TrendSheetPrdData[[#This Row],[Population]]&amp;TrendSheetPrdData[[#This Row],[Cost Basis]]&amp;TrendSheetPrdData[[#This Row],[Period]]&amp;TrendSheetPrdData[[#This Row],[Trend]]</f>
        <v>EMPLOYEESPaid2017-04-01Ancillary Claim Count</v>
      </c>
      <c r="B765" t="s">
        <v>90</v>
      </c>
      <c r="C765" t="s">
        <v>90</v>
      </c>
      <c r="D765" t="s">
        <v>78</v>
      </c>
      <c r="E765" s="1" t="s">
        <v>109</v>
      </c>
      <c r="F765" t="s">
        <v>108</v>
      </c>
      <c r="G765" t="s">
        <v>33</v>
      </c>
      <c r="H765">
        <v>22</v>
      </c>
      <c r="I765">
        <v>109</v>
      </c>
    </row>
    <row r="766" spans="1:9" x14ac:dyDescent="0.25">
      <c r="A766" s="5" t="str">
        <f>TrendSheetPrdData[[#This Row],[Population]]&amp;TrendSheetPrdData[[#This Row],[Cost Basis]]&amp;TrendSheetPrdData[[#This Row],[Period]]&amp;TrendSheetPrdData[[#This Row],[Trend]]</f>
        <v>EMPLOYEESPaid2017-05-01Ancillary Claim Count</v>
      </c>
      <c r="B766" t="s">
        <v>90</v>
      </c>
      <c r="C766" t="s">
        <v>90</v>
      </c>
      <c r="D766" t="s">
        <v>78</v>
      </c>
      <c r="E766" s="1" t="s">
        <v>110</v>
      </c>
      <c r="F766" t="s">
        <v>108</v>
      </c>
      <c r="G766" t="s">
        <v>33</v>
      </c>
      <c r="H766">
        <v>22</v>
      </c>
      <c r="I766">
        <v>72</v>
      </c>
    </row>
    <row r="767" spans="1:9" x14ac:dyDescent="0.25">
      <c r="A767" s="5" t="str">
        <f>TrendSheetPrdData[[#This Row],[Population]]&amp;TrendSheetPrdData[[#This Row],[Cost Basis]]&amp;TrendSheetPrdData[[#This Row],[Period]]&amp;TrendSheetPrdData[[#This Row],[Trend]]</f>
        <v>EMPLOYEESPaid2016-01-01Drug Claim Count</v>
      </c>
      <c r="B767" t="s">
        <v>90</v>
      </c>
      <c r="C767" t="s">
        <v>90</v>
      </c>
      <c r="D767" t="s">
        <v>78</v>
      </c>
      <c r="E767" s="1" t="s">
        <v>92</v>
      </c>
      <c r="F767" t="s">
        <v>93</v>
      </c>
      <c r="G767" t="s">
        <v>34</v>
      </c>
      <c r="H767">
        <v>23</v>
      </c>
      <c r="I767">
        <v>3248</v>
      </c>
    </row>
    <row r="768" spans="1:9" x14ac:dyDescent="0.25">
      <c r="A768" s="5" t="str">
        <f>TrendSheetPrdData[[#This Row],[Population]]&amp;TrendSheetPrdData[[#This Row],[Cost Basis]]&amp;TrendSheetPrdData[[#This Row],[Period]]&amp;TrendSheetPrdData[[#This Row],[Trend]]</f>
        <v>EMPLOYEESPaid2016-02-01Drug Claim Count</v>
      </c>
      <c r="B768" t="s">
        <v>90</v>
      </c>
      <c r="C768" t="s">
        <v>90</v>
      </c>
      <c r="D768" t="s">
        <v>78</v>
      </c>
      <c r="E768" s="1" t="s">
        <v>94</v>
      </c>
      <c r="F768" t="s">
        <v>93</v>
      </c>
      <c r="G768" t="s">
        <v>34</v>
      </c>
      <c r="H768">
        <v>23</v>
      </c>
      <c r="I768">
        <v>3397</v>
      </c>
    </row>
    <row r="769" spans="1:9" x14ac:dyDescent="0.25">
      <c r="A769" s="5" t="str">
        <f>TrendSheetPrdData[[#This Row],[Population]]&amp;TrendSheetPrdData[[#This Row],[Cost Basis]]&amp;TrendSheetPrdData[[#This Row],[Period]]&amp;TrendSheetPrdData[[#This Row],[Trend]]</f>
        <v>EMPLOYEESPaid2016-03-01Drug Claim Count</v>
      </c>
      <c r="B769" t="s">
        <v>90</v>
      </c>
      <c r="C769" t="s">
        <v>90</v>
      </c>
      <c r="D769" t="s">
        <v>78</v>
      </c>
      <c r="E769" s="1" t="s">
        <v>95</v>
      </c>
      <c r="F769" t="s">
        <v>93</v>
      </c>
      <c r="G769" t="s">
        <v>34</v>
      </c>
      <c r="H769">
        <v>23</v>
      </c>
      <c r="I769">
        <v>3437</v>
      </c>
    </row>
    <row r="770" spans="1:9" x14ac:dyDescent="0.25">
      <c r="A770" s="5" t="str">
        <f>TrendSheetPrdData[[#This Row],[Population]]&amp;TrendSheetPrdData[[#This Row],[Cost Basis]]&amp;TrendSheetPrdData[[#This Row],[Period]]&amp;TrendSheetPrdData[[#This Row],[Trend]]</f>
        <v>EMPLOYEESPaid2016-04-01Drug Claim Count</v>
      </c>
      <c r="B770" t="s">
        <v>90</v>
      </c>
      <c r="C770" t="s">
        <v>90</v>
      </c>
      <c r="D770" t="s">
        <v>78</v>
      </c>
      <c r="E770" s="1" t="s">
        <v>96</v>
      </c>
      <c r="F770" t="s">
        <v>93</v>
      </c>
      <c r="G770" t="s">
        <v>34</v>
      </c>
      <c r="H770">
        <v>23</v>
      </c>
      <c r="I770">
        <v>3333</v>
      </c>
    </row>
    <row r="771" spans="1:9" x14ac:dyDescent="0.25">
      <c r="A771" s="5" t="str">
        <f>TrendSheetPrdData[[#This Row],[Population]]&amp;TrendSheetPrdData[[#This Row],[Cost Basis]]&amp;TrendSheetPrdData[[#This Row],[Period]]&amp;TrendSheetPrdData[[#This Row],[Trend]]</f>
        <v>EMPLOYEESPaid2016-05-01Drug Claim Count</v>
      </c>
      <c r="B771" t="s">
        <v>90</v>
      </c>
      <c r="C771" t="s">
        <v>90</v>
      </c>
      <c r="D771" t="s">
        <v>78</v>
      </c>
      <c r="E771" s="1" t="s">
        <v>97</v>
      </c>
      <c r="F771" t="s">
        <v>93</v>
      </c>
      <c r="G771" t="s">
        <v>34</v>
      </c>
      <c r="H771">
        <v>23</v>
      </c>
      <c r="I771">
        <v>3344</v>
      </c>
    </row>
    <row r="772" spans="1:9" x14ac:dyDescent="0.25">
      <c r="A772" s="5" t="str">
        <f>TrendSheetPrdData[[#This Row],[Population]]&amp;TrendSheetPrdData[[#This Row],[Cost Basis]]&amp;TrendSheetPrdData[[#This Row],[Period]]&amp;TrendSheetPrdData[[#This Row],[Trend]]</f>
        <v>EMPLOYEESPaid2016-06-01Drug Claim Count</v>
      </c>
      <c r="B772" t="s">
        <v>90</v>
      </c>
      <c r="C772" t="s">
        <v>90</v>
      </c>
      <c r="D772" t="s">
        <v>78</v>
      </c>
      <c r="E772" s="1" t="s">
        <v>98</v>
      </c>
      <c r="F772" t="s">
        <v>93</v>
      </c>
      <c r="G772" t="s">
        <v>34</v>
      </c>
      <c r="H772">
        <v>23</v>
      </c>
      <c r="I772">
        <v>3135</v>
      </c>
    </row>
    <row r="773" spans="1:9" x14ac:dyDescent="0.25">
      <c r="A773" s="5" t="str">
        <f>TrendSheetPrdData[[#This Row],[Population]]&amp;TrendSheetPrdData[[#This Row],[Cost Basis]]&amp;TrendSheetPrdData[[#This Row],[Period]]&amp;TrendSheetPrdData[[#This Row],[Trend]]</f>
        <v>EMPLOYEESPaid2016-07-01Drug Claim Count</v>
      </c>
      <c r="B773" t="s">
        <v>90</v>
      </c>
      <c r="C773" t="s">
        <v>90</v>
      </c>
      <c r="D773" t="s">
        <v>78</v>
      </c>
      <c r="E773" s="1" t="s">
        <v>99</v>
      </c>
      <c r="F773" t="s">
        <v>93</v>
      </c>
      <c r="G773" t="s">
        <v>34</v>
      </c>
      <c r="H773">
        <v>23</v>
      </c>
      <c r="I773">
        <v>3206</v>
      </c>
    </row>
    <row r="774" spans="1:9" x14ac:dyDescent="0.25">
      <c r="A774" s="5" t="str">
        <f>TrendSheetPrdData[[#This Row],[Population]]&amp;TrendSheetPrdData[[#This Row],[Cost Basis]]&amp;TrendSheetPrdData[[#This Row],[Period]]&amp;TrendSheetPrdData[[#This Row],[Trend]]</f>
        <v>EMPLOYEESPaid2016-08-01Drug Claim Count</v>
      </c>
      <c r="B774" t="s">
        <v>90</v>
      </c>
      <c r="C774" t="s">
        <v>90</v>
      </c>
      <c r="D774" t="s">
        <v>78</v>
      </c>
      <c r="E774" s="1" t="s">
        <v>100</v>
      </c>
      <c r="F774" t="s">
        <v>93</v>
      </c>
      <c r="G774" t="s">
        <v>34</v>
      </c>
      <c r="H774">
        <v>23</v>
      </c>
      <c r="I774">
        <v>3490</v>
      </c>
    </row>
    <row r="775" spans="1:9" x14ac:dyDescent="0.25">
      <c r="A775" s="5" t="str">
        <f>TrendSheetPrdData[[#This Row],[Population]]&amp;TrendSheetPrdData[[#This Row],[Cost Basis]]&amp;TrendSheetPrdData[[#This Row],[Period]]&amp;TrendSheetPrdData[[#This Row],[Trend]]</f>
        <v>EMPLOYEESPaid2016-09-01Drug Claim Count</v>
      </c>
      <c r="B775" t="s">
        <v>90</v>
      </c>
      <c r="C775" t="s">
        <v>90</v>
      </c>
      <c r="D775" t="s">
        <v>78</v>
      </c>
      <c r="E775" s="1" t="s">
        <v>101</v>
      </c>
      <c r="F775" t="s">
        <v>93</v>
      </c>
      <c r="G775" t="s">
        <v>34</v>
      </c>
      <c r="H775">
        <v>23</v>
      </c>
      <c r="I775">
        <v>3290</v>
      </c>
    </row>
    <row r="776" spans="1:9" x14ac:dyDescent="0.25">
      <c r="A776" s="5" t="str">
        <f>TrendSheetPrdData[[#This Row],[Population]]&amp;TrendSheetPrdData[[#This Row],[Cost Basis]]&amp;TrendSheetPrdData[[#This Row],[Period]]&amp;TrendSheetPrdData[[#This Row],[Trend]]</f>
        <v>EMPLOYEESPaid2016-10-01Drug Claim Count</v>
      </c>
      <c r="B776" t="s">
        <v>90</v>
      </c>
      <c r="C776" t="s">
        <v>90</v>
      </c>
      <c r="D776" t="s">
        <v>78</v>
      </c>
      <c r="E776" s="1" t="s">
        <v>102</v>
      </c>
      <c r="F776" t="s">
        <v>93</v>
      </c>
      <c r="G776" t="s">
        <v>34</v>
      </c>
      <c r="H776">
        <v>23</v>
      </c>
      <c r="I776">
        <v>3417</v>
      </c>
    </row>
    <row r="777" spans="1:9" x14ac:dyDescent="0.25">
      <c r="A777" s="5" t="str">
        <f>TrendSheetPrdData[[#This Row],[Population]]&amp;TrendSheetPrdData[[#This Row],[Cost Basis]]&amp;TrendSheetPrdData[[#This Row],[Period]]&amp;TrendSheetPrdData[[#This Row],[Trend]]</f>
        <v>EMPLOYEESPaid2016-11-01Drug Claim Count</v>
      </c>
      <c r="B777" t="s">
        <v>90</v>
      </c>
      <c r="C777" t="s">
        <v>90</v>
      </c>
      <c r="D777" t="s">
        <v>78</v>
      </c>
      <c r="E777" s="1" t="s">
        <v>103</v>
      </c>
      <c r="F777" t="s">
        <v>93</v>
      </c>
      <c r="G777" t="s">
        <v>34</v>
      </c>
      <c r="H777">
        <v>23</v>
      </c>
      <c r="I777">
        <v>3435</v>
      </c>
    </row>
    <row r="778" spans="1:9" x14ac:dyDescent="0.25">
      <c r="A778" s="5" t="str">
        <f>TrendSheetPrdData[[#This Row],[Population]]&amp;TrendSheetPrdData[[#This Row],[Cost Basis]]&amp;TrendSheetPrdData[[#This Row],[Period]]&amp;TrendSheetPrdData[[#This Row],[Trend]]</f>
        <v>EMPLOYEESPaid2016-12-01Drug Claim Count</v>
      </c>
      <c r="B778" t="s">
        <v>90</v>
      </c>
      <c r="C778" t="s">
        <v>90</v>
      </c>
      <c r="D778" t="s">
        <v>78</v>
      </c>
      <c r="E778" s="1" t="s">
        <v>104</v>
      </c>
      <c r="F778" t="s">
        <v>93</v>
      </c>
      <c r="G778" t="s">
        <v>34</v>
      </c>
      <c r="H778">
        <v>23</v>
      </c>
      <c r="I778">
        <v>3460</v>
      </c>
    </row>
    <row r="779" spans="1:9" x14ac:dyDescent="0.25">
      <c r="A779" s="5" t="str">
        <f>TrendSheetPrdData[[#This Row],[Population]]&amp;TrendSheetPrdData[[#This Row],[Cost Basis]]&amp;TrendSheetPrdData[[#This Row],[Period]]&amp;TrendSheetPrdData[[#This Row],[Trend]]</f>
        <v>EMPLOYEESPaid2017-01-01Drug Claim Count</v>
      </c>
      <c r="B779" t="s">
        <v>90</v>
      </c>
      <c r="C779" t="s">
        <v>90</v>
      </c>
      <c r="D779" t="s">
        <v>78</v>
      </c>
      <c r="E779" s="1" t="s">
        <v>105</v>
      </c>
      <c r="F779" t="s">
        <v>93</v>
      </c>
      <c r="G779" t="s">
        <v>34</v>
      </c>
      <c r="H779">
        <v>23</v>
      </c>
      <c r="I779">
        <v>3898</v>
      </c>
    </row>
    <row r="780" spans="1:9" x14ac:dyDescent="0.25">
      <c r="A780" s="5" t="str">
        <f>TrendSheetPrdData[[#This Row],[Population]]&amp;TrendSheetPrdData[[#This Row],[Cost Basis]]&amp;TrendSheetPrdData[[#This Row],[Period]]&amp;TrendSheetPrdData[[#This Row],[Trend]]</f>
        <v>EMPLOYEESPaid2017-02-01Drug Claim Count</v>
      </c>
      <c r="B780" t="s">
        <v>90</v>
      </c>
      <c r="C780" t="s">
        <v>90</v>
      </c>
      <c r="D780" t="s">
        <v>78</v>
      </c>
      <c r="E780" s="1" t="s">
        <v>106</v>
      </c>
      <c r="F780" t="s">
        <v>93</v>
      </c>
      <c r="G780" t="s">
        <v>34</v>
      </c>
      <c r="H780">
        <v>23</v>
      </c>
      <c r="I780">
        <v>3409</v>
      </c>
    </row>
    <row r="781" spans="1:9" x14ac:dyDescent="0.25">
      <c r="A781" s="5" t="str">
        <f>TrendSheetPrdData[[#This Row],[Population]]&amp;TrendSheetPrdData[[#This Row],[Cost Basis]]&amp;TrendSheetPrdData[[#This Row],[Period]]&amp;TrendSheetPrdData[[#This Row],[Trend]]</f>
        <v>EMPLOYEESPaid2017-03-01Drug Claim Count</v>
      </c>
      <c r="B781" t="s">
        <v>90</v>
      </c>
      <c r="C781" t="s">
        <v>90</v>
      </c>
      <c r="D781" t="s">
        <v>78</v>
      </c>
      <c r="E781" s="1" t="s">
        <v>107</v>
      </c>
      <c r="F781" t="s">
        <v>108</v>
      </c>
      <c r="G781" t="s">
        <v>34</v>
      </c>
      <c r="H781">
        <v>23</v>
      </c>
      <c r="I781">
        <v>3783</v>
      </c>
    </row>
    <row r="782" spans="1:9" x14ac:dyDescent="0.25">
      <c r="A782" s="5" t="str">
        <f>TrendSheetPrdData[[#This Row],[Population]]&amp;TrendSheetPrdData[[#This Row],[Cost Basis]]&amp;TrendSheetPrdData[[#This Row],[Period]]&amp;TrendSheetPrdData[[#This Row],[Trend]]</f>
        <v>EMPLOYEESPaid2017-04-01Drug Claim Count</v>
      </c>
      <c r="B782" t="s">
        <v>90</v>
      </c>
      <c r="C782" t="s">
        <v>90</v>
      </c>
      <c r="D782" t="s">
        <v>78</v>
      </c>
      <c r="E782" s="1" t="s">
        <v>109</v>
      </c>
      <c r="F782" t="s">
        <v>108</v>
      </c>
      <c r="G782" t="s">
        <v>34</v>
      </c>
      <c r="H782">
        <v>23</v>
      </c>
      <c r="I782">
        <v>3411</v>
      </c>
    </row>
    <row r="783" spans="1:9" x14ac:dyDescent="0.25">
      <c r="A783" s="5" t="str">
        <f>TrendSheetPrdData[[#This Row],[Population]]&amp;TrendSheetPrdData[[#This Row],[Cost Basis]]&amp;TrendSheetPrdData[[#This Row],[Period]]&amp;TrendSheetPrdData[[#This Row],[Trend]]</f>
        <v>EMPLOYEESPaid2017-05-01Drug Claim Count</v>
      </c>
      <c r="B783" t="s">
        <v>90</v>
      </c>
      <c r="C783" t="s">
        <v>90</v>
      </c>
      <c r="D783" t="s">
        <v>78</v>
      </c>
      <c r="E783" s="1" t="s">
        <v>110</v>
      </c>
      <c r="F783" t="s">
        <v>108</v>
      </c>
      <c r="G783" t="s">
        <v>34</v>
      </c>
      <c r="H783">
        <v>23</v>
      </c>
      <c r="I783">
        <v>3090</v>
      </c>
    </row>
    <row r="784" spans="1:9" x14ac:dyDescent="0.25">
      <c r="A784" s="5" t="str">
        <f>TrendSheetPrdData[[#This Row],[Population]]&amp;TrendSheetPrdData[[#This Row],[Cost Basis]]&amp;TrendSheetPrdData[[#This Row],[Period]]&amp;TrendSheetPrdData[[#This Row],[Trend]]</f>
        <v>OTHERSAllowed2016-01-01Medical PMPM</v>
      </c>
      <c r="B784" t="s">
        <v>111</v>
      </c>
      <c r="C784" t="s">
        <v>111</v>
      </c>
      <c r="D784" t="s">
        <v>91</v>
      </c>
      <c r="E784" s="1" t="s">
        <v>92</v>
      </c>
      <c r="F784" t="s">
        <v>93</v>
      </c>
      <c r="G784" t="s">
        <v>12</v>
      </c>
      <c r="H784">
        <v>1</v>
      </c>
      <c r="I784">
        <v>338.36</v>
      </c>
    </row>
    <row r="785" spans="1:9" x14ac:dyDescent="0.25">
      <c r="A785" s="5" t="str">
        <f>TrendSheetPrdData[[#This Row],[Population]]&amp;TrendSheetPrdData[[#This Row],[Cost Basis]]&amp;TrendSheetPrdData[[#This Row],[Period]]&amp;TrendSheetPrdData[[#This Row],[Trend]]</f>
        <v>OTHERSAllowed2016-02-01Medical PMPM</v>
      </c>
      <c r="B785" t="s">
        <v>111</v>
      </c>
      <c r="C785" t="s">
        <v>111</v>
      </c>
      <c r="D785" t="s">
        <v>91</v>
      </c>
      <c r="E785" s="1" t="s">
        <v>94</v>
      </c>
      <c r="F785" t="s">
        <v>93</v>
      </c>
      <c r="G785" t="s">
        <v>12</v>
      </c>
      <c r="H785">
        <v>1</v>
      </c>
      <c r="I785">
        <v>329</v>
      </c>
    </row>
    <row r="786" spans="1:9" x14ac:dyDescent="0.25">
      <c r="A786" s="5" t="str">
        <f>TrendSheetPrdData[[#This Row],[Population]]&amp;TrendSheetPrdData[[#This Row],[Cost Basis]]&amp;TrendSheetPrdData[[#This Row],[Period]]&amp;TrendSheetPrdData[[#This Row],[Trend]]</f>
        <v>OTHERSAllowed2016-03-01Medical PMPM</v>
      </c>
      <c r="B786" t="s">
        <v>111</v>
      </c>
      <c r="C786" t="s">
        <v>111</v>
      </c>
      <c r="D786" t="s">
        <v>91</v>
      </c>
      <c r="E786" s="1" t="s">
        <v>95</v>
      </c>
      <c r="F786" t="s">
        <v>93</v>
      </c>
      <c r="G786" t="s">
        <v>12</v>
      </c>
      <c r="H786">
        <v>1</v>
      </c>
      <c r="I786">
        <v>303.70999999999998</v>
      </c>
    </row>
    <row r="787" spans="1:9" x14ac:dyDescent="0.25">
      <c r="A787" s="5" t="str">
        <f>TrendSheetPrdData[[#This Row],[Population]]&amp;TrendSheetPrdData[[#This Row],[Cost Basis]]&amp;TrendSheetPrdData[[#This Row],[Period]]&amp;TrendSheetPrdData[[#This Row],[Trend]]</f>
        <v>OTHERSAllowed2016-04-01Medical PMPM</v>
      </c>
      <c r="B787" t="s">
        <v>111</v>
      </c>
      <c r="C787" t="s">
        <v>111</v>
      </c>
      <c r="D787" t="s">
        <v>91</v>
      </c>
      <c r="E787" s="1" t="s">
        <v>96</v>
      </c>
      <c r="F787" t="s">
        <v>93</v>
      </c>
      <c r="G787" t="s">
        <v>12</v>
      </c>
      <c r="H787">
        <v>1</v>
      </c>
      <c r="I787">
        <v>462.02</v>
      </c>
    </row>
    <row r="788" spans="1:9" x14ac:dyDescent="0.25">
      <c r="A788" s="5" t="str">
        <f>TrendSheetPrdData[[#This Row],[Population]]&amp;TrendSheetPrdData[[#This Row],[Cost Basis]]&amp;TrendSheetPrdData[[#This Row],[Period]]&amp;TrendSheetPrdData[[#This Row],[Trend]]</f>
        <v>OTHERSAllowed2016-05-01Medical PMPM</v>
      </c>
      <c r="B788" t="s">
        <v>111</v>
      </c>
      <c r="C788" t="s">
        <v>111</v>
      </c>
      <c r="D788" t="s">
        <v>91</v>
      </c>
      <c r="E788" s="1" t="s">
        <v>97</v>
      </c>
      <c r="F788" t="s">
        <v>93</v>
      </c>
      <c r="G788" t="s">
        <v>12</v>
      </c>
      <c r="H788">
        <v>1</v>
      </c>
      <c r="I788">
        <v>271.79000000000002</v>
      </c>
    </row>
    <row r="789" spans="1:9" x14ac:dyDescent="0.25">
      <c r="A789" s="5" t="str">
        <f>TrendSheetPrdData[[#This Row],[Population]]&amp;TrendSheetPrdData[[#This Row],[Cost Basis]]&amp;TrendSheetPrdData[[#This Row],[Period]]&amp;TrendSheetPrdData[[#This Row],[Trend]]</f>
        <v>OTHERSAllowed2016-06-01Medical PMPM</v>
      </c>
      <c r="B789" t="s">
        <v>111</v>
      </c>
      <c r="C789" t="s">
        <v>111</v>
      </c>
      <c r="D789" t="s">
        <v>91</v>
      </c>
      <c r="E789" s="1" t="s">
        <v>98</v>
      </c>
      <c r="F789" t="s">
        <v>93</v>
      </c>
      <c r="G789" t="s">
        <v>12</v>
      </c>
      <c r="H789">
        <v>1</v>
      </c>
      <c r="I789">
        <v>268.02</v>
      </c>
    </row>
    <row r="790" spans="1:9" x14ac:dyDescent="0.25">
      <c r="A790" s="5" t="str">
        <f>TrendSheetPrdData[[#This Row],[Population]]&amp;TrendSheetPrdData[[#This Row],[Cost Basis]]&amp;TrendSheetPrdData[[#This Row],[Period]]&amp;TrendSheetPrdData[[#This Row],[Trend]]</f>
        <v>OTHERSAllowed2016-07-01Medical PMPM</v>
      </c>
      <c r="B790" t="s">
        <v>111</v>
      </c>
      <c r="C790" t="s">
        <v>111</v>
      </c>
      <c r="D790" t="s">
        <v>91</v>
      </c>
      <c r="E790" s="1" t="s">
        <v>99</v>
      </c>
      <c r="F790" t="s">
        <v>93</v>
      </c>
      <c r="G790" t="s">
        <v>12</v>
      </c>
      <c r="H790">
        <v>1</v>
      </c>
      <c r="I790">
        <v>300.16000000000003</v>
      </c>
    </row>
    <row r="791" spans="1:9" x14ac:dyDescent="0.25">
      <c r="A791" s="5" t="str">
        <f>TrendSheetPrdData[[#This Row],[Population]]&amp;TrendSheetPrdData[[#This Row],[Cost Basis]]&amp;TrendSheetPrdData[[#This Row],[Period]]&amp;TrendSheetPrdData[[#This Row],[Trend]]</f>
        <v>OTHERSAllowed2016-08-01Medical PMPM</v>
      </c>
      <c r="B791" t="s">
        <v>111</v>
      </c>
      <c r="C791" t="s">
        <v>111</v>
      </c>
      <c r="D791" t="s">
        <v>91</v>
      </c>
      <c r="E791" s="1" t="s">
        <v>100</v>
      </c>
      <c r="F791" t="s">
        <v>93</v>
      </c>
      <c r="G791" t="s">
        <v>12</v>
      </c>
      <c r="H791">
        <v>1</v>
      </c>
      <c r="I791">
        <v>300.48</v>
      </c>
    </row>
    <row r="792" spans="1:9" x14ac:dyDescent="0.25">
      <c r="A792" s="5" t="str">
        <f>TrendSheetPrdData[[#This Row],[Population]]&amp;TrendSheetPrdData[[#This Row],[Cost Basis]]&amp;TrendSheetPrdData[[#This Row],[Period]]&amp;TrendSheetPrdData[[#This Row],[Trend]]</f>
        <v>OTHERSAllowed2016-09-01Medical PMPM</v>
      </c>
      <c r="B792" t="s">
        <v>111</v>
      </c>
      <c r="C792" t="s">
        <v>111</v>
      </c>
      <c r="D792" t="s">
        <v>91</v>
      </c>
      <c r="E792" s="1" t="s">
        <v>101</v>
      </c>
      <c r="F792" t="s">
        <v>93</v>
      </c>
      <c r="G792" t="s">
        <v>12</v>
      </c>
      <c r="H792">
        <v>1</v>
      </c>
      <c r="I792">
        <v>284.07</v>
      </c>
    </row>
    <row r="793" spans="1:9" x14ac:dyDescent="0.25">
      <c r="A793" s="5" t="str">
        <f>TrendSheetPrdData[[#This Row],[Population]]&amp;TrendSheetPrdData[[#This Row],[Cost Basis]]&amp;TrendSheetPrdData[[#This Row],[Period]]&amp;TrendSheetPrdData[[#This Row],[Trend]]</f>
        <v>OTHERSAllowed2016-10-01Medical PMPM</v>
      </c>
      <c r="B793" t="s">
        <v>111</v>
      </c>
      <c r="C793" t="s">
        <v>111</v>
      </c>
      <c r="D793" t="s">
        <v>91</v>
      </c>
      <c r="E793" s="1" t="s">
        <v>102</v>
      </c>
      <c r="F793" t="s">
        <v>93</v>
      </c>
      <c r="G793" t="s">
        <v>12</v>
      </c>
      <c r="H793">
        <v>1</v>
      </c>
      <c r="I793">
        <v>317.18</v>
      </c>
    </row>
    <row r="794" spans="1:9" x14ac:dyDescent="0.25">
      <c r="A794" s="5" t="str">
        <f>TrendSheetPrdData[[#This Row],[Population]]&amp;TrendSheetPrdData[[#This Row],[Cost Basis]]&amp;TrendSheetPrdData[[#This Row],[Period]]&amp;TrendSheetPrdData[[#This Row],[Trend]]</f>
        <v>OTHERSAllowed2016-11-01Medical PMPM</v>
      </c>
      <c r="B794" t="s">
        <v>111</v>
      </c>
      <c r="C794" t="s">
        <v>111</v>
      </c>
      <c r="D794" t="s">
        <v>91</v>
      </c>
      <c r="E794" s="1" t="s">
        <v>103</v>
      </c>
      <c r="F794" t="s">
        <v>93</v>
      </c>
      <c r="G794" t="s">
        <v>12</v>
      </c>
      <c r="H794">
        <v>1</v>
      </c>
      <c r="I794">
        <v>286.60000000000002</v>
      </c>
    </row>
    <row r="795" spans="1:9" x14ac:dyDescent="0.25">
      <c r="A795" s="5" t="str">
        <f>TrendSheetPrdData[[#This Row],[Population]]&amp;TrendSheetPrdData[[#This Row],[Cost Basis]]&amp;TrendSheetPrdData[[#This Row],[Period]]&amp;TrendSheetPrdData[[#This Row],[Trend]]</f>
        <v>OTHERSAllowed2016-12-01Medical PMPM</v>
      </c>
      <c r="B795" t="s">
        <v>111</v>
      </c>
      <c r="C795" t="s">
        <v>111</v>
      </c>
      <c r="D795" t="s">
        <v>91</v>
      </c>
      <c r="E795" s="1" t="s">
        <v>104</v>
      </c>
      <c r="F795" t="s">
        <v>93</v>
      </c>
      <c r="G795" t="s">
        <v>12</v>
      </c>
      <c r="H795">
        <v>1</v>
      </c>
      <c r="I795">
        <v>268.45999999999998</v>
      </c>
    </row>
    <row r="796" spans="1:9" x14ac:dyDescent="0.25">
      <c r="A796" s="5" t="str">
        <f>TrendSheetPrdData[[#This Row],[Population]]&amp;TrendSheetPrdData[[#This Row],[Cost Basis]]&amp;TrendSheetPrdData[[#This Row],[Period]]&amp;TrendSheetPrdData[[#This Row],[Trend]]</f>
        <v>OTHERSAllowed2017-01-01Medical PMPM</v>
      </c>
      <c r="B796" t="s">
        <v>111</v>
      </c>
      <c r="C796" t="s">
        <v>111</v>
      </c>
      <c r="D796" t="s">
        <v>91</v>
      </c>
      <c r="E796" s="1" t="s">
        <v>105</v>
      </c>
      <c r="F796" t="s">
        <v>108</v>
      </c>
      <c r="G796" t="s">
        <v>12</v>
      </c>
      <c r="H796">
        <v>1</v>
      </c>
      <c r="I796">
        <v>276.62</v>
      </c>
    </row>
    <row r="797" spans="1:9" x14ac:dyDescent="0.25">
      <c r="A797" s="5" t="str">
        <f>TrendSheetPrdData[[#This Row],[Population]]&amp;TrendSheetPrdData[[#This Row],[Cost Basis]]&amp;TrendSheetPrdData[[#This Row],[Period]]&amp;TrendSheetPrdData[[#This Row],[Trend]]</f>
        <v>OTHERSAllowed2017-02-01Medical PMPM</v>
      </c>
      <c r="B797" t="s">
        <v>111</v>
      </c>
      <c r="C797" t="s">
        <v>111</v>
      </c>
      <c r="D797" t="s">
        <v>91</v>
      </c>
      <c r="E797" s="1" t="s">
        <v>106</v>
      </c>
      <c r="F797" t="s">
        <v>108</v>
      </c>
      <c r="G797" t="s">
        <v>12</v>
      </c>
      <c r="H797">
        <v>1</v>
      </c>
      <c r="I797">
        <v>260.04000000000002</v>
      </c>
    </row>
    <row r="798" spans="1:9" x14ac:dyDescent="0.25">
      <c r="A798" s="5" t="str">
        <f>TrendSheetPrdData[[#This Row],[Population]]&amp;TrendSheetPrdData[[#This Row],[Cost Basis]]&amp;TrendSheetPrdData[[#This Row],[Period]]&amp;TrendSheetPrdData[[#This Row],[Trend]]</f>
        <v>OTHERSAllowed2017-03-01Medical PMPM</v>
      </c>
      <c r="B798" t="s">
        <v>111</v>
      </c>
      <c r="C798" t="s">
        <v>111</v>
      </c>
      <c r="D798" t="s">
        <v>91</v>
      </c>
      <c r="E798" s="1" t="s">
        <v>107</v>
      </c>
      <c r="F798" t="s">
        <v>108</v>
      </c>
      <c r="G798" t="s">
        <v>12</v>
      </c>
      <c r="H798">
        <v>1</v>
      </c>
      <c r="I798">
        <v>241.13</v>
      </c>
    </row>
    <row r="799" spans="1:9" x14ac:dyDescent="0.25">
      <c r="A799" s="5" t="str">
        <f>TrendSheetPrdData[[#This Row],[Population]]&amp;TrendSheetPrdData[[#This Row],[Cost Basis]]&amp;TrendSheetPrdData[[#This Row],[Period]]&amp;TrendSheetPrdData[[#This Row],[Trend]]</f>
        <v>OTHERSAllowed2017-04-01Medical PMPM</v>
      </c>
      <c r="B799" t="s">
        <v>111</v>
      </c>
      <c r="C799" t="s">
        <v>111</v>
      </c>
      <c r="D799" t="s">
        <v>91</v>
      </c>
      <c r="E799" s="1" t="s">
        <v>109</v>
      </c>
      <c r="F799" t="s">
        <v>108</v>
      </c>
      <c r="G799" t="s">
        <v>12</v>
      </c>
      <c r="H799">
        <v>1</v>
      </c>
      <c r="I799">
        <v>200.81</v>
      </c>
    </row>
    <row r="800" spans="1:9" x14ac:dyDescent="0.25">
      <c r="A800" s="5" t="str">
        <f>TrendSheetPrdData[[#This Row],[Population]]&amp;TrendSheetPrdData[[#This Row],[Cost Basis]]&amp;TrendSheetPrdData[[#This Row],[Period]]&amp;TrendSheetPrdData[[#This Row],[Trend]]</f>
        <v>OTHERSAllowed2017-05-01Medical PMPM</v>
      </c>
      <c r="B800" t="s">
        <v>111</v>
      </c>
      <c r="C800" t="s">
        <v>111</v>
      </c>
      <c r="D800" t="s">
        <v>91</v>
      </c>
      <c r="E800" s="1" t="s">
        <v>110</v>
      </c>
      <c r="F800" t="s">
        <v>108</v>
      </c>
      <c r="G800" t="s">
        <v>12</v>
      </c>
      <c r="H800">
        <v>1</v>
      </c>
      <c r="I800">
        <v>77.23</v>
      </c>
    </row>
    <row r="801" spans="1:9" x14ac:dyDescent="0.25">
      <c r="A801" s="5" t="str">
        <f>TrendSheetPrdData[[#This Row],[Population]]&amp;TrendSheetPrdData[[#This Row],[Cost Basis]]&amp;TrendSheetPrdData[[#This Row],[Period]]&amp;TrendSheetPrdData[[#This Row],[Trend]]</f>
        <v>OTHERSAllowed2016-01-01Drug PMPM</v>
      </c>
      <c r="B801" t="s">
        <v>111</v>
      </c>
      <c r="C801" t="s">
        <v>111</v>
      </c>
      <c r="D801" t="s">
        <v>91</v>
      </c>
      <c r="E801" s="1" t="s">
        <v>92</v>
      </c>
      <c r="F801" t="s">
        <v>93</v>
      </c>
      <c r="G801" t="s">
        <v>13</v>
      </c>
      <c r="H801">
        <v>2</v>
      </c>
      <c r="I801">
        <v>59.03</v>
      </c>
    </row>
    <row r="802" spans="1:9" x14ac:dyDescent="0.25">
      <c r="A802" s="5" t="str">
        <f>TrendSheetPrdData[[#This Row],[Population]]&amp;TrendSheetPrdData[[#This Row],[Cost Basis]]&amp;TrendSheetPrdData[[#This Row],[Period]]&amp;TrendSheetPrdData[[#This Row],[Trend]]</f>
        <v>OTHERSAllowed2016-02-01Drug PMPM</v>
      </c>
      <c r="B802" t="s">
        <v>111</v>
      </c>
      <c r="C802" t="s">
        <v>111</v>
      </c>
      <c r="D802" t="s">
        <v>91</v>
      </c>
      <c r="E802" s="1" t="s">
        <v>94</v>
      </c>
      <c r="F802" t="s">
        <v>93</v>
      </c>
      <c r="G802" t="s">
        <v>13</v>
      </c>
      <c r="H802">
        <v>2</v>
      </c>
      <c r="I802">
        <v>61.35</v>
      </c>
    </row>
    <row r="803" spans="1:9" x14ac:dyDescent="0.25">
      <c r="A803" s="5" t="str">
        <f>TrendSheetPrdData[[#This Row],[Population]]&amp;TrendSheetPrdData[[#This Row],[Cost Basis]]&amp;TrendSheetPrdData[[#This Row],[Period]]&amp;TrendSheetPrdData[[#This Row],[Trend]]</f>
        <v>OTHERSAllowed2016-03-01Drug PMPM</v>
      </c>
      <c r="B803" t="s">
        <v>111</v>
      </c>
      <c r="C803" t="s">
        <v>111</v>
      </c>
      <c r="D803" t="s">
        <v>91</v>
      </c>
      <c r="E803" s="1" t="s">
        <v>95</v>
      </c>
      <c r="F803" t="s">
        <v>93</v>
      </c>
      <c r="G803" t="s">
        <v>13</v>
      </c>
      <c r="H803">
        <v>2</v>
      </c>
      <c r="I803">
        <v>46.85</v>
      </c>
    </row>
    <row r="804" spans="1:9" x14ac:dyDescent="0.25">
      <c r="A804" s="5" t="str">
        <f>TrendSheetPrdData[[#This Row],[Population]]&amp;TrendSheetPrdData[[#This Row],[Cost Basis]]&amp;TrendSheetPrdData[[#This Row],[Period]]&amp;TrendSheetPrdData[[#This Row],[Trend]]</f>
        <v>OTHERSAllowed2016-04-01Drug PMPM</v>
      </c>
      <c r="B804" t="s">
        <v>111</v>
      </c>
      <c r="C804" t="s">
        <v>111</v>
      </c>
      <c r="D804" t="s">
        <v>91</v>
      </c>
      <c r="E804" s="1" t="s">
        <v>96</v>
      </c>
      <c r="F804" t="s">
        <v>93</v>
      </c>
      <c r="G804" t="s">
        <v>13</v>
      </c>
      <c r="H804">
        <v>2</v>
      </c>
      <c r="I804">
        <v>59.44</v>
      </c>
    </row>
    <row r="805" spans="1:9" x14ac:dyDescent="0.25">
      <c r="A805" s="5" t="str">
        <f>TrendSheetPrdData[[#This Row],[Population]]&amp;TrendSheetPrdData[[#This Row],[Cost Basis]]&amp;TrendSheetPrdData[[#This Row],[Period]]&amp;TrendSheetPrdData[[#This Row],[Trend]]</f>
        <v>OTHERSAllowed2016-05-01Drug PMPM</v>
      </c>
      <c r="B805" t="s">
        <v>111</v>
      </c>
      <c r="C805" t="s">
        <v>111</v>
      </c>
      <c r="D805" t="s">
        <v>91</v>
      </c>
      <c r="E805" s="1" t="s">
        <v>97</v>
      </c>
      <c r="F805" t="s">
        <v>93</v>
      </c>
      <c r="G805" t="s">
        <v>13</v>
      </c>
      <c r="H805">
        <v>2</v>
      </c>
      <c r="I805">
        <v>54.89</v>
      </c>
    </row>
    <row r="806" spans="1:9" x14ac:dyDescent="0.25">
      <c r="A806" s="5" t="str">
        <f>TrendSheetPrdData[[#This Row],[Population]]&amp;TrendSheetPrdData[[#This Row],[Cost Basis]]&amp;TrendSheetPrdData[[#This Row],[Period]]&amp;TrendSheetPrdData[[#This Row],[Trend]]</f>
        <v>OTHERSAllowed2016-06-01Drug PMPM</v>
      </c>
      <c r="B806" t="s">
        <v>111</v>
      </c>
      <c r="C806" t="s">
        <v>111</v>
      </c>
      <c r="D806" t="s">
        <v>91</v>
      </c>
      <c r="E806" s="1" t="s">
        <v>98</v>
      </c>
      <c r="F806" t="s">
        <v>93</v>
      </c>
      <c r="G806" t="s">
        <v>13</v>
      </c>
      <c r="H806">
        <v>2</v>
      </c>
      <c r="I806">
        <v>39.119999999999997</v>
      </c>
    </row>
    <row r="807" spans="1:9" x14ac:dyDescent="0.25">
      <c r="A807" s="5" t="str">
        <f>TrendSheetPrdData[[#This Row],[Population]]&amp;TrendSheetPrdData[[#This Row],[Cost Basis]]&amp;TrendSheetPrdData[[#This Row],[Period]]&amp;TrendSheetPrdData[[#This Row],[Trend]]</f>
        <v>OTHERSAllowed2016-07-01Drug PMPM</v>
      </c>
      <c r="B807" t="s">
        <v>111</v>
      </c>
      <c r="C807" t="s">
        <v>111</v>
      </c>
      <c r="D807" t="s">
        <v>91</v>
      </c>
      <c r="E807" s="1" t="s">
        <v>99</v>
      </c>
      <c r="F807" t="s">
        <v>93</v>
      </c>
      <c r="G807" t="s">
        <v>13</v>
      </c>
      <c r="H807">
        <v>2</v>
      </c>
      <c r="I807">
        <v>43.98</v>
      </c>
    </row>
    <row r="808" spans="1:9" x14ac:dyDescent="0.25">
      <c r="A808" s="5" t="str">
        <f>TrendSheetPrdData[[#This Row],[Population]]&amp;TrendSheetPrdData[[#This Row],[Cost Basis]]&amp;TrendSheetPrdData[[#This Row],[Period]]&amp;TrendSheetPrdData[[#This Row],[Trend]]</f>
        <v>OTHERSAllowed2016-08-01Drug PMPM</v>
      </c>
      <c r="B808" t="s">
        <v>111</v>
      </c>
      <c r="C808" t="s">
        <v>111</v>
      </c>
      <c r="D808" t="s">
        <v>91</v>
      </c>
      <c r="E808" s="1" t="s">
        <v>100</v>
      </c>
      <c r="F808" t="s">
        <v>93</v>
      </c>
      <c r="G808" t="s">
        <v>13</v>
      </c>
      <c r="H808">
        <v>2</v>
      </c>
      <c r="I808">
        <v>53.31</v>
      </c>
    </row>
    <row r="809" spans="1:9" x14ac:dyDescent="0.25">
      <c r="A809" s="5" t="str">
        <f>TrendSheetPrdData[[#This Row],[Population]]&amp;TrendSheetPrdData[[#This Row],[Cost Basis]]&amp;TrendSheetPrdData[[#This Row],[Period]]&amp;TrendSheetPrdData[[#This Row],[Trend]]</f>
        <v>OTHERSAllowed2016-09-01Drug PMPM</v>
      </c>
      <c r="B809" t="s">
        <v>111</v>
      </c>
      <c r="C809" t="s">
        <v>111</v>
      </c>
      <c r="D809" t="s">
        <v>91</v>
      </c>
      <c r="E809" s="1" t="s">
        <v>101</v>
      </c>
      <c r="F809" t="s">
        <v>93</v>
      </c>
      <c r="G809" t="s">
        <v>13</v>
      </c>
      <c r="H809">
        <v>2</v>
      </c>
      <c r="I809">
        <v>44.01</v>
      </c>
    </row>
    <row r="810" spans="1:9" x14ac:dyDescent="0.25">
      <c r="A810" s="5" t="str">
        <f>TrendSheetPrdData[[#This Row],[Population]]&amp;TrendSheetPrdData[[#This Row],[Cost Basis]]&amp;TrendSheetPrdData[[#This Row],[Period]]&amp;TrendSheetPrdData[[#This Row],[Trend]]</f>
        <v>OTHERSAllowed2016-10-01Drug PMPM</v>
      </c>
      <c r="B810" t="s">
        <v>111</v>
      </c>
      <c r="C810" t="s">
        <v>111</v>
      </c>
      <c r="D810" t="s">
        <v>91</v>
      </c>
      <c r="E810" s="1" t="s">
        <v>102</v>
      </c>
      <c r="F810" t="s">
        <v>93</v>
      </c>
      <c r="G810" t="s">
        <v>13</v>
      </c>
      <c r="H810">
        <v>2</v>
      </c>
      <c r="I810">
        <v>46.86</v>
      </c>
    </row>
    <row r="811" spans="1:9" x14ac:dyDescent="0.25">
      <c r="A811" s="5" t="str">
        <f>TrendSheetPrdData[[#This Row],[Population]]&amp;TrendSheetPrdData[[#This Row],[Cost Basis]]&amp;TrendSheetPrdData[[#This Row],[Period]]&amp;TrendSheetPrdData[[#This Row],[Trend]]</f>
        <v>OTHERSAllowed2016-11-01Drug PMPM</v>
      </c>
      <c r="B811" t="s">
        <v>111</v>
      </c>
      <c r="C811" t="s">
        <v>111</v>
      </c>
      <c r="D811" t="s">
        <v>91</v>
      </c>
      <c r="E811" s="1" t="s">
        <v>103</v>
      </c>
      <c r="F811" t="s">
        <v>93</v>
      </c>
      <c r="G811" t="s">
        <v>13</v>
      </c>
      <c r="H811">
        <v>2</v>
      </c>
      <c r="I811">
        <v>55.82</v>
      </c>
    </row>
    <row r="812" spans="1:9" x14ac:dyDescent="0.25">
      <c r="A812" s="5" t="str">
        <f>TrendSheetPrdData[[#This Row],[Population]]&amp;TrendSheetPrdData[[#This Row],[Cost Basis]]&amp;TrendSheetPrdData[[#This Row],[Period]]&amp;TrendSheetPrdData[[#This Row],[Trend]]</f>
        <v>OTHERSAllowed2016-12-01Drug PMPM</v>
      </c>
      <c r="B812" t="s">
        <v>111</v>
      </c>
      <c r="C812" t="s">
        <v>111</v>
      </c>
      <c r="D812" t="s">
        <v>91</v>
      </c>
      <c r="E812" s="1" t="s">
        <v>104</v>
      </c>
      <c r="F812" t="s">
        <v>93</v>
      </c>
      <c r="G812" t="s">
        <v>13</v>
      </c>
      <c r="H812">
        <v>2</v>
      </c>
      <c r="I812">
        <v>44.4</v>
      </c>
    </row>
    <row r="813" spans="1:9" x14ac:dyDescent="0.25">
      <c r="A813" s="5" t="str">
        <f>TrendSheetPrdData[[#This Row],[Population]]&amp;TrendSheetPrdData[[#This Row],[Cost Basis]]&amp;TrendSheetPrdData[[#This Row],[Period]]&amp;TrendSheetPrdData[[#This Row],[Trend]]</f>
        <v>OTHERSAllowed2017-01-01Drug PMPM</v>
      </c>
      <c r="B813" t="s">
        <v>111</v>
      </c>
      <c r="C813" t="s">
        <v>111</v>
      </c>
      <c r="D813" t="s">
        <v>91</v>
      </c>
      <c r="E813" s="1" t="s">
        <v>105</v>
      </c>
      <c r="F813" t="s">
        <v>108</v>
      </c>
      <c r="G813" t="s">
        <v>13</v>
      </c>
      <c r="H813">
        <v>2</v>
      </c>
      <c r="I813">
        <v>53.74</v>
      </c>
    </row>
    <row r="814" spans="1:9" x14ac:dyDescent="0.25">
      <c r="A814" s="5" t="str">
        <f>TrendSheetPrdData[[#This Row],[Population]]&amp;TrendSheetPrdData[[#This Row],[Cost Basis]]&amp;TrendSheetPrdData[[#This Row],[Period]]&amp;TrendSheetPrdData[[#This Row],[Trend]]</f>
        <v>OTHERSAllowed2017-02-01Drug PMPM</v>
      </c>
      <c r="B814" t="s">
        <v>111</v>
      </c>
      <c r="C814" t="s">
        <v>111</v>
      </c>
      <c r="D814" t="s">
        <v>91</v>
      </c>
      <c r="E814" s="1" t="s">
        <v>106</v>
      </c>
      <c r="F814" t="s">
        <v>108</v>
      </c>
      <c r="G814" t="s">
        <v>13</v>
      </c>
      <c r="H814">
        <v>2</v>
      </c>
      <c r="I814">
        <v>44.64</v>
      </c>
    </row>
    <row r="815" spans="1:9" x14ac:dyDescent="0.25">
      <c r="A815" s="5" t="str">
        <f>TrendSheetPrdData[[#This Row],[Population]]&amp;TrendSheetPrdData[[#This Row],[Cost Basis]]&amp;TrendSheetPrdData[[#This Row],[Period]]&amp;TrendSheetPrdData[[#This Row],[Trend]]</f>
        <v>OTHERSAllowed2017-03-01Drug PMPM</v>
      </c>
      <c r="B815" t="s">
        <v>111</v>
      </c>
      <c r="C815" t="s">
        <v>111</v>
      </c>
      <c r="D815" t="s">
        <v>91</v>
      </c>
      <c r="E815" s="1" t="s">
        <v>107</v>
      </c>
      <c r="F815" t="s">
        <v>108</v>
      </c>
      <c r="G815" t="s">
        <v>13</v>
      </c>
      <c r="H815">
        <v>2</v>
      </c>
      <c r="I815">
        <v>48.44</v>
      </c>
    </row>
    <row r="816" spans="1:9" x14ac:dyDescent="0.25">
      <c r="A816" s="5" t="str">
        <f>TrendSheetPrdData[[#This Row],[Population]]&amp;TrendSheetPrdData[[#This Row],[Cost Basis]]&amp;TrendSheetPrdData[[#This Row],[Period]]&amp;TrendSheetPrdData[[#This Row],[Trend]]</f>
        <v>OTHERSAllowed2017-04-01Drug PMPM</v>
      </c>
      <c r="B816" t="s">
        <v>111</v>
      </c>
      <c r="C816" t="s">
        <v>111</v>
      </c>
      <c r="D816" t="s">
        <v>91</v>
      </c>
      <c r="E816" s="1" t="s">
        <v>109</v>
      </c>
      <c r="F816" t="s">
        <v>108</v>
      </c>
      <c r="G816" t="s">
        <v>13</v>
      </c>
      <c r="H816">
        <v>2</v>
      </c>
      <c r="I816">
        <v>40.909999999999997</v>
      </c>
    </row>
    <row r="817" spans="1:9" x14ac:dyDescent="0.25">
      <c r="A817" s="5" t="str">
        <f>TrendSheetPrdData[[#This Row],[Population]]&amp;TrendSheetPrdData[[#This Row],[Cost Basis]]&amp;TrendSheetPrdData[[#This Row],[Period]]&amp;TrendSheetPrdData[[#This Row],[Trend]]</f>
        <v>OTHERSAllowed2017-05-01Drug PMPM</v>
      </c>
      <c r="B817" t="s">
        <v>111</v>
      </c>
      <c r="C817" t="s">
        <v>111</v>
      </c>
      <c r="D817" t="s">
        <v>91</v>
      </c>
      <c r="E817" s="1" t="s">
        <v>110</v>
      </c>
      <c r="F817" t="s">
        <v>108</v>
      </c>
      <c r="G817" t="s">
        <v>13</v>
      </c>
      <c r="H817">
        <v>2</v>
      </c>
      <c r="I817">
        <v>52.38</v>
      </c>
    </row>
    <row r="818" spans="1:9" x14ac:dyDescent="0.25">
      <c r="A818" s="5" t="str">
        <f>TrendSheetPrdData[[#This Row],[Population]]&amp;TrendSheetPrdData[[#This Row],[Cost Basis]]&amp;TrendSheetPrdData[[#This Row],[Period]]&amp;TrendSheetPrdData[[#This Row],[Trend]]</f>
        <v>OTHERSAllowed2016-01-01Overall PMPM</v>
      </c>
      <c r="B818" t="s">
        <v>111</v>
      </c>
      <c r="C818" t="s">
        <v>111</v>
      </c>
      <c r="D818" t="s">
        <v>91</v>
      </c>
      <c r="E818" s="1" t="s">
        <v>92</v>
      </c>
      <c r="F818" t="s">
        <v>93</v>
      </c>
      <c r="G818" t="s">
        <v>14</v>
      </c>
      <c r="H818">
        <v>3</v>
      </c>
      <c r="I818">
        <v>397.39</v>
      </c>
    </row>
    <row r="819" spans="1:9" x14ac:dyDescent="0.25">
      <c r="A819" s="5" t="str">
        <f>TrendSheetPrdData[[#This Row],[Population]]&amp;TrendSheetPrdData[[#This Row],[Cost Basis]]&amp;TrendSheetPrdData[[#This Row],[Period]]&amp;TrendSheetPrdData[[#This Row],[Trend]]</f>
        <v>OTHERSAllowed2016-02-01Overall PMPM</v>
      </c>
      <c r="B819" t="s">
        <v>111</v>
      </c>
      <c r="C819" t="s">
        <v>111</v>
      </c>
      <c r="D819" t="s">
        <v>91</v>
      </c>
      <c r="E819" s="1" t="s">
        <v>94</v>
      </c>
      <c r="F819" t="s">
        <v>93</v>
      </c>
      <c r="G819" t="s">
        <v>14</v>
      </c>
      <c r="H819">
        <v>3</v>
      </c>
      <c r="I819">
        <v>390.35</v>
      </c>
    </row>
    <row r="820" spans="1:9" x14ac:dyDescent="0.25">
      <c r="A820" s="5" t="str">
        <f>TrendSheetPrdData[[#This Row],[Population]]&amp;TrendSheetPrdData[[#This Row],[Cost Basis]]&amp;TrendSheetPrdData[[#This Row],[Period]]&amp;TrendSheetPrdData[[#This Row],[Trend]]</f>
        <v>OTHERSAllowed2016-03-01Overall PMPM</v>
      </c>
      <c r="B820" t="s">
        <v>111</v>
      </c>
      <c r="C820" t="s">
        <v>111</v>
      </c>
      <c r="D820" t="s">
        <v>91</v>
      </c>
      <c r="E820" s="1" t="s">
        <v>95</v>
      </c>
      <c r="F820" t="s">
        <v>93</v>
      </c>
      <c r="G820" t="s">
        <v>14</v>
      </c>
      <c r="H820">
        <v>3</v>
      </c>
      <c r="I820">
        <v>350.56</v>
      </c>
    </row>
    <row r="821" spans="1:9" x14ac:dyDescent="0.25">
      <c r="A821" s="5" t="str">
        <f>TrendSheetPrdData[[#This Row],[Population]]&amp;TrendSheetPrdData[[#This Row],[Cost Basis]]&amp;TrendSheetPrdData[[#This Row],[Period]]&amp;TrendSheetPrdData[[#This Row],[Trend]]</f>
        <v>OTHERSAllowed2016-04-01Overall PMPM</v>
      </c>
      <c r="B821" t="s">
        <v>111</v>
      </c>
      <c r="C821" t="s">
        <v>111</v>
      </c>
      <c r="D821" t="s">
        <v>91</v>
      </c>
      <c r="E821" s="1" t="s">
        <v>96</v>
      </c>
      <c r="F821" t="s">
        <v>93</v>
      </c>
      <c r="G821" t="s">
        <v>14</v>
      </c>
      <c r="H821">
        <v>3</v>
      </c>
      <c r="I821">
        <v>521.46</v>
      </c>
    </row>
    <row r="822" spans="1:9" x14ac:dyDescent="0.25">
      <c r="A822" s="5" t="str">
        <f>TrendSheetPrdData[[#This Row],[Population]]&amp;TrendSheetPrdData[[#This Row],[Cost Basis]]&amp;TrendSheetPrdData[[#This Row],[Period]]&amp;TrendSheetPrdData[[#This Row],[Trend]]</f>
        <v>OTHERSAllowed2016-05-01Overall PMPM</v>
      </c>
      <c r="B822" t="s">
        <v>111</v>
      </c>
      <c r="C822" t="s">
        <v>111</v>
      </c>
      <c r="D822" t="s">
        <v>91</v>
      </c>
      <c r="E822" s="1" t="s">
        <v>97</v>
      </c>
      <c r="F822" t="s">
        <v>93</v>
      </c>
      <c r="G822" t="s">
        <v>14</v>
      </c>
      <c r="H822">
        <v>3</v>
      </c>
      <c r="I822">
        <v>326.68</v>
      </c>
    </row>
    <row r="823" spans="1:9" x14ac:dyDescent="0.25">
      <c r="A823" s="5" t="str">
        <f>TrendSheetPrdData[[#This Row],[Population]]&amp;TrendSheetPrdData[[#This Row],[Cost Basis]]&amp;TrendSheetPrdData[[#This Row],[Period]]&amp;TrendSheetPrdData[[#This Row],[Trend]]</f>
        <v>OTHERSAllowed2016-06-01Overall PMPM</v>
      </c>
      <c r="B823" t="s">
        <v>111</v>
      </c>
      <c r="C823" t="s">
        <v>111</v>
      </c>
      <c r="D823" t="s">
        <v>91</v>
      </c>
      <c r="E823" s="1" t="s">
        <v>98</v>
      </c>
      <c r="F823" t="s">
        <v>93</v>
      </c>
      <c r="G823" t="s">
        <v>14</v>
      </c>
      <c r="H823">
        <v>3</v>
      </c>
      <c r="I823">
        <v>307.14</v>
      </c>
    </row>
    <row r="824" spans="1:9" x14ac:dyDescent="0.25">
      <c r="A824" s="5" t="str">
        <f>TrendSheetPrdData[[#This Row],[Population]]&amp;TrendSheetPrdData[[#This Row],[Cost Basis]]&amp;TrendSheetPrdData[[#This Row],[Period]]&amp;TrendSheetPrdData[[#This Row],[Trend]]</f>
        <v>OTHERSAllowed2016-07-01Overall PMPM</v>
      </c>
      <c r="B824" t="s">
        <v>111</v>
      </c>
      <c r="C824" t="s">
        <v>111</v>
      </c>
      <c r="D824" t="s">
        <v>91</v>
      </c>
      <c r="E824" s="1" t="s">
        <v>99</v>
      </c>
      <c r="F824" t="s">
        <v>93</v>
      </c>
      <c r="G824" t="s">
        <v>14</v>
      </c>
      <c r="H824">
        <v>3</v>
      </c>
      <c r="I824">
        <v>344.14</v>
      </c>
    </row>
    <row r="825" spans="1:9" x14ac:dyDescent="0.25">
      <c r="A825" s="5" t="str">
        <f>TrendSheetPrdData[[#This Row],[Population]]&amp;TrendSheetPrdData[[#This Row],[Cost Basis]]&amp;TrendSheetPrdData[[#This Row],[Period]]&amp;TrendSheetPrdData[[#This Row],[Trend]]</f>
        <v>OTHERSAllowed2016-08-01Overall PMPM</v>
      </c>
      <c r="B825" t="s">
        <v>111</v>
      </c>
      <c r="C825" t="s">
        <v>111</v>
      </c>
      <c r="D825" t="s">
        <v>91</v>
      </c>
      <c r="E825" s="1" t="s">
        <v>100</v>
      </c>
      <c r="F825" t="s">
        <v>93</v>
      </c>
      <c r="G825" t="s">
        <v>14</v>
      </c>
      <c r="H825">
        <v>3</v>
      </c>
      <c r="I825">
        <v>353.79</v>
      </c>
    </row>
    <row r="826" spans="1:9" x14ac:dyDescent="0.25">
      <c r="A826" s="5" t="str">
        <f>TrendSheetPrdData[[#This Row],[Population]]&amp;TrendSheetPrdData[[#This Row],[Cost Basis]]&amp;TrendSheetPrdData[[#This Row],[Period]]&amp;TrendSheetPrdData[[#This Row],[Trend]]</f>
        <v>OTHERSAllowed2016-09-01Overall PMPM</v>
      </c>
      <c r="B826" t="s">
        <v>111</v>
      </c>
      <c r="C826" t="s">
        <v>111</v>
      </c>
      <c r="D826" t="s">
        <v>91</v>
      </c>
      <c r="E826" s="1" t="s">
        <v>101</v>
      </c>
      <c r="F826" t="s">
        <v>93</v>
      </c>
      <c r="G826" t="s">
        <v>14</v>
      </c>
      <c r="H826">
        <v>3</v>
      </c>
      <c r="I826">
        <v>328.08</v>
      </c>
    </row>
    <row r="827" spans="1:9" x14ac:dyDescent="0.25">
      <c r="A827" s="5" t="str">
        <f>TrendSheetPrdData[[#This Row],[Population]]&amp;TrendSheetPrdData[[#This Row],[Cost Basis]]&amp;TrendSheetPrdData[[#This Row],[Period]]&amp;TrendSheetPrdData[[#This Row],[Trend]]</f>
        <v>OTHERSAllowed2016-10-01Overall PMPM</v>
      </c>
      <c r="B827" t="s">
        <v>111</v>
      </c>
      <c r="C827" t="s">
        <v>111</v>
      </c>
      <c r="D827" t="s">
        <v>91</v>
      </c>
      <c r="E827" s="1" t="s">
        <v>102</v>
      </c>
      <c r="F827" t="s">
        <v>93</v>
      </c>
      <c r="G827" t="s">
        <v>14</v>
      </c>
      <c r="H827">
        <v>3</v>
      </c>
      <c r="I827">
        <v>364.04</v>
      </c>
    </row>
    <row r="828" spans="1:9" x14ac:dyDescent="0.25">
      <c r="A828" s="5" t="str">
        <f>TrendSheetPrdData[[#This Row],[Population]]&amp;TrendSheetPrdData[[#This Row],[Cost Basis]]&amp;TrendSheetPrdData[[#This Row],[Period]]&amp;TrendSheetPrdData[[#This Row],[Trend]]</f>
        <v>OTHERSAllowed2016-11-01Overall PMPM</v>
      </c>
      <c r="B828" t="s">
        <v>111</v>
      </c>
      <c r="C828" t="s">
        <v>111</v>
      </c>
      <c r="D828" t="s">
        <v>91</v>
      </c>
      <c r="E828" s="1" t="s">
        <v>103</v>
      </c>
      <c r="F828" t="s">
        <v>93</v>
      </c>
      <c r="G828" t="s">
        <v>14</v>
      </c>
      <c r="H828">
        <v>3</v>
      </c>
      <c r="I828">
        <v>342.42</v>
      </c>
    </row>
    <row r="829" spans="1:9" x14ac:dyDescent="0.25">
      <c r="A829" s="5" t="str">
        <f>TrendSheetPrdData[[#This Row],[Population]]&amp;TrendSheetPrdData[[#This Row],[Cost Basis]]&amp;TrendSheetPrdData[[#This Row],[Period]]&amp;TrendSheetPrdData[[#This Row],[Trend]]</f>
        <v>OTHERSAllowed2016-12-01Overall PMPM</v>
      </c>
      <c r="B829" t="s">
        <v>111</v>
      </c>
      <c r="C829" t="s">
        <v>111</v>
      </c>
      <c r="D829" t="s">
        <v>91</v>
      </c>
      <c r="E829" s="1" t="s">
        <v>104</v>
      </c>
      <c r="F829" t="s">
        <v>93</v>
      </c>
      <c r="G829" t="s">
        <v>14</v>
      </c>
      <c r="H829">
        <v>3</v>
      </c>
      <c r="I829">
        <v>312.86</v>
      </c>
    </row>
    <row r="830" spans="1:9" x14ac:dyDescent="0.25">
      <c r="A830" s="5" t="str">
        <f>TrendSheetPrdData[[#This Row],[Population]]&amp;TrendSheetPrdData[[#This Row],[Cost Basis]]&amp;TrendSheetPrdData[[#This Row],[Period]]&amp;TrendSheetPrdData[[#This Row],[Trend]]</f>
        <v>OTHERSAllowed2017-01-01Overall PMPM</v>
      </c>
      <c r="B830" t="s">
        <v>111</v>
      </c>
      <c r="C830" t="s">
        <v>111</v>
      </c>
      <c r="D830" t="s">
        <v>91</v>
      </c>
      <c r="E830" s="1" t="s">
        <v>105</v>
      </c>
      <c r="F830" t="s">
        <v>108</v>
      </c>
      <c r="G830" t="s">
        <v>14</v>
      </c>
      <c r="H830">
        <v>3</v>
      </c>
      <c r="I830">
        <v>330.36</v>
      </c>
    </row>
    <row r="831" spans="1:9" x14ac:dyDescent="0.25">
      <c r="A831" s="5" t="str">
        <f>TrendSheetPrdData[[#This Row],[Population]]&amp;TrendSheetPrdData[[#This Row],[Cost Basis]]&amp;TrendSheetPrdData[[#This Row],[Period]]&amp;TrendSheetPrdData[[#This Row],[Trend]]</f>
        <v>OTHERSAllowed2017-02-01Overall PMPM</v>
      </c>
      <c r="B831" t="s">
        <v>111</v>
      </c>
      <c r="C831" t="s">
        <v>111</v>
      </c>
      <c r="D831" t="s">
        <v>91</v>
      </c>
      <c r="E831" s="1" t="s">
        <v>106</v>
      </c>
      <c r="F831" t="s">
        <v>108</v>
      </c>
      <c r="G831" t="s">
        <v>14</v>
      </c>
      <c r="H831">
        <v>3</v>
      </c>
      <c r="I831">
        <v>304.68</v>
      </c>
    </row>
    <row r="832" spans="1:9" x14ac:dyDescent="0.25">
      <c r="A832" s="5" t="str">
        <f>TrendSheetPrdData[[#This Row],[Population]]&amp;TrendSheetPrdData[[#This Row],[Cost Basis]]&amp;TrendSheetPrdData[[#This Row],[Period]]&amp;TrendSheetPrdData[[#This Row],[Trend]]</f>
        <v>OTHERSAllowed2017-03-01Overall PMPM</v>
      </c>
      <c r="B832" t="s">
        <v>111</v>
      </c>
      <c r="C832" t="s">
        <v>111</v>
      </c>
      <c r="D832" t="s">
        <v>91</v>
      </c>
      <c r="E832" s="1" t="s">
        <v>107</v>
      </c>
      <c r="F832" t="s">
        <v>108</v>
      </c>
      <c r="G832" t="s">
        <v>14</v>
      </c>
      <c r="H832">
        <v>3</v>
      </c>
      <c r="I832">
        <v>289.57</v>
      </c>
    </row>
    <row r="833" spans="1:9" x14ac:dyDescent="0.25">
      <c r="A833" s="5" t="str">
        <f>TrendSheetPrdData[[#This Row],[Population]]&amp;TrendSheetPrdData[[#This Row],[Cost Basis]]&amp;TrendSheetPrdData[[#This Row],[Period]]&amp;TrendSheetPrdData[[#This Row],[Trend]]</f>
        <v>OTHERSAllowed2017-04-01Overall PMPM</v>
      </c>
      <c r="B833" t="s">
        <v>111</v>
      </c>
      <c r="C833" t="s">
        <v>111</v>
      </c>
      <c r="D833" t="s">
        <v>91</v>
      </c>
      <c r="E833" s="1" t="s">
        <v>109</v>
      </c>
      <c r="F833" t="s">
        <v>108</v>
      </c>
      <c r="G833" t="s">
        <v>14</v>
      </c>
      <c r="H833">
        <v>3</v>
      </c>
      <c r="I833">
        <v>241.72</v>
      </c>
    </row>
    <row r="834" spans="1:9" x14ac:dyDescent="0.25">
      <c r="A834" s="5" t="str">
        <f>TrendSheetPrdData[[#This Row],[Population]]&amp;TrendSheetPrdData[[#This Row],[Cost Basis]]&amp;TrendSheetPrdData[[#This Row],[Period]]&amp;TrendSheetPrdData[[#This Row],[Trend]]</f>
        <v>OTHERSAllowed2017-05-01Overall PMPM</v>
      </c>
      <c r="B834" t="s">
        <v>111</v>
      </c>
      <c r="C834" t="s">
        <v>111</v>
      </c>
      <c r="D834" t="s">
        <v>91</v>
      </c>
      <c r="E834" s="1" t="s">
        <v>110</v>
      </c>
      <c r="F834" t="s">
        <v>108</v>
      </c>
      <c r="G834" t="s">
        <v>14</v>
      </c>
      <c r="H834">
        <v>3</v>
      </c>
      <c r="I834">
        <v>129.61000000000001</v>
      </c>
    </row>
    <row r="835" spans="1:9" x14ac:dyDescent="0.25">
      <c r="A835" s="5" t="str">
        <f>TrendSheetPrdData[[#This Row],[Population]]&amp;TrendSheetPrdData[[#This Row],[Cost Basis]]&amp;TrendSheetPrdData[[#This Row],[Period]]&amp;TrendSheetPrdData[[#This Row],[Trend]]</f>
        <v>OTHERSAllowed2016-01-01Readmission Cost</v>
      </c>
      <c r="B835" t="s">
        <v>111</v>
      </c>
      <c r="C835" t="s">
        <v>111</v>
      </c>
      <c r="D835" t="s">
        <v>91</v>
      </c>
      <c r="E835" s="1" t="s">
        <v>92</v>
      </c>
      <c r="F835" t="s">
        <v>93</v>
      </c>
      <c r="G835" t="s">
        <v>15</v>
      </c>
      <c r="H835">
        <v>4</v>
      </c>
      <c r="I835">
        <v>5816.06</v>
      </c>
    </row>
    <row r="836" spans="1:9" x14ac:dyDescent="0.25">
      <c r="A836" s="5" t="str">
        <f>TrendSheetPrdData[[#This Row],[Population]]&amp;TrendSheetPrdData[[#This Row],[Cost Basis]]&amp;TrendSheetPrdData[[#This Row],[Period]]&amp;TrendSheetPrdData[[#This Row],[Trend]]</f>
        <v>OTHERSAllowed2016-02-01Readmission Cost</v>
      </c>
      <c r="B836" t="s">
        <v>111</v>
      </c>
      <c r="C836" t="s">
        <v>111</v>
      </c>
      <c r="D836" t="s">
        <v>91</v>
      </c>
      <c r="E836" s="1" t="s">
        <v>94</v>
      </c>
      <c r="F836" t="s">
        <v>93</v>
      </c>
      <c r="G836" t="s">
        <v>15</v>
      </c>
      <c r="H836">
        <v>4</v>
      </c>
      <c r="I836">
        <v>0</v>
      </c>
    </row>
    <row r="837" spans="1:9" x14ac:dyDescent="0.25">
      <c r="A837" s="5" t="str">
        <f>TrendSheetPrdData[[#This Row],[Population]]&amp;TrendSheetPrdData[[#This Row],[Cost Basis]]&amp;TrendSheetPrdData[[#This Row],[Period]]&amp;TrendSheetPrdData[[#This Row],[Trend]]</f>
        <v>OTHERSAllowed2016-03-01Readmission Cost</v>
      </c>
      <c r="B837" t="s">
        <v>111</v>
      </c>
      <c r="C837" t="s">
        <v>111</v>
      </c>
      <c r="D837" t="s">
        <v>91</v>
      </c>
      <c r="E837" s="1" t="s">
        <v>95</v>
      </c>
      <c r="F837" t="s">
        <v>93</v>
      </c>
      <c r="G837" t="s">
        <v>15</v>
      </c>
      <c r="H837">
        <v>4</v>
      </c>
      <c r="I837">
        <v>65240.55</v>
      </c>
    </row>
    <row r="838" spans="1:9" x14ac:dyDescent="0.25">
      <c r="A838" s="5" t="str">
        <f>TrendSheetPrdData[[#This Row],[Population]]&amp;TrendSheetPrdData[[#This Row],[Cost Basis]]&amp;TrendSheetPrdData[[#This Row],[Period]]&amp;TrendSheetPrdData[[#This Row],[Trend]]</f>
        <v>OTHERSAllowed2016-04-01Readmission Cost</v>
      </c>
      <c r="B838" t="s">
        <v>111</v>
      </c>
      <c r="C838" t="s">
        <v>111</v>
      </c>
      <c r="D838" t="s">
        <v>91</v>
      </c>
      <c r="E838" s="1" t="s">
        <v>96</v>
      </c>
      <c r="F838" t="s">
        <v>93</v>
      </c>
      <c r="G838" t="s">
        <v>15</v>
      </c>
      <c r="H838">
        <v>4</v>
      </c>
      <c r="I838">
        <v>73918.95</v>
      </c>
    </row>
    <row r="839" spans="1:9" x14ac:dyDescent="0.25">
      <c r="A839" s="5" t="str">
        <f>TrendSheetPrdData[[#This Row],[Population]]&amp;TrendSheetPrdData[[#This Row],[Cost Basis]]&amp;TrendSheetPrdData[[#This Row],[Period]]&amp;TrendSheetPrdData[[#This Row],[Trend]]</f>
        <v>OTHERSAllowed2016-05-01Readmission Cost</v>
      </c>
      <c r="B839" t="s">
        <v>111</v>
      </c>
      <c r="C839" t="s">
        <v>111</v>
      </c>
      <c r="D839" t="s">
        <v>91</v>
      </c>
      <c r="E839" s="1" t="s">
        <v>97</v>
      </c>
      <c r="F839" t="s">
        <v>93</v>
      </c>
      <c r="G839" t="s">
        <v>15</v>
      </c>
      <c r="H839">
        <v>4</v>
      </c>
      <c r="I839">
        <v>0</v>
      </c>
    </row>
    <row r="840" spans="1:9" x14ac:dyDescent="0.25">
      <c r="A840" s="5" t="str">
        <f>TrendSheetPrdData[[#This Row],[Population]]&amp;TrendSheetPrdData[[#This Row],[Cost Basis]]&amp;TrendSheetPrdData[[#This Row],[Period]]&amp;TrendSheetPrdData[[#This Row],[Trend]]</f>
        <v>OTHERSAllowed2016-06-01Readmission Cost</v>
      </c>
      <c r="B840" t="s">
        <v>111</v>
      </c>
      <c r="C840" t="s">
        <v>111</v>
      </c>
      <c r="D840" t="s">
        <v>91</v>
      </c>
      <c r="E840" s="1" t="s">
        <v>98</v>
      </c>
      <c r="F840" t="s">
        <v>93</v>
      </c>
      <c r="G840" t="s">
        <v>15</v>
      </c>
      <c r="H840">
        <v>4</v>
      </c>
      <c r="I840">
        <v>0</v>
      </c>
    </row>
    <row r="841" spans="1:9" x14ac:dyDescent="0.25">
      <c r="A841" s="5" t="str">
        <f>TrendSheetPrdData[[#This Row],[Population]]&amp;TrendSheetPrdData[[#This Row],[Cost Basis]]&amp;TrendSheetPrdData[[#This Row],[Period]]&amp;TrendSheetPrdData[[#This Row],[Trend]]</f>
        <v>OTHERSAllowed2016-07-01Readmission Cost</v>
      </c>
      <c r="B841" t="s">
        <v>111</v>
      </c>
      <c r="C841" t="s">
        <v>111</v>
      </c>
      <c r="D841" t="s">
        <v>91</v>
      </c>
      <c r="E841" s="1" t="s">
        <v>99</v>
      </c>
      <c r="F841" t="s">
        <v>93</v>
      </c>
      <c r="G841" t="s">
        <v>15</v>
      </c>
      <c r="H841">
        <v>4</v>
      </c>
      <c r="I841">
        <v>32806.5</v>
      </c>
    </row>
    <row r="842" spans="1:9" x14ac:dyDescent="0.25">
      <c r="A842" s="5" t="str">
        <f>TrendSheetPrdData[[#This Row],[Population]]&amp;TrendSheetPrdData[[#This Row],[Cost Basis]]&amp;TrendSheetPrdData[[#This Row],[Period]]&amp;TrendSheetPrdData[[#This Row],[Trend]]</f>
        <v>OTHERSAllowed2016-08-01Readmission Cost</v>
      </c>
      <c r="B842" t="s">
        <v>111</v>
      </c>
      <c r="C842" t="s">
        <v>111</v>
      </c>
      <c r="D842" t="s">
        <v>91</v>
      </c>
      <c r="E842" s="1" t="s">
        <v>100</v>
      </c>
      <c r="F842" t="s">
        <v>93</v>
      </c>
      <c r="G842" t="s">
        <v>15</v>
      </c>
      <c r="H842">
        <v>4</v>
      </c>
      <c r="I842">
        <v>0</v>
      </c>
    </row>
    <row r="843" spans="1:9" x14ac:dyDescent="0.25">
      <c r="A843" s="5" t="str">
        <f>TrendSheetPrdData[[#This Row],[Population]]&amp;TrendSheetPrdData[[#This Row],[Cost Basis]]&amp;TrendSheetPrdData[[#This Row],[Period]]&amp;TrendSheetPrdData[[#This Row],[Trend]]</f>
        <v>OTHERSAllowed2016-09-01Readmission Cost</v>
      </c>
      <c r="B843" t="s">
        <v>111</v>
      </c>
      <c r="C843" t="s">
        <v>111</v>
      </c>
      <c r="D843" t="s">
        <v>91</v>
      </c>
      <c r="E843" s="1" t="s">
        <v>101</v>
      </c>
      <c r="F843" t="s">
        <v>93</v>
      </c>
      <c r="G843" t="s">
        <v>15</v>
      </c>
      <c r="H843">
        <v>4</v>
      </c>
      <c r="I843">
        <v>29541.15</v>
      </c>
    </row>
    <row r="844" spans="1:9" x14ac:dyDescent="0.25">
      <c r="A844" s="5" t="str">
        <f>TrendSheetPrdData[[#This Row],[Population]]&amp;TrendSheetPrdData[[#This Row],[Cost Basis]]&amp;TrendSheetPrdData[[#This Row],[Period]]&amp;TrendSheetPrdData[[#This Row],[Trend]]</f>
        <v>OTHERSAllowed2016-10-01Readmission Cost</v>
      </c>
      <c r="B844" t="s">
        <v>111</v>
      </c>
      <c r="C844" t="s">
        <v>111</v>
      </c>
      <c r="D844" t="s">
        <v>91</v>
      </c>
      <c r="E844" s="1" t="s">
        <v>102</v>
      </c>
      <c r="F844" t="s">
        <v>93</v>
      </c>
      <c r="G844" t="s">
        <v>15</v>
      </c>
      <c r="H844">
        <v>4</v>
      </c>
      <c r="I844">
        <v>0</v>
      </c>
    </row>
    <row r="845" spans="1:9" x14ac:dyDescent="0.25">
      <c r="A845" s="5" t="str">
        <f>TrendSheetPrdData[[#This Row],[Population]]&amp;TrendSheetPrdData[[#This Row],[Cost Basis]]&amp;TrendSheetPrdData[[#This Row],[Period]]&amp;TrendSheetPrdData[[#This Row],[Trend]]</f>
        <v>OTHERSAllowed2016-11-01Readmission Cost</v>
      </c>
      <c r="B845" t="s">
        <v>111</v>
      </c>
      <c r="C845" t="s">
        <v>111</v>
      </c>
      <c r="D845" t="s">
        <v>91</v>
      </c>
      <c r="E845" s="1" t="s">
        <v>103</v>
      </c>
      <c r="F845" t="s">
        <v>93</v>
      </c>
      <c r="G845" t="s">
        <v>15</v>
      </c>
      <c r="H845">
        <v>4</v>
      </c>
      <c r="I845">
        <v>31659.06</v>
      </c>
    </row>
    <row r="846" spans="1:9" x14ac:dyDescent="0.25">
      <c r="A846" s="5" t="str">
        <f>TrendSheetPrdData[[#This Row],[Population]]&amp;TrendSheetPrdData[[#This Row],[Cost Basis]]&amp;TrendSheetPrdData[[#This Row],[Period]]&amp;TrendSheetPrdData[[#This Row],[Trend]]</f>
        <v>OTHERSAllowed2016-12-01Readmission Cost</v>
      </c>
      <c r="B846" t="s">
        <v>111</v>
      </c>
      <c r="C846" t="s">
        <v>111</v>
      </c>
      <c r="D846" t="s">
        <v>91</v>
      </c>
      <c r="E846" s="1" t="s">
        <v>104</v>
      </c>
      <c r="F846" t="s">
        <v>93</v>
      </c>
      <c r="G846" t="s">
        <v>15</v>
      </c>
      <c r="H846">
        <v>4</v>
      </c>
      <c r="I846">
        <v>0</v>
      </c>
    </row>
    <row r="847" spans="1:9" x14ac:dyDescent="0.25">
      <c r="A847" s="5" t="str">
        <f>TrendSheetPrdData[[#This Row],[Population]]&amp;TrendSheetPrdData[[#This Row],[Cost Basis]]&amp;TrendSheetPrdData[[#This Row],[Period]]&amp;TrendSheetPrdData[[#This Row],[Trend]]</f>
        <v>OTHERSAllowed2017-01-01Readmission Cost</v>
      </c>
      <c r="B847" t="s">
        <v>111</v>
      </c>
      <c r="C847" t="s">
        <v>111</v>
      </c>
      <c r="D847" t="s">
        <v>91</v>
      </c>
      <c r="E847" s="1" t="s">
        <v>105</v>
      </c>
      <c r="F847" t="s">
        <v>108</v>
      </c>
      <c r="G847" t="s">
        <v>15</v>
      </c>
      <c r="H847">
        <v>4</v>
      </c>
      <c r="I847">
        <v>0</v>
      </c>
    </row>
    <row r="848" spans="1:9" x14ac:dyDescent="0.25">
      <c r="A848" s="5" t="str">
        <f>TrendSheetPrdData[[#This Row],[Population]]&amp;TrendSheetPrdData[[#This Row],[Cost Basis]]&amp;TrendSheetPrdData[[#This Row],[Period]]&amp;TrendSheetPrdData[[#This Row],[Trend]]</f>
        <v>OTHERSAllowed2017-02-01Readmission Cost</v>
      </c>
      <c r="B848" t="s">
        <v>111</v>
      </c>
      <c r="C848" t="s">
        <v>111</v>
      </c>
      <c r="D848" t="s">
        <v>91</v>
      </c>
      <c r="E848" s="1" t="s">
        <v>106</v>
      </c>
      <c r="F848" t="s">
        <v>108</v>
      </c>
      <c r="G848" t="s">
        <v>15</v>
      </c>
      <c r="H848">
        <v>4</v>
      </c>
      <c r="I848">
        <v>25079.97</v>
      </c>
    </row>
    <row r="849" spans="1:9" x14ac:dyDescent="0.25">
      <c r="A849" s="5" t="str">
        <f>TrendSheetPrdData[[#This Row],[Population]]&amp;TrendSheetPrdData[[#This Row],[Cost Basis]]&amp;TrendSheetPrdData[[#This Row],[Period]]&amp;TrendSheetPrdData[[#This Row],[Trend]]</f>
        <v>OTHERSAllowed2017-03-01Readmission Cost</v>
      </c>
      <c r="B849" t="s">
        <v>111</v>
      </c>
      <c r="C849" t="s">
        <v>111</v>
      </c>
      <c r="D849" t="s">
        <v>91</v>
      </c>
      <c r="E849" s="1" t="s">
        <v>107</v>
      </c>
      <c r="F849" t="s">
        <v>108</v>
      </c>
      <c r="G849" t="s">
        <v>15</v>
      </c>
      <c r="H849">
        <v>4</v>
      </c>
      <c r="I849">
        <v>0</v>
      </c>
    </row>
    <row r="850" spans="1:9" x14ac:dyDescent="0.25">
      <c r="A850" s="5" t="str">
        <f>TrendSheetPrdData[[#This Row],[Population]]&amp;TrendSheetPrdData[[#This Row],[Cost Basis]]&amp;TrendSheetPrdData[[#This Row],[Period]]&amp;TrendSheetPrdData[[#This Row],[Trend]]</f>
        <v>OTHERSAllowed2017-04-01Readmission Cost</v>
      </c>
      <c r="B850" t="s">
        <v>111</v>
      </c>
      <c r="C850" t="s">
        <v>111</v>
      </c>
      <c r="D850" t="s">
        <v>91</v>
      </c>
      <c r="E850" s="1" t="s">
        <v>109</v>
      </c>
      <c r="F850" t="s">
        <v>108</v>
      </c>
      <c r="G850" t="s">
        <v>15</v>
      </c>
      <c r="H850">
        <v>4</v>
      </c>
      <c r="I850">
        <v>0</v>
      </c>
    </row>
    <row r="851" spans="1:9" x14ac:dyDescent="0.25">
      <c r="A851" s="5" t="str">
        <f>TrendSheetPrdData[[#This Row],[Population]]&amp;TrendSheetPrdData[[#This Row],[Cost Basis]]&amp;TrendSheetPrdData[[#This Row],[Period]]&amp;TrendSheetPrdData[[#This Row],[Trend]]</f>
        <v>OTHERSAllowed2017-05-01Readmission Cost</v>
      </c>
      <c r="B851" t="s">
        <v>111</v>
      </c>
      <c r="C851" t="s">
        <v>111</v>
      </c>
      <c r="D851" t="s">
        <v>91</v>
      </c>
      <c r="E851" s="1" t="s">
        <v>110</v>
      </c>
      <c r="F851" t="s">
        <v>108</v>
      </c>
      <c r="G851" t="s">
        <v>15</v>
      </c>
      <c r="H851">
        <v>4</v>
      </c>
      <c r="I851">
        <v>0</v>
      </c>
    </row>
    <row r="852" spans="1:9" x14ac:dyDescent="0.25">
      <c r="A852" s="5" t="str">
        <f>TrendSheetPrdData[[#This Row],[Population]]&amp;TrendSheetPrdData[[#This Row],[Cost Basis]]&amp;TrendSheetPrdData[[#This Row],[Period]]&amp;TrendSheetPrdData[[#This Row],[Trend]]</f>
        <v>OTHERSAllowed2016-01-01Readmission Quality</v>
      </c>
      <c r="B852" t="s">
        <v>111</v>
      </c>
      <c r="C852" t="s">
        <v>111</v>
      </c>
      <c r="D852" t="s">
        <v>91</v>
      </c>
      <c r="E852" s="1" t="s">
        <v>92</v>
      </c>
      <c r="F852" t="s">
        <v>93</v>
      </c>
      <c r="G852" t="s">
        <v>16</v>
      </c>
      <c r="H852">
        <v>5</v>
      </c>
      <c r="I852">
        <v>1</v>
      </c>
    </row>
    <row r="853" spans="1:9" x14ac:dyDescent="0.25">
      <c r="A853" s="5" t="str">
        <f>TrendSheetPrdData[[#This Row],[Population]]&amp;TrendSheetPrdData[[#This Row],[Cost Basis]]&amp;TrendSheetPrdData[[#This Row],[Period]]&amp;TrendSheetPrdData[[#This Row],[Trend]]</f>
        <v>OTHERSAllowed2016-02-01Readmission Quality</v>
      </c>
      <c r="B853" t="s">
        <v>111</v>
      </c>
      <c r="C853" t="s">
        <v>111</v>
      </c>
      <c r="D853" t="s">
        <v>91</v>
      </c>
      <c r="E853" s="1" t="s">
        <v>94</v>
      </c>
      <c r="F853" t="s">
        <v>93</v>
      </c>
      <c r="G853" t="s">
        <v>16</v>
      </c>
      <c r="H853">
        <v>5</v>
      </c>
      <c r="I853">
        <v>0</v>
      </c>
    </row>
    <row r="854" spans="1:9" x14ac:dyDescent="0.25">
      <c r="A854" s="5" t="str">
        <f>TrendSheetPrdData[[#This Row],[Population]]&amp;TrendSheetPrdData[[#This Row],[Cost Basis]]&amp;TrendSheetPrdData[[#This Row],[Period]]&amp;TrendSheetPrdData[[#This Row],[Trend]]</f>
        <v>OTHERSAllowed2016-03-01Readmission Quality</v>
      </c>
      <c r="B854" t="s">
        <v>111</v>
      </c>
      <c r="C854" t="s">
        <v>111</v>
      </c>
      <c r="D854" t="s">
        <v>91</v>
      </c>
      <c r="E854" s="1" t="s">
        <v>95</v>
      </c>
      <c r="F854" t="s">
        <v>93</v>
      </c>
      <c r="G854" t="s">
        <v>16</v>
      </c>
      <c r="H854">
        <v>5</v>
      </c>
      <c r="I854">
        <v>1</v>
      </c>
    </row>
    <row r="855" spans="1:9" x14ac:dyDescent="0.25">
      <c r="A855" s="5" t="str">
        <f>TrendSheetPrdData[[#This Row],[Population]]&amp;TrendSheetPrdData[[#This Row],[Cost Basis]]&amp;TrendSheetPrdData[[#This Row],[Period]]&amp;TrendSheetPrdData[[#This Row],[Trend]]</f>
        <v>OTHERSAllowed2016-04-01Readmission Quality</v>
      </c>
      <c r="B855" t="s">
        <v>111</v>
      </c>
      <c r="C855" t="s">
        <v>111</v>
      </c>
      <c r="D855" t="s">
        <v>91</v>
      </c>
      <c r="E855" s="1" t="s">
        <v>96</v>
      </c>
      <c r="F855" t="s">
        <v>93</v>
      </c>
      <c r="G855" t="s">
        <v>16</v>
      </c>
      <c r="H855">
        <v>5</v>
      </c>
      <c r="I855">
        <v>3</v>
      </c>
    </row>
    <row r="856" spans="1:9" x14ac:dyDescent="0.25">
      <c r="A856" s="5" t="str">
        <f>TrendSheetPrdData[[#This Row],[Population]]&amp;TrendSheetPrdData[[#This Row],[Cost Basis]]&amp;TrendSheetPrdData[[#This Row],[Period]]&amp;TrendSheetPrdData[[#This Row],[Trend]]</f>
        <v>OTHERSAllowed2016-05-01Readmission Quality</v>
      </c>
      <c r="B856" t="s">
        <v>111</v>
      </c>
      <c r="C856" t="s">
        <v>111</v>
      </c>
      <c r="D856" t="s">
        <v>91</v>
      </c>
      <c r="E856" s="1" t="s">
        <v>97</v>
      </c>
      <c r="F856" t="s">
        <v>93</v>
      </c>
      <c r="G856" t="s">
        <v>16</v>
      </c>
      <c r="H856">
        <v>5</v>
      </c>
      <c r="I856">
        <v>0</v>
      </c>
    </row>
    <row r="857" spans="1:9" x14ac:dyDescent="0.25">
      <c r="A857" s="5" t="str">
        <f>TrendSheetPrdData[[#This Row],[Population]]&amp;TrendSheetPrdData[[#This Row],[Cost Basis]]&amp;TrendSheetPrdData[[#This Row],[Period]]&amp;TrendSheetPrdData[[#This Row],[Trend]]</f>
        <v>OTHERSAllowed2016-06-01Readmission Quality</v>
      </c>
      <c r="B857" t="s">
        <v>111</v>
      </c>
      <c r="C857" t="s">
        <v>111</v>
      </c>
      <c r="D857" t="s">
        <v>91</v>
      </c>
      <c r="E857" s="1" t="s">
        <v>98</v>
      </c>
      <c r="F857" t="s">
        <v>93</v>
      </c>
      <c r="G857" t="s">
        <v>16</v>
      </c>
      <c r="H857">
        <v>5</v>
      </c>
      <c r="I857">
        <v>0</v>
      </c>
    </row>
    <row r="858" spans="1:9" x14ac:dyDescent="0.25">
      <c r="A858" s="5" t="str">
        <f>TrendSheetPrdData[[#This Row],[Population]]&amp;TrendSheetPrdData[[#This Row],[Cost Basis]]&amp;TrendSheetPrdData[[#This Row],[Period]]&amp;TrendSheetPrdData[[#This Row],[Trend]]</f>
        <v>OTHERSAllowed2016-07-01Readmission Quality</v>
      </c>
      <c r="B858" t="s">
        <v>111</v>
      </c>
      <c r="C858" t="s">
        <v>111</v>
      </c>
      <c r="D858" t="s">
        <v>91</v>
      </c>
      <c r="E858" s="1" t="s">
        <v>99</v>
      </c>
      <c r="F858" t="s">
        <v>93</v>
      </c>
      <c r="G858" t="s">
        <v>16</v>
      </c>
      <c r="H858">
        <v>5</v>
      </c>
      <c r="I858">
        <v>2</v>
      </c>
    </row>
    <row r="859" spans="1:9" x14ac:dyDescent="0.25">
      <c r="A859" s="5" t="str">
        <f>TrendSheetPrdData[[#This Row],[Population]]&amp;TrendSheetPrdData[[#This Row],[Cost Basis]]&amp;TrendSheetPrdData[[#This Row],[Period]]&amp;TrendSheetPrdData[[#This Row],[Trend]]</f>
        <v>OTHERSAllowed2016-08-01Readmission Quality</v>
      </c>
      <c r="B859" t="s">
        <v>111</v>
      </c>
      <c r="C859" t="s">
        <v>111</v>
      </c>
      <c r="D859" t="s">
        <v>91</v>
      </c>
      <c r="E859" s="1" t="s">
        <v>100</v>
      </c>
      <c r="F859" t="s">
        <v>93</v>
      </c>
      <c r="G859" t="s">
        <v>16</v>
      </c>
      <c r="H859">
        <v>5</v>
      </c>
      <c r="I859">
        <v>0</v>
      </c>
    </row>
    <row r="860" spans="1:9" x14ac:dyDescent="0.25">
      <c r="A860" s="5" t="str">
        <f>TrendSheetPrdData[[#This Row],[Population]]&amp;TrendSheetPrdData[[#This Row],[Cost Basis]]&amp;TrendSheetPrdData[[#This Row],[Period]]&amp;TrendSheetPrdData[[#This Row],[Trend]]</f>
        <v>OTHERSAllowed2016-09-01Readmission Quality</v>
      </c>
      <c r="B860" t="s">
        <v>111</v>
      </c>
      <c r="C860" t="s">
        <v>111</v>
      </c>
      <c r="D860" t="s">
        <v>91</v>
      </c>
      <c r="E860" s="1" t="s">
        <v>101</v>
      </c>
      <c r="F860" t="s">
        <v>93</v>
      </c>
      <c r="G860" t="s">
        <v>16</v>
      </c>
      <c r="H860">
        <v>5</v>
      </c>
      <c r="I860">
        <v>1</v>
      </c>
    </row>
    <row r="861" spans="1:9" x14ac:dyDescent="0.25">
      <c r="A861" s="5" t="str">
        <f>TrendSheetPrdData[[#This Row],[Population]]&amp;TrendSheetPrdData[[#This Row],[Cost Basis]]&amp;TrendSheetPrdData[[#This Row],[Period]]&amp;TrendSheetPrdData[[#This Row],[Trend]]</f>
        <v>OTHERSAllowed2016-10-01Readmission Quality</v>
      </c>
      <c r="B861" t="s">
        <v>111</v>
      </c>
      <c r="C861" t="s">
        <v>111</v>
      </c>
      <c r="D861" t="s">
        <v>91</v>
      </c>
      <c r="E861" s="1" t="s">
        <v>102</v>
      </c>
      <c r="F861" t="s">
        <v>93</v>
      </c>
      <c r="G861" t="s">
        <v>16</v>
      </c>
      <c r="H861">
        <v>5</v>
      </c>
      <c r="I861">
        <v>0</v>
      </c>
    </row>
    <row r="862" spans="1:9" x14ac:dyDescent="0.25">
      <c r="A862" s="5" t="str">
        <f>TrendSheetPrdData[[#This Row],[Population]]&amp;TrendSheetPrdData[[#This Row],[Cost Basis]]&amp;TrendSheetPrdData[[#This Row],[Period]]&amp;TrendSheetPrdData[[#This Row],[Trend]]</f>
        <v>OTHERSAllowed2016-11-01Readmission Quality</v>
      </c>
      <c r="B862" t="s">
        <v>111</v>
      </c>
      <c r="C862" t="s">
        <v>111</v>
      </c>
      <c r="D862" t="s">
        <v>91</v>
      </c>
      <c r="E862" s="1" t="s">
        <v>103</v>
      </c>
      <c r="F862" t="s">
        <v>93</v>
      </c>
      <c r="G862" t="s">
        <v>16</v>
      </c>
      <c r="H862">
        <v>5</v>
      </c>
      <c r="I862">
        <v>2</v>
      </c>
    </row>
    <row r="863" spans="1:9" x14ac:dyDescent="0.25">
      <c r="A863" s="5" t="str">
        <f>TrendSheetPrdData[[#This Row],[Population]]&amp;TrendSheetPrdData[[#This Row],[Cost Basis]]&amp;TrendSheetPrdData[[#This Row],[Period]]&amp;TrendSheetPrdData[[#This Row],[Trend]]</f>
        <v>OTHERSAllowed2016-12-01Readmission Quality</v>
      </c>
      <c r="B863" t="s">
        <v>111</v>
      </c>
      <c r="C863" t="s">
        <v>111</v>
      </c>
      <c r="D863" t="s">
        <v>91</v>
      </c>
      <c r="E863" s="1" t="s">
        <v>104</v>
      </c>
      <c r="F863" t="s">
        <v>93</v>
      </c>
      <c r="G863" t="s">
        <v>16</v>
      </c>
      <c r="H863">
        <v>5</v>
      </c>
      <c r="I863">
        <v>0</v>
      </c>
    </row>
    <row r="864" spans="1:9" x14ac:dyDescent="0.25">
      <c r="A864" s="5" t="str">
        <f>TrendSheetPrdData[[#This Row],[Population]]&amp;TrendSheetPrdData[[#This Row],[Cost Basis]]&amp;TrendSheetPrdData[[#This Row],[Period]]&amp;TrendSheetPrdData[[#This Row],[Trend]]</f>
        <v>OTHERSAllowed2017-01-01Readmission Quality</v>
      </c>
      <c r="B864" t="s">
        <v>111</v>
      </c>
      <c r="C864" t="s">
        <v>111</v>
      </c>
      <c r="D864" t="s">
        <v>91</v>
      </c>
      <c r="E864" s="1" t="s">
        <v>105</v>
      </c>
      <c r="F864" t="s">
        <v>108</v>
      </c>
      <c r="G864" t="s">
        <v>16</v>
      </c>
      <c r="H864">
        <v>5</v>
      </c>
      <c r="I864">
        <v>0</v>
      </c>
    </row>
    <row r="865" spans="1:9" x14ac:dyDescent="0.25">
      <c r="A865" s="5" t="str">
        <f>TrendSheetPrdData[[#This Row],[Population]]&amp;TrendSheetPrdData[[#This Row],[Cost Basis]]&amp;TrendSheetPrdData[[#This Row],[Period]]&amp;TrendSheetPrdData[[#This Row],[Trend]]</f>
        <v>OTHERSAllowed2017-02-01Readmission Quality</v>
      </c>
      <c r="B865" t="s">
        <v>111</v>
      </c>
      <c r="C865" t="s">
        <v>111</v>
      </c>
      <c r="D865" t="s">
        <v>91</v>
      </c>
      <c r="E865" s="1" t="s">
        <v>106</v>
      </c>
      <c r="F865" t="s">
        <v>108</v>
      </c>
      <c r="G865" t="s">
        <v>16</v>
      </c>
      <c r="H865">
        <v>5</v>
      </c>
      <c r="I865">
        <v>1</v>
      </c>
    </row>
    <row r="866" spans="1:9" x14ac:dyDescent="0.25">
      <c r="A866" s="5" t="str">
        <f>TrendSheetPrdData[[#This Row],[Population]]&amp;TrendSheetPrdData[[#This Row],[Cost Basis]]&amp;TrendSheetPrdData[[#This Row],[Period]]&amp;TrendSheetPrdData[[#This Row],[Trend]]</f>
        <v>OTHERSAllowed2017-03-01Readmission Quality</v>
      </c>
      <c r="B866" t="s">
        <v>111</v>
      </c>
      <c r="C866" t="s">
        <v>111</v>
      </c>
      <c r="D866" t="s">
        <v>91</v>
      </c>
      <c r="E866" s="1" t="s">
        <v>107</v>
      </c>
      <c r="F866" t="s">
        <v>108</v>
      </c>
      <c r="G866" t="s">
        <v>16</v>
      </c>
      <c r="H866">
        <v>5</v>
      </c>
      <c r="I866">
        <v>0</v>
      </c>
    </row>
    <row r="867" spans="1:9" x14ac:dyDescent="0.25">
      <c r="A867" s="5" t="str">
        <f>TrendSheetPrdData[[#This Row],[Population]]&amp;TrendSheetPrdData[[#This Row],[Cost Basis]]&amp;TrendSheetPrdData[[#This Row],[Period]]&amp;TrendSheetPrdData[[#This Row],[Trend]]</f>
        <v>OTHERSAllowed2017-04-01Readmission Quality</v>
      </c>
      <c r="B867" t="s">
        <v>111</v>
      </c>
      <c r="C867" t="s">
        <v>111</v>
      </c>
      <c r="D867" t="s">
        <v>91</v>
      </c>
      <c r="E867" s="1" t="s">
        <v>109</v>
      </c>
      <c r="F867" t="s">
        <v>108</v>
      </c>
      <c r="G867" t="s">
        <v>16</v>
      </c>
      <c r="H867">
        <v>5</v>
      </c>
      <c r="I867">
        <v>0</v>
      </c>
    </row>
    <row r="868" spans="1:9" x14ac:dyDescent="0.25">
      <c r="A868" s="5" t="str">
        <f>TrendSheetPrdData[[#This Row],[Population]]&amp;TrendSheetPrdData[[#This Row],[Cost Basis]]&amp;TrendSheetPrdData[[#This Row],[Period]]&amp;TrendSheetPrdData[[#This Row],[Trend]]</f>
        <v>OTHERSAllowed2017-05-01Readmission Quality</v>
      </c>
      <c r="B868" t="s">
        <v>111</v>
      </c>
      <c r="C868" t="s">
        <v>111</v>
      </c>
      <c r="D868" t="s">
        <v>91</v>
      </c>
      <c r="E868" s="1" t="s">
        <v>110</v>
      </c>
      <c r="F868" t="s">
        <v>108</v>
      </c>
      <c r="G868" t="s">
        <v>16</v>
      </c>
      <c r="H868">
        <v>5</v>
      </c>
      <c r="I868">
        <v>0</v>
      </c>
    </row>
    <row r="869" spans="1:9" x14ac:dyDescent="0.25">
      <c r="A869" s="5" t="str">
        <f>TrendSheetPrdData[[#This Row],[Population]]&amp;TrendSheetPrdData[[#This Row],[Cost Basis]]&amp;TrendSheetPrdData[[#This Row],[Period]]&amp;TrendSheetPrdData[[#This Row],[Trend]]</f>
        <v>OTHERSAllowed2016-01-01Avoidable Admission Cost</v>
      </c>
      <c r="B869" t="s">
        <v>111</v>
      </c>
      <c r="C869" t="s">
        <v>111</v>
      </c>
      <c r="D869" t="s">
        <v>91</v>
      </c>
      <c r="E869" s="1" t="s">
        <v>92</v>
      </c>
      <c r="F869" t="s">
        <v>93</v>
      </c>
      <c r="G869" t="s">
        <v>17</v>
      </c>
      <c r="H869">
        <v>6</v>
      </c>
      <c r="I869">
        <v>5268.9</v>
      </c>
    </row>
    <row r="870" spans="1:9" x14ac:dyDescent="0.25">
      <c r="A870" s="5" t="str">
        <f>TrendSheetPrdData[[#This Row],[Population]]&amp;TrendSheetPrdData[[#This Row],[Cost Basis]]&amp;TrendSheetPrdData[[#This Row],[Period]]&amp;TrendSheetPrdData[[#This Row],[Trend]]</f>
        <v>OTHERSAllowed2016-02-01Avoidable Admission Cost</v>
      </c>
      <c r="B870" t="s">
        <v>111</v>
      </c>
      <c r="C870" t="s">
        <v>111</v>
      </c>
      <c r="D870" t="s">
        <v>91</v>
      </c>
      <c r="E870" s="1" t="s">
        <v>94</v>
      </c>
      <c r="F870" t="s">
        <v>93</v>
      </c>
      <c r="G870" t="s">
        <v>17</v>
      </c>
      <c r="H870">
        <v>6</v>
      </c>
      <c r="I870">
        <v>0</v>
      </c>
    </row>
    <row r="871" spans="1:9" x14ac:dyDescent="0.25">
      <c r="A871" s="5" t="str">
        <f>TrendSheetPrdData[[#This Row],[Population]]&amp;TrendSheetPrdData[[#This Row],[Cost Basis]]&amp;TrendSheetPrdData[[#This Row],[Period]]&amp;TrendSheetPrdData[[#This Row],[Trend]]</f>
        <v>OTHERSAllowed2016-03-01Avoidable Admission Cost</v>
      </c>
      <c r="B871" t="s">
        <v>111</v>
      </c>
      <c r="C871" t="s">
        <v>111</v>
      </c>
      <c r="D871" t="s">
        <v>91</v>
      </c>
      <c r="E871" s="1" t="s">
        <v>95</v>
      </c>
      <c r="F871" t="s">
        <v>93</v>
      </c>
      <c r="G871" t="s">
        <v>17</v>
      </c>
      <c r="H871">
        <v>6</v>
      </c>
      <c r="I871">
        <v>0</v>
      </c>
    </row>
    <row r="872" spans="1:9" x14ac:dyDescent="0.25">
      <c r="A872" s="5" t="str">
        <f>TrendSheetPrdData[[#This Row],[Population]]&amp;TrendSheetPrdData[[#This Row],[Cost Basis]]&amp;TrendSheetPrdData[[#This Row],[Period]]&amp;TrendSheetPrdData[[#This Row],[Trend]]</f>
        <v>OTHERSAllowed2016-04-01Avoidable Admission Cost</v>
      </c>
      <c r="B872" t="s">
        <v>111</v>
      </c>
      <c r="C872" t="s">
        <v>111</v>
      </c>
      <c r="D872" t="s">
        <v>91</v>
      </c>
      <c r="E872" s="1" t="s">
        <v>96</v>
      </c>
      <c r="F872" t="s">
        <v>93</v>
      </c>
      <c r="G872" t="s">
        <v>17</v>
      </c>
      <c r="H872">
        <v>6</v>
      </c>
      <c r="I872">
        <v>72800.25</v>
      </c>
    </row>
    <row r="873" spans="1:9" x14ac:dyDescent="0.25">
      <c r="A873" s="5" t="str">
        <f>TrendSheetPrdData[[#This Row],[Population]]&amp;TrendSheetPrdData[[#This Row],[Cost Basis]]&amp;TrendSheetPrdData[[#This Row],[Period]]&amp;TrendSheetPrdData[[#This Row],[Trend]]</f>
        <v>OTHERSAllowed2016-05-01Avoidable Admission Cost</v>
      </c>
      <c r="B873" t="s">
        <v>111</v>
      </c>
      <c r="C873" t="s">
        <v>111</v>
      </c>
      <c r="D873" t="s">
        <v>91</v>
      </c>
      <c r="E873" s="1" t="s">
        <v>97</v>
      </c>
      <c r="F873" t="s">
        <v>93</v>
      </c>
      <c r="G873" t="s">
        <v>17</v>
      </c>
      <c r="H873">
        <v>6</v>
      </c>
      <c r="I873">
        <v>0</v>
      </c>
    </row>
    <row r="874" spans="1:9" x14ac:dyDescent="0.25">
      <c r="A874" s="5" t="str">
        <f>TrendSheetPrdData[[#This Row],[Population]]&amp;TrendSheetPrdData[[#This Row],[Cost Basis]]&amp;TrendSheetPrdData[[#This Row],[Period]]&amp;TrendSheetPrdData[[#This Row],[Trend]]</f>
        <v>OTHERSAllowed2016-06-01Avoidable Admission Cost</v>
      </c>
      <c r="B874" t="s">
        <v>111</v>
      </c>
      <c r="C874" t="s">
        <v>111</v>
      </c>
      <c r="D874" t="s">
        <v>91</v>
      </c>
      <c r="E874" s="1" t="s">
        <v>98</v>
      </c>
      <c r="F874" t="s">
        <v>93</v>
      </c>
      <c r="G874" t="s">
        <v>17</v>
      </c>
      <c r="H874">
        <v>6</v>
      </c>
      <c r="I874">
        <v>0</v>
      </c>
    </row>
    <row r="875" spans="1:9" x14ac:dyDescent="0.25">
      <c r="A875" s="5" t="str">
        <f>TrendSheetPrdData[[#This Row],[Population]]&amp;TrendSheetPrdData[[#This Row],[Cost Basis]]&amp;TrendSheetPrdData[[#This Row],[Period]]&amp;TrendSheetPrdData[[#This Row],[Trend]]</f>
        <v>OTHERSAllowed2016-07-01Avoidable Admission Cost</v>
      </c>
      <c r="B875" t="s">
        <v>111</v>
      </c>
      <c r="C875" t="s">
        <v>111</v>
      </c>
      <c r="D875" t="s">
        <v>91</v>
      </c>
      <c r="E875" s="1" t="s">
        <v>99</v>
      </c>
      <c r="F875" t="s">
        <v>93</v>
      </c>
      <c r="G875" t="s">
        <v>17</v>
      </c>
      <c r="H875">
        <v>6</v>
      </c>
      <c r="I875">
        <v>11207.61</v>
      </c>
    </row>
    <row r="876" spans="1:9" x14ac:dyDescent="0.25">
      <c r="A876" s="5" t="str">
        <f>TrendSheetPrdData[[#This Row],[Population]]&amp;TrendSheetPrdData[[#This Row],[Cost Basis]]&amp;TrendSheetPrdData[[#This Row],[Period]]&amp;TrendSheetPrdData[[#This Row],[Trend]]</f>
        <v>OTHERSAllowed2016-08-01Avoidable Admission Cost</v>
      </c>
      <c r="B876" t="s">
        <v>111</v>
      </c>
      <c r="C876" t="s">
        <v>111</v>
      </c>
      <c r="D876" t="s">
        <v>91</v>
      </c>
      <c r="E876" s="1" t="s">
        <v>100</v>
      </c>
      <c r="F876" t="s">
        <v>93</v>
      </c>
      <c r="G876" t="s">
        <v>17</v>
      </c>
      <c r="H876">
        <v>6</v>
      </c>
      <c r="I876">
        <v>0</v>
      </c>
    </row>
    <row r="877" spans="1:9" x14ac:dyDescent="0.25">
      <c r="A877" s="5" t="str">
        <f>TrendSheetPrdData[[#This Row],[Population]]&amp;TrendSheetPrdData[[#This Row],[Cost Basis]]&amp;TrendSheetPrdData[[#This Row],[Period]]&amp;TrendSheetPrdData[[#This Row],[Trend]]</f>
        <v>OTHERSAllowed2016-09-01Avoidable Admission Cost</v>
      </c>
      <c r="B877" t="s">
        <v>111</v>
      </c>
      <c r="C877" t="s">
        <v>111</v>
      </c>
      <c r="D877" t="s">
        <v>91</v>
      </c>
      <c r="E877" s="1" t="s">
        <v>101</v>
      </c>
      <c r="F877" t="s">
        <v>93</v>
      </c>
      <c r="G877" t="s">
        <v>17</v>
      </c>
      <c r="H877">
        <v>6</v>
      </c>
      <c r="I877">
        <v>0</v>
      </c>
    </row>
    <row r="878" spans="1:9" x14ac:dyDescent="0.25">
      <c r="A878" s="5" t="str">
        <f>TrendSheetPrdData[[#This Row],[Population]]&amp;TrendSheetPrdData[[#This Row],[Cost Basis]]&amp;TrendSheetPrdData[[#This Row],[Period]]&amp;TrendSheetPrdData[[#This Row],[Trend]]</f>
        <v>OTHERSAllowed2016-10-01Avoidable Admission Cost</v>
      </c>
      <c r="B878" t="s">
        <v>111</v>
      </c>
      <c r="C878" t="s">
        <v>111</v>
      </c>
      <c r="D878" t="s">
        <v>91</v>
      </c>
      <c r="E878" s="1" t="s">
        <v>102</v>
      </c>
      <c r="F878" t="s">
        <v>93</v>
      </c>
      <c r="G878" t="s">
        <v>17</v>
      </c>
      <c r="H878">
        <v>6</v>
      </c>
      <c r="I878">
        <v>8351.01</v>
      </c>
    </row>
    <row r="879" spans="1:9" x14ac:dyDescent="0.25">
      <c r="A879" s="5" t="str">
        <f>TrendSheetPrdData[[#This Row],[Population]]&amp;TrendSheetPrdData[[#This Row],[Cost Basis]]&amp;TrendSheetPrdData[[#This Row],[Period]]&amp;TrendSheetPrdData[[#This Row],[Trend]]</f>
        <v>OTHERSAllowed2016-11-01Avoidable Admission Cost</v>
      </c>
      <c r="B879" t="s">
        <v>111</v>
      </c>
      <c r="C879" t="s">
        <v>111</v>
      </c>
      <c r="D879" t="s">
        <v>91</v>
      </c>
      <c r="E879" s="1" t="s">
        <v>103</v>
      </c>
      <c r="F879" t="s">
        <v>93</v>
      </c>
      <c r="G879" t="s">
        <v>17</v>
      </c>
      <c r="H879">
        <v>6</v>
      </c>
      <c r="I879">
        <v>31217.65</v>
      </c>
    </row>
    <row r="880" spans="1:9" x14ac:dyDescent="0.25">
      <c r="A880" s="5" t="str">
        <f>TrendSheetPrdData[[#This Row],[Population]]&amp;TrendSheetPrdData[[#This Row],[Cost Basis]]&amp;TrendSheetPrdData[[#This Row],[Period]]&amp;TrendSheetPrdData[[#This Row],[Trend]]</f>
        <v>OTHERSAllowed2016-12-01Avoidable Admission Cost</v>
      </c>
      <c r="B880" t="s">
        <v>111</v>
      </c>
      <c r="C880" t="s">
        <v>111</v>
      </c>
      <c r="D880" t="s">
        <v>91</v>
      </c>
      <c r="E880" s="1" t="s">
        <v>104</v>
      </c>
      <c r="F880" t="s">
        <v>93</v>
      </c>
      <c r="G880" t="s">
        <v>17</v>
      </c>
      <c r="H880">
        <v>6</v>
      </c>
      <c r="I880">
        <v>0</v>
      </c>
    </row>
    <row r="881" spans="1:9" x14ac:dyDescent="0.25">
      <c r="A881" s="5" t="str">
        <f>TrendSheetPrdData[[#This Row],[Population]]&amp;TrendSheetPrdData[[#This Row],[Cost Basis]]&amp;TrendSheetPrdData[[#This Row],[Period]]&amp;TrendSheetPrdData[[#This Row],[Trend]]</f>
        <v>OTHERSAllowed2017-01-01Avoidable Admission Cost</v>
      </c>
      <c r="B881" t="s">
        <v>111</v>
      </c>
      <c r="C881" t="s">
        <v>111</v>
      </c>
      <c r="D881" t="s">
        <v>91</v>
      </c>
      <c r="E881" s="1" t="s">
        <v>105</v>
      </c>
      <c r="F881" t="s">
        <v>108</v>
      </c>
      <c r="G881" t="s">
        <v>17</v>
      </c>
      <c r="H881">
        <v>6</v>
      </c>
      <c r="I881">
        <v>7888.05</v>
      </c>
    </row>
    <row r="882" spans="1:9" x14ac:dyDescent="0.25">
      <c r="A882" s="5" t="str">
        <f>TrendSheetPrdData[[#This Row],[Population]]&amp;TrendSheetPrdData[[#This Row],[Cost Basis]]&amp;TrendSheetPrdData[[#This Row],[Period]]&amp;TrendSheetPrdData[[#This Row],[Trend]]</f>
        <v>OTHERSAllowed2017-02-01Avoidable Admission Cost</v>
      </c>
      <c r="B882" t="s">
        <v>111</v>
      </c>
      <c r="C882" t="s">
        <v>111</v>
      </c>
      <c r="D882" t="s">
        <v>91</v>
      </c>
      <c r="E882" s="1" t="s">
        <v>106</v>
      </c>
      <c r="F882" t="s">
        <v>108</v>
      </c>
      <c r="G882" t="s">
        <v>17</v>
      </c>
      <c r="H882">
        <v>6</v>
      </c>
      <c r="I882">
        <v>0</v>
      </c>
    </row>
    <row r="883" spans="1:9" x14ac:dyDescent="0.25">
      <c r="A883" s="5" t="str">
        <f>TrendSheetPrdData[[#This Row],[Population]]&amp;TrendSheetPrdData[[#This Row],[Cost Basis]]&amp;TrendSheetPrdData[[#This Row],[Period]]&amp;TrendSheetPrdData[[#This Row],[Trend]]</f>
        <v>OTHERSAllowed2017-03-01Avoidable Admission Cost</v>
      </c>
      <c r="B883" t="s">
        <v>111</v>
      </c>
      <c r="C883" t="s">
        <v>111</v>
      </c>
      <c r="D883" t="s">
        <v>91</v>
      </c>
      <c r="E883" s="1" t="s">
        <v>107</v>
      </c>
      <c r="F883" t="s">
        <v>108</v>
      </c>
      <c r="G883" t="s">
        <v>17</v>
      </c>
      <c r="H883">
        <v>6</v>
      </c>
      <c r="I883">
        <v>0</v>
      </c>
    </row>
    <row r="884" spans="1:9" x14ac:dyDescent="0.25">
      <c r="A884" s="5" t="str">
        <f>TrendSheetPrdData[[#This Row],[Population]]&amp;TrendSheetPrdData[[#This Row],[Cost Basis]]&amp;TrendSheetPrdData[[#This Row],[Period]]&amp;TrendSheetPrdData[[#This Row],[Trend]]</f>
        <v>OTHERSAllowed2017-04-01Avoidable Admission Cost</v>
      </c>
      <c r="B884" t="s">
        <v>111</v>
      </c>
      <c r="C884" t="s">
        <v>111</v>
      </c>
      <c r="D884" t="s">
        <v>91</v>
      </c>
      <c r="E884" s="1" t="s">
        <v>109</v>
      </c>
      <c r="F884" t="s">
        <v>108</v>
      </c>
      <c r="G884" t="s">
        <v>17</v>
      </c>
      <c r="H884">
        <v>6</v>
      </c>
      <c r="I884">
        <v>0</v>
      </c>
    </row>
    <row r="885" spans="1:9" x14ac:dyDescent="0.25">
      <c r="A885" s="5" t="str">
        <f>TrendSheetPrdData[[#This Row],[Population]]&amp;TrendSheetPrdData[[#This Row],[Cost Basis]]&amp;TrendSheetPrdData[[#This Row],[Period]]&amp;TrendSheetPrdData[[#This Row],[Trend]]</f>
        <v>OTHERSAllowed2017-05-01Avoidable Admission Cost</v>
      </c>
      <c r="B885" t="s">
        <v>111</v>
      </c>
      <c r="C885" t="s">
        <v>111</v>
      </c>
      <c r="D885" t="s">
        <v>91</v>
      </c>
      <c r="E885" s="1" t="s">
        <v>110</v>
      </c>
      <c r="F885" t="s">
        <v>108</v>
      </c>
      <c r="G885" t="s">
        <v>17</v>
      </c>
      <c r="H885">
        <v>6</v>
      </c>
      <c r="I885">
        <v>0</v>
      </c>
    </row>
    <row r="886" spans="1:9" x14ac:dyDescent="0.25">
      <c r="A886" s="5" t="str">
        <f>TrendSheetPrdData[[#This Row],[Population]]&amp;TrendSheetPrdData[[#This Row],[Cost Basis]]&amp;TrendSheetPrdData[[#This Row],[Period]]&amp;TrendSheetPrdData[[#This Row],[Trend]]</f>
        <v>OTHERSAllowed2016-01-01Avoidable Admission Quality</v>
      </c>
      <c r="B886" t="s">
        <v>111</v>
      </c>
      <c r="C886" t="s">
        <v>111</v>
      </c>
      <c r="D886" t="s">
        <v>91</v>
      </c>
      <c r="E886" s="1" t="s">
        <v>92</v>
      </c>
      <c r="F886" t="s">
        <v>93</v>
      </c>
      <c r="G886" t="s">
        <v>18</v>
      </c>
      <c r="H886">
        <v>7</v>
      </c>
      <c r="I886">
        <v>2</v>
      </c>
    </row>
    <row r="887" spans="1:9" x14ac:dyDescent="0.25">
      <c r="A887" s="5" t="str">
        <f>TrendSheetPrdData[[#This Row],[Population]]&amp;TrendSheetPrdData[[#This Row],[Cost Basis]]&amp;TrendSheetPrdData[[#This Row],[Period]]&amp;TrendSheetPrdData[[#This Row],[Trend]]</f>
        <v>OTHERSAllowed2016-02-01Avoidable Admission Quality</v>
      </c>
      <c r="B887" t="s">
        <v>111</v>
      </c>
      <c r="C887" t="s">
        <v>111</v>
      </c>
      <c r="D887" t="s">
        <v>91</v>
      </c>
      <c r="E887" s="1" t="s">
        <v>94</v>
      </c>
      <c r="F887" t="s">
        <v>93</v>
      </c>
      <c r="G887" t="s">
        <v>18</v>
      </c>
      <c r="H887">
        <v>7</v>
      </c>
      <c r="I887">
        <v>0</v>
      </c>
    </row>
    <row r="888" spans="1:9" x14ac:dyDescent="0.25">
      <c r="A888" s="5" t="str">
        <f>TrendSheetPrdData[[#This Row],[Population]]&amp;TrendSheetPrdData[[#This Row],[Cost Basis]]&amp;TrendSheetPrdData[[#This Row],[Period]]&amp;TrendSheetPrdData[[#This Row],[Trend]]</f>
        <v>OTHERSAllowed2016-03-01Avoidable Admission Quality</v>
      </c>
      <c r="B888" t="s">
        <v>111</v>
      </c>
      <c r="C888" t="s">
        <v>111</v>
      </c>
      <c r="D888" t="s">
        <v>91</v>
      </c>
      <c r="E888" s="1" t="s">
        <v>95</v>
      </c>
      <c r="F888" t="s">
        <v>93</v>
      </c>
      <c r="G888" t="s">
        <v>18</v>
      </c>
      <c r="H888">
        <v>7</v>
      </c>
      <c r="I888">
        <v>0</v>
      </c>
    </row>
    <row r="889" spans="1:9" x14ac:dyDescent="0.25">
      <c r="A889" s="5" t="str">
        <f>TrendSheetPrdData[[#This Row],[Population]]&amp;TrendSheetPrdData[[#This Row],[Cost Basis]]&amp;TrendSheetPrdData[[#This Row],[Period]]&amp;TrendSheetPrdData[[#This Row],[Trend]]</f>
        <v>OTHERSAllowed2016-04-01Avoidable Admission Quality</v>
      </c>
      <c r="B889" t="s">
        <v>111</v>
      </c>
      <c r="C889" t="s">
        <v>111</v>
      </c>
      <c r="D889" t="s">
        <v>91</v>
      </c>
      <c r="E889" s="1" t="s">
        <v>96</v>
      </c>
      <c r="F889" t="s">
        <v>93</v>
      </c>
      <c r="G889" t="s">
        <v>18</v>
      </c>
      <c r="H889">
        <v>7</v>
      </c>
      <c r="I889">
        <v>1</v>
      </c>
    </row>
    <row r="890" spans="1:9" x14ac:dyDescent="0.25">
      <c r="A890" s="5" t="str">
        <f>TrendSheetPrdData[[#This Row],[Population]]&amp;TrendSheetPrdData[[#This Row],[Cost Basis]]&amp;TrendSheetPrdData[[#This Row],[Period]]&amp;TrendSheetPrdData[[#This Row],[Trend]]</f>
        <v>OTHERSAllowed2016-05-01Avoidable Admission Quality</v>
      </c>
      <c r="B890" t="s">
        <v>111</v>
      </c>
      <c r="C890" t="s">
        <v>111</v>
      </c>
      <c r="D890" t="s">
        <v>91</v>
      </c>
      <c r="E890" s="1" t="s">
        <v>97</v>
      </c>
      <c r="F890" t="s">
        <v>93</v>
      </c>
      <c r="G890" t="s">
        <v>18</v>
      </c>
      <c r="H890">
        <v>7</v>
      </c>
      <c r="I890">
        <v>0</v>
      </c>
    </row>
    <row r="891" spans="1:9" x14ac:dyDescent="0.25">
      <c r="A891" s="5" t="str">
        <f>TrendSheetPrdData[[#This Row],[Population]]&amp;TrendSheetPrdData[[#This Row],[Cost Basis]]&amp;TrendSheetPrdData[[#This Row],[Period]]&amp;TrendSheetPrdData[[#This Row],[Trend]]</f>
        <v>OTHERSAllowed2016-06-01Avoidable Admission Quality</v>
      </c>
      <c r="B891" t="s">
        <v>111</v>
      </c>
      <c r="C891" t="s">
        <v>111</v>
      </c>
      <c r="D891" t="s">
        <v>91</v>
      </c>
      <c r="E891" s="1" t="s">
        <v>98</v>
      </c>
      <c r="F891" t="s">
        <v>93</v>
      </c>
      <c r="G891" t="s">
        <v>18</v>
      </c>
      <c r="H891">
        <v>7</v>
      </c>
      <c r="I891">
        <v>0</v>
      </c>
    </row>
    <row r="892" spans="1:9" x14ac:dyDescent="0.25">
      <c r="A892" s="5" t="str">
        <f>TrendSheetPrdData[[#This Row],[Population]]&amp;TrendSheetPrdData[[#This Row],[Cost Basis]]&amp;TrendSheetPrdData[[#This Row],[Period]]&amp;TrendSheetPrdData[[#This Row],[Trend]]</f>
        <v>OTHERSAllowed2016-07-01Avoidable Admission Quality</v>
      </c>
      <c r="B892" t="s">
        <v>111</v>
      </c>
      <c r="C892" t="s">
        <v>111</v>
      </c>
      <c r="D892" t="s">
        <v>91</v>
      </c>
      <c r="E892" s="1" t="s">
        <v>99</v>
      </c>
      <c r="F892" t="s">
        <v>93</v>
      </c>
      <c r="G892" t="s">
        <v>18</v>
      </c>
      <c r="H892">
        <v>7</v>
      </c>
      <c r="I892">
        <v>1</v>
      </c>
    </row>
    <row r="893" spans="1:9" x14ac:dyDescent="0.25">
      <c r="A893" s="5" t="str">
        <f>TrendSheetPrdData[[#This Row],[Population]]&amp;TrendSheetPrdData[[#This Row],[Cost Basis]]&amp;TrendSheetPrdData[[#This Row],[Period]]&amp;TrendSheetPrdData[[#This Row],[Trend]]</f>
        <v>OTHERSAllowed2016-08-01Avoidable Admission Quality</v>
      </c>
      <c r="B893" t="s">
        <v>111</v>
      </c>
      <c r="C893" t="s">
        <v>111</v>
      </c>
      <c r="D893" t="s">
        <v>91</v>
      </c>
      <c r="E893" s="1" t="s">
        <v>100</v>
      </c>
      <c r="F893" t="s">
        <v>93</v>
      </c>
      <c r="G893" t="s">
        <v>18</v>
      </c>
      <c r="H893">
        <v>7</v>
      </c>
      <c r="I893">
        <v>0</v>
      </c>
    </row>
    <row r="894" spans="1:9" x14ac:dyDescent="0.25">
      <c r="A894" s="5" t="str">
        <f>TrendSheetPrdData[[#This Row],[Population]]&amp;TrendSheetPrdData[[#This Row],[Cost Basis]]&amp;TrendSheetPrdData[[#This Row],[Period]]&amp;TrendSheetPrdData[[#This Row],[Trend]]</f>
        <v>OTHERSAllowed2016-09-01Avoidable Admission Quality</v>
      </c>
      <c r="B894" t="s">
        <v>111</v>
      </c>
      <c r="C894" t="s">
        <v>111</v>
      </c>
      <c r="D894" t="s">
        <v>91</v>
      </c>
      <c r="E894" s="1" t="s">
        <v>101</v>
      </c>
      <c r="F894" t="s">
        <v>93</v>
      </c>
      <c r="G894" t="s">
        <v>18</v>
      </c>
      <c r="H894">
        <v>7</v>
      </c>
      <c r="I894">
        <v>0</v>
      </c>
    </row>
    <row r="895" spans="1:9" x14ac:dyDescent="0.25">
      <c r="A895" s="5" t="str">
        <f>TrendSheetPrdData[[#This Row],[Population]]&amp;TrendSheetPrdData[[#This Row],[Cost Basis]]&amp;TrendSheetPrdData[[#This Row],[Period]]&amp;TrendSheetPrdData[[#This Row],[Trend]]</f>
        <v>OTHERSAllowed2016-10-01Avoidable Admission Quality</v>
      </c>
      <c r="B895" t="s">
        <v>111</v>
      </c>
      <c r="C895" t="s">
        <v>111</v>
      </c>
      <c r="D895" t="s">
        <v>91</v>
      </c>
      <c r="E895" s="1" t="s">
        <v>102</v>
      </c>
      <c r="F895" t="s">
        <v>93</v>
      </c>
      <c r="G895" t="s">
        <v>18</v>
      </c>
      <c r="H895">
        <v>7</v>
      </c>
      <c r="I895">
        <v>1</v>
      </c>
    </row>
    <row r="896" spans="1:9" x14ac:dyDescent="0.25">
      <c r="A896" s="5" t="str">
        <f>TrendSheetPrdData[[#This Row],[Population]]&amp;TrendSheetPrdData[[#This Row],[Cost Basis]]&amp;TrendSheetPrdData[[#This Row],[Period]]&amp;TrendSheetPrdData[[#This Row],[Trend]]</f>
        <v>OTHERSAllowed2016-11-01Avoidable Admission Quality</v>
      </c>
      <c r="B896" t="s">
        <v>111</v>
      </c>
      <c r="C896" t="s">
        <v>111</v>
      </c>
      <c r="D896" t="s">
        <v>91</v>
      </c>
      <c r="E896" s="1" t="s">
        <v>103</v>
      </c>
      <c r="F896" t="s">
        <v>93</v>
      </c>
      <c r="G896" t="s">
        <v>18</v>
      </c>
      <c r="H896">
        <v>7</v>
      </c>
      <c r="I896">
        <v>2</v>
      </c>
    </row>
    <row r="897" spans="1:9" x14ac:dyDescent="0.25">
      <c r="A897" s="5" t="str">
        <f>TrendSheetPrdData[[#This Row],[Population]]&amp;TrendSheetPrdData[[#This Row],[Cost Basis]]&amp;TrendSheetPrdData[[#This Row],[Period]]&amp;TrendSheetPrdData[[#This Row],[Trend]]</f>
        <v>OTHERSAllowed2016-12-01Avoidable Admission Quality</v>
      </c>
      <c r="B897" t="s">
        <v>111</v>
      </c>
      <c r="C897" t="s">
        <v>111</v>
      </c>
      <c r="D897" t="s">
        <v>91</v>
      </c>
      <c r="E897" s="1" t="s">
        <v>104</v>
      </c>
      <c r="F897" t="s">
        <v>93</v>
      </c>
      <c r="G897" t="s">
        <v>18</v>
      </c>
      <c r="H897">
        <v>7</v>
      </c>
      <c r="I897">
        <v>0</v>
      </c>
    </row>
    <row r="898" spans="1:9" x14ac:dyDescent="0.25">
      <c r="A898" s="5" t="str">
        <f>TrendSheetPrdData[[#This Row],[Population]]&amp;TrendSheetPrdData[[#This Row],[Cost Basis]]&amp;TrendSheetPrdData[[#This Row],[Period]]&amp;TrendSheetPrdData[[#This Row],[Trend]]</f>
        <v>OTHERSAllowed2017-01-01Avoidable Admission Quality</v>
      </c>
      <c r="B898" t="s">
        <v>111</v>
      </c>
      <c r="C898" t="s">
        <v>111</v>
      </c>
      <c r="D898" t="s">
        <v>91</v>
      </c>
      <c r="E898" s="1" t="s">
        <v>105</v>
      </c>
      <c r="F898" t="s">
        <v>108</v>
      </c>
      <c r="G898" t="s">
        <v>18</v>
      </c>
      <c r="H898">
        <v>7</v>
      </c>
      <c r="I898">
        <v>1</v>
      </c>
    </row>
    <row r="899" spans="1:9" x14ac:dyDescent="0.25">
      <c r="A899" s="5" t="str">
        <f>TrendSheetPrdData[[#This Row],[Population]]&amp;TrendSheetPrdData[[#This Row],[Cost Basis]]&amp;TrendSheetPrdData[[#This Row],[Period]]&amp;TrendSheetPrdData[[#This Row],[Trend]]</f>
        <v>OTHERSAllowed2017-02-01Avoidable Admission Quality</v>
      </c>
      <c r="B899" t="s">
        <v>111</v>
      </c>
      <c r="C899" t="s">
        <v>111</v>
      </c>
      <c r="D899" t="s">
        <v>91</v>
      </c>
      <c r="E899" s="1" t="s">
        <v>106</v>
      </c>
      <c r="F899" t="s">
        <v>108</v>
      </c>
      <c r="G899" t="s">
        <v>18</v>
      </c>
      <c r="H899">
        <v>7</v>
      </c>
      <c r="I899">
        <v>0</v>
      </c>
    </row>
    <row r="900" spans="1:9" x14ac:dyDescent="0.25">
      <c r="A900" s="5" t="str">
        <f>TrendSheetPrdData[[#This Row],[Population]]&amp;TrendSheetPrdData[[#This Row],[Cost Basis]]&amp;TrendSheetPrdData[[#This Row],[Period]]&amp;TrendSheetPrdData[[#This Row],[Trend]]</f>
        <v>OTHERSAllowed2017-03-01Avoidable Admission Quality</v>
      </c>
      <c r="B900" t="s">
        <v>111</v>
      </c>
      <c r="C900" t="s">
        <v>111</v>
      </c>
      <c r="D900" t="s">
        <v>91</v>
      </c>
      <c r="E900" s="1" t="s">
        <v>107</v>
      </c>
      <c r="F900" t="s">
        <v>108</v>
      </c>
      <c r="G900" t="s">
        <v>18</v>
      </c>
      <c r="H900">
        <v>7</v>
      </c>
      <c r="I900">
        <v>0</v>
      </c>
    </row>
    <row r="901" spans="1:9" x14ac:dyDescent="0.25">
      <c r="A901" s="5" t="str">
        <f>TrendSheetPrdData[[#This Row],[Population]]&amp;TrendSheetPrdData[[#This Row],[Cost Basis]]&amp;TrendSheetPrdData[[#This Row],[Period]]&amp;TrendSheetPrdData[[#This Row],[Trend]]</f>
        <v>OTHERSAllowed2017-04-01Avoidable Admission Quality</v>
      </c>
      <c r="B901" t="s">
        <v>111</v>
      </c>
      <c r="C901" t="s">
        <v>111</v>
      </c>
      <c r="D901" t="s">
        <v>91</v>
      </c>
      <c r="E901" s="1" t="s">
        <v>109</v>
      </c>
      <c r="F901" t="s">
        <v>108</v>
      </c>
      <c r="G901" t="s">
        <v>18</v>
      </c>
      <c r="H901">
        <v>7</v>
      </c>
      <c r="I901">
        <v>0</v>
      </c>
    </row>
    <row r="902" spans="1:9" x14ac:dyDescent="0.25">
      <c r="A902" s="5" t="str">
        <f>TrendSheetPrdData[[#This Row],[Population]]&amp;TrendSheetPrdData[[#This Row],[Cost Basis]]&amp;TrendSheetPrdData[[#This Row],[Period]]&amp;TrendSheetPrdData[[#This Row],[Trend]]</f>
        <v>OTHERSAllowed2017-05-01Avoidable Admission Quality</v>
      </c>
      <c r="B902" t="s">
        <v>111</v>
      </c>
      <c r="C902" t="s">
        <v>111</v>
      </c>
      <c r="D902" t="s">
        <v>91</v>
      </c>
      <c r="E902" s="1" t="s">
        <v>110</v>
      </c>
      <c r="F902" t="s">
        <v>108</v>
      </c>
      <c r="G902" t="s">
        <v>18</v>
      </c>
      <c r="H902">
        <v>7</v>
      </c>
      <c r="I902">
        <v>0</v>
      </c>
    </row>
    <row r="903" spans="1:9" x14ac:dyDescent="0.25">
      <c r="A903" s="5" t="str">
        <f>TrendSheetPrdData[[#This Row],[Population]]&amp;TrendSheetPrdData[[#This Row],[Cost Basis]]&amp;TrendSheetPrdData[[#This Row],[Period]]&amp;TrendSheetPrdData[[#This Row],[Trend]]</f>
        <v>OTHERSAllowed2016-01-01Outpatient Imaging Cost</v>
      </c>
      <c r="B903" t="s">
        <v>111</v>
      </c>
      <c r="C903" t="s">
        <v>111</v>
      </c>
      <c r="D903" t="s">
        <v>91</v>
      </c>
      <c r="E903" s="1" t="s">
        <v>92</v>
      </c>
      <c r="F903" t="s">
        <v>93</v>
      </c>
      <c r="G903" t="s">
        <v>19</v>
      </c>
      <c r="H903">
        <v>8</v>
      </c>
      <c r="I903">
        <v>45989.1</v>
      </c>
    </row>
    <row r="904" spans="1:9" x14ac:dyDescent="0.25">
      <c r="A904" s="5" t="str">
        <f>TrendSheetPrdData[[#This Row],[Population]]&amp;TrendSheetPrdData[[#This Row],[Cost Basis]]&amp;TrendSheetPrdData[[#This Row],[Period]]&amp;TrendSheetPrdData[[#This Row],[Trend]]</f>
        <v>OTHERSAllowed2016-02-01Outpatient Imaging Cost</v>
      </c>
      <c r="B904" t="s">
        <v>111</v>
      </c>
      <c r="C904" t="s">
        <v>111</v>
      </c>
      <c r="D904" t="s">
        <v>91</v>
      </c>
      <c r="E904" s="1" t="s">
        <v>94</v>
      </c>
      <c r="F904" t="s">
        <v>93</v>
      </c>
      <c r="G904" t="s">
        <v>19</v>
      </c>
      <c r="H904">
        <v>8</v>
      </c>
      <c r="I904">
        <v>45230.47</v>
      </c>
    </row>
    <row r="905" spans="1:9" x14ac:dyDescent="0.25">
      <c r="A905" s="5" t="str">
        <f>TrendSheetPrdData[[#This Row],[Population]]&amp;TrendSheetPrdData[[#This Row],[Cost Basis]]&amp;TrendSheetPrdData[[#This Row],[Period]]&amp;TrendSheetPrdData[[#This Row],[Trend]]</f>
        <v>OTHERSAllowed2016-03-01Outpatient Imaging Cost</v>
      </c>
      <c r="B905" t="s">
        <v>111</v>
      </c>
      <c r="C905" t="s">
        <v>111</v>
      </c>
      <c r="D905" t="s">
        <v>91</v>
      </c>
      <c r="E905" s="1" t="s">
        <v>95</v>
      </c>
      <c r="F905" t="s">
        <v>93</v>
      </c>
      <c r="G905" t="s">
        <v>19</v>
      </c>
      <c r="H905">
        <v>8</v>
      </c>
      <c r="I905">
        <v>34656.620000000003</v>
      </c>
    </row>
    <row r="906" spans="1:9" x14ac:dyDescent="0.25">
      <c r="A906" s="5" t="str">
        <f>TrendSheetPrdData[[#This Row],[Population]]&amp;TrendSheetPrdData[[#This Row],[Cost Basis]]&amp;TrendSheetPrdData[[#This Row],[Period]]&amp;TrendSheetPrdData[[#This Row],[Trend]]</f>
        <v>OTHERSAllowed2016-04-01Outpatient Imaging Cost</v>
      </c>
      <c r="B906" t="s">
        <v>111</v>
      </c>
      <c r="C906" t="s">
        <v>111</v>
      </c>
      <c r="D906" t="s">
        <v>91</v>
      </c>
      <c r="E906" s="1" t="s">
        <v>96</v>
      </c>
      <c r="F906" t="s">
        <v>93</v>
      </c>
      <c r="G906" t="s">
        <v>19</v>
      </c>
      <c r="H906">
        <v>8</v>
      </c>
      <c r="I906">
        <v>23055.67</v>
      </c>
    </row>
    <row r="907" spans="1:9" x14ac:dyDescent="0.25">
      <c r="A907" s="5" t="str">
        <f>TrendSheetPrdData[[#This Row],[Population]]&amp;TrendSheetPrdData[[#This Row],[Cost Basis]]&amp;TrendSheetPrdData[[#This Row],[Period]]&amp;TrendSheetPrdData[[#This Row],[Trend]]</f>
        <v>OTHERSAllowed2016-05-01Outpatient Imaging Cost</v>
      </c>
      <c r="B907" t="s">
        <v>111</v>
      </c>
      <c r="C907" t="s">
        <v>111</v>
      </c>
      <c r="D907" t="s">
        <v>91</v>
      </c>
      <c r="E907" s="1" t="s">
        <v>97</v>
      </c>
      <c r="F907" t="s">
        <v>93</v>
      </c>
      <c r="G907" t="s">
        <v>19</v>
      </c>
      <c r="H907">
        <v>8</v>
      </c>
      <c r="I907">
        <v>26727.78</v>
      </c>
    </row>
    <row r="908" spans="1:9" x14ac:dyDescent="0.25">
      <c r="A908" s="5" t="str">
        <f>TrendSheetPrdData[[#This Row],[Population]]&amp;TrendSheetPrdData[[#This Row],[Cost Basis]]&amp;TrendSheetPrdData[[#This Row],[Period]]&amp;TrendSheetPrdData[[#This Row],[Trend]]</f>
        <v>OTHERSAllowed2016-06-01Outpatient Imaging Cost</v>
      </c>
      <c r="B908" t="s">
        <v>111</v>
      </c>
      <c r="C908" t="s">
        <v>111</v>
      </c>
      <c r="D908" t="s">
        <v>91</v>
      </c>
      <c r="E908" s="1" t="s">
        <v>98</v>
      </c>
      <c r="F908" t="s">
        <v>93</v>
      </c>
      <c r="G908" t="s">
        <v>19</v>
      </c>
      <c r="H908">
        <v>8</v>
      </c>
      <c r="I908">
        <v>32799.660000000003</v>
      </c>
    </row>
    <row r="909" spans="1:9" x14ac:dyDescent="0.25">
      <c r="A909" s="5" t="str">
        <f>TrendSheetPrdData[[#This Row],[Population]]&amp;TrendSheetPrdData[[#This Row],[Cost Basis]]&amp;TrendSheetPrdData[[#This Row],[Period]]&amp;TrendSheetPrdData[[#This Row],[Trend]]</f>
        <v>OTHERSAllowed2016-07-01Outpatient Imaging Cost</v>
      </c>
      <c r="B909" t="s">
        <v>111</v>
      </c>
      <c r="C909" t="s">
        <v>111</v>
      </c>
      <c r="D909" t="s">
        <v>91</v>
      </c>
      <c r="E909" s="1" t="s">
        <v>99</v>
      </c>
      <c r="F909" t="s">
        <v>93</v>
      </c>
      <c r="G909" t="s">
        <v>19</v>
      </c>
      <c r="H909">
        <v>8</v>
      </c>
      <c r="I909">
        <v>37617.79</v>
      </c>
    </row>
    <row r="910" spans="1:9" x14ac:dyDescent="0.25">
      <c r="A910" s="5" t="str">
        <f>TrendSheetPrdData[[#This Row],[Population]]&amp;TrendSheetPrdData[[#This Row],[Cost Basis]]&amp;TrendSheetPrdData[[#This Row],[Period]]&amp;TrendSheetPrdData[[#This Row],[Trend]]</f>
        <v>OTHERSAllowed2016-08-01Outpatient Imaging Cost</v>
      </c>
      <c r="B910" t="s">
        <v>111</v>
      </c>
      <c r="C910" t="s">
        <v>111</v>
      </c>
      <c r="D910" t="s">
        <v>91</v>
      </c>
      <c r="E910" s="1" t="s">
        <v>100</v>
      </c>
      <c r="F910" t="s">
        <v>93</v>
      </c>
      <c r="G910" t="s">
        <v>19</v>
      </c>
      <c r="H910">
        <v>8</v>
      </c>
      <c r="I910">
        <v>28903.35</v>
      </c>
    </row>
    <row r="911" spans="1:9" x14ac:dyDescent="0.25">
      <c r="A911" s="5" t="str">
        <f>TrendSheetPrdData[[#This Row],[Population]]&amp;TrendSheetPrdData[[#This Row],[Cost Basis]]&amp;TrendSheetPrdData[[#This Row],[Period]]&amp;TrendSheetPrdData[[#This Row],[Trend]]</f>
        <v>OTHERSAllowed2016-09-01Outpatient Imaging Cost</v>
      </c>
      <c r="B911" t="s">
        <v>111</v>
      </c>
      <c r="C911" t="s">
        <v>111</v>
      </c>
      <c r="D911" t="s">
        <v>91</v>
      </c>
      <c r="E911" s="1" t="s">
        <v>101</v>
      </c>
      <c r="F911" t="s">
        <v>93</v>
      </c>
      <c r="G911" t="s">
        <v>19</v>
      </c>
      <c r="H911">
        <v>8</v>
      </c>
      <c r="I911">
        <v>22024.93</v>
      </c>
    </row>
    <row r="912" spans="1:9" x14ac:dyDescent="0.25">
      <c r="A912" s="5" t="str">
        <f>TrendSheetPrdData[[#This Row],[Population]]&amp;TrendSheetPrdData[[#This Row],[Cost Basis]]&amp;TrendSheetPrdData[[#This Row],[Period]]&amp;TrendSheetPrdData[[#This Row],[Trend]]</f>
        <v>OTHERSAllowed2016-10-01Outpatient Imaging Cost</v>
      </c>
      <c r="B912" t="s">
        <v>111</v>
      </c>
      <c r="C912" t="s">
        <v>111</v>
      </c>
      <c r="D912" t="s">
        <v>91</v>
      </c>
      <c r="E912" s="1" t="s">
        <v>102</v>
      </c>
      <c r="F912" t="s">
        <v>93</v>
      </c>
      <c r="G912" t="s">
        <v>19</v>
      </c>
      <c r="H912">
        <v>8</v>
      </c>
      <c r="I912">
        <v>31803.39</v>
      </c>
    </row>
    <row r="913" spans="1:9" x14ac:dyDescent="0.25">
      <c r="A913" s="5" t="str">
        <f>TrendSheetPrdData[[#This Row],[Population]]&amp;TrendSheetPrdData[[#This Row],[Cost Basis]]&amp;TrendSheetPrdData[[#This Row],[Period]]&amp;TrendSheetPrdData[[#This Row],[Trend]]</f>
        <v>OTHERSAllowed2016-11-01Outpatient Imaging Cost</v>
      </c>
      <c r="B913" t="s">
        <v>111</v>
      </c>
      <c r="C913" t="s">
        <v>111</v>
      </c>
      <c r="D913" t="s">
        <v>91</v>
      </c>
      <c r="E913" s="1" t="s">
        <v>103</v>
      </c>
      <c r="F913" t="s">
        <v>93</v>
      </c>
      <c r="G913" t="s">
        <v>19</v>
      </c>
      <c r="H913">
        <v>8</v>
      </c>
      <c r="I913">
        <v>54278.22</v>
      </c>
    </row>
    <row r="914" spans="1:9" x14ac:dyDescent="0.25">
      <c r="A914" s="5" t="str">
        <f>TrendSheetPrdData[[#This Row],[Population]]&amp;TrendSheetPrdData[[#This Row],[Cost Basis]]&amp;TrendSheetPrdData[[#This Row],[Period]]&amp;TrendSheetPrdData[[#This Row],[Trend]]</f>
        <v>OTHERSAllowed2016-12-01Outpatient Imaging Cost</v>
      </c>
      <c r="B914" t="s">
        <v>111</v>
      </c>
      <c r="C914" t="s">
        <v>111</v>
      </c>
      <c r="D914" t="s">
        <v>91</v>
      </c>
      <c r="E914" s="1" t="s">
        <v>104</v>
      </c>
      <c r="F914" t="s">
        <v>93</v>
      </c>
      <c r="G914" t="s">
        <v>19</v>
      </c>
      <c r="H914">
        <v>8</v>
      </c>
      <c r="I914">
        <v>37194.15</v>
      </c>
    </row>
    <row r="915" spans="1:9" x14ac:dyDescent="0.25">
      <c r="A915" s="5" t="str">
        <f>TrendSheetPrdData[[#This Row],[Population]]&amp;TrendSheetPrdData[[#This Row],[Cost Basis]]&amp;TrendSheetPrdData[[#This Row],[Period]]&amp;TrendSheetPrdData[[#This Row],[Trend]]</f>
        <v>OTHERSAllowed2017-01-01Outpatient Imaging Cost</v>
      </c>
      <c r="B915" t="s">
        <v>111</v>
      </c>
      <c r="C915" t="s">
        <v>111</v>
      </c>
      <c r="D915" t="s">
        <v>91</v>
      </c>
      <c r="E915" s="1" t="s">
        <v>105</v>
      </c>
      <c r="F915" t="s">
        <v>108</v>
      </c>
      <c r="G915" t="s">
        <v>19</v>
      </c>
      <c r="H915">
        <v>8</v>
      </c>
      <c r="I915">
        <v>27958.63</v>
      </c>
    </row>
    <row r="916" spans="1:9" x14ac:dyDescent="0.25">
      <c r="A916" s="5" t="str">
        <f>TrendSheetPrdData[[#This Row],[Population]]&amp;TrendSheetPrdData[[#This Row],[Cost Basis]]&amp;TrendSheetPrdData[[#This Row],[Period]]&amp;TrendSheetPrdData[[#This Row],[Trend]]</f>
        <v>OTHERSAllowed2017-02-01Outpatient Imaging Cost</v>
      </c>
      <c r="B916" t="s">
        <v>111</v>
      </c>
      <c r="C916" t="s">
        <v>111</v>
      </c>
      <c r="D916" t="s">
        <v>91</v>
      </c>
      <c r="E916" s="1" t="s">
        <v>106</v>
      </c>
      <c r="F916" t="s">
        <v>108</v>
      </c>
      <c r="G916" t="s">
        <v>19</v>
      </c>
      <c r="H916">
        <v>8</v>
      </c>
      <c r="I916">
        <v>33227.230000000003</v>
      </c>
    </row>
    <row r="917" spans="1:9" x14ac:dyDescent="0.25">
      <c r="A917" s="5" t="str">
        <f>TrendSheetPrdData[[#This Row],[Population]]&amp;TrendSheetPrdData[[#This Row],[Cost Basis]]&amp;TrendSheetPrdData[[#This Row],[Period]]&amp;TrendSheetPrdData[[#This Row],[Trend]]</f>
        <v>OTHERSAllowed2017-03-01Outpatient Imaging Cost</v>
      </c>
      <c r="B917" t="s">
        <v>111</v>
      </c>
      <c r="C917" t="s">
        <v>111</v>
      </c>
      <c r="D917" t="s">
        <v>91</v>
      </c>
      <c r="E917" s="1" t="s">
        <v>107</v>
      </c>
      <c r="F917" t="s">
        <v>108</v>
      </c>
      <c r="G917" t="s">
        <v>19</v>
      </c>
      <c r="H917">
        <v>8</v>
      </c>
      <c r="I917">
        <v>24955.02</v>
      </c>
    </row>
    <row r="918" spans="1:9" x14ac:dyDescent="0.25">
      <c r="A918" s="5" t="str">
        <f>TrendSheetPrdData[[#This Row],[Population]]&amp;TrendSheetPrdData[[#This Row],[Cost Basis]]&amp;TrendSheetPrdData[[#This Row],[Period]]&amp;TrendSheetPrdData[[#This Row],[Trend]]</f>
        <v>OTHERSAllowed2017-04-01Outpatient Imaging Cost</v>
      </c>
      <c r="B918" t="s">
        <v>111</v>
      </c>
      <c r="C918" t="s">
        <v>111</v>
      </c>
      <c r="D918" t="s">
        <v>91</v>
      </c>
      <c r="E918" s="1" t="s">
        <v>109</v>
      </c>
      <c r="F918" t="s">
        <v>108</v>
      </c>
      <c r="G918" t="s">
        <v>19</v>
      </c>
      <c r="H918">
        <v>8</v>
      </c>
      <c r="I918">
        <v>23096.86</v>
      </c>
    </row>
    <row r="919" spans="1:9" x14ac:dyDescent="0.25">
      <c r="A919" s="5" t="str">
        <f>TrendSheetPrdData[[#This Row],[Population]]&amp;TrendSheetPrdData[[#This Row],[Cost Basis]]&amp;TrendSheetPrdData[[#This Row],[Period]]&amp;TrendSheetPrdData[[#This Row],[Trend]]</f>
        <v>OTHERSAllowed2017-05-01Outpatient Imaging Cost</v>
      </c>
      <c r="B919" t="s">
        <v>111</v>
      </c>
      <c r="C919" t="s">
        <v>111</v>
      </c>
      <c r="D919" t="s">
        <v>91</v>
      </c>
      <c r="E919" s="1" t="s">
        <v>110</v>
      </c>
      <c r="F919" t="s">
        <v>108</v>
      </c>
      <c r="G919" t="s">
        <v>19</v>
      </c>
      <c r="H919">
        <v>8</v>
      </c>
      <c r="I919">
        <v>8043.07</v>
      </c>
    </row>
    <row r="920" spans="1:9" x14ac:dyDescent="0.25">
      <c r="A920" s="5" t="str">
        <f>TrendSheetPrdData[[#This Row],[Population]]&amp;TrendSheetPrdData[[#This Row],[Cost Basis]]&amp;TrendSheetPrdData[[#This Row],[Period]]&amp;TrendSheetPrdData[[#This Row],[Trend]]</f>
        <v>OTHERSAllowed2016-01-01Hospiatl Outpatient MRIs per 1k</v>
      </c>
      <c r="B920" t="s">
        <v>111</v>
      </c>
      <c r="C920" t="s">
        <v>111</v>
      </c>
      <c r="D920" t="s">
        <v>91</v>
      </c>
      <c r="E920" s="1" t="s">
        <v>92</v>
      </c>
      <c r="F920" t="s">
        <v>93</v>
      </c>
      <c r="G920" t="s">
        <v>20</v>
      </c>
      <c r="H920">
        <v>9</v>
      </c>
      <c r="I920">
        <v>41</v>
      </c>
    </row>
    <row r="921" spans="1:9" x14ac:dyDescent="0.25">
      <c r="A921" s="5" t="str">
        <f>TrendSheetPrdData[[#This Row],[Population]]&amp;TrendSheetPrdData[[#This Row],[Cost Basis]]&amp;TrendSheetPrdData[[#This Row],[Period]]&amp;TrendSheetPrdData[[#This Row],[Trend]]</f>
        <v>OTHERSAllowed2016-02-01Hospiatl Outpatient MRIs per 1k</v>
      </c>
      <c r="B921" t="s">
        <v>111</v>
      </c>
      <c r="C921" t="s">
        <v>111</v>
      </c>
      <c r="D921" t="s">
        <v>91</v>
      </c>
      <c r="E921" s="1" t="s">
        <v>94</v>
      </c>
      <c r="F921" t="s">
        <v>93</v>
      </c>
      <c r="G921" t="s">
        <v>20</v>
      </c>
      <c r="H921">
        <v>9</v>
      </c>
      <c r="I921">
        <v>49</v>
      </c>
    </row>
    <row r="922" spans="1:9" x14ac:dyDescent="0.25">
      <c r="A922" s="5" t="str">
        <f>TrendSheetPrdData[[#This Row],[Population]]&amp;TrendSheetPrdData[[#This Row],[Cost Basis]]&amp;TrendSheetPrdData[[#This Row],[Period]]&amp;TrendSheetPrdData[[#This Row],[Trend]]</f>
        <v>OTHERSAllowed2016-03-01Hospiatl Outpatient MRIs per 1k</v>
      </c>
      <c r="B922" t="s">
        <v>111</v>
      </c>
      <c r="C922" t="s">
        <v>111</v>
      </c>
      <c r="D922" t="s">
        <v>91</v>
      </c>
      <c r="E922" s="1" t="s">
        <v>95</v>
      </c>
      <c r="F922" t="s">
        <v>93</v>
      </c>
      <c r="G922" t="s">
        <v>20</v>
      </c>
      <c r="H922">
        <v>9</v>
      </c>
      <c r="I922">
        <v>20</v>
      </c>
    </row>
    <row r="923" spans="1:9" x14ac:dyDescent="0.25">
      <c r="A923" s="5" t="str">
        <f>TrendSheetPrdData[[#This Row],[Population]]&amp;TrendSheetPrdData[[#This Row],[Cost Basis]]&amp;TrendSheetPrdData[[#This Row],[Period]]&amp;TrendSheetPrdData[[#This Row],[Trend]]</f>
        <v>OTHERSAllowed2016-04-01Hospiatl Outpatient MRIs per 1k</v>
      </c>
      <c r="B923" t="s">
        <v>111</v>
      </c>
      <c r="C923" t="s">
        <v>111</v>
      </c>
      <c r="D923" t="s">
        <v>91</v>
      </c>
      <c r="E923" s="1" t="s">
        <v>96</v>
      </c>
      <c r="F923" t="s">
        <v>93</v>
      </c>
      <c r="G923" t="s">
        <v>20</v>
      </c>
      <c r="H923">
        <v>9</v>
      </c>
      <c r="I923">
        <v>14</v>
      </c>
    </row>
    <row r="924" spans="1:9" x14ac:dyDescent="0.25">
      <c r="A924" s="5" t="str">
        <f>TrendSheetPrdData[[#This Row],[Population]]&amp;TrendSheetPrdData[[#This Row],[Cost Basis]]&amp;TrendSheetPrdData[[#This Row],[Period]]&amp;TrendSheetPrdData[[#This Row],[Trend]]</f>
        <v>OTHERSAllowed2016-05-01Hospiatl Outpatient MRIs per 1k</v>
      </c>
      <c r="B924" t="s">
        <v>111</v>
      </c>
      <c r="C924" t="s">
        <v>111</v>
      </c>
      <c r="D924" t="s">
        <v>91</v>
      </c>
      <c r="E924" s="1" t="s">
        <v>97</v>
      </c>
      <c r="F924" t="s">
        <v>93</v>
      </c>
      <c r="G924" t="s">
        <v>20</v>
      </c>
      <c r="H924">
        <v>9</v>
      </c>
      <c r="I924">
        <v>28</v>
      </c>
    </row>
    <row r="925" spans="1:9" x14ac:dyDescent="0.25">
      <c r="A925" s="5" t="str">
        <f>TrendSheetPrdData[[#This Row],[Population]]&amp;TrendSheetPrdData[[#This Row],[Cost Basis]]&amp;TrendSheetPrdData[[#This Row],[Period]]&amp;TrendSheetPrdData[[#This Row],[Trend]]</f>
        <v>OTHERSAllowed2016-06-01Hospiatl Outpatient MRIs per 1k</v>
      </c>
      <c r="B925" t="s">
        <v>111</v>
      </c>
      <c r="C925" t="s">
        <v>111</v>
      </c>
      <c r="D925" t="s">
        <v>91</v>
      </c>
      <c r="E925" s="1" t="s">
        <v>98</v>
      </c>
      <c r="F925" t="s">
        <v>93</v>
      </c>
      <c r="G925" t="s">
        <v>20</v>
      </c>
      <c r="H925">
        <v>9</v>
      </c>
      <c r="I925">
        <v>25</v>
      </c>
    </row>
    <row r="926" spans="1:9" x14ac:dyDescent="0.25">
      <c r="A926" s="5" t="str">
        <f>TrendSheetPrdData[[#This Row],[Population]]&amp;TrendSheetPrdData[[#This Row],[Cost Basis]]&amp;TrendSheetPrdData[[#This Row],[Period]]&amp;TrendSheetPrdData[[#This Row],[Trend]]</f>
        <v>OTHERSAllowed2016-07-01Hospiatl Outpatient MRIs per 1k</v>
      </c>
      <c r="B926" t="s">
        <v>111</v>
      </c>
      <c r="C926" t="s">
        <v>111</v>
      </c>
      <c r="D926" t="s">
        <v>91</v>
      </c>
      <c r="E926" s="1" t="s">
        <v>99</v>
      </c>
      <c r="F926" t="s">
        <v>93</v>
      </c>
      <c r="G926" t="s">
        <v>20</v>
      </c>
      <c r="H926">
        <v>9</v>
      </c>
      <c r="I926">
        <v>22</v>
      </c>
    </row>
    <row r="927" spans="1:9" x14ac:dyDescent="0.25">
      <c r="A927" s="5" t="str">
        <f>TrendSheetPrdData[[#This Row],[Population]]&amp;TrendSheetPrdData[[#This Row],[Cost Basis]]&amp;TrendSheetPrdData[[#This Row],[Period]]&amp;TrendSheetPrdData[[#This Row],[Trend]]</f>
        <v>OTHERSAllowed2016-08-01Hospiatl Outpatient MRIs per 1k</v>
      </c>
      <c r="B927" t="s">
        <v>111</v>
      </c>
      <c r="C927" t="s">
        <v>111</v>
      </c>
      <c r="D927" t="s">
        <v>91</v>
      </c>
      <c r="E927" s="1" t="s">
        <v>100</v>
      </c>
      <c r="F927" t="s">
        <v>93</v>
      </c>
      <c r="G927" t="s">
        <v>20</v>
      </c>
      <c r="H927">
        <v>9</v>
      </c>
      <c r="I927">
        <v>38</v>
      </c>
    </row>
    <row r="928" spans="1:9" x14ac:dyDescent="0.25">
      <c r="A928" s="5" t="str">
        <f>TrendSheetPrdData[[#This Row],[Population]]&amp;TrendSheetPrdData[[#This Row],[Cost Basis]]&amp;TrendSheetPrdData[[#This Row],[Period]]&amp;TrendSheetPrdData[[#This Row],[Trend]]</f>
        <v>OTHERSAllowed2016-09-01Hospiatl Outpatient MRIs per 1k</v>
      </c>
      <c r="B928" t="s">
        <v>111</v>
      </c>
      <c r="C928" t="s">
        <v>111</v>
      </c>
      <c r="D928" t="s">
        <v>91</v>
      </c>
      <c r="E928" s="1" t="s">
        <v>101</v>
      </c>
      <c r="F928" t="s">
        <v>93</v>
      </c>
      <c r="G928" t="s">
        <v>20</v>
      </c>
      <c r="H928">
        <v>9</v>
      </c>
      <c r="I928">
        <v>25</v>
      </c>
    </row>
    <row r="929" spans="1:9" x14ac:dyDescent="0.25">
      <c r="A929" s="5" t="str">
        <f>TrendSheetPrdData[[#This Row],[Population]]&amp;TrendSheetPrdData[[#This Row],[Cost Basis]]&amp;TrendSheetPrdData[[#This Row],[Period]]&amp;TrendSheetPrdData[[#This Row],[Trend]]</f>
        <v>OTHERSAllowed2016-10-01Hospiatl Outpatient MRIs per 1k</v>
      </c>
      <c r="B929" t="s">
        <v>111</v>
      </c>
      <c r="C929" t="s">
        <v>111</v>
      </c>
      <c r="D929" t="s">
        <v>91</v>
      </c>
      <c r="E929" s="1" t="s">
        <v>102</v>
      </c>
      <c r="F929" t="s">
        <v>93</v>
      </c>
      <c r="G929" t="s">
        <v>20</v>
      </c>
      <c r="H929">
        <v>9</v>
      </c>
      <c r="I929">
        <v>33</v>
      </c>
    </row>
    <row r="930" spans="1:9" x14ac:dyDescent="0.25">
      <c r="A930" s="5" t="str">
        <f>TrendSheetPrdData[[#This Row],[Population]]&amp;TrendSheetPrdData[[#This Row],[Cost Basis]]&amp;TrendSheetPrdData[[#This Row],[Period]]&amp;TrendSheetPrdData[[#This Row],[Trend]]</f>
        <v>OTHERSAllowed2016-11-01Hospiatl Outpatient MRIs per 1k</v>
      </c>
      <c r="B930" t="s">
        <v>111</v>
      </c>
      <c r="C930" t="s">
        <v>111</v>
      </c>
      <c r="D930" t="s">
        <v>91</v>
      </c>
      <c r="E930" s="1" t="s">
        <v>103</v>
      </c>
      <c r="F930" t="s">
        <v>93</v>
      </c>
      <c r="G930" t="s">
        <v>20</v>
      </c>
      <c r="H930">
        <v>9</v>
      </c>
      <c r="I930">
        <v>35</v>
      </c>
    </row>
    <row r="931" spans="1:9" x14ac:dyDescent="0.25">
      <c r="A931" s="5" t="str">
        <f>TrendSheetPrdData[[#This Row],[Population]]&amp;TrendSheetPrdData[[#This Row],[Cost Basis]]&amp;TrendSheetPrdData[[#This Row],[Period]]&amp;TrendSheetPrdData[[#This Row],[Trend]]</f>
        <v>OTHERSAllowed2016-12-01Hospiatl Outpatient MRIs per 1k</v>
      </c>
      <c r="B931" t="s">
        <v>111</v>
      </c>
      <c r="C931" t="s">
        <v>111</v>
      </c>
      <c r="D931" t="s">
        <v>91</v>
      </c>
      <c r="E931" s="1" t="s">
        <v>104</v>
      </c>
      <c r="F931" t="s">
        <v>93</v>
      </c>
      <c r="G931" t="s">
        <v>20</v>
      </c>
      <c r="H931">
        <v>9</v>
      </c>
      <c r="I931">
        <v>22</v>
      </c>
    </row>
    <row r="932" spans="1:9" x14ac:dyDescent="0.25">
      <c r="A932" s="5" t="str">
        <f>TrendSheetPrdData[[#This Row],[Population]]&amp;TrendSheetPrdData[[#This Row],[Cost Basis]]&amp;TrendSheetPrdData[[#This Row],[Period]]&amp;TrendSheetPrdData[[#This Row],[Trend]]</f>
        <v>OTHERSAllowed2017-01-01Hospiatl Outpatient MRIs per 1k</v>
      </c>
      <c r="B932" t="s">
        <v>111</v>
      </c>
      <c r="C932" t="s">
        <v>111</v>
      </c>
      <c r="D932" t="s">
        <v>91</v>
      </c>
      <c r="E932" s="1" t="s">
        <v>105</v>
      </c>
      <c r="F932" t="s">
        <v>108</v>
      </c>
      <c r="G932" t="s">
        <v>20</v>
      </c>
      <c r="H932">
        <v>9</v>
      </c>
      <c r="I932">
        <v>24</v>
      </c>
    </row>
    <row r="933" spans="1:9" x14ac:dyDescent="0.25">
      <c r="A933" s="5" t="str">
        <f>TrendSheetPrdData[[#This Row],[Population]]&amp;TrendSheetPrdData[[#This Row],[Cost Basis]]&amp;TrendSheetPrdData[[#This Row],[Period]]&amp;TrendSheetPrdData[[#This Row],[Trend]]</f>
        <v>OTHERSAllowed2017-02-01Hospiatl Outpatient MRIs per 1k</v>
      </c>
      <c r="B933" t="s">
        <v>111</v>
      </c>
      <c r="C933" t="s">
        <v>111</v>
      </c>
      <c r="D933" t="s">
        <v>91</v>
      </c>
      <c r="E933" s="1" t="s">
        <v>106</v>
      </c>
      <c r="F933" t="s">
        <v>108</v>
      </c>
      <c r="G933" t="s">
        <v>20</v>
      </c>
      <c r="H933">
        <v>9</v>
      </c>
      <c r="I933">
        <v>32</v>
      </c>
    </row>
    <row r="934" spans="1:9" x14ac:dyDescent="0.25">
      <c r="A934" s="5" t="str">
        <f>TrendSheetPrdData[[#This Row],[Population]]&amp;TrendSheetPrdData[[#This Row],[Cost Basis]]&amp;TrendSheetPrdData[[#This Row],[Period]]&amp;TrendSheetPrdData[[#This Row],[Trend]]</f>
        <v>OTHERSAllowed2017-03-01Hospiatl Outpatient MRIs per 1k</v>
      </c>
      <c r="B934" t="s">
        <v>111</v>
      </c>
      <c r="C934" t="s">
        <v>111</v>
      </c>
      <c r="D934" t="s">
        <v>91</v>
      </c>
      <c r="E934" s="1" t="s">
        <v>107</v>
      </c>
      <c r="F934" t="s">
        <v>108</v>
      </c>
      <c r="G934" t="s">
        <v>20</v>
      </c>
      <c r="H934">
        <v>9</v>
      </c>
      <c r="I934">
        <v>34</v>
      </c>
    </row>
    <row r="935" spans="1:9" x14ac:dyDescent="0.25">
      <c r="A935" s="5" t="str">
        <f>TrendSheetPrdData[[#This Row],[Population]]&amp;TrendSheetPrdData[[#This Row],[Cost Basis]]&amp;TrendSheetPrdData[[#This Row],[Period]]&amp;TrendSheetPrdData[[#This Row],[Trend]]</f>
        <v>OTHERSAllowed2017-04-01Hospiatl Outpatient MRIs per 1k</v>
      </c>
      <c r="B935" t="s">
        <v>111</v>
      </c>
      <c r="C935" t="s">
        <v>111</v>
      </c>
      <c r="D935" t="s">
        <v>91</v>
      </c>
      <c r="E935" s="1" t="s">
        <v>109</v>
      </c>
      <c r="F935" t="s">
        <v>108</v>
      </c>
      <c r="G935" t="s">
        <v>20</v>
      </c>
      <c r="H935">
        <v>9</v>
      </c>
      <c r="I935">
        <v>26</v>
      </c>
    </row>
    <row r="936" spans="1:9" x14ac:dyDescent="0.25">
      <c r="A936" s="5" t="str">
        <f>TrendSheetPrdData[[#This Row],[Population]]&amp;TrendSheetPrdData[[#This Row],[Cost Basis]]&amp;TrendSheetPrdData[[#This Row],[Period]]&amp;TrendSheetPrdData[[#This Row],[Trend]]</f>
        <v>OTHERSAllowed2017-05-01Hospiatl Outpatient MRIs per 1k</v>
      </c>
      <c r="B936" t="s">
        <v>111</v>
      </c>
      <c r="C936" t="s">
        <v>111</v>
      </c>
      <c r="D936" t="s">
        <v>91</v>
      </c>
      <c r="E936" s="1" t="s">
        <v>110</v>
      </c>
      <c r="F936" t="s">
        <v>108</v>
      </c>
      <c r="G936" t="s">
        <v>20</v>
      </c>
      <c r="H936">
        <v>9</v>
      </c>
      <c r="I936">
        <v>8</v>
      </c>
    </row>
    <row r="937" spans="1:9" x14ac:dyDescent="0.25">
      <c r="A937" s="5" t="str">
        <f>TrendSheetPrdData[[#This Row],[Population]]&amp;TrendSheetPrdData[[#This Row],[Cost Basis]]&amp;TrendSheetPrdData[[#This Row],[Period]]&amp;TrendSheetPrdData[[#This Row],[Trend]]</f>
        <v>OTHERSAllowed2016-01-01Hospiatl Outpatient CTs per 1k</v>
      </c>
      <c r="B937" t="s">
        <v>111</v>
      </c>
      <c r="C937" t="s">
        <v>111</v>
      </c>
      <c r="D937" t="s">
        <v>91</v>
      </c>
      <c r="E937" s="1" t="s">
        <v>92</v>
      </c>
      <c r="F937" t="s">
        <v>93</v>
      </c>
      <c r="G937" t="s">
        <v>21</v>
      </c>
      <c r="H937">
        <v>10</v>
      </c>
      <c r="I937">
        <v>35</v>
      </c>
    </row>
    <row r="938" spans="1:9" x14ac:dyDescent="0.25">
      <c r="A938" s="5" t="str">
        <f>TrendSheetPrdData[[#This Row],[Population]]&amp;TrendSheetPrdData[[#This Row],[Cost Basis]]&amp;TrendSheetPrdData[[#This Row],[Period]]&amp;TrendSheetPrdData[[#This Row],[Trend]]</f>
        <v>OTHERSAllowed2016-02-01Hospiatl Outpatient CTs per 1k</v>
      </c>
      <c r="B938" t="s">
        <v>111</v>
      </c>
      <c r="C938" t="s">
        <v>111</v>
      </c>
      <c r="D938" t="s">
        <v>91</v>
      </c>
      <c r="E938" s="1" t="s">
        <v>94</v>
      </c>
      <c r="F938" t="s">
        <v>93</v>
      </c>
      <c r="G938" t="s">
        <v>21</v>
      </c>
      <c r="H938">
        <v>10</v>
      </c>
      <c r="I938">
        <v>26</v>
      </c>
    </row>
    <row r="939" spans="1:9" x14ac:dyDescent="0.25">
      <c r="A939" s="5" t="str">
        <f>TrendSheetPrdData[[#This Row],[Population]]&amp;TrendSheetPrdData[[#This Row],[Cost Basis]]&amp;TrendSheetPrdData[[#This Row],[Period]]&amp;TrendSheetPrdData[[#This Row],[Trend]]</f>
        <v>OTHERSAllowed2016-03-01Hospiatl Outpatient CTs per 1k</v>
      </c>
      <c r="B939" t="s">
        <v>111</v>
      </c>
      <c r="C939" t="s">
        <v>111</v>
      </c>
      <c r="D939" t="s">
        <v>91</v>
      </c>
      <c r="E939" s="1" t="s">
        <v>95</v>
      </c>
      <c r="F939" t="s">
        <v>93</v>
      </c>
      <c r="G939" t="s">
        <v>21</v>
      </c>
      <c r="H939">
        <v>10</v>
      </c>
      <c r="I939">
        <v>77</v>
      </c>
    </row>
    <row r="940" spans="1:9" x14ac:dyDescent="0.25">
      <c r="A940" s="5" t="str">
        <f>TrendSheetPrdData[[#This Row],[Population]]&amp;TrendSheetPrdData[[#This Row],[Cost Basis]]&amp;TrendSheetPrdData[[#This Row],[Period]]&amp;TrendSheetPrdData[[#This Row],[Trend]]</f>
        <v>OTHERSAllowed2016-04-01Hospiatl Outpatient CTs per 1k</v>
      </c>
      <c r="B940" t="s">
        <v>111</v>
      </c>
      <c r="C940" t="s">
        <v>111</v>
      </c>
      <c r="D940" t="s">
        <v>91</v>
      </c>
      <c r="E940" s="1" t="s">
        <v>96</v>
      </c>
      <c r="F940" t="s">
        <v>93</v>
      </c>
      <c r="G940" t="s">
        <v>21</v>
      </c>
      <c r="H940">
        <v>10</v>
      </c>
      <c r="I940">
        <v>31</v>
      </c>
    </row>
    <row r="941" spans="1:9" x14ac:dyDescent="0.25">
      <c r="A941" s="5" t="str">
        <f>TrendSheetPrdData[[#This Row],[Population]]&amp;TrendSheetPrdData[[#This Row],[Cost Basis]]&amp;TrendSheetPrdData[[#This Row],[Period]]&amp;TrendSheetPrdData[[#This Row],[Trend]]</f>
        <v>OTHERSAllowed2016-05-01Hospiatl Outpatient CTs per 1k</v>
      </c>
      <c r="B941" t="s">
        <v>111</v>
      </c>
      <c r="C941" t="s">
        <v>111</v>
      </c>
      <c r="D941" t="s">
        <v>91</v>
      </c>
      <c r="E941" s="1" t="s">
        <v>97</v>
      </c>
      <c r="F941" t="s">
        <v>93</v>
      </c>
      <c r="G941" t="s">
        <v>21</v>
      </c>
      <c r="H941">
        <v>10</v>
      </c>
      <c r="I941">
        <v>17</v>
      </c>
    </row>
    <row r="942" spans="1:9" x14ac:dyDescent="0.25">
      <c r="A942" s="5" t="str">
        <f>TrendSheetPrdData[[#This Row],[Population]]&amp;TrendSheetPrdData[[#This Row],[Cost Basis]]&amp;TrendSheetPrdData[[#This Row],[Period]]&amp;TrendSheetPrdData[[#This Row],[Trend]]</f>
        <v>OTHERSAllowed2016-06-01Hospiatl Outpatient CTs per 1k</v>
      </c>
      <c r="B942" t="s">
        <v>111</v>
      </c>
      <c r="C942" t="s">
        <v>111</v>
      </c>
      <c r="D942" t="s">
        <v>91</v>
      </c>
      <c r="E942" s="1" t="s">
        <v>98</v>
      </c>
      <c r="F942" t="s">
        <v>93</v>
      </c>
      <c r="G942" t="s">
        <v>21</v>
      </c>
      <c r="H942">
        <v>10</v>
      </c>
      <c r="I942">
        <v>36</v>
      </c>
    </row>
    <row r="943" spans="1:9" x14ac:dyDescent="0.25">
      <c r="A943" s="5" t="str">
        <f>TrendSheetPrdData[[#This Row],[Population]]&amp;TrendSheetPrdData[[#This Row],[Cost Basis]]&amp;TrendSheetPrdData[[#This Row],[Period]]&amp;TrendSheetPrdData[[#This Row],[Trend]]</f>
        <v>OTHERSAllowed2016-07-01Hospiatl Outpatient CTs per 1k</v>
      </c>
      <c r="B943" t="s">
        <v>111</v>
      </c>
      <c r="C943" t="s">
        <v>111</v>
      </c>
      <c r="D943" t="s">
        <v>91</v>
      </c>
      <c r="E943" s="1" t="s">
        <v>99</v>
      </c>
      <c r="F943" t="s">
        <v>93</v>
      </c>
      <c r="G943" t="s">
        <v>21</v>
      </c>
      <c r="H943">
        <v>10</v>
      </c>
      <c r="I943">
        <v>19</v>
      </c>
    </row>
    <row r="944" spans="1:9" x14ac:dyDescent="0.25">
      <c r="A944" s="5" t="str">
        <f>TrendSheetPrdData[[#This Row],[Population]]&amp;TrendSheetPrdData[[#This Row],[Cost Basis]]&amp;TrendSheetPrdData[[#This Row],[Period]]&amp;TrendSheetPrdData[[#This Row],[Trend]]</f>
        <v>OTHERSAllowed2016-08-01Hospiatl Outpatient CTs per 1k</v>
      </c>
      <c r="B944" t="s">
        <v>111</v>
      </c>
      <c r="C944" t="s">
        <v>111</v>
      </c>
      <c r="D944" t="s">
        <v>91</v>
      </c>
      <c r="E944" s="1" t="s">
        <v>100</v>
      </c>
      <c r="F944" t="s">
        <v>93</v>
      </c>
      <c r="G944" t="s">
        <v>21</v>
      </c>
      <c r="H944">
        <v>10</v>
      </c>
      <c r="I944">
        <v>19</v>
      </c>
    </row>
    <row r="945" spans="1:9" x14ac:dyDescent="0.25">
      <c r="A945" s="5" t="str">
        <f>TrendSheetPrdData[[#This Row],[Population]]&amp;TrendSheetPrdData[[#This Row],[Cost Basis]]&amp;TrendSheetPrdData[[#This Row],[Period]]&amp;TrendSheetPrdData[[#This Row],[Trend]]</f>
        <v>OTHERSAllowed2016-09-01Hospiatl Outpatient CTs per 1k</v>
      </c>
      <c r="B945" t="s">
        <v>111</v>
      </c>
      <c r="C945" t="s">
        <v>111</v>
      </c>
      <c r="D945" t="s">
        <v>91</v>
      </c>
      <c r="E945" s="1" t="s">
        <v>101</v>
      </c>
      <c r="F945" t="s">
        <v>93</v>
      </c>
      <c r="G945" t="s">
        <v>21</v>
      </c>
      <c r="H945">
        <v>10</v>
      </c>
      <c r="I945">
        <v>65</v>
      </c>
    </row>
    <row r="946" spans="1:9" x14ac:dyDescent="0.25">
      <c r="A946" s="5" t="str">
        <f>TrendSheetPrdData[[#This Row],[Population]]&amp;TrendSheetPrdData[[#This Row],[Cost Basis]]&amp;TrendSheetPrdData[[#This Row],[Period]]&amp;TrendSheetPrdData[[#This Row],[Trend]]</f>
        <v>OTHERSAllowed2016-10-01Hospiatl Outpatient CTs per 1k</v>
      </c>
      <c r="B946" t="s">
        <v>111</v>
      </c>
      <c r="C946" t="s">
        <v>111</v>
      </c>
      <c r="D946" t="s">
        <v>91</v>
      </c>
      <c r="E946" s="1" t="s">
        <v>102</v>
      </c>
      <c r="F946" t="s">
        <v>93</v>
      </c>
      <c r="G946" t="s">
        <v>21</v>
      </c>
      <c r="H946">
        <v>10</v>
      </c>
      <c r="I946">
        <v>76</v>
      </c>
    </row>
    <row r="947" spans="1:9" x14ac:dyDescent="0.25">
      <c r="A947" s="5" t="str">
        <f>TrendSheetPrdData[[#This Row],[Population]]&amp;TrendSheetPrdData[[#This Row],[Cost Basis]]&amp;TrendSheetPrdData[[#This Row],[Period]]&amp;TrendSheetPrdData[[#This Row],[Trend]]</f>
        <v>OTHERSAllowed2016-11-01Hospiatl Outpatient CTs per 1k</v>
      </c>
      <c r="B947" t="s">
        <v>111</v>
      </c>
      <c r="C947" t="s">
        <v>111</v>
      </c>
      <c r="D947" t="s">
        <v>91</v>
      </c>
      <c r="E947" s="1" t="s">
        <v>103</v>
      </c>
      <c r="F947" t="s">
        <v>93</v>
      </c>
      <c r="G947" t="s">
        <v>21</v>
      </c>
      <c r="H947">
        <v>10</v>
      </c>
      <c r="I947">
        <v>46</v>
      </c>
    </row>
    <row r="948" spans="1:9" x14ac:dyDescent="0.25">
      <c r="A948" s="5" t="str">
        <f>TrendSheetPrdData[[#This Row],[Population]]&amp;TrendSheetPrdData[[#This Row],[Cost Basis]]&amp;TrendSheetPrdData[[#This Row],[Period]]&amp;TrendSheetPrdData[[#This Row],[Trend]]</f>
        <v>OTHERSAllowed2016-12-01Hospiatl Outpatient CTs per 1k</v>
      </c>
      <c r="B948" t="s">
        <v>111</v>
      </c>
      <c r="C948" t="s">
        <v>111</v>
      </c>
      <c r="D948" t="s">
        <v>91</v>
      </c>
      <c r="E948" s="1" t="s">
        <v>104</v>
      </c>
      <c r="F948" t="s">
        <v>93</v>
      </c>
      <c r="G948" t="s">
        <v>21</v>
      </c>
      <c r="H948">
        <v>10</v>
      </c>
      <c r="I948">
        <v>57</v>
      </c>
    </row>
    <row r="949" spans="1:9" x14ac:dyDescent="0.25">
      <c r="A949" s="5" t="str">
        <f>TrendSheetPrdData[[#This Row],[Population]]&amp;TrendSheetPrdData[[#This Row],[Cost Basis]]&amp;TrendSheetPrdData[[#This Row],[Period]]&amp;TrendSheetPrdData[[#This Row],[Trend]]</f>
        <v>OTHERSAllowed2017-01-01Hospiatl Outpatient CTs per 1k</v>
      </c>
      <c r="B949" t="s">
        <v>111</v>
      </c>
      <c r="C949" t="s">
        <v>111</v>
      </c>
      <c r="D949" t="s">
        <v>91</v>
      </c>
      <c r="E949" s="1" t="s">
        <v>105</v>
      </c>
      <c r="F949" t="s">
        <v>108</v>
      </c>
      <c r="G949" t="s">
        <v>21</v>
      </c>
      <c r="H949">
        <v>10</v>
      </c>
      <c r="I949">
        <v>29</v>
      </c>
    </row>
    <row r="950" spans="1:9" x14ac:dyDescent="0.25">
      <c r="A950" s="5" t="str">
        <f>TrendSheetPrdData[[#This Row],[Population]]&amp;TrendSheetPrdData[[#This Row],[Cost Basis]]&amp;TrendSheetPrdData[[#This Row],[Period]]&amp;TrendSheetPrdData[[#This Row],[Trend]]</f>
        <v>OTHERSAllowed2017-02-01Hospiatl Outpatient CTs per 1k</v>
      </c>
      <c r="B950" t="s">
        <v>111</v>
      </c>
      <c r="C950" t="s">
        <v>111</v>
      </c>
      <c r="D950" t="s">
        <v>91</v>
      </c>
      <c r="E950" s="1" t="s">
        <v>106</v>
      </c>
      <c r="F950" t="s">
        <v>108</v>
      </c>
      <c r="G950" t="s">
        <v>21</v>
      </c>
      <c r="H950">
        <v>10</v>
      </c>
      <c r="I950">
        <v>53</v>
      </c>
    </row>
    <row r="951" spans="1:9" x14ac:dyDescent="0.25">
      <c r="A951" s="5" t="str">
        <f>TrendSheetPrdData[[#This Row],[Population]]&amp;TrendSheetPrdData[[#This Row],[Cost Basis]]&amp;TrendSheetPrdData[[#This Row],[Period]]&amp;TrendSheetPrdData[[#This Row],[Trend]]</f>
        <v>OTHERSAllowed2017-03-01Hospiatl Outpatient CTs per 1k</v>
      </c>
      <c r="B951" t="s">
        <v>111</v>
      </c>
      <c r="C951" t="s">
        <v>111</v>
      </c>
      <c r="D951" t="s">
        <v>91</v>
      </c>
      <c r="E951" s="1" t="s">
        <v>107</v>
      </c>
      <c r="F951" t="s">
        <v>108</v>
      </c>
      <c r="G951" t="s">
        <v>21</v>
      </c>
      <c r="H951">
        <v>10</v>
      </c>
      <c r="I951">
        <v>18</v>
      </c>
    </row>
    <row r="952" spans="1:9" x14ac:dyDescent="0.25">
      <c r="A952" s="5" t="str">
        <f>TrendSheetPrdData[[#This Row],[Population]]&amp;TrendSheetPrdData[[#This Row],[Cost Basis]]&amp;TrendSheetPrdData[[#This Row],[Period]]&amp;TrendSheetPrdData[[#This Row],[Trend]]</f>
        <v>OTHERSAllowed2017-04-01Hospiatl Outpatient CTs per 1k</v>
      </c>
      <c r="B952" t="s">
        <v>111</v>
      </c>
      <c r="C952" t="s">
        <v>111</v>
      </c>
      <c r="D952" t="s">
        <v>91</v>
      </c>
      <c r="E952" s="1" t="s">
        <v>109</v>
      </c>
      <c r="F952" t="s">
        <v>108</v>
      </c>
      <c r="G952" t="s">
        <v>21</v>
      </c>
      <c r="H952">
        <v>10</v>
      </c>
      <c r="I952">
        <v>18</v>
      </c>
    </row>
    <row r="953" spans="1:9" x14ac:dyDescent="0.25">
      <c r="A953" s="5" t="str">
        <f>TrendSheetPrdData[[#This Row],[Population]]&amp;TrendSheetPrdData[[#This Row],[Cost Basis]]&amp;TrendSheetPrdData[[#This Row],[Period]]&amp;TrendSheetPrdData[[#This Row],[Trend]]</f>
        <v>OTHERSAllowed2017-05-01Hospiatl Outpatient CTs per 1k</v>
      </c>
      <c r="B953" t="s">
        <v>111</v>
      </c>
      <c r="C953" t="s">
        <v>111</v>
      </c>
      <c r="D953" t="s">
        <v>91</v>
      </c>
      <c r="E953" s="1" t="s">
        <v>110</v>
      </c>
      <c r="F953" t="s">
        <v>108</v>
      </c>
      <c r="G953" t="s">
        <v>21</v>
      </c>
      <c r="H953">
        <v>10</v>
      </c>
      <c r="I953">
        <v>8</v>
      </c>
    </row>
    <row r="954" spans="1:9" x14ac:dyDescent="0.25">
      <c r="A954" s="5" t="str">
        <f>TrendSheetPrdData[[#This Row],[Population]]&amp;TrendSheetPrdData[[#This Row],[Cost Basis]]&amp;TrendSheetPrdData[[#This Row],[Period]]&amp;TrendSheetPrdData[[#This Row],[Trend]]</f>
        <v>OTHERSAllowed2016-01-01Office Based MRIs per 1k</v>
      </c>
      <c r="B954" t="s">
        <v>111</v>
      </c>
      <c r="C954" t="s">
        <v>111</v>
      </c>
      <c r="D954" t="s">
        <v>91</v>
      </c>
      <c r="E954" s="1" t="s">
        <v>92</v>
      </c>
      <c r="F954" t="s">
        <v>93</v>
      </c>
      <c r="G954" t="s">
        <v>22</v>
      </c>
      <c r="H954">
        <v>11</v>
      </c>
      <c r="I954">
        <v>0</v>
      </c>
    </row>
    <row r="955" spans="1:9" x14ac:dyDescent="0.25">
      <c r="A955" s="5" t="str">
        <f>TrendSheetPrdData[[#This Row],[Population]]&amp;TrendSheetPrdData[[#This Row],[Cost Basis]]&amp;TrendSheetPrdData[[#This Row],[Period]]&amp;TrendSheetPrdData[[#This Row],[Trend]]</f>
        <v>OTHERSAllowed2016-02-01Office Based MRIs per 1k</v>
      </c>
      <c r="B955" t="s">
        <v>111</v>
      </c>
      <c r="C955" t="s">
        <v>111</v>
      </c>
      <c r="D955" t="s">
        <v>91</v>
      </c>
      <c r="E955" s="1" t="s">
        <v>94</v>
      </c>
      <c r="F955" t="s">
        <v>93</v>
      </c>
      <c r="G955" t="s">
        <v>22</v>
      </c>
      <c r="H955">
        <v>11</v>
      </c>
      <c r="I955">
        <v>0</v>
      </c>
    </row>
    <row r="956" spans="1:9" x14ac:dyDescent="0.25">
      <c r="A956" s="5" t="str">
        <f>TrendSheetPrdData[[#This Row],[Population]]&amp;TrendSheetPrdData[[#This Row],[Cost Basis]]&amp;TrendSheetPrdData[[#This Row],[Period]]&amp;TrendSheetPrdData[[#This Row],[Trend]]</f>
        <v>OTHERSAllowed2016-03-01Office Based MRIs per 1k</v>
      </c>
      <c r="B956" t="s">
        <v>111</v>
      </c>
      <c r="C956" t="s">
        <v>111</v>
      </c>
      <c r="D956" t="s">
        <v>91</v>
      </c>
      <c r="E956" s="1" t="s">
        <v>95</v>
      </c>
      <c r="F956" t="s">
        <v>93</v>
      </c>
      <c r="G956" t="s">
        <v>22</v>
      </c>
      <c r="H956">
        <v>11</v>
      </c>
      <c r="I956">
        <v>0</v>
      </c>
    </row>
    <row r="957" spans="1:9" x14ac:dyDescent="0.25">
      <c r="A957" s="5" t="str">
        <f>TrendSheetPrdData[[#This Row],[Population]]&amp;TrendSheetPrdData[[#This Row],[Cost Basis]]&amp;TrendSheetPrdData[[#This Row],[Period]]&amp;TrendSheetPrdData[[#This Row],[Trend]]</f>
        <v>OTHERSAllowed2016-04-01Office Based MRIs per 1k</v>
      </c>
      <c r="B957" t="s">
        <v>111</v>
      </c>
      <c r="C957" t="s">
        <v>111</v>
      </c>
      <c r="D957" t="s">
        <v>91</v>
      </c>
      <c r="E957" s="1" t="s">
        <v>96</v>
      </c>
      <c r="F957" t="s">
        <v>93</v>
      </c>
      <c r="G957" t="s">
        <v>22</v>
      </c>
      <c r="H957">
        <v>11</v>
      </c>
      <c r="I957">
        <v>0</v>
      </c>
    </row>
    <row r="958" spans="1:9" x14ac:dyDescent="0.25">
      <c r="A958" s="5" t="str">
        <f>TrendSheetPrdData[[#This Row],[Population]]&amp;TrendSheetPrdData[[#This Row],[Cost Basis]]&amp;TrendSheetPrdData[[#This Row],[Period]]&amp;TrendSheetPrdData[[#This Row],[Trend]]</f>
        <v>OTHERSAllowed2016-05-01Office Based MRIs per 1k</v>
      </c>
      <c r="B958" t="s">
        <v>111</v>
      </c>
      <c r="C958" t="s">
        <v>111</v>
      </c>
      <c r="D958" t="s">
        <v>91</v>
      </c>
      <c r="E958" s="1" t="s">
        <v>97</v>
      </c>
      <c r="F958" t="s">
        <v>93</v>
      </c>
      <c r="G958" t="s">
        <v>22</v>
      </c>
      <c r="H958">
        <v>11</v>
      </c>
      <c r="I958">
        <v>0</v>
      </c>
    </row>
    <row r="959" spans="1:9" x14ac:dyDescent="0.25">
      <c r="A959" s="5" t="str">
        <f>TrendSheetPrdData[[#This Row],[Population]]&amp;TrendSheetPrdData[[#This Row],[Cost Basis]]&amp;TrendSheetPrdData[[#This Row],[Period]]&amp;TrendSheetPrdData[[#This Row],[Trend]]</f>
        <v>OTHERSAllowed2016-06-01Office Based MRIs per 1k</v>
      </c>
      <c r="B959" t="s">
        <v>111</v>
      </c>
      <c r="C959" t="s">
        <v>111</v>
      </c>
      <c r="D959" t="s">
        <v>91</v>
      </c>
      <c r="E959" s="1" t="s">
        <v>98</v>
      </c>
      <c r="F959" t="s">
        <v>93</v>
      </c>
      <c r="G959" t="s">
        <v>22</v>
      </c>
      <c r="H959">
        <v>11</v>
      </c>
      <c r="I959">
        <v>0</v>
      </c>
    </row>
    <row r="960" spans="1:9" x14ac:dyDescent="0.25">
      <c r="A960" s="5" t="str">
        <f>TrendSheetPrdData[[#This Row],[Population]]&amp;TrendSheetPrdData[[#This Row],[Cost Basis]]&amp;TrendSheetPrdData[[#This Row],[Period]]&amp;TrendSheetPrdData[[#This Row],[Trend]]</f>
        <v>OTHERSAllowed2016-07-01Office Based MRIs per 1k</v>
      </c>
      <c r="B960" t="s">
        <v>111</v>
      </c>
      <c r="C960" t="s">
        <v>111</v>
      </c>
      <c r="D960" t="s">
        <v>91</v>
      </c>
      <c r="E960" s="1" t="s">
        <v>99</v>
      </c>
      <c r="F960" t="s">
        <v>93</v>
      </c>
      <c r="G960" t="s">
        <v>22</v>
      </c>
      <c r="H960">
        <v>11</v>
      </c>
      <c r="I960">
        <v>0</v>
      </c>
    </row>
    <row r="961" spans="1:9" x14ac:dyDescent="0.25">
      <c r="A961" s="5" t="str">
        <f>TrendSheetPrdData[[#This Row],[Population]]&amp;TrendSheetPrdData[[#This Row],[Cost Basis]]&amp;TrendSheetPrdData[[#This Row],[Period]]&amp;TrendSheetPrdData[[#This Row],[Trend]]</f>
        <v>OTHERSAllowed2016-08-01Office Based MRIs per 1k</v>
      </c>
      <c r="B961" t="s">
        <v>111</v>
      </c>
      <c r="C961" t="s">
        <v>111</v>
      </c>
      <c r="D961" t="s">
        <v>91</v>
      </c>
      <c r="E961" s="1" t="s">
        <v>100</v>
      </c>
      <c r="F961" t="s">
        <v>93</v>
      </c>
      <c r="G961" t="s">
        <v>22</v>
      </c>
      <c r="H961">
        <v>11</v>
      </c>
      <c r="I961">
        <v>0</v>
      </c>
    </row>
    <row r="962" spans="1:9" x14ac:dyDescent="0.25">
      <c r="A962" s="5" t="str">
        <f>TrendSheetPrdData[[#This Row],[Population]]&amp;TrendSheetPrdData[[#This Row],[Cost Basis]]&amp;TrendSheetPrdData[[#This Row],[Period]]&amp;TrendSheetPrdData[[#This Row],[Trend]]</f>
        <v>OTHERSAllowed2016-09-01Office Based MRIs per 1k</v>
      </c>
      <c r="B962" t="s">
        <v>111</v>
      </c>
      <c r="C962" t="s">
        <v>111</v>
      </c>
      <c r="D962" t="s">
        <v>91</v>
      </c>
      <c r="E962" s="1" t="s">
        <v>101</v>
      </c>
      <c r="F962" t="s">
        <v>93</v>
      </c>
      <c r="G962" t="s">
        <v>22</v>
      </c>
      <c r="H962">
        <v>11</v>
      </c>
      <c r="I962">
        <v>0</v>
      </c>
    </row>
    <row r="963" spans="1:9" x14ac:dyDescent="0.25">
      <c r="A963" s="5" t="str">
        <f>TrendSheetPrdData[[#This Row],[Population]]&amp;TrendSheetPrdData[[#This Row],[Cost Basis]]&amp;TrendSheetPrdData[[#This Row],[Period]]&amp;TrendSheetPrdData[[#This Row],[Trend]]</f>
        <v>OTHERSAllowed2016-10-01Office Based MRIs per 1k</v>
      </c>
      <c r="B963" t="s">
        <v>111</v>
      </c>
      <c r="C963" t="s">
        <v>111</v>
      </c>
      <c r="D963" t="s">
        <v>91</v>
      </c>
      <c r="E963" s="1" t="s">
        <v>102</v>
      </c>
      <c r="F963" t="s">
        <v>93</v>
      </c>
      <c r="G963" t="s">
        <v>22</v>
      </c>
      <c r="H963">
        <v>11</v>
      </c>
      <c r="I963">
        <v>0</v>
      </c>
    </row>
    <row r="964" spans="1:9" x14ac:dyDescent="0.25">
      <c r="A964" s="5" t="str">
        <f>TrendSheetPrdData[[#This Row],[Population]]&amp;TrendSheetPrdData[[#This Row],[Cost Basis]]&amp;TrendSheetPrdData[[#This Row],[Period]]&amp;TrendSheetPrdData[[#This Row],[Trend]]</f>
        <v>OTHERSAllowed2016-11-01Office Based MRIs per 1k</v>
      </c>
      <c r="B964" t="s">
        <v>111</v>
      </c>
      <c r="C964" t="s">
        <v>111</v>
      </c>
      <c r="D964" t="s">
        <v>91</v>
      </c>
      <c r="E964" s="1" t="s">
        <v>103</v>
      </c>
      <c r="F964" t="s">
        <v>93</v>
      </c>
      <c r="G964" t="s">
        <v>22</v>
      </c>
      <c r="H964">
        <v>11</v>
      </c>
      <c r="I964">
        <v>0</v>
      </c>
    </row>
    <row r="965" spans="1:9" x14ac:dyDescent="0.25">
      <c r="A965" s="5" t="str">
        <f>TrendSheetPrdData[[#This Row],[Population]]&amp;TrendSheetPrdData[[#This Row],[Cost Basis]]&amp;TrendSheetPrdData[[#This Row],[Period]]&amp;TrendSheetPrdData[[#This Row],[Trend]]</f>
        <v>OTHERSAllowed2016-12-01Office Based MRIs per 1k</v>
      </c>
      <c r="B965" t="s">
        <v>111</v>
      </c>
      <c r="C965" t="s">
        <v>111</v>
      </c>
      <c r="D965" t="s">
        <v>91</v>
      </c>
      <c r="E965" s="1" t="s">
        <v>104</v>
      </c>
      <c r="F965" t="s">
        <v>93</v>
      </c>
      <c r="G965" t="s">
        <v>22</v>
      </c>
      <c r="H965">
        <v>11</v>
      </c>
      <c r="I965">
        <v>0</v>
      </c>
    </row>
    <row r="966" spans="1:9" x14ac:dyDescent="0.25">
      <c r="A966" s="5" t="str">
        <f>TrendSheetPrdData[[#This Row],[Population]]&amp;TrendSheetPrdData[[#This Row],[Cost Basis]]&amp;TrendSheetPrdData[[#This Row],[Period]]&amp;TrendSheetPrdData[[#This Row],[Trend]]</f>
        <v>OTHERSAllowed2017-01-01Office Based MRIs per 1k</v>
      </c>
      <c r="B966" t="s">
        <v>111</v>
      </c>
      <c r="C966" t="s">
        <v>111</v>
      </c>
      <c r="D966" t="s">
        <v>91</v>
      </c>
      <c r="E966" s="1" t="s">
        <v>105</v>
      </c>
      <c r="F966" t="s">
        <v>108</v>
      </c>
      <c r="G966" t="s">
        <v>22</v>
      </c>
      <c r="H966">
        <v>11</v>
      </c>
      <c r="I966">
        <v>3</v>
      </c>
    </row>
    <row r="967" spans="1:9" x14ac:dyDescent="0.25">
      <c r="A967" s="5" t="str">
        <f>TrendSheetPrdData[[#This Row],[Population]]&amp;TrendSheetPrdData[[#This Row],[Cost Basis]]&amp;TrendSheetPrdData[[#This Row],[Period]]&amp;TrendSheetPrdData[[#This Row],[Trend]]</f>
        <v>OTHERSAllowed2017-02-01Office Based MRIs per 1k</v>
      </c>
      <c r="B967" t="s">
        <v>111</v>
      </c>
      <c r="C967" t="s">
        <v>111</v>
      </c>
      <c r="D967" t="s">
        <v>91</v>
      </c>
      <c r="E967" s="1" t="s">
        <v>106</v>
      </c>
      <c r="F967" t="s">
        <v>108</v>
      </c>
      <c r="G967" t="s">
        <v>22</v>
      </c>
      <c r="H967">
        <v>11</v>
      </c>
      <c r="I967">
        <v>0</v>
      </c>
    </row>
    <row r="968" spans="1:9" x14ac:dyDescent="0.25">
      <c r="A968" s="5" t="str">
        <f>TrendSheetPrdData[[#This Row],[Population]]&amp;TrendSheetPrdData[[#This Row],[Cost Basis]]&amp;TrendSheetPrdData[[#This Row],[Period]]&amp;TrendSheetPrdData[[#This Row],[Trend]]</f>
        <v>OTHERSAllowed2017-03-01Office Based MRIs per 1k</v>
      </c>
      <c r="B968" t="s">
        <v>111</v>
      </c>
      <c r="C968" t="s">
        <v>111</v>
      </c>
      <c r="D968" t="s">
        <v>91</v>
      </c>
      <c r="E968" s="1" t="s">
        <v>107</v>
      </c>
      <c r="F968" t="s">
        <v>108</v>
      </c>
      <c r="G968" t="s">
        <v>22</v>
      </c>
      <c r="H968">
        <v>11</v>
      </c>
      <c r="I968">
        <v>0</v>
      </c>
    </row>
    <row r="969" spans="1:9" x14ac:dyDescent="0.25">
      <c r="A969" s="5" t="str">
        <f>TrendSheetPrdData[[#This Row],[Population]]&amp;TrendSheetPrdData[[#This Row],[Cost Basis]]&amp;TrendSheetPrdData[[#This Row],[Period]]&amp;TrendSheetPrdData[[#This Row],[Trend]]</f>
        <v>OTHERSAllowed2017-04-01Office Based MRIs per 1k</v>
      </c>
      <c r="B969" t="s">
        <v>111</v>
      </c>
      <c r="C969" t="s">
        <v>111</v>
      </c>
      <c r="D969" t="s">
        <v>91</v>
      </c>
      <c r="E969" s="1" t="s">
        <v>109</v>
      </c>
      <c r="F969" t="s">
        <v>108</v>
      </c>
      <c r="G969" t="s">
        <v>22</v>
      </c>
      <c r="H969">
        <v>11</v>
      </c>
      <c r="I969">
        <v>0</v>
      </c>
    </row>
    <row r="970" spans="1:9" x14ac:dyDescent="0.25">
      <c r="A970" s="5" t="str">
        <f>TrendSheetPrdData[[#This Row],[Population]]&amp;TrendSheetPrdData[[#This Row],[Cost Basis]]&amp;TrendSheetPrdData[[#This Row],[Period]]&amp;TrendSheetPrdData[[#This Row],[Trend]]</f>
        <v>OTHERSAllowed2017-05-01Office Based MRIs per 1k</v>
      </c>
      <c r="B970" t="s">
        <v>111</v>
      </c>
      <c r="C970" t="s">
        <v>111</v>
      </c>
      <c r="D970" t="s">
        <v>91</v>
      </c>
      <c r="E970" s="1" t="s">
        <v>110</v>
      </c>
      <c r="F970" t="s">
        <v>108</v>
      </c>
      <c r="G970" t="s">
        <v>22</v>
      </c>
      <c r="H970">
        <v>11</v>
      </c>
      <c r="I970">
        <v>0</v>
      </c>
    </row>
    <row r="971" spans="1:9" x14ac:dyDescent="0.25">
      <c r="A971" s="5" t="str">
        <f>TrendSheetPrdData[[#This Row],[Population]]&amp;TrendSheetPrdData[[#This Row],[Cost Basis]]&amp;TrendSheetPrdData[[#This Row],[Period]]&amp;TrendSheetPrdData[[#This Row],[Trend]]</f>
        <v>OTHERSAllowed2016-01-01Office Based CTs per 1k</v>
      </c>
      <c r="B971" t="s">
        <v>111</v>
      </c>
      <c r="C971" t="s">
        <v>111</v>
      </c>
      <c r="D971" t="s">
        <v>91</v>
      </c>
      <c r="E971" s="1" t="s">
        <v>92</v>
      </c>
      <c r="F971" t="s">
        <v>93</v>
      </c>
      <c r="G971" t="s">
        <v>23</v>
      </c>
      <c r="H971">
        <v>12</v>
      </c>
      <c r="I971">
        <v>0</v>
      </c>
    </row>
    <row r="972" spans="1:9" x14ac:dyDescent="0.25">
      <c r="A972" s="5" t="str">
        <f>TrendSheetPrdData[[#This Row],[Population]]&amp;TrendSheetPrdData[[#This Row],[Cost Basis]]&amp;TrendSheetPrdData[[#This Row],[Period]]&amp;TrendSheetPrdData[[#This Row],[Trend]]</f>
        <v>OTHERSAllowed2016-02-01Office Based CTs per 1k</v>
      </c>
      <c r="B972" t="s">
        <v>111</v>
      </c>
      <c r="C972" t="s">
        <v>111</v>
      </c>
      <c r="D972" t="s">
        <v>91</v>
      </c>
      <c r="E972" s="1" t="s">
        <v>94</v>
      </c>
      <c r="F972" t="s">
        <v>93</v>
      </c>
      <c r="G972" t="s">
        <v>23</v>
      </c>
      <c r="H972">
        <v>12</v>
      </c>
      <c r="I972">
        <v>0</v>
      </c>
    </row>
    <row r="973" spans="1:9" x14ac:dyDescent="0.25">
      <c r="A973" s="5" t="str">
        <f>TrendSheetPrdData[[#This Row],[Population]]&amp;TrendSheetPrdData[[#This Row],[Cost Basis]]&amp;TrendSheetPrdData[[#This Row],[Period]]&amp;TrendSheetPrdData[[#This Row],[Trend]]</f>
        <v>OTHERSAllowed2016-03-01Office Based CTs per 1k</v>
      </c>
      <c r="B973" t="s">
        <v>111</v>
      </c>
      <c r="C973" t="s">
        <v>111</v>
      </c>
      <c r="D973" t="s">
        <v>91</v>
      </c>
      <c r="E973" s="1" t="s">
        <v>95</v>
      </c>
      <c r="F973" t="s">
        <v>93</v>
      </c>
      <c r="G973" t="s">
        <v>23</v>
      </c>
      <c r="H973">
        <v>12</v>
      </c>
      <c r="I973">
        <v>3</v>
      </c>
    </row>
    <row r="974" spans="1:9" x14ac:dyDescent="0.25">
      <c r="A974" s="5" t="str">
        <f>TrendSheetPrdData[[#This Row],[Population]]&amp;TrendSheetPrdData[[#This Row],[Cost Basis]]&amp;TrendSheetPrdData[[#This Row],[Period]]&amp;TrendSheetPrdData[[#This Row],[Trend]]</f>
        <v>OTHERSAllowed2016-04-01Office Based CTs per 1k</v>
      </c>
      <c r="B974" t="s">
        <v>111</v>
      </c>
      <c r="C974" t="s">
        <v>111</v>
      </c>
      <c r="D974" t="s">
        <v>91</v>
      </c>
      <c r="E974" s="1" t="s">
        <v>96</v>
      </c>
      <c r="F974" t="s">
        <v>93</v>
      </c>
      <c r="G974" t="s">
        <v>23</v>
      </c>
      <c r="H974">
        <v>12</v>
      </c>
      <c r="I974">
        <v>3</v>
      </c>
    </row>
    <row r="975" spans="1:9" x14ac:dyDescent="0.25">
      <c r="A975" s="5" t="str">
        <f>TrendSheetPrdData[[#This Row],[Population]]&amp;TrendSheetPrdData[[#This Row],[Cost Basis]]&amp;TrendSheetPrdData[[#This Row],[Period]]&amp;TrendSheetPrdData[[#This Row],[Trend]]</f>
        <v>OTHERSAllowed2016-05-01Office Based CTs per 1k</v>
      </c>
      <c r="B975" t="s">
        <v>111</v>
      </c>
      <c r="C975" t="s">
        <v>111</v>
      </c>
      <c r="D975" t="s">
        <v>91</v>
      </c>
      <c r="E975" s="1" t="s">
        <v>97</v>
      </c>
      <c r="F975" t="s">
        <v>93</v>
      </c>
      <c r="G975" t="s">
        <v>23</v>
      </c>
      <c r="H975">
        <v>12</v>
      </c>
      <c r="I975">
        <v>3</v>
      </c>
    </row>
    <row r="976" spans="1:9" x14ac:dyDescent="0.25">
      <c r="A976" s="5" t="str">
        <f>TrendSheetPrdData[[#This Row],[Population]]&amp;TrendSheetPrdData[[#This Row],[Cost Basis]]&amp;TrendSheetPrdData[[#This Row],[Period]]&amp;TrendSheetPrdData[[#This Row],[Trend]]</f>
        <v>OTHERSAllowed2016-06-01Office Based CTs per 1k</v>
      </c>
      <c r="B976" t="s">
        <v>111</v>
      </c>
      <c r="C976" t="s">
        <v>111</v>
      </c>
      <c r="D976" t="s">
        <v>91</v>
      </c>
      <c r="E976" s="1" t="s">
        <v>98</v>
      </c>
      <c r="F976" t="s">
        <v>93</v>
      </c>
      <c r="G976" t="s">
        <v>23</v>
      </c>
      <c r="H976">
        <v>12</v>
      </c>
      <c r="I976">
        <v>3</v>
      </c>
    </row>
    <row r="977" spans="1:9" x14ac:dyDescent="0.25">
      <c r="A977" s="5" t="str">
        <f>TrendSheetPrdData[[#This Row],[Population]]&amp;TrendSheetPrdData[[#This Row],[Cost Basis]]&amp;TrendSheetPrdData[[#This Row],[Period]]&amp;TrendSheetPrdData[[#This Row],[Trend]]</f>
        <v>OTHERSAllowed2016-07-01Office Based CTs per 1k</v>
      </c>
      <c r="B977" t="s">
        <v>111</v>
      </c>
      <c r="C977" t="s">
        <v>111</v>
      </c>
      <c r="D977" t="s">
        <v>91</v>
      </c>
      <c r="E977" s="1" t="s">
        <v>99</v>
      </c>
      <c r="F977" t="s">
        <v>93</v>
      </c>
      <c r="G977" t="s">
        <v>23</v>
      </c>
      <c r="H977">
        <v>12</v>
      </c>
      <c r="I977">
        <v>0</v>
      </c>
    </row>
    <row r="978" spans="1:9" x14ac:dyDescent="0.25">
      <c r="A978" s="5" t="str">
        <f>TrendSheetPrdData[[#This Row],[Population]]&amp;TrendSheetPrdData[[#This Row],[Cost Basis]]&amp;TrendSheetPrdData[[#This Row],[Period]]&amp;TrendSheetPrdData[[#This Row],[Trend]]</f>
        <v>OTHERSAllowed2016-08-01Office Based CTs per 1k</v>
      </c>
      <c r="B978" t="s">
        <v>111</v>
      </c>
      <c r="C978" t="s">
        <v>111</v>
      </c>
      <c r="D978" t="s">
        <v>91</v>
      </c>
      <c r="E978" s="1" t="s">
        <v>100</v>
      </c>
      <c r="F978" t="s">
        <v>93</v>
      </c>
      <c r="G978" t="s">
        <v>23</v>
      </c>
      <c r="H978">
        <v>12</v>
      </c>
      <c r="I978">
        <v>3</v>
      </c>
    </row>
    <row r="979" spans="1:9" x14ac:dyDescent="0.25">
      <c r="A979" s="5" t="str">
        <f>TrendSheetPrdData[[#This Row],[Population]]&amp;TrendSheetPrdData[[#This Row],[Cost Basis]]&amp;TrendSheetPrdData[[#This Row],[Period]]&amp;TrendSheetPrdData[[#This Row],[Trend]]</f>
        <v>OTHERSAllowed2016-09-01Office Based CTs per 1k</v>
      </c>
      <c r="B979" t="s">
        <v>111</v>
      </c>
      <c r="C979" t="s">
        <v>111</v>
      </c>
      <c r="D979" t="s">
        <v>91</v>
      </c>
      <c r="E979" s="1" t="s">
        <v>101</v>
      </c>
      <c r="F979" t="s">
        <v>93</v>
      </c>
      <c r="G979" t="s">
        <v>23</v>
      </c>
      <c r="H979">
        <v>12</v>
      </c>
      <c r="I979">
        <v>3</v>
      </c>
    </row>
    <row r="980" spans="1:9" x14ac:dyDescent="0.25">
      <c r="A980" s="5" t="str">
        <f>TrendSheetPrdData[[#This Row],[Population]]&amp;TrendSheetPrdData[[#This Row],[Cost Basis]]&amp;TrendSheetPrdData[[#This Row],[Period]]&amp;TrendSheetPrdData[[#This Row],[Trend]]</f>
        <v>OTHERSAllowed2016-10-01Office Based CTs per 1k</v>
      </c>
      <c r="B980" t="s">
        <v>111</v>
      </c>
      <c r="C980" t="s">
        <v>111</v>
      </c>
      <c r="D980" t="s">
        <v>91</v>
      </c>
      <c r="E980" s="1" t="s">
        <v>102</v>
      </c>
      <c r="F980" t="s">
        <v>93</v>
      </c>
      <c r="G980" t="s">
        <v>23</v>
      </c>
      <c r="H980">
        <v>12</v>
      </c>
      <c r="I980">
        <v>0</v>
      </c>
    </row>
    <row r="981" spans="1:9" x14ac:dyDescent="0.25">
      <c r="A981" s="5" t="str">
        <f>TrendSheetPrdData[[#This Row],[Population]]&amp;TrendSheetPrdData[[#This Row],[Cost Basis]]&amp;TrendSheetPrdData[[#This Row],[Period]]&amp;TrendSheetPrdData[[#This Row],[Trend]]</f>
        <v>OTHERSAllowed2016-11-01Office Based CTs per 1k</v>
      </c>
      <c r="B981" t="s">
        <v>111</v>
      </c>
      <c r="C981" t="s">
        <v>111</v>
      </c>
      <c r="D981" t="s">
        <v>91</v>
      </c>
      <c r="E981" s="1" t="s">
        <v>103</v>
      </c>
      <c r="F981" t="s">
        <v>93</v>
      </c>
      <c r="G981" t="s">
        <v>23</v>
      </c>
      <c r="H981">
        <v>12</v>
      </c>
      <c r="I981">
        <v>0</v>
      </c>
    </row>
    <row r="982" spans="1:9" x14ac:dyDescent="0.25">
      <c r="A982" s="5" t="str">
        <f>TrendSheetPrdData[[#This Row],[Population]]&amp;TrendSheetPrdData[[#This Row],[Cost Basis]]&amp;TrendSheetPrdData[[#This Row],[Period]]&amp;TrendSheetPrdData[[#This Row],[Trend]]</f>
        <v>OTHERSAllowed2016-12-01Office Based CTs per 1k</v>
      </c>
      <c r="B982" t="s">
        <v>111</v>
      </c>
      <c r="C982" t="s">
        <v>111</v>
      </c>
      <c r="D982" t="s">
        <v>91</v>
      </c>
      <c r="E982" s="1" t="s">
        <v>104</v>
      </c>
      <c r="F982" t="s">
        <v>93</v>
      </c>
      <c r="G982" t="s">
        <v>23</v>
      </c>
      <c r="H982">
        <v>12</v>
      </c>
      <c r="I982">
        <v>0</v>
      </c>
    </row>
    <row r="983" spans="1:9" x14ac:dyDescent="0.25">
      <c r="A983" s="5" t="str">
        <f>TrendSheetPrdData[[#This Row],[Population]]&amp;TrendSheetPrdData[[#This Row],[Cost Basis]]&amp;TrendSheetPrdData[[#This Row],[Period]]&amp;TrendSheetPrdData[[#This Row],[Trend]]</f>
        <v>OTHERSAllowed2017-01-01Office Based CTs per 1k</v>
      </c>
      <c r="B983" t="s">
        <v>111</v>
      </c>
      <c r="C983" t="s">
        <v>111</v>
      </c>
      <c r="D983" t="s">
        <v>91</v>
      </c>
      <c r="E983" s="1" t="s">
        <v>105</v>
      </c>
      <c r="F983" t="s">
        <v>108</v>
      </c>
      <c r="G983" t="s">
        <v>23</v>
      </c>
      <c r="H983">
        <v>12</v>
      </c>
      <c r="I983">
        <v>0</v>
      </c>
    </row>
    <row r="984" spans="1:9" x14ac:dyDescent="0.25">
      <c r="A984" s="5" t="str">
        <f>TrendSheetPrdData[[#This Row],[Population]]&amp;TrendSheetPrdData[[#This Row],[Cost Basis]]&amp;TrendSheetPrdData[[#This Row],[Period]]&amp;TrendSheetPrdData[[#This Row],[Trend]]</f>
        <v>OTHERSAllowed2017-02-01Office Based CTs per 1k</v>
      </c>
      <c r="B984" t="s">
        <v>111</v>
      </c>
      <c r="C984" t="s">
        <v>111</v>
      </c>
      <c r="D984" t="s">
        <v>91</v>
      </c>
      <c r="E984" s="1" t="s">
        <v>106</v>
      </c>
      <c r="F984" t="s">
        <v>108</v>
      </c>
      <c r="G984" t="s">
        <v>23</v>
      </c>
      <c r="H984">
        <v>12</v>
      </c>
      <c r="I984">
        <v>0</v>
      </c>
    </row>
    <row r="985" spans="1:9" x14ac:dyDescent="0.25">
      <c r="A985" s="5" t="str">
        <f>TrendSheetPrdData[[#This Row],[Population]]&amp;TrendSheetPrdData[[#This Row],[Cost Basis]]&amp;TrendSheetPrdData[[#This Row],[Period]]&amp;TrendSheetPrdData[[#This Row],[Trend]]</f>
        <v>OTHERSAllowed2017-03-01Office Based CTs per 1k</v>
      </c>
      <c r="B985" t="s">
        <v>111</v>
      </c>
      <c r="C985" t="s">
        <v>111</v>
      </c>
      <c r="D985" t="s">
        <v>91</v>
      </c>
      <c r="E985" s="1" t="s">
        <v>107</v>
      </c>
      <c r="F985" t="s">
        <v>108</v>
      </c>
      <c r="G985" t="s">
        <v>23</v>
      </c>
      <c r="H985">
        <v>12</v>
      </c>
      <c r="I985">
        <v>0</v>
      </c>
    </row>
    <row r="986" spans="1:9" x14ac:dyDescent="0.25">
      <c r="A986" s="5" t="str">
        <f>TrendSheetPrdData[[#This Row],[Population]]&amp;TrendSheetPrdData[[#This Row],[Cost Basis]]&amp;TrendSheetPrdData[[#This Row],[Period]]&amp;TrendSheetPrdData[[#This Row],[Trend]]</f>
        <v>OTHERSAllowed2017-04-01Office Based CTs per 1k</v>
      </c>
      <c r="B986" t="s">
        <v>111</v>
      </c>
      <c r="C986" t="s">
        <v>111</v>
      </c>
      <c r="D986" t="s">
        <v>91</v>
      </c>
      <c r="E986" s="1" t="s">
        <v>109</v>
      </c>
      <c r="F986" t="s">
        <v>108</v>
      </c>
      <c r="G986" t="s">
        <v>23</v>
      </c>
      <c r="H986">
        <v>12</v>
      </c>
      <c r="I986">
        <v>3</v>
      </c>
    </row>
    <row r="987" spans="1:9" x14ac:dyDescent="0.25">
      <c r="A987" s="5" t="str">
        <f>TrendSheetPrdData[[#This Row],[Population]]&amp;TrendSheetPrdData[[#This Row],[Cost Basis]]&amp;TrendSheetPrdData[[#This Row],[Period]]&amp;TrendSheetPrdData[[#This Row],[Trend]]</f>
        <v>OTHERSAllowed2017-05-01Office Based CTs per 1k</v>
      </c>
      <c r="B987" t="s">
        <v>111</v>
      </c>
      <c r="C987" t="s">
        <v>111</v>
      </c>
      <c r="D987" t="s">
        <v>91</v>
      </c>
      <c r="E987" s="1" t="s">
        <v>110</v>
      </c>
      <c r="F987" t="s">
        <v>108</v>
      </c>
      <c r="G987" t="s">
        <v>23</v>
      </c>
      <c r="H987">
        <v>12</v>
      </c>
      <c r="I987">
        <v>0</v>
      </c>
    </row>
    <row r="988" spans="1:9" x14ac:dyDescent="0.25">
      <c r="A988" s="5" t="str">
        <f>TrendSheetPrdData[[#This Row],[Population]]&amp;TrendSheetPrdData[[#This Row],[Cost Basis]]&amp;TrendSheetPrdData[[#This Row],[Period]]&amp;TrendSheetPrdData[[#This Row],[Trend]]</f>
        <v>OTHERSAllowed2016-01-01ED Cost</v>
      </c>
      <c r="B988" t="s">
        <v>111</v>
      </c>
      <c r="C988" t="s">
        <v>111</v>
      </c>
      <c r="D988" t="s">
        <v>91</v>
      </c>
      <c r="E988" s="1" t="s">
        <v>92</v>
      </c>
      <c r="F988" t="s">
        <v>93</v>
      </c>
      <c r="G988" t="s">
        <v>24</v>
      </c>
      <c r="H988">
        <v>13</v>
      </c>
      <c r="I988">
        <v>106272</v>
      </c>
    </row>
    <row r="989" spans="1:9" x14ac:dyDescent="0.25">
      <c r="A989" s="5" t="str">
        <f>TrendSheetPrdData[[#This Row],[Population]]&amp;TrendSheetPrdData[[#This Row],[Cost Basis]]&amp;TrendSheetPrdData[[#This Row],[Period]]&amp;TrendSheetPrdData[[#This Row],[Trend]]</f>
        <v>OTHERSAllowed2016-02-01ED Cost</v>
      </c>
      <c r="B989" t="s">
        <v>111</v>
      </c>
      <c r="C989" t="s">
        <v>111</v>
      </c>
      <c r="D989" t="s">
        <v>91</v>
      </c>
      <c r="E989" s="1" t="s">
        <v>94</v>
      </c>
      <c r="F989" t="s">
        <v>93</v>
      </c>
      <c r="G989" t="s">
        <v>24</v>
      </c>
      <c r="H989">
        <v>13</v>
      </c>
      <c r="I989">
        <v>108365</v>
      </c>
    </row>
    <row r="990" spans="1:9" x14ac:dyDescent="0.25">
      <c r="A990" s="5" t="str">
        <f>TrendSheetPrdData[[#This Row],[Population]]&amp;TrendSheetPrdData[[#This Row],[Cost Basis]]&amp;TrendSheetPrdData[[#This Row],[Period]]&amp;TrendSheetPrdData[[#This Row],[Trend]]</f>
        <v>OTHERSAllowed2016-03-01ED Cost</v>
      </c>
      <c r="B990" t="s">
        <v>111</v>
      </c>
      <c r="C990" t="s">
        <v>111</v>
      </c>
      <c r="D990" t="s">
        <v>91</v>
      </c>
      <c r="E990" s="1" t="s">
        <v>95</v>
      </c>
      <c r="F990" t="s">
        <v>93</v>
      </c>
      <c r="G990" t="s">
        <v>24</v>
      </c>
      <c r="H990">
        <v>13</v>
      </c>
      <c r="I990">
        <v>89432</v>
      </c>
    </row>
    <row r="991" spans="1:9" x14ac:dyDescent="0.25">
      <c r="A991" s="5" t="str">
        <f>TrendSheetPrdData[[#This Row],[Population]]&amp;TrendSheetPrdData[[#This Row],[Cost Basis]]&amp;TrendSheetPrdData[[#This Row],[Period]]&amp;TrendSheetPrdData[[#This Row],[Trend]]</f>
        <v>OTHERSAllowed2016-04-01ED Cost</v>
      </c>
      <c r="B991" t="s">
        <v>111</v>
      </c>
      <c r="C991" t="s">
        <v>111</v>
      </c>
      <c r="D991" t="s">
        <v>91</v>
      </c>
      <c r="E991" s="1" t="s">
        <v>96</v>
      </c>
      <c r="F991" t="s">
        <v>93</v>
      </c>
      <c r="G991" t="s">
        <v>24</v>
      </c>
      <c r="H991">
        <v>13</v>
      </c>
      <c r="I991">
        <v>122811</v>
      </c>
    </row>
    <row r="992" spans="1:9" x14ac:dyDescent="0.25">
      <c r="A992" s="5" t="str">
        <f>TrendSheetPrdData[[#This Row],[Population]]&amp;TrendSheetPrdData[[#This Row],[Cost Basis]]&amp;TrendSheetPrdData[[#This Row],[Period]]&amp;TrendSheetPrdData[[#This Row],[Trend]]</f>
        <v>OTHERSAllowed2016-05-01ED Cost</v>
      </c>
      <c r="B992" t="s">
        <v>111</v>
      </c>
      <c r="C992" t="s">
        <v>111</v>
      </c>
      <c r="D992" t="s">
        <v>91</v>
      </c>
      <c r="E992" s="1" t="s">
        <v>97</v>
      </c>
      <c r="F992" t="s">
        <v>93</v>
      </c>
      <c r="G992" t="s">
        <v>24</v>
      </c>
      <c r="H992">
        <v>13</v>
      </c>
      <c r="I992">
        <v>82290</v>
      </c>
    </row>
    <row r="993" spans="1:9" x14ac:dyDescent="0.25">
      <c r="A993" s="5" t="str">
        <f>TrendSheetPrdData[[#This Row],[Population]]&amp;TrendSheetPrdData[[#This Row],[Cost Basis]]&amp;TrendSheetPrdData[[#This Row],[Period]]&amp;TrendSheetPrdData[[#This Row],[Trend]]</f>
        <v>OTHERSAllowed2016-06-01ED Cost</v>
      </c>
      <c r="B993" t="s">
        <v>111</v>
      </c>
      <c r="C993" t="s">
        <v>111</v>
      </c>
      <c r="D993" t="s">
        <v>91</v>
      </c>
      <c r="E993" s="1" t="s">
        <v>98</v>
      </c>
      <c r="F993" t="s">
        <v>93</v>
      </c>
      <c r="G993" t="s">
        <v>24</v>
      </c>
      <c r="H993">
        <v>13</v>
      </c>
      <c r="I993">
        <v>79927</v>
      </c>
    </row>
    <row r="994" spans="1:9" x14ac:dyDescent="0.25">
      <c r="A994" s="5" t="str">
        <f>TrendSheetPrdData[[#This Row],[Population]]&amp;TrendSheetPrdData[[#This Row],[Cost Basis]]&amp;TrendSheetPrdData[[#This Row],[Period]]&amp;TrendSheetPrdData[[#This Row],[Trend]]</f>
        <v>OTHERSAllowed2016-07-01ED Cost</v>
      </c>
      <c r="B994" t="s">
        <v>111</v>
      </c>
      <c r="C994" t="s">
        <v>111</v>
      </c>
      <c r="D994" t="s">
        <v>91</v>
      </c>
      <c r="E994" s="1" t="s">
        <v>99</v>
      </c>
      <c r="F994" t="s">
        <v>93</v>
      </c>
      <c r="G994" t="s">
        <v>24</v>
      </c>
      <c r="H994">
        <v>13</v>
      </c>
      <c r="I994">
        <v>109964</v>
      </c>
    </row>
    <row r="995" spans="1:9" x14ac:dyDescent="0.25">
      <c r="A995" s="5" t="str">
        <f>TrendSheetPrdData[[#This Row],[Population]]&amp;TrendSheetPrdData[[#This Row],[Cost Basis]]&amp;TrendSheetPrdData[[#This Row],[Period]]&amp;TrendSheetPrdData[[#This Row],[Trend]]</f>
        <v>OTHERSAllowed2016-08-01ED Cost</v>
      </c>
      <c r="B995" t="s">
        <v>111</v>
      </c>
      <c r="C995" t="s">
        <v>111</v>
      </c>
      <c r="D995" t="s">
        <v>91</v>
      </c>
      <c r="E995" s="1" t="s">
        <v>100</v>
      </c>
      <c r="F995" t="s">
        <v>93</v>
      </c>
      <c r="G995" t="s">
        <v>24</v>
      </c>
      <c r="H995">
        <v>13</v>
      </c>
      <c r="I995">
        <v>93851</v>
      </c>
    </row>
    <row r="996" spans="1:9" x14ac:dyDescent="0.25">
      <c r="A996" s="5" t="str">
        <f>TrendSheetPrdData[[#This Row],[Population]]&amp;TrendSheetPrdData[[#This Row],[Cost Basis]]&amp;TrendSheetPrdData[[#This Row],[Period]]&amp;TrendSheetPrdData[[#This Row],[Trend]]</f>
        <v>OTHERSAllowed2016-09-01ED Cost</v>
      </c>
      <c r="B996" t="s">
        <v>111</v>
      </c>
      <c r="C996" t="s">
        <v>111</v>
      </c>
      <c r="D996" t="s">
        <v>91</v>
      </c>
      <c r="E996" s="1" t="s">
        <v>101</v>
      </c>
      <c r="F996" t="s">
        <v>93</v>
      </c>
      <c r="G996" t="s">
        <v>24</v>
      </c>
      <c r="H996">
        <v>13</v>
      </c>
      <c r="I996">
        <v>106811</v>
      </c>
    </row>
    <row r="997" spans="1:9" x14ac:dyDescent="0.25">
      <c r="A997" s="5" t="str">
        <f>TrendSheetPrdData[[#This Row],[Population]]&amp;TrendSheetPrdData[[#This Row],[Cost Basis]]&amp;TrendSheetPrdData[[#This Row],[Period]]&amp;TrendSheetPrdData[[#This Row],[Trend]]</f>
        <v>OTHERSAllowed2016-10-01ED Cost</v>
      </c>
      <c r="B997" t="s">
        <v>111</v>
      </c>
      <c r="C997" t="s">
        <v>111</v>
      </c>
      <c r="D997" t="s">
        <v>91</v>
      </c>
      <c r="E997" s="1" t="s">
        <v>102</v>
      </c>
      <c r="F997" t="s">
        <v>93</v>
      </c>
      <c r="G997" t="s">
        <v>24</v>
      </c>
      <c r="H997">
        <v>13</v>
      </c>
      <c r="I997">
        <v>84412</v>
      </c>
    </row>
    <row r="998" spans="1:9" x14ac:dyDescent="0.25">
      <c r="A998" s="5" t="str">
        <f>TrendSheetPrdData[[#This Row],[Population]]&amp;TrendSheetPrdData[[#This Row],[Cost Basis]]&amp;TrendSheetPrdData[[#This Row],[Period]]&amp;TrendSheetPrdData[[#This Row],[Trend]]</f>
        <v>OTHERSAllowed2016-11-01ED Cost</v>
      </c>
      <c r="B998" t="s">
        <v>111</v>
      </c>
      <c r="C998" t="s">
        <v>111</v>
      </c>
      <c r="D998" t="s">
        <v>91</v>
      </c>
      <c r="E998" s="1" t="s">
        <v>103</v>
      </c>
      <c r="F998" t="s">
        <v>93</v>
      </c>
      <c r="G998" t="s">
        <v>24</v>
      </c>
      <c r="H998">
        <v>13</v>
      </c>
      <c r="I998">
        <v>101641</v>
      </c>
    </row>
    <row r="999" spans="1:9" x14ac:dyDescent="0.25">
      <c r="A999" s="5" t="str">
        <f>TrendSheetPrdData[[#This Row],[Population]]&amp;TrendSheetPrdData[[#This Row],[Cost Basis]]&amp;TrendSheetPrdData[[#This Row],[Period]]&amp;TrendSheetPrdData[[#This Row],[Trend]]</f>
        <v>OTHERSAllowed2016-12-01ED Cost</v>
      </c>
      <c r="B999" t="s">
        <v>111</v>
      </c>
      <c r="C999" t="s">
        <v>111</v>
      </c>
      <c r="D999" t="s">
        <v>91</v>
      </c>
      <c r="E999" s="1" t="s">
        <v>104</v>
      </c>
      <c r="F999" t="s">
        <v>93</v>
      </c>
      <c r="G999" t="s">
        <v>24</v>
      </c>
      <c r="H999">
        <v>13</v>
      </c>
      <c r="I999">
        <v>86709</v>
      </c>
    </row>
    <row r="1000" spans="1:9" x14ac:dyDescent="0.25">
      <c r="A1000" s="5" t="str">
        <f>TrendSheetPrdData[[#This Row],[Population]]&amp;TrendSheetPrdData[[#This Row],[Cost Basis]]&amp;TrendSheetPrdData[[#This Row],[Period]]&amp;TrendSheetPrdData[[#This Row],[Trend]]</f>
        <v>OTHERSAllowed2017-01-01ED Cost</v>
      </c>
      <c r="B1000" t="s">
        <v>111</v>
      </c>
      <c r="C1000" t="s">
        <v>111</v>
      </c>
      <c r="D1000" t="s">
        <v>91</v>
      </c>
      <c r="E1000" s="1" t="s">
        <v>105</v>
      </c>
      <c r="F1000" t="s">
        <v>108</v>
      </c>
      <c r="G1000" t="s">
        <v>24</v>
      </c>
      <c r="H1000">
        <v>13</v>
      </c>
      <c r="I1000">
        <v>90223</v>
      </c>
    </row>
    <row r="1001" spans="1:9" x14ac:dyDescent="0.25">
      <c r="A1001" s="5" t="str">
        <f>TrendSheetPrdData[[#This Row],[Population]]&amp;TrendSheetPrdData[[#This Row],[Cost Basis]]&amp;TrendSheetPrdData[[#This Row],[Period]]&amp;TrendSheetPrdData[[#This Row],[Trend]]</f>
        <v>OTHERSAllowed2017-02-01ED Cost</v>
      </c>
      <c r="B1001" t="s">
        <v>111</v>
      </c>
      <c r="C1001" t="s">
        <v>111</v>
      </c>
      <c r="D1001" t="s">
        <v>91</v>
      </c>
      <c r="E1001" s="1" t="s">
        <v>106</v>
      </c>
      <c r="F1001" t="s">
        <v>108</v>
      </c>
      <c r="G1001" t="s">
        <v>24</v>
      </c>
      <c r="H1001">
        <v>13</v>
      </c>
      <c r="I1001">
        <v>111997</v>
      </c>
    </row>
    <row r="1002" spans="1:9" x14ac:dyDescent="0.25">
      <c r="A1002" s="5" t="str">
        <f>TrendSheetPrdData[[#This Row],[Population]]&amp;TrendSheetPrdData[[#This Row],[Cost Basis]]&amp;TrendSheetPrdData[[#This Row],[Period]]&amp;TrendSheetPrdData[[#This Row],[Trend]]</f>
        <v>OTHERSAllowed2017-03-01ED Cost</v>
      </c>
      <c r="B1002" t="s">
        <v>111</v>
      </c>
      <c r="C1002" t="s">
        <v>111</v>
      </c>
      <c r="D1002" t="s">
        <v>91</v>
      </c>
      <c r="E1002" s="1" t="s">
        <v>107</v>
      </c>
      <c r="F1002" t="s">
        <v>108</v>
      </c>
      <c r="G1002" t="s">
        <v>24</v>
      </c>
      <c r="H1002">
        <v>13</v>
      </c>
      <c r="I1002">
        <v>85109</v>
      </c>
    </row>
    <row r="1003" spans="1:9" x14ac:dyDescent="0.25">
      <c r="A1003" s="5" t="str">
        <f>TrendSheetPrdData[[#This Row],[Population]]&amp;TrendSheetPrdData[[#This Row],[Cost Basis]]&amp;TrendSheetPrdData[[#This Row],[Period]]&amp;TrendSheetPrdData[[#This Row],[Trend]]</f>
        <v>OTHERSAllowed2017-04-01ED Cost</v>
      </c>
      <c r="B1003" t="s">
        <v>111</v>
      </c>
      <c r="C1003" t="s">
        <v>111</v>
      </c>
      <c r="D1003" t="s">
        <v>91</v>
      </c>
      <c r="E1003" s="1" t="s">
        <v>109</v>
      </c>
      <c r="F1003" t="s">
        <v>108</v>
      </c>
      <c r="G1003" t="s">
        <v>24</v>
      </c>
      <c r="H1003">
        <v>13</v>
      </c>
      <c r="I1003">
        <v>82842</v>
      </c>
    </row>
    <row r="1004" spans="1:9" x14ac:dyDescent="0.25">
      <c r="A1004" s="5" t="str">
        <f>TrendSheetPrdData[[#This Row],[Population]]&amp;TrendSheetPrdData[[#This Row],[Cost Basis]]&amp;TrendSheetPrdData[[#This Row],[Period]]&amp;TrendSheetPrdData[[#This Row],[Trend]]</f>
        <v>OTHERSAllowed2017-05-01ED Cost</v>
      </c>
      <c r="B1004" t="s">
        <v>111</v>
      </c>
      <c r="C1004" t="s">
        <v>111</v>
      </c>
      <c r="D1004" t="s">
        <v>91</v>
      </c>
      <c r="E1004" s="1" t="s">
        <v>110</v>
      </c>
      <c r="F1004" t="s">
        <v>108</v>
      </c>
      <c r="G1004" t="s">
        <v>24</v>
      </c>
      <c r="H1004">
        <v>13</v>
      </c>
      <c r="I1004">
        <v>24183</v>
      </c>
    </row>
    <row r="1005" spans="1:9" x14ac:dyDescent="0.25">
      <c r="A1005" s="5" t="str">
        <f>TrendSheetPrdData[[#This Row],[Population]]&amp;TrendSheetPrdData[[#This Row],[Cost Basis]]&amp;TrendSheetPrdData[[#This Row],[Period]]&amp;TrendSheetPrdData[[#This Row],[Trend]]</f>
        <v>OTHERSAllowed2016-01-01ED Utilization</v>
      </c>
      <c r="B1005" t="s">
        <v>111</v>
      </c>
      <c r="C1005" t="s">
        <v>111</v>
      </c>
      <c r="D1005" t="s">
        <v>91</v>
      </c>
      <c r="E1005" s="1" t="s">
        <v>92</v>
      </c>
      <c r="F1005" t="s">
        <v>93</v>
      </c>
      <c r="G1005" t="s">
        <v>25</v>
      </c>
      <c r="H1005">
        <v>14</v>
      </c>
      <c r="I1005">
        <v>209</v>
      </c>
    </row>
    <row r="1006" spans="1:9" x14ac:dyDescent="0.25">
      <c r="A1006" s="5" t="str">
        <f>TrendSheetPrdData[[#This Row],[Population]]&amp;TrendSheetPrdData[[#This Row],[Cost Basis]]&amp;TrendSheetPrdData[[#This Row],[Period]]&amp;TrendSheetPrdData[[#This Row],[Trend]]</f>
        <v>OTHERSAllowed2016-02-01ED Utilization</v>
      </c>
      <c r="B1006" t="s">
        <v>111</v>
      </c>
      <c r="C1006" t="s">
        <v>111</v>
      </c>
      <c r="D1006" t="s">
        <v>91</v>
      </c>
      <c r="E1006" s="1" t="s">
        <v>94</v>
      </c>
      <c r="F1006" t="s">
        <v>93</v>
      </c>
      <c r="G1006" t="s">
        <v>25</v>
      </c>
      <c r="H1006">
        <v>14</v>
      </c>
      <c r="I1006">
        <v>207</v>
      </c>
    </row>
    <row r="1007" spans="1:9" x14ac:dyDescent="0.25">
      <c r="A1007" s="5" t="str">
        <f>TrendSheetPrdData[[#This Row],[Population]]&amp;TrendSheetPrdData[[#This Row],[Cost Basis]]&amp;TrendSheetPrdData[[#This Row],[Period]]&amp;TrendSheetPrdData[[#This Row],[Trend]]</f>
        <v>OTHERSAllowed2016-03-01ED Utilization</v>
      </c>
      <c r="B1007" t="s">
        <v>111</v>
      </c>
      <c r="C1007" t="s">
        <v>111</v>
      </c>
      <c r="D1007" t="s">
        <v>91</v>
      </c>
      <c r="E1007" s="1" t="s">
        <v>95</v>
      </c>
      <c r="F1007" t="s">
        <v>93</v>
      </c>
      <c r="G1007" t="s">
        <v>25</v>
      </c>
      <c r="H1007">
        <v>14</v>
      </c>
      <c r="I1007">
        <v>183</v>
      </c>
    </row>
    <row r="1008" spans="1:9" x14ac:dyDescent="0.25">
      <c r="A1008" s="5" t="str">
        <f>TrendSheetPrdData[[#This Row],[Population]]&amp;TrendSheetPrdData[[#This Row],[Cost Basis]]&amp;TrendSheetPrdData[[#This Row],[Period]]&amp;TrendSheetPrdData[[#This Row],[Trend]]</f>
        <v>OTHERSAllowed2016-04-01ED Utilization</v>
      </c>
      <c r="B1008" t="s">
        <v>111</v>
      </c>
      <c r="C1008" t="s">
        <v>111</v>
      </c>
      <c r="D1008" t="s">
        <v>91</v>
      </c>
      <c r="E1008" s="1" t="s">
        <v>96</v>
      </c>
      <c r="F1008" t="s">
        <v>93</v>
      </c>
      <c r="G1008" t="s">
        <v>25</v>
      </c>
      <c r="H1008">
        <v>14</v>
      </c>
      <c r="I1008">
        <v>177</v>
      </c>
    </row>
    <row r="1009" spans="1:9" x14ac:dyDescent="0.25">
      <c r="A1009" s="5" t="str">
        <f>TrendSheetPrdData[[#This Row],[Population]]&amp;TrendSheetPrdData[[#This Row],[Cost Basis]]&amp;TrendSheetPrdData[[#This Row],[Period]]&amp;TrendSheetPrdData[[#This Row],[Trend]]</f>
        <v>OTHERSAllowed2016-05-01ED Utilization</v>
      </c>
      <c r="B1009" t="s">
        <v>111</v>
      </c>
      <c r="C1009" t="s">
        <v>111</v>
      </c>
      <c r="D1009" t="s">
        <v>91</v>
      </c>
      <c r="E1009" s="1" t="s">
        <v>97</v>
      </c>
      <c r="F1009" t="s">
        <v>93</v>
      </c>
      <c r="G1009" t="s">
        <v>25</v>
      </c>
      <c r="H1009">
        <v>14</v>
      </c>
      <c r="I1009">
        <v>153</v>
      </c>
    </row>
    <row r="1010" spans="1:9" x14ac:dyDescent="0.25">
      <c r="A1010" s="5" t="str">
        <f>TrendSheetPrdData[[#This Row],[Population]]&amp;TrendSheetPrdData[[#This Row],[Cost Basis]]&amp;TrendSheetPrdData[[#This Row],[Period]]&amp;TrendSheetPrdData[[#This Row],[Trend]]</f>
        <v>OTHERSAllowed2016-06-01ED Utilization</v>
      </c>
      <c r="B1010" t="s">
        <v>111</v>
      </c>
      <c r="C1010" t="s">
        <v>111</v>
      </c>
      <c r="D1010" t="s">
        <v>91</v>
      </c>
      <c r="E1010" s="1" t="s">
        <v>98</v>
      </c>
      <c r="F1010" t="s">
        <v>93</v>
      </c>
      <c r="G1010" t="s">
        <v>25</v>
      </c>
      <c r="H1010">
        <v>14</v>
      </c>
      <c r="I1010">
        <v>154</v>
      </c>
    </row>
    <row r="1011" spans="1:9" x14ac:dyDescent="0.25">
      <c r="A1011" s="5" t="str">
        <f>TrendSheetPrdData[[#This Row],[Population]]&amp;TrendSheetPrdData[[#This Row],[Cost Basis]]&amp;TrendSheetPrdData[[#This Row],[Period]]&amp;TrendSheetPrdData[[#This Row],[Trend]]</f>
        <v>OTHERSAllowed2016-07-01ED Utilization</v>
      </c>
      <c r="B1011" t="s">
        <v>111</v>
      </c>
      <c r="C1011" t="s">
        <v>111</v>
      </c>
      <c r="D1011" t="s">
        <v>91</v>
      </c>
      <c r="E1011" s="1" t="s">
        <v>99</v>
      </c>
      <c r="F1011" t="s">
        <v>93</v>
      </c>
      <c r="G1011" t="s">
        <v>25</v>
      </c>
      <c r="H1011">
        <v>14</v>
      </c>
      <c r="I1011">
        <v>188</v>
      </c>
    </row>
    <row r="1012" spans="1:9" x14ac:dyDescent="0.25">
      <c r="A1012" s="5" t="str">
        <f>TrendSheetPrdData[[#This Row],[Population]]&amp;TrendSheetPrdData[[#This Row],[Cost Basis]]&amp;TrendSheetPrdData[[#This Row],[Period]]&amp;TrendSheetPrdData[[#This Row],[Trend]]</f>
        <v>OTHERSAllowed2016-08-01ED Utilization</v>
      </c>
      <c r="B1012" t="s">
        <v>111</v>
      </c>
      <c r="C1012" t="s">
        <v>111</v>
      </c>
      <c r="D1012" t="s">
        <v>91</v>
      </c>
      <c r="E1012" s="1" t="s">
        <v>100</v>
      </c>
      <c r="F1012" t="s">
        <v>93</v>
      </c>
      <c r="G1012" t="s">
        <v>25</v>
      </c>
      <c r="H1012">
        <v>14</v>
      </c>
      <c r="I1012">
        <v>172</v>
      </c>
    </row>
    <row r="1013" spans="1:9" x14ac:dyDescent="0.25">
      <c r="A1013" s="5" t="str">
        <f>TrendSheetPrdData[[#This Row],[Population]]&amp;TrendSheetPrdData[[#This Row],[Cost Basis]]&amp;TrendSheetPrdData[[#This Row],[Period]]&amp;TrendSheetPrdData[[#This Row],[Trend]]</f>
        <v>OTHERSAllowed2016-09-01ED Utilization</v>
      </c>
      <c r="B1013" t="s">
        <v>111</v>
      </c>
      <c r="C1013" t="s">
        <v>111</v>
      </c>
      <c r="D1013" t="s">
        <v>91</v>
      </c>
      <c r="E1013" s="1" t="s">
        <v>101</v>
      </c>
      <c r="F1013" t="s">
        <v>93</v>
      </c>
      <c r="G1013" t="s">
        <v>25</v>
      </c>
      <c r="H1013">
        <v>14</v>
      </c>
      <c r="I1013">
        <v>171</v>
      </c>
    </row>
    <row r="1014" spans="1:9" x14ac:dyDescent="0.25">
      <c r="A1014" s="5" t="str">
        <f>TrendSheetPrdData[[#This Row],[Population]]&amp;TrendSheetPrdData[[#This Row],[Cost Basis]]&amp;TrendSheetPrdData[[#This Row],[Period]]&amp;TrendSheetPrdData[[#This Row],[Trend]]</f>
        <v>OTHERSAllowed2016-10-01ED Utilization</v>
      </c>
      <c r="B1014" t="s">
        <v>111</v>
      </c>
      <c r="C1014" t="s">
        <v>111</v>
      </c>
      <c r="D1014" t="s">
        <v>91</v>
      </c>
      <c r="E1014" s="1" t="s">
        <v>102</v>
      </c>
      <c r="F1014" t="s">
        <v>93</v>
      </c>
      <c r="G1014" t="s">
        <v>25</v>
      </c>
      <c r="H1014">
        <v>14</v>
      </c>
      <c r="I1014">
        <v>136</v>
      </c>
    </row>
    <row r="1015" spans="1:9" x14ac:dyDescent="0.25">
      <c r="A1015" s="5" t="str">
        <f>TrendSheetPrdData[[#This Row],[Population]]&amp;TrendSheetPrdData[[#This Row],[Cost Basis]]&amp;TrendSheetPrdData[[#This Row],[Period]]&amp;TrendSheetPrdData[[#This Row],[Trend]]</f>
        <v>OTHERSAllowed2016-11-01ED Utilization</v>
      </c>
      <c r="B1015" t="s">
        <v>111</v>
      </c>
      <c r="C1015" t="s">
        <v>111</v>
      </c>
      <c r="D1015" t="s">
        <v>91</v>
      </c>
      <c r="E1015" s="1" t="s">
        <v>103</v>
      </c>
      <c r="F1015" t="s">
        <v>93</v>
      </c>
      <c r="G1015" t="s">
        <v>25</v>
      </c>
      <c r="H1015">
        <v>14</v>
      </c>
      <c r="I1015">
        <v>157</v>
      </c>
    </row>
    <row r="1016" spans="1:9" x14ac:dyDescent="0.25">
      <c r="A1016" s="5" t="str">
        <f>TrendSheetPrdData[[#This Row],[Population]]&amp;TrendSheetPrdData[[#This Row],[Cost Basis]]&amp;TrendSheetPrdData[[#This Row],[Period]]&amp;TrendSheetPrdData[[#This Row],[Trend]]</f>
        <v>OTHERSAllowed2016-12-01ED Utilization</v>
      </c>
      <c r="B1016" t="s">
        <v>111</v>
      </c>
      <c r="C1016" t="s">
        <v>111</v>
      </c>
      <c r="D1016" t="s">
        <v>91</v>
      </c>
      <c r="E1016" s="1" t="s">
        <v>104</v>
      </c>
      <c r="F1016" t="s">
        <v>93</v>
      </c>
      <c r="G1016" t="s">
        <v>25</v>
      </c>
      <c r="H1016">
        <v>14</v>
      </c>
      <c r="I1016">
        <v>156</v>
      </c>
    </row>
    <row r="1017" spans="1:9" x14ac:dyDescent="0.25">
      <c r="A1017" s="5" t="str">
        <f>TrendSheetPrdData[[#This Row],[Population]]&amp;TrendSheetPrdData[[#This Row],[Cost Basis]]&amp;TrendSheetPrdData[[#This Row],[Period]]&amp;TrendSheetPrdData[[#This Row],[Trend]]</f>
        <v>OTHERSAllowed2017-01-01ED Utilization</v>
      </c>
      <c r="B1017" t="s">
        <v>111</v>
      </c>
      <c r="C1017" t="s">
        <v>111</v>
      </c>
      <c r="D1017" t="s">
        <v>91</v>
      </c>
      <c r="E1017" s="1" t="s">
        <v>105</v>
      </c>
      <c r="F1017" t="s">
        <v>108</v>
      </c>
      <c r="G1017" t="s">
        <v>25</v>
      </c>
      <c r="H1017">
        <v>14</v>
      </c>
      <c r="I1017">
        <v>157</v>
      </c>
    </row>
    <row r="1018" spans="1:9" x14ac:dyDescent="0.25">
      <c r="A1018" s="5" t="str">
        <f>TrendSheetPrdData[[#This Row],[Population]]&amp;TrendSheetPrdData[[#This Row],[Cost Basis]]&amp;TrendSheetPrdData[[#This Row],[Period]]&amp;TrendSheetPrdData[[#This Row],[Trend]]</f>
        <v>OTHERSAllowed2017-02-01ED Utilization</v>
      </c>
      <c r="B1018" t="s">
        <v>111</v>
      </c>
      <c r="C1018" t="s">
        <v>111</v>
      </c>
      <c r="D1018" t="s">
        <v>91</v>
      </c>
      <c r="E1018" s="1" t="s">
        <v>106</v>
      </c>
      <c r="F1018" t="s">
        <v>108</v>
      </c>
      <c r="G1018" t="s">
        <v>25</v>
      </c>
      <c r="H1018">
        <v>14</v>
      </c>
      <c r="I1018">
        <v>158</v>
      </c>
    </row>
    <row r="1019" spans="1:9" x14ac:dyDescent="0.25">
      <c r="A1019" s="5" t="str">
        <f>TrendSheetPrdData[[#This Row],[Population]]&amp;TrendSheetPrdData[[#This Row],[Cost Basis]]&amp;TrendSheetPrdData[[#This Row],[Period]]&amp;TrendSheetPrdData[[#This Row],[Trend]]</f>
        <v>OTHERSAllowed2017-03-01ED Utilization</v>
      </c>
      <c r="B1019" t="s">
        <v>111</v>
      </c>
      <c r="C1019" t="s">
        <v>111</v>
      </c>
      <c r="D1019" t="s">
        <v>91</v>
      </c>
      <c r="E1019" s="1" t="s">
        <v>107</v>
      </c>
      <c r="F1019" t="s">
        <v>108</v>
      </c>
      <c r="G1019" t="s">
        <v>25</v>
      </c>
      <c r="H1019">
        <v>14</v>
      </c>
      <c r="I1019">
        <v>142</v>
      </c>
    </row>
    <row r="1020" spans="1:9" x14ac:dyDescent="0.25">
      <c r="A1020" s="5" t="str">
        <f>TrendSheetPrdData[[#This Row],[Population]]&amp;TrendSheetPrdData[[#This Row],[Cost Basis]]&amp;TrendSheetPrdData[[#This Row],[Period]]&amp;TrendSheetPrdData[[#This Row],[Trend]]</f>
        <v>OTHERSAllowed2017-04-01ED Utilization</v>
      </c>
      <c r="B1020" t="s">
        <v>111</v>
      </c>
      <c r="C1020" t="s">
        <v>111</v>
      </c>
      <c r="D1020" t="s">
        <v>91</v>
      </c>
      <c r="E1020" s="1" t="s">
        <v>109</v>
      </c>
      <c r="F1020" t="s">
        <v>108</v>
      </c>
      <c r="G1020" t="s">
        <v>25</v>
      </c>
      <c r="H1020">
        <v>14</v>
      </c>
      <c r="I1020">
        <v>158</v>
      </c>
    </row>
    <row r="1021" spans="1:9" x14ac:dyDescent="0.25">
      <c r="A1021" s="5" t="str">
        <f>TrendSheetPrdData[[#This Row],[Population]]&amp;TrendSheetPrdData[[#This Row],[Cost Basis]]&amp;TrendSheetPrdData[[#This Row],[Period]]&amp;TrendSheetPrdData[[#This Row],[Trend]]</f>
        <v>OTHERSAllowed2017-05-01ED Utilization</v>
      </c>
      <c r="B1021" t="s">
        <v>111</v>
      </c>
      <c r="C1021" t="s">
        <v>111</v>
      </c>
      <c r="D1021" t="s">
        <v>91</v>
      </c>
      <c r="E1021" s="1" t="s">
        <v>110</v>
      </c>
      <c r="F1021" t="s">
        <v>108</v>
      </c>
      <c r="G1021" t="s">
        <v>25</v>
      </c>
      <c r="H1021">
        <v>14</v>
      </c>
      <c r="I1021">
        <v>58</v>
      </c>
    </row>
    <row r="1022" spans="1:9" x14ac:dyDescent="0.25">
      <c r="A1022" s="5" t="str">
        <f>TrendSheetPrdData[[#This Row],[Population]]&amp;TrendSheetPrdData[[#This Row],[Cost Basis]]&amp;TrendSheetPrdData[[#This Row],[Period]]&amp;TrendSheetPrdData[[#This Row],[Trend]]</f>
        <v>OTHERSAllowed2016-01-01Drug - Generic Utilization Cost</v>
      </c>
      <c r="B1022" t="s">
        <v>111</v>
      </c>
      <c r="C1022" t="s">
        <v>111</v>
      </c>
      <c r="D1022" t="s">
        <v>91</v>
      </c>
      <c r="E1022" s="1" t="s">
        <v>92</v>
      </c>
      <c r="F1022" t="s">
        <v>93</v>
      </c>
      <c r="G1022" t="s">
        <v>26</v>
      </c>
      <c r="H1022">
        <v>15</v>
      </c>
      <c r="I1022">
        <v>244456</v>
      </c>
    </row>
    <row r="1023" spans="1:9" x14ac:dyDescent="0.25">
      <c r="A1023" s="5" t="str">
        <f>TrendSheetPrdData[[#This Row],[Population]]&amp;TrendSheetPrdData[[#This Row],[Cost Basis]]&amp;TrendSheetPrdData[[#This Row],[Period]]&amp;TrendSheetPrdData[[#This Row],[Trend]]</f>
        <v>OTHERSAllowed2016-02-01Drug - Generic Utilization Cost</v>
      </c>
      <c r="B1023" t="s">
        <v>111</v>
      </c>
      <c r="C1023" t="s">
        <v>111</v>
      </c>
      <c r="D1023" t="s">
        <v>91</v>
      </c>
      <c r="E1023" s="1" t="s">
        <v>94</v>
      </c>
      <c r="F1023" t="s">
        <v>93</v>
      </c>
      <c r="G1023" t="s">
        <v>26</v>
      </c>
      <c r="H1023">
        <v>15</v>
      </c>
      <c r="I1023">
        <v>256094</v>
      </c>
    </row>
    <row r="1024" spans="1:9" x14ac:dyDescent="0.25">
      <c r="A1024" s="5" t="str">
        <f>TrendSheetPrdData[[#This Row],[Population]]&amp;TrendSheetPrdData[[#This Row],[Cost Basis]]&amp;TrendSheetPrdData[[#This Row],[Period]]&amp;TrendSheetPrdData[[#This Row],[Trend]]</f>
        <v>OTHERSAllowed2016-03-01Drug - Generic Utilization Cost</v>
      </c>
      <c r="B1024" t="s">
        <v>111</v>
      </c>
      <c r="C1024" t="s">
        <v>111</v>
      </c>
      <c r="D1024" t="s">
        <v>91</v>
      </c>
      <c r="E1024" s="1" t="s">
        <v>95</v>
      </c>
      <c r="F1024" t="s">
        <v>93</v>
      </c>
      <c r="G1024" t="s">
        <v>26</v>
      </c>
      <c r="H1024">
        <v>15</v>
      </c>
      <c r="I1024">
        <v>196199</v>
      </c>
    </row>
    <row r="1025" spans="1:9" x14ac:dyDescent="0.25">
      <c r="A1025" s="5" t="str">
        <f>TrendSheetPrdData[[#This Row],[Population]]&amp;TrendSheetPrdData[[#This Row],[Cost Basis]]&amp;TrendSheetPrdData[[#This Row],[Period]]&amp;TrendSheetPrdData[[#This Row],[Trend]]</f>
        <v>OTHERSAllowed2016-04-01Drug - Generic Utilization Cost</v>
      </c>
      <c r="B1025" t="s">
        <v>111</v>
      </c>
      <c r="C1025" t="s">
        <v>111</v>
      </c>
      <c r="D1025" t="s">
        <v>91</v>
      </c>
      <c r="E1025" s="1" t="s">
        <v>96</v>
      </c>
      <c r="F1025" t="s">
        <v>93</v>
      </c>
      <c r="G1025" t="s">
        <v>26</v>
      </c>
      <c r="H1025">
        <v>15</v>
      </c>
      <c r="I1025">
        <v>250166</v>
      </c>
    </row>
    <row r="1026" spans="1:9" x14ac:dyDescent="0.25">
      <c r="A1026" s="5" t="str">
        <f>TrendSheetPrdData[[#This Row],[Population]]&amp;TrendSheetPrdData[[#This Row],[Cost Basis]]&amp;TrendSheetPrdData[[#This Row],[Period]]&amp;TrendSheetPrdData[[#This Row],[Trend]]</f>
        <v>OTHERSAllowed2016-05-01Drug - Generic Utilization Cost</v>
      </c>
      <c r="B1026" t="s">
        <v>111</v>
      </c>
      <c r="C1026" t="s">
        <v>111</v>
      </c>
      <c r="D1026" t="s">
        <v>91</v>
      </c>
      <c r="E1026" s="1" t="s">
        <v>97</v>
      </c>
      <c r="F1026" t="s">
        <v>93</v>
      </c>
      <c r="G1026" t="s">
        <v>26</v>
      </c>
      <c r="H1026">
        <v>15</v>
      </c>
      <c r="I1026">
        <v>232054</v>
      </c>
    </row>
    <row r="1027" spans="1:9" x14ac:dyDescent="0.25">
      <c r="A1027" s="5" t="str">
        <f>TrendSheetPrdData[[#This Row],[Population]]&amp;TrendSheetPrdData[[#This Row],[Cost Basis]]&amp;TrendSheetPrdData[[#This Row],[Period]]&amp;TrendSheetPrdData[[#This Row],[Trend]]</f>
        <v>OTHERSAllowed2016-06-01Drug - Generic Utilization Cost</v>
      </c>
      <c r="B1027" t="s">
        <v>111</v>
      </c>
      <c r="C1027" t="s">
        <v>111</v>
      </c>
      <c r="D1027" t="s">
        <v>91</v>
      </c>
      <c r="E1027" s="1" t="s">
        <v>98</v>
      </c>
      <c r="F1027" t="s">
        <v>93</v>
      </c>
      <c r="G1027" t="s">
        <v>26</v>
      </c>
      <c r="H1027">
        <v>15</v>
      </c>
      <c r="I1027">
        <v>167687</v>
      </c>
    </row>
    <row r="1028" spans="1:9" x14ac:dyDescent="0.25">
      <c r="A1028" s="5" t="str">
        <f>TrendSheetPrdData[[#This Row],[Population]]&amp;TrendSheetPrdData[[#This Row],[Cost Basis]]&amp;TrendSheetPrdData[[#This Row],[Period]]&amp;TrendSheetPrdData[[#This Row],[Trend]]</f>
        <v>OTHERSAllowed2016-07-01Drug - Generic Utilization Cost</v>
      </c>
      <c r="B1028" t="s">
        <v>111</v>
      </c>
      <c r="C1028" t="s">
        <v>111</v>
      </c>
      <c r="D1028" t="s">
        <v>91</v>
      </c>
      <c r="E1028" s="1" t="s">
        <v>99</v>
      </c>
      <c r="F1028" t="s">
        <v>93</v>
      </c>
      <c r="G1028" t="s">
        <v>26</v>
      </c>
      <c r="H1028">
        <v>15</v>
      </c>
      <c r="I1028">
        <v>190688</v>
      </c>
    </row>
    <row r="1029" spans="1:9" x14ac:dyDescent="0.25">
      <c r="A1029" s="5" t="str">
        <f>TrendSheetPrdData[[#This Row],[Population]]&amp;TrendSheetPrdData[[#This Row],[Cost Basis]]&amp;TrendSheetPrdData[[#This Row],[Period]]&amp;TrendSheetPrdData[[#This Row],[Trend]]</f>
        <v>OTHERSAllowed2016-08-01Drug - Generic Utilization Cost</v>
      </c>
      <c r="B1029" t="s">
        <v>111</v>
      </c>
      <c r="C1029" t="s">
        <v>111</v>
      </c>
      <c r="D1029" t="s">
        <v>91</v>
      </c>
      <c r="E1029" s="1" t="s">
        <v>100</v>
      </c>
      <c r="F1029" t="s">
        <v>93</v>
      </c>
      <c r="G1029" t="s">
        <v>26</v>
      </c>
      <c r="H1029">
        <v>15</v>
      </c>
      <c r="I1029">
        <v>234078</v>
      </c>
    </row>
    <row r="1030" spans="1:9" x14ac:dyDescent="0.25">
      <c r="A1030" s="5" t="str">
        <f>TrendSheetPrdData[[#This Row],[Population]]&amp;TrendSheetPrdData[[#This Row],[Cost Basis]]&amp;TrendSheetPrdData[[#This Row],[Period]]&amp;TrendSheetPrdData[[#This Row],[Trend]]</f>
        <v>OTHERSAllowed2016-09-01Drug - Generic Utilization Cost</v>
      </c>
      <c r="B1030" t="s">
        <v>111</v>
      </c>
      <c r="C1030" t="s">
        <v>111</v>
      </c>
      <c r="D1030" t="s">
        <v>91</v>
      </c>
      <c r="E1030" s="1" t="s">
        <v>101</v>
      </c>
      <c r="F1030" t="s">
        <v>93</v>
      </c>
      <c r="G1030" t="s">
        <v>26</v>
      </c>
      <c r="H1030">
        <v>15</v>
      </c>
      <c r="I1030">
        <v>194054</v>
      </c>
    </row>
    <row r="1031" spans="1:9" x14ac:dyDescent="0.25">
      <c r="A1031" s="5" t="str">
        <f>TrendSheetPrdData[[#This Row],[Population]]&amp;TrendSheetPrdData[[#This Row],[Cost Basis]]&amp;TrendSheetPrdData[[#This Row],[Period]]&amp;TrendSheetPrdData[[#This Row],[Trend]]</f>
        <v>OTHERSAllowed2016-10-01Drug - Generic Utilization Cost</v>
      </c>
      <c r="B1031" t="s">
        <v>111</v>
      </c>
      <c r="C1031" t="s">
        <v>111</v>
      </c>
      <c r="D1031" t="s">
        <v>91</v>
      </c>
      <c r="E1031" s="1" t="s">
        <v>102</v>
      </c>
      <c r="F1031" t="s">
        <v>93</v>
      </c>
      <c r="G1031" t="s">
        <v>26</v>
      </c>
      <c r="H1031">
        <v>15</v>
      </c>
      <c r="I1031">
        <v>207507</v>
      </c>
    </row>
    <row r="1032" spans="1:9" x14ac:dyDescent="0.25">
      <c r="A1032" s="5" t="str">
        <f>TrendSheetPrdData[[#This Row],[Population]]&amp;TrendSheetPrdData[[#This Row],[Cost Basis]]&amp;TrendSheetPrdData[[#This Row],[Period]]&amp;TrendSheetPrdData[[#This Row],[Trend]]</f>
        <v>OTHERSAllowed2016-11-01Drug - Generic Utilization Cost</v>
      </c>
      <c r="B1032" t="s">
        <v>111</v>
      </c>
      <c r="C1032" t="s">
        <v>111</v>
      </c>
      <c r="D1032" t="s">
        <v>91</v>
      </c>
      <c r="E1032" s="1" t="s">
        <v>103</v>
      </c>
      <c r="F1032" t="s">
        <v>93</v>
      </c>
      <c r="G1032" t="s">
        <v>26</v>
      </c>
      <c r="H1032">
        <v>15</v>
      </c>
      <c r="I1032">
        <v>248107</v>
      </c>
    </row>
    <row r="1033" spans="1:9" x14ac:dyDescent="0.25">
      <c r="A1033" s="5" t="str">
        <f>TrendSheetPrdData[[#This Row],[Population]]&amp;TrendSheetPrdData[[#This Row],[Cost Basis]]&amp;TrendSheetPrdData[[#This Row],[Period]]&amp;TrendSheetPrdData[[#This Row],[Trend]]</f>
        <v>OTHERSAllowed2016-12-01Drug - Generic Utilization Cost</v>
      </c>
      <c r="B1033" t="s">
        <v>111</v>
      </c>
      <c r="C1033" t="s">
        <v>111</v>
      </c>
      <c r="D1033" t="s">
        <v>91</v>
      </c>
      <c r="E1033" s="1" t="s">
        <v>104</v>
      </c>
      <c r="F1033" t="s">
        <v>93</v>
      </c>
      <c r="G1033" t="s">
        <v>26</v>
      </c>
      <c r="H1033">
        <v>15</v>
      </c>
      <c r="I1033">
        <v>197615</v>
      </c>
    </row>
    <row r="1034" spans="1:9" x14ac:dyDescent="0.25">
      <c r="A1034" s="5" t="str">
        <f>TrendSheetPrdData[[#This Row],[Population]]&amp;TrendSheetPrdData[[#This Row],[Cost Basis]]&amp;TrendSheetPrdData[[#This Row],[Period]]&amp;TrendSheetPrdData[[#This Row],[Trend]]</f>
        <v>OTHERSAllowed2017-01-01Drug - Generic Utilization Cost</v>
      </c>
      <c r="B1034" t="s">
        <v>111</v>
      </c>
      <c r="C1034" t="s">
        <v>111</v>
      </c>
      <c r="D1034" t="s">
        <v>91</v>
      </c>
      <c r="E1034" s="1" t="s">
        <v>105</v>
      </c>
      <c r="F1034" t="s">
        <v>108</v>
      </c>
      <c r="G1034" t="s">
        <v>26</v>
      </c>
      <c r="H1034">
        <v>15</v>
      </c>
      <c r="I1034">
        <v>242102</v>
      </c>
    </row>
    <row r="1035" spans="1:9" x14ac:dyDescent="0.25">
      <c r="A1035" s="5" t="str">
        <f>TrendSheetPrdData[[#This Row],[Population]]&amp;TrendSheetPrdData[[#This Row],[Cost Basis]]&amp;TrendSheetPrdData[[#This Row],[Period]]&amp;TrendSheetPrdData[[#This Row],[Trend]]</f>
        <v>OTHERSAllowed2017-02-01Drug - Generic Utilization Cost</v>
      </c>
      <c r="B1035" t="s">
        <v>111</v>
      </c>
      <c r="C1035" t="s">
        <v>111</v>
      </c>
      <c r="D1035" t="s">
        <v>91</v>
      </c>
      <c r="E1035" s="1" t="s">
        <v>106</v>
      </c>
      <c r="F1035" t="s">
        <v>108</v>
      </c>
      <c r="G1035" t="s">
        <v>26</v>
      </c>
      <c r="H1035">
        <v>15</v>
      </c>
      <c r="I1035">
        <v>203959</v>
      </c>
    </row>
    <row r="1036" spans="1:9" x14ac:dyDescent="0.25">
      <c r="A1036" s="5" t="str">
        <f>TrendSheetPrdData[[#This Row],[Population]]&amp;TrendSheetPrdData[[#This Row],[Cost Basis]]&amp;TrendSheetPrdData[[#This Row],[Period]]&amp;TrendSheetPrdData[[#This Row],[Trend]]</f>
        <v>OTHERSAllowed2017-03-01Drug - Generic Utilization Cost</v>
      </c>
      <c r="B1036" t="s">
        <v>111</v>
      </c>
      <c r="C1036" t="s">
        <v>111</v>
      </c>
      <c r="D1036" t="s">
        <v>91</v>
      </c>
      <c r="E1036" s="1" t="s">
        <v>107</v>
      </c>
      <c r="F1036" t="s">
        <v>108</v>
      </c>
      <c r="G1036" t="s">
        <v>26</v>
      </c>
      <c r="H1036">
        <v>15</v>
      </c>
      <c r="I1036">
        <v>220947</v>
      </c>
    </row>
    <row r="1037" spans="1:9" x14ac:dyDescent="0.25">
      <c r="A1037" s="5" t="str">
        <f>TrendSheetPrdData[[#This Row],[Population]]&amp;TrendSheetPrdData[[#This Row],[Cost Basis]]&amp;TrendSheetPrdData[[#This Row],[Period]]&amp;TrendSheetPrdData[[#This Row],[Trend]]</f>
        <v>OTHERSAllowed2017-04-01Drug - Generic Utilization Cost</v>
      </c>
      <c r="B1037" t="s">
        <v>111</v>
      </c>
      <c r="C1037" t="s">
        <v>111</v>
      </c>
      <c r="D1037" t="s">
        <v>91</v>
      </c>
      <c r="E1037" s="1" t="s">
        <v>109</v>
      </c>
      <c r="F1037" t="s">
        <v>108</v>
      </c>
      <c r="G1037" t="s">
        <v>26</v>
      </c>
      <c r="H1037">
        <v>15</v>
      </c>
      <c r="I1037">
        <v>186607</v>
      </c>
    </row>
    <row r="1038" spans="1:9" x14ac:dyDescent="0.25">
      <c r="A1038" s="5" t="str">
        <f>TrendSheetPrdData[[#This Row],[Population]]&amp;TrendSheetPrdData[[#This Row],[Cost Basis]]&amp;TrendSheetPrdData[[#This Row],[Period]]&amp;TrendSheetPrdData[[#This Row],[Trend]]</f>
        <v>OTHERSAllowed2017-05-01Drug - Generic Utilization Cost</v>
      </c>
      <c r="B1038" t="s">
        <v>111</v>
      </c>
      <c r="C1038" t="s">
        <v>111</v>
      </c>
      <c r="D1038" t="s">
        <v>91</v>
      </c>
      <c r="E1038" s="1" t="s">
        <v>110</v>
      </c>
      <c r="F1038" t="s">
        <v>108</v>
      </c>
      <c r="G1038" t="s">
        <v>26</v>
      </c>
      <c r="H1038">
        <v>15</v>
      </c>
      <c r="I1038">
        <v>239198</v>
      </c>
    </row>
    <row r="1039" spans="1:9" x14ac:dyDescent="0.25">
      <c r="A1039" s="5" t="str">
        <f>TrendSheetPrdData[[#This Row],[Population]]&amp;TrendSheetPrdData[[#This Row],[Cost Basis]]&amp;TrendSheetPrdData[[#This Row],[Period]]&amp;TrendSheetPrdData[[#This Row],[Trend]]</f>
        <v>OTHERSAllowed2016-01-01Drug - Generic Utilization</v>
      </c>
      <c r="B1039" t="s">
        <v>111</v>
      </c>
      <c r="C1039" t="s">
        <v>111</v>
      </c>
      <c r="D1039" t="s">
        <v>91</v>
      </c>
      <c r="E1039" s="1" t="s">
        <v>92</v>
      </c>
      <c r="F1039" t="s">
        <v>93</v>
      </c>
      <c r="G1039" t="s">
        <v>27</v>
      </c>
      <c r="H1039">
        <v>16</v>
      </c>
      <c r="I1039">
        <v>0.84</v>
      </c>
    </row>
    <row r="1040" spans="1:9" x14ac:dyDescent="0.25">
      <c r="A1040" s="5" t="str">
        <f>TrendSheetPrdData[[#This Row],[Population]]&amp;TrendSheetPrdData[[#This Row],[Cost Basis]]&amp;TrendSheetPrdData[[#This Row],[Period]]&amp;TrendSheetPrdData[[#This Row],[Trend]]</f>
        <v>OTHERSAllowed2016-02-01Drug - Generic Utilization</v>
      </c>
      <c r="B1040" t="s">
        <v>111</v>
      </c>
      <c r="C1040" t="s">
        <v>111</v>
      </c>
      <c r="D1040" t="s">
        <v>91</v>
      </c>
      <c r="E1040" s="1" t="s">
        <v>94</v>
      </c>
      <c r="F1040" t="s">
        <v>93</v>
      </c>
      <c r="G1040" t="s">
        <v>27</v>
      </c>
      <c r="H1040">
        <v>16</v>
      </c>
      <c r="I1040">
        <v>0.86</v>
      </c>
    </row>
    <row r="1041" spans="1:9" x14ac:dyDescent="0.25">
      <c r="A1041" s="5" t="str">
        <f>TrendSheetPrdData[[#This Row],[Population]]&amp;TrendSheetPrdData[[#This Row],[Cost Basis]]&amp;TrendSheetPrdData[[#This Row],[Period]]&amp;TrendSheetPrdData[[#This Row],[Trend]]</f>
        <v>OTHERSAllowed2016-03-01Drug - Generic Utilization</v>
      </c>
      <c r="B1041" t="s">
        <v>111</v>
      </c>
      <c r="C1041" t="s">
        <v>111</v>
      </c>
      <c r="D1041" t="s">
        <v>91</v>
      </c>
      <c r="E1041" s="1" t="s">
        <v>95</v>
      </c>
      <c r="F1041" t="s">
        <v>93</v>
      </c>
      <c r="G1041" t="s">
        <v>27</v>
      </c>
      <c r="H1041">
        <v>16</v>
      </c>
      <c r="I1041">
        <v>0.86</v>
      </c>
    </row>
    <row r="1042" spans="1:9" x14ac:dyDescent="0.25">
      <c r="A1042" s="5" t="str">
        <f>TrendSheetPrdData[[#This Row],[Population]]&amp;TrendSheetPrdData[[#This Row],[Cost Basis]]&amp;TrendSheetPrdData[[#This Row],[Period]]&amp;TrendSheetPrdData[[#This Row],[Trend]]</f>
        <v>OTHERSAllowed2016-04-01Drug - Generic Utilization</v>
      </c>
      <c r="B1042" t="s">
        <v>111</v>
      </c>
      <c r="C1042" t="s">
        <v>111</v>
      </c>
      <c r="D1042" t="s">
        <v>91</v>
      </c>
      <c r="E1042" s="1" t="s">
        <v>96</v>
      </c>
      <c r="F1042" t="s">
        <v>93</v>
      </c>
      <c r="G1042" t="s">
        <v>27</v>
      </c>
      <c r="H1042">
        <v>16</v>
      </c>
      <c r="I1042">
        <v>0.84</v>
      </c>
    </row>
    <row r="1043" spans="1:9" x14ac:dyDescent="0.25">
      <c r="A1043" s="5" t="str">
        <f>TrendSheetPrdData[[#This Row],[Population]]&amp;TrendSheetPrdData[[#This Row],[Cost Basis]]&amp;TrendSheetPrdData[[#This Row],[Period]]&amp;TrendSheetPrdData[[#This Row],[Trend]]</f>
        <v>OTHERSAllowed2016-05-01Drug - Generic Utilization</v>
      </c>
      <c r="B1043" t="s">
        <v>111</v>
      </c>
      <c r="C1043" t="s">
        <v>111</v>
      </c>
      <c r="D1043" t="s">
        <v>91</v>
      </c>
      <c r="E1043" s="1" t="s">
        <v>97</v>
      </c>
      <c r="F1043" t="s">
        <v>93</v>
      </c>
      <c r="G1043" t="s">
        <v>27</v>
      </c>
      <c r="H1043">
        <v>16</v>
      </c>
      <c r="I1043">
        <v>0.87</v>
      </c>
    </row>
    <row r="1044" spans="1:9" x14ac:dyDescent="0.25">
      <c r="A1044" s="5" t="str">
        <f>TrendSheetPrdData[[#This Row],[Population]]&amp;TrendSheetPrdData[[#This Row],[Cost Basis]]&amp;TrendSheetPrdData[[#This Row],[Period]]&amp;TrendSheetPrdData[[#This Row],[Trend]]</f>
        <v>OTHERSAllowed2016-06-01Drug - Generic Utilization</v>
      </c>
      <c r="B1044" t="s">
        <v>111</v>
      </c>
      <c r="C1044" t="s">
        <v>111</v>
      </c>
      <c r="D1044" t="s">
        <v>91</v>
      </c>
      <c r="E1044" s="1" t="s">
        <v>98</v>
      </c>
      <c r="F1044" t="s">
        <v>93</v>
      </c>
      <c r="G1044" t="s">
        <v>27</v>
      </c>
      <c r="H1044">
        <v>16</v>
      </c>
      <c r="I1044">
        <v>0.88</v>
      </c>
    </row>
    <row r="1045" spans="1:9" x14ac:dyDescent="0.25">
      <c r="A1045" s="5" t="str">
        <f>TrendSheetPrdData[[#This Row],[Population]]&amp;TrendSheetPrdData[[#This Row],[Cost Basis]]&amp;TrendSheetPrdData[[#This Row],[Period]]&amp;TrendSheetPrdData[[#This Row],[Trend]]</f>
        <v>OTHERSAllowed2016-07-01Drug - Generic Utilization</v>
      </c>
      <c r="B1045" t="s">
        <v>111</v>
      </c>
      <c r="C1045" t="s">
        <v>111</v>
      </c>
      <c r="D1045" t="s">
        <v>91</v>
      </c>
      <c r="E1045" s="1" t="s">
        <v>99</v>
      </c>
      <c r="F1045" t="s">
        <v>93</v>
      </c>
      <c r="G1045" t="s">
        <v>27</v>
      </c>
      <c r="H1045">
        <v>16</v>
      </c>
      <c r="I1045">
        <v>0.87</v>
      </c>
    </row>
    <row r="1046" spans="1:9" x14ac:dyDescent="0.25">
      <c r="A1046" s="5" t="str">
        <f>TrendSheetPrdData[[#This Row],[Population]]&amp;TrendSheetPrdData[[#This Row],[Cost Basis]]&amp;TrendSheetPrdData[[#This Row],[Period]]&amp;TrendSheetPrdData[[#This Row],[Trend]]</f>
        <v>OTHERSAllowed2016-08-01Drug - Generic Utilization</v>
      </c>
      <c r="B1046" t="s">
        <v>111</v>
      </c>
      <c r="C1046" t="s">
        <v>111</v>
      </c>
      <c r="D1046" t="s">
        <v>91</v>
      </c>
      <c r="E1046" s="1" t="s">
        <v>100</v>
      </c>
      <c r="F1046" t="s">
        <v>93</v>
      </c>
      <c r="G1046" t="s">
        <v>27</v>
      </c>
      <c r="H1046">
        <v>16</v>
      </c>
      <c r="I1046">
        <v>0.84</v>
      </c>
    </row>
    <row r="1047" spans="1:9" x14ac:dyDescent="0.25">
      <c r="A1047" s="5" t="str">
        <f>TrendSheetPrdData[[#This Row],[Population]]&amp;TrendSheetPrdData[[#This Row],[Cost Basis]]&amp;TrendSheetPrdData[[#This Row],[Period]]&amp;TrendSheetPrdData[[#This Row],[Trend]]</f>
        <v>OTHERSAllowed2016-09-01Drug - Generic Utilization</v>
      </c>
      <c r="B1047" t="s">
        <v>111</v>
      </c>
      <c r="C1047" t="s">
        <v>111</v>
      </c>
      <c r="D1047" t="s">
        <v>91</v>
      </c>
      <c r="E1047" s="1" t="s">
        <v>101</v>
      </c>
      <c r="F1047" t="s">
        <v>93</v>
      </c>
      <c r="G1047" t="s">
        <v>27</v>
      </c>
      <c r="H1047">
        <v>16</v>
      </c>
      <c r="I1047">
        <v>0.86</v>
      </c>
    </row>
    <row r="1048" spans="1:9" x14ac:dyDescent="0.25">
      <c r="A1048" s="5" t="str">
        <f>TrendSheetPrdData[[#This Row],[Population]]&amp;TrendSheetPrdData[[#This Row],[Cost Basis]]&amp;TrendSheetPrdData[[#This Row],[Period]]&amp;TrendSheetPrdData[[#This Row],[Trend]]</f>
        <v>OTHERSAllowed2016-10-01Drug - Generic Utilization</v>
      </c>
      <c r="B1048" t="s">
        <v>111</v>
      </c>
      <c r="C1048" t="s">
        <v>111</v>
      </c>
      <c r="D1048" t="s">
        <v>91</v>
      </c>
      <c r="E1048" s="1" t="s">
        <v>102</v>
      </c>
      <c r="F1048" t="s">
        <v>93</v>
      </c>
      <c r="G1048" t="s">
        <v>27</v>
      </c>
      <c r="H1048">
        <v>16</v>
      </c>
      <c r="I1048">
        <v>0.85</v>
      </c>
    </row>
    <row r="1049" spans="1:9" x14ac:dyDescent="0.25">
      <c r="A1049" s="5" t="str">
        <f>TrendSheetPrdData[[#This Row],[Population]]&amp;TrendSheetPrdData[[#This Row],[Cost Basis]]&amp;TrendSheetPrdData[[#This Row],[Period]]&amp;TrendSheetPrdData[[#This Row],[Trend]]</f>
        <v>OTHERSAllowed2016-11-01Drug - Generic Utilization</v>
      </c>
      <c r="B1049" t="s">
        <v>111</v>
      </c>
      <c r="C1049" t="s">
        <v>111</v>
      </c>
      <c r="D1049" t="s">
        <v>91</v>
      </c>
      <c r="E1049" s="1" t="s">
        <v>103</v>
      </c>
      <c r="F1049" t="s">
        <v>93</v>
      </c>
      <c r="G1049" t="s">
        <v>27</v>
      </c>
      <c r="H1049">
        <v>16</v>
      </c>
      <c r="I1049">
        <v>0.85</v>
      </c>
    </row>
    <row r="1050" spans="1:9" x14ac:dyDescent="0.25">
      <c r="A1050" s="5" t="str">
        <f>TrendSheetPrdData[[#This Row],[Population]]&amp;TrendSheetPrdData[[#This Row],[Cost Basis]]&amp;TrendSheetPrdData[[#This Row],[Period]]&amp;TrendSheetPrdData[[#This Row],[Trend]]</f>
        <v>OTHERSAllowed2016-12-01Drug - Generic Utilization</v>
      </c>
      <c r="B1050" t="s">
        <v>111</v>
      </c>
      <c r="C1050" t="s">
        <v>111</v>
      </c>
      <c r="D1050" t="s">
        <v>91</v>
      </c>
      <c r="E1050" s="1" t="s">
        <v>104</v>
      </c>
      <c r="F1050" t="s">
        <v>93</v>
      </c>
      <c r="G1050" t="s">
        <v>27</v>
      </c>
      <c r="H1050">
        <v>16</v>
      </c>
      <c r="I1050">
        <v>0.86</v>
      </c>
    </row>
    <row r="1051" spans="1:9" x14ac:dyDescent="0.25">
      <c r="A1051" s="5" t="str">
        <f>TrendSheetPrdData[[#This Row],[Population]]&amp;TrendSheetPrdData[[#This Row],[Cost Basis]]&amp;TrendSheetPrdData[[#This Row],[Period]]&amp;TrendSheetPrdData[[#This Row],[Trend]]</f>
        <v>OTHERSAllowed2017-01-01Drug - Generic Utilization</v>
      </c>
      <c r="B1051" t="s">
        <v>111</v>
      </c>
      <c r="C1051" t="s">
        <v>111</v>
      </c>
      <c r="D1051" t="s">
        <v>91</v>
      </c>
      <c r="E1051" s="1" t="s">
        <v>105</v>
      </c>
      <c r="F1051" t="s">
        <v>108</v>
      </c>
      <c r="G1051" t="s">
        <v>27</v>
      </c>
      <c r="H1051">
        <v>16</v>
      </c>
      <c r="I1051">
        <v>0.85</v>
      </c>
    </row>
    <row r="1052" spans="1:9" x14ac:dyDescent="0.25">
      <c r="A1052" s="5" t="str">
        <f>TrendSheetPrdData[[#This Row],[Population]]&amp;TrendSheetPrdData[[#This Row],[Cost Basis]]&amp;TrendSheetPrdData[[#This Row],[Period]]&amp;TrendSheetPrdData[[#This Row],[Trend]]</f>
        <v>OTHERSAllowed2017-02-01Drug - Generic Utilization</v>
      </c>
      <c r="B1052" t="s">
        <v>111</v>
      </c>
      <c r="C1052" t="s">
        <v>111</v>
      </c>
      <c r="D1052" t="s">
        <v>91</v>
      </c>
      <c r="E1052" s="1" t="s">
        <v>106</v>
      </c>
      <c r="F1052" t="s">
        <v>108</v>
      </c>
      <c r="G1052" t="s">
        <v>27</v>
      </c>
      <c r="H1052">
        <v>16</v>
      </c>
      <c r="I1052">
        <v>0.86</v>
      </c>
    </row>
    <row r="1053" spans="1:9" x14ac:dyDescent="0.25">
      <c r="A1053" s="5" t="str">
        <f>TrendSheetPrdData[[#This Row],[Population]]&amp;TrendSheetPrdData[[#This Row],[Cost Basis]]&amp;TrendSheetPrdData[[#This Row],[Period]]&amp;TrendSheetPrdData[[#This Row],[Trend]]</f>
        <v>OTHERSAllowed2017-03-01Drug - Generic Utilization</v>
      </c>
      <c r="B1053" t="s">
        <v>111</v>
      </c>
      <c r="C1053" t="s">
        <v>111</v>
      </c>
      <c r="D1053" t="s">
        <v>91</v>
      </c>
      <c r="E1053" s="1" t="s">
        <v>107</v>
      </c>
      <c r="F1053" t="s">
        <v>108</v>
      </c>
      <c r="G1053" t="s">
        <v>27</v>
      </c>
      <c r="H1053">
        <v>16</v>
      </c>
      <c r="I1053">
        <v>0.86</v>
      </c>
    </row>
    <row r="1054" spans="1:9" x14ac:dyDescent="0.25">
      <c r="A1054" s="5" t="str">
        <f>TrendSheetPrdData[[#This Row],[Population]]&amp;TrendSheetPrdData[[#This Row],[Cost Basis]]&amp;TrendSheetPrdData[[#This Row],[Period]]&amp;TrendSheetPrdData[[#This Row],[Trend]]</f>
        <v>OTHERSAllowed2017-04-01Drug - Generic Utilization</v>
      </c>
      <c r="B1054" t="s">
        <v>111</v>
      </c>
      <c r="C1054" t="s">
        <v>111</v>
      </c>
      <c r="D1054" t="s">
        <v>91</v>
      </c>
      <c r="E1054" s="1" t="s">
        <v>109</v>
      </c>
      <c r="F1054" t="s">
        <v>108</v>
      </c>
      <c r="G1054" t="s">
        <v>27</v>
      </c>
      <c r="H1054">
        <v>16</v>
      </c>
      <c r="I1054">
        <v>0.86</v>
      </c>
    </row>
    <row r="1055" spans="1:9" x14ac:dyDescent="0.25">
      <c r="A1055" s="5" t="str">
        <f>TrendSheetPrdData[[#This Row],[Population]]&amp;TrendSheetPrdData[[#This Row],[Cost Basis]]&amp;TrendSheetPrdData[[#This Row],[Period]]&amp;TrendSheetPrdData[[#This Row],[Trend]]</f>
        <v>OTHERSAllowed2017-05-01Drug - Generic Utilization</v>
      </c>
      <c r="B1055" t="s">
        <v>111</v>
      </c>
      <c r="C1055" t="s">
        <v>111</v>
      </c>
      <c r="D1055" t="s">
        <v>91</v>
      </c>
      <c r="E1055" s="1" t="s">
        <v>110</v>
      </c>
      <c r="F1055" t="s">
        <v>108</v>
      </c>
      <c r="G1055" t="s">
        <v>27</v>
      </c>
      <c r="H1055">
        <v>16</v>
      </c>
      <c r="I1055">
        <v>0.87</v>
      </c>
    </row>
    <row r="1056" spans="1:9" x14ac:dyDescent="0.25">
      <c r="A1056" s="5" t="str">
        <f>TrendSheetPrdData[[#This Row],[Population]]&amp;TrendSheetPrdData[[#This Row],[Cost Basis]]&amp;TrendSheetPrdData[[#This Row],[Period]]&amp;TrendSheetPrdData[[#This Row],[Trend]]</f>
        <v>OTHERSAllowed2016-01-01Chronic Disease Management - Cost</v>
      </c>
      <c r="B1056" t="s">
        <v>111</v>
      </c>
      <c r="C1056" t="s">
        <v>111</v>
      </c>
      <c r="D1056" t="s">
        <v>91</v>
      </c>
      <c r="E1056" s="1" t="s">
        <v>92</v>
      </c>
      <c r="F1056" t="s">
        <v>93</v>
      </c>
      <c r="G1056" t="s">
        <v>28</v>
      </c>
      <c r="H1056">
        <v>17</v>
      </c>
      <c r="I1056">
        <v>1147508</v>
      </c>
    </row>
    <row r="1057" spans="1:9" x14ac:dyDescent="0.25">
      <c r="A1057" s="5" t="str">
        <f>TrendSheetPrdData[[#This Row],[Population]]&amp;TrendSheetPrdData[[#This Row],[Cost Basis]]&amp;TrendSheetPrdData[[#This Row],[Period]]&amp;TrendSheetPrdData[[#This Row],[Trend]]</f>
        <v>OTHERSAllowed2016-02-01Chronic Disease Management - Cost</v>
      </c>
      <c r="B1057" t="s">
        <v>111</v>
      </c>
      <c r="C1057" t="s">
        <v>111</v>
      </c>
      <c r="D1057" t="s">
        <v>91</v>
      </c>
      <c r="E1057" s="1" t="s">
        <v>94</v>
      </c>
      <c r="F1057" t="s">
        <v>93</v>
      </c>
      <c r="G1057" t="s">
        <v>28</v>
      </c>
      <c r="H1057">
        <v>17</v>
      </c>
      <c r="I1057">
        <v>1191921</v>
      </c>
    </row>
    <row r="1058" spans="1:9" x14ac:dyDescent="0.25">
      <c r="A1058" s="5" t="str">
        <f>TrendSheetPrdData[[#This Row],[Population]]&amp;TrendSheetPrdData[[#This Row],[Cost Basis]]&amp;TrendSheetPrdData[[#This Row],[Period]]&amp;TrendSheetPrdData[[#This Row],[Trend]]</f>
        <v>OTHERSAllowed2016-03-01Chronic Disease Management - Cost</v>
      </c>
      <c r="B1058" t="s">
        <v>111</v>
      </c>
      <c r="C1058" t="s">
        <v>111</v>
      </c>
      <c r="D1058" t="s">
        <v>91</v>
      </c>
      <c r="E1058" s="1" t="s">
        <v>95</v>
      </c>
      <c r="F1058" t="s">
        <v>93</v>
      </c>
      <c r="G1058" t="s">
        <v>28</v>
      </c>
      <c r="H1058">
        <v>17</v>
      </c>
      <c r="I1058">
        <v>1043058</v>
      </c>
    </row>
    <row r="1059" spans="1:9" x14ac:dyDescent="0.25">
      <c r="A1059" s="5" t="str">
        <f>TrendSheetPrdData[[#This Row],[Population]]&amp;TrendSheetPrdData[[#This Row],[Cost Basis]]&amp;TrendSheetPrdData[[#This Row],[Period]]&amp;TrendSheetPrdData[[#This Row],[Trend]]</f>
        <v>OTHERSAllowed2016-04-01Chronic Disease Management - Cost</v>
      </c>
      <c r="B1059" t="s">
        <v>111</v>
      </c>
      <c r="C1059" t="s">
        <v>111</v>
      </c>
      <c r="D1059" t="s">
        <v>91</v>
      </c>
      <c r="E1059" s="1" t="s">
        <v>96</v>
      </c>
      <c r="F1059" t="s">
        <v>93</v>
      </c>
      <c r="G1059" t="s">
        <v>28</v>
      </c>
      <c r="H1059">
        <v>17</v>
      </c>
      <c r="I1059">
        <v>1874862</v>
      </c>
    </row>
    <row r="1060" spans="1:9" x14ac:dyDescent="0.25">
      <c r="A1060" s="5" t="str">
        <f>TrendSheetPrdData[[#This Row],[Population]]&amp;TrendSheetPrdData[[#This Row],[Cost Basis]]&amp;TrendSheetPrdData[[#This Row],[Period]]&amp;TrendSheetPrdData[[#This Row],[Trend]]</f>
        <v>OTHERSAllowed2016-05-01Chronic Disease Management - Cost</v>
      </c>
      <c r="B1060" t="s">
        <v>111</v>
      </c>
      <c r="C1060" t="s">
        <v>111</v>
      </c>
      <c r="D1060" t="s">
        <v>91</v>
      </c>
      <c r="E1060" s="1" t="s">
        <v>97</v>
      </c>
      <c r="F1060" t="s">
        <v>93</v>
      </c>
      <c r="G1060" t="s">
        <v>28</v>
      </c>
      <c r="H1060">
        <v>17</v>
      </c>
      <c r="I1060">
        <v>1003745</v>
      </c>
    </row>
    <row r="1061" spans="1:9" x14ac:dyDescent="0.25">
      <c r="A1061" s="5" t="str">
        <f>TrendSheetPrdData[[#This Row],[Population]]&amp;TrendSheetPrdData[[#This Row],[Cost Basis]]&amp;TrendSheetPrdData[[#This Row],[Period]]&amp;TrendSheetPrdData[[#This Row],[Trend]]</f>
        <v>OTHERSAllowed2016-06-01Chronic Disease Management - Cost</v>
      </c>
      <c r="B1061" t="s">
        <v>111</v>
      </c>
      <c r="C1061" t="s">
        <v>111</v>
      </c>
      <c r="D1061" t="s">
        <v>91</v>
      </c>
      <c r="E1061" s="1" t="s">
        <v>98</v>
      </c>
      <c r="F1061" t="s">
        <v>93</v>
      </c>
      <c r="G1061" t="s">
        <v>28</v>
      </c>
      <c r="H1061">
        <v>17</v>
      </c>
      <c r="I1061">
        <v>910398</v>
      </c>
    </row>
    <row r="1062" spans="1:9" x14ac:dyDescent="0.25">
      <c r="A1062" s="5" t="str">
        <f>TrendSheetPrdData[[#This Row],[Population]]&amp;TrendSheetPrdData[[#This Row],[Cost Basis]]&amp;TrendSheetPrdData[[#This Row],[Period]]&amp;TrendSheetPrdData[[#This Row],[Trend]]</f>
        <v>OTHERSAllowed2016-07-01Chronic Disease Management - Cost</v>
      </c>
      <c r="B1062" t="s">
        <v>111</v>
      </c>
      <c r="C1062" t="s">
        <v>111</v>
      </c>
      <c r="D1062" t="s">
        <v>91</v>
      </c>
      <c r="E1062" s="1" t="s">
        <v>99</v>
      </c>
      <c r="F1062" t="s">
        <v>93</v>
      </c>
      <c r="G1062" t="s">
        <v>28</v>
      </c>
      <c r="H1062">
        <v>17</v>
      </c>
      <c r="I1062">
        <v>1167425</v>
      </c>
    </row>
    <row r="1063" spans="1:9" x14ac:dyDescent="0.25">
      <c r="A1063" s="5" t="str">
        <f>TrendSheetPrdData[[#This Row],[Population]]&amp;TrendSheetPrdData[[#This Row],[Cost Basis]]&amp;TrendSheetPrdData[[#This Row],[Period]]&amp;TrendSheetPrdData[[#This Row],[Trend]]</f>
        <v>OTHERSAllowed2016-08-01Chronic Disease Management - Cost</v>
      </c>
      <c r="B1063" t="s">
        <v>111</v>
      </c>
      <c r="C1063" t="s">
        <v>111</v>
      </c>
      <c r="D1063" t="s">
        <v>91</v>
      </c>
      <c r="E1063" s="1" t="s">
        <v>100</v>
      </c>
      <c r="F1063" t="s">
        <v>93</v>
      </c>
      <c r="G1063" t="s">
        <v>28</v>
      </c>
      <c r="H1063">
        <v>17</v>
      </c>
      <c r="I1063">
        <v>1148015</v>
      </c>
    </row>
    <row r="1064" spans="1:9" x14ac:dyDescent="0.25">
      <c r="A1064" s="5" t="str">
        <f>TrendSheetPrdData[[#This Row],[Population]]&amp;TrendSheetPrdData[[#This Row],[Cost Basis]]&amp;TrendSheetPrdData[[#This Row],[Period]]&amp;TrendSheetPrdData[[#This Row],[Trend]]</f>
        <v>OTHERSAllowed2016-09-01Chronic Disease Management - Cost</v>
      </c>
      <c r="B1064" t="s">
        <v>111</v>
      </c>
      <c r="C1064" t="s">
        <v>111</v>
      </c>
      <c r="D1064" t="s">
        <v>91</v>
      </c>
      <c r="E1064" s="1" t="s">
        <v>101</v>
      </c>
      <c r="F1064" t="s">
        <v>93</v>
      </c>
      <c r="G1064" t="s">
        <v>28</v>
      </c>
      <c r="H1064">
        <v>17</v>
      </c>
      <c r="I1064">
        <v>1131137</v>
      </c>
    </row>
    <row r="1065" spans="1:9" x14ac:dyDescent="0.25">
      <c r="A1065" s="5" t="str">
        <f>TrendSheetPrdData[[#This Row],[Population]]&amp;TrendSheetPrdData[[#This Row],[Cost Basis]]&amp;TrendSheetPrdData[[#This Row],[Period]]&amp;TrendSheetPrdData[[#This Row],[Trend]]</f>
        <v>OTHERSAllowed2016-10-01Chronic Disease Management - Cost</v>
      </c>
      <c r="B1065" t="s">
        <v>111</v>
      </c>
      <c r="C1065" t="s">
        <v>111</v>
      </c>
      <c r="D1065" t="s">
        <v>91</v>
      </c>
      <c r="E1065" s="1" t="s">
        <v>102</v>
      </c>
      <c r="F1065" t="s">
        <v>93</v>
      </c>
      <c r="G1065" t="s">
        <v>28</v>
      </c>
      <c r="H1065">
        <v>17</v>
      </c>
      <c r="I1065">
        <v>1302239</v>
      </c>
    </row>
    <row r="1066" spans="1:9" x14ac:dyDescent="0.25">
      <c r="A1066" s="5" t="str">
        <f>TrendSheetPrdData[[#This Row],[Population]]&amp;TrendSheetPrdData[[#This Row],[Cost Basis]]&amp;TrendSheetPrdData[[#This Row],[Period]]&amp;TrendSheetPrdData[[#This Row],[Trend]]</f>
        <v>OTHERSAllowed2016-11-01Chronic Disease Management - Cost</v>
      </c>
      <c r="B1066" t="s">
        <v>111</v>
      </c>
      <c r="C1066" t="s">
        <v>111</v>
      </c>
      <c r="D1066" t="s">
        <v>91</v>
      </c>
      <c r="E1066" s="1" t="s">
        <v>103</v>
      </c>
      <c r="F1066" t="s">
        <v>93</v>
      </c>
      <c r="G1066" t="s">
        <v>28</v>
      </c>
      <c r="H1066">
        <v>17</v>
      </c>
      <c r="I1066">
        <v>1107902</v>
      </c>
    </row>
    <row r="1067" spans="1:9" x14ac:dyDescent="0.25">
      <c r="A1067" s="5" t="str">
        <f>TrendSheetPrdData[[#This Row],[Population]]&amp;TrendSheetPrdData[[#This Row],[Cost Basis]]&amp;TrendSheetPrdData[[#This Row],[Period]]&amp;TrendSheetPrdData[[#This Row],[Trend]]</f>
        <v>OTHERSAllowed2016-12-01Chronic Disease Management - Cost</v>
      </c>
      <c r="B1067" t="s">
        <v>111</v>
      </c>
      <c r="C1067" t="s">
        <v>111</v>
      </c>
      <c r="D1067" t="s">
        <v>91</v>
      </c>
      <c r="E1067" s="1" t="s">
        <v>104</v>
      </c>
      <c r="F1067" t="s">
        <v>93</v>
      </c>
      <c r="G1067" t="s">
        <v>28</v>
      </c>
      <c r="H1067">
        <v>17</v>
      </c>
      <c r="I1067">
        <v>1032827</v>
      </c>
    </row>
    <row r="1068" spans="1:9" x14ac:dyDescent="0.25">
      <c r="A1068" s="5" t="str">
        <f>TrendSheetPrdData[[#This Row],[Population]]&amp;TrendSheetPrdData[[#This Row],[Cost Basis]]&amp;TrendSheetPrdData[[#This Row],[Period]]&amp;TrendSheetPrdData[[#This Row],[Trend]]</f>
        <v>OTHERSAllowed2017-01-01Chronic Disease Management - Cost</v>
      </c>
      <c r="B1068" t="s">
        <v>111</v>
      </c>
      <c r="C1068" t="s">
        <v>111</v>
      </c>
      <c r="D1068" t="s">
        <v>91</v>
      </c>
      <c r="E1068" s="1" t="s">
        <v>105</v>
      </c>
      <c r="F1068" t="s">
        <v>108</v>
      </c>
      <c r="G1068" t="s">
        <v>28</v>
      </c>
      <c r="H1068">
        <v>17</v>
      </c>
      <c r="I1068">
        <v>1129431</v>
      </c>
    </row>
    <row r="1069" spans="1:9" x14ac:dyDescent="0.25">
      <c r="A1069" s="5" t="str">
        <f>TrendSheetPrdData[[#This Row],[Population]]&amp;TrendSheetPrdData[[#This Row],[Cost Basis]]&amp;TrendSheetPrdData[[#This Row],[Period]]&amp;TrendSheetPrdData[[#This Row],[Trend]]</f>
        <v>OTHERSAllowed2017-02-01Chronic Disease Management - Cost</v>
      </c>
      <c r="B1069" t="s">
        <v>111</v>
      </c>
      <c r="C1069" t="s">
        <v>111</v>
      </c>
      <c r="D1069" t="s">
        <v>91</v>
      </c>
      <c r="E1069" s="1" t="s">
        <v>106</v>
      </c>
      <c r="F1069" t="s">
        <v>108</v>
      </c>
      <c r="G1069" t="s">
        <v>28</v>
      </c>
      <c r="H1069">
        <v>17</v>
      </c>
      <c r="I1069">
        <v>998081</v>
      </c>
    </row>
    <row r="1070" spans="1:9" x14ac:dyDescent="0.25">
      <c r="A1070" s="5" t="str">
        <f>TrendSheetPrdData[[#This Row],[Population]]&amp;TrendSheetPrdData[[#This Row],[Cost Basis]]&amp;TrendSheetPrdData[[#This Row],[Period]]&amp;TrendSheetPrdData[[#This Row],[Trend]]</f>
        <v>OTHERSAllowed2017-03-01Chronic Disease Management - Cost</v>
      </c>
      <c r="B1070" t="s">
        <v>111</v>
      </c>
      <c r="C1070" t="s">
        <v>111</v>
      </c>
      <c r="D1070" t="s">
        <v>91</v>
      </c>
      <c r="E1070" s="1" t="s">
        <v>107</v>
      </c>
      <c r="F1070" t="s">
        <v>108</v>
      </c>
      <c r="G1070" t="s">
        <v>28</v>
      </c>
      <c r="H1070">
        <v>17</v>
      </c>
      <c r="I1070">
        <v>984276</v>
      </c>
    </row>
    <row r="1071" spans="1:9" x14ac:dyDescent="0.25">
      <c r="A1071" s="5" t="str">
        <f>TrendSheetPrdData[[#This Row],[Population]]&amp;TrendSheetPrdData[[#This Row],[Cost Basis]]&amp;TrendSheetPrdData[[#This Row],[Period]]&amp;TrendSheetPrdData[[#This Row],[Trend]]</f>
        <v>OTHERSAllowed2017-04-01Chronic Disease Management - Cost</v>
      </c>
      <c r="B1071" t="s">
        <v>111</v>
      </c>
      <c r="C1071" t="s">
        <v>111</v>
      </c>
      <c r="D1071" t="s">
        <v>91</v>
      </c>
      <c r="E1071" s="1" t="s">
        <v>109</v>
      </c>
      <c r="F1071" t="s">
        <v>108</v>
      </c>
      <c r="G1071" t="s">
        <v>28</v>
      </c>
      <c r="H1071">
        <v>17</v>
      </c>
      <c r="I1071">
        <v>847574</v>
      </c>
    </row>
    <row r="1072" spans="1:9" x14ac:dyDescent="0.25">
      <c r="A1072" s="5" t="str">
        <f>TrendSheetPrdData[[#This Row],[Population]]&amp;TrendSheetPrdData[[#This Row],[Cost Basis]]&amp;TrendSheetPrdData[[#This Row],[Period]]&amp;TrendSheetPrdData[[#This Row],[Trend]]</f>
        <v>OTHERSAllowed2017-05-01Chronic Disease Management - Cost</v>
      </c>
      <c r="B1072" t="s">
        <v>111</v>
      </c>
      <c r="C1072" t="s">
        <v>111</v>
      </c>
      <c r="D1072" t="s">
        <v>91</v>
      </c>
      <c r="E1072" s="1" t="s">
        <v>110</v>
      </c>
      <c r="F1072" t="s">
        <v>108</v>
      </c>
      <c r="G1072" t="s">
        <v>28</v>
      </c>
      <c r="H1072">
        <v>17</v>
      </c>
      <c r="I1072">
        <v>437662</v>
      </c>
    </row>
    <row r="1073" spans="1:9" x14ac:dyDescent="0.25">
      <c r="A1073" s="5" t="str">
        <f>TrendSheetPrdData[[#This Row],[Population]]&amp;TrendSheetPrdData[[#This Row],[Cost Basis]]&amp;TrendSheetPrdData[[#This Row],[Period]]&amp;TrendSheetPrdData[[#This Row],[Trend]]</f>
        <v>OTHERSAllowed2016-01-01Chronic Disease Management - Members</v>
      </c>
      <c r="B1073" t="s">
        <v>111</v>
      </c>
      <c r="C1073" t="s">
        <v>111</v>
      </c>
      <c r="D1073" t="s">
        <v>91</v>
      </c>
      <c r="E1073" s="1" t="s">
        <v>92</v>
      </c>
      <c r="F1073" t="s">
        <v>93</v>
      </c>
      <c r="G1073" t="s">
        <v>29</v>
      </c>
      <c r="H1073">
        <v>18</v>
      </c>
      <c r="I1073">
        <v>286.16000000000003</v>
      </c>
    </row>
    <row r="1074" spans="1:9" x14ac:dyDescent="0.25">
      <c r="A1074" s="5" t="str">
        <f>TrendSheetPrdData[[#This Row],[Population]]&amp;TrendSheetPrdData[[#This Row],[Cost Basis]]&amp;TrendSheetPrdData[[#This Row],[Period]]&amp;TrendSheetPrdData[[#This Row],[Trend]]</f>
        <v>OTHERSAllowed2016-02-01Chronic Disease Management - Members</v>
      </c>
      <c r="B1074" t="s">
        <v>111</v>
      </c>
      <c r="C1074" t="s">
        <v>111</v>
      </c>
      <c r="D1074" t="s">
        <v>91</v>
      </c>
      <c r="E1074" s="1" t="s">
        <v>94</v>
      </c>
      <c r="F1074" t="s">
        <v>93</v>
      </c>
      <c r="G1074" t="s">
        <v>29</v>
      </c>
      <c r="H1074">
        <v>18</v>
      </c>
      <c r="I1074">
        <v>285.82</v>
      </c>
    </row>
    <row r="1075" spans="1:9" x14ac:dyDescent="0.25">
      <c r="A1075" s="5" t="str">
        <f>TrendSheetPrdData[[#This Row],[Population]]&amp;TrendSheetPrdData[[#This Row],[Cost Basis]]&amp;TrendSheetPrdData[[#This Row],[Period]]&amp;TrendSheetPrdData[[#This Row],[Trend]]</f>
        <v>OTHERSAllowed2016-03-01Chronic Disease Management - Members</v>
      </c>
      <c r="B1075" t="s">
        <v>111</v>
      </c>
      <c r="C1075" t="s">
        <v>111</v>
      </c>
      <c r="D1075" t="s">
        <v>91</v>
      </c>
      <c r="E1075" s="1" t="s">
        <v>95</v>
      </c>
      <c r="F1075" t="s">
        <v>93</v>
      </c>
      <c r="G1075" t="s">
        <v>29</v>
      </c>
      <c r="H1075">
        <v>18</v>
      </c>
      <c r="I1075">
        <v>284.14999999999998</v>
      </c>
    </row>
    <row r="1076" spans="1:9" x14ac:dyDescent="0.25">
      <c r="A1076" s="5" t="str">
        <f>TrendSheetPrdData[[#This Row],[Population]]&amp;TrendSheetPrdData[[#This Row],[Cost Basis]]&amp;TrendSheetPrdData[[#This Row],[Period]]&amp;TrendSheetPrdData[[#This Row],[Trend]]</f>
        <v>OTHERSAllowed2016-04-01Chronic Disease Management - Members</v>
      </c>
      <c r="B1076" t="s">
        <v>111</v>
      </c>
      <c r="C1076" t="s">
        <v>111</v>
      </c>
      <c r="D1076" t="s">
        <v>91</v>
      </c>
      <c r="E1076" s="1" t="s">
        <v>96</v>
      </c>
      <c r="F1076" t="s">
        <v>93</v>
      </c>
      <c r="G1076" t="s">
        <v>29</v>
      </c>
      <c r="H1076">
        <v>18</v>
      </c>
      <c r="I1076">
        <v>283.2</v>
      </c>
    </row>
    <row r="1077" spans="1:9" x14ac:dyDescent="0.25">
      <c r="A1077" s="5" t="str">
        <f>TrendSheetPrdData[[#This Row],[Population]]&amp;TrendSheetPrdData[[#This Row],[Cost Basis]]&amp;TrendSheetPrdData[[#This Row],[Period]]&amp;TrendSheetPrdData[[#This Row],[Trend]]</f>
        <v>OTHERSAllowed2016-05-01Chronic Disease Management - Members</v>
      </c>
      <c r="B1077" t="s">
        <v>111</v>
      </c>
      <c r="C1077" t="s">
        <v>111</v>
      </c>
      <c r="D1077" t="s">
        <v>91</v>
      </c>
      <c r="E1077" s="1" t="s">
        <v>97</v>
      </c>
      <c r="F1077" t="s">
        <v>93</v>
      </c>
      <c r="G1077" t="s">
        <v>29</v>
      </c>
      <c r="H1077">
        <v>18</v>
      </c>
      <c r="I1077">
        <v>283.82</v>
      </c>
    </row>
    <row r="1078" spans="1:9" x14ac:dyDescent="0.25">
      <c r="A1078" s="5" t="str">
        <f>TrendSheetPrdData[[#This Row],[Population]]&amp;TrendSheetPrdData[[#This Row],[Cost Basis]]&amp;TrendSheetPrdData[[#This Row],[Period]]&amp;TrendSheetPrdData[[#This Row],[Trend]]</f>
        <v>OTHERSAllowed2016-06-01Chronic Disease Management - Members</v>
      </c>
      <c r="B1078" t="s">
        <v>111</v>
      </c>
      <c r="C1078" t="s">
        <v>111</v>
      </c>
      <c r="D1078" t="s">
        <v>91</v>
      </c>
      <c r="E1078" s="1" t="s">
        <v>98</v>
      </c>
      <c r="F1078" t="s">
        <v>93</v>
      </c>
      <c r="G1078" t="s">
        <v>29</v>
      </c>
      <c r="H1078">
        <v>18</v>
      </c>
      <c r="I1078">
        <v>279.98</v>
      </c>
    </row>
    <row r="1079" spans="1:9" x14ac:dyDescent="0.25">
      <c r="A1079" s="5" t="str">
        <f>TrendSheetPrdData[[#This Row],[Population]]&amp;TrendSheetPrdData[[#This Row],[Cost Basis]]&amp;TrendSheetPrdData[[#This Row],[Period]]&amp;TrendSheetPrdData[[#This Row],[Trend]]</f>
        <v>OTHERSAllowed2016-07-01Chronic Disease Management - Members</v>
      </c>
      <c r="B1079" t="s">
        <v>111</v>
      </c>
      <c r="C1079" t="s">
        <v>111</v>
      </c>
      <c r="D1079" t="s">
        <v>91</v>
      </c>
      <c r="E1079" s="1" t="s">
        <v>99</v>
      </c>
      <c r="F1079" t="s">
        <v>93</v>
      </c>
      <c r="G1079" t="s">
        <v>29</v>
      </c>
      <c r="H1079">
        <v>18</v>
      </c>
      <c r="I1079">
        <v>278.14</v>
      </c>
    </row>
    <row r="1080" spans="1:9" x14ac:dyDescent="0.25">
      <c r="A1080" s="5" t="str">
        <f>TrendSheetPrdData[[#This Row],[Population]]&amp;TrendSheetPrdData[[#This Row],[Cost Basis]]&amp;TrendSheetPrdData[[#This Row],[Period]]&amp;TrendSheetPrdData[[#This Row],[Trend]]</f>
        <v>OTHERSAllowed2016-08-01Chronic Disease Management - Members</v>
      </c>
      <c r="B1080" t="s">
        <v>111</v>
      </c>
      <c r="C1080" t="s">
        <v>111</v>
      </c>
      <c r="D1080" t="s">
        <v>91</v>
      </c>
      <c r="E1080" s="1" t="s">
        <v>100</v>
      </c>
      <c r="F1080" t="s">
        <v>93</v>
      </c>
      <c r="G1080" t="s">
        <v>29</v>
      </c>
      <c r="H1080">
        <v>18</v>
      </c>
      <c r="I1080">
        <v>275.11</v>
      </c>
    </row>
    <row r="1081" spans="1:9" x14ac:dyDescent="0.25">
      <c r="A1081" s="5" t="str">
        <f>TrendSheetPrdData[[#This Row],[Population]]&amp;TrendSheetPrdData[[#This Row],[Cost Basis]]&amp;TrendSheetPrdData[[#This Row],[Period]]&amp;TrendSheetPrdData[[#This Row],[Trend]]</f>
        <v>OTHERSAllowed2016-09-01Chronic Disease Management - Members</v>
      </c>
      <c r="B1081" t="s">
        <v>111</v>
      </c>
      <c r="C1081" t="s">
        <v>111</v>
      </c>
      <c r="D1081" t="s">
        <v>91</v>
      </c>
      <c r="E1081" s="1" t="s">
        <v>101</v>
      </c>
      <c r="F1081" t="s">
        <v>93</v>
      </c>
      <c r="G1081" t="s">
        <v>29</v>
      </c>
      <c r="H1081">
        <v>18</v>
      </c>
      <c r="I1081">
        <v>276.25</v>
      </c>
    </row>
    <row r="1082" spans="1:9" x14ac:dyDescent="0.25">
      <c r="A1082" s="5" t="str">
        <f>TrendSheetPrdData[[#This Row],[Population]]&amp;TrendSheetPrdData[[#This Row],[Cost Basis]]&amp;TrendSheetPrdData[[#This Row],[Period]]&amp;TrendSheetPrdData[[#This Row],[Trend]]</f>
        <v>OTHERSAllowed2016-10-01Chronic Disease Management - Members</v>
      </c>
      <c r="B1082" t="s">
        <v>111</v>
      </c>
      <c r="C1082" t="s">
        <v>111</v>
      </c>
      <c r="D1082" t="s">
        <v>91</v>
      </c>
      <c r="E1082" s="1" t="s">
        <v>102</v>
      </c>
      <c r="F1082" t="s">
        <v>93</v>
      </c>
      <c r="G1082" t="s">
        <v>29</v>
      </c>
      <c r="H1082">
        <v>18</v>
      </c>
      <c r="I1082">
        <v>274.83999999999997</v>
      </c>
    </row>
    <row r="1083" spans="1:9" x14ac:dyDescent="0.25">
      <c r="A1083" s="5" t="str">
        <f>TrendSheetPrdData[[#This Row],[Population]]&amp;TrendSheetPrdData[[#This Row],[Cost Basis]]&amp;TrendSheetPrdData[[#This Row],[Period]]&amp;TrendSheetPrdData[[#This Row],[Trend]]</f>
        <v>OTHERSAllowed2016-11-01Chronic Disease Management - Members</v>
      </c>
      <c r="B1083" t="s">
        <v>111</v>
      </c>
      <c r="C1083" t="s">
        <v>111</v>
      </c>
      <c r="D1083" t="s">
        <v>91</v>
      </c>
      <c r="E1083" s="1" t="s">
        <v>103</v>
      </c>
      <c r="F1083" t="s">
        <v>93</v>
      </c>
      <c r="G1083" t="s">
        <v>29</v>
      </c>
      <c r="H1083">
        <v>18</v>
      </c>
      <c r="I1083">
        <v>274.92</v>
      </c>
    </row>
    <row r="1084" spans="1:9" x14ac:dyDescent="0.25">
      <c r="A1084" s="5" t="str">
        <f>TrendSheetPrdData[[#This Row],[Population]]&amp;TrendSheetPrdData[[#This Row],[Cost Basis]]&amp;TrendSheetPrdData[[#This Row],[Period]]&amp;TrendSheetPrdData[[#This Row],[Trend]]</f>
        <v>OTHERSAllowed2016-12-01Chronic Disease Management - Members</v>
      </c>
      <c r="B1084" t="s">
        <v>111</v>
      </c>
      <c r="C1084" t="s">
        <v>111</v>
      </c>
      <c r="D1084" t="s">
        <v>91</v>
      </c>
      <c r="E1084" s="1" t="s">
        <v>104</v>
      </c>
      <c r="F1084" t="s">
        <v>93</v>
      </c>
      <c r="G1084" t="s">
        <v>29</v>
      </c>
      <c r="H1084">
        <v>18</v>
      </c>
      <c r="I1084">
        <v>276.12</v>
      </c>
    </row>
    <row r="1085" spans="1:9" x14ac:dyDescent="0.25">
      <c r="A1085" s="5" t="str">
        <f>TrendSheetPrdData[[#This Row],[Population]]&amp;TrendSheetPrdData[[#This Row],[Cost Basis]]&amp;TrendSheetPrdData[[#This Row],[Period]]&amp;TrendSheetPrdData[[#This Row],[Trend]]</f>
        <v>OTHERSAllowed2017-01-01Chronic Disease Management - Members</v>
      </c>
      <c r="B1085" t="s">
        <v>111</v>
      </c>
      <c r="C1085" t="s">
        <v>111</v>
      </c>
      <c r="D1085" t="s">
        <v>91</v>
      </c>
      <c r="E1085" s="1" t="s">
        <v>105</v>
      </c>
      <c r="F1085" t="s">
        <v>108</v>
      </c>
      <c r="G1085" t="s">
        <v>29</v>
      </c>
      <c r="H1085">
        <v>18</v>
      </c>
      <c r="I1085">
        <v>273.47000000000003</v>
      </c>
    </row>
    <row r="1086" spans="1:9" x14ac:dyDescent="0.25">
      <c r="A1086" s="5" t="str">
        <f>TrendSheetPrdData[[#This Row],[Population]]&amp;TrendSheetPrdData[[#This Row],[Cost Basis]]&amp;TrendSheetPrdData[[#This Row],[Period]]&amp;TrendSheetPrdData[[#This Row],[Trend]]</f>
        <v>OTHERSAllowed2017-02-01Chronic Disease Management - Members</v>
      </c>
      <c r="B1086" t="s">
        <v>111</v>
      </c>
      <c r="C1086" t="s">
        <v>111</v>
      </c>
      <c r="D1086" t="s">
        <v>91</v>
      </c>
      <c r="E1086" s="1" t="s">
        <v>106</v>
      </c>
      <c r="F1086" t="s">
        <v>108</v>
      </c>
      <c r="G1086" t="s">
        <v>29</v>
      </c>
      <c r="H1086">
        <v>18</v>
      </c>
      <c r="I1086">
        <v>273.14999999999998</v>
      </c>
    </row>
    <row r="1087" spans="1:9" x14ac:dyDescent="0.25">
      <c r="A1087" s="5" t="str">
        <f>TrendSheetPrdData[[#This Row],[Population]]&amp;TrendSheetPrdData[[#This Row],[Cost Basis]]&amp;TrendSheetPrdData[[#This Row],[Period]]&amp;TrendSheetPrdData[[#This Row],[Trend]]</f>
        <v>OTHERSAllowed2017-03-01Chronic Disease Management - Members</v>
      </c>
      <c r="B1087" t="s">
        <v>111</v>
      </c>
      <c r="C1087" t="s">
        <v>111</v>
      </c>
      <c r="D1087" t="s">
        <v>91</v>
      </c>
      <c r="E1087" s="1" t="s">
        <v>107</v>
      </c>
      <c r="F1087" t="s">
        <v>108</v>
      </c>
      <c r="G1087" t="s">
        <v>29</v>
      </c>
      <c r="H1087">
        <v>18</v>
      </c>
      <c r="I1087">
        <v>274.5</v>
      </c>
    </row>
    <row r="1088" spans="1:9" x14ac:dyDescent="0.25">
      <c r="A1088" s="5" t="str">
        <f>TrendSheetPrdData[[#This Row],[Population]]&amp;TrendSheetPrdData[[#This Row],[Cost Basis]]&amp;TrendSheetPrdData[[#This Row],[Period]]&amp;TrendSheetPrdData[[#This Row],[Trend]]</f>
        <v>OTHERSAllowed2017-04-01Chronic Disease Management - Members</v>
      </c>
      <c r="B1088" t="s">
        <v>111</v>
      </c>
      <c r="C1088" t="s">
        <v>111</v>
      </c>
      <c r="D1088" t="s">
        <v>91</v>
      </c>
      <c r="E1088" s="1" t="s">
        <v>109</v>
      </c>
      <c r="F1088" t="s">
        <v>108</v>
      </c>
      <c r="G1088" t="s">
        <v>29</v>
      </c>
      <c r="H1088">
        <v>18</v>
      </c>
      <c r="I1088">
        <v>271.43</v>
      </c>
    </row>
    <row r="1089" spans="1:9" x14ac:dyDescent="0.25">
      <c r="A1089" s="5" t="str">
        <f>TrendSheetPrdData[[#This Row],[Population]]&amp;TrendSheetPrdData[[#This Row],[Cost Basis]]&amp;TrendSheetPrdData[[#This Row],[Period]]&amp;TrendSheetPrdData[[#This Row],[Trend]]</f>
        <v>OTHERSAllowed2017-05-01Chronic Disease Management - Members</v>
      </c>
      <c r="B1089" t="s">
        <v>111</v>
      </c>
      <c r="C1089" t="s">
        <v>111</v>
      </c>
      <c r="D1089" t="s">
        <v>91</v>
      </c>
      <c r="E1089" s="1" t="s">
        <v>110</v>
      </c>
      <c r="F1089" t="s">
        <v>108</v>
      </c>
      <c r="G1089" t="s">
        <v>29</v>
      </c>
      <c r="H1089">
        <v>18</v>
      </c>
      <c r="I1089">
        <v>266.7</v>
      </c>
    </row>
    <row r="1090" spans="1:9" x14ac:dyDescent="0.25">
      <c r="A1090" s="5" t="str">
        <f>TrendSheetPrdData[[#This Row],[Population]]&amp;TrendSheetPrdData[[#This Row],[Cost Basis]]&amp;TrendSheetPrdData[[#This Row],[Period]]&amp;TrendSheetPrdData[[#This Row],[Trend]]</f>
        <v>OTHERSAllowed2016-01-01Inpatient Claim Count</v>
      </c>
      <c r="B1090" t="s">
        <v>111</v>
      </c>
      <c r="C1090" t="s">
        <v>111</v>
      </c>
      <c r="D1090" t="s">
        <v>91</v>
      </c>
      <c r="E1090" s="1" t="s">
        <v>92</v>
      </c>
      <c r="F1090" t="s">
        <v>93</v>
      </c>
      <c r="G1090" t="s">
        <v>30</v>
      </c>
      <c r="H1090">
        <v>19</v>
      </c>
      <c r="I1090">
        <v>293</v>
      </c>
    </row>
    <row r="1091" spans="1:9" x14ac:dyDescent="0.25">
      <c r="A1091" s="5" t="str">
        <f>TrendSheetPrdData[[#This Row],[Population]]&amp;TrendSheetPrdData[[#This Row],[Cost Basis]]&amp;TrendSheetPrdData[[#This Row],[Period]]&amp;TrendSheetPrdData[[#This Row],[Trend]]</f>
        <v>OTHERSAllowed2016-02-01Inpatient Claim Count</v>
      </c>
      <c r="B1091" t="s">
        <v>111</v>
      </c>
      <c r="C1091" t="s">
        <v>111</v>
      </c>
      <c r="D1091" t="s">
        <v>91</v>
      </c>
      <c r="E1091" s="1" t="s">
        <v>94</v>
      </c>
      <c r="F1091" t="s">
        <v>93</v>
      </c>
      <c r="G1091" t="s">
        <v>30</v>
      </c>
      <c r="H1091">
        <v>19</v>
      </c>
      <c r="I1091">
        <v>258</v>
      </c>
    </row>
    <row r="1092" spans="1:9" x14ac:dyDescent="0.25">
      <c r="A1092" s="5" t="str">
        <f>TrendSheetPrdData[[#This Row],[Population]]&amp;TrendSheetPrdData[[#This Row],[Cost Basis]]&amp;TrendSheetPrdData[[#This Row],[Period]]&amp;TrendSheetPrdData[[#This Row],[Trend]]</f>
        <v>OTHERSAllowed2016-03-01Inpatient Claim Count</v>
      </c>
      <c r="B1092" t="s">
        <v>111</v>
      </c>
      <c r="C1092" t="s">
        <v>111</v>
      </c>
      <c r="D1092" t="s">
        <v>91</v>
      </c>
      <c r="E1092" s="1" t="s">
        <v>95</v>
      </c>
      <c r="F1092" t="s">
        <v>93</v>
      </c>
      <c r="G1092" t="s">
        <v>30</v>
      </c>
      <c r="H1092">
        <v>19</v>
      </c>
      <c r="I1092">
        <v>348</v>
      </c>
    </row>
    <row r="1093" spans="1:9" x14ac:dyDescent="0.25">
      <c r="A1093" s="5" t="str">
        <f>TrendSheetPrdData[[#This Row],[Population]]&amp;TrendSheetPrdData[[#This Row],[Cost Basis]]&amp;TrendSheetPrdData[[#This Row],[Period]]&amp;TrendSheetPrdData[[#This Row],[Trend]]</f>
        <v>OTHERSAllowed2016-04-01Inpatient Claim Count</v>
      </c>
      <c r="B1093" t="s">
        <v>111</v>
      </c>
      <c r="C1093" t="s">
        <v>111</v>
      </c>
      <c r="D1093" t="s">
        <v>91</v>
      </c>
      <c r="E1093" s="1" t="s">
        <v>96</v>
      </c>
      <c r="F1093" t="s">
        <v>93</v>
      </c>
      <c r="G1093" t="s">
        <v>30</v>
      </c>
      <c r="H1093">
        <v>19</v>
      </c>
      <c r="I1093">
        <v>317</v>
      </c>
    </row>
    <row r="1094" spans="1:9" x14ac:dyDescent="0.25">
      <c r="A1094" s="5" t="str">
        <f>TrendSheetPrdData[[#This Row],[Population]]&amp;TrendSheetPrdData[[#This Row],[Cost Basis]]&amp;TrendSheetPrdData[[#This Row],[Period]]&amp;TrendSheetPrdData[[#This Row],[Trend]]</f>
        <v>OTHERSAllowed2016-05-01Inpatient Claim Count</v>
      </c>
      <c r="B1094" t="s">
        <v>111</v>
      </c>
      <c r="C1094" t="s">
        <v>111</v>
      </c>
      <c r="D1094" t="s">
        <v>91</v>
      </c>
      <c r="E1094" s="1" t="s">
        <v>97</v>
      </c>
      <c r="F1094" t="s">
        <v>93</v>
      </c>
      <c r="G1094" t="s">
        <v>30</v>
      </c>
      <c r="H1094">
        <v>19</v>
      </c>
      <c r="I1094">
        <v>301</v>
      </c>
    </row>
    <row r="1095" spans="1:9" x14ac:dyDescent="0.25">
      <c r="A1095" s="5" t="str">
        <f>TrendSheetPrdData[[#This Row],[Population]]&amp;TrendSheetPrdData[[#This Row],[Cost Basis]]&amp;TrendSheetPrdData[[#This Row],[Period]]&amp;TrendSheetPrdData[[#This Row],[Trend]]</f>
        <v>OTHERSAllowed2016-06-01Inpatient Claim Count</v>
      </c>
      <c r="B1095" t="s">
        <v>111</v>
      </c>
      <c r="C1095" t="s">
        <v>111</v>
      </c>
      <c r="D1095" t="s">
        <v>91</v>
      </c>
      <c r="E1095" s="1" t="s">
        <v>98</v>
      </c>
      <c r="F1095" t="s">
        <v>93</v>
      </c>
      <c r="G1095" t="s">
        <v>30</v>
      </c>
      <c r="H1095">
        <v>19</v>
      </c>
      <c r="I1095">
        <v>109</v>
      </c>
    </row>
    <row r="1096" spans="1:9" x14ac:dyDescent="0.25">
      <c r="A1096" s="5" t="str">
        <f>TrendSheetPrdData[[#This Row],[Population]]&amp;TrendSheetPrdData[[#This Row],[Cost Basis]]&amp;TrendSheetPrdData[[#This Row],[Period]]&amp;TrendSheetPrdData[[#This Row],[Trend]]</f>
        <v>OTHERSAllowed2016-07-01Inpatient Claim Count</v>
      </c>
      <c r="B1096" t="s">
        <v>111</v>
      </c>
      <c r="C1096" t="s">
        <v>111</v>
      </c>
      <c r="D1096" t="s">
        <v>91</v>
      </c>
      <c r="E1096" s="1" t="s">
        <v>99</v>
      </c>
      <c r="F1096" t="s">
        <v>93</v>
      </c>
      <c r="G1096" t="s">
        <v>30</v>
      </c>
      <c r="H1096">
        <v>19</v>
      </c>
      <c r="I1096">
        <v>214</v>
      </c>
    </row>
    <row r="1097" spans="1:9" x14ac:dyDescent="0.25">
      <c r="A1097" s="5" t="str">
        <f>TrendSheetPrdData[[#This Row],[Population]]&amp;TrendSheetPrdData[[#This Row],[Cost Basis]]&amp;TrendSheetPrdData[[#This Row],[Period]]&amp;TrendSheetPrdData[[#This Row],[Trend]]</f>
        <v>OTHERSAllowed2016-08-01Inpatient Claim Count</v>
      </c>
      <c r="B1097" t="s">
        <v>111</v>
      </c>
      <c r="C1097" t="s">
        <v>111</v>
      </c>
      <c r="D1097" t="s">
        <v>91</v>
      </c>
      <c r="E1097" s="1" t="s">
        <v>100</v>
      </c>
      <c r="F1097" t="s">
        <v>93</v>
      </c>
      <c r="G1097" t="s">
        <v>30</v>
      </c>
      <c r="H1097">
        <v>19</v>
      </c>
      <c r="I1097">
        <v>160</v>
      </c>
    </row>
    <row r="1098" spans="1:9" x14ac:dyDescent="0.25">
      <c r="A1098" s="5" t="str">
        <f>TrendSheetPrdData[[#This Row],[Population]]&amp;TrendSheetPrdData[[#This Row],[Cost Basis]]&amp;TrendSheetPrdData[[#This Row],[Period]]&amp;TrendSheetPrdData[[#This Row],[Trend]]</f>
        <v>OTHERSAllowed2016-09-01Inpatient Claim Count</v>
      </c>
      <c r="B1098" t="s">
        <v>111</v>
      </c>
      <c r="C1098" t="s">
        <v>111</v>
      </c>
      <c r="D1098" t="s">
        <v>91</v>
      </c>
      <c r="E1098" s="1" t="s">
        <v>101</v>
      </c>
      <c r="F1098" t="s">
        <v>93</v>
      </c>
      <c r="G1098" t="s">
        <v>30</v>
      </c>
      <c r="H1098">
        <v>19</v>
      </c>
      <c r="I1098">
        <v>253</v>
      </c>
    </row>
    <row r="1099" spans="1:9" x14ac:dyDescent="0.25">
      <c r="A1099" s="5" t="str">
        <f>TrendSheetPrdData[[#This Row],[Population]]&amp;TrendSheetPrdData[[#This Row],[Cost Basis]]&amp;TrendSheetPrdData[[#This Row],[Period]]&amp;TrendSheetPrdData[[#This Row],[Trend]]</f>
        <v>OTHERSAllowed2016-10-01Inpatient Claim Count</v>
      </c>
      <c r="B1099" t="s">
        <v>111</v>
      </c>
      <c r="C1099" t="s">
        <v>111</v>
      </c>
      <c r="D1099" t="s">
        <v>91</v>
      </c>
      <c r="E1099" s="1" t="s">
        <v>102</v>
      </c>
      <c r="F1099" t="s">
        <v>93</v>
      </c>
      <c r="G1099" t="s">
        <v>30</v>
      </c>
      <c r="H1099">
        <v>19</v>
      </c>
      <c r="I1099">
        <v>237</v>
      </c>
    </row>
    <row r="1100" spans="1:9" x14ac:dyDescent="0.25">
      <c r="A1100" s="5" t="str">
        <f>TrendSheetPrdData[[#This Row],[Population]]&amp;TrendSheetPrdData[[#This Row],[Cost Basis]]&amp;TrendSheetPrdData[[#This Row],[Period]]&amp;TrendSheetPrdData[[#This Row],[Trend]]</f>
        <v>OTHERSAllowed2016-11-01Inpatient Claim Count</v>
      </c>
      <c r="B1100" t="s">
        <v>111</v>
      </c>
      <c r="C1100" t="s">
        <v>111</v>
      </c>
      <c r="D1100" t="s">
        <v>91</v>
      </c>
      <c r="E1100" s="1" t="s">
        <v>103</v>
      </c>
      <c r="F1100" t="s">
        <v>93</v>
      </c>
      <c r="G1100" t="s">
        <v>30</v>
      </c>
      <c r="H1100">
        <v>19</v>
      </c>
      <c r="I1100">
        <v>299</v>
      </c>
    </row>
    <row r="1101" spans="1:9" x14ac:dyDescent="0.25">
      <c r="A1101" s="5" t="str">
        <f>TrendSheetPrdData[[#This Row],[Population]]&amp;TrendSheetPrdData[[#This Row],[Cost Basis]]&amp;TrendSheetPrdData[[#This Row],[Period]]&amp;TrendSheetPrdData[[#This Row],[Trend]]</f>
        <v>OTHERSAllowed2016-12-01Inpatient Claim Count</v>
      </c>
      <c r="B1101" t="s">
        <v>111</v>
      </c>
      <c r="C1101" t="s">
        <v>111</v>
      </c>
      <c r="D1101" t="s">
        <v>91</v>
      </c>
      <c r="E1101" s="1" t="s">
        <v>104</v>
      </c>
      <c r="F1101" t="s">
        <v>93</v>
      </c>
      <c r="G1101" t="s">
        <v>30</v>
      </c>
      <c r="H1101">
        <v>19</v>
      </c>
      <c r="I1101">
        <v>149</v>
      </c>
    </row>
    <row r="1102" spans="1:9" x14ac:dyDescent="0.25">
      <c r="A1102" s="5" t="str">
        <f>TrendSheetPrdData[[#This Row],[Population]]&amp;TrendSheetPrdData[[#This Row],[Cost Basis]]&amp;TrendSheetPrdData[[#This Row],[Period]]&amp;TrendSheetPrdData[[#This Row],[Trend]]</f>
        <v>OTHERSAllowed2017-01-01Inpatient Claim Count</v>
      </c>
      <c r="B1102" t="s">
        <v>111</v>
      </c>
      <c r="C1102" t="s">
        <v>111</v>
      </c>
      <c r="D1102" t="s">
        <v>91</v>
      </c>
      <c r="E1102" s="1" t="s">
        <v>105</v>
      </c>
      <c r="F1102" t="s">
        <v>108</v>
      </c>
      <c r="G1102" t="s">
        <v>30</v>
      </c>
      <c r="H1102">
        <v>19</v>
      </c>
      <c r="I1102">
        <v>202</v>
      </c>
    </row>
    <row r="1103" spans="1:9" x14ac:dyDescent="0.25">
      <c r="A1103" s="5" t="str">
        <f>TrendSheetPrdData[[#This Row],[Population]]&amp;TrendSheetPrdData[[#This Row],[Cost Basis]]&amp;TrendSheetPrdData[[#This Row],[Period]]&amp;TrendSheetPrdData[[#This Row],[Trend]]</f>
        <v>OTHERSAllowed2017-02-01Inpatient Claim Count</v>
      </c>
      <c r="B1103" t="s">
        <v>111</v>
      </c>
      <c r="C1103" t="s">
        <v>111</v>
      </c>
      <c r="D1103" t="s">
        <v>91</v>
      </c>
      <c r="E1103" s="1" t="s">
        <v>106</v>
      </c>
      <c r="F1103" t="s">
        <v>108</v>
      </c>
      <c r="G1103" t="s">
        <v>30</v>
      </c>
      <c r="H1103">
        <v>19</v>
      </c>
      <c r="I1103">
        <v>126</v>
      </c>
    </row>
    <row r="1104" spans="1:9" x14ac:dyDescent="0.25">
      <c r="A1104" s="5" t="str">
        <f>TrendSheetPrdData[[#This Row],[Population]]&amp;TrendSheetPrdData[[#This Row],[Cost Basis]]&amp;TrendSheetPrdData[[#This Row],[Period]]&amp;TrendSheetPrdData[[#This Row],[Trend]]</f>
        <v>OTHERSAllowed2017-03-01Inpatient Claim Count</v>
      </c>
      <c r="B1104" t="s">
        <v>111</v>
      </c>
      <c r="C1104" t="s">
        <v>111</v>
      </c>
      <c r="D1104" t="s">
        <v>91</v>
      </c>
      <c r="E1104" s="1" t="s">
        <v>107</v>
      </c>
      <c r="F1104" t="s">
        <v>108</v>
      </c>
      <c r="G1104" t="s">
        <v>30</v>
      </c>
      <c r="H1104">
        <v>19</v>
      </c>
      <c r="I1104">
        <v>161</v>
      </c>
    </row>
    <row r="1105" spans="1:9" x14ac:dyDescent="0.25">
      <c r="A1105" s="5" t="str">
        <f>TrendSheetPrdData[[#This Row],[Population]]&amp;TrendSheetPrdData[[#This Row],[Cost Basis]]&amp;TrendSheetPrdData[[#This Row],[Period]]&amp;TrendSheetPrdData[[#This Row],[Trend]]</f>
        <v>OTHERSAllowed2017-04-01Inpatient Claim Count</v>
      </c>
      <c r="B1105" t="s">
        <v>111</v>
      </c>
      <c r="C1105" t="s">
        <v>111</v>
      </c>
      <c r="D1105" t="s">
        <v>91</v>
      </c>
      <c r="E1105" s="1" t="s">
        <v>109</v>
      </c>
      <c r="F1105" t="s">
        <v>108</v>
      </c>
      <c r="G1105" t="s">
        <v>30</v>
      </c>
      <c r="H1105">
        <v>19</v>
      </c>
      <c r="I1105">
        <v>118</v>
      </c>
    </row>
    <row r="1106" spans="1:9" x14ac:dyDescent="0.25">
      <c r="A1106" s="5" t="str">
        <f>TrendSheetPrdData[[#This Row],[Population]]&amp;TrendSheetPrdData[[#This Row],[Cost Basis]]&amp;TrendSheetPrdData[[#This Row],[Period]]&amp;TrendSheetPrdData[[#This Row],[Trend]]</f>
        <v>OTHERSAllowed2017-05-01Inpatient Claim Count</v>
      </c>
      <c r="B1106" t="s">
        <v>111</v>
      </c>
      <c r="C1106" t="s">
        <v>111</v>
      </c>
      <c r="D1106" t="s">
        <v>91</v>
      </c>
      <c r="E1106" s="1" t="s">
        <v>110</v>
      </c>
      <c r="F1106" t="s">
        <v>108</v>
      </c>
      <c r="G1106" t="s">
        <v>30</v>
      </c>
      <c r="H1106">
        <v>19</v>
      </c>
      <c r="I1106">
        <v>50</v>
      </c>
    </row>
    <row r="1107" spans="1:9" x14ac:dyDescent="0.25">
      <c r="A1107" s="5" t="str">
        <f>TrendSheetPrdData[[#This Row],[Population]]&amp;TrendSheetPrdData[[#This Row],[Cost Basis]]&amp;TrendSheetPrdData[[#This Row],[Period]]&amp;TrendSheetPrdData[[#This Row],[Trend]]</f>
        <v>OTHERSAllowed2016-01-01Outpatient Claim Count</v>
      </c>
      <c r="B1107" t="s">
        <v>111</v>
      </c>
      <c r="C1107" t="s">
        <v>111</v>
      </c>
      <c r="D1107" t="s">
        <v>91</v>
      </c>
      <c r="E1107" s="1" t="s">
        <v>92</v>
      </c>
      <c r="F1107" t="s">
        <v>93</v>
      </c>
      <c r="G1107" t="s">
        <v>31</v>
      </c>
      <c r="H1107">
        <v>20</v>
      </c>
      <c r="I1107">
        <v>2961</v>
      </c>
    </row>
    <row r="1108" spans="1:9" x14ac:dyDescent="0.25">
      <c r="A1108" s="5" t="str">
        <f>TrendSheetPrdData[[#This Row],[Population]]&amp;TrendSheetPrdData[[#This Row],[Cost Basis]]&amp;TrendSheetPrdData[[#This Row],[Period]]&amp;TrendSheetPrdData[[#This Row],[Trend]]</f>
        <v>OTHERSAllowed2016-02-01Outpatient Claim Count</v>
      </c>
      <c r="B1108" t="s">
        <v>111</v>
      </c>
      <c r="C1108" t="s">
        <v>111</v>
      </c>
      <c r="D1108" t="s">
        <v>91</v>
      </c>
      <c r="E1108" s="1" t="s">
        <v>94</v>
      </c>
      <c r="F1108" t="s">
        <v>93</v>
      </c>
      <c r="G1108" t="s">
        <v>31</v>
      </c>
      <c r="H1108">
        <v>20</v>
      </c>
      <c r="I1108">
        <v>2645</v>
      </c>
    </row>
    <row r="1109" spans="1:9" x14ac:dyDescent="0.25">
      <c r="A1109" s="5" t="str">
        <f>TrendSheetPrdData[[#This Row],[Population]]&amp;TrendSheetPrdData[[#This Row],[Cost Basis]]&amp;TrendSheetPrdData[[#This Row],[Period]]&amp;TrendSheetPrdData[[#This Row],[Trend]]</f>
        <v>OTHERSAllowed2016-03-01Outpatient Claim Count</v>
      </c>
      <c r="B1109" t="s">
        <v>111</v>
      </c>
      <c r="C1109" t="s">
        <v>111</v>
      </c>
      <c r="D1109" t="s">
        <v>91</v>
      </c>
      <c r="E1109" s="1" t="s">
        <v>95</v>
      </c>
      <c r="F1109" t="s">
        <v>93</v>
      </c>
      <c r="G1109" t="s">
        <v>31</v>
      </c>
      <c r="H1109">
        <v>20</v>
      </c>
      <c r="I1109">
        <v>2612</v>
      </c>
    </row>
    <row r="1110" spans="1:9" x14ac:dyDescent="0.25">
      <c r="A1110" s="5" t="str">
        <f>TrendSheetPrdData[[#This Row],[Population]]&amp;TrendSheetPrdData[[#This Row],[Cost Basis]]&amp;TrendSheetPrdData[[#This Row],[Period]]&amp;TrendSheetPrdData[[#This Row],[Trend]]</f>
        <v>OTHERSAllowed2016-04-01Outpatient Claim Count</v>
      </c>
      <c r="B1110" t="s">
        <v>111</v>
      </c>
      <c r="C1110" t="s">
        <v>111</v>
      </c>
      <c r="D1110" t="s">
        <v>91</v>
      </c>
      <c r="E1110" s="1" t="s">
        <v>96</v>
      </c>
      <c r="F1110" t="s">
        <v>93</v>
      </c>
      <c r="G1110" t="s">
        <v>31</v>
      </c>
      <c r="H1110">
        <v>20</v>
      </c>
      <c r="I1110">
        <v>2559</v>
      </c>
    </row>
    <row r="1111" spans="1:9" x14ac:dyDescent="0.25">
      <c r="A1111" s="5" t="str">
        <f>TrendSheetPrdData[[#This Row],[Population]]&amp;TrendSheetPrdData[[#This Row],[Cost Basis]]&amp;TrendSheetPrdData[[#This Row],[Period]]&amp;TrendSheetPrdData[[#This Row],[Trend]]</f>
        <v>OTHERSAllowed2016-05-01Outpatient Claim Count</v>
      </c>
      <c r="B1111" t="s">
        <v>111</v>
      </c>
      <c r="C1111" t="s">
        <v>111</v>
      </c>
      <c r="D1111" t="s">
        <v>91</v>
      </c>
      <c r="E1111" s="1" t="s">
        <v>97</v>
      </c>
      <c r="F1111" t="s">
        <v>93</v>
      </c>
      <c r="G1111" t="s">
        <v>31</v>
      </c>
      <c r="H1111">
        <v>20</v>
      </c>
      <c r="I1111">
        <v>2215</v>
      </c>
    </row>
    <row r="1112" spans="1:9" x14ac:dyDescent="0.25">
      <c r="A1112" s="5" t="str">
        <f>TrendSheetPrdData[[#This Row],[Population]]&amp;TrendSheetPrdData[[#This Row],[Cost Basis]]&amp;TrendSheetPrdData[[#This Row],[Period]]&amp;TrendSheetPrdData[[#This Row],[Trend]]</f>
        <v>OTHERSAllowed2016-06-01Outpatient Claim Count</v>
      </c>
      <c r="B1112" t="s">
        <v>111</v>
      </c>
      <c r="C1112" t="s">
        <v>111</v>
      </c>
      <c r="D1112" t="s">
        <v>91</v>
      </c>
      <c r="E1112" s="1" t="s">
        <v>98</v>
      </c>
      <c r="F1112" t="s">
        <v>93</v>
      </c>
      <c r="G1112" t="s">
        <v>31</v>
      </c>
      <c r="H1112">
        <v>20</v>
      </c>
      <c r="I1112">
        <v>2573</v>
      </c>
    </row>
    <row r="1113" spans="1:9" x14ac:dyDescent="0.25">
      <c r="A1113" s="5" t="str">
        <f>TrendSheetPrdData[[#This Row],[Population]]&amp;TrendSheetPrdData[[#This Row],[Cost Basis]]&amp;TrendSheetPrdData[[#This Row],[Period]]&amp;TrendSheetPrdData[[#This Row],[Trend]]</f>
        <v>OTHERSAllowed2016-07-01Outpatient Claim Count</v>
      </c>
      <c r="B1113" t="s">
        <v>111</v>
      </c>
      <c r="C1113" t="s">
        <v>111</v>
      </c>
      <c r="D1113" t="s">
        <v>91</v>
      </c>
      <c r="E1113" s="1" t="s">
        <v>99</v>
      </c>
      <c r="F1113" t="s">
        <v>93</v>
      </c>
      <c r="G1113" t="s">
        <v>31</v>
      </c>
      <c r="H1113">
        <v>20</v>
      </c>
      <c r="I1113">
        <v>2520</v>
      </c>
    </row>
    <row r="1114" spans="1:9" x14ac:dyDescent="0.25">
      <c r="A1114" s="5" t="str">
        <f>TrendSheetPrdData[[#This Row],[Population]]&amp;TrendSheetPrdData[[#This Row],[Cost Basis]]&amp;TrendSheetPrdData[[#This Row],[Period]]&amp;TrendSheetPrdData[[#This Row],[Trend]]</f>
        <v>OTHERSAllowed2016-08-01Outpatient Claim Count</v>
      </c>
      <c r="B1114" t="s">
        <v>111</v>
      </c>
      <c r="C1114" t="s">
        <v>111</v>
      </c>
      <c r="D1114" t="s">
        <v>91</v>
      </c>
      <c r="E1114" s="1" t="s">
        <v>100</v>
      </c>
      <c r="F1114" t="s">
        <v>93</v>
      </c>
      <c r="G1114" t="s">
        <v>31</v>
      </c>
      <c r="H1114">
        <v>20</v>
      </c>
      <c r="I1114">
        <v>2552</v>
      </c>
    </row>
    <row r="1115" spans="1:9" x14ac:dyDescent="0.25">
      <c r="A1115" s="5" t="str">
        <f>TrendSheetPrdData[[#This Row],[Population]]&amp;TrendSheetPrdData[[#This Row],[Cost Basis]]&amp;TrendSheetPrdData[[#This Row],[Period]]&amp;TrendSheetPrdData[[#This Row],[Trend]]</f>
        <v>OTHERSAllowed2016-09-01Outpatient Claim Count</v>
      </c>
      <c r="B1115" t="s">
        <v>111</v>
      </c>
      <c r="C1115" t="s">
        <v>111</v>
      </c>
      <c r="D1115" t="s">
        <v>91</v>
      </c>
      <c r="E1115" s="1" t="s">
        <v>101</v>
      </c>
      <c r="F1115" t="s">
        <v>93</v>
      </c>
      <c r="G1115" t="s">
        <v>31</v>
      </c>
      <c r="H1115">
        <v>20</v>
      </c>
      <c r="I1115">
        <v>2625</v>
      </c>
    </row>
    <row r="1116" spans="1:9" x14ac:dyDescent="0.25">
      <c r="A1116" s="5" t="str">
        <f>TrendSheetPrdData[[#This Row],[Population]]&amp;TrendSheetPrdData[[#This Row],[Cost Basis]]&amp;TrendSheetPrdData[[#This Row],[Period]]&amp;TrendSheetPrdData[[#This Row],[Trend]]</f>
        <v>OTHERSAllowed2016-10-01Outpatient Claim Count</v>
      </c>
      <c r="B1116" t="s">
        <v>111</v>
      </c>
      <c r="C1116" t="s">
        <v>111</v>
      </c>
      <c r="D1116" t="s">
        <v>91</v>
      </c>
      <c r="E1116" s="1" t="s">
        <v>102</v>
      </c>
      <c r="F1116" t="s">
        <v>93</v>
      </c>
      <c r="G1116" t="s">
        <v>31</v>
      </c>
      <c r="H1116">
        <v>20</v>
      </c>
      <c r="I1116">
        <v>2445</v>
      </c>
    </row>
    <row r="1117" spans="1:9" x14ac:dyDescent="0.25">
      <c r="A1117" s="5" t="str">
        <f>TrendSheetPrdData[[#This Row],[Population]]&amp;TrendSheetPrdData[[#This Row],[Cost Basis]]&amp;TrendSheetPrdData[[#This Row],[Period]]&amp;TrendSheetPrdData[[#This Row],[Trend]]</f>
        <v>OTHERSAllowed2016-11-01Outpatient Claim Count</v>
      </c>
      <c r="B1117" t="s">
        <v>111</v>
      </c>
      <c r="C1117" t="s">
        <v>111</v>
      </c>
      <c r="D1117" t="s">
        <v>91</v>
      </c>
      <c r="E1117" s="1" t="s">
        <v>103</v>
      </c>
      <c r="F1117" t="s">
        <v>93</v>
      </c>
      <c r="G1117" t="s">
        <v>31</v>
      </c>
      <c r="H1117">
        <v>20</v>
      </c>
      <c r="I1117">
        <v>2514</v>
      </c>
    </row>
    <row r="1118" spans="1:9" x14ac:dyDescent="0.25">
      <c r="A1118" s="5" t="str">
        <f>TrendSheetPrdData[[#This Row],[Population]]&amp;TrendSheetPrdData[[#This Row],[Cost Basis]]&amp;TrendSheetPrdData[[#This Row],[Period]]&amp;TrendSheetPrdData[[#This Row],[Trend]]</f>
        <v>OTHERSAllowed2016-12-01Outpatient Claim Count</v>
      </c>
      <c r="B1118" t="s">
        <v>111</v>
      </c>
      <c r="C1118" t="s">
        <v>111</v>
      </c>
      <c r="D1118" t="s">
        <v>91</v>
      </c>
      <c r="E1118" s="1" t="s">
        <v>104</v>
      </c>
      <c r="F1118" t="s">
        <v>93</v>
      </c>
      <c r="G1118" t="s">
        <v>31</v>
      </c>
      <c r="H1118">
        <v>20</v>
      </c>
      <c r="I1118">
        <v>2475</v>
      </c>
    </row>
    <row r="1119" spans="1:9" x14ac:dyDescent="0.25">
      <c r="A1119" s="5" t="str">
        <f>TrendSheetPrdData[[#This Row],[Population]]&amp;TrendSheetPrdData[[#This Row],[Cost Basis]]&amp;TrendSheetPrdData[[#This Row],[Period]]&amp;TrendSheetPrdData[[#This Row],[Trend]]</f>
        <v>OTHERSAllowed2017-01-01Outpatient Claim Count</v>
      </c>
      <c r="B1119" t="s">
        <v>111</v>
      </c>
      <c r="C1119" t="s">
        <v>111</v>
      </c>
      <c r="D1119" t="s">
        <v>91</v>
      </c>
      <c r="E1119" s="1" t="s">
        <v>105</v>
      </c>
      <c r="F1119" t="s">
        <v>108</v>
      </c>
      <c r="G1119" t="s">
        <v>31</v>
      </c>
      <c r="H1119">
        <v>20</v>
      </c>
      <c r="I1119">
        <v>2498</v>
      </c>
    </row>
    <row r="1120" spans="1:9" x14ac:dyDescent="0.25">
      <c r="A1120" s="5" t="str">
        <f>TrendSheetPrdData[[#This Row],[Population]]&amp;TrendSheetPrdData[[#This Row],[Cost Basis]]&amp;TrendSheetPrdData[[#This Row],[Period]]&amp;TrendSheetPrdData[[#This Row],[Trend]]</f>
        <v>OTHERSAllowed2017-02-01Outpatient Claim Count</v>
      </c>
      <c r="B1120" t="s">
        <v>111</v>
      </c>
      <c r="C1120" t="s">
        <v>111</v>
      </c>
      <c r="D1120" t="s">
        <v>91</v>
      </c>
      <c r="E1120" s="1" t="s">
        <v>106</v>
      </c>
      <c r="F1120" t="s">
        <v>108</v>
      </c>
      <c r="G1120" t="s">
        <v>31</v>
      </c>
      <c r="H1120">
        <v>20</v>
      </c>
      <c r="I1120">
        <v>2614</v>
      </c>
    </row>
    <row r="1121" spans="1:9" x14ac:dyDescent="0.25">
      <c r="A1121" s="5" t="str">
        <f>TrendSheetPrdData[[#This Row],[Population]]&amp;TrendSheetPrdData[[#This Row],[Cost Basis]]&amp;TrendSheetPrdData[[#This Row],[Period]]&amp;TrendSheetPrdData[[#This Row],[Trend]]</f>
        <v>OTHERSAllowed2017-03-01Outpatient Claim Count</v>
      </c>
      <c r="B1121" t="s">
        <v>111</v>
      </c>
      <c r="C1121" t="s">
        <v>111</v>
      </c>
      <c r="D1121" t="s">
        <v>91</v>
      </c>
      <c r="E1121" s="1" t="s">
        <v>107</v>
      </c>
      <c r="F1121" t="s">
        <v>108</v>
      </c>
      <c r="G1121" t="s">
        <v>31</v>
      </c>
      <c r="H1121">
        <v>20</v>
      </c>
      <c r="I1121">
        <v>2502</v>
      </c>
    </row>
    <row r="1122" spans="1:9" x14ac:dyDescent="0.25">
      <c r="A1122" s="5" t="str">
        <f>TrendSheetPrdData[[#This Row],[Population]]&amp;TrendSheetPrdData[[#This Row],[Cost Basis]]&amp;TrendSheetPrdData[[#This Row],[Period]]&amp;TrendSheetPrdData[[#This Row],[Trend]]</f>
        <v>OTHERSAllowed2017-04-01Outpatient Claim Count</v>
      </c>
      <c r="B1122" t="s">
        <v>111</v>
      </c>
      <c r="C1122" t="s">
        <v>111</v>
      </c>
      <c r="D1122" t="s">
        <v>91</v>
      </c>
      <c r="E1122" s="1" t="s">
        <v>109</v>
      </c>
      <c r="F1122" t="s">
        <v>108</v>
      </c>
      <c r="G1122" t="s">
        <v>31</v>
      </c>
      <c r="H1122">
        <v>20</v>
      </c>
      <c r="I1122">
        <v>1981</v>
      </c>
    </row>
    <row r="1123" spans="1:9" x14ac:dyDescent="0.25">
      <c r="A1123" s="5" t="str">
        <f>TrendSheetPrdData[[#This Row],[Population]]&amp;TrendSheetPrdData[[#This Row],[Cost Basis]]&amp;TrendSheetPrdData[[#This Row],[Period]]&amp;TrendSheetPrdData[[#This Row],[Trend]]</f>
        <v>OTHERSAllowed2017-05-01Outpatient Claim Count</v>
      </c>
      <c r="B1123" t="s">
        <v>111</v>
      </c>
      <c r="C1123" t="s">
        <v>111</v>
      </c>
      <c r="D1123" t="s">
        <v>91</v>
      </c>
      <c r="E1123" s="1" t="s">
        <v>110</v>
      </c>
      <c r="F1123" t="s">
        <v>108</v>
      </c>
      <c r="G1123" t="s">
        <v>31</v>
      </c>
      <c r="H1123">
        <v>20</v>
      </c>
      <c r="I1123">
        <v>767</v>
      </c>
    </row>
    <row r="1124" spans="1:9" x14ac:dyDescent="0.25">
      <c r="A1124" s="5" t="str">
        <f>TrendSheetPrdData[[#This Row],[Population]]&amp;TrendSheetPrdData[[#This Row],[Cost Basis]]&amp;TrendSheetPrdData[[#This Row],[Period]]&amp;TrendSheetPrdData[[#This Row],[Trend]]</f>
        <v>OTHERSAllowed2016-01-01Professional Claim Count</v>
      </c>
      <c r="B1124" t="s">
        <v>111</v>
      </c>
      <c r="C1124" t="s">
        <v>111</v>
      </c>
      <c r="D1124" t="s">
        <v>91</v>
      </c>
      <c r="E1124" s="1" t="s">
        <v>92</v>
      </c>
      <c r="F1124" t="s">
        <v>93</v>
      </c>
      <c r="G1124" t="s">
        <v>32</v>
      </c>
      <c r="H1124">
        <v>21</v>
      </c>
      <c r="I1124">
        <v>3520</v>
      </c>
    </row>
    <row r="1125" spans="1:9" x14ac:dyDescent="0.25">
      <c r="A1125" s="5" t="str">
        <f>TrendSheetPrdData[[#This Row],[Population]]&amp;TrendSheetPrdData[[#This Row],[Cost Basis]]&amp;TrendSheetPrdData[[#This Row],[Period]]&amp;TrendSheetPrdData[[#This Row],[Trend]]</f>
        <v>OTHERSAllowed2016-02-01Professional Claim Count</v>
      </c>
      <c r="B1125" t="s">
        <v>111</v>
      </c>
      <c r="C1125" t="s">
        <v>111</v>
      </c>
      <c r="D1125" t="s">
        <v>91</v>
      </c>
      <c r="E1125" s="1" t="s">
        <v>94</v>
      </c>
      <c r="F1125" t="s">
        <v>93</v>
      </c>
      <c r="G1125" t="s">
        <v>32</v>
      </c>
      <c r="H1125">
        <v>21</v>
      </c>
      <c r="I1125">
        <v>3540</v>
      </c>
    </row>
    <row r="1126" spans="1:9" x14ac:dyDescent="0.25">
      <c r="A1126" s="5" t="str">
        <f>TrendSheetPrdData[[#This Row],[Population]]&amp;TrendSheetPrdData[[#This Row],[Cost Basis]]&amp;TrendSheetPrdData[[#This Row],[Period]]&amp;TrendSheetPrdData[[#This Row],[Trend]]</f>
        <v>OTHERSAllowed2016-03-01Professional Claim Count</v>
      </c>
      <c r="B1126" t="s">
        <v>111</v>
      </c>
      <c r="C1126" t="s">
        <v>111</v>
      </c>
      <c r="D1126" t="s">
        <v>91</v>
      </c>
      <c r="E1126" s="1" t="s">
        <v>95</v>
      </c>
      <c r="F1126" t="s">
        <v>93</v>
      </c>
      <c r="G1126" t="s">
        <v>32</v>
      </c>
      <c r="H1126">
        <v>21</v>
      </c>
      <c r="I1126">
        <v>3732</v>
      </c>
    </row>
    <row r="1127" spans="1:9" x14ac:dyDescent="0.25">
      <c r="A1127" s="5" t="str">
        <f>TrendSheetPrdData[[#This Row],[Population]]&amp;TrendSheetPrdData[[#This Row],[Cost Basis]]&amp;TrendSheetPrdData[[#This Row],[Period]]&amp;TrendSheetPrdData[[#This Row],[Trend]]</f>
        <v>OTHERSAllowed2016-04-01Professional Claim Count</v>
      </c>
      <c r="B1127" t="s">
        <v>111</v>
      </c>
      <c r="C1127" t="s">
        <v>111</v>
      </c>
      <c r="D1127" t="s">
        <v>91</v>
      </c>
      <c r="E1127" s="1" t="s">
        <v>96</v>
      </c>
      <c r="F1127" t="s">
        <v>93</v>
      </c>
      <c r="G1127" t="s">
        <v>32</v>
      </c>
      <c r="H1127">
        <v>21</v>
      </c>
      <c r="I1127">
        <v>3209</v>
      </c>
    </row>
    <row r="1128" spans="1:9" x14ac:dyDescent="0.25">
      <c r="A1128" s="5" t="str">
        <f>TrendSheetPrdData[[#This Row],[Population]]&amp;TrendSheetPrdData[[#This Row],[Cost Basis]]&amp;TrendSheetPrdData[[#This Row],[Period]]&amp;TrendSheetPrdData[[#This Row],[Trend]]</f>
        <v>OTHERSAllowed2016-05-01Professional Claim Count</v>
      </c>
      <c r="B1128" t="s">
        <v>111</v>
      </c>
      <c r="C1128" t="s">
        <v>111</v>
      </c>
      <c r="D1128" t="s">
        <v>91</v>
      </c>
      <c r="E1128" s="1" t="s">
        <v>97</v>
      </c>
      <c r="F1128" t="s">
        <v>93</v>
      </c>
      <c r="G1128" t="s">
        <v>32</v>
      </c>
      <c r="H1128">
        <v>21</v>
      </c>
      <c r="I1128">
        <v>3306</v>
      </c>
    </row>
    <row r="1129" spans="1:9" x14ac:dyDescent="0.25">
      <c r="A1129" s="5" t="str">
        <f>TrendSheetPrdData[[#This Row],[Population]]&amp;TrendSheetPrdData[[#This Row],[Cost Basis]]&amp;TrendSheetPrdData[[#This Row],[Period]]&amp;TrendSheetPrdData[[#This Row],[Trend]]</f>
        <v>OTHERSAllowed2016-06-01Professional Claim Count</v>
      </c>
      <c r="B1129" t="s">
        <v>111</v>
      </c>
      <c r="C1129" t="s">
        <v>111</v>
      </c>
      <c r="D1129" t="s">
        <v>91</v>
      </c>
      <c r="E1129" s="1" t="s">
        <v>98</v>
      </c>
      <c r="F1129" t="s">
        <v>93</v>
      </c>
      <c r="G1129" t="s">
        <v>32</v>
      </c>
      <c r="H1129">
        <v>21</v>
      </c>
      <c r="I1129">
        <v>3098</v>
      </c>
    </row>
    <row r="1130" spans="1:9" x14ac:dyDescent="0.25">
      <c r="A1130" s="5" t="str">
        <f>TrendSheetPrdData[[#This Row],[Population]]&amp;TrendSheetPrdData[[#This Row],[Cost Basis]]&amp;TrendSheetPrdData[[#This Row],[Period]]&amp;TrendSheetPrdData[[#This Row],[Trend]]</f>
        <v>OTHERSAllowed2016-07-01Professional Claim Count</v>
      </c>
      <c r="B1130" t="s">
        <v>111</v>
      </c>
      <c r="C1130" t="s">
        <v>111</v>
      </c>
      <c r="D1130" t="s">
        <v>91</v>
      </c>
      <c r="E1130" s="1" t="s">
        <v>99</v>
      </c>
      <c r="F1130" t="s">
        <v>93</v>
      </c>
      <c r="G1130" t="s">
        <v>32</v>
      </c>
      <c r="H1130">
        <v>21</v>
      </c>
      <c r="I1130">
        <v>2825</v>
      </c>
    </row>
    <row r="1131" spans="1:9" x14ac:dyDescent="0.25">
      <c r="A1131" s="5" t="str">
        <f>TrendSheetPrdData[[#This Row],[Population]]&amp;TrendSheetPrdData[[#This Row],[Cost Basis]]&amp;TrendSheetPrdData[[#This Row],[Period]]&amp;TrendSheetPrdData[[#This Row],[Trend]]</f>
        <v>OTHERSAllowed2016-08-01Professional Claim Count</v>
      </c>
      <c r="B1131" t="s">
        <v>111</v>
      </c>
      <c r="C1131" t="s">
        <v>111</v>
      </c>
      <c r="D1131" t="s">
        <v>91</v>
      </c>
      <c r="E1131" s="1" t="s">
        <v>100</v>
      </c>
      <c r="F1131" t="s">
        <v>93</v>
      </c>
      <c r="G1131" t="s">
        <v>32</v>
      </c>
      <c r="H1131">
        <v>21</v>
      </c>
      <c r="I1131">
        <v>3625</v>
      </c>
    </row>
    <row r="1132" spans="1:9" x14ac:dyDescent="0.25">
      <c r="A1132" s="5" t="str">
        <f>TrendSheetPrdData[[#This Row],[Population]]&amp;TrendSheetPrdData[[#This Row],[Cost Basis]]&amp;TrendSheetPrdData[[#This Row],[Period]]&amp;TrendSheetPrdData[[#This Row],[Trend]]</f>
        <v>OTHERSAllowed2016-09-01Professional Claim Count</v>
      </c>
      <c r="B1132" t="s">
        <v>111</v>
      </c>
      <c r="C1132" t="s">
        <v>111</v>
      </c>
      <c r="D1132" t="s">
        <v>91</v>
      </c>
      <c r="E1132" s="1" t="s">
        <v>101</v>
      </c>
      <c r="F1132" t="s">
        <v>93</v>
      </c>
      <c r="G1132" t="s">
        <v>32</v>
      </c>
      <c r="H1132">
        <v>21</v>
      </c>
      <c r="I1132">
        <v>3629</v>
      </c>
    </row>
    <row r="1133" spans="1:9" x14ac:dyDescent="0.25">
      <c r="A1133" s="5" t="str">
        <f>TrendSheetPrdData[[#This Row],[Population]]&amp;TrendSheetPrdData[[#This Row],[Cost Basis]]&amp;TrendSheetPrdData[[#This Row],[Period]]&amp;TrendSheetPrdData[[#This Row],[Trend]]</f>
        <v>OTHERSAllowed2016-10-01Professional Claim Count</v>
      </c>
      <c r="B1133" t="s">
        <v>111</v>
      </c>
      <c r="C1133" t="s">
        <v>111</v>
      </c>
      <c r="D1133" t="s">
        <v>91</v>
      </c>
      <c r="E1133" s="1" t="s">
        <v>102</v>
      </c>
      <c r="F1133" t="s">
        <v>93</v>
      </c>
      <c r="G1133" t="s">
        <v>32</v>
      </c>
      <c r="H1133">
        <v>21</v>
      </c>
      <c r="I1133">
        <v>3293</v>
      </c>
    </row>
    <row r="1134" spans="1:9" x14ac:dyDescent="0.25">
      <c r="A1134" s="5" t="str">
        <f>TrendSheetPrdData[[#This Row],[Population]]&amp;TrendSheetPrdData[[#This Row],[Cost Basis]]&amp;TrendSheetPrdData[[#This Row],[Period]]&amp;TrendSheetPrdData[[#This Row],[Trend]]</f>
        <v>OTHERSAllowed2016-11-01Professional Claim Count</v>
      </c>
      <c r="B1134" t="s">
        <v>111</v>
      </c>
      <c r="C1134" t="s">
        <v>111</v>
      </c>
      <c r="D1134" t="s">
        <v>91</v>
      </c>
      <c r="E1134" s="1" t="s">
        <v>103</v>
      </c>
      <c r="F1134" t="s">
        <v>93</v>
      </c>
      <c r="G1134" t="s">
        <v>32</v>
      </c>
      <c r="H1134">
        <v>21</v>
      </c>
      <c r="I1134">
        <v>3748</v>
      </c>
    </row>
    <row r="1135" spans="1:9" x14ac:dyDescent="0.25">
      <c r="A1135" s="5" t="str">
        <f>TrendSheetPrdData[[#This Row],[Population]]&amp;TrendSheetPrdData[[#This Row],[Cost Basis]]&amp;TrendSheetPrdData[[#This Row],[Period]]&amp;TrendSheetPrdData[[#This Row],[Trend]]</f>
        <v>OTHERSAllowed2016-12-01Professional Claim Count</v>
      </c>
      <c r="B1135" t="s">
        <v>111</v>
      </c>
      <c r="C1135" t="s">
        <v>111</v>
      </c>
      <c r="D1135" t="s">
        <v>91</v>
      </c>
      <c r="E1135" s="1" t="s">
        <v>104</v>
      </c>
      <c r="F1135" t="s">
        <v>93</v>
      </c>
      <c r="G1135" t="s">
        <v>32</v>
      </c>
      <c r="H1135">
        <v>21</v>
      </c>
      <c r="I1135">
        <v>3013</v>
      </c>
    </row>
    <row r="1136" spans="1:9" x14ac:dyDescent="0.25">
      <c r="A1136" s="5" t="str">
        <f>TrendSheetPrdData[[#This Row],[Population]]&amp;TrendSheetPrdData[[#This Row],[Cost Basis]]&amp;TrendSheetPrdData[[#This Row],[Period]]&amp;TrendSheetPrdData[[#This Row],[Trend]]</f>
        <v>OTHERSAllowed2017-01-01Professional Claim Count</v>
      </c>
      <c r="B1136" t="s">
        <v>111</v>
      </c>
      <c r="C1136" t="s">
        <v>111</v>
      </c>
      <c r="D1136" t="s">
        <v>91</v>
      </c>
      <c r="E1136" s="1" t="s">
        <v>105</v>
      </c>
      <c r="F1136" t="s">
        <v>108</v>
      </c>
      <c r="G1136" t="s">
        <v>32</v>
      </c>
      <c r="H1136">
        <v>21</v>
      </c>
      <c r="I1136">
        <v>3308</v>
      </c>
    </row>
    <row r="1137" spans="1:9" x14ac:dyDescent="0.25">
      <c r="A1137" s="5" t="str">
        <f>TrendSheetPrdData[[#This Row],[Population]]&amp;TrendSheetPrdData[[#This Row],[Cost Basis]]&amp;TrendSheetPrdData[[#This Row],[Period]]&amp;TrendSheetPrdData[[#This Row],[Trend]]</f>
        <v>OTHERSAllowed2017-02-01Professional Claim Count</v>
      </c>
      <c r="B1137" t="s">
        <v>111</v>
      </c>
      <c r="C1137" t="s">
        <v>111</v>
      </c>
      <c r="D1137" t="s">
        <v>91</v>
      </c>
      <c r="E1137" s="1" t="s">
        <v>106</v>
      </c>
      <c r="F1137" t="s">
        <v>108</v>
      </c>
      <c r="G1137" t="s">
        <v>32</v>
      </c>
      <c r="H1137">
        <v>21</v>
      </c>
      <c r="I1137">
        <v>3055</v>
      </c>
    </row>
    <row r="1138" spans="1:9" x14ac:dyDescent="0.25">
      <c r="A1138" s="5" t="str">
        <f>TrendSheetPrdData[[#This Row],[Population]]&amp;TrendSheetPrdData[[#This Row],[Cost Basis]]&amp;TrendSheetPrdData[[#This Row],[Period]]&amp;TrendSheetPrdData[[#This Row],[Trend]]</f>
        <v>OTHERSAllowed2017-03-01Professional Claim Count</v>
      </c>
      <c r="B1138" t="s">
        <v>111</v>
      </c>
      <c r="C1138" t="s">
        <v>111</v>
      </c>
      <c r="D1138" t="s">
        <v>91</v>
      </c>
      <c r="E1138" s="1" t="s">
        <v>107</v>
      </c>
      <c r="F1138" t="s">
        <v>108</v>
      </c>
      <c r="G1138" t="s">
        <v>32</v>
      </c>
      <c r="H1138">
        <v>21</v>
      </c>
      <c r="I1138">
        <v>3106</v>
      </c>
    </row>
    <row r="1139" spans="1:9" x14ac:dyDescent="0.25">
      <c r="A1139" s="5" t="str">
        <f>TrendSheetPrdData[[#This Row],[Population]]&amp;TrendSheetPrdData[[#This Row],[Cost Basis]]&amp;TrendSheetPrdData[[#This Row],[Period]]&amp;TrendSheetPrdData[[#This Row],[Trend]]</f>
        <v>OTHERSAllowed2017-04-01Professional Claim Count</v>
      </c>
      <c r="B1139" t="s">
        <v>111</v>
      </c>
      <c r="C1139" t="s">
        <v>111</v>
      </c>
      <c r="D1139" t="s">
        <v>91</v>
      </c>
      <c r="E1139" s="1" t="s">
        <v>109</v>
      </c>
      <c r="F1139" t="s">
        <v>108</v>
      </c>
      <c r="G1139" t="s">
        <v>32</v>
      </c>
      <c r="H1139">
        <v>21</v>
      </c>
      <c r="I1139">
        <v>2388</v>
      </c>
    </row>
    <row r="1140" spans="1:9" x14ac:dyDescent="0.25">
      <c r="A1140" s="5" t="str">
        <f>TrendSheetPrdData[[#This Row],[Population]]&amp;TrendSheetPrdData[[#This Row],[Cost Basis]]&amp;TrendSheetPrdData[[#This Row],[Period]]&amp;TrendSheetPrdData[[#This Row],[Trend]]</f>
        <v>OTHERSAllowed2017-05-01Professional Claim Count</v>
      </c>
      <c r="B1140" t="s">
        <v>111</v>
      </c>
      <c r="C1140" t="s">
        <v>111</v>
      </c>
      <c r="D1140" t="s">
        <v>91</v>
      </c>
      <c r="E1140" s="1" t="s">
        <v>110</v>
      </c>
      <c r="F1140" t="s">
        <v>108</v>
      </c>
      <c r="G1140" t="s">
        <v>32</v>
      </c>
      <c r="H1140">
        <v>21</v>
      </c>
      <c r="I1140">
        <v>1537</v>
      </c>
    </row>
    <row r="1141" spans="1:9" x14ac:dyDescent="0.25">
      <c r="A1141" s="5" t="str">
        <f>TrendSheetPrdData[[#This Row],[Population]]&amp;TrendSheetPrdData[[#This Row],[Cost Basis]]&amp;TrendSheetPrdData[[#This Row],[Period]]&amp;TrendSheetPrdData[[#This Row],[Trend]]</f>
        <v>OTHERSAllowed2016-01-01Ancillary Claim Count</v>
      </c>
      <c r="B1141" t="s">
        <v>111</v>
      </c>
      <c r="C1141" t="s">
        <v>111</v>
      </c>
      <c r="D1141" t="s">
        <v>91</v>
      </c>
      <c r="E1141" s="1" t="s">
        <v>92</v>
      </c>
      <c r="F1141" t="s">
        <v>93</v>
      </c>
      <c r="G1141" t="s">
        <v>33</v>
      </c>
      <c r="H1141">
        <v>22</v>
      </c>
      <c r="I1141">
        <v>209</v>
      </c>
    </row>
    <row r="1142" spans="1:9" x14ac:dyDescent="0.25">
      <c r="A1142" s="5" t="str">
        <f>TrendSheetPrdData[[#This Row],[Population]]&amp;TrendSheetPrdData[[#This Row],[Cost Basis]]&amp;TrendSheetPrdData[[#This Row],[Period]]&amp;TrendSheetPrdData[[#This Row],[Trend]]</f>
        <v>OTHERSAllowed2016-02-01Ancillary Claim Count</v>
      </c>
      <c r="B1142" t="s">
        <v>111</v>
      </c>
      <c r="C1142" t="s">
        <v>111</v>
      </c>
      <c r="D1142" t="s">
        <v>91</v>
      </c>
      <c r="E1142" s="1" t="s">
        <v>94</v>
      </c>
      <c r="F1142" t="s">
        <v>93</v>
      </c>
      <c r="G1142" t="s">
        <v>33</v>
      </c>
      <c r="H1142">
        <v>22</v>
      </c>
      <c r="I1142">
        <v>239</v>
      </c>
    </row>
    <row r="1143" spans="1:9" x14ac:dyDescent="0.25">
      <c r="A1143" s="5" t="str">
        <f>TrendSheetPrdData[[#This Row],[Population]]&amp;TrendSheetPrdData[[#This Row],[Cost Basis]]&amp;TrendSheetPrdData[[#This Row],[Period]]&amp;TrendSheetPrdData[[#This Row],[Trend]]</f>
        <v>OTHERSAllowed2016-03-01Ancillary Claim Count</v>
      </c>
      <c r="B1143" t="s">
        <v>111</v>
      </c>
      <c r="C1143" t="s">
        <v>111</v>
      </c>
      <c r="D1143" t="s">
        <v>91</v>
      </c>
      <c r="E1143" s="1" t="s">
        <v>95</v>
      </c>
      <c r="F1143" t="s">
        <v>93</v>
      </c>
      <c r="G1143" t="s">
        <v>33</v>
      </c>
      <c r="H1143">
        <v>22</v>
      </c>
      <c r="I1143">
        <v>285</v>
      </c>
    </row>
    <row r="1144" spans="1:9" x14ac:dyDescent="0.25">
      <c r="A1144" s="5" t="str">
        <f>TrendSheetPrdData[[#This Row],[Population]]&amp;TrendSheetPrdData[[#This Row],[Cost Basis]]&amp;TrendSheetPrdData[[#This Row],[Period]]&amp;TrendSheetPrdData[[#This Row],[Trend]]</f>
        <v>OTHERSAllowed2016-04-01Ancillary Claim Count</v>
      </c>
      <c r="B1144" t="s">
        <v>111</v>
      </c>
      <c r="C1144" t="s">
        <v>111</v>
      </c>
      <c r="D1144" t="s">
        <v>91</v>
      </c>
      <c r="E1144" s="1" t="s">
        <v>96</v>
      </c>
      <c r="F1144" t="s">
        <v>93</v>
      </c>
      <c r="G1144" t="s">
        <v>33</v>
      </c>
      <c r="H1144">
        <v>22</v>
      </c>
      <c r="I1144">
        <v>310</v>
      </c>
    </row>
    <row r="1145" spans="1:9" x14ac:dyDescent="0.25">
      <c r="A1145" s="5" t="str">
        <f>TrendSheetPrdData[[#This Row],[Population]]&amp;TrendSheetPrdData[[#This Row],[Cost Basis]]&amp;TrendSheetPrdData[[#This Row],[Period]]&amp;TrendSheetPrdData[[#This Row],[Trend]]</f>
        <v>OTHERSAllowed2016-05-01Ancillary Claim Count</v>
      </c>
      <c r="B1145" t="s">
        <v>111</v>
      </c>
      <c r="C1145" t="s">
        <v>111</v>
      </c>
      <c r="D1145" t="s">
        <v>91</v>
      </c>
      <c r="E1145" s="1" t="s">
        <v>97</v>
      </c>
      <c r="F1145" t="s">
        <v>93</v>
      </c>
      <c r="G1145" t="s">
        <v>33</v>
      </c>
      <c r="H1145">
        <v>22</v>
      </c>
      <c r="I1145">
        <v>295</v>
      </c>
    </row>
    <row r="1146" spans="1:9" x14ac:dyDescent="0.25">
      <c r="A1146" s="5" t="str">
        <f>TrendSheetPrdData[[#This Row],[Population]]&amp;TrendSheetPrdData[[#This Row],[Cost Basis]]&amp;TrendSheetPrdData[[#This Row],[Period]]&amp;TrendSheetPrdData[[#This Row],[Trend]]</f>
        <v>OTHERSAllowed2016-06-01Ancillary Claim Count</v>
      </c>
      <c r="B1146" t="s">
        <v>111</v>
      </c>
      <c r="C1146" t="s">
        <v>111</v>
      </c>
      <c r="D1146" t="s">
        <v>91</v>
      </c>
      <c r="E1146" s="1" t="s">
        <v>98</v>
      </c>
      <c r="F1146" t="s">
        <v>93</v>
      </c>
      <c r="G1146" t="s">
        <v>33</v>
      </c>
      <c r="H1146">
        <v>22</v>
      </c>
      <c r="I1146">
        <v>236</v>
      </c>
    </row>
    <row r="1147" spans="1:9" x14ac:dyDescent="0.25">
      <c r="A1147" s="5" t="str">
        <f>TrendSheetPrdData[[#This Row],[Population]]&amp;TrendSheetPrdData[[#This Row],[Cost Basis]]&amp;TrendSheetPrdData[[#This Row],[Period]]&amp;TrendSheetPrdData[[#This Row],[Trend]]</f>
        <v>OTHERSAllowed2016-07-01Ancillary Claim Count</v>
      </c>
      <c r="B1147" t="s">
        <v>111</v>
      </c>
      <c r="C1147" t="s">
        <v>111</v>
      </c>
      <c r="D1147" t="s">
        <v>91</v>
      </c>
      <c r="E1147" s="1" t="s">
        <v>99</v>
      </c>
      <c r="F1147" t="s">
        <v>93</v>
      </c>
      <c r="G1147" t="s">
        <v>33</v>
      </c>
      <c r="H1147">
        <v>22</v>
      </c>
      <c r="I1147">
        <v>270</v>
      </c>
    </row>
    <row r="1148" spans="1:9" x14ac:dyDescent="0.25">
      <c r="A1148" s="5" t="str">
        <f>TrendSheetPrdData[[#This Row],[Population]]&amp;TrendSheetPrdData[[#This Row],[Cost Basis]]&amp;TrendSheetPrdData[[#This Row],[Period]]&amp;TrendSheetPrdData[[#This Row],[Trend]]</f>
        <v>OTHERSAllowed2016-08-01Ancillary Claim Count</v>
      </c>
      <c r="B1148" t="s">
        <v>111</v>
      </c>
      <c r="C1148" t="s">
        <v>111</v>
      </c>
      <c r="D1148" t="s">
        <v>91</v>
      </c>
      <c r="E1148" s="1" t="s">
        <v>100</v>
      </c>
      <c r="F1148" t="s">
        <v>93</v>
      </c>
      <c r="G1148" t="s">
        <v>33</v>
      </c>
      <c r="H1148">
        <v>22</v>
      </c>
      <c r="I1148">
        <v>222</v>
      </c>
    </row>
    <row r="1149" spans="1:9" x14ac:dyDescent="0.25">
      <c r="A1149" s="5" t="str">
        <f>TrendSheetPrdData[[#This Row],[Population]]&amp;TrendSheetPrdData[[#This Row],[Cost Basis]]&amp;TrendSheetPrdData[[#This Row],[Period]]&amp;TrendSheetPrdData[[#This Row],[Trend]]</f>
        <v>OTHERSAllowed2016-09-01Ancillary Claim Count</v>
      </c>
      <c r="B1149" t="s">
        <v>111</v>
      </c>
      <c r="C1149" t="s">
        <v>111</v>
      </c>
      <c r="D1149" t="s">
        <v>91</v>
      </c>
      <c r="E1149" s="1" t="s">
        <v>101</v>
      </c>
      <c r="F1149" t="s">
        <v>93</v>
      </c>
      <c r="G1149" t="s">
        <v>33</v>
      </c>
      <c r="H1149">
        <v>22</v>
      </c>
      <c r="I1149">
        <v>210</v>
      </c>
    </row>
    <row r="1150" spans="1:9" x14ac:dyDescent="0.25">
      <c r="A1150" s="5" t="str">
        <f>TrendSheetPrdData[[#This Row],[Population]]&amp;TrendSheetPrdData[[#This Row],[Cost Basis]]&amp;TrendSheetPrdData[[#This Row],[Period]]&amp;TrendSheetPrdData[[#This Row],[Trend]]</f>
        <v>OTHERSAllowed2016-10-01Ancillary Claim Count</v>
      </c>
      <c r="B1150" t="s">
        <v>111</v>
      </c>
      <c r="C1150" t="s">
        <v>111</v>
      </c>
      <c r="D1150" t="s">
        <v>91</v>
      </c>
      <c r="E1150" s="1" t="s">
        <v>102</v>
      </c>
      <c r="F1150" t="s">
        <v>93</v>
      </c>
      <c r="G1150" t="s">
        <v>33</v>
      </c>
      <c r="H1150">
        <v>22</v>
      </c>
      <c r="I1150">
        <v>236</v>
      </c>
    </row>
    <row r="1151" spans="1:9" x14ac:dyDescent="0.25">
      <c r="A1151" s="5" t="str">
        <f>TrendSheetPrdData[[#This Row],[Population]]&amp;TrendSheetPrdData[[#This Row],[Cost Basis]]&amp;TrendSheetPrdData[[#This Row],[Period]]&amp;TrendSheetPrdData[[#This Row],[Trend]]</f>
        <v>OTHERSAllowed2016-11-01Ancillary Claim Count</v>
      </c>
      <c r="B1151" t="s">
        <v>111</v>
      </c>
      <c r="C1151" t="s">
        <v>111</v>
      </c>
      <c r="D1151" t="s">
        <v>91</v>
      </c>
      <c r="E1151" s="1" t="s">
        <v>103</v>
      </c>
      <c r="F1151" t="s">
        <v>93</v>
      </c>
      <c r="G1151" t="s">
        <v>33</v>
      </c>
      <c r="H1151">
        <v>22</v>
      </c>
      <c r="I1151">
        <v>206</v>
      </c>
    </row>
    <row r="1152" spans="1:9" x14ac:dyDescent="0.25">
      <c r="A1152" s="5" t="str">
        <f>TrendSheetPrdData[[#This Row],[Population]]&amp;TrendSheetPrdData[[#This Row],[Cost Basis]]&amp;TrendSheetPrdData[[#This Row],[Period]]&amp;TrendSheetPrdData[[#This Row],[Trend]]</f>
        <v>OTHERSAllowed2016-12-01Ancillary Claim Count</v>
      </c>
      <c r="B1152" t="s">
        <v>111</v>
      </c>
      <c r="C1152" t="s">
        <v>111</v>
      </c>
      <c r="D1152" t="s">
        <v>91</v>
      </c>
      <c r="E1152" s="1" t="s">
        <v>104</v>
      </c>
      <c r="F1152" t="s">
        <v>93</v>
      </c>
      <c r="G1152" t="s">
        <v>33</v>
      </c>
      <c r="H1152">
        <v>22</v>
      </c>
      <c r="I1152">
        <v>340</v>
      </c>
    </row>
    <row r="1153" spans="1:9" x14ac:dyDescent="0.25">
      <c r="A1153" s="5" t="str">
        <f>TrendSheetPrdData[[#This Row],[Population]]&amp;TrendSheetPrdData[[#This Row],[Cost Basis]]&amp;TrendSheetPrdData[[#This Row],[Period]]&amp;TrendSheetPrdData[[#This Row],[Trend]]</f>
        <v>OTHERSAllowed2017-01-01Ancillary Claim Count</v>
      </c>
      <c r="B1153" t="s">
        <v>111</v>
      </c>
      <c r="C1153" t="s">
        <v>111</v>
      </c>
      <c r="D1153" t="s">
        <v>91</v>
      </c>
      <c r="E1153" s="1" t="s">
        <v>105</v>
      </c>
      <c r="F1153" t="s">
        <v>108</v>
      </c>
      <c r="G1153" t="s">
        <v>33</v>
      </c>
      <c r="H1153">
        <v>22</v>
      </c>
      <c r="I1153">
        <v>224</v>
      </c>
    </row>
    <row r="1154" spans="1:9" x14ac:dyDescent="0.25">
      <c r="A1154" s="5" t="str">
        <f>TrendSheetPrdData[[#This Row],[Population]]&amp;TrendSheetPrdData[[#This Row],[Cost Basis]]&amp;TrendSheetPrdData[[#This Row],[Period]]&amp;TrendSheetPrdData[[#This Row],[Trend]]</f>
        <v>OTHERSAllowed2017-02-01Ancillary Claim Count</v>
      </c>
      <c r="B1154" t="s">
        <v>111</v>
      </c>
      <c r="C1154" t="s">
        <v>111</v>
      </c>
      <c r="D1154" t="s">
        <v>91</v>
      </c>
      <c r="E1154" s="1" t="s">
        <v>106</v>
      </c>
      <c r="F1154" t="s">
        <v>108</v>
      </c>
      <c r="G1154" t="s">
        <v>33</v>
      </c>
      <c r="H1154">
        <v>22</v>
      </c>
      <c r="I1154">
        <v>188</v>
      </c>
    </row>
    <row r="1155" spans="1:9" x14ac:dyDescent="0.25">
      <c r="A1155" s="5" t="str">
        <f>TrendSheetPrdData[[#This Row],[Population]]&amp;TrendSheetPrdData[[#This Row],[Cost Basis]]&amp;TrendSheetPrdData[[#This Row],[Period]]&amp;TrendSheetPrdData[[#This Row],[Trend]]</f>
        <v>OTHERSAllowed2017-03-01Ancillary Claim Count</v>
      </c>
      <c r="B1155" t="s">
        <v>111</v>
      </c>
      <c r="C1155" t="s">
        <v>111</v>
      </c>
      <c r="D1155" t="s">
        <v>91</v>
      </c>
      <c r="E1155" s="1" t="s">
        <v>107</v>
      </c>
      <c r="F1155" t="s">
        <v>108</v>
      </c>
      <c r="G1155" t="s">
        <v>33</v>
      </c>
      <c r="H1155">
        <v>22</v>
      </c>
      <c r="I1155">
        <v>224</v>
      </c>
    </row>
    <row r="1156" spans="1:9" x14ac:dyDescent="0.25">
      <c r="A1156" s="5" t="str">
        <f>TrendSheetPrdData[[#This Row],[Population]]&amp;TrendSheetPrdData[[#This Row],[Cost Basis]]&amp;TrendSheetPrdData[[#This Row],[Period]]&amp;TrendSheetPrdData[[#This Row],[Trend]]</f>
        <v>OTHERSAllowed2017-04-01Ancillary Claim Count</v>
      </c>
      <c r="B1156" t="s">
        <v>111</v>
      </c>
      <c r="C1156" t="s">
        <v>111</v>
      </c>
      <c r="D1156" t="s">
        <v>91</v>
      </c>
      <c r="E1156" s="1" t="s">
        <v>109</v>
      </c>
      <c r="F1156" t="s">
        <v>108</v>
      </c>
      <c r="G1156" t="s">
        <v>33</v>
      </c>
      <c r="H1156">
        <v>22</v>
      </c>
      <c r="I1156">
        <v>214</v>
      </c>
    </row>
    <row r="1157" spans="1:9" x14ac:dyDescent="0.25">
      <c r="A1157" s="5" t="str">
        <f>TrendSheetPrdData[[#This Row],[Population]]&amp;TrendSheetPrdData[[#This Row],[Cost Basis]]&amp;TrendSheetPrdData[[#This Row],[Period]]&amp;TrendSheetPrdData[[#This Row],[Trend]]</f>
        <v>OTHERSAllowed2017-05-01Ancillary Claim Count</v>
      </c>
      <c r="B1157" t="s">
        <v>111</v>
      </c>
      <c r="C1157" t="s">
        <v>111</v>
      </c>
      <c r="D1157" t="s">
        <v>91</v>
      </c>
      <c r="E1157" s="1" t="s">
        <v>110</v>
      </c>
      <c r="F1157" t="s">
        <v>108</v>
      </c>
      <c r="G1157" t="s">
        <v>33</v>
      </c>
      <c r="H1157">
        <v>22</v>
      </c>
      <c r="I1157">
        <v>86</v>
      </c>
    </row>
    <row r="1158" spans="1:9" x14ac:dyDescent="0.25">
      <c r="A1158" s="5" t="str">
        <f>TrendSheetPrdData[[#This Row],[Population]]&amp;TrendSheetPrdData[[#This Row],[Cost Basis]]&amp;TrendSheetPrdData[[#This Row],[Period]]&amp;TrendSheetPrdData[[#This Row],[Trend]]</f>
        <v>OTHERSAllowed2016-01-01Drug Claim Count</v>
      </c>
      <c r="B1158" t="s">
        <v>111</v>
      </c>
      <c r="C1158" t="s">
        <v>111</v>
      </c>
      <c r="D1158" t="s">
        <v>91</v>
      </c>
      <c r="E1158" s="1" t="s">
        <v>92</v>
      </c>
      <c r="F1158" t="s">
        <v>93</v>
      </c>
      <c r="G1158" t="s">
        <v>34</v>
      </c>
      <c r="H1158">
        <v>23</v>
      </c>
      <c r="I1158">
        <v>2588</v>
      </c>
    </row>
    <row r="1159" spans="1:9" x14ac:dyDescent="0.25">
      <c r="A1159" s="5" t="str">
        <f>TrendSheetPrdData[[#This Row],[Population]]&amp;TrendSheetPrdData[[#This Row],[Cost Basis]]&amp;TrendSheetPrdData[[#This Row],[Period]]&amp;TrendSheetPrdData[[#This Row],[Trend]]</f>
        <v>OTHERSAllowed2016-02-01Drug Claim Count</v>
      </c>
      <c r="B1159" t="s">
        <v>111</v>
      </c>
      <c r="C1159" t="s">
        <v>111</v>
      </c>
      <c r="D1159" t="s">
        <v>91</v>
      </c>
      <c r="E1159" s="1" t="s">
        <v>94</v>
      </c>
      <c r="F1159" t="s">
        <v>93</v>
      </c>
      <c r="G1159" t="s">
        <v>34</v>
      </c>
      <c r="H1159">
        <v>23</v>
      </c>
      <c r="I1159">
        <v>2623</v>
      </c>
    </row>
    <row r="1160" spans="1:9" x14ac:dyDescent="0.25">
      <c r="A1160" s="5" t="str">
        <f>TrendSheetPrdData[[#This Row],[Population]]&amp;TrendSheetPrdData[[#This Row],[Cost Basis]]&amp;TrendSheetPrdData[[#This Row],[Period]]&amp;TrendSheetPrdData[[#This Row],[Trend]]</f>
        <v>OTHERSAllowed2016-03-01Drug Claim Count</v>
      </c>
      <c r="B1160" t="s">
        <v>111</v>
      </c>
      <c r="C1160" t="s">
        <v>111</v>
      </c>
      <c r="D1160" t="s">
        <v>91</v>
      </c>
      <c r="E1160" s="1" t="s">
        <v>95</v>
      </c>
      <c r="F1160" t="s">
        <v>93</v>
      </c>
      <c r="G1160" t="s">
        <v>34</v>
      </c>
      <c r="H1160">
        <v>23</v>
      </c>
      <c r="I1160">
        <v>2783</v>
      </c>
    </row>
    <row r="1161" spans="1:9" x14ac:dyDescent="0.25">
      <c r="A1161" s="5" t="str">
        <f>TrendSheetPrdData[[#This Row],[Population]]&amp;TrendSheetPrdData[[#This Row],[Cost Basis]]&amp;TrendSheetPrdData[[#This Row],[Period]]&amp;TrendSheetPrdData[[#This Row],[Trend]]</f>
        <v>OTHERSAllowed2016-04-01Drug Claim Count</v>
      </c>
      <c r="B1161" t="s">
        <v>111</v>
      </c>
      <c r="C1161" t="s">
        <v>111</v>
      </c>
      <c r="D1161" t="s">
        <v>91</v>
      </c>
      <c r="E1161" s="1" t="s">
        <v>96</v>
      </c>
      <c r="F1161" t="s">
        <v>93</v>
      </c>
      <c r="G1161" t="s">
        <v>34</v>
      </c>
      <c r="H1161">
        <v>23</v>
      </c>
      <c r="I1161">
        <v>2531</v>
      </c>
    </row>
    <row r="1162" spans="1:9" x14ac:dyDescent="0.25">
      <c r="A1162" s="5" t="str">
        <f>TrendSheetPrdData[[#This Row],[Population]]&amp;TrendSheetPrdData[[#This Row],[Cost Basis]]&amp;TrendSheetPrdData[[#This Row],[Period]]&amp;TrendSheetPrdData[[#This Row],[Trend]]</f>
        <v>OTHERSAllowed2016-05-01Drug Claim Count</v>
      </c>
      <c r="B1162" t="s">
        <v>111</v>
      </c>
      <c r="C1162" t="s">
        <v>111</v>
      </c>
      <c r="D1162" t="s">
        <v>91</v>
      </c>
      <c r="E1162" s="1" t="s">
        <v>97</v>
      </c>
      <c r="F1162" t="s">
        <v>93</v>
      </c>
      <c r="G1162" t="s">
        <v>34</v>
      </c>
      <c r="H1162">
        <v>23</v>
      </c>
      <c r="I1162">
        <v>2628</v>
      </c>
    </row>
    <row r="1163" spans="1:9" x14ac:dyDescent="0.25">
      <c r="A1163" s="5" t="str">
        <f>TrendSheetPrdData[[#This Row],[Population]]&amp;TrendSheetPrdData[[#This Row],[Cost Basis]]&amp;TrendSheetPrdData[[#This Row],[Period]]&amp;TrendSheetPrdData[[#This Row],[Trend]]</f>
        <v>OTHERSAllowed2016-06-01Drug Claim Count</v>
      </c>
      <c r="B1163" t="s">
        <v>111</v>
      </c>
      <c r="C1163" t="s">
        <v>111</v>
      </c>
      <c r="D1163" t="s">
        <v>91</v>
      </c>
      <c r="E1163" s="1" t="s">
        <v>98</v>
      </c>
      <c r="F1163" t="s">
        <v>93</v>
      </c>
      <c r="G1163" t="s">
        <v>34</v>
      </c>
      <c r="H1163">
        <v>23</v>
      </c>
      <c r="I1163">
        <v>2573</v>
      </c>
    </row>
    <row r="1164" spans="1:9" x14ac:dyDescent="0.25">
      <c r="A1164" s="5" t="str">
        <f>TrendSheetPrdData[[#This Row],[Population]]&amp;TrendSheetPrdData[[#This Row],[Cost Basis]]&amp;TrendSheetPrdData[[#This Row],[Period]]&amp;TrendSheetPrdData[[#This Row],[Trend]]</f>
        <v>OTHERSAllowed2016-07-01Drug Claim Count</v>
      </c>
      <c r="B1164" t="s">
        <v>111</v>
      </c>
      <c r="C1164" t="s">
        <v>111</v>
      </c>
      <c r="D1164" t="s">
        <v>91</v>
      </c>
      <c r="E1164" s="1" t="s">
        <v>99</v>
      </c>
      <c r="F1164" t="s">
        <v>93</v>
      </c>
      <c r="G1164" t="s">
        <v>34</v>
      </c>
      <c r="H1164">
        <v>23</v>
      </c>
      <c r="I1164">
        <v>2302</v>
      </c>
    </row>
    <row r="1165" spans="1:9" x14ac:dyDescent="0.25">
      <c r="A1165" s="5" t="str">
        <f>TrendSheetPrdData[[#This Row],[Population]]&amp;TrendSheetPrdData[[#This Row],[Cost Basis]]&amp;TrendSheetPrdData[[#This Row],[Period]]&amp;TrendSheetPrdData[[#This Row],[Trend]]</f>
        <v>OTHERSAllowed2016-08-01Drug Claim Count</v>
      </c>
      <c r="B1165" t="s">
        <v>111</v>
      </c>
      <c r="C1165" t="s">
        <v>111</v>
      </c>
      <c r="D1165" t="s">
        <v>91</v>
      </c>
      <c r="E1165" s="1" t="s">
        <v>100</v>
      </c>
      <c r="F1165" t="s">
        <v>93</v>
      </c>
      <c r="G1165" t="s">
        <v>34</v>
      </c>
      <c r="H1165">
        <v>23</v>
      </c>
      <c r="I1165">
        <v>2724</v>
      </c>
    </row>
    <row r="1166" spans="1:9" x14ac:dyDescent="0.25">
      <c r="A1166" s="5" t="str">
        <f>TrendSheetPrdData[[#This Row],[Population]]&amp;TrendSheetPrdData[[#This Row],[Cost Basis]]&amp;TrendSheetPrdData[[#This Row],[Period]]&amp;TrendSheetPrdData[[#This Row],[Trend]]</f>
        <v>OTHERSAllowed2016-09-01Drug Claim Count</v>
      </c>
      <c r="B1166" t="s">
        <v>111</v>
      </c>
      <c r="C1166" t="s">
        <v>111</v>
      </c>
      <c r="D1166" t="s">
        <v>91</v>
      </c>
      <c r="E1166" s="1" t="s">
        <v>101</v>
      </c>
      <c r="F1166" t="s">
        <v>93</v>
      </c>
      <c r="G1166" t="s">
        <v>34</v>
      </c>
      <c r="H1166">
        <v>23</v>
      </c>
      <c r="I1166">
        <v>2692</v>
      </c>
    </row>
    <row r="1167" spans="1:9" x14ac:dyDescent="0.25">
      <c r="A1167" s="5" t="str">
        <f>TrendSheetPrdData[[#This Row],[Population]]&amp;TrendSheetPrdData[[#This Row],[Cost Basis]]&amp;TrendSheetPrdData[[#This Row],[Period]]&amp;TrendSheetPrdData[[#This Row],[Trend]]</f>
        <v>OTHERSAllowed2016-10-01Drug Claim Count</v>
      </c>
      <c r="B1167" t="s">
        <v>111</v>
      </c>
      <c r="C1167" t="s">
        <v>111</v>
      </c>
      <c r="D1167" t="s">
        <v>91</v>
      </c>
      <c r="E1167" s="1" t="s">
        <v>102</v>
      </c>
      <c r="F1167" t="s">
        <v>93</v>
      </c>
      <c r="G1167" t="s">
        <v>34</v>
      </c>
      <c r="H1167">
        <v>23</v>
      </c>
      <c r="I1167">
        <v>2662</v>
      </c>
    </row>
    <row r="1168" spans="1:9" x14ac:dyDescent="0.25">
      <c r="A1168" s="5" t="str">
        <f>TrendSheetPrdData[[#This Row],[Population]]&amp;TrendSheetPrdData[[#This Row],[Cost Basis]]&amp;TrendSheetPrdData[[#This Row],[Period]]&amp;TrendSheetPrdData[[#This Row],[Trend]]</f>
        <v>OTHERSAllowed2016-11-01Drug Claim Count</v>
      </c>
      <c r="B1168" t="s">
        <v>111</v>
      </c>
      <c r="C1168" t="s">
        <v>111</v>
      </c>
      <c r="D1168" t="s">
        <v>91</v>
      </c>
      <c r="E1168" s="1" t="s">
        <v>103</v>
      </c>
      <c r="F1168" t="s">
        <v>93</v>
      </c>
      <c r="G1168" t="s">
        <v>34</v>
      </c>
      <c r="H1168">
        <v>23</v>
      </c>
      <c r="I1168">
        <v>2810</v>
      </c>
    </row>
    <row r="1169" spans="1:9" x14ac:dyDescent="0.25">
      <c r="A1169" s="5" t="str">
        <f>TrendSheetPrdData[[#This Row],[Population]]&amp;TrendSheetPrdData[[#This Row],[Cost Basis]]&amp;TrendSheetPrdData[[#This Row],[Period]]&amp;TrendSheetPrdData[[#This Row],[Trend]]</f>
        <v>OTHERSAllowed2016-12-01Drug Claim Count</v>
      </c>
      <c r="B1169" t="s">
        <v>111</v>
      </c>
      <c r="C1169" t="s">
        <v>111</v>
      </c>
      <c r="D1169" t="s">
        <v>91</v>
      </c>
      <c r="E1169" s="1" t="s">
        <v>104</v>
      </c>
      <c r="F1169" t="s">
        <v>93</v>
      </c>
      <c r="G1169" t="s">
        <v>34</v>
      </c>
      <c r="H1169">
        <v>23</v>
      </c>
      <c r="I1169">
        <v>2807</v>
      </c>
    </row>
    <row r="1170" spans="1:9" x14ac:dyDescent="0.25">
      <c r="A1170" s="5" t="str">
        <f>TrendSheetPrdData[[#This Row],[Population]]&amp;TrendSheetPrdData[[#This Row],[Cost Basis]]&amp;TrendSheetPrdData[[#This Row],[Period]]&amp;TrendSheetPrdData[[#This Row],[Trend]]</f>
        <v>OTHERSAllowed2017-01-01Drug Claim Count</v>
      </c>
      <c r="B1170" t="s">
        <v>111</v>
      </c>
      <c r="C1170" t="s">
        <v>111</v>
      </c>
      <c r="D1170" t="s">
        <v>91</v>
      </c>
      <c r="E1170" s="1" t="s">
        <v>105</v>
      </c>
      <c r="F1170" t="s">
        <v>108</v>
      </c>
      <c r="G1170" t="s">
        <v>34</v>
      </c>
      <c r="H1170">
        <v>23</v>
      </c>
      <c r="I1170">
        <v>3049</v>
      </c>
    </row>
    <row r="1171" spans="1:9" x14ac:dyDescent="0.25">
      <c r="A1171" s="5" t="str">
        <f>TrendSheetPrdData[[#This Row],[Population]]&amp;TrendSheetPrdData[[#This Row],[Cost Basis]]&amp;TrendSheetPrdData[[#This Row],[Period]]&amp;TrendSheetPrdData[[#This Row],[Trend]]</f>
        <v>OTHERSAllowed2017-02-01Drug Claim Count</v>
      </c>
      <c r="B1171" t="s">
        <v>111</v>
      </c>
      <c r="C1171" t="s">
        <v>111</v>
      </c>
      <c r="D1171" t="s">
        <v>91</v>
      </c>
      <c r="E1171" s="1" t="s">
        <v>106</v>
      </c>
      <c r="F1171" t="s">
        <v>108</v>
      </c>
      <c r="G1171" t="s">
        <v>34</v>
      </c>
      <c r="H1171">
        <v>23</v>
      </c>
      <c r="I1171">
        <v>2793</v>
      </c>
    </row>
    <row r="1172" spans="1:9" x14ac:dyDescent="0.25">
      <c r="A1172" s="5" t="str">
        <f>TrendSheetPrdData[[#This Row],[Population]]&amp;TrendSheetPrdData[[#This Row],[Cost Basis]]&amp;TrendSheetPrdData[[#This Row],[Period]]&amp;TrendSheetPrdData[[#This Row],[Trend]]</f>
        <v>OTHERSAllowed2017-03-01Drug Claim Count</v>
      </c>
      <c r="B1172" t="s">
        <v>111</v>
      </c>
      <c r="C1172" t="s">
        <v>111</v>
      </c>
      <c r="D1172" t="s">
        <v>91</v>
      </c>
      <c r="E1172" s="1" t="s">
        <v>107</v>
      </c>
      <c r="F1172" t="s">
        <v>108</v>
      </c>
      <c r="G1172" t="s">
        <v>34</v>
      </c>
      <c r="H1172">
        <v>23</v>
      </c>
      <c r="I1172">
        <v>2891</v>
      </c>
    </row>
    <row r="1173" spans="1:9" x14ac:dyDescent="0.25">
      <c r="A1173" s="5" t="str">
        <f>TrendSheetPrdData[[#This Row],[Population]]&amp;TrendSheetPrdData[[#This Row],[Cost Basis]]&amp;TrendSheetPrdData[[#This Row],[Period]]&amp;TrendSheetPrdData[[#This Row],[Trend]]</f>
        <v>OTHERSAllowed2017-04-01Drug Claim Count</v>
      </c>
      <c r="B1173" t="s">
        <v>111</v>
      </c>
      <c r="C1173" t="s">
        <v>111</v>
      </c>
      <c r="D1173" t="s">
        <v>91</v>
      </c>
      <c r="E1173" s="1" t="s">
        <v>109</v>
      </c>
      <c r="F1173" t="s">
        <v>108</v>
      </c>
      <c r="G1173" t="s">
        <v>34</v>
      </c>
      <c r="H1173">
        <v>23</v>
      </c>
      <c r="I1173">
        <v>2672</v>
      </c>
    </row>
    <row r="1174" spans="1:9" x14ac:dyDescent="0.25">
      <c r="A1174" s="5" t="str">
        <f>TrendSheetPrdData[[#This Row],[Population]]&amp;TrendSheetPrdData[[#This Row],[Cost Basis]]&amp;TrendSheetPrdData[[#This Row],[Period]]&amp;TrendSheetPrdData[[#This Row],[Trend]]</f>
        <v>OTHERSAllowed2017-05-01Drug Claim Count</v>
      </c>
      <c r="B1174" t="s">
        <v>111</v>
      </c>
      <c r="C1174" t="s">
        <v>111</v>
      </c>
      <c r="D1174" t="s">
        <v>91</v>
      </c>
      <c r="E1174" s="1" t="s">
        <v>110</v>
      </c>
      <c r="F1174" t="s">
        <v>108</v>
      </c>
      <c r="G1174" t="s">
        <v>34</v>
      </c>
      <c r="H1174">
        <v>23</v>
      </c>
      <c r="I1174">
        <v>2389</v>
      </c>
    </row>
    <row r="1175" spans="1:9" x14ac:dyDescent="0.25">
      <c r="A1175" s="5" t="str">
        <f>TrendSheetPrdData[[#This Row],[Population]]&amp;TrendSheetPrdData[[#This Row],[Cost Basis]]&amp;TrendSheetPrdData[[#This Row],[Period]]&amp;TrendSheetPrdData[[#This Row],[Trend]]</f>
        <v>OTHERSPaid2016-01-01Medical PMPM</v>
      </c>
      <c r="B1175" t="s">
        <v>111</v>
      </c>
      <c r="C1175" t="s">
        <v>111</v>
      </c>
      <c r="D1175" t="s">
        <v>78</v>
      </c>
      <c r="E1175" s="1" t="s">
        <v>92</v>
      </c>
      <c r="F1175" t="s">
        <v>93</v>
      </c>
      <c r="G1175" t="s">
        <v>12</v>
      </c>
      <c r="H1175">
        <v>1</v>
      </c>
      <c r="I1175">
        <v>234.51</v>
      </c>
    </row>
    <row r="1176" spans="1:9" x14ac:dyDescent="0.25">
      <c r="A1176" s="5" t="str">
        <f>TrendSheetPrdData[[#This Row],[Population]]&amp;TrendSheetPrdData[[#This Row],[Cost Basis]]&amp;TrendSheetPrdData[[#This Row],[Period]]&amp;TrendSheetPrdData[[#This Row],[Trend]]</f>
        <v>OTHERSPaid2016-02-01Medical PMPM</v>
      </c>
      <c r="B1176" t="s">
        <v>111</v>
      </c>
      <c r="C1176" t="s">
        <v>111</v>
      </c>
      <c r="D1176" t="s">
        <v>78</v>
      </c>
      <c r="E1176" s="1" t="s">
        <v>94</v>
      </c>
      <c r="F1176" t="s">
        <v>93</v>
      </c>
      <c r="G1176" t="s">
        <v>12</v>
      </c>
      <c r="H1176">
        <v>1</v>
      </c>
      <c r="I1176">
        <v>248.49</v>
      </c>
    </row>
    <row r="1177" spans="1:9" x14ac:dyDescent="0.25">
      <c r="A1177" s="5" t="str">
        <f>TrendSheetPrdData[[#This Row],[Population]]&amp;TrendSheetPrdData[[#This Row],[Cost Basis]]&amp;TrendSheetPrdData[[#This Row],[Period]]&amp;TrendSheetPrdData[[#This Row],[Trend]]</f>
        <v>OTHERSPaid2016-03-01Medical PMPM</v>
      </c>
      <c r="B1177" t="s">
        <v>111</v>
      </c>
      <c r="C1177" t="s">
        <v>111</v>
      </c>
      <c r="D1177" t="s">
        <v>78</v>
      </c>
      <c r="E1177" s="1" t="s">
        <v>95</v>
      </c>
      <c r="F1177" t="s">
        <v>93</v>
      </c>
      <c r="G1177" t="s">
        <v>12</v>
      </c>
      <c r="H1177">
        <v>1</v>
      </c>
      <c r="I1177">
        <v>220.94</v>
      </c>
    </row>
    <row r="1178" spans="1:9" x14ac:dyDescent="0.25">
      <c r="A1178" s="5" t="str">
        <f>TrendSheetPrdData[[#This Row],[Population]]&amp;TrendSheetPrdData[[#This Row],[Cost Basis]]&amp;TrendSheetPrdData[[#This Row],[Period]]&amp;TrendSheetPrdData[[#This Row],[Trend]]</f>
        <v>OTHERSPaid2016-04-01Medical PMPM</v>
      </c>
      <c r="B1178" t="s">
        <v>111</v>
      </c>
      <c r="C1178" t="s">
        <v>111</v>
      </c>
      <c r="D1178" t="s">
        <v>78</v>
      </c>
      <c r="E1178" s="1" t="s">
        <v>96</v>
      </c>
      <c r="F1178" t="s">
        <v>93</v>
      </c>
      <c r="G1178" t="s">
        <v>12</v>
      </c>
      <c r="H1178">
        <v>1</v>
      </c>
      <c r="I1178">
        <v>411.01</v>
      </c>
    </row>
    <row r="1179" spans="1:9" x14ac:dyDescent="0.25">
      <c r="A1179" s="5" t="str">
        <f>TrendSheetPrdData[[#This Row],[Population]]&amp;TrendSheetPrdData[[#This Row],[Cost Basis]]&amp;TrendSheetPrdData[[#This Row],[Period]]&amp;TrendSheetPrdData[[#This Row],[Trend]]</f>
        <v>OTHERSPaid2016-05-01Medical PMPM</v>
      </c>
      <c r="B1179" t="s">
        <v>111</v>
      </c>
      <c r="C1179" t="s">
        <v>111</v>
      </c>
      <c r="D1179" t="s">
        <v>78</v>
      </c>
      <c r="E1179" s="1" t="s">
        <v>97</v>
      </c>
      <c r="F1179" t="s">
        <v>93</v>
      </c>
      <c r="G1179" t="s">
        <v>12</v>
      </c>
      <c r="H1179">
        <v>1</v>
      </c>
      <c r="I1179">
        <v>222.59</v>
      </c>
    </row>
    <row r="1180" spans="1:9" x14ac:dyDescent="0.25">
      <c r="A1180" s="5" t="str">
        <f>TrendSheetPrdData[[#This Row],[Population]]&amp;TrendSheetPrdData[[#This Row],[Cost Basis]]&amp;TrendSheetPrdData[[#This Row],[Period]]&amp;TrendSheetPrdData[[#This Row],[Trend]]</f>
        <v>OTHERSPaid2016-06-01Medical PMPM</v>
      </c>
      <c r="B1180" t="s">
        <v>111</v>
      </c>
      <c r="C1180" t="s">
        <v>111</v>
      </c>
      <c r="D1180" t="s">
        <v>78</v>
      </c>
      <c r="E1180" s="1" t="s">
        <v>98</v>
      </c>
      <c r="F1180" t="s">
        <v>93</v>
      </c>
      <c r="G1180" t="s">
        <v>12</v>
      </c>
      <c r="H1180">
        <v>1</v>
      </c>
      <c r="I1180">
        <v>216.26</v>
      </c>
    </row>
    <row r="1181" spans="1:9" x14ac:dyDescent="0.25">
      <c r="A1181" s="5" t="str">
        <f>TrendSheetPrdData[[#This Row],[Population]]&amp;TrendSheetPrdData[[#This Row],[Cost Basis]]&amp;TrendSheetPrdData[[#This Row],[Period]]&amp;TrendSheetPrdData[[#This Row],[Trend]]</f>
        <v>OTHERSPaid2016-07-01Medical PMPM</v>
      </c>
      <c r="B1181" t="s">
        <v>111</v>
      </c>
      <c r="C1181" t="s">
        <v>111</v>
      </c>
      <c r="D1181" t="s">
        <v>78</v>
      </c>
      <c r="E1181" s="1" t="s">
        <v>99</v>
      </c>
      <c r="F1181" t="s">
        <v>93</v>
      </c>
      <c r="G1181" t="s">
        <v>12</v>
      </c>
      <c r="H1181">
        <v>1</v>
      </c>
      <c r="I1181">
        <v>253.13</v>
      </c>
    </row>
    <row r="1182" spans="1:9" x14ac:dyDescent="0.25">
      <c r="A1182" s="5" t="str">
        <f>TrendSheetPrdData[[#This Row],[Population]]&amp;TrendSheetPrdData[[#This Row],[Cost Basis]]&amp;TrendSheetPrdData[[#This Row],[Period]]&amp;TrendSheetPrdData[[#This Row],[Trend]]</f>
        <v>OTHERSPaid2016-08-01Medical PMPM</v>
      </c>
      <c r="B1182" t="s">
        <v>111</v>
      </c>
      <c r="C1182" t="s">
        <v>111</v>
      </c>
      <c r="D1182" t="s">
        <v>78</v>
      </c>
      <c r="E1182" s="1" t="s">
        <v>100</v>
      </c>
      <c r="F1182" t="s">
        <v>93</v>
      </c>
      <c r="G1182" t="s">
        <v>12</v>
      </c>
      <c r="H1182">
        <v>1</v>
      </c>
      <c r="I1182">
        <v>240.86</v>
      </c>
    </row>
    <row r="1183" spans="1:9" x14ac:dyDescent="0.25">
      <c r="A1183" s="5" t="str">
        <f>TrendSheetPrdData[[#This Row],[Population]]&amp;TrendSheetPrdData[[#This Row],[Cost Basis]]&amp;TrendSheetPrdData[[#This Row],[Period]]&amp;TrendSheetPrdData[[#This Row],[Trend]]</f>
        <v>OTHERSPaid2016-09-01Medical PMPM</v>
      </c>
      <c r="B1183" t="s">
        <v>111</v>
      </c>
      <c r="C1183" t="s">
        <v>111</v>
      </c>
      <c r="D1183" t="s">
        <v>78</v>
      </c>
      <c r="E1183" s="1" t="s">
        <v>101</v>
      </c>
      <c r="F1183" t="s">
        <v>93</v>
      </c>
      <c r="G1183" t="s">
        <v>12</v>
      </c>
      <c r="H1183">
        <v>1</v>
      </c>
      <c r="I1183">
        <v>229.18</v>
      </c>
    </row>
    <row r="1184" spans="1:9" x14ac:dyDescent="0.25">
      <c r="A1184" s="5" t="str">
        <f>TrendSheetPrdData[[#This Row],[Population]]&amp;TrendSheetPrdData[[#This Row],[Cost Basis]]&amp;TrendSheetPrdData[[#This Row],[Period]]&amp;TrendSheetPrdData[[#This Row],[Trend]]</f>
        <v>OTHERSPaid2016-10-01Medical PMPM</v>
      </c>
      <c r="B1184" t="s">
        <v>111</v>
      </c>
      <c r="C1184" t="s">
        <v>111</v>
      </c>
      <c r="D1184" t="s">
        <v>78</v>
      </c>
      <c r="E1184" s="1" t="s">
        <v>102</v>
      </c>
      <c r="F1184" t="s">
        <v>93</v>
      </c>
      <c r="G1184" t="s">
        <v>12</v>
      </c>
      <c r="H1184">
        <v>1</v>
      </c>
      <c r="I1184">
        <v>269.95</v>
      </c>
    </row>
    <row r="1185" spans="1:9" x14ac:dyDescent="0.25">
      <c r="A1185" s="5" t="str">
        <f>TrendSheetPrdData[[#This Row],[Population]]&amp;TrendSheetPrdData[[#This Row],[Cost Basis]]&amp;TrendSheetPrdData[[#This Row],[Period]]&amp;TrendSheetPrdData[[#This Row],[Trend]]</f>
        <v>OTHERSPaid2016-11-01Medical PMPM</v>
      </c>
      <c r="B1185" t="s">
        <v>111</v>
      </c>
      <c r="C1185" t="s">
        <v>111</v>
      </c>
      <c r="D1185" t="s">
        <v>78</v>
      </c>
      <c r="E1185" s="1" t="s">
        <v>103</v>
      </c>
      <c r="F1185" t="s">
        <v>93</v>
      </c>
      <c r="G1185" t="s">
        <v>12</v>
      </c>
      <c r="H1185">
        <v>1</v>
      </c>
      <c r="I1185">
        <v>238.18</v>
      </c>
    </row>
    <row r="1186" spans="1:9" x14ac:dyDescent="0.25">
      <c r="A1186" s="5" t="str">
        <f>TrendSheetPrdData[[#This Row],[Population]]&amp;TrendSheetPrdData[[#This Row],[Cost Basis]]&amp;TrendSheetPrdData[[#This Row],[Period]]&amp;TrendSheetPrdData[[#This Row],[Trend]]</f>
        <v>OTHERSPaid2016-12-01Medical PMPM</v>
      </c>
      <c r="B1186" t="s">
        <v>111</v>
      </c>
      <c r="C1186" t="s">
        <v>111</v>
      </c>
      <c r="D1186" t="s">
        <v>78</v>
      </c>
      <c r="E1186" s="1" t="s">
        <v>104</v>
      </c>
      <c r="F1186" t="s">
        <v>93</v>
      </c>
      <c r="G1186" t="s">
        <v>12</v>
      </c>
      <c r="H1186">
        <v>1</v>
      </c>
      <c r="I1186">
        <v>222.5</v>
      </c>
    </row>
    <row r="1187" spans="1:9" x14ac:dyDescent="0.25">
      <c r="A1187" s="5" t="str">
        <f>TrendSheetPrdData[[#This Row],[Population]]&amp;TrendSheetPrdData[[#This Row],[Cost Basis]]&amp;TrendSheetPrdData[[#This Row],[Period]]&amp;TrendSheetPrdData[[#This Row],[Trend]]</f>
        <v>OTHERSPaid2017-01-01Medical PMPM</v>
      </c>
      <c r="B1187" t="s">
        <v>111</v>
      </c>
      <c r="C1187" t="s">
        <v>111</v>
      </c>
      <c r="D1187" t="s">
        <v>78</v>
      </c>
      <c r="E1187" s="1" t="s">
        <v>105</v>
      </c>
      <c r="F1187" t="s">
        <v>108</v>
      </c>
      <c r="G1187" t="s">
        <v>12</v>
      </c>
      <c r="H1187">
        <v>1</v>
      </c>
      <c r="I1187">
        <v>209.97</v>
      </c>
    </row>
    <row r="1188" spans="1:9" x14ac:dyDescent="0.25">
      <c r="A1188" s="5" t="str">
        <f>TrendSheetPrdData[[#This Row],[Population]]&amp;TrendSheetPrdData[[#This Row],[Cost Basis]]&amp;TrendSheetPrdData[[#This Row],[Period]]&amp;TrendSheetPrdData[[#This Row],[Trend]]</f>
        <v>OTHERSPaid2017-02-01Medical PMPM</v>
      </c>
      <c r="B1188" t="s">
        <v>111</v>
      </c>
      <c r="C1188" t="s">
        <v>111</v>
      </c>
      <c r="D1188" t="s">
        <v>78</v>
      </c>
      <c r="E1188" s="1" t="s">
        <v>106</v>
      </c>
      <c r="F1188" t="s">
        <v>108</v>
      </c>
      <c r="G1188" t="s">
        <v>12</v>
      </c>
      <c r="H1188">
        <v>1</v>
      </c>
      <c r="I1188">
        <v>199.3</v>
      </c>
    </row>
    <row r="1189" spans="1:9" x14ac:dyDescent="0.25">
      <c r="A1189" s="5" t="str">
        <f>TrendSheetPrdData[[#This Row],[Population]]&amp;TrendSheetPrdData[[#This Row],[Cost Basis]]&amp;TrendSheetPrdData[[#This Row],[Period]]&amp;TrendSheetPrdData[[#This Row],[Trend]]</f>
        <v>OTHERSPaid2017-03-01Medical PMPM</v>
      </c>
      <c r="B1189" t="s">
        <v>111</v>
      </c>
      <c r="C1189" t="s">
        <v>111</v>
      </c>
      <c r="D1189" t="s">
        <v>78</v>
      </c>
      <c r="E1189" s="1" t="s">
        <v>107</v>
      </c>
      <c r="F1189" t="s">
        <v>108</v>
      </c>
      <c r="G1189" t="s">
        <v>12</v>
      </c>
      <c r="H1189">
        <v>1</v>
      </c>
      <c r="I1189">
        <v>172.82</v>
      </c>
    </row>
    <row r="1190" spans="1:9" x14ac:dyDescent="0.25">
      <c r="A1190" s="5" t="str">
        <f>TrendSheetPrdData[[#This Row],[Population]]&amp;TrendSheetPrdData[[#This Row],[Cost Basis]]&amp;TrendSheetPrdData[[#This Row],[Period]]&amp;TrendSheetPrdData[[#This Row],[Trend]]</f>
        <v>OTHERSPaid2017-04-01Medical PMPM</v>
      </c>
      <c r="B1190" t="s">
        <v>111</v>
      </c>
      <c r="C1190" t="s">
        <v>111</v>
      </c>
      <c r="D1190" t="s">
        <v>78</v>
      </c>
      <c r="E1190" s="1" t="s">
        <v>109</v>
      </c>
      <c r="F1190" t="s">
        <v>108</v>
      </c>
      <c r="G1190" t="s">
        <v>12</v>
      </c>
      <c r="H1190">
        <v>1</v>
      </c>
      <c r="I1190">
        <v>155.44</v>
      </c>
    </row>
    <row r="1191" spans="1:9" x14ac:dyDescent="0.25">
      <c r="A1191" s="5" t="str">
        <f>TrendSheetPrdData[[#This Row],[Population]]&amp;TrendSheetPrdData[[#This Row],[Cost Basis]]&amp;TrendSheetPrdData[[#This Row],[Period]]&amp;TrendSheetPrdData[[#This Row],[Trend]]</f>
        <v>OTHERSPaid2017-05-01Medical PMPM</v>
      </c>
      <c r="B1191" t="s">
        <v>111</v>
      </c>
      <c r="C1191" t="s">
        <v>111</v>
      </c>
      <c r="D1191" t="s">
        <v>78</v>
      </c>
      <c r="E1191" s="1" t="s">
        <v>110</v>
      </c>
      <c r="F1191" t="s">
        <v>108</v>
      </c>
      <c r="G1191" t="s">
        <v>12</v>
      </c>
      <c r="H1191">
        <v>1</v>
      </c>
      <c r="I1191">
        <v>60.27</v>
      </c>
    </row>
    <row r="1192" spans="1:9" x14ac:dyDescent="0.25">
      <c r="A1192" s="5" t="str">
        <f>TrendSheetPrdData[[#This Row],[Population]]&amp;TrendSheetPrdData[[#This Row],[Cost Basis]]&amp;TrendSheetPrdData[[#This Row],[Period]]&amp;TrendSheetPrdData[[#This Row],[Trend]]</f>
        <v>OTHERSPaid2016-01-01Drug PMPM</v>
      </c>
      <c r="B1192" t="s">
        <v>111</v>
      </c>
      <c r="C1192" t="s">
        <v>111</v>
      </c>
      <c r="D1192" t="s">
        <v>78</v>
      </c>
      <c r="E1192" s="1" t="s">
        <v>92</v>
      </c>
      <c r="F1192" t="s">
        <v>93</v>
      </c>
      <c r="G1192" t="s">
        <v>13</v>
      </c>
      <c r="H1192">
        <v>2</v>
      </c>
      <c r="I1192">
        <v>48.53</v>
      </c>
    </row>
    <row r="1193" spans="1:9" x14ac:dyDescent="0.25">
      <c r="A1193" s="5" t="str">
        <f>TrendSheetPrdData[[#This Row],[Population]]&amp;TrendSheetPrdData[[#This Row],[Cost Basis]]&amp;TrendSheetPrdData[[#This Row],[Period]]&amp;TrendSheetPrdData[[#This Row],[Trend]]</f>
        <v>OTHERSPaid2016-02-01Drug PMPM</v>
      </c>
      <c r="B1193" t="s">
        <v>111</v>
      </c>
      <c r="C1193" t="s">
        <v>111</v>
      </c>
      <c r="D1193" t="s">
        <v>78</v>
      </c>
      <c r="E1193" s="1" t="s">
        <v>94</v>
      </c>
      <c r="F1193" t="s">
        <v>93</v>
      </c>
      <c r="G1193" t="s">
        <v>13</v>
      </c>
      <c r="H1193">
        <v>2</v>
      </c>
      <c r="I1193">
        <v>51.29</v>
      </c>
    </row>
    <row r="1194" spans="1:9" x14ac:dyDescent="0.25">
      <c r="A1194" s="5" t="str">
        <f>TrendSheetPrdData[[#This Row],[Population]]&amp;TrendSheetPrdData[[#This Row],[Cost Basis]]&amp;TrendSheetPrdData[[#This Row],[Period]]&amp;TrendSheetPrdData[[#This Row],[Trend]]</f>
        <v>OTHERSPaid2016-03-01Drug PMPM</v>
      </c>
      <c r="B1194" t="s">
        <v>111</v>
      </c>
      <c r="C1194" t="s">
        <v>111</v>
      </c>
      <c r="D1194" t="s">
        <v>78</v>
      </c>
      <c r="E1194" s="1" t="s">
        <v>95</v>
      </c>
      <c r="F1194" t="s">
        <v>93</v>
      </c>
      <c r="G1194" t="s">
        <v>13</v>
      </c>
      <c r="H1194">
        <v>2</v>
      </c>
      <c r="I1194">
        <v>36.409999999999997</v>
      </c>
    </row>
    <row r="1195" spans="1:9" x14ac:dyDescent="0.25">
      <c r="A1195" s="5" t="str">
        <f>TrendSheetPrdData[[#This Row],[Population]]&amp;TrendSheetPrdData[[#This Row],[Cost Basis]]&amp;TrendSheetPrdData[[#This Row],[Period]]&amp;TrendSheetPrdData[[#This Row],[Trend]]</f>
        <v>OTHERSPaid2016-04-01Drug PMPM</v>
      </c>
      <c r="B1195" t="s">
        <v>111</v>
      </c>
      <c r="C1195" t="s">
        <v>111</v>
      </c>
      <c r="D1195" t="s">
        <v>78</v>
      </c>
      <c r="E1195" s="1" t="s">
        <v>96</v>
      </c>
      <c r="F1195" t="s">
        <v>93</v>
      </c>
      <c r="G1195" t="s">
        <v>13</v>
      </c>
      <c r="H1195">
        <v>2</v>
      </c>
      <c r="I1195">
        <v>49.72</v>
      </c>
    </row>
    <row r="1196" spans="1:9" x14ac:dyDescent="0.25">
      <c r="A1196" s="5" t="str">
        <f>TrendSheetPrdData[[#This Row],[Population]]&amp;TrendSheetPrdData[[#This Row],[Cost Basis]]&amp;TrendSheetPrdData[[#This Row],[Period]]&amp;TrendSheetPrdData[[#This Row],[Trend]]</f>
        <v>OTHERSPaid2016-05-01Drug PMPM</v>
      </c>
      <c r="B1196" t="s">
        <v>111</v>
      </c>
      <c r="C1196" t="s">
        <v>111</v>
      </c>
      <c r="D1196" t="s">
        <v>78</v>
      </c>
      <c r="E1196" s="1" t="s">
        <v>97</v>
      </c>
      <c r="F1196" t="s">
        <v>93</v>
      </c>
      <c r="G1196" t="s">
        <v>13</v>
      </c>
      <c r="H1196">
        <v>2</v>
      </c>
      <c r="I1196">
        <v>45.6</v>
      </c>
    </row>
    <row r="1197" spans="1:9" x14ac:dyDescent="0.25">
      <c r="A1197" s="5" t="str">
        <f>TrendSheetPrdData[[#This Row],[Population]]&amp;TrendSheetPrdData[[#This Row],[Cost Basis]]&amp;TrendSheetPrdData[[#This Row],[Period]]&amp;TrendSheetPrdData[[#This Row],[Trend]]</f>
        <v>OTHERSPaid2016-06-01Drug PMPM</v>
      </c>
      <c r="B1197" t="s">
        <v>111</v>
      </c>
      <c r="C1197" t="s">
        <v>111</v>
      </c>
      <c r="D1197" t="s">
        <v>78</v>
      </c>
      <c r="E1197" s="1" t="s">
        <v>98</v>
      </c>
      <c r="F1197" t="s">
        <v>93</v>
      </c>
      <c r="G1197" t="s">
        <v>13</v>
      </c>
      <c r="H1197">
        <v>2</v>
      </c>
      <c r="I1197">
        <v>30.66</v>
      </c>
    </row>
    <row r="1198" spans="1:9" x14ac:dyDescent="0.25">
      <c r="A1198" s="5" t="str">
        <f>TrendSheetPrdData[[#This Row],[Population]]&amp;TrendSheetPrdData[[#This Row],[Cost Basis]]&amp;TrendSheetPrdData[[#This Row],[Period]]&amp;TrendSheetPrdData[[#This Row],[Trend]]</f>
        <v>OTHERSPaid2016-07-01Drug PMPM</v>
      </c>
      <c r="B1198" t="s">
        <v>111</v>
      </c>
      <c r="C1198" t="s">
        <v>111</v>
      </c>
      <c r="D1198" t="s">
        <v>78</v>
      </c>
      <c r="E1198" s="1" t="s">
        <v>99</v>
      </c>
      <c r="F1198" t="s">
        <v>93</v>
      </c>
      <c r="G1198" t="s">
        <v>13</v>
      </c>
      <c r="H1198">
        <v>2</v>
      </c>
      <c r="I1198">
        <v>35.78</v>
      </c>
    </row>
    <row r="1199" spans="1:9" x14ac:dyDescent="0.25">
      <c r="A1199" s="5" t="str">
        <f>TrendSheetPrdData[[#This Row],[Population]]&amp;TrendSheetPrdData[[#This Row],[Cost Basis]]&amp;TrendSheetPrdData[[#This Row],[Period]]&amp;TrendSheetPrdData[[#This Row],[Trend]]</f>
        <v>OTHERSPaid2016-08-01Drug PMPM</v>
      </c>
      <c r="B1199" t="s">
        <v>111</v>
      </c>
      <c r="C1199" t="s">
        <v>111</v>
      </c>
      <c r="D1199" t="s">
        <v>78</v>
      </c>
      <c r="E1199" s="1" t="s">
        <v>100</v>
      </c>
      <c r="F1199" t="s">
        <v>93</v>
      </c>
      <c r="G1199" t="s">
        <v>13</v>
      </c>
      <c r="H1199">
        <v>2</v>
      </c>
      <c r="I1199">
        <v>44.15</v>
      </c>
    </row>
    <row r="1200" spans="1:9" x14ac:dyDescent="0.25">
      <c r="A1200" s="5" t="str">
        <f>TrendSheetPrdData[[#This Row],[Population]]&amp;TrendSheetPrdData[[#This Row],[Cost Basis]]&amp;TrendSheetPrdData[[#This Row],[Period]]&amp;TrendSheetPrdData[[#This Row],[Trend]]</f>
        <v>OTHERSPaid2016-09-01Drug PMPM</v>
      </c>
      <c r="B1200" t="s">
        <v>111</v>
      </c>
      <c r="C1200" t="s">
        <v>111</v>
      </c>
      <c r="D1200" t="s">
        <v>78</v>
      </c>
      <c r="E1200" s="1" t="s">
        <v>101</v>
      </c>
      <c r="F1200" t="s">
        <v>93</v>
      </c>
      <c r="G1200" t="s">
        <v>13</v>
      </c>
      <c r="H1200">
        <v>2</v>
      </c>
      <c r="I1200">
        <v>34.81</v>
      </c>
    </row>
    <row r="1201" spans="1:9" x14ac:dyDescent="0.25">
      <c r="A1201" s="5" t="str">
        <f>TrendSheetPrdData[[#This Row],[Population]]&amp;TrendSheetPrdData[[#This Row],[Cost Basis]]&amp;TrendSheetPrdData[[#This Row],[Period]]&amp;TrendSheetPrdData[[#This Row],[Trend]]</f>
        <v>OTHERSPaid2016-10-01Drug PMPM</v>
      </c>
      <c r="B1201" t="s">
        <v>111</v>
      </c>
      <c r="C1201" t="s">
        <v>111</v>
      </c>
      <c r="D1201" t="s">
        <v>78</v>
      </c>
      <c r="E1201" s="1" t="s">
        <v>102</v>
      </c>
      <c r="F1201" t="s">
        <v>93</v>
      </c>
      <c r="G1201" t="s">
        <v>13</v>
      </c>
      <c r="H1201">
        <v>2</v>
      </c>
      <c r="I1201">
        <v>37.5</v>
      </c>
    </row>
    <row r="1202" spans="1:9" x14ac:dyDescent="0.25">
      <c r="A1202" s="5" t="str">
        <f>TrendSheetPrdData[[#This Row],[Population]]&amp;TrendSheetPrdData[[#This Row],[Cost Basis]]&amp;TrendSheetPrdData[[#This Row],[Period]]&amp;TrendSheetPrdData[[#This Row],[Trend]]</f>
        <v>OTHERSPaid2016-11-01Drug PMPM</v>
      </c>
      <c r="B1202" t="s">
        <v>111</v>
      </c>
      <c r="C1202" t="s">
        <v>111</v>
      </c>
      <c r="D1202" t="s">
        <v>78</v>
      </c>
      <c r="E1202" s="1" t="s">
        <v>103</v>
      </c>
      <c r="F1202" t="s">
        <v>93</v>
      </c>
      <c r="G1202" t="s">
        <v>13</v>
      </c>
      <c r="H1202">
        <v>2</v>
      </c>
      <c r="I1202">
        <v>46.5</v>
      </c>
    </row>
    <row r="1203" spans="1:9" x14ac:dyDescent="0.25">
      <c r="A1203" s="5" t="str">
        <f>TrendSheetPrdData[[#This Row],[Population]]&amp;TrendSheetPrdData[[#This Row],[Cost Basis]]&amp;TrendSheetPrdData[[#This Row],[Period]]&amp;TrendSheetPrdData[[#This Row],[Trend]]</f>
        <v>OTHERSPaid2016-12-01Drug PMPM</v>
      </c>
      <c r="B1203" t="s">
        <v>111</v>
      </c>
      <c r="C1203" t="s">
        <v>111</v>
      </c>
      <c r="D1203" t="s">
        <v>78</v>
      </c>
      <c r="E1203" s="1" t="s">
        <v>104</v>
      </c>
      <c r="F1203" t="s">
        <v>93</v>
      </c>
      <c r="G1203" t="s">
        <v>13</v>
      </c>
      <c r="H1203">
        <v>2</v>
      </c>
      <c r="I1203">
        <v>35.19</v>
      </c>
    </row>
    <row r="1204" spans="1:9" x14ac:dyDescent="0.25">
      <c r="A1204" s="5" t="str">
        <f>TrendSheetPrdData[[#This Row],[Population]]&amp;TrendSheetPrdData[[#This Row],[Cost Basis]]&amp;TrendSheetPrdData[[#This Row],[Period]]&amp;TrendSheetPrdData[[#This Row],[Trend]]</f>
        <v>OTHERSPaid2017-01-01Drug PMPM</v>
      </c>
      <c r="B1204" t="s">
        <v>111</v>
      </c>
      <c r="C1204" t="s">
        <v>111</v>
      </c>
      <c r="D1204" t="s">
        <v>78</v>
      </c>
      <c r="E1204" s="1" t="s">
        <v>105</v>
      </c>
      <c r="F1204" t="s">
        <v>108</v>
      </c>
      <c r="G1204" t="s">
        <v>13</v>
      </c>
      <c r="H1204">
        <v>2</v>
      </c>
      <c r="I1204">
        <v>43.5</v>
      </c>
    </row>
    <row r="1205" spans="1:9" x14ac:dyDescent="0.25">
      <c r="A1205" s="5" t="str">
        <f>TrendSheetPrdData[[#This Row],[Population]]&amp;TrendSheetPrdData[[#This Row],[Cost Basis]]&amp;TrendSheetPrdData[[#This Row],[Period]]&amp;TrendSheetPrdData[[#This Row],[Trend]]</f>
        <v>OTHERSPaid2017-02-01Drug PMPM</v>
      </c>
      <c r="B1205" t="s">
        <v>111</v>
      </c>
      <c r="C1205" t="s">
        <v>111</v>
      </c>
      <c r="D1205" t="s">
        <v>78</v>
      </c>
      <c r="E1205" s="1" t="s">
        <v>106</v>
      </c>
      <c r="F1205" t="s">
        <v>108</v>
      </c>
      <c r="G1205" t="s">
        <v>13</v>
      </c>
      <c r="H1205">
        <v>2</v>
      </c>
      <c r="I1205">
        <v>35.72</v>
      </c>
    </row>
    <row r="1206" spans="1:9" x14ac:dyDescent="0.25">
      <c r="A1206" s="5" t="str">
        <f>TrendSheetPrdData[[#This Row],[Population]]&amp;TrendSheetPrdData[[#This Row],[Cost Basis]]&amp;TrendSheetPrdData[[#This Row],[Period]]&amp;TrendSheetPrdData[[#This Row],[Trend]]</f>
        <v>OTHERSPaid2017-03-01Drug PMPM</v>
      </c>
      <c r="B1206" t="s">
        <v>111</v>
      </c>
      <c r="C1206" t="s">
        <v>111</v>
      </c>
      <c r="D1206" t="s">
        <v>78</v>
      </c>
      <c r="E1206" s="1" t="s">
        <v>107</v>
      </c>
      <c r="F1206" t="s">
        <v>108</v>
      </c>
      <c r="G1206" t="s">
        <v>13</v>
      </c>
      <c r="H1206">
        <v>2</v>
      </c>
      <c r="I1206">
        <v>39</v>
      </c>
    </row>
    <row r="1207" spans="1:9" x14ac:dyDescent="0.25">
      <c r="A1207" s="5" t="str">
        <f>TrendSheetPrdData[[#This Row],[Population]]&amp;TrendSheetPrdData[[#This Row],[Cost Basis]]&amp;TrendSheetPrdData[[#This Row],[Period]]&amp;TrendSheetPrdData[[#This Row],[Trend]]</f>
        <v>OTHERSPaid2017-04-01Drug PMPM</v>
      </c>
      <c r="B1207" t="s">
        <v>111</v>
      </c>
      <c r="C1207" t="s">
        <v>111</v>
      </c>
      <c r="D1207" t="s">
        <v>78</v>
      </c>
      <c r="E1207" s="1" t="s">
        <v>109</v>
      </c>
      <c r="F1207" t="s">
        <v>108</v>
      </c>
      <c r="G1207" t="s">
        <v>13</v>
      </c>
      <c r="H1207">
        <v>2</v>
      </c>
      <c r="I1207">
        <v>32.090000000000003</v>
      </c>
    </row>
    <row r="1208" spans="1:9" x14ac:dyDescent="0.25">
      <c r="A1208" s="5" t="str">
        <f>TrendSheetPrdData[[#This Row],[Population]]&amp;TrendSheetPrdData[[#This Row],[Cost Basis]]&amp;TrendSheetPrdData[[#This Row],[Period]]&amp;TrendSheetPrdData[[#This Row],[Trend]]</f>
        <v>OTHERSPaid2017-05-01Drug PMPM</v>
      </c>
      <c r="B1208" t="s">
        <v>111</v>
      </c>
      <c r="C1208" t="s">
        <v>111</v>
      </c>
      <c r="D1208" t="s">
        <v>78</v>
      </c>
      <c r="E1208" s="1" t="s">
        <v>110</v>
      </c>
      <c r="F1208" t="s">
        <v>108</v>
      </c>
      <c r="G1208" t="s">
        <v>13</v>
      </c>
      <c r="H1208">
        <v>2</v>
      </c>
      <c r="I1208">
        <v>44.43</v>
      </c>
    </row>
    <row r="1209" spans="1:9" x14ac:dyDescent="0.25">
      <c r="A1209" s="5" t="str">
        <f>TrendSheetPrdData[[#This Row],[Population]]&amp;TrendSheetPrdData[[#This Row],[Cost Basis]]&amp;TrendSheetPrdData[[#This Row],[Period]]&amp;TrendSheetPrdData[[#This Row],[Trend]]</f>
        <v>OTHERSPaid2016-01-01Overall PMPM</v>
      </c>
      <c r="B1209" t="s">
        <v>111</v>
      </c>
      <c r="C1209" t="s">
        <v>111</v>
      </c>
      <c r="D1209" t="s">
        <v>78</v>
      </c>
      <c r="E1209" s="1" t="s">
        <v>92</v>
      </c>
      <c r="F1209" t="s">
        <v>93</v>
      </c>
      <c r="G1209" t="s">
        <v>14</v>
      </c>
      <c r="H1209">
        <v>3</v>
      </c>
      <c r="I1209">
        <v>283.04000000000002</v>
      </c>
    </row>
    <row r="1210" spans="1:9" x14ac:dyDescent="0.25">
      <c r="A1210" s="5" t="str">
        <f>TrendSheetPrdData[[#This Row],[Population]]&amp;TrendSheetPrdData[[#This Row],[Cost Basis]]&amp;TrendSheetPrdData[[#This Row],[Period]]&amp;TrendSheetPrdData[[#This Row],[Trend]]</f>
        <v>OTHERSPaid2016-02-01Overall PMPM</v>
      </c>
      <c r="B1210" t="s">
        <v>111</v>
      </c>
      <c r="C1210" t="s">
        <v>111</v>
      </c>
      <c r="D1210" t="s">
        <v>78</v>
      </c>
      <c r="E1210" s="1" t="s">
        <v>94</v>
      </c>
      <c r="F1210" t="s">
        <v>93</v>
      </c>
      <c r="G1210" t="s">
        <v>14</v>
      </c>
      <c r="H1210">
        <v>3</v>
      </c>
      <c r="I1210">
        <v>299.77999999999997</v>
      </c>
    </row>
    <row r="1211" spans="1:9" x14ac:dyDescent="0.25">
      <c r="A1211" s="5" t="str">
        <f>TrendSheetPrdData[[#This Row],[Population]]&amp;TrendSheetPrdData[[#This Row],[Cost Basis]]&amp;TrendSheetPrdData[[#This Row],[Period]]&amp;TrendSheetPrdData[[#This Row],[Trend]]</f>
        <v>OTHERSPaid2016-03-01Overall PMPM</v>
      </c>
      <c r="B1211" t="s">
        <v>111</v>
      </c>
      <c r="C1211" t="s">
        <v>111</v>
      </c>
      <c r="D1211" t="s">
        <v>78</v>
      </c>
      <c r="E1211" s="1" t="s">
        <v>95</v>
      </c>
      <c r="F1211" t="s">
        <v>93</v>
      </c>
      <c r="G1211" t="s">
        <v>14</v>
      </c>
      <c r="H1211">
        <v>3</v>
      </c>
      <c r="I1211">
        <v>257.35000000000002</v>
      </c>
    </row>
    <row r="1212" spans="1:9" x14ac:dyDescent="0.25">
      <c r="A1212" s="5" t="str">
        <f>TrendSheetPrdData[[#This Row],[Population]]&amp;TrendSheetPrdData[[#This Row],[Cost Basis]]&amp;TrendSheetPrdData[[#This Row],[Period]]&amp;TrendSheetPrdData[[#This Row],[Trend]]</f>
        <v>OTHERSPaid2016-04-01Overall PMPM</v>
      </c>
      <c r="B1212" t="s">
        <v>111</v>
      </c>
      <c r="C1212" t="s">
        <v>111</v>
      </c>
      <c r="D1212" t="s">
        <v>78</v>
      </c>
      <c r="E1212" s="1" t="s">
        <v>96</v>
      </c>
      <c r="F1212" t="s">
        <v>93</v>
      </c>
      <c r="G1212" t="s">
        <v>14</v>
      </c>
      <c r="H1212">
        <v>3</v>
      </c>
      <c r="I1212">
        <v>460.73</v>
      </c>
    </row>
    <row r="1213" spans="1:9" x14ac:dyDescent="0.25">
      <c r="A1213" s="5" t="str">
        <f>TrendSheetPrdData[[#This Row],[Population]]&amp;TrendSheetPrdData[[#This Row],[Cost Basis]]&amp;TrendSheetPrdData[[#This Row],[Period]]&amp;TrendSheetPrdData[[#This Row],[Trend]]</f>
        <v>OTHERSPaid2016-05-01Overall PMPM</v>
      </c>
      <c r="B1213" t="s">
        <v>111</v>
      </c>
      <c r="C1213" t="s">
        <v>111</v>
      </c>
      <c r="D1213" t="s">
        <v>78</v>
      </c>
      <c r="E1213" s="1" t="s">
        <v>97</v>
      </c>
      <c r="F1213" t="s">
        <v>93</v>
      </c>
      <c r="G1213" t="s">
        <v>14</v>
      </c>
      <c r="H1213">
        <v>3</v>
      </c>
      <c r="I1213">
        <v>268.19</v>
      </c>
    </row>
    <row r="1214" spans="1:9" x14ac:dyDescent="0.25">
      <c r="A1214" s="5" t="str">
        <f>TrendSheetPrdData[[#This Row],[Population]]&amp;TrendSheetPrdData[[#This Row],[Cost Basis]]&amp;TrendSheetPrdData[[#This Row],[Period]]&amp;TrendSheetPrdData[[#This Row],[Trend]]</f>
        <v>OTHERSPaid2016-06-01Overall PMPM</v>
      </c>
      <c r="B1214" t="s">
        <v>111</v>
      </c>
      <c r="C1214" t="s">
        <v>111</v>
      </c>
      <c r="D1214" t="s">
        <v>78</v>
      </c>
      <c r="E1214" s="1" t="s">
        <v>98</v>
      </c>
      <c r="F1214" t="s">
        <v>93</v>
      </c>
      <c r="G1214" t="s">
        <v>14</v>
      </c>
      <c r="H1214">
        <v>3</v>
      </c>
      <c r="I1214">
        <v>246.92</v>
      </c>
    </row>
    <row r="1215" spans="1:9" x14ac:dyDescent="0.25">
      <c r="A1215" s="5" t="str">
        <f>TrendSheetPrdData[[#This Row],[Population]]&amp;TrendSheetPrdData[[#This Row],[Cost Basis]]&amp;TrendSheetPrdData[[#This Row],[Period]]&amp;TrendSheetPrdData[[#This Row],[Trend]]</f>
        <v>OTHERSPaid2016-07-01Overall PMPM</v>
      </c>
      <c r="B1215" t="s">
        <v>111</v>
      </c>
      <c r="C1215" t="s">
        <v>111</v>
      </c>
      <c r="D1215" t="s">
        <v>78</v>
      </c>
      <c r="E1215" s="1" t="s">
        <v>99</v>
      </c>
      <c r="F1215" t="s">
        <v>93</v>
      </c>
      <c r="G1215" t="s">
        <v>14</v>
      </c>
      <c r="H1215">
        <v>3</v>
      </c>
      <c r="I1215">
        <v>288.91000000000003</v>
      </c>
    </row>
    <row r="1216" spans="1:9" x14ac:dyDescent="0.25">
      <c r="A1216" s="5" t="str">
        <f>TrendSheetPrdData[[#This Row],[Population]]&amp;TrendSheetPrdData[[#This Row],[Cost Basis]]&amp;TrendSheetPrdData[[#This Row],[Period]]&amp;TrendSheetPrdData[[#This Row],[Trend]]</f>
        <v>OTHERSPaid2016-08-01Overall PMPM</v>
      </c>
      <c r="B1216" t="s">
        <v>111</v>
      </c>
      <c r="C1216" t="s">
        <v>111</v>
      </c>
      <c r="D1216" t="s">
        <v>78</v>
      </c>
      <c r="E1216" s="1" t="s">
        <v>100</v>
      </c>
      <c r="F1216" t="s">
        <v>93</v>
      </c>
      <c r="G1216" t="s">
        <v>14</v>
      </c>
      <c r="H1216">
        <v>3</v>
      </c>
      <c r="I1216">
        <v>285.01</v>
      </c>
    </row>
    <row r="1217" spans="1:9" x14ac:dyDescent="0.25">
      <c r="A1217" s="5" t="str">
        <f>TrendSheetPrdData[[#This Row],[Population]]&amp;TrendSheetPrdData[[#This Row],[Cost Basis]]&amp;TrendSheetPrdData[[#This Row],[Period]]&amp;TrendSheetPrdData[[#This Row],[Trend]]</f>
        <v>OTHERSPaid2016-09-01Overall PMPM</v>
      </c>
      <c r="B1217" t="s">
        <v>111</v>
      </c>
      <c r="C1217" t="s">
        <v>111</v>
      </c>
      <c r="D1217" t="s">
        <v>78</v>
      </c>
      <c r="E1217" s="1" t="s">
        <v>101</v>
      </c>
      <c r="F1217" t="s">
        <v>93</v>
      </c>
      <c r="G1217" t="s">
        <v>14</v>
      </c>
      <c r="H1217">
        <v>3</v>
      </c>
      <c r="I1217">
        <v>263.99</v>
      </c>
    </row>
    <row r="1218" spans="1:9" x14ac:dyDescent="0.25">
      <c r="A1218" s="5" t="str">
        <f>TrendSheetPrdData[[#This Row],[Population]]&amp;TrendSheetPrdData[[#This Row],[Cost Basis]]&amp;TrendSheetPrdData[[#This Row],[Period]]&amp;TrendSheetPrdData[[#This Row],[Trend]]</f>
        <v>OTHERSPaid2016-10-01Overall PMPM</v>
      </c>
      <c r="B1218" t="s">
        <v>111</v>
      </c>
      <c r="C1218" t="s">
        <v>111</v>
      </c>
      <c r="D1218" t="s">
        <v>78</v>
      </c>
      <c r="E1218" s="1" t="s">
        <v>102</v>
      </c>
      <c r="F1218" t="s">
        <v>93</v>
      </c>
      <c r="G1218" t="s">
        <v>14</v>
      </c>
      <c r="H1218">
        <v>3</v>
      </c>
      <c r="I1218">
        <v>307.45</v>
      </c>
    </row>
    <row r="1219" spans="1:9" x14ac:dyDescent="0.25">
      <c r="A1219" s="5" t="str">
        <f>TrendSheetPrdData[[#This Row],[Population]]&amp;TrendSheetPrdData[[#This Row],[Cost Basis]]&amp;TrendSheetPrdData[[#This Row],[Period]]&amp;TrendSheetPrdData[[#This Row],[Trend]]</f>
        <v>OTHERSPaid2016-11-01Overall PMPM</v>
      </c>
      <c r="B1219" t="s">
        <v>111</v>
      </c>
      <c r="C1219" t="s">
        <v>111</v>
      </c>
      <c r="D1219" t="s">
        <v>78</v>
      </c>
      <c r="E1219" s="1" t="s">
        <v>103</v>
      </c>
      <c r="F1219" t="s">
        <v>93</v>
      </c>
      <c r="G1219" t="s">
        <v>14</v>
      </c>
      <c r="H1219">
        <v>3</v>
      </c>
      <c r="I1219">
        <v>284.68</v>
      </c>
    </row>
    <row r="1220" spans="1:9" x14ac:dyDescent="0.25">
      <c r="A1220" s="5" t="str">
        <f>TrendSheetPrdData[[#This Row],[Population]]&amp;TrendSheetPrdData[[#This Row],[Cost Basis]]&amp;TrendSheetPrdData[[#This Row],[Period]]&amp;TrendSheetPrdData[[#This Row],[Trend]]</f>
        <v>OTHERSPaid2016-12-01Overall PMPM</v>
      </c>
      <c r="B1220" t="s">
        <v>111</v>
      </c>
      <c r="C1220" t="s">
        <v>111</v>
      </c>
      <c r="D1220" t="s">
        <v>78</v>
      </c>
      <c r="E1220" s="1" t="s">
        <v>104</v>
      </c>
      <c r="F1220" t="s">
        <v>93</v>
      </c>
      <c r="G1220" t="s">
        <v>14</v>
      </c>
      <c r="H1220">
        <v>3</v>
      </c>
      <c r="I1220">
        <v>257.69</v>
      </c>
    </row>
    <row r="1221" spans="1:9" x14ac:dyDescent="0.25">
      <c r="A1221" s="5" t="str">
        <f>TrendSheetPrdData[[#This Row],[Population]]&amp;TrendSheetPrdData[[#This Row],[Cost Basis]]&amp;TrendSheetPrdData[[#This Row],[Period]]&amp;TrendSheetPrdData[[#This Row],[Trend]]</f>
        <v>OTHERSPaid2017-01-01Overall PMPM</v>
      </c>
      <c r="B1221" t="s">
        <v>111</v>
      </c>
      <c r="C1221" t="s">
        <v>111</v>
      </c>
      <c r="D1221" t="s">
        <v>78</v>
      </c>
      <c r="E1221" s="1" t="s">
        <v>105</v>
      </c>
      <c r="F1221" t="s">
        <v>108</v>
      </c>
      <c r="G1221" t="s">
        <v>14</v>
      </c>
      <c r="H1221">
        <v>3</v>
      </c>
      <c r="I1221">
        <v>253.47</v>
      </c>
    </row>
    <row r="1222" spans="1:9" x14ac:dyDescent="0.25">
      <c r="A1222" s="5" t="str">
        <f>TrendSheetPrdData[[#This Row],[Population]]&amp;TrendSheetPrdData[[#This Row],[Cost Basis]]&amp;TrendSheetPrdData[[#This Row],[Period]]&amp;TrendSheetPrdData[[#This Row],[Trend]]</f>
        <v>OTHERSPaid2017-02-01Overall PMPM</v>
      </c>
      <c r="B1222" t="s">
        <v>111</v>
      </c>
      <c r="C1222" t="s">
        <v>111</v>
      </c>
      <c r="D1222" t="s">
        <v>78</v>
      </c>
      <c r="E1222" s="1" t="s">
        <v>106</v>
      </c>
      <c r="F1222" t="s">
        <v>108</v>
      </c>
      <c r="G1222" t="s">
        <v>14</v>
      </c>
      <c r="H1222">
        <v>3</v>
      </c>
      <c r="I1222">
        <v>235.02</v>
      </c>
    </row>
    <row r="1223" spans="1:9" x14ac:dyDescent="0.25">
      <c r="A1223" s="5" t="str">
        <f>TrendSheetPrdData[[#This Row],[Population]]&amp;TrendSheetPrdData[[#This Row],[Cost Basis]]&amp;TrendSheetPrdData[[#This Row],[Period]]&amp;TrendSheetPrdData[[#This Row],[Trend]]</f>
        <v>OTHERSPaid2017-03-01Overall PMPM</v>
      </c>
      <c r="B1223" t="s">
        <v>111</v>
      </c>
      <c r="C1223" t="s">
        <v>111</v>
      </c>
      <c r="D1223" t="s">
        <v>78</v>
      </c>
      <c r="E1223" s="1" t="s">
        <v>107</v>
      </c>
      <c r="F1223" t="s">
        <v>108</v>
      </c>
      <c r="G1223" t="s">
        <v>14</v>
      </c>
      <c r="H1223">
        <v>3</v>
      </c>
      <c r="I1223">
        <v>211.82</v>
      </c>
    </row>
    <row r="1224" spans="1:9" x14ac:dyDescent="0.25">
      <c r="A1224" s="5" t="str">
        <f>TrendSheetPrdData[[#This Row],[Population]]&amp;TrendSheetPrdData[[#This Row],[Cost Basis]]&amp;TrendSheetPrdData[[#This Row],[Period]]&amp;TrendSheetPrdData[[#This Row],[Trend]]</f>
        <v>OTHERSPaid2017-04-01Overall PMPM</v>
      </c>
      <c r="B1224" t="s">
        <v>111</v>
      </c>
      <c r="C1224" t="s">
        <v>111</v>
      </c>
      <c r="D1224" t="s">
        <v>78</v>
      </c>
      <c r="E1224" s="1" t="s">
        <v>109</v>
      </c>
      <c r="F1224" t="s">
        <v>108</v>
      </c>
      <c r="G1224" t="s">
        <v>14</v>
      </c>
      <c r="H1224">
        <v>3</v>
      </c>
      <c r="I1224">
        <v>187.53</v>
      </c>
    </row>
    <row r="1225" spans="1:9" x14ac:dyDescent="0.25">
      <c r="A1225" s="5" t="str">
        <f>TrendSheetPrdData[[#This Row],[Population]]&amp;TrendSheetPrdData[[#This Row],[Cost Basis]]&amp;TrendSheetPrdData[[#This Row],[Period]]&amp;TrendSheetPrdData[[#This Row],[Trend]]</f>
        <v>OTHERSPaid2017-05-01Overall PMPM</v>
      </c>
      <c r="B1225" t="s">
        <v>111</v>
      </c>
      <c r="C1225" t="s">
        <v>111</v>
      </c>
      <c r="D1225" t="s">
        <v>78</v>
      </c>
      <c r="E1225" s="1" t="s">
        <v>110</v>
      </c>
      <c r="F1225" t="s">
        <v>108</v>
      </c>
      <c r="G1225" t="s">
        <v>14</v>
      </c>
      <c r="H1225">
        <v>3</v>
      </c>
      <c r="I1225">
        <v>104.7</v>
      </c>
    </row>
    <row r="1226" spans="1:9" x14ac:dyDescent="0.25">
      <c r="A1226" s="5" t="str">
        <f>TrendSheetPrdData[[#This Row],[Population]]&amp;TrendSheetPrdData[[#This Row],[Cost Basis]]&amp;TrendSheetPrdData[[#This Row],[Period]]&amp;TrendSheetPrdData[[#This Row],[Trend]]</f>
        <v>OTHERSPaid2016-01-01Readmission Cost</v>
      </c>
      <c r="B1226" t="s">
        <v>111</v>
      </c>
      <c r="C1226" t="s">
        <v>111</v>
      </c>
      <c r="D1226" t="s">
        <v>78</v>
      </c>
      <c r="E1226" s="1" t="s">
        <v>92</v>
      </c>
      <c r="F1226" t="s">
        <v>93</v>
      </c>
      <c r="G1226" t="s">
        <v>15</v>
      </c>
      <c r="H1226">
        <v>4</v>
      </c>
      <c r="I1226">
        <v>0</v>
      </c>
    </row>
    <row r="1227" spans="1:9" x14ac:dyDescent="0.25">
      <c r="A1227" s="5" t="str">
        <f>TrendSheetPrdData[[#This Row],[Population]]&amp;TrendSheetPrdData[[#This Row],[Cost Basis]]&amp;TrendSheetPrdData[[#This Row],[Period]]&amp;TrendSheetPrdData[[#This Row],[Trend]]</f>
        <v>OTHERSPaid2016-02-01Readmission Cost</v>
      </c>
      <c r="B1227" t="s">
        <v>111</v>
      </c>
      <c r="C1227" t="s">
        <v>111</v>
      </c>
      <c r="D1227" t="s">
        <v>78</v>
      </c>
      <c r="E1227" s="1" t="s">
        <v>94</v>
      </c>
      <c r="F1227" t="s">
        <v>93</v>
      </c>
      <c r="G1227" t="s">
        <v>15</v>
      </c>
      <c r="H1227">
        <v>4</v>
      </c>
      <c r="I1227">
        <v>0</v>
      </c>
    </row>
    <row r="1228" spans="1:9" x14ac:dyDescent="0.25">
      <c r="A1228" s="5" t="str">
        <f>TrendSheetPrdData[[#This Row],[Population]]&amp;TrendSheetPrdData[[#This Row],[Cost Basis]]&amp;TrendSheetPrdData[[#This Row],[Period]]&amp;TrendSheetPrdData[[#This Row],[Trend]]</f>
        <v>OTHERSPaid2016-03-01Readmission Cost</v>
      </c>
      <c r="B1228" t="s">
        <v>111</v>
      </c>
      <c r="C1228" t="s">
        <v>111</v>
      </c>
      <c r="D1228" t="s">
        <v>78</v>
      </c>
      <c r="E1228" s="1" t="s">
        <v>95</v>
      </c>
      <c r="F1228" t="s">
        <v>93</v>
      </c>
      <c r="G1228" t="s">
        <v>15</v>
      </c>
      <c r="H1228">
        <v>4</v>
      </c>
      <c r="I1228">
        <v>65240.55</v>
      </c>
    </row>
    <row r="1229" spans="1:9" x14ac:dyDescent="0.25">
      <c r="A1229" s="5" t="str">
        <f>TrendSheetPrdData[[#This Row],[Population]]&amp;TrendSheetPrdData[[#This Row],[Cost Basis]]&amp;TrendSheetPrdData[[#This Row],[Period]]&amp;TrendSheetPrdData[[#This Row],[Trend]]</f>
        <v>OTHERSPaid2016-04-01Readmission Cost</v>
      </c>
      <c r="B1229" t="s">
        <v>111</v>
      </c>
      <c r="C1229" t="s">
        <v>111</v>
      </c>
      <c r="D1229" t="s">
        <v>78</v>
      </c>
      <c r="E1229" s="1" t="s">
        <v>96</v>
      </c>
      <c r="F1229" t="s">
        <v>93</v>
      </c>
      <c r="G1229" t="s">
        <v>15</v>
      </c>
      <c r="H1229">
        <v>4</v>
      </c>
      <c r="I1229">
        <v>73218.95</v>
      </c>
    </row>
    <row r="1230" spans="1:9" x14ac:dyDescent="0.25">
      <c r="A1230" s="5" t="str">
        <f>TrendSheetPrdData[[#This Row],[Population]]&amp;TrendSheetPrdData[[#This Row],[Cost Basis]]&amp;TrendSheetPrdData[[#This Row],[Period]]&amp;TrendSheetPrdData[[#This Row],[Trend]]</f>
        <v>OTHERSPaid2016-05-01Readmission Cost</v>
      </c>
      <c r="B1230" t="s">
        <v>111</v>
      </c>
      <c r="C1230" t="s">
        <v>111</v>
      </c>
      <c r="D1230" t="s">
        <v>78</v>
      </c>
      <c r="E1230" s="1" t="s">
        <v>97</v>
      </c>
      <c r="F1230" t="s">
        <v>93</v>
      </c>
      <c r="G1230" t="s">
        <v>15</v>
      </c>
      <c r="H1230">
        <v>4</v>
      </c>
      <c r="I1230">
        <v>0</v>
      </c>
    </row>
    <row r="1231" spans="1:9" x14ac:dyDescent="0.25">
      <c r="A1231" s="5" t="str">
        <f>TrendSheetPrdData[[#This Row],[Population]]&amp;TrendSheetPrdData[[#This Row],[Cost Basis]]&amp;TrendSheetPrdData[[#This Row],[Period]]&amp;TrendSheetPrdData[[#This Row],[Trend]]</f>
        <v>OTHERSPaid2016-06-01Readmission Cost</v>
      </c>
      <c r="B1231" t="s">
        <v>111</v>
      </c>
      <c r="C1231" t="s">
        <v>111</v>
      </c>
      <c r="D1231" t="s">
        <v>78</v>
      </c>
      <c r="E1231" s="1" t="s">
        <v>98</v>
      </c>
      <c r="F1231" t="s">
        <v>93</v>
      </c>
      <c r="G1231" t="s">
        <v>15</v>
      </c>
      <c r="H1231">
        <v>4</v>
      </c>
      <c r="I1231">
        <v>0</v>
      </c>
    </row>
    <row r="1232" spans="1:9" x14ac:dyDescent="0.25">
      <c r="A1232" s="5" t="str">
        <f>TrendSheetPrdData[[#This Row],[Population]]&amp;TrendSheetPrdData[[#This Row],[Cost Basis]]&amp;TrendSheetPrdData[[#This Row],[Period]]&amp;TrendSheetPrdData[[#This Row],[Trend]]</f>
        <v>OTHERSPaid2016-07-01Readmission Cost</v>
      </c>
      <c r="B1232" t="s">
        <v>111</v>
      </c>
      <c r="C1232" t="s">
        <v>111</v>
      </c>
      <c r="D1232" t="s">
        <v>78</v>
      </c>
      <c r="E1232" s="1" t="s">
        <v>99</v>
      </c>
      <c r="F1232" t="s">
        <v>93</v>
      </c>
      <c r="G1232" t="s">
        <v>15</v>
      </c>
      <c r="H1232">
        <v>4</v>
      </c>
      <c r="I1232">
        <v>32806.5</v>
      </c>
    </row>
    <row r="1233" spans="1:9" x14ac:dyDescent="0.25">
      <c r="A1233" s="5" t="str">
        <f>TrendSheetPrdData[[#This Row],[Population]]&amp;TrendSheetPrdData[[#This Row],[Cost Basis]]&amp;TrendSheetPrdData[[#This Row],[Period]]&amp;TrendSheetPrdData[[#This Row],[Trend]]</f>
        <v>OTHERSPaid2016-08-01Readmission Cost</v>
      </c>
      <c r="B1233" t="s">
        <v>111</v>
      </c>
      <c r="C1233" t="s">
        <v>111</v>
      </c>
      <c r="D1233" t="s">
        <v>78</v>
      </c>
      <c r="E1233" s="1" t="s">
        <v>100</v>
      </c>
      <c r="F1233" t="s">
        <v>93</v>
      </c>
      <c r="G1233" t="s">
        <v>15</v>
      </c>
      <c r="H1233">
        <v>4</v>
      </c>
      <c r="I1233">
        <v>0</v>
      </c>
    </row>
    <row r="1234" spans="1:9" x14ac:dyDescent="0.25">
      <c r="A1234" s="5" t="str">
        <f>TrendSheetPrdData[[#This Row],[Population]]&amp;TrendSheetPrdData[[#This Row],[Cost Basis]]&amp;TrendSheetPrdData[[#This Row],[Period]]&amp;TrendSheetPrdData[[#This Row],[Trend]]</f>
        <v>OTHERSPaid2016-09-01Readmission Cost</v>
      </c>
      <c r="B1234" t="s">
        <v>111</v>
      </c>
      <c r="C1234" t="s">
        <v>111</v>
      </c>
      <c r="D1234" t="s">
        <v>78</v>
      </c>
      <c r="E1234" s="1" t="s">
        <v>101</v>
      </c>
      <c r="F1234" t="s">
        <v>93</v>
      </c>
      <c r="G1234" t="s">
        <v>15</v>
      </c>
      <c r="H1234">
        <v>4</v>
      </c>
      <c r="I1234">
        <v>29541.15</v>
      </c>
    </row>
    <row r="1235" spans="1:9" x14ac:dyDescent="0.25">
      <c r="A1235" s="5" t="str">
        <f>TrendSheetPrdData[[#This Row],[Population]]&amp;TrendSheetPrdData[[#This Row],[Cost Basis]]&amp;TrendSheetPrdData[[#This Row],[Period]]&amp;TrendSheetPrdData[[#This Row],[Trend]]</f>
        <v>OTHERSPaid2016-10-01Readmission Cost</v>
      </c>
      <c r="B1235" t="s">
        <v>111</v>
      </c>
      <c r="C1235" t="s">
        <v>111</v>
      </c>
      <c r="D1235" t="s">
        <v>78</v>
      </c>
      <c r="E1235" s="1" t="s">
        <v>102</v>
      </c>
      <c r="F1235" t="s">
        <v>93</v>
      </c>
      <c r="G1235" t="s">
        <v>15</v>
      </c>
      <c r="H1235">
        <v>4</v>
      </c>
      <c r="I1235">
        <v>0</v>
      </c>
    </row>
    <row r="1236" spans="1:9" x14ac:dyDescent="0.25">
      <c r="A1236" s="5" t="str">
        <f>TrendSheetPrdData[[#This Row],[Population]]&amp;TrendSheetPrdData[[#This Row],[Cost Basis]]&amp;TrendSheetPrdData[[#This Row],[Period]]&amp;TrendSheetPrdData[[#This Row],[Trend]]</f>
        <v>OTHERSPaid2016-11-01Readmission Cost</v>
      </c>
      <c r="B1236" t="s">
        <v>111</v>
      </c>
      <c r="C1236" t="s">
        <v>111</v>
      </c>
      <c r="D1236" t="s">
        <v>78</v>
      </c>
      <c r="E1236" s="1" t="s">
        <v>103</v>
      </c>
      <c r="F1236" t="s">
        <v>93</v>
      </c>
      <c r="G1236" t="s">
        <v>15</v>
      </c>
      <c r="H1236">
        <v>4</v>
      </c>
      <c r="I1236">
        <v>30959.06</v>
      </c>
    </row>
    <row r="1237" spans="1:9" x14ac:dyDescent="0.25">
      <c r="A1237" s="5" t="str">
        <f>TrendSheetPrdData[[#This Row],[Population]]&amp;TrendSheetPrdData[[#This Row],[Cost Basis]]&amp;TrendSheetPrdData[[#This Row],[Period]]&amp;TrendSheetPrdData[[#This Row],[Trend]]</f>
        <v>OTHERSPaid2016-12-01Readmission Cost</v>
      </c>
      <c r="B1237" t="s">
        <v>111</v>
      </c>
      <c r="C1237" t="s">
        <v>111</v>
      </c>
      <c r="D1237" t="s">
        <v>78</v>
      </c>
      <c r="E1237" s="1" t="s">
        <v>104</v>
      </c>
      <c r="F1237" t="s">
        <v>93</v>
      </c>
      <c r="G1237" t="s">
        <v>15</v>
      </c>
      <c r="H1237">
        <v>4</v>
      </c>
      <c r="I1237">
        <v>0</v>
      </c>
    </row>
    <row r="1238" spans="1:9" x14ac:dyDescent="0.25">
      <c r="A1238" s="5" t="str">
        <f>TrendSheetPrdData[[#This Row],[Population]]&amp;TrendSheetPrdData[[#This Row],[Cost Basis]]&amp;TrendSheetPrdData[[#This Row],[Period]]&amp;TrendSheetPrdData[[#This Row],[Trend]]</f>
        <v>OTHERSPaid2017-01-01Readmission Cost</v>
      </c>
      <c r="B1238" t="s">
        <v>111</v>
      </c>
      <c r="C1238" t="s">
        <v>111</v>
      </c>
      <c r="D1238" t="s">
        <v>78</v>
      </c>
      <c r="E1238" s="1" t="s">
        <v>105</v>
      </c>
      <c r="F1238" t="s">
        <v>108</v>
      </c>
      <c r="G1238" t="s">
        <v>15</v>
      </c>
      <c r="H1238">
        <v>4</v>
      </c>
      <c r="I1238">
        <v>0</v>
      </c>
    </row>
    <row r="1239" spans="1:9" x14ac:dyDescent="0.25">
      <c r="A1239" s="5" t="str">
        <f>TrendSheetPrdData[[#This Row],[Population]]&amp;TrendSheetPrdData[[#This Row],[Cost Basis]]&amp;TrendSheetPrdData[[#This Row],[Period]]&amp;TrendSheetPrdData[[#This Row],[Trend]]</f>
        <v>OTHERSPaid2017-02-01Readmission Cost</v>
      </c>
      <c r="B1239" t="s">
        <v>111</v>
      </c>
      <c r="C1239" t="s">
        <v>111</v>
      </c>
      <c r="D1239" t="s">
        <v>78</v>
      </c>
      <c r="E1239" s="1" t="s">
        <v>106</v>
      </c>
      <c r="F1239" t="s">
        <v>108</v>
      </c>
      <c r="G1239" t="s">
        <v>15</v>
      </c>
      <c r="H1239">
        <v>4</v>
      </c>
      <c r="I1239">
        <v>25079.97</v>
      </c>
    </row>
    <row r="1240" spans="1:9" x14ac:dyDescent="0.25">
      <c r="A1240" s="5" t="str">
        <f>TrendSheetPrdData[[#This Row],[Population]]&amp;TrendSheetPrdData[[#This Row],[Cost Basis]]&amp;TrendSheetPrdData[[#This Row],[Period]]&amp;TrendSheetPrdData[[#This Row],[Trend]]</f>
        <v>OTHERSPaid2017-03-01Readmission Cost</v>
      </c>
      <c r="B1240" t="s">
        <v>111</v>
      </c>
      <c r="C1240" t="s">
        <v>111</v>
      </c>
      <c r="D1240" t="s">
        <v>78</v>
      </c>
      <c r="E1240" s="1" t="s">
        <v>107</v>
      </c>
      <c r="F1240" t="s">
        <v>108</v>
      </c>
      <c r="G1240" t="s">
        <v>15</v>
      </c>
      <c r="H1240">
        <v>4</v>
      </c>
      <c r="I1240">
        <v>0</v>
      </c>
    </row>
    <row r="1241" spans="1:9" x14ac:dyDescent="0.25">
      <c r="A1241" s="5" t="str">
        <f>TrendSheetPrdData[[#This Row],[Population]]&amp;TrendSheetPrdData[[#This Row],[Cost Basis]]&amp;TrendSheetPrdData[[#This Row],[Period]]&amp;TrendSheetPrdData[[#This Row],[Trend]]</f>
        <v>OTHERSPaid2017-04-01Readmission Cost</v>
      </c>
      <c r="B1241" t="s">
        <v>111</v>
      </c>
      <c r="C1241" t="s">
        <v>111</v>
      </c>
      <c r="D1241" t="s">
        <v>78</v>
      </c>
      <c r="E1241" s="1" t="s">
        <v>109</v>
      </c>
      <c r="F1241" t="s">
        <v>108</v>
      </c>
      <c r="G1241" t="s">
        <v>15</v>
      </c>
      <c r="H1241">
        <v>4</v>
      </c>
      <c r="I1241">
        <v>0</v>
      </c>
    </row>
    <row r="1242" spans="1:9" x14ac:dyDescent="0.25">
      <c r="A1242" s="5" t="str">
        <f>TrendSheetPrdData[[#This Row],[Population]]&amp;TrendSheetPrdData[[#This Row],[Cost Basis]]&amp;TrendSheetPrdData[[#This Row],[Period]]&amp;TrendSheetPrdData[[#This Row],[Trend]]</f>
        <v>OTHERSPaid2017-05-01Readmission Cost</v>
      </c>
      <c r="B1242" t="s">
        <v>111</v>
      </c>
      <c r="C1242" t="s">
        <v>111</v>
      </c>
      <c r="D1242" t="s">
        <v>78</v>
      </c>
      <c r="E1242" s="1" t="s">
        <v>110</v>
      </c>
      <c r="F1242" t="s">
        <v>108</v>
      </c>
      <c r="G1242" t="s">
        <v>15</v>
      </c>
      <c r="H1242">
        <v>4</v>
      </c>
      <c r="I1242">
        <v>0</v>
      </c>
    </row>
    <row r="1243" spans="1:9" x14ac:dyDescent="0.25">
      <c r="A1243" s="5" t="str">
        <f>TrendSheetPrdData[[#This Row],[Population]]&amp;TrendSheetPrdData[[#This Row],[Cost Basis]]&amp;TrendSheetPrdData[[#This Row],[Period]]&amp;TrendSheetPrdData[[#This Row],[Trend]]</f>
        <v>OTHERSPaid2016-01-01Readmission Quality</v>
      </c>
      <c r="B1243" t="s">
        <v>111</v>
      </c>
      <c r="C1243" t="s">
        <v>111</v>
      </c>
      <c r="D1243" t="s">
        <v>78</v>
      </c>
      <c r="E1243" s="1" t="s">
        <v>92</v>
      </c>
      <c r="F1243" t="s">
        <v>93</v>
      </c>
      <c r="G1243" t="s">
        <v>16</v>
      </c>
      <c r="H1243">
        <v>5</v>
      </c>
      <c r="I1243">
        <v>1</v>
      </c>
    </row>
    <row r="1244" spans="1:9" x14ac:dyDescent="0.25">
      <c r="A1244" s="5" t="str">
        <f>TrendSheetPrdData[[#This Row],[Population]]&amp;TrendSheetPrdData[[#This Row],[Cost Basis]]&amp;TrendSheetPrdData[[#This Row],[Period]]&amp;TrendSheetPrdData[[#This Row],[Trend]]</f>
        <v>OTHERSPaid2016-02-01Readmission Quality</v>
      </c>
      <c r="B1244" t="s">
        <v>111</v>
      </c>
      <c r="C1244" t="s">
        <v>111</v>
      </c>
      <c r="D1244" t="s">
        <v>78</v>
      </c>
      <c r="E1244" s="1" t="s">
        <v>94</v>
      </c>
      <c r="F1244" t="s">
        <v>93</v>
      </c>
      <c r="G1244" t="s">
        <v>16</v>
      </c>
      <c r="H1244">
        <v>5</v>
      </c>
      <c r="I1244">
        <v>0</v>
      </c>
    </row>
    <row r="1245" spans="1:9" x14ac:dyDescent="0.25">
      <c r="A1245" s="5" t="str">
        <f>TrendSheetPrdData[[#This Row],[Population]]&amp;TrendSheetPrdData[[#This Row],[Cost Basis]]&amp;TrendSheetPrdData[[#This Row],[Period]]&amp;TrendSheetPrdData[[#This Row],[Trend]]</f>
        <v>OTHERSPaid2016-03-01Readmission Quality</v>
      </c>
      <c r="B1245" t="s">
        <v>111</v>
      </c>
      <c r="C1245" t="s">
        <v>111</v>
      </c>
      <c r="D1245" t="s">
        <v>78</v>
      </c>
      <c r="E1245" s="1" t="s">
        <v>95</v>
      </c>
      <c r="F1245" t="s">
        <v>93</v>
      </c>
      <c r="G1245" t="s">
        <v>16</v>
      </c>
      <c r="H1245">
        <v>5</v>
      </c>
      <c r="I1245">
        <v>1</v>
      </c>
    </row>
    <row r="1246" spans="1:9" x14ac:dyDescent="0.25">
      <c r="A1246" s="5" t="str">
        <f>TrendSheetPrdData[[#This Row],[Population]]&amp;TrendSheetPrdData[[#This Row],[Cost Basis]]&amp;TrendSheetPrdData[[#This Row],[Period]]&amp;TrendSheetPrdData[[#This Row],[Trend]]</f>
        <v>OTHERSPaid2016-04-01Readmission Quality</v>
      </c>
      <c r="B1246" t="s">
        <v>111</v>
      </c>
      <c r="C1246" t="s">
        <v>111</v>
      </c>
      <c r="D1246" t="s">
        <v>78</v>
      </c>
      <c r="E1246" s="1" t="s">
        <v>96</v>
      </c>
      <c r="F1246" t="s">
        <v>93</v>
      </c>
      <c r="G1246" t="s">
        <v>16</v>
      </c>
      <c r="H1246">
        <v>5</v>
      </c>
      <c r="I1246">
        <v>3</v>
      </c>
    </row>
    <row r="1247" spans="1:9" x14ac:dyDescent="0.25">
      <c r="A1247" s="5" t="str">
        <f>TrendSheetPrdData[[#This Row],[Population]]&amp;TrendSheetPrdData[[#This Row],[Cost Basis]]&amp;TrendSheetPrdData[[#This Row],[Period]]&amp;TrendSheetPrdData[[#This Row],[Trend]]</f>
        <v>OTHERSPaid2016-05-01Readmission Quality</v>
      </c>
      <c r="B1247" t="s">
        <v>111</v>
      </c>
      <c r="C1247" t="s">
        <v>111</v>
      </c>
      <c r="D1247" t="s">
        <v>78</v>
      </c>
      <c r="E1247" s="1" t="s">
        <v>97</v>
      </c>
      <c r="F1247" t="s">
        <v>93</v>
      </c>
      <c r="G1247" t="s">
        <v>16</v>
      </c>
      <c r="H1247">
        <v>5</v>
      </c>
      <c r="I1247">
        <v>0</v>
      </c>
    </row>
    <row r="1248" spans="1:9" x14ac:dyDescent="0.25">
      <c r="A1248" s="5" t="str">
        <f>TrendSheetPrdData[[#This Row],[Population]]&amp;TrendSheetPrdData[[#This Row],[Cost Basis]]&amp;TrendSheetPrdData[[#This Row],[Period]]&amp;TrendSheetPrdData[[#This Row],[Trend]]</f>
        <v>OTHERSPaid2016-06-01Readmission Quality</v>
      </c>
      <c r="B1248" t="s">
        <v>111</v>
      </c>
      <c r="C1248" t="s">
        <v>111</v>
      </c>
      <c r="D1248" t="s">
        <v>78</v>
      </c>
      <c r="E1248" s="1" t="s">
        <v>98</v>
      </c>
      <c r="F1248" t="s">
        <v>93</v>
      </c>
      <c r="G1248" t="s">
        <v>16</v>
      </c>
      <c r="H1248">
        <v>5</v>
      </c>
      <c r="I1248">
        <v>0</v>
      </c>
    </row>
    <row r="1249" spans="1:9" x14ac:dyDescent="0.25">
      <c r="A1249" s="5" t="str">
        <f>TrendSheetPrdData[[#This Row],[Population]]&amp;TrendSheetPrdData[[#This Row],[Cost Basis]]&amp;TrendSheetPrdData[[#This Row],[Period]]&amp;TrendSheetPrdData[[#This Row],[Trend]]</f>
        <v>OTHERSPaid2016-07-01Readmission Quality</v>
      </c>
      <c r="B1249" t="s">
        <v>111</v>
      </c>
      <c r="C1249" t="s">
        <v>111</v>
      </c>
      <c r="D1249" t="s">
        <v>78</v>
      </c>
      <c r="E1249" s="1" t="s">
        <v>99</v>
      </c>
      <c r="F1249" t="s">
        <v>93</v>
      </c>
      <c r="G1249" t="s">
        <v>16</v>
      </c>
      <c r="H1249">
        <v>5</v>
      </c>
      <c r="I1249">
        <v>2</v>
      </c>
    </row>
    <row r="1250" spans="1:9" x14ac:dyDescent="0.25">
      <c r="A1250" s="5" t="str">
        <f>TrendSheetPrdData[[#This Row],[Population]]&amp;TrendSheetPrdData[[#This Row],[Cost Basis]]&amp;TrendSheetPrdData[[#This Row],[Period]]&amp;TrendSheetPrdData[[#This Row],[Trend]]</f>
        <v>OTHERSPaid2016-08-01Readmission Quality</v>
      </c>
      <c r="B1250" t="s">
        <v>111</v>
      </c>
      <c r="C1250" t="s">
        <v>111</v>
      </c>
      <c r="D1250" t="s">
        <v>78</v>
      </c>
      <c r="E1250" s="1" t="s">
        <v>100</v>
      </c>
      <c r="F1250" t="s">
        <v>93</v>
      </c>
      <c r="G1250" t="s">
        <v>16</v>
      </c>
      <c r="H1250">
        <v>5</v>
      </c>
      <c r="I1250">
        <v>0</v>
      </c>
    </row>
    <row r="1251" spans="1:9" x14ac:dyDescent="0.25">
      <c r="A1251" s="5" t="str">
        <f>TrendSheetPrdData[[#This Row],[Population]]&amp;TrendSheetPrdData[[#This Row],[Cost Basis]]&amp;TrendSheetPrdData[[#This Row],[Period]]&amp;TrendSheetPrdData[[#This Row],[Trend]]</f>
        <v>OTHERSPaid2016-09-01Readmission Quality</v>
      </c>
      <c r="B1251" t="s">
        <v>111</v>
      </c>
      <c r="C1251" t="s">
        <v>111</v>
      </c>
      <c r="D1251" t="s">
        <v>78</v>
      </c>
      <c r="E1251" s="1" t="s">
        <v>101</v>
      </c>
      <c r="F1251" t="s">
        <v>93</v>
      </c>
      <c r="G1251" t="s">
        <v>16</v>
      </c>
      <c r="H1251">
        <v>5</v>
      </c>
      <c r="I1251">
        <v>1</v>
      </c>
    </row>
    <row r="1252" spans="1:9" x14ac:dyDescent="0.25">
      <c r="A1252" s="5" t="str">
        <f>TrendSheetPrdData[[#This Row],[Population]]&amp;TrendSheetPrdData[[#This Row],[Cost Basis]]&amp;TrendSheetPrdData[[#This Row],[Period]]&amp;TrendSheetPrdData[[#This Row],[Trend]]</f>
        <v>OTHERSPaid2016-10-01Readmission Quality</v>
      </c>
      <c r="B1252" t="s">
        <v>111</v>
      </c>
      <c r="C1252" t="s">
        <v>111</v>
      </c>
      <c r="D1252" t="s">
        <v>78</v>
      </c>
      <c r="E1252" s="1" t="s">
        <v>102</v>
      </c>
      <c r="F1252" t="s">
        <v>93</v>
      </c>
      <c r="G1252" t="s">
        <v>16</v>
      </c>
      <c r="H1252">
        <v>5</v>
      </c>
      <c r="I1252">
        <v>0</v>
      </c>
    </row>
    <row r="1253" spans="1:9" x14ac:dyDescent="0.25">
      <c r="A1253" s="5" t="str">
        <f>TrendSheetPrdData[[#This Row],[Population]]&amp;TrendSheetPrdData[[#This Row],[Cost Basis]]&amp;TrendSheetPrdData[[#This Row],[Period]]&amp;TrendSheetPrdData[[#This Row],[Trend]]</f>
        <v>OTHERSPaid2016-11-01Readmission Quality</v>
      </c>
      <c r="B1253" t="s">
        <v>111</v>
      </c>
      <c r="C1253" t="s">
        <v>111</v>
      </c>
      <c r="D1253" t="s">
        <v>78</v>
      </c>
      <c r="E1253" s="1" t="s">
        <v>103</v>
      </c>
      <c r="F1253" t="s">
        <v>93</v>
      </c>
      <c r="G1253" t="s">
        <v>16</v>
      </c>
      <c r="H1253">
        <v>5</v>
      </c>
      <c r="I1253">
        <v>2</v>
      </c>
    </row>
    <row r="1254" spans="1:9" x14ac:dyDescent="0.25">
      <c r="A1254" s="5" t="str">
        <f>TrendSheetPrdData[[#This Row],[Population]]&amp;TrendSheetPrdData[[#This Row],[Cost Basis]]&amp;TrendSheetPrdData[[#This Row],[Period]]&amp;TrendSheetPrdData[[#This Row],[Trend]]</f>
        <v>OTHERSPaid2016-12-01Readmission Quality</v>
      </c>
      <c r="B1254" t="s">
        <v>111</v>
      </c>
      <c r="C1254" t="s">
        <v>111</v>
      </c>
      <c r="D1254" t="s">
        <v>78</v>
      </c>
      <c r="E1254" s="1" t="s">
        <v>104</v>
      </c>
      <c r="F1254" t="s">
        <v>93</v>
      </c>
      <c r="G1254" t="s">
        <v>16</v>
      </c>
      <c r="H1254">
        <v>5</v>
      </c>
      <c r="I1254">
        <v>0</v>
      </c>
    </row>
    <row r="1255" spans="1:9" x14ac:dyDescent="0.25">
      <c r="A1255" s="5" t="str">
        <f>TrendSheetPrdData[[#This Row],[Population]]&amp;TrendSheetPrdData[[#This Row],[Cost Basis]]&amp;TrendSheetPrdData[[#This Row],[Period]]&amp;TrendSheetPrdData[[#This Row],[Trend]]</f>
        <v>OTHERSPaid2017-01-01Readmission Quality</v>
      </c>
      <c r="B1255" t="s">
        <v>111</v>
      </c>
      <c r="C1255" t="s">
        <v>111</v>
      </c>
      <c r="D1255" t="s">
        <v>78</v>
      </c>
      <c r="E1255" s="1" t="s">
        <v>105</v>
      </c>
      <c r="F1255" t="s">
        <v>108</v>
      </c>
      <c r="G1255" t="s">
        <v>16</v>
      </c>
      <c r="H1255">
        <v>5</v>
      </c>
      <c r="I1255">
        <v>0</v>
      </c>
    </row>
    <row r="1256" spans="1:9" x14ac:dyDescent="0.25">
      <c r="A1256" s="5" t="str">
        <f>TrendSheetPrdData[[#This Row],[Population]]&amp;TrendSheetPrdData[[#This Row],[Cost Basis]]&amp;TrendSheetPrdData[[#This Row],[Period]]&amp;TrendSheetPrdData[[#This Row],[Trend]]</f>
        <v>OTHERSPaid2017-02-01Readmission Quality</v>
      </c>
      <c r="B1256" t="s">
        <v>111</v>
      </c>
      <c r="C1256" t="s">
        <v>111</v>
      </c>
      <c r="D1256" t="s">
        <v>78</v>
      </c>
      <c r="E1256" s="1" t="s">
        <v>106</v>
      </c>
      <c r="F1256" t="s">
        <v>108</v>
      </c>
      <c r="G1256" t="s">
        <v>16</v>
      </c>
      <c r="H1256">
        <v>5</v>
      </c>
      <c r="I1256">
        <v>1</v>
      </c>
    </row>
    <row r="1257" spans="1:9" x14ac:dyDescent="0.25">
      <c r="A1257" s="5" t="str">
        <f>TrendSheetPrdData[[#This Row],[Population]]&amp;TrendSheetPrdData[[#This Row],[Cost Basis]]&amp;TrendSheetPrdData[[#This Row],[Period]]&amp;TrendSheetPrdData[[#This Row],[Trend]]</f>
        <v>OTHERSPaid2017-03-01Readmission Quality</v>
      </c>
      <c r="B1257" t="s">
        <v>111</v>
      </c>
      <c r="C1257" t="s">
        <v>111</v>
      </c>
      <c r="D1257" t="s">
        <v>78</v>
      </c>
      <c r="E1257" s="1" t="s">
        <v>107</v>
      </c>
      <c r="F1257" t="s">
        <v>108</v>
      </c>
      <c r="G1257" t="s">
        <v>16</v>
      </c>
      <c r="H1257">
        <v>5</v>
      </c>
      <c r="I1257">
        <v>0</v>
      </c>
    </row>
    <row r="1258" spans="1:9" x14ac:dyDescent="0.25">
      <c r="A1258" s="5" t="str">
        <f>TrendSheetPrdData[[#This Row],[Population]]&amp;TrendSheetPrdData[[#This Row],[Cost Basis]]&amp;TrendSheetPrdData[[#This Row],[Period]]&amp;TrendSheetPrdData[[#This Row],[Trend]]</f>
        <v>OTHERSPaid2017-04-01Readmission Quality</v>
      </c>
      <c r="B1258" t="s">
        <v>111</v>
      </c>
      <c r="C1258" t="s">
        <v>111</v>
      </c>
      <c r="D1258" t="s">
        <v>78</v>
      </c>
      <c r="E1258" s="1" t="s">
        <v>109</v>
      </c>
      <c r="F1258" t="s">
        <v>108</v>
      </c>
      <c r="G1258" t="s">
        <v>16</v>
      </c>
      <c r="H1258">
        <v>5</v>
      </c>
      <c r="I1258">
        <v>0</v>
      </c>
    </row>
    <row r="1259" spans="1:9" x14ac:dyDescent="0.25">
      <c r="A1259" s="5" t="str">
        <f>TrendSheetPrdData[[#This Row],[Population]]&amp;TrendSheetPrdData[[#This Row],[Cost Basis]]&amp;TrendSheetPrdData[[#This Row],[Period]]&amp;TrendSheetPrdData[[#This Row],[Trend]]</f>
        <v>OTHERSPaid2017-05-01Readmission Quality</v>
      </c>
      <c r="B1259" t="s">
        <v>111</v>
      </c>
      <c r="C1259" t="s">
        <v>111</v>
      </c>
      <c r="D1259" t="s">
        <v>78</v>
      </c>
      <c r="E1259" s="1" t="s">
        <v>110</v>
      </c>
      <c r="F1259" t="s">
        <v>108</v>
      </c>
      <c r="G1259" t="s">
        <v>16</v>
      </c>
      <c r="H1259">
        <v>5</v>
      </c>
      <c r="I1259">
        <v>0</v>
      </c>
    </row>
    <row r="1260" spans="1:9" x14ac:dyDescent="0.25">
      <c r="A1260" s="5" t="str">
        <f>TrendSheetPrdData[[#This Row],[Population]]&amp;TrendSheetPrdData[[#This Row],[Cost Basis]]&amp;TrendSheetPrdData[[#This Row],[Period]]&amp;TrendSheetPrdData[[#This Row],[Trend]]</f>
        <v>OTHERSPaid2016-01-01Avoidable Admission Cost</v>
      </c>
      <c r="B1260" t="s">
        <v>111</v>
      </c>
      <c r="C1260" t="s">
        <v>111</v>
      </c>
      <c r="D1260" t="s">
        <v>78</v>
      </c>
      <c r="E1260" s="1" t="s">
        <v>92</v>
      </c>
      <c r="F1260" t="s">
        <v>93</v>
      </c>
      <c r="G1260" t="s">
        <v>17</v>
      </c>
      <c r="H1260">
        <v>6</v>
      </c>
      <c r="I1260">
        <v>4275.47</v>
      </c>
    </row>
    <row r="1261" spans="1:9" x14ac:dyDescent="0.25">
      <c r="A1261" s="5" t="str">
        <f>TrendSheetPrdData[[#This Row],[Population]]&amp;TrendSheetPrdData[[#This Row],[Cost Basis]]&amp;TrendSheetPrdData[[#This Row],[Period]]&amp;TrendSheetPrdData[[#This Row],[Trend]]</f>
        <v>OTHERSPaid2016-02-01Avoidable Admission Cost</v>
      </c>
      <c r="B1261" t="s">
        <v>111</v>
      </c>
      <c r="C1261" t="s">
        <v>111</v>
      </c>
      <c r="D1261" t="s">
        <v>78</v>
      </c>
      <c r="E1261" s="1" t="s">
        <v>94</v>
      </c>
      <c r="F1261" t="s">
        <v>93</v>
      </c>
      <c r="G1261" t="s">
        <v>17</v>
      </c>
      <c r="H1261">
        <v>6</v>
      </c>
      <c r="I1261">
        <v>0</v>
      </c>
    </row>
    <row r="1262" spans="1:9" x14ac:dyDescent="0.25">
      <c r="A1262" s="5" t="str">
        <f>TrendSheetPrdData[[#This Row],[Population]]&amp;TrendSheetPrdData[[#This Row],[Cost Basis]]&amp;TrendSheetPrdData[[#This Row],[Period]]&amp;TrendSheetPrdData[[#This Row],[Trend]]</f>
        <v>OTHERSPaid2016-03-01Avoidable Admission Cost</v>
      </c>
      <c r="B1262" t="s">
        <v>111</v>
      </c>
      <c r="C1262" t="s">
        <v>111</v>
      </c>
      <c r="D1262" t="s">
        <v>78</v>
      </c>
      <c r="E1262" s="1" t="s">
        <v>95</v>
      </c>
      <c r="F1262" t="s">
        <v>93</v>
      </c>
      <c r="G1262" t="s">
        <v>17</v>
      </c>
      <c r="H1262">
        <v>6</v>
      </c>
      <c r="I1262">
        <v>0</v>
      </c>
    </row>
    <row r="1263" spans="1:9" x14ac:dyDescent="0.25">
      <c r="A1263" s="5" t="str">
        <f>TrendSheetPrdData[[#This Row],[Population]]&amp;TrendSheetPrdData[[#This Row],[Cost Basis]]&amp;TrendSheetPrdData[[#This Row],[Period]]&amp;TrendSheetPrdData[[#This Row],[Trend]]</f>
        <v>OTHERSPaid2016-04-01Avoidable Admission Cost</v>
      </c>
      <c r="B1263" t="s">
        <v>111</v>
      </c>
      <c r="C1263" t="s">
        <v>111</v>
      </c>
      <c r="D1263" t="s">
        <v>78</v>
      </c>
      <c r="E1263" s="1" t="s">
        <v>96</v>
      </c>
      <c r="F1263" t="s">
        <v>93</v>
      </c>
      <c r="G1263" t="s">
        <v>17</v>
      </c>
      <c r="H1263">
        <v>6</v>
      </c>
      <c r="I1263">
        <v>72144.61</v>
      </c>
    </row>
    <row r="1264" spans="1:9" x14ac:dyDescent="0.25">
      <c r="A1264" s="5" t="str">
        <f>TrendSheetPrdData[[#This Row],[Population]]&amp;TrendSheetPrdData[[#This Row],[Cost Basis]]&amp;TrendSheetPrdData[[#This Row],[Period]]&amp;TrendSheetPrdData[[#This Row],[Trend]]</f>
        <v>OTHERSPaid2016-05-01Avoidable Admission Cost</v>
      </c>
      <c r="B1264" t="s">
        <v>111</v>
      </c>
      <c r="C1264" t="s">
        <v>111</v>
      </c>
      <c r="D1264" t="s">
        <v>78</v>
      </c>
      <c r="E1264" s="1" t="s">
        <v>97</v>
      </c>
      <c r="F1264" t="s">
        <v>93</v>
      </c>
      <c r="G1264" t="s">
        <v>17</v>
      </c>
      <c r="H1264">
        <v>6</v>
      </c>
      <c r="I1264">
        <v>0</v>
      </c>
    </row>
    <row r="1265" spans="1:9" x14ac:dyDescent="0.25">
      <c r="A1265" s="5" t="str">
        <f>TrendSheetPrdData[[#This Row],[Population]]&amp;TrendSheetPrdData[[#This Row],[Cost Basis]]&amp;TrendSheetPrdData[[#This Row],[Period]]&amp;TrendSheetPrdData[[#This Row],[Trend]]</f>
        <v>OTHERSPaid2016-06-01Avoidable Admission Cost</v>
      </c>
      <c r="B1265" t="s">
        <v>111</v>
      </c>
      <c r="C1265" t="s">
        <v>111</v>
      </c>
      <c r="D1265" t="s">
        <v>78</v>
      </c>
      <c r="E1265" s="1" t="s">
        <v>98</v>
      </c>
      <c r="F1265" t="s">
        <v>93</v>
      </c>
      <c r="G1265" t="s">
        <v>17</v>
      </c>
      <c r="H1265">
        <v>6</v>
      </c>
      <c r="I1265">
        <v>0</v>
      </c>
    </row>
    <row r="1266" spans="1:9" x14ac:dyDescent="0.25">
      <c r="A1266" s="5" t="str">
        <f>TrendSheetPrdData[[#This Row],[Population]]&amp;TrendSheetPrdData[[#This Row],[Cost Basis]]&amp;TrendSheetPrdData[[#This Row],[Period]]&amp;TrendSheetPrdData[[#This Row],[Trend]]</f>
        <v>OTHERSPaid2016-07-01Avoidable Admission Cost</v>
      </c>
      <c r="B1266" t="s">
        <v>111</v>
      </c>
      <c r="C1266" t="s">
        <v>111</v>
      </c>
      <c r="D1266" t="s">
        <v>78</v>
      </c>
      <c r="E1266" s="1" t="s">
        <v>99</v>
      </c>
      <c r="F1266" t="s">
        <v>93</v>
      </c>
      <c r="G1266" t="s">
        <v>17</v>
      </c>
      <c r="H1266">
        <v>6</v>
      </c>
      <c r="I1266">
        <v>11207.61</v>
      </c>
    </row>
    <row r="1267" spans="1:9" x14ac:dyDescent="0.25">
      <c r="A1267" s="5" t="str">
        <f>TrendSheetPrdData[[#This Row],[Population]]&amp;TrendSheetPrdData[[#This Row],[Cost Basis]]&amp;TrendSheetPrdData[[#This Row],[Period]]&amp;TrendSheetPrdData[[#This Row],[Trend]]</f>
        <v>OTHERSPaid2016-08-01Avoidable Admission Cost</v>
      </c>
      <c r="B1267" t="s">
        <v>111</v>
      </c>
      <c r="C1267" t="s">
        <v>111</v>
      </c>
      <c r="D1267" t="s">
        <v>78</v>
      </c>
      <c r="E1267" s="1" t="s">
        <v>100</v>
      </c>
      <c r="F1267" t="s">
        <v>93</v>
      </c>
      <c r="G1267" t="s">
        <v>17</v>
      </c>
      <c r="H1267">
        <v>6</v>
      </c>
      <c r="I1267">
        <v>0</v>
      </c>
    </row>
    <row r="1268" spans="1:9" x14ac:dyDescent="0.25">
      <c r="A1268" s="5" t="str">
        <f>TrendSheetPrdData[[#This Row],[Population]]&amp;TrendSheetPrdData[[#This Row],[Cost Basis]]&amp;TrendSheetPrdData[[#This Row],[Period]]&amp;TrendSheetPrdData[[#This Row],[Trend]]</f>
        <v>OTHERSPaid2016-09-01Avoidable Admission Cost</v>
      </c>
      <c r="B1268" t="s">
        <v>111</v>
      </c>
      <c r="C1268" t="s">
        <v>111</v>
      </c>
      <c r="D1268" t="s">
        <v>78</v>
      </c>
      <c r="E1268" s="1" t="s">
        <v>101</v>
      </c>
      <c r="F1268" t="s">
        <v>93</v>
      </c>
      <c r="G1268" t="s">
        <v>17</v>
      </c>
      <c r="H1268">
        <v>6</v>
      </c>
      <c r="I1268">
        <v>0</v>
      </c>
    </row>
    <row r="1269" spans="1:9" x14ac:dyDescent="0.25">
      <c r="A1269" s="5" t="str">
        <f>TrendSheetPrdData[[#This Row],[Population]]&amp;TrendSheetPrdData[[#This Row],[Cost Basis]]&amp;TrendSheetPrdData[[#This Row],[Period]]&amp;TrendSheetPrdData[[#This Row],[Trend]]</f>
        <v>OTHERSPaid2016-10-01Avoidable Admission Cost</v>
      </c>
      <c r="B1269" t="s">
        <v>111</v>
      </c>
      <c r="C1269" t="s">
        <v>111</v>
      </c>
      <c r="D1269" t="s">
        <v>78</v>
      </c>
      <c r="E1269" s="1" t="s">
        <v>102</v>
      </c>
      <c r="F1269" t="s">
        <v>93</v>
      </c>
      <c r="G1269" t="s">
        <v>17</v>
      </c>
      <c r="H1269">
        <v>6</v>
      </c>
      <c r="I1269">
        <v>8351.01</v>
      </c>
    </row>
    <row r="1270" spans="1:9" x14ac:dyDescent="0.25">
      <c r="A1270" s="5" t="str">
        <f>TrendSheetPrdData[[#This Row],[Population]]&amp;TrendSheetPrdData[[#This Row],[Cost Basis]]&amp;TrendSheetPrdData[[#This Row],[Period]]&amp;TrendSheetPrdData[[#This Row],[Trend]]</f>
        <v>OTHERSPaid2016-11-01Avoidable Admission Cost</v>
      </c>
      <c r="B1270" t="s">
        <v>111</v>
      </c>
      <c r="C1270" t="s">
        <v>111</v>
      </c>
      <c r="D1270" t="s">
        <v>78</v>
      </c>
      <c r="E1270" s="1" t="s">
        <v>103</v>
      </c>
      <c r="F1270" t="s">
        <v>93</v>
      </c>
      <c r="G1270" t="s">
        <v>17</v>
      </c>
      <c r="H1270">
        <v>6</v>
      </c>
      <c r="I1270">
        <v>31217.65</v>
      </c>
    </row>
    <row r="1271" spans="1:9" x14ac:dyDescent="0.25">
      <c r="A1271" s="5" t="str">
        <f>TrendSheetPrdData[[#This Row],[Population]]&amp;TrendSheetPrdData[[#This Row],[Cost Basis]]&amp;TrendSheetPrdData[[#This Row],[Period]]&amp;TrendSheetPrdData[[#This Row],[Trend]]</f>
        <v>OTHERSPaid2016-12-01Avoidable Admission Cost</v>
      </c>
      <c r="B1271" t="s">
        <v>111</v>
      </c>
      <c r="C1271" t="s">
        <v>111</v>
      </c>
      <c r="D1271" t="s">
        <v>78</v>
      </c>
      <c r="E1271" s="1" t="s">
        <v>104</v>
      </c>
      <c r="F1271" t="s">
        <v>93</v>
      </c>
      <c r="G1271" t="s">
        <v>17</v>
      </c>
      <c r="H1271">
        <v>6</v>
      </c>
      <c r="I1271">
        <v>0</v>
      </c>
    </row>
    <row r="1272" spans="1:9" x14ac:dyDescent="0.25">
      <c r="A1272" s="5" t="str">
        <f>TrendSheetPrdData[[#This Row],[Population]]&amp;TrendSheetPrdData[[#This Row],[Cost Basis]]&amp;TrendSheetPrdData[[#This Row],[Period]]&amp;TrendSheetPrdData[[#This Row],[Trend]]</f>
        <v>OTHERSPaid2017-01-01Avoidable Admission Cost</v>
      </c>
      <c r="B1272" t="s">
        <v>111</v>
      </c>
      <c r="C1272" t="s">
        <v>111</v>
      </c>
      <c r="D1272" t="s">
        <v>78</v>
      </c>
      <c r="E1272" s="1" t="s">
        <v>105</v>
      </c>
      <c r="F1272" t="s">
        <v>108</v>
      </c>
      <c r="G1272" t="s">
        <v>17</v>
      </c>
      <c r="H1272">
        <v>6</v>
      </c>
      <c r="I1272">
        <v>7188.05</v>
      </c>
    </row>
    <row r="1273" spans="1:9" x14ac:dyDescent="0.25">
      <c r="A1273" s="5" t="str">
        <f>TrendSheetPrdData[[#This Row],[Population]]&amp;TrendSheetPrdData[[#This Row],[Cost Basis]]&amp;TrendSheetPrdData[[#This Row],[Period]]&amp;TrendSheetPrdData[[#This Row],[Trend]]</f>
        <v>OTHERSPaid2017-02-01Avoidable Admission Cost</v>
      </c>
      <c r="B1273" t="s">
        <v>111</v>
      </c>
      <c r="C1273" t="s">
        <v>111</v>
      </c>
      <c r="D1273" t="s">
        <v>78</v>
      </c>
      <c r="E1273" s="1" t="s">
        <v>106</v>
      </c>
      <c r="F1273" t="s">
        <v>108</v>
      </c>
      <c r="G1273" t="s">
        <v>17</v>
      </c>
      <c r="H1273">
        <v>6</v>
      </c>
      <c r="I1273">
        <v>0</v>
      </c>
    </row>
    <row r="1274" spans="1:9" x14ac:dyDescent="0.25">
      <c r="A1274" s="5" t="str">
        <f>TrendSheetPrdData[[#This Row],[Population]]&amp;TrendSheetPrdData[[#This Row],[Cost Basis]]&amp;TrendSheetPrdData[[#This Row],[Period]]&amp;TrendSheetPrdData[[#This Row],[Trend]]</f>
        <v>OTHERSPaid2017-03-01Avoidable Admission Cost</v>
      </c>
      <c r="B1274" t="s">
        <v>111</v>
      </c>
      <c r="C1274" t="s">
        <v>111</v>
      </c>
      <c r="D1274" t="s">
        <v>78</v>
      </c>
      <c r="E1274" s="1" t="s">
        <v>107</v>
      </c>
      <c r="F1274" t="s">
        <v>108</v>
      </c>
      <c r="G1274" t="s">
        <v>17</v>
      </c>
      <c r="H1274">
        <v>6</v>
      </c>
      <c r="I1274">
        <v>0</v>
      </c>
    </row>
    <row r="1275" spans="1:9" x14ac:dyDescent="0.25">
      <c r="A1275" s="5" t="str">
        <f>TrendSheetPrdData[[#This Row],[Population]]&amp;TrendSheetPrdData[[#This Row],[Cost Basis]]&amp;TrendSheetPrdData[[#This Row],[Period]]&amp;TrendSheetPrdData[[#This Row],[Trend]]</f>
        <v>OTHERSPaid2017-04-01Avoidable Admission Cost</v>
      </c>
      <c r="B1275" t="s">
        <v>111</v>
      </c>
      <c r="C1275" t="s">
        <v>111</v>
      </c>
      <c r="D1275" t="s">
        <v>78</v>
      </c>
      <c r="E1275" s="1" t="s">
        <v>109</v>
      </c>
      <c r="F1275" t="s">
        <v>108</v>
      </c>
      <c r="G1275" t="s">
        <v>17</v>
      </c>
      <c r="H1275">
        <v>6</v>
      </c>
      <c r="I1275">
        <v>0</v>
      </c>
    </row>
    <row r="1276" spans="1:9" x14ac:dyDescent="0.25">
      <c r="A1276" s="5" t="str">
        <f>TrendSheetPrdData[[#This Row],[Population]]&amp;TrendSheetPrdData[[#This Row],[Cost Basis]]&amp;TrendSheetPrdData[[#This Row],[Period]]&amp;TrendSheetPrdData[[#This Row],[Trend]]</f>
        <v>OTHERSPaid2017-05-01Avoidable Admission Cost</v>
      </c>
      <c r="B1276" t="s">
        <v>111</v>
      </c>
      <c r="C1276" t="s">
        <v>111</v>
      </c>
      <c r="D1276" t="s">
        <v>78</v>
      </c>
      <c r="E1276" s="1" t="s">
        <v>110</v>
      </c>
      <c r="F1276" t="s">
        <v>108</v>
      </c>
      <c r="G1276" t="s">
        <v>17</v>
      </c>
      <c r="H1276">
        <v>6</v>
      </c>
      <c r="I1276">
        <v>0</v>
      </c>
    </row>
    <row r="1277" spans="1:9" x14ac:dyDescent="0.25">
      <c r="A1277" s="5" t="str">
        <f>TrendSheetPrdData[[#This Row],[Population]]&amp;TrendSheetPrdData[[#This Row],[Cost Basis]]&amp;TrendSheetPrdData[[#This Row],[Period]]&amp;TrendSheetPrdData[[#This Row],[Trend]]</f>
        <v>OTHERSPaid2016-01-01Avoidable Admission Quality</v>
      </c>
      <c r="B1277" t="s">
        <v>111</v>
      </c>
      <c r="C1277" t="s">
        <v>111</v>
      </c>
      <c r="D1277" t="s">
        <v>78</v>
      </c>
      <c r="E1277" s="1" t="s">
        <v>92</v>
      </c>
      <c r="F1277" t="s">
        <v>93</v>
      </c>
      <c r="G1277" t="s">
        <v>18</v>
      </c>
      <c r="H1277">
        <v>7</v>
      </c>
      <c r="I1277">
        <v>2</v>
      </c>
    </row>
    <row r="1278" spans="1:9" x14ac:dyDescent="0.25">
      <c r="A1278" s="5" t="str">
        <f>TrendSheetPrdData[[#This Row],[Population]]&amp;TrendSheetPrdData[[#This Row],[Cost Basis]]&amp;TrendSheetPrdData[[#This Row],[Period]]&amp;TrendSheetPrdData[[#This Row],[Trend]]</f>
        <v>OTHERSPaid2016-02-01Avoidable Admission Quality</v>
      </c>
      <c r="B1278" t="s">
        <v>111</v>
      </c>
      <c r="C1278" t="s">
        <v>111</v>
      </c>
      <c r="D1278" t="s">
        <v>78</v>
      </c>
      <c r="E1278" s="1" t="s">
        <v>94</v>
      </c>
      <c r="F1278" t="s">
        <v>93</v>
      </c>
      <c r="G1278" t="s">
        <v>18</v>
      </c>
      <c r="H1278">
        <v>7</v>
      </c>
      <c r="I1278">
        <v>0</v>
      </c>
    </row>
    <row r="1279" spans="1:9" x14ac:dyDescent="0.25">
      <c r="A1279" s="5" t="str">
        <f>TrendSheetPrdData[[#This Row],[Population]]&amp;TrendSheetPrdData[[#This Row],[Cost Basis]]&amp;TrendSheetPrdData[[#This Row],[Period]]&amp;TrendSheetPrdData[[#This Row],[Trend]]</f>
        <v>OTHERSPaid2016-03-01Avoidable Admission Quality</v>
      </c>
      <c r="B1279" t="s">
        <v>111</v>
      </c>
      <c r="C1279" t="s">
        <v>111</v>
      </c>
      <c r="D1279" t="s">
        <v>78</v>
      </c>
      <c r="E1279" s="1" t="s">
        <v>95</v>
      </c>
      <c r="F1279" t="s">
        <v>93</v>
      </c>
      <c r="G1279" t="s">
        <v>18</v>
      </c>
      <c r="H1279">
        <v>7</v>
      </c>
      <c r="I1279">
        <v>0</v>
      </c>
    </row>
    <row r="1280" spans="1:9" x14ac:dyDescent="0.25">
      <c r="A1280" s="5" t="str">
        <f>TrendSheetPrdData[[#This Row],[Population]]&amp;TrendSheetPrdData[[#This Row],[Cost Basis]]&amp;TrendSheetPrdData[[#This Row],[Period]]&amp;TrendSheetPrdData[[#This Row],[Trend]]</f>
        <v>OTHERSPaid2016-04-01Avoidable Admission Quality</v>
      </c>
      <c r="B1280" t="s">
        <v>111</v>
      </c>
      <c r="C1280" t="s">
        <v>111</v>
      </c>
      <c r="D1280" t="s">
        <v>78</v>
      </c>
      <c r="E1280" s="1" t="s">
        <v>96</v>
      </c>
      <c r="F1280" t="s">
        <v>93</v>
      </c>
      <c r="G1280" t="s">
        <v>18</v>
      </c>
      <c r="H1280">
        <v>7</v>
      </c>
      <c r="I1280">
        <v>1</v>
      </c>
    </row>
    <row r="1281" spans="1:9" x14ac:dyDescent="0.25">
      <c r="A1281" s="5" t="str">
        <f>TrendSheetPrdData[[#This Row],[Population]]&amp;TrendSheetPrdData[[#This Row],[Cost Basis]]&amp;TrendSheetPrdData[[#This Row],[Period]]&amp;TrendSheetPrdData[[#This Row],[Trend]]</f>
        <v>OTHERSPaid2016-05-01Avoidable Admission Quality</v>
      </c>
      <c r="B1281" t="s">
        <v>111</v>
      </c>
      <c r="C1281" t="s">
        <v>111</v>
      </c>
      <c r="D1281" t="s">
        <v>78</v>
      </c>
      <c r="E1281" s="1" t="s">
        <v>97</v>
      </c>
      <c r="F1281" t="s">
        <v>93</v>
      </c>
      <c r="G1281" t="s">
        <v>18</v>
      </c>
      <c r="H1281">
        <v>7</v>
      </c>
      <c r="I1281">
        <v>0</v>
      </c>
    </row>
    <row r="1282" spans="1:9" x14ac:dyDescent="0.25">
      <c r="A1282" s="5" t="str">
        <f>TrendSheetPrdData[[#This Row],[Population]]&amp;TrendSheetPrdData[[#This Row],[Cost Basis]]&amp;TrendSheetPrdData[[#This Row],[Period]]&amp;TrendSheetPrdData[[#This Row],[Trend]]</f>
        <v>OTHERSPaid2016-06-01Avoidable Admission Quality</v>
      </c>
      <c r="B1282" t="s">
        <v>111</v>
      </c>
      <c r="C1282" t="s">
        <v>111</v>
      </c>
      <c r="D1282" t="s">
        <v>78</v>
      </c>
      <c r="E1282" s="1" t="s">
        <v>98</v>
      </c>
      <c r="F1282" t="s">
        <v>93</v>
      </c>
      <c r="G1282" t="s">
        <v>18</v>
      </c>
      <c r="H1282">
        <v>7</v>
      </c>
      <c r="I1282">
        <v>0</v>
      </c>
    </row>
    <row r="1283" spans="1:9" x14ac:dyDescent="0.25">
      <c r="A1283" s="5" t="str">
        <f>TrendSheetPrdData[[#This Row],[Population]]&amp;TrendSheetPrdData[[#This Row],[Cost Basis]]&amp;TrendSheetPrdData[[#This Row],[Period]]&amp;TrendSheetPrdData[[#This Row],[Trend]]</f>
        <v>OTHERSPaid2016-07-01Avoidable Admission Quality</v>
      </c>
      <c r="B1283" t="s">
        <v>111</v>
      </c>
      <c r="C1283" t="s">
        <v>111</v>
      </c>
      <c r="D1283" t="s">
        <v>78</v>
      </c>
      <c r="E1283" s="1" t="s">
        <v>99</v>
      </c>
      <c r="F1283" t="s">
        <v>93</v>
      </c>
      <c r="G1283" t="s">
        <v>18</v>
      </c>
      <c r="H1283">
        <v>7</v>
      </c>
      <c r="I1283">
        <v>1</v>
      </c>
    </row>
    <row r="1284" spans="1:9" x14ac:dyDescent="0.25">
      <c r="A1284" s="5" t="str">
        <f>TrendSheetPrdData[[#This Row],[Population]]&amp;TrendSheetPrdData[[#This Row],[Cost Basis]]&amp;TrendSheetPrdData[[#This Row],[Period]]&amp;TrendSheetPrdData[[#This Row],[Trend]]</f>
        <v>OTHERSPaid2016-08-01Avoidable Admission Quality</v>
      </c>
      <c r="B1284" t="s">
        <v>111</v>
      </c>
      <c r="C1284" t="s">
        <v>111</v>
      </c>
      <c r="D1284" t="s">
        <v>78</v>
      </c>
      <c r="E1284" s="1" t="s">
        <v>100</v>
      </c>
      <c r="F1284" t="s">
        <v>93</v>
      </c>
      <c r="G1284" t="s">
        <v>18</v>
      </c>
      <c r="H1284">
        <v>7</v>
      </c>
      <c r="I1284">
        <v>0</v>
      </c>
    </row>
    <row r="1285" spans="1:9" x14ac:dyDescent="0.25">
      <c r="A1285" s="5" t="str">
        <f>TrendSheetPrdData[[#This Row],[Population]]&amp;TrendSheetPrdData[[#This Row],[Cost Basis]]&amp;TrendSheetPrdData[[#This Row],[Period]]&amp;TrendSheetPrdData[[#This Row],[Trend]]</f>
        <v>OTHERSPaid2016-09-01Avoidable Admission Quality</v>
      </c>
      <c r="B1285" t="s">
        <v>111</v>
      </c>
      <c r="C1285" t="s">
        <v>111</v>
      </c>
      <c r="D1285" t="s">
        <v>78</v>
      </c>
      <c r="E1285" s="1" t="s">
        <v>101</v>
      </c>
      <c r="F1285" t="s">
        <v>93</v>
      </c>
      <c r="G1285" t="s">
        <v>18</v>
      </c>
      <c r="H1285">
        <v>7</v>
      </c>
      <c r="I1285">
        <v>0</v>
      </c>
    </row>
    <row r="1286" spans="1:9" x14ac:dyDescent="0.25">
      <c r="A1286" s="5" t="str">
        <f>TrendSheetPrdData[[#This Row],[Population]]&amp;TrendSheetPrdData[[#This Row],[Cost Basis]]&amp;TrendSheetPrdData[[#This Row],[Period]]&amp;TrendSheetPrdData[[#This Row],[Trend]]</f>
        <v>OTHERSPaid2016-10-01Avoidable Admission Quality</v>
      </c>
      <c r="B1286" t="s">
        <v>111</v>
      </c>
      <c r="C1286" t="s">
        <v>111</v>
      </c>
      <c r="D1286" t="s">
        <v>78</v>
      </c>
      <c r="E1286" s="1" t="s">
        <v>102</v>
      </c>
      <c r="F1286" t="s">
        <v>93</v>
      </c>
      <c r="G1286" t="s">
        <v>18</v>
      </c>
      <c r="H1286">
        <v>7</v>
      </c>
      <c r="I1286">
        <v>1</v>
      </c>
    </row>
    <row r="1287" spans="1:9" x14ac:dyDescent="0.25">
      <c r="A1287" s="5" t="str">
        <f>TrendSheetPrdData[[#This Row],[Population]]&amp;TrendSheetPrdData[[#This Row],[Cost Basis]]&amp;TrendSheetPrdData[[#This Row],[Period]]&amp;TrendSheetPrdData[[#This Row],[Trend]]</f>
        <v>OTHERSPaid2016-11-01Avoidable Admission Quality</v>
      </c>
      <c r="B1287" t="s">
        <v>111</v>
      </c>
      <c r="C1287" t="s">
        <v>111</v>
      </c>
      <c r="D1287" t="s">
        <v>78</v>
      </c>
      <c r="E1287" s="1" t="s">
        <v>103</v>
      </c>
      <c r="F1287" t="s">
        <v>93</v>
      </c>
      <c r="G1287" t="s">
        <v>18</v>
      </c>
      <c r="H1287">
        <v>7</v>
      </c>
      <c r="I1287">
        <v>2</v>
      </c>
    </row>
    <row r="1288" spans="1:9" x14ac:dyDescent="0.25">
      <c r="A1288" s="5" t="str">
        <f>TrendSheetPrdData[[#This Row],[Population]]&amp;TrendSheetPrdData[[#This Row],[Cost Basis]]&amp;TrendSheetPrdData[[#This Row],[Period]]&amp;TrendSheetPrdData[[#This Row],[Trend]]</f>
        <v>OTHERSPaid2016-12-01Avoidable Admission Quality</v>
      </c>
      <c r="B1288" t="s">
        <v>111</v>
      </c>
      <c r="C1288" t="s">
        <v>111</v>
      </c>
      <c r="D1288" t="s">
        <v>78</v>
      </c>
      <c r="E1288" s="1" t="s">
        <v>104</v>
      </c>
      <c r="F1288" t="s">
        <v>93</v>
      </c>
      <c r="G1288" t="s">
        <v>18</v>
      </c>
      <c r="H1288">
        <v>7</v>
      </c>
      <c r="I1288">
        <v>0</v>
      </c>
    </row>
    <row r="1289" spans="1:9" x14ac:dyDescent="0.25">
      <c r="A1289" s="5" t="str">
        <f>TrendSheetPrdData[[#This Row],[Population]]&amp;TrendSheetPrdData[[#This Row],[Cost Basis]]&amp;TrendSheetPrdData[[#This Row],[Period]]&amp;TrendSheetPrdData[[#This Row],[Trend]]</f>
        <v>OTHERSPaid2017-01-01Avoidable Admission Quality</v>
      </c>
      <c r="B1289" t="s">
        <v>111</v>
      </c>
      <c r="C1289" t="s">
        <v>111</v>
      </c>
      <c r="D1289" t="s">
        <v>78</v>
      </c>
      <c r="E1289" s="1" t="s">
        <v>105</v>
      </c>
      <c r="F1289" t="s">
        <v>108</v>
      </c>
      <c r="G1289" t="s">
        <v>18</v>
      </c>
      <c r="H1289">
        <v>7</v>
      </c>
      <c r="I1289">
        <v>1</v>
      </c>
    </row>
    <row r="1290" spans="1:9" x14ac:dyDescent="0.25">
      <c r="A1290" s="5" t="str">
        <f>TrendSheetPrdData[[#This Row],[Population]]&amp;TrendSheetPrdData[[#This Row],[Cost Basis]]&amp;TrendSheetPrdData[[#This Row],[Period]]&amp;TrendSheetPrdData[[#This Row],[Trend]]</f>
        <v>OTHERSPaid2017-02-01Avoidable Admission Quality</v>
      </c>
      <c r="B1290" t="s">
        <v>111</v>
      </c>
      <c r="C1290" t="s">
        <v>111</v>
      </c>
      <c r="D1290" t="s">
        <v>78</v>
      </c>
      <c r="E1290" s="1" t="s">
        <v>106</v>
      </c>
      <c r="F1290" t="s">
        <v>108</v>
      </c>
      <c r="G1290" t="s">
        <v>18</v>
      </c>
      <c r="H1290">
        <v>7</v>
      </c>
      <c r="I1290">
        <v>0</v>
      </c>
    </row>
    <row r="1291" spans="1:9" x14ac:dyDescent="0.25">
      <c r="A1291" s="5" t="str">
        <f>TrendSheetPrdData[[#This Row],[Population]]&amp;TrendSheetPrdData[[#This Row],[Cost Basis]]&amp;TrendSheetPrdData[[#This Row],[Period]]&amp;TrendSheetPrdData[[#This Row],[Trend]]</f>
        <v>OTHERSPaid2017-03-01Avoidable Admission Quality</v>
      </c>
      <c r="B1291" t="s">
        <v>111</v>
      </c>
      <c r="C1291" t="s">
        <v>111</v>
      </c>
      <c r="D1291" t="s">
        <v>78</v>
      </c>
      <c r="E1291" s="1" t="s">
        <v>107</v>
      </c>
      <c r="F1291" t="s">
        <v>108</v>
      </c>
      <c r="G1291" t="s">
        <v>18</v>
      </c>
      <c r="H1291">
        <v>7</v>
      </c>
      <c r="I1291">
        <v>0</v>
      </c>
    </row>
    <row r="1292" spans="1:9" x14ac:dyDescent="0.25">
      <c r="A1292" s="5" t="str">
        <f>TrendSheetPrdData[[#This Row],[Population]]&amp;TrendSheetPrdData[[#This Row],[Cost Basis]]&amp;TrendSheetPrdData[[#This Row],[Period]]&amp;TrendSheetPrdData[[#This Row],[Trend]]</f>
        <v>OTHERSPaid2017-04-01Avoidable Admission Quality</v>
      </c>
      <c r="B1292" t="s">
        <v>111</v>
      </c>
      <c r="C1292" t="s">
        <v>111</v>
      </c>
      <c r="D1292" t="s">
        <v>78</v>
      </c>
      <c r="E1292" s="1" t="s">
        <v>109</v>
      </c>
      <c r="F1292" t="s">
        <v>108</v>
      </c>
      <c r="G1292" t="s">
        <v>18</v>
      </c>
      <c r="H1292">
        <v>7</v>
      </c>
      <c r="I1292">
        <v>0</v>
      </c>
    </row>
    <row r="1293" spans="1:9" x14ac:dyDescent="0.25">
      <c r="A1293" s="5" t="str">
        <f>TrendSheetPrdData[[#This Row],[Population]]&amp;TrendSheetPrdData[[#This Row],[Cost Basis]]&amp;TrendSheetPrdData[[#This Row],[Period]]&amp;TrendSheetPrdData[[#This Row],[Trend]]</f>
        <v>OTHERSPaid2017-05-01Avoidable Admission Quality</v>
      </c>
      <c r="B1293" t="s">
        <v>111</v>
      </c>
      <c r="C1293" t="s">
        <v>111</v>
      </c>
      <c r="D1293" t="s">
        <v>78</v>
      </c>
      <c r="E1293" s="1" t="s">
        <v>110</v>
      </c>
      <c r="F1293" t="s">
        <v>108</v>
      </c>
      <c r="G1293" t="s">
        <v>18</v>
      </c>
      <c r="H1293">
        <v>7</v>
      </c>
      <c r="I1293">
        <v>0</v>
      </c>
    </row>
    <row r="1294" spans="1:9" x14ac:dyDescent="0.25">
      <c r="A1294" s="5" t="str">
        <f>TrendSheetPrdData[[#This Row],[Population]]&amp;TrendSheetPrdData[[#This Row],[Cost Basis]]&amp;TrendSheetPrdData[[#This Row],[Period]]&amp;TrendSheetPrdData[[#This Row],[Trend]]</f>
        <v>OTHERSPaid2016-01-01Outpatient Imaging Cost</v>
      </c>
      <c r="B1294" t="s">
        <v>111</v>
      </c>
      <c r="C1294" t="s">
        <v>111</v>
      </c>
      <c r="D1294" t="s">
        <v>78</v>
      </c>
      <c r="E1294" s="1" t="s">
        <v>92</v>
      </c>
      <c r="F1294" t="s">
        <v>93</v>
      </c>
      <c r="G1294" t="s">
        <v>19</v>
      </c>
      <c r="H1294">
        <v>8</v>
      </c>
      <c r="I1294">
        <v>28336.87</v>
      </c>
    </row>
    <row r="1295" spans="1:9" x14ac:dyDescent="0.25">
      <c r="A1295" s="5" t="str">
        <f>TrendSheetPrdData[[#This Row],[Population]]&amp;TrendSheetPrdData[[#This Row],[Cost Basis]]&amp;TrendSheetPrdData[[#This Row],[Period]]&amp;TrendSheetPrdData[[#This Row],[Trend]]</f>
        <v>OTHERSPaid2016-02-01Outpatient Imaging Cost</v>
      </c>
      <c r="B1295" t="s">
        <v>111</v>
      </c>
      <c r="C1295" t="s">
        <v>111</v>
      </c>
      <c r="D1295" t="s">
        <v>78</v>
      </c>
      <c r="E1295" s="1" t="s">
        <v>94</v>
      </c>
      <c r="F1295" t="s">
        <v>93</v>
      </c>
      <c r="G1295" t="s">
        <v>19</v>
      </c>
      <c r="H1295">
        <v>8</v>
      </c>
      <c r="I1295">
        <v>38779.19</v>
      </c>
    </row>
    <row r="1296" spans="1:9" x14ac:dyDescent="0.25">
      <c r="A1296" s="5" t="str">
        <f>TrendSheetPrdData[[#This Row],[Population]]&amp;TrendSheetPrdData[[#This Row],[Cost Basis]]&amp;TrendSheetPrdData[[#This Row],[Period]]&amp;TrendSheetPrdData[[#This Row],[Trend]]</f>
        <v>OTHERSPaid2016-03-01Outpatient Imaging Cost</v>
      </c>
      <c r="B1296" t="s">
        <v>111</v>
      </c>
      <c r="C1296" t="s">
        <v>111</v>
      </c>
      <c r="D1296" t="s">
        <v>78</v>
      </c>
      <c r="E1296" s="1" t="s">
        <v>95</v>
      </c>
      <c r="F1296" t="s">
        <v>93</v>
      </c>
      <c r="G1296" t="s">
        <v>19</v>
      </c>
      <c r="H1296">
        <v>8</v>
      </c>
      <c r="I1296">
        <v>26248.97</v>
      </c>
    </row>
    <row r="1297" spans="1:9" x14ac:dyDescent="0.25">
      <c r="A1297" s="5" t="str">
        <f>TrendSheetPrdData[[#This Row],[Population]]&amp;TrendSheetPrdData[[#This Row],[Cost Basis]]&amp;TrendSheetPrdData[[#This Row],[Period]]&amp;TrendSheetPrdData[[#This Row],[Trend]]</f>
        <v>OTHERSPaid2016-04-01Outpatient Imaging Cost</v>
      </c>
      <c r="B1297" t="s">
        <v>111</v>
      </c>
      <c r="C1297" t="s">
        <v>111</v>
      </c>
      <c r="D1297" t="s">
        <v>78</v>
      </c>
      <c r="E1297" s="1" t="s">
        <v>96</v>
      </c>
      <c r="F1297" t="s">
        <v>93</v>
      </c>
      <c r="G1297" t="s">
        <v>19</v>
      </c>
      <c r="H1297">
        <v>8</v>
      </c>
      <c r="I1297">
        <v>19540.439999999999</v>
      </c>
    </row>
    <row r="1298" spans="1:9" x14ac:dyDescent="0.25">
      <c r="A1298" s="5" t="str">
        <f>TrendSheetPrdData[[#This Row],[Population]]&amp;TrendSheetPrdData[[#This Row],[Cost Basis]]&amp;TrendSheetPrdData[[#This Row],[Period]]&amp;TrendSheetPrdData[[#This Row],[Trend]]</f>
        <v>OTHERSPaid2016-05-01Outpatient Imaging Cost</v>
      </c>
      <c r="B1298" t="s">
        <v>111</v>
      </c>
      <c r="C1298" t="s">
        <v>111</v>
      </c>
      <c r="D1298" t="s">
        <v>78</v>
      </c>
      <c r="E1298" s="1" t="s">
        <v>97</v>
      </c>
      <c r="F1298" t="s">
        <v>93</v>
      </c>
      <c r="G1298" t="s">
        <v>19</v>
      </c>
      <c r="H1298">
        <v>8</v>
      </c>
      <c r="I1298">
        <v>21483.759999999998</v>
      </c>
    </row>
    <row r="1299" spans="1:9" x14ac:dyDescent="0.25">
      <c r="A1299" s="5" t="str">
        <f>TrendSheetPrdData[[#This Row],[Population]]&amp;TrendSheetPrdData[[#This Row],[Cost Basis]]&amp;TrendSheetPrdData[[#This Row],[Period]]&amp;TrendSheetPrdData[[#This Row],[Trend]]</f>
        <v>OTHERSPaid2016-06-01Outpatient Imaging Cost</v>
      </c>
      <c r="B1299" t="s">
        <v>111</v>
      </c>
      <c r="C1299" t="s">
        <v>111</v>
      </c>
      <c r="D1299" t="s">
        <v>78</v>
      </c>
      <c r="E1299" s="1" t="s">
        <v>98</v>
      </c>
      <c r="F1299" t="s">
        <v>93</v>
      </c>
      <c r="G1299" t="s">
        <v>19</v>
      </c>
      <c r="H1299">
        <v>8</v>
      </c>
      <c r="I1299">
        <v>22916.38</v>
      </c>
    </row>
    <row r="1300" spans="1:9" x14ac:dyDescent="0.25">
      <c r="A1300" s="5" t="str">
        <f>TrendSheetPrdData[[#This Row],[Population]]&amp;TrendSheetPrdData[[#This Row],[Cost Basis]]&amp;TrendSheetPrdData[[#This Row],[Period]]&amp;TrendSheetPrdData[[#This Row],[Trend]]</f>
        <v>OTHERSPaid2016-07-01Outpatient Imaging Cost</v>
      </c>
      <c r="B1300" t="s">
        <v>111</v>
      </c>
      <c r="C1300" t="s">
        <v>111</v>
      </c>
      <c r="D1300" t="s">
        <v>78</v>
      </c>
      <c r="E1300" s="1" t="s">
        <v>99</v>
      </c>
      <c r="F1300" t="s">
        <v>93</v>
      </c>
      <c r="G1300" t="s">
        <v>19</v>
      </c>
      <c r="H1300">
        <v>8</v>
      </c>
      <c r="I1300">
        <v>32707.02</v>
      </c>
    </row>
    <row r="1301" spans="1:9" x14ac:dyDescent="0.25">
      <c r="A1301" s="5" t="str">
        <f>TrendSheetPrdData[[#This Row],[Population]]&amp;TrendSheetPrdData[[#This Row],[Cost Basis]]&amp;TrendSheetPrdData[[#This Row],[Period]]&amp;TrendSheetPrdData[[#This Row],[Trend]]</f>
        <v>OTHERSPaid2016-08-01Outpatient Imaging Cost</v>
      </c>
      <c r="B1301" t="s">
        <v>111</v>
      </c>
      <c r="C1301" t="s">
        <v>111</v>
      </c>
      <c r="D1301" t="s">
        <v>78</v>
      </c>
      <c r="E1301" s="1" t="s">
        <v>100</v>
      </c>
      <c r="F1301" t="s">
        <v>93</v>
      </c>
      <c r="G1301" t="s">
        <v>19</v>
      </c>
      <c r="H1301">
        <v>8</v>
      </c>
      <c r="I1301">
        <v>21184.51</v>
      </c>
    </row>
    <row r="1302" spans="1:9" x14ac:dyDescent="0.25">
      <c r="A1302" s="5" t="str">
        <f>TrendSheetPrdData[[#This Row],[Population]]&amp;TrendSheetPrdData[[#This Row],[Cost Basis]]&amp;TrendSheetPrdData[[#This Row],[Period]]&amp;TrendSheetPrdData[[#This Row],[Trend]]</f>
        <v>OTHERSPaid2016-09-01Outpatient Imaging Cost</v>
      </c>
      <c r="B1302" t="s">
        <v>111</v>
      </c>
      <c r="C1302" t="s">
        <v>111</v>
      </c>
      <c r="D1302" t="s">
        <v>78</v>
      </c>
      <c r="E1302" s="1" t="s">
        <v>101</v>
      </c>
      <c r="F1302" t="s">
        <v>93</v>
      </c>
      <c r="G1302" t="s">
        <v>19</v>
      </c>
      <c r="H1302">
        <v>8</v>
      </c>
      <c r="I1302">
        <v>18158.37</v>
      </c>
    </row>
    <row r="1303" spans="1:9" x14ac:dyDescent="0.25">
      <c r="A1303" s="5" t="str">
        <f>TrendSheetPrdData[[#This Row],[Population]]&amp;TrendSheetPrdData[[#This Row],[Cost Basis]]&amp;TrendSheetPrdData[[#This Row],[Period]]&amp;TrendSheetPrdData[[#This Row],[Trend]]</f>
        <v>OTHERSPaid2016-10-01Outpatient Imaging Cost</v>
      </c>
      <c r="B1303" t="s">
        <v>111</v>
      </c>
      <c r="C1303" t="s">
        <v>111</v>
      </c>
      <c r="D1303" t="s">
        <v>78</v>
      </c>
      <c r="E1303" s="1" t="s">
        <v>102</v>
      </c>
      <c r="F1303" t="s">
        <v>93</v>
      </c>
      <c r="G1303" t="s">
        <v>19</v>
      </c>
      <c r="H1303">
        <v>8</v>
      </c>
      <c r="I1303">
        <v>24586.07</v>
      </c>
    </row>
    <row r="1304" spans="1:9" x14ac:dyDescent="0.25">
      <c r="A1304" s="5" t="str">
        <f>TrendSheetPrdData[[#This Row],[Population]]&amp;TrendSheetPrdData[[#This Row],[Cost Basis]]&amp;TrendSheetPrdData[[#This Row],[Period]]&amp;TrendSheetPrdData[[#This Row],[Trend]]</f>
        <v>OTHERSPaid2016-11-01Outpatient Imaging Cost</v>
      </c>
      <c r="B1304" t="s">
        <v>111</v>
      </c>
      <c r="C1304" t="s">
        <v>111</v>
      </c>
      <c r="D1304" t="s">
        <v>78</v>
      </c>
      <c r="E1304" s="1" t="s">
        <v>103</v>
      </c>
      <c r="F1304" t="s">
        <v>93</v>
      </c>
      <c r="G1304" t="s">
        <v>19</v>
      </c>
      <c r="H1304">
        <v>8</v>
      </c>
      <c r="I1304">
        <v>45565.84</v>
      </c>
    </row>
    <row r="1305" spans="1:9" x14ac:dyDescent="0.25">
      <c r="A1305" s="5" t="str">
        <f>TrendSheetPrdData[[#This Row],[Population]]&amp;TrendSheetPrdData[[#This Row],[Cost Basis]]&amp;TrendSheetPrdData[[#This Row],[Period]]&amp;TrendSheetPrdData[[#This Row],[Trend]]</f>
        <v>OTHERSPaid2016-12-01Outpatient Imaging Cost</v>
      </c>
      <c r="B1305" t="s">
        <v>111</v>
      </c>
      <c r="C1305" t="s">
        <v>111</v>
      </c>
      <c r="D1305" t="s">
        <v>78</v>
      </c>
      <c r="E1305" s="1" t="s">
        <v>104</v>
      </c>
      <c r="F1305" t="s">
        <v>93</v>
      </c>
      <c r="G1305" t="s">
        <v>19</v>
      </c>
      <c r="H1305">
        <v>8</v>
      </c>
      <c r="I1305">
        <v>30066.97</v>
      </c>
    </row>
    <row r="1306" spans="1:9" x14ac:dyDescent="0.25">
      <c r="A1306" s="5" t="str">
        <f>TrendSheetPrdData[[#This Row],[Population]]&amp;TrendSheetPrdData[[#This Row],[Cost Basis]]&amp;TrendSheetPrdData[[#This Row],[Period]]&amp;TrendSheetPrdData[[#This Row],[Trend]]</f>
        <v>OTHERSPaid2017-01-01Outpatient Imaging Cost</v>
      </c>
      <c r="B1306" t="s">
        <v>111</v>
      </c>
      <c r="C1306" t="s">
        <v>111</v>
      </c>
      <c r="D1306" t="s">
        <v>78</v>
      </c>
      <c r="E1306" s="1" t="s">
        <v>105</v>
      </c>
      <c r="F1306" t="s">
        <v>108</v>
      </c>
      <c r="G1306" t="s">
        <v>19</v>
      </c>
      <c r="H1306">
        <v>8</v>
      </c>
      <c r="I1306">
        <v>21346.33</v>
      </c>
    </row>
    <row r="1307" spans="1:9" x14ac:dyDescent="0.25">
      <c r="A1307" s="5" t="str">
        <f>TrendSheetPrdData[[#This Row],[Population]]&amp;TrendSheetPrdData[[#This Row],[Cost Basis]]&amp;TrendSheetPrdData[[#This Row],[Period]]&amp;TrendSheetPrdData[[#This Row],[Trend]]</f>
        <v>OTHERSPaid2017-02-01Outpatient Imaging Cost</v>
      </c>
      <c r="B1307" t="s">
        <v>111</v>
      </c>
      <c r="C1307" t="s">
        <v>111</v>
      </c>
      <c r="D1307" t="s">
        <v>78</v>
      </c>
      <c r="E1307" s="1" t="s">
        <v>106</v>
      </c>
      <c r="F1307" t="s">
        <v>108</v>
      </c>
      <c r="G1307" t="s">
        <v>19</v>
      </c>
      <c r="H1307">
        <v>8</v>
      </c>
      <c r="I1307">
        <v>25794.47</v>
      </c>
    </row>
    <row r="1308" spans="1:9" x14ac:dyDescent="0.25">
      <c r="A1308" s="5" t="str">
        <f>TrendSheetPrdData[[#This Row],[Population]]&amp;TrendSheetPrdData[[#This Row],[Cost Basis]]&amp;TrendSheetPrdData[[#This Row],[Period]]&amp;TrendSheetPrdData[[#This Row],[Trend]]</f>
        <v>OTHERSPaid2017-03-01Outpatient Imaging Cost</v>
      </c>
      <c r="B1308" t="s">
        <v>111</v>
      </c>
      <c r="C1308" t="s">
        <v>111</v>
      </c>
      <c r="D1308" t="s">
        <v>78</v>
      </c>
      <c r="E1308" s="1" t="s">
        <v>107</v>
      </c>
      <c r="F1308" t="s">
        <v>108</v>
      </c>
      <c r="G1308" t="s">
        <v>19</v>
      </c>
      <c r="H1308">
        <v>8</v>
      </c>
      <c r="I1308">
        <v>20549.29</v>
      </c>
    </row>
    <row r="1309" spans="1:9" x14ac:dyDescent="0.25">
      <c r="A1309" s="5" t="str">
        <f>TrendSheetPrdData[[#This Row],[Population]]&amp;TrendSheetPrdData[[#This Row],[Cost Basis]]&amp;TrendSheetPrdData[[#This Row],[Period]]&amp;TrendSheetPrdData[[#This Row],[Trend]]</f>
        <v>OTHERSPaid2017-04-01Outpatient Imaging Cost</v>
      </c>
      <c r="B1309" t="s">
        <v>111</v>
      </c>
      <c r="C1309" t="s">
        <v>111</v>
      </c>
      <c r="D1309" t="s">
        <v>78</v>
      </c>
      <c r="E1309" s="1" t="s">
        <v>109</v>
      </c>
      <c r="F1309" t="s">
        <v>108</v>
      </c>
      <c r="G1309" t="s">
        <v>19</v>
      </c>
      <c r="H1309">
        <v>8</v>
      </c>
      <c r="I1309">
        <v>16638.330000000002</v>
      </c>
    </row>
    <row r="1310" spans="1:9" x14ac:dyDescent="0.25">
      <c r="A1310" s="5" t="str">
        <f>TrendSheetPrdData[[#This Row],[Population]]&amp;TrendSheetPrdData[[#This Row],[Cost Basis]]&amp;TrendSheetPrdData[[#This Row],[Period]]&amp;TrendSheetPrdData[[#This Row],[Trend]]</f>
        <v>OTHERSPaid2017-05-01Outpatient Imaging Cost</v>
      </c>
      <c r="B1310" t="s">
        <v>111</v>
      </c>
      <c r="C1310" t="s">
        <v>111</v>
      </c>
      <c r="D1310" t="s">
        <v>78</v>
      </c>
      <c r="E1310" s="1" t="s">
        <v>110</v>
      </c>
      <c r="F1310" t="s">
        <v>108</v>
      </c>
      <c r="G1310" t="s">
        <v>19</v>
      </c>
      <c r="H1310">
        <v>8</v>
      </c>
      <c r="I1310">
        <v>6878.12</v>
      </c>
    </row>
    <row r="1311" spans="1:9" x14ac:dyDescent="0.25">
      <c r="A1311" s="5" t="str">
        <f>TrendSheetPrdData[[#This Row],[Population]]&amp;TrendSheetPrdData[[#This Row],[Cost Basis]]&amp;TrendSheetPrdData[[#This Row],[Period]]&amp;TrendSheetPrdData[[#This Row],[Trend]]</f>
        <v>OTHERSPaid2016-01-01Hospiatl Outpatient MRIs per 1k</v>
      </c>
      <c r="B1311" t="s">
        <v>111</v>
      </c>
      <c r="C1311" t="s">
        <v>111</v>
      </c>
      <c r="D1311" t="s">
        <v>78</v>
      </c>
      <c r="E1311" s="1" t="s">
        <v>92</v>
      </c>
      <c r="F1311" t="s">
        <v>93</v>
      </c>
      <c r="G1311" t="s">
        <v>20</v>
      </c>
      <c r="H1311">
        <v>9</v>
      </c>
      <c r="I1311">
        <v>41</v>
      </c>
    </row>
    <row r="1312" spans="1:9" x14ac:dyDescent="0.25">
      <c r="A1312" s="5" t="str">
        <f>TrendSheetPrdData[[#This Row],[Population]]&amp;TrendSheetPrdData[[#This Row],[Cost Basis]]&amp;TrendSheetPrdData[[#This Row],[Period]]&amp;TrendSheetPrdData[[#This Row],[Trend]]</f>
        <v>OTHERSPaid2016-02-01Hospiatl Outpatient MRIs per 1k</v>
      </c>
      <c r="B1312" t="s">
        <v>111</v>
      </c>
      <c r="C1312" t="s">
        <v>111</v>
      </c>
      <c r="D1312" t="s">
        <v>78</v>
      </c>
      <c r="E1312" s="1" t="s">
        <v>94</v>
      </c>
      <c r="F1312" t="s">
        <v>93</v>
      </c>
      <c r="G1312" t="s">
        <v>20</v>
      </c>
      <c r="H1312">
        <v>9</v>
      </c>
      <c r="I1312">
        <v>49</v>
      </c>
    </row>
    <row r="1313" spans="1:9" x14ac:dyDescent="0.25">
      <c r="A1313" s="5" t="str">
        <f>TrendSheetPrdData[[#This Row],[Population]]&amp;TrendSheetPrdData[[#This Row],[Cost Basis]]&amp;TrendSheetPrdData[[#This Row],[Period]]&amp;TrendSheetPrdData[[#This Row],[Trend]]</f>
        <v>OTHERSPaid2016-03-01Hospiatl Outpatient MRIs per 1k</v>
      </c>
      <c r="B1313" t="s">
        <v>111</v>
      </c>
      <c r="C1313" t="s">
        <v>111</v>
      </c>
      <c r="D1313" t="s">
        <v>78</v>
      </c>
      <c r="E1313" s="1" t="s">
        <v>95</v>
      </c>
      <c r="F1313" t="s">
        <v>93</v>
      </c>
      <c r="G1313" t="s">
        <v>20</v>
      </c>
      <c r="H1313">
        <v>9</v>
      </c>
      <c r="I1313">
        <v>20</v>
      </c>
    </row>
    <row r="1314" spans="1:9" x14ac:dyDescent="0.25">
      <c r="A1314" s="5" t="str">
        <f>TrendSheetPrdData[[#This Row],[Population]]&amp;TrendSheetPrdData[[#This Row],[Cost Basis]]&amp;TrendSheetPrdData[[#This Row],[Period]]&amp;TrendSheetPrdData[[#This Row],[Trend]]</f>
        <v>OTHERSPaid2016-04-01Hospiatl Outpatient MRIs per 1k</v>
      </c>
      <c r="B1314" t="s">
        <v>111</v>
      </c>
      <c r="C1314" t="s">
        <v>111</v>
      </c>
      <c r="D1314" t="s">
        <v>78</v>
      </c>
      <c r="E1314" s="1" t="s">
        <v>96</v>
      </c>
      <c r="F1314" t="s">
        <v>93</v>
      </c>
      <c r="G1314" t="s">
        <v>20</v>
      </c>
      <c r="H1314">
        <v>9</v>
      </c>
      <c r="I1314">
        <v>14</v>
      </c>
    </row>
    <row r="1315" spans="1:9" x14ac:dyDescent="0.25">
      <c r="A1315" s="5" t="str">
        <f>TrendSheetPrdData[[#This Row],[Population]]&amp;TrendSheetPrdData[[#This Row],[Cost Basis]]&amp;TrendSheetPrdData[[#This Row],[Period]]&amp;TrendSheetPrdData[[#This Row],[Trend]]</f>
        <v>OTHERSPaid2016-05-01Hospiatl Outpatient MRIs per 1k</v>
      </c>
      <c r="B1315" t="s">
        <v>111</v>
      </c>
      <c r="C1315" t="s">
        <v>111</v>
      </c>
      <c r="D1315" t="s">
        <v>78</v>
      </c>
      <c r="E1315" s="1" t="s">
        <v>97</v>
      </c>
      <c r="F1315" t="s">
        <v>93</v>
      </c>
      <c r="G1315" t="s">
        <v>20</v>
      </c>
      <c r="H1315">
        <v>9</v>
      </c>
      <c r="I1315">
        <v>28</v>
      </c>
    </row>
    <row r="1316" spans="1:9" x14ac:dyDescent="0.25">
      <c r="A1316" s="5" t="str">
        <f>TrendSheetPrdData[[#This Row],[Population]]&amp;TrendSheetPrdData[[#This Row],[Cost Basis]]&amp;TrendSheetPrdData[[#This Row],[Period]]&amp;TrendSheetPrdData[[#This Row],[Trend]]</f>
        <v>OTHERSPaid2016-06-01Hospiatl Outpatient MRIs per 1k</v>
      </c>
      <c r="B1316" t="s">
        <v>111</v>
      </c>
      <c r="C1316" t="s">
        <v>111</v>
      </c>
      <c r="D1316" t="s">
        <v>78</v>
      </c>
      <c r="E1316" s="1" t="s">
        <v>98</v>
      </c>
      <c r="F1316" t="s">
        <v>93</v>
      </c>
      <c r="G1316" t="s">
        <v>20</v>
      </c>
      <c r="H1316">
        <v>9</v>
      </c>
      <c r="I1316">
        <v>25</v>
      </c>
    </row>
    <row r="1317" spans="1:9" x14ac:dyDescent="0.25">
      <c r="A1317" s="5" t="str">
        <f>TrendSheetPrdData[[#This Row],[Population]]&amp;TrendSheetPrdData[[#This Row],[Cost Basis]]&amp;TrendSheetPrdData[[#This Row],[Period]]&amp;TrendSheetPrdData[[#This Row],[Trend]]</f>
        <v>OTHERSPaid2016-07-01Hospiatl Outpatient MRIs per 1k</v>
      </c>
      <c r="B1317" t="s">
        <v>111</v>
      </c>
      <c r="C1317" t="s">
        <v>111</v>
      </c>
      <c r="D1317" t="s">
        <v>78</v>
      </c>
      <c r="E1317" s="1" t="s">
        <v>99</v>
      </c>
      <c r="F1317" t="s">
        <v>93</v>
      </c>
      <c r="G1317" t="s">
        <v>20</v>
      </c>
      <c r="H1317">
        <v>9</v>
      </c>
      <c r="I1317">
        <v>22</v>
      </c>
    </row>
    <row r="1318" spans="1:9" x14ac:dyDescent="0.25">
      <c r="A1318" s="5" t="str">
        <f>TrendSheetPrdData[[#This Row],[Population]]&amp;TrendSheetPrdData[[#This Row],[Cost Basis]]&amp;TrendSheetPrdData[[#This Row],[Period]]&amp;TrendSheetPrdData[[#This Row],[Trend]]</f>
        <v>OTHERSPaid2016-08-01Hospiatl Outpatient MRIs per 1k</v>
      </c>
      <c r="B1318" t="s">
        <v>111</v>
      </c>
      <c r="C1318" t="s">
        <v>111</v>
      </c>
      <c r="D1318" t="s">
        <v>78</v>
      </c>
      <c r="E1318" s="1" t="s">
        <v>100</v>
      </c>
      <c r="F1318" t="s">
        <v>93</v>
      </c>
      <c r="G1318" t="s">
        <v>20</v>
      </c>
      <c r="H1318">
        <v>9</v>
      </c>
      <c r="I1318">
        <v>38</v>
      </c>
    </row>
    <row r="1319" spans="1:9" x14ac:dyDescent="0.25">
      <c r="A1319" s="5" t="str">
        <f>TrendSheetPrdData[[#This Row],[Population]]&amp;TrendSheetPrdData[[#This Row],[Cost Basis]]&amp;TrendSheetPrdData[[#This Row],[Period]]&amp;TrendSheetPrdData[[#This Row],[Trend]]</f>
        <v>OTHERSPaid2016-09-01Hospiatl Outpatient MRIs per 1k</v>
      </c>
      <c r="B1319" t="s">
        <v>111</v>
      </c>
      <c r="C1319" t="s">
        <v>111</v>
      </c>
      <c r="D1319" t="s">
        <v>78</v>
      </c>
      <c r="E1319" s="1" t="s">
        <v>101</v>
      </c>
      <c r="F1319" t="s">
        <v>93</v>
      </c>
      <c r="G1319" t="s">
        <v>20</v>
      </c>
      <c r="H1319">
        <v>9</v>
      </c>
      <c r="I1319">
        <v>25</v>
      </c>
    </row>
    <row r="1320" spans="1:9" x14ac:dyDescent="0.25">
      <c r="A1320" s="5" t="str">
        <f>TrendSheetPrdData[[#This Row],[Population]]&amp;TrendSheetPrdData[[#This Row],[Cost Basis]]&amp;TrendSheetPrdData[[#This Row],[Period]]&amp;TrendSheetPrdData[[#This Row],[Trend]]</f>
        <v>OTHERSPaid2016-10-01Hospiatl Outpatient MRIs per 1k</v>
      </c>
      <c r="B1320" t="s">
        <v>111</v>
      </c>
      <c r="C1320" t="s">
        <v>111</v>
      </c>
      <c r="D1320" t="s">
        <v>78</v>
      </c>
      <c r="E1320" s="1" t="s">
        <v>102</v>
      </c>
      <c r="F1320" t="s">
        <v>93</v>
      </c>
      <c r="G1320" t="s">
        <v>20</v>
      </c>
      <c r="H1320">
        <v>9</v>
      </c>
      <c r="I1320">
        <v>33</v>
      </c>
    </row>
    <row r="1321" spans="1:9" x14ac:dyDescent="0.25">
      <c r="A1321" s="5" t="str">
        <f>TrendSheetPrdData[[#This Row],[Population]]&amp;TrendSheetPrdData[[#This Row],[Cost Basis]]&amp;TrendSheetPrdData[[#This Row],[Period]]&amp;TrendSheetPrdData[[#This Row],[Trend]]</f>
        <v>OTHERSPaid2016-11-01Hospiatl Outpatient MRIs per 1k</v>
      </c>
      <c r="B1321" t="s">
        <v>111</v>
      </c>
      <c r="C1321" t="s">
        <v>111</v>
      </c>
      <c r="D1321" t="s">
        <v>78</v>
      </c>
      <c r="E1321" s="1" t="s">
        <v>103</v>
      </c>
      <c r="F1321" t="s">
        <v>93</v>
      </c>
      <c r="G1321" t="s">
        <v>20</v>
      </c>
      <c r="H1321">
        <v>9</v>
      </c>
      <c r="I1321">
        <v>35</v>
      </c>
    </row>
    <row r="1322" spans="1:9" x14ac:dyDescent="0.25">
      <c r="A1322" s="5" t="str">
        <f>TrendSheetPrdData[[#This Row],[Population]]&amp;TrendSheetPrdData[[#This Row],[Cost Basis]]&amp;TrendSheetPrdData[[#This Row],[Period]]&amp;TrendSheetPrdData[[#This Row],[Trend]]</f>
        <v>OTHERSPaid2016-12-01Hospiatl Outpatient MRIs per 1k</v>
      </c>
      <c r="B1322" t="s">
        <v>111</v>
      </c>
      <c r="C1322" t="s">
        <v>111</v>
      </c>
      <c r="D1322" t="s">
        <v>78</v>
      </c>
      <c r="E1322" s="1" t="s">
        <v>104</v>
      </c>
      <c r="F1322" t="s">
        <v>93</v>
      </c>
      <c r="G1322" t="s">
        <v>20</v>
      </c>
      <c r="H1322">
        <v>9</v>
      </c>
      <c r="I1322">
        <v>22</v>
      </c>
    </row>
    <row r="1323" spans="1:9" x14ac:dyDescent="0.25">
      <c r="A1323" s="5" t="str">
        <f>TrendSheetPrdData[[#This Row],[Population]]&amp;TrendSheetPrdData[[#This Row],[Cost Basis]]&amp;TrendSheetPrdData[[#This Row],[Period]]&amp;TrendSheetPrdData[[#This Row],[Trend]]</f>
        <v>OTHERSPaid2017-01-01Hospiatl Outpatient MRIs per 1k</v>
      </c>
      <c r="B1323" t="s">
        <v>111</v>
      </c>
      <c r="C1323" t="s">
        <v>111</v>
      </c>
      <c r="D1323" t="s">
        <v>78</v>
      </c>
      <c r="E1323" s="1" t="s">
        <v>105</v>
      </c>
      <c r="F1323" t="s">
        <v>108</v>
      </c>
      <c r="G1323" t="s">
        <v>20</v>
      </c>
      <c r="H1323">
        <v>9</v>
      </c>
      <c r="I1323">
        <v>24</v>
      </c>
    </row>
    <row r="1324" spans="1:9" x14ac:dyDescent="0.25">
      <c r="A1324" s="5" t="str">
        <f>TrendSheetPrdData[[#This Row],[Population]]&amp;TrendSheetPrdData[[#This Row],[Cost Basis]]&amp;TrendSheetPrdData[[#This Row],[Period]]&amp;TrendSheetPrdData[[#This Row],[Trend]]</f>
        <v>OTHERSPaid2017-02-01Hospiatl Outpatient MRIs per 1k</v>
      </c>
      <c r="B1324" t="s">
        <v>111</v>
      </c>
      <c r="C1324" t="s">
        <v>111</v>
      </c>
      <c r="D1324" t="s">
        <v>78</v>
      </c>
      <c r="E1324" s="1" t="s">
        <v>106</v>
      </c>
      <c r="F1324" t="s">
        <v>108</v>
      </c>
      <c r="G1324" t="s">
        <v>20</v>
      </c>
      <c r="H1324">
        <v>9</v>
      </c>
      <c r="I1324">
        <v>32</v>
      </c>
    </row>
    <row r="1325" spans="1:9" x14ac:dyDescent="0.25">
      <c r="A1325" s="5" t="str">
        <f>TrendSheetPrdData[[#This Row],[Population]]&amp;TrendSheetPrdData[[#This Row],[Cost Basis]]&amp;TrendSheetPrdData[[#This Row],[Period]]&amp;TrendSheetPrdData[[#This Row],[Trend]]</f>
        <v>OTHERSPaid2017-03-01Hospiatl Outpatient MRIs per 1k</v>
      </c>
      <c r="B1325" t="s">
        <v>111</v>
      </c>
      <c r="C1325" t="s">
        <v>111</v>
      </c>
      <c r="D1325" t="s">
        <v>78</v>
      </c>
      <c r="E1325" s="1" t="s">
        <v>107</v>
      </c>
      <c r="F1325" t="s">
        <v>108</v>
      </c>
      <c r="G1325" t="s">
        <v>20</v>
      </c>
      <c r="H1325">
        <v>9</v>
      </c>
      <c r="I1325">
        <v>34</v>
      </c>
    </row>
    <row r="1326" spans="1:9" x14ac:dyDescent="0.25">
      <c r="A1326" s="5" t="str">
        <f>TrendSheetPrdData[[#This Row],[Population]]&amp;TrendSheetPrdData[[#This Row],[Cost Basis]]&amp;TrendSheetPrdData[[#This Row],[Period]]&amp;TrendSheetPrdData[[#This Row],[Trend]]</f>
        <v>OTHERSPaid2017-04-01Hospiatl Outpatient MRIs per 1k</v>
      </c>
      <c r="B1326" t="s">
        <v>111</v>
      </c>
      <c r="C1326" t="s">
        <v>111</v>
      </c>
      <c r="D1326" t="s">
        <v>78</v>
      </c>
      <c r="E1326" s="1" t="s">
        <v>109</v>
      </c>
      <c r="F1326" t="s">
        <v>108</v>
      </c>
      <c r="G1326" t="s">
        <v>20</v>
      </c>
      <c r="H1326">
        <v>9</v>
      </c>
      <c r="I1326">
        <v>26</v>
      </c>
    </row>
    <row r="1327" spans="1:9" x14ac:dyDescent="0.25">
      <c r="A1327" s="5" t="str">
        <f>TrendSheetPrdData[[#This Row],[Population]]&amp;TrendSheetPrdData[[#This Row],[Cost Basis]]&amp;TrendSheetPrdData[[#This Row],[Period]]&amp;TrendSheetPrdData[[#This Row],[Trend]]</f>
        <v>OTHERSPaid2017-05-01Hospiatl Outpatient MRIs per 1k</v>
      </c>
      <c r="B1327" t="s">
        <v>111</v>
      </c>
      <c r="C1327" t="s">
        <v>111</v>
      </c>
      <c r="D1327" t="s">
        <v>78</v>
      </c>
      <c r="E1327" s="1" t="s">
        <v>110</v>
      </c>
      <c r="F1327" t="s">
        <v>108</v>
      </c>
      <c r="G1327" t="s">
        <v>20</v>
      </c>
      <c r="H1327">
        <v>9</v>
      </c>
      <c r="I1327">
        <v>8</v>
      </c>
    </row>
    <row r="1328" spans="1:9" x14ac:dyDescent="0.25">
      <c r="A1328" s="5" t="str">
        <f>TrendSheetPrdData[[#This Row],[Population]]&amp;TrendSheetPrdData[[#This Row],[Cost Basis]]&amp;TrendSheetPrdData[[#This Row],[Period]]&amp;TrendSheetPrdData[[#This Row],[Trend]]</f>
        <v>OTHERSPaid2016-01-01Hospiatl Outpatient CTs per 1k</v>
      </c>
      <c r="B1328" t="s">
        <v>111</v>
      </c>
      <c r="C1328" t="s">
        <v>111</v>
      </c>
      <c r="D1328" t="s">
        <v>78</v>
      </c>
      <c r="E1328" s="1" t="s">
        <v>92</v>
      </c>
      <c r="F1328" t="s">
        <v>93</v>
      </c>
      <c r="G1328" t="s">
        <v>21</v>
      </c>
      <c r="H1328">
        <v>10</v>
      </c>
      <c r="I1328">
        <v>35</v>
      </c>
    </row>
    <row r="1329" spans="1:9" x14ac:dyDescent="0.25">
      <c r="A1329" s="5" t="str">
        <f>TrendSheetPrdData[[#This Row],[Population]]&amp;TrendSheetPrdData[[#This Row],[Cost Basis]]&amp;TrendSheetPrdData[[#This Row],[Period]]&amp;TrendSheetPrdData[[#This Row],[Trend]]</f>
        <v>OTHERSPaid2016-02-01Hospiatl Outpatient CTs per 1k</v>
      </c>
      <c r="B1329" t="s">
        <v>111</v>
      </c>
      <c r="C1329" t="s">
        <v>111</v>
      </c>
      <c r="D1329" t="s">
        <v>78</v>
      </c>
      <c r="E1329" s="1" t="s">
        <v>94</v>
      </c>
      <c r="F1329" t="s">
        <v>93</v>
      </c>
      <c r="G1329" t="s">
        <v>21</v>
      </c>
      <c r="H1329">
        <v>10</v>
      </c>
      <c r="I1329">
        <v>26</v>
      </c>
    </row>
    <row r="1330" spans="1:9" x14ac:dyDescent="0.25">
      <c r="A1330" s="5" t="str">
        <f>TrendSheetPrdData[[#This Row],[Population]]&amp;TrendSheetPrdData[[#This Row],[Cost Basis]]&amp;TrendSheetPrdData[[#This Row],[Period]]&amp;TrendSheetPrdData[[#This Row],[Trend]]</f>
        <v>OTHERSPaid2016-03-01Hospiatl Outpatient CTs per 1k</v>
      </c>
      <c r="B1330" t="s">
        <v>111</v>
      </c>
      <c r="C1330" t="s">
        <v>111</v>
      </c>
      <c r="D1330" t="s">
        <v>78</v>
      </c>
      <c r="E1330" s="1" t="s">
        <v>95</v>
      </c>
      <c r="F1330" t="s">
        <v>93</v>
      </c>
      <c r="G1330" t="s">
        <v>21</v>
      </c>
      <c r="H1330">
        <v>10</v>
      </c>
      <c r="I1330">
        <v>77</v>
      </c>
    </row>
    <row r="1331" spans="1:9" x14ac:dyDescent="0.25">
      <c r="A1331" s="5" t="str">
        <f>TrendSheetPrdData[[#This Row],[Population]]&amp;TrendSheetPrdData[[#This Row],[Cost Basis]]&amp;TrendSheetPrdData[[#This Row],[Period]]&amp;TrendSheetPrdData[[#This Row],[Trend]]</f>
        <v>OTHERSPaid2016-04-01Hospiatl Outpatient CTs per 1k</v>
      </c>
      <c r="B1331" t="s">
        <v>111</v>
      </c>
      <c r="C1331" t="s">
        <v>111</v>
      </c>
      <c r="D1331" t="s">
        <v>78</v>
      </c>
      <c r="E1331" s="1" t="s">
        <v>96</v>
      </c>
      <c r="F1331" t="s">
        <v>93</v>
      </c>
      <c r="G1331" t="s">
        <v>21</v>
      </c>
      <c r="H1331">
        <v>10</v>
      </c>
      <c r="I1331">
        <v>31</v>
      </c>
    </row>
    <row r="1332" spans="1:9" x14ac:dyDescent="0.25">
      <c r="A1332" s="5" t="str">
        <f>TrendSheetPrdData[[#This Row],[Population]]&amp;TrendSheetPrdData[[#This Row],[Cost Basis]]&amp;TrendSheetPrdData[[#This Row],[Period]]&amp;TrendSheetPrdData[[#This Row],[Trend]]</f>
        <v>OTHERSPaid2016-05-01Hospiatl Outpatient CTs per 1k</v>
      </c>
      <c r="B1332" t="s">
        <v>111</v>
      </c>
      <c r="C1332" t="s">
        <v>111</v>
      </c>
      <c r="D1332" t="s">
        <v>78</v>
      </c>
      <c r="E1332" s="1" t="s">
        <v>97</v>
      </c>
      <c r="F1332" t="s">
        <v>93</v>
      </c>
      <c r="G1332" t="s">
        <v>21</v>
      </c>
      <c r="H1332">
        <v>10</v>
      </c>
      <c r="I1332">
        <v>17</v>
      </c>
    </row>
    <row r="1333" spans="1:9" x14ac:dyDescent="0.25">
      <c r="A1333" s="5" t="str">
        <f>TrendSheetPrdData[[#This Row],[Population]]&amp;TrendSheetPrdData[[#This Row],[Cost Basis]]&amp;TrendSheetPrdData[[#This Row],[Period]]&amp;TrendSheetPrdData[[#This Row],[Trend]]</f>
        <v>OTHERSPaid2016-06-01Hospiatl Outpatient CTs per 1k</v>
      </c>
      <c r="B1333" t="s">
        <v>111</v>
      </c>
      <c r="C1333" t="s">
        <v>111</v>
      </c>
      <c r="D1333" t="s">
        <v>78</v>
      </c>
      <c r="E1333" s="1" t="s">
        <v>98</v>
      </c>
      <c r="F1333" t="s">
        <v>93</v>
      </c>
      <c r="G1333" t="s">
        <v>21</v>
      </c>
      <c r="H1333">
        <v>10</v>
      </c>
      <c r="I1333">
        <v>36</v>
      </c>
    </row>
    <row r="1334" spans="1:9" x14ac:dyDescent="0.25">
      <c r="A1334" s="5" t="str">
        <f>TrendSheetPrdData[[#This Row],[Population]]&amp;TrendSheetPrdData[[#This Row],[Cost Basis]]&amp;TrendSheetPrdData[[#This Row],[Period]]&amp;TrendSheetPrdData[[#This Row],[Trend]]</f>
        <v>OTHERSPaid2016-07-01Hospiatl Outpatient CTs per 1k</v>
      </c>
      <c r="B1334" t="s">
        <v>111</v>
      </c>
      <c r="C1334" t="s">
        <v>111</v>
      </c>
      <c r="D1334" t="s">
        <v>78</v>
      </c>
      <c r="E1334" s="1" t="s">
        <v>99</v>
      </c>
      <c r="F1334" t="s">
        <v>93</v>
      </c>
      <c r="G1334" t="s">
        <v>21</v>
      </c>
      <c r="H1334">
        <v>10</v>
      </c>
      <c r="I1334">
        <v>19</v>
      </c>
    </row>
    <row r="1335" spans="1:9" x14ac:dyDescent="0.25">
      <c r="A1335" s="5" t="str">
        <f>TrendSheetPrdData[[#This Row],[Population]]&amp;TrendSheetPrdData[[#This Row],[Cost Basis]]&amp;TrendSheetPrdData[[#This Row],[Period]]&amp;TrendSheetPrdData[[#This Row],[Trend]]</f>
        <v>OTHERSPaid2016-08-01Hospiatl Outpatient CTs per 1k</v>
      </c>
      <c r="B1335" t="s">
        <v>111</v>
      </c>
      <c r="C1335" t="s">
        <v>111</v>
      </c>
      <c r="D1335" t="s">
        <v>78</v>
      </c>
      <c r="E1335" s="1" t="s">
        <v>100</v>
      </c>
      <c r="F1335" t="s">
        <v>93</v>
      </c>
      <c r="G1335" t="s">
        <v>21</v>
      </c>
      <c r="H1335">
        <v>10</v>
      </c>
      <c r="I1335">
        <v>19</v>
      </c>
    </row>
    <row r="1336" spans="1:9" x14ac:dyDescent="0.25">
      <c r="A1336" s="5" t="str">
        <f>TrendSheetPrdData[[#This Row],[Population]]&amp;TrendSheetPrdData[[#This Row],[Cost Basis]]&amp;TrendSheetPrdData[[#This Row],[Period]]&amp;TrendSheetPrdData[[#This Row],[Trend]]</f>
        <v>OTHERSPaid2016-09-01Hospiatl Outpatient CTs per 1k</v>
      </c>
      <c r="B1336" t="s">
        <v>111</v>
      </c>
      <c r="C1336" t="s">
        <v>111</v>
      </c>
      <c r="D1336" t="s">
        <v>78</v>
      </c>
      <c r="E1336" s="1" t="s">
        <v>101</v>
      </c>
      <c r="F1336" t="s">
        <v>93</v>
      </c>
      <c r="G1336" t="s">
        <v>21</v>
      </c>
      <c r="H1336">
        <v>10</v>
      </c>
      <c r="I1336">
        <v>65</v>
      </c>
    </row>
    <row r="1337" spans="1:9" x14ac:dyDescent="0.25">
      <c r="A1337" s="5" t="str">
        <f>TrendSheetPrdData[[#This Row],[Population]]&amp;TrendSheetPrdData[[#This Row],[Cost Basis]]&amp;TrendSheetPrdData[[#This Row],[Period]]&amp;TrendSheetPrdData[[#This Row],[Trend]]</f>
        <v>OTHERSPaid2016-10-01Hospiatl Outpatient CTs per 1k</v>
      </c>
      <c r="B1337" t="s">
        <v>111</v>
      </c>
      <c r="C1337" t="s">
        <v>111</v>
      </c>
      <c r="D1337" t="s">
        <v>78</v>
      </c>
      <c r="E1337" s="1" t="s">
        <v>102</v>
      </c>
      <c r="F1337" t="s">
        <v>93</v>
      </c>
      <c r="G1337" t="s">
        <v>21</v>
      </c>
      <c r="H1337">
        <v>10</v>
      </c>
      <c r="I1337">
        <v>76</v>
      </c>
    </row>
    <row r="1338" spans="1:9" x14ac:dyDescent="0.25">
      <c r="A1338" s="5" t="str">
        <f>TrendSheetPrdData[[#This Row],[Population]]&amp;TrendSheetPrdData[[#This Row],[Cost Basis]]&amp;TrendSheetPrdData[[#This Row],[Period]]&amp;TrendSheetPrdData[[#This Row],[Trend]]</f>
        <v>OTHERSPaid2016-11-01Hospiatl Outpatient CTs per 1k</v>
      </c>
      <c r="B1338" t="s">
        <v>111</v>
      </c>
      <c r="C1338" t="s">
        <v>111</v>
      </c>
      <c r="D1338" t="s">
        <v>78</v>
      </c>
      <c r="E1338" s="1" t="s">
        <v>103</v>
      </c>
      <c r="F1338" t="s">
        <v>93</v>
      </c>
      <c r="G1338" t="s">
        <v>21</v>
      </c>
      <c r="H1338">
        <v>10</v>
      </c>
      <c r="I1338">
        <v>46</v>
      </c>
    </row>
    <row r="1339" spans="1:9" x14ac:dyDescent="0.25">
      <c r="A1339" s="5" t="str">
        <f>TrendSheetPrdData[[#This Row],[Population]]&amp;TrendSheetPrdData[[#This Row],[Cost Basis]]&amp;TrendSheetPrdData[[#This Row],[Period]]&amp;TrendSheetPrdData[[#This Row],[Trend]]</f>
        <v>OTHERSPaid2016-12-01Hospiatl Outpatient CTs per 1k</v>
      </c>
      <c r="B1339" t="s">
        <v>111</v>
      </c>
      <c r="C1339" t="s">
        <v>111</v>
      </c>
      <c r="D1339" t="s">
        <v>78</v>
      </c>
      <c r="E1339" s="1" t="s">
        <v>104</v>
      </c>
      <c r="F1339" t="s">
        <v>93</v>
      </c>
      <c r="G1339" t="s">
        <v>21</v>
      </c>
      <c r="H1339">
        <v>10</v>
      </c>
      <c r="I1339">
        <v>57</v>
      </c>
    </row>
    <row r="1340" spans="1:9" x14ac:dyDescent="0.25">
      <c r="A1340" s="5" t="str">
        <f>TrendSheetPrdData[[#This Row],[Population]]&amp;TrendSheetPrdData[[#This Row],[Cost Basis]]&amp;TrendSheetPrdData[[#This Row],[Period]]&amp;TrendSheetPrdData[[#This Row],[Trend]]</f>
        <v>OTHERSPaid2017-01-01Hospiatl Outpatient CTs per 1k</v>
      </c>
      <c r="B1340" t="s">
        <v>111</v>
      </c>
      <c r="C1340" t="s">
        <v>111</v>
      </c>
      <c r="D1340" t="s">
        <v>78</v>
      </c>
      <c r="E1340" s="1" t="s">
        <v>105</v>
      </c>
      <c r="F1340" t="s">
        <v>108</v>
      </c>
      <c r="G1340" t="s">
        <v>21</v>
      </c>
      <c r="H1340">
        <v>10</v>
      </c>
      <c r="I1340">
        <v>29</v>
      </c>
    </row>
    <row r="1341" spans="1:9" x14ac:dyDescent="0.25">
      <c r="A1341" s="5" t="str">
        <f>TrendSheetPrdData[[#This Row],[Population]]&amp;TrendSheetPrdData[[#This Row],[Cost Basis]]&amp;TrendSheetPrdData[[#This Row],[Period]]&amp;TrendSheetPrdData[[#This Row],[Trend]]</f>
        <v>OTHERSPaid2017-02-01Hospiatl Outpatient CTs per 1k</v>
      </c>
      <c r="B1341" t="s">
        <v>111</v>
      </c>
      <c r="C1341" t="s">
        <v>111</v>
      </c>
      <c r="D1341" t="s">
        <v>78</v>
      </c>
      <c r="E1341" s="1" t="s">
        <v>106</v>
      </c>
      <c r="F1341" t="s">
        <v>108</v>
      </c>
      <c r="G1341" t="s">
        <v>21</v>
      </c>
      <c r="H1341">
        <v>10</v>
      </c>
      <c r="I1341">
        <v>53</v>
      </c>
    </row>
    <row r="1342" spans="1:9" x14ac:dyDescent="0.25">
      <c r="A1342" s="5" t="str">
        <f>TrendSheetPrdData[[#This Row],[Population]]&amp;TrendSheetPrdData[[#This Row],[Cost Basis]]&amp;TrendSheetPrdData[[#This Row],[Period]]&amp;TrendSheetPrdData[[#This Row],[Trend]]</f>
        <v>OTHERSPaid2017-03-01Hospiatl Outpatient CTs per 1k</v>
      </c>
      <c r="B1342" t="s">
        <v>111</v>
      </c>
      <c r="C1342" t="s">
        <v>111</v>
      </c>
      <c r="D1342" t="s">
        <v>78</v>
      </c>
      <c r="E1342" s="1" t="s">
        <v>107</v>
      </c>
      <c r="F1342" t="s">
        <v>108</v>
      </c>
      <c r="G1342" t="s">
        <v>21</v>
      </c>
      <c r="H1342">
        <v>10</v>
      </c>
      <c r="I1342">
        <v>18</v>
      </c>
    </row>
    <row r="1343" spans="1:9" x14ac:dyDescent="0.25">
      <c r="A1343" s="5" t="str">
        <f>TrendSheetPrdData[[#This Row],[Population]]&amp;TrendSheetPrdData[[#This Row],[Cost Basis]]&amp;TrendSheetPrdData[[#This Row],[Period]]&amp;TrendSheetPrdData[[#This Row],[Trend]]</f>
        <v>OTHERSPaid2017-04-01Hospiatl Outpatient CTs per 1k</v>
      </c>
      <c r="B1343" t="s">
        <v>111</v>
      </c>
      <c r="C1343" t="s">
        <v>111</v>
      </c>
      <c r="D1343" t="s">
        <v>78</v>
      </c>
      <c r="E1343" s="1" t="s">
        <v>109</v>
      </c>
      <c r="F1343" t="s">
        <v>108</v>
      </c>
      <c r="G1343" t="s">
        <v>21</v>
      </c>
      <c r="H1343">
        <v>10</v>
      </c>
      <c r="I1343">
        <v>18</v>
      </c>
    </row>
    <row r="1344" spans="1:9" x14ac:dyDescent="0.25">
      <c r="A1344" s="5" t="str">
        <f>TrendSheetPrdData[[#This Row],[Population]]&amp;TrendSheetPrdData[[#This Row],[Cost Basis]]&amp;TrendSheetPrdData[[#This Row],[Period]]&amp;TrendSheetPrdData[[#This Row],[Trend]]</f>
        <v>OTHERSPaid2017-05-01Hospiatl Outpatient CTs per 1k</v>
      </c>
      <c r="B1344" t="s">
        <v>111</v>
      </c>
      <c r="C1344" t="s">
        <v>111</v>
      </c>
      <c r="D1344" t="s">
        <v>78</v>
      </c>
      <c r="E1344" s="1" t="s">
        <v>110</v>
      </c>
      <c r="F1344" t="s">
        <v>108</v>
      </c>
      <c r="G1344" t="s">
        <v>21</v>
      </c>
      <c r="H1344">
        <v>10</v>
      </c>
      <c r="I1344">
        <v>8</v>
      </c>
    </row>
    <row r="1345" spans="1:9" x14ac:dyDescent="0.25">
      <c r="A1345" s="5" t="str">
        <f>TrendSheetPrdData[[#This Row],[Population]]&amp;TrendSheetPrdData[[#This Row],[Cost Basis]]&amp;TrendSheetPrdData[[#This Row],[Period]]&amp;TrendSheetPrdData[[#This Row],[Trend]]</f>
        <v>OTHERSPaid2016-01-01Office Based MRIs per 1k</v>
      </c>
      <c r="B1345" t="s">
        <v>111</v>
      </c>
      <c r="C1345" t="s">
        <v>111</v>
      </c>
      <c r="D1345" t="s">
        <v>78</v>
      </c>
      <c r="E1345" s="1" t="s">
        <v>92</v>
      </c>
      <c r="F1345" t="s">
        <v>93</v>
      </c>
      <c r="G1345" t="s">
        <v>22</v>
      </c>
      <c r="H1345">
        <v>11</v>
      </c>
      <c r="I1345">
        <v>0</v>
      </c>
    </row>
    <row r="1346" spans="1:9" x14ac:dyDescent="0.25">
      <c r="A1346" s="5" t="str">
        <f>TrendSheetPrdData[[#This Row],[Population]]&amp;TrendSheetPrdData[[#This Row],[Cost Basis]]&amp;TrendSheetPrdData[[#This Row],[Period]]&amp;TrendSheetPrdData[[#This Row],[Trend]]</f>
        <v>OTHERSPaid2016-02-01Office Based MRIs per 1k</v>
      </c>
      <c r="B1346" t="s">
        <v>111</v>
      </c>
      <c r="C1346" t="s">
        <v>111</v>
      </c>
      <c r="D1346" t="s">
        <v>78</v>
      </c>
      <c r="E1346" s="1" t="s">
        <v>94</v>
      </c>
      <c r="F1346" t="s">
        <v>93</v>
      </c>
      <c r="G1346" t="s">
        <v>22</v>
      </c>
      <c r="H1346">
        <v>11</v>
      </c>
      <c r="I1346">
        <v>0</v>
      </c>
    </row>
    <row r="1347" spans="1:9" x14ac:dyDescent="0.25">
      <c r="A1347" s="5" t="str">
        <f>TrendSheetPrdData[[#This Row],[Population]]&amp;TrendSheetPrdData[[#This Row],[Cost Basis]]&amp;TrendSheetPrdData[[#This Row],[Period]]&amp;TrendSheetPrdData[[#This Row],[Trend]]</f>
        <v>OTHERSPaid2016-03-01Office Based MRIs per 1k</v>
      </c>
      <c r="B1347" t="s">
        <v>111</v>
      </c>
      <c r="C1347" t="s">
        <v>111</v>
      </c>
      <c r="D1347" t="s">
        <v>78</v>
      </c>
      <c r="E1347" s="1" t="s">
        <v>95</v>
      </c>
      <c r="F1347" t="s">
        <v>93</v>
      </c>
      <c r="G1347" t="s">
        <v>22</v>
      </c>
      <c r="H1347">
        <v>11</v>
      </c>
      <c r="I1347">
        <v>0</v>
      </c>
    </row>
    <row r="1348" spans="1:9" x14ac:dyDescent="0.25">
      <c r="A1348" s="5" t="str">
        <f>TrendSheetPrdData[[#This Row],[Population]]&amp;TrendSheetPrdData[[#This Row],[Cost Basis]]&amp;TrendSheetPrdData[[#This Row],[Period]]&amp;TrendSheetPrdData[[#This Row],[Trend]]</f>
        <v>OTHERSPaid2016-04-01Office Based MRIs per 1k</v>
      </c>
      <c r="B1348" t="s">
        <v>111</v>
      </c>
      <c r="C1348" t="s">
        <v>111</v>
      </c>
      <c r="D1348" t="s">
        <v>78</v>
      </c>
      <c r="E1348" s="1" t="s">
        <v>96</v>
      </c>
      <c r="F1348" t="s">
        <v>93</v>
      </c>
      <c r="G1348" t="s">
        <v>22</v>
      </c>
      <c r="H1348">
        <v>11</v>
      </c>
      <c r="I1348">
        <v>0</v>
      </c>
    </row>
    <row r="1349" spans="1:9" x14ac:dyDescent="0.25">
      <c r="A1349" s="5" t="str">
        <f>TrendSheetPrdData[[#This Row],[Population]]&amp;TrendSheetPrdData[[#This Row],[Cost Basis]]&amp;TrendSheetPrdData[[#This Row],[Period]]&amp;TrendSheetPrdData[[#This Row],[Trend]]</f>
        <v>OTHERSPaid2016-05-01Office Based MRIs per 1k</v>
      </c>
      <c r="B1349" t="s">
        <v>111</v>
      </c>
      <c r="C1349" t="s">
        <v>111</v>
      </c>
      <c r="D1349" t="s">
        <v>78</v>
      </c>
      <c r="E1349" s="1" t="s">
        <v>97</v>
      </c>
      <c r="F1349" t="s">
        <v>93</v>
      </c>
      <c r="G1349" t="s">
        <v>22</v>
      </c>
      <c r="H1349">
        <v>11</v>
      </c>
      <c r="I1349">
        <v>0</v>
      </c>
    </row>
    <row r="1350" spans="1:9" x14ac:dyDescent="0.25">
      <c r="A1350" s="5" t="str">
        <f>TrendSheetPrdData[[#This Row],[Population]]&amp;TrendSheetPrdData[[#This Row],[Cost Basis]]&amp;TrendSheetPrdData[[#This Row],[Period]]&amp;TrendSheetPrdData[[#This Row],[Trend]]</f>
        <v>OTHERSPaid2016-06-01Office Based MRIs per 1k</v>
      </c>
      <c r="B1350" t="s">
        <v>111</v>
      </c>
      <c r="C1350" t="s">
        <v>111</v>
      </c>
      <c r="D1350" t="s">
        <v>78</v>
      </c>
      <c r="E1350" s="1" t="s">
        <v>98</v>
      </c>
      <c r="F1350" t="s">
        <v>93</v>
      </c>
      <c r="G1350" t="s">
        <v>22</v>
      </c>
      <c r="H1350">
        <v>11</v>
      </c>
      <c r="I1350">
        <v>0</v>
      </c>
    </row>
    <row r="1351" spans="1:9" x14ac:dyDescent="0.25">
      <c r="A1351" s="5" t="str">
        <f>TrendSheetPrdData[[#This Row],[Population]]&amp;TrendSheetPrdData[[#This Row],[Cost Basis]]&amp;TrendSheetPrdData[[#This Row],[Period]]&amp;TrendSheetPrdData[[#This Row],[Trend]]</f>
        <v>OTHERSPaid2016-07-01Office Based MRIs per 1k</v>
      </c>
      <c r="B1351" t="s">
        <v>111</v>
      </c>
      <c r="C1351" t="s">
        <v>111</v>
      </c>
      <c r="D1351" t="s">
        <v>78</v>
      </c>
      <c r="E1351" s="1" t="s">
        <v>99</v>
      </c>
      <c r="F1351" t="s">
        <v>93</v>
      </c>
      <c r="G1351" t="s">
        <v>22</v>
      </c>
      <c r="H1351">
        <v>11</v>
      </c>
      <c r="I1351">
        <v>0</v>
      </c>
    </row>
    <row r="1352" spans="1:9" x14ac:dyDescent="0.25">
      <c r="A1352" s="5" t="str">
        <f>TrendSheetPrdData[[#This Row],[Population]]&amp;TrendSheetPrdData[[#This Row],[Cost Basis]]&amp;TrendSheetPrdData[[#This Row],[Period]]&amp;TrendSheetPrdData[[#This Row],[Trend]]</f>
        <v>OTHERSPaid2016-08-01Office Based MRIs per 1k</v>
      </c>
      <c r="B1352" t="s">
        <v>111</v>
      </c>
      <c r="C1352" t="s">
        <v>111</v>
      </c>
      <c r="D1352" t="s">
        <v>78</v>
      </c>
      <c r="E1352" s="1" t="s">
        <v>100</v>
      </c>
      <c r="F1352" t="s">
        <v>93</v>
      </c>
      <c r="G1352" t="s">
        <v>22</v>
      </c>
      <c r="H1352">
        <v>11</v>
      </c>
      <c r="I1352">
        <v>0</v>
      </c>
    </row>
    <row r="1353" spans="1:9" x14ac:dyDescent="0.25">
      <c r="A1353" s="5" t="str">
        <f>TrendSheetPrdData[[#This Row],[Population]]&amp;TrendSheetPrdData[[#This Row],[Cost Basis]]&amp;TrendSheetPrdData[[#This Row],[Period]]&amp;TrendSheetPrdData[[#This Row],[Trend]]</f>
        <v>OTHERSPaid2016-09-01Office Based MRIs per 1k</v>
      </c>
      <c r="B1353" t="s">
        <v>111</v>
      </c>
      <c r="C1353" t="s">
        <v>111</v>
      </c>
      <c r="D1353" t="s">
        <v>78</v>
      </c>
      <c r="E1353" s="1" t="s">
        <v>101</v>
      </c>
      <c r="F1353" t="s">
        <v>93</v>
      </c>
      <c r="G1353" t="s">
        <v>22</v>
      </c>
      <c r="H1353">
        <v>11</v>
      </c>
      <c r="I1353">
        <v>0</v>
      </c>
    </row>
    <row r="1354" spans="1:9" x14ac:dyDescent="0.25">
      <c r="A1354" s="5" t="str">
        <f>TrendSheetPrdData[[#This Row],[Population]]&amp;TrendSheetPrdData[[#This Row],[Cost Basis]]&amp;TrendSheetPrdData[[#This Row],[Period]]&amp;TrendSheetPrdData[[#This Row],[Trend]]</f>
        <v>OTHERSPaid2016-10-01Office Based MRIs per 1k</v>
      </c>
      <c r="B1354" t="s">
        <v>111</v>
      </c>
      <c r="C1354" t="s">
        <v>111</v>
      </c>
      <c r="D1354" t="s">
        <v>78</v>
      </c>
      <c r="E1354" s="1" t="s">
        <v>102</v>
      </c>
      <c r="F1354" t="s">
        <v>93</v>
      </c>
      <c r="G1354" t="s">
        <v>22</v>
      </c>
      <c r="H1354">
        <v>11</v>
      </c>
      <c r="I1354">
        <v>0</v>
      </c>
    </row>
    <row r="1355" spans="1:9" x14ac:dyDescent="0.25">
      <c r="A1355" s="5" t="str">
        <f>TrendSheetPrdData[[#This Row],[Population]]&amp;TrendSheetPrdData[[#This Row],[Cost Basis]]&amp;TrendSheetPrdData[[#This Row],[Period]]&amp;TrendSheetPrdData[[#This Row],[Trend]]</f>
        <v>OTHERSPaid2016-11-01Office Based MRIs per 1k</v>
      </c>
      <c r="B1355" t="s">
        <v>111</v>
      </c>
      <c r="C1355" t="s">
        <v>111</v>
      </c>
      <c r="D1355" t="s">
        <v>78</v>
      </c>
      <c r="E1355" s="1" t="s">
        <v>103</v>
      </c>
      <c r="F1355" t="s">
        <v>93</v>
      </c>
      <c r="G1355" t="s">
        <v>22</v>
      </c>
      <c r="H1355">
        <v>11</v>
      </c>
      <c r="I1355">
        <v>0</v>
      </c>
    </row>
    <row r="1356" spans="1:9" x14ac:dyDescent="0.25">
      <c r="A1356" s="5" t="str">
        <f>TrendSheetPrdData[[#This Row],[Population]]&amp;TrendSheetPrdData[[#This Row],[Cost Basis]]&amp;TrendSheetPrdData[[#This Row],[Period]]&amp;TrendSheetPrdData[[#This Row],[Trend]]</f>
        <v>OTHERSPaid2016-12-01Office Based MRIs per 1k</v>
      </c>
      <c r="B1356" t="s">
        <v>111</v>
      </c>
      <c r="C1356" t="s">
        <v>111</v>
      </c>
      <c r="D1356" t="s">
        <v>78</v>
      </c>
      <c r="E1356" s="1" t="s">
        <v>104</v>
      </c>
      <c r="F1356" t="s">
        <v>93</v>
      </c>
      <c r="G1356" t="s">
        <v>22</v>
      </c>
      <c r="H1356">
        <v>11</v>
      </c>
      <c r="I1356">
        <v>0</v>
      </c>
    </row>
    <row r="1357" spans="1:9" x14ac:dyDescent="0.25">
      <c r="A1357" s="5" t="str">
        <f>TrendSheetPrdData[[#This Row],[Population]]&amp;TrendSheetPrdData[[#This Row],[Cost Basis]]&amp;TrendSheetPrdData[[#This Row],[Period]]&amp;TrendSheetPrdData[[#This Row],[Trend]]</f>
        <v>OTHERSPaid2017-01-01Office Based MRIs per 1k</v>
      </c>
      <c r="B1357" t="s">
        <v>111</v>
      </c>
      <c r="C1357" t="s">
        <v>111</v>
      </c>
      <c r="D1357" t="s">
        <v>78</v>
      </c>
      <c r="E1357" s="1" t="s">
        <v>105</v>
      </c>
      <c r="F1357" t="s">
        <v>108</v>
      </c>
      <c r="G1357" t="s">
        <v>22</v>
      </c>
      <c r="H1357">
        <v>11</v>
      </c>
      <c r="I1357">
        <v>3</v>
      </c>
    </row>
    <row r="1358" spans="1:9" x14ac:dyDescent="0.25">
      <c r="A1358" s="5" t="str">
        <f>TrendSheetPrdData[[#This Row],[Population]]&amp;TrendSheetPrdData[[#This Row],[Cost Basis]]&amp;TrendSheetPrdData[[#This Row],[Period]]&amp;TrendSheetPrdData[[#This Row],[Trend]]</f>
        <v>OTHERSPaid2017-02-01Office Based MRIs per 1k</v>
      </c>
      <c r="B1358" t="s">
        <v>111</v>
      </c>
      <c r="C1358" t="s">
        <v>111</v>
      </c>
      <c r="D1358" t="s">
        <v>78</v>
      </c>
      <c r="E1358" s="1" t="s">
        <v>106</v>
      </c>
      <c r="F1358" t="s">
        <v>108</v>
      </c>
      <c r="G1358" t="s">
        <v>22</v>
      </c>
      <c r="H1358">
        <v>11</v>
      </c>
      <c r="I1358">
        <v>0</v>
      </c>
    </row>
    <row r="1359" spans="1:9" x14ac:dyDescent="0.25">
      <c r="A1359" s="5" t="str">
        <f>TrendSheetPrdData[[#This Row],[Population]]&amp;TrendSheetPrdData[[#This Row],[Cost Basis]]&amp;TrendSheetPrdData[[#This Row],[Period]]&amp;TrendSheetPrdData[[#This Row],[Trend]]</f>
        <v>OTHERSPaid2017-03-01Office Based MRIs per 1k</v>
      </c>
      <c r="B1359" t="s">
        <v>111</v>
      </c>
      <c r="C1359" t="s">
        <v>111</v>
      </c>
      <c r="D1359" t="s">
        <v>78</v>
      </c>
      <c r="E1359" s="1" t="s">
        <v>107</v>
      </c>
      <c r="F1359" t="s">
        <v>108</v>
      </c>
      <c r="G1359" t="s">
        <v>22</v>
      </c>
      <c r="H1359">
        <v>11</v>
      </c>
      <c r="I1359">
        <v>0</v>
      </c>
    </row>
    <row r="1360" spans="1:9" x14ac:dyDescent="0.25">
      <c r="A1360" s="5" t="str">
        <f>TrendSheetPrdData[[#This Row],[Population]]&amp;TrendSheetPrdData[[#This Row],[Cost Basis]]&amp;TrendSheetPrdData[[#This Row],[Period]]&amp;TrendSheetPrdData[[#This Row],[Trend]]</f>
        <v>OTHERSPaid2017-04-01Office Based MRIs per 1k</v>
      </c>
      <c r="B1360" t="s">
        <v>111</v>
      </c>
      <c r="C1360" t="s">
        <v>111</v>
      </c>
      <c r="D1360" t="s">
        <v>78</v>
      </c>
      <c r="E1360" s="1" t="s">
        <v>109</v>
      </c>
      <c r="F1360" t="s">
        <v>108</v>
      </c>
      <c r="G1360" t="s">
        <v>22</v>
      </c>
      <c r="H1360">
        <v>11</v>
      </c>
      <c r="I1360">
        <v>0</v>
      </c>
    </row>
    <row r="1361" spans="1:9" x14ac:dyDescent="0.25">
      <c r="A1361" s="5" t="str">
        <f>TrendSheetPrdData[[#This Row],[Population]]&amp;TrendSheetPrdData[[#This Row],[Cost Basis]]&amp;TrendSheetPrdData[[#This Row],[Period]]&amp;TrendSheetPrdData[[#This Row],[Trend]]</f>
        <v>OTHERSPaid2017-05-01Office Based MRIs per 1k</v>
      </c>
      <c r="B1361" t="s">
        <v>111</v>
      </c>
      <c r="C1361" t="s">
        <v>111</v>
      </c>
      <c r="D1361" t="s">
        <v>78</v>
      </c>
      <c r="E1361" s="1" t="s">
        <v>110</v>
      </c>
      <c r="F1361" t="s">
        <v>108</v>
      </c>
      <c r="G1361" t="s">
        <v>22</v>
      </c>
      <c r="H1361">
        <v>11</v>
      </c>
      <c r="I1361">
        <v>0</v>
      </c>
    </row>
    <row r="1362" spans="1:9" x14ac:dyDescent="0.25">
      <c r="A1362" s="5" t="str">
        <f>TrendSheetPrdData[[#This Row],[Population]]&amp;TrendSheetPrdData[[#This Row],[Cost Basis]]&amp;TrendSheetPrdData[[#This Row],[Period]]&amp;TrendSheetPrdData[[#This Row],[Trend]]</f>
        <v>OTHERSPaid2016-01-01Office Based CTs per 1k</v>
      </c>
      <c r="B1362" t="s">
        <v>111</v>
      </c>
      <c r="C1362" t="s">
        <v>111</v>
      </c>
      <c r="D1362" t="s">
        <v>78</v>
      </c>
      <c r="E1362" s="1" t="s">
        <v>92</v>
      </c>
      <c r="F1362" t="s">
        <v>93</v>
      </c>
      <c r="G1362" t="s">
        <v>23</v>
      </c>
      <c r="H1362">
        <v>12</v>
      </c>
      <c r="I1362">
        <v>0</v>
      </c>
    </row>
    <row r="1363" spans="1:9" x14ac:dyDescent="0.25">
      <c r="A1363" s="5" t="str">
        <f>TrendSheetPrdData[[#This Row],[Population]]&amp;TrendSheetPrdData[[#This Row],[Cost Basis]]&amp;TrendSheetPrdData[[#This Row],[Period]]&amp;TrendSheetPrdData[[#This Row],[Trend]]</f>
        <v>OTHERSPaid2016-02-01Office Based CTs per 1k</v>
      </c>
      <c r="B1363" t="s">
        <v>111</v>
      </c>
      <c r="C1363" t="s">
        <v>111</v>
      </c>
      <c r="D1363" t="s">
        <v>78</v>
      </c>
      <c r="E1363" s="1" t="s">
        <v>94</v>
      </c>
      <c r="F1363" t="s">
        <v>93</v>
      </c>
      <c r="G1363" t="s">
        <v>23</v>
      </c>
      <c r="H1363">
        <v>12</v>
      </c>
      <c r="I1363">
        <v>0</v>
      </c>
    </row>
    <row r="1364" spans="1:9" x14ac:dyDescent="0.25">
      <c r="A1364" s="5" t="str">
        <f>TrendSheetPrdData[[#This Row],[Population]]&amp;TrendSheetPrdData[[#This Row],[Cost Basis]]&amp;TrendSheetPrdData[[#This Row],[Period]]&amp;TrendSheetPrdData[[#This Row],[Trend]]</f>
        <v>OTHERSPaid2016-03-01Office Based CTs per 1k</v>
      </c>
      <c r="B1364" t="s">
        <v>111</v>
      </c>
      <c r="C1364" t="s">
        <v>111</v>
      </c>
      <c r="D1364" t="s">
        <v>78</v>
      </c>
      <c r="E1364" s="1" t="s">
        <v>95</v>
      </c>
      <c r="F1364" t="s">
        <v>93</v>
      </c>
      <c r="G1364" t="s">
        <v>23</v>
      </c>
      <c r="H1364">
        <v>12</v>
      </c>
      <c r="I1364">
        <v>3</v>
      </c>
    </row>
    <row r="1365" spans="1:9" x14ac:dyDescent="0.25">
      <c r="A1365" s="5" t="str">
        <f>TrendSheetPrdData[[#This Row],[Population]]&amp;TrendSheetPrdData[[#This Row],[Cost Basis]]&amp;TrendSheetPrdData[[#This Row],[Period]]&amp;TrendSheetPrdData[[#This Row],[Trend]]</f>
        <v>OTHERSPaid2016-04-01Office Based CTs per 1k</v>
      </c>
      <c r="B1365" t="s">
        <v>111</v>
      </c>
      <c r="C1365" t="s">
        <v>111</v>
      </c>
      <c r="D1365" t="s">
        <v>78</v>
      </c>
      <c r="E1365" s="1" t="s">
        <v>96</v>
      </c>
      <c r="F1365" t="s">
        <v>93</v>
      </c>
      <c r="G1365" t="s">
        <v>23</v>
      </c>
      <c r="H1365">
        <v>12</v>
      </c>
      <c r="I1365">
        <v>3</v>
      </c>
    </row>
    <row r="1366" spans="1:9" x14ac:dyDescent="0.25">
      <c r="A1366" s="5" t="str">
        <f>TrendSheetPrdData[[#This Row],[Population]]&amp;TrendSheetPrdData[[#This Row],[Cost Basis]]&amp;TrendSheetPrdData[[#This Row],[Period]]&amp;TrendSheetPrdData[[#This Row],[Trend]]</f>
        <v>OTHERSPaid2016-05-01Office Based CTs per 1k</v>
      </c>
      <c r="B1366" t="s">
        <v>111</v>
      </c>
      <c r="C1366" t="s">
        <v>111</v>
      </c>
      <c r="D1366" t="s">
        <v>78</v>
      </c>
      <c r="E1366" s="1" t="s">
        <v>97</v>
      </c>
      <c r="F1366" t="s">
        <v>93</v>
      </c>
      <c r="G1366" t="s">
        <v>23</v>
      </c>
      <c r="H1366">
        <v>12</v>
      </c>
      <c r="I1366">
        <v>3</v>
      </c>
    </row>
    <row r="1367" spans="1:9" x14ac:dyDescent="0.25">
      <c r="A1367" s="5" t="str">
        <f>TrendSheetPrdData[[#This Row],[Population]]&amp;TrendSheetPrdData[[#This Row],[Cost Basis]]&amp;TrendSheetPrdData[[#This Row],[Period]]&amp;TrendSheetPrdData[[#This Row],[Trend]]</f>
        <v>OTHERSPaid2016-06-01Office Based CTs per 1k</v>
      </c>
      <c r="B1367" t="s">
        <v>111</v>
      </c>
      <c r="C1367" t="s">
        <v>111</v>
      </c>
      <c r="D1367" t="s">
        <v>78</v>
      </c>
      <c r="E1367" s="1" t="s">
        <v>98</v>
      </c>
      <c r="F1367" t="s">
        <v>93</v>
      </c>
      <c r="G1367" t="s">
        <v>23</v>
      </c>
      <c r="H1367">
        <v>12</v>
      </c>
      <c r="I1367">
        <v>3</v>
      </c>
    </row>
    <row r="1368" spans="1:9" x14ac:dyDescent="0.25">
      <c r="A1368" s="5" t="str">
        <f>TrendSheetPrdData[[#This Row],[Population]]&amp;TrendSheetPrdData[[#This Row],[Cost Basis]]&amp;TrendSheetPrdData[[#This Row],[Period]]&amp;TrendSheetPrdData[[#This Row],[Trend]]</f>
        <v>OTHERSPaid2016-07-01Office Based CTs per 1k</v>
      </c>
      <c r="B1368" t="s">
        <v>111</v>
      </c>
      <c r="C1368" t="s">
        <v>111</v>
      </c>
      <c r="D1368" t="s">
        <v>78</v>
      </c>
      <c r="E1368" s="1" t="s">
        <v>99</v>
      </c>
      <c r="F1368" t="s">
        <v>93</v>
      </c>
      <c r="G1368" t="s">
        <v>23</v>
      </c>
      <c r="H1368">
        <v>12</v>
      </c>
      <c r="I1368">
        <v>0</v>
      </c>
    </row>
    <row r="1369" spans="1:9" x14ac:dyDescent="0.25">
      <c r="A1369" s="5" t="str">
        <f>TrendSheetPrdData[[#This Row],[Population]]&amp;TrendSheetPrdData[[#This Row],[Cost Basis]]&amp;TrendSheetPrdData[[#This Row],[Period]]&amp;TrendSheetPrdData[[#This Row],[Trend]]</f>
        <v>OTHERSPaid2016-08-01Office Based CTs per 1k</v>
      </c>
      <c r="B1369" t="s">
        <v>111</v>
      </c>
      <c r="C1369" t="s">
        <v>111</v>
      </c>
      <c r="D1369" t="s">
        <v>78</v>
      </c>
      <c r="E1369" s="1" t="s">
        <v>100</v>
      </c>
      <c r="F1369" t="s">
        <v>93</v>
      </c>
      <c r="G1369" t="s">
        <v>23</v>
      </c>
      <c r="H1369">
        <v>12</v>
      </c>
      <c r="I1369">
        <v>3</v>
      </c>
    </row>
    <row r="1370" spans="1:9" x14ac:dyDescent="0.25">
      <c r="A1370" s="5" t="str">
        <f>TrendSheetPrdData[[#This Row],[Population]]&amp;TrendSheetPrdData[[#This Row],[Cost Basis]]&amp;TrendSheetPrdData[[#This Row],[Period]]&amp;TrendSheetPrdData[[#This Row],[Trend]]</f>
        <v>OTHERSPaid2016-09-01Office Based CTs per 1k</v>
      </c>
      <c r="B1370" t="s">
        <v>111</v>
      </c>
      <c r="C1370" t="s">
        <v>111</v>
      </c>
      <c r="D1370" t="s">
        <v>78</v>
      </c>
      <c r="E1370" s="1" t="s">
        <v>101</v>
      </c>
      <c r="F1370" t="s">
        <v>93</v>
      </c>
      <c r="G1370" t="s">
        <v>23</v>
      </c>
      <c r="H1370">
        <v>12</v>
      </c>
      <c r="I1370">
        <v>3</v>
      </c>
    </row>
    <row r="1371" spans="1:9" x14ac:dyDescent="0.25">
      <c r="A1371" s="5" t="str">
        <f>TrendSheetPrdData[[#This Row],[Population]]&amp;TrendSheetPrdData[[#This Row],[Cost Basis]]&amp;TrendSheetPrdData[[#This Row],[Period]]&amp;TrendSheetPrdData[[#This Row],[Trend]]</f>
        <v>OTHERSPaid2016-10-01Office Based CTs per 1k</v>
      </c>
      <c r="B1371" t="s">
        <v>111</v>
      </c>
      <c r="C1371" t="s">
        <v>111</v>
      </c>
      <c r="D1371" t="s">
        <v>78</v>
      </c>
      <c r="E1371" s="1" t="s">
        <v>102</v>
      </c>
      <c r="F1371" t="s">
        <v>93</v>
      </c>
      <c r="G1371" t="s">
        <v>23</v>
      </c>
      <c r="H1371">
        <v>12</v>
      </c>
      <c r="I1371">
        <v>0</v>
      </c>
    </row>
    <row r="1372" spans="1:9" x14ac:dyDescent="0.25">
      <c r="A1372" s="5" t="str">
        <f>TrendSheetPrdData[[#This Row],[Population]]&amp;TrendSheetPrdData[[#This Row],[Cost Basis]]&amp;TrendSheetPrdData[[#This Row],[Period]]&amp;TrendSheetPrdData[[#This Row],[Trend]]</f>
        <v>OTHERSPaid2016-11-01Office Based CTs per 1k</v>
      </c>
      <c r="B1372" t="s">
        <v>111</v>
      </c>
      <c r="C1372" t="s">
        <v>111</v>
      </c>
      <c r="D1372" t="s">
        <v>78</v>
      </c>
      <c r="E1372" s="1" t="s">
        <v>103</v>
      </c>
      <c r="F1372" t="s">
        <v>93</v>
      </c>
      <c r="G1372" t="s">
        <v>23</v>
      </c>
      <c r="H1372">
        <v>12</v>
      </c>
      <c r="I1372">
        <v>0</v>
      </c>
    </row>
    <row r="1373" spans="1:9" x14ac:dyDescent="0.25">
      <c r="A1373" s="5" t="str">
        <f>TrendSheetPrdData[[#This Row],[Population]]&amp;TrendSheetPrdData[[#This Row],[Cost Basis]]&amp;TrendSheetPrdData[[#This Row],[Period]]&amp;TrendSheetPrdData[[#This Row],[Trend]]</f>
        <v>OTHERSPaid2016-12-01Office Based CTs per 1k</v>
      </c>
      <c r="B1373" t="s">
        <v>111</v>
      </c>
      <c r="C1373" t="s">
        <v>111</v>
      </c>
      <c r="D1373" t="s">
        <v>78</v>
      </c>
      <c r="E1373" s="1" t="s">
        <v>104</v>
      </c>
      <c r="F1373" t="s">
        <v>93</v>
      </c>
      <c r="G1373" t="s">
        <v>23</v>
      </c>
      <c r="H1373">
        <v>12</v>
      </c>
      <c r="I1373">
        <v>0</v>
      </c>
    </row>
    <row r="1374" spans="1:9" x14ac:dyDescent="0.25">
      <c r="A1374" s="5" t="str">
        <f>TrendSheetPrdData[[#This Row],[Population]]&amp;TrendSheetPrdData[[#This Row],[Cost Basis]]&amp;TrendSheetPrdData[[#This Row],[Period]]&amp;TrendSheetPrdData[[#This Row],[Trend]]</f>
        <v>OTHERSPaid2017-01-01Office Based CTs per 1k</v>
      </c>
      <c r="B1374" t="s">
        <v>111</v>
      </c>
      <c r="C1374" t="s">
        <v>111</v>
      </c>
      <c r="D1374" t="s">
        <v>78</v>
      </c>
      <c r="E1374" s="1" t="s">
        <v>105</v>
      </c>
      <c r="F1374" t="s">
        <v>108</v>
      </c>
      <c r="G1374" t="s">
        <v>23</v>
      </c>
      <c r="H1374">
        <v>12</v>
      </c>
      <c r="I1374">
        <v>0</v>
      </c>
    </row>
    <row r="1375" spans="1:9" x14ac:dyDescent="0.25">
      <c r="A1375" s="5" t="str">
        <f>TrendSheetPrdData[[#This Row],[Population]]&amp;TrendSheetPrdData[[#This Row],[Cost Basis]]&amp;TrendSheetPrdData[[#This Row],[Period]]&amp;TrendSheetPrdData[[#This Row],[Trend]]</f>
        <v>OTHERSPaid2017-02-01Office Based CTs per 1k</v>
      </c>
      <c r="B1375" t="s">
        <v>111</v>
      </c>
      <c r="C1375" t="s">
        <v>111</v>
      </c>
      <c r="D1375" t="s">
        <v>78</v>
      </c>
      <c r="E1375" s="1" t="s">
        <v>106</v>
      </c>
      <c r="F1375" t="s">
        <v>108</v>
      </c>
      <c r="G1375" t="s">
        <v>23</v>
      </c>
      <c r="H1375">
        <v>12</v>
      </c>
      <c r="I1375">
        <v>0</v>
      </c>
    </row>
    <row r="1376" spans="1:9" x14ac:dyDescent="0.25">
      <c r="A1376" s="5" t="str">
        <f>TrendSheetPrdData[[#This Row],[Population]]&amp;TrendSheetPrdData[[#This Row],[Cost Basis]]&amp;TrendSheetPrdData[[#This Row],[Period]]&amp;TrendSheetPrdData[[#This Row],[Trend]]</f>
        <v>OTHERSPaid2017-03-01Office Based CTs per 1k</v>
      </c>
      <c r="B1376" t="s">
        <v>111</v>
      </c>
      <c r="C1376" t="s">
        <v>111</v>
      </c>
      <c r="D1376" t="s">
        <v>78</v>
      </c>
      <c r="E1376" s="1" t="s">
        <v>107</v>
      </c>
      <c r="F1376" t="s">
        <v>108</v>
      </c>
      <c r="G1376" t="s">
        <v>23</v>
      </c>
      <c r="H1376">
        <v>12</v>
      </c>
      <c r="I1376">
        <v>0</v>
      </c>
    </row>
    <row r="1377" spans="1:9" x14ac:dyDescent="0.25">
      <c r="A1377" s="5" t="str">
        <f>TrendSheetPrdData[[#This Row],[Population]]&amp;TrendSheetPrdData[[#This Row],[Cost Basis]]&amp;TrendSheetPrdData[[#This Row],[Period]]&amp;TrendSheetPrdData[[#This Row],[Trend]]</f>
        <v>OTHERSPaid2017-04-01Office Based CTs per 1k</v>
      </c>
      <c r="B1377" t="s">
        <v>111</v>
      </c>
      <c r="C1377" t="s">
        <v>111</v>
      </c>
      <c r="D1377" t="s">
        <v>78</v>
      </c>
      <c r="E1377" s="1" t="s">
        <v>109</v>
      </c>
      <c r="F1377" t="s">
        <v>108</v>
      </c>
      <c r="G1377" t="s">
        <v>23</v>
      </c>
      <c r="H1377">
        <v>12</v>
      </c>
      <c r="I1377">
        <v>3</v>
      </c>
    </row>
    <row r="1378" spans="1:9" x14ac:dyDescent="0.25">
      <c r="A1378" s="5" t="str">
        <f>TrendSheetPrdData[[#This Row],[Population]]&amp;TrendSheetPrdData[[#This Row],[Cost Basis]]&amp;TrendSheetPrdData[[#This Row],[Period]]&amp;TrendSheetPrdData[[#This Row],[Trend]]</f>
        <v>OTHERSPaid2017-05-01Office Based CTs per 1k</v>
      </c>
      <c r="B1378" t="s">
        <v>111</v>
      </c>
      <c r="C1378" t="s">
        <v>111</v>
      </c>
      <c r="D1378" t="s">
        <v>78</v>
      </c>
      <c r="E1378" s="1" t="s">
        <v>110</v>
      </c>
      <c r="F1378" t="s">
        <v>108</v>
      </c>
      <c r="G1378" t="s">
        <v>23</v>
      </c>
      <c r="H1378">
        <v>12</v>
      </c>
      <c r="I1378">
        <v>0</v>
      </c>
    </row>
    <row r="1379" spans="1:9" x14ac:dyDescent="0.25">
      <c r="A1379" s="5" t="str">
        <f>TrendSheetPrdData[[#This Row],[Population]]&amp;TrendSheetPrdData[[#This Row],[Cost Basis]]&amp;TrendSheetPrdData[[#This Row],[Period]]&amp;TrendSheetPrdData[[#This Row],[Trend]]</f>
        <v>OTHERSPaid2016-01-01ED Cost</v>
      </c>
      <c r="B1379" t="s">
        <v>111</v>
      </c>
      <c r="C1379" t="s">
        <v>111</v>
      </c>
      <c r="D1379" t="s">
        <v>78</v>
      </c>
      <c r="E1379" s="1" t="s">
        <v>92</v>
      </c>
      <c r="F1379" t="s">
        <v>93</v>
      </c>
      <c r="G1379" t="s">
        <v>24</v>
      </c>
      <c r="H1379">
        <v>13</v>
      </c>
      <c r="I1379">
        <v>82652</v>
      </c>
    </row>
    <row r="1380" spans="1:9" x14ac:dyDescent="0.25">
      <c r="A1380" s="5" t="str">
        <f>TrendSheetPrdData[[#This Row],[Population]]&amp;TrendSheetPrdData[[#This Row],[Cost Basis]]&amp;TrendSheetPrdData[[#This Row],[Period]]&amp;TrendSheetPrdData[[#This Row],[Trend]]</f>
        <v>OTHERSPaid2016-02-01ED Cost</v>
      </c>
      <c r="B1380" t="s">
        <v>111</v>
      </c>
      <c r="C1380" t="s">
        <v>111</v>
      </c>
      <c r="D1380" t="s">
        <v>78</v>
      </c>
      <c r="E1380" s="1" t="s">
        <v>94</v>
      </c>
      <c r="F1380" t="s">
        <v>93</v>
      </c>
      <c r="G1380" t="s">
        <v>24</v>
      </c>
      <c r="H1380">
        <v>13</v>
      </c>
      <c r="I1380">
        <v>77533</v>
      </c>
    </row>
    <row r="1381" spans="1:9" x14ac:dyDescent="0.25">
      <c r="A1381" s="5" t="str">
        <f>TrendSheetPrdData[[#This Row],[Population]]&amp;TrendSheetPrdData[[#This Row],[Cost Basis]]&amp;TrendSheetPrdData[[#This Row],[Period]]&amp;TrendSheetPrdData[[#This Row],[Trend]]</f>
        <v>OTHERSPaid2016-03-01ED Cost</v>
      </c>
      <c r="B1381" t="s">
        <v>111</v>
      </c>
      <c r="C1381" t="s">
        <v>111</v>
      </c>
      <c r="D1381" t="s">
        <v>78</v>
      </c>
      <c r="E1381" s="1" t="s">
        <v>95</v>
      </c>
      <c r="F1381" t="s">
        <v>93</v>
      </c>
      <c r="G1381" t="s">
        <v>24</v>
      </c>
      <c r="H1381">
        <v>13</v>
      </c>
      <c r="I1381">
        <v>71613</v>
      </c>
    </row>
    <row r="1382" spans="1:9" x14ac:dyDescent="0.25">
      <c r="A1382" s="5" t="str">
        <f>TrendSheetPrdData[[#This Row],[Population]]&amp;TrendSheetPrdData[[#This Row],[Cost Basis]]&amp;TrendSheetPrdData[[#This Row],[Period]]&amp;TrendSheetPrdData[[#This Row],[Trend]]</f>
        <v>OTHERSPaid2016-04-01ED Cost</v>
      </c>
      <c r="B1382" t="s">
        <v>111</v>
      </c>
      <c r="C1382" t="s">
        <v>111</v>
      </c>
      <c r="D1382" t="s">
        <v>78</v>
      </c>
      <c r="E1382" s="1" t="s">
        <v>96</v>
      </c>
      <c r="F1382" t="s">
        <v>93</v>
      </c>
      <c r="G1382" t="s">
        <v>24</v>
      </c>
      <c r="H1382">
        <v>13</v>
      </c>
      <c r="I1382">
        <v>109648</v>
      </c>
    </row>
    <row r="1383" spans="1:9" x14ac:dyDescent="0.25">
      <c r="A1383" s="5" t="str">
        <f>TrendSheetPrdData[[#This Row],[Population]]&amp;TrendSheetPrdData[[#This Row],[Cost Basis]]&amp;TrendSheetPrdData[[#This Row],[Period]]&amp;TrendSheetPrdData[[#This Row],[Trend]]</f>
        <v>OTHERSPaid2016-05-01ED Cost</v>
      </c>
      <c r="B1383" t="s">
        <v>111</v>
      </c>
      <c r="C1383" t="s">
        <v>111</v>
      </c>
      <c r="D1383" t="s">
        <v>78</v>
      </c>
      <c r="E1383" s="1" t="s">
        <v>97</v>
      </c>
      <c r="F1383" t="s">
        <v>93</v>
      </c>
      <c r="G1383" t="s">
        <v>24</v>
      </c>
      <c r="H1383">
        <v>13</v>
      </c>
      <c r="I1383">
        <v>64870</v>
      </c>
    </row>
    <row r="1384" spans="1:9" x14ac:dyDescent="0.25">
      <c r="A1384" s="5" t="str">
        <f>TrendSheetPrdData[[#This Row],[Population]]&amp;TrendSheetPrdData[[#This Row],[Cost Basis]]&amp;TrendSheetPrdData[[#This Row],[Period]]&amp;TrendSheetPrdData[[#This Row],[Trend]]</f>
        <v>OTHERSPaid2016-06-01ED Cost</v>
      </c>
      <c r="B1384" t="s">
        <v>111</v>
      </c>
      <c r="C1384" t="s">
        <v>111</v>
      </c>
      <c r="D1384" t="s">
        <v>78</v>
      </c>
      <c r="E1384" s="1" t="s">
        <v>98</v>
      </c>
      <c r="F1384" t="s">
        <v>93</v>
      </c>
      <c r="G1384" t="s">
        <v>24</v>
      </c>
      <c r="H1384">
        <v>13</v>
      </c>
      <c r="I1384">
        <v>64099</v>
      </c>
    </row>
    <row r="1385" spans="1:9" x14ac:dyDescent="0.25">
      <c r="A1385" s="5" t="str">
        <f>TrendSheetPrdData[[#This Row],[Population]]&amp;TrendSheetPrdData[[#This Row],[Cost Basis]]&amp;TrendSheetPrdData[[#This Row],[Period]]&amp;TrendSheetPrdData[[#This Row],[Trend]]</f>
        <v>OTHERSPaid2016-07-01ED Cost</v>
      </c>
      <c r="B1385" t="s">
        <v>111</v>
      </c>
      <c r="C1385" t="s">
        <v>111</v>
      </c>
      <c r="D1385" t="s">
        <v>78</v>
      </c>
      <c r="E1385" s="1" t="s">
        <v>99</v>
      </c>
      <c r="F1385" t="s">
        <v>93</v>
      </c>
      <c r="G1385" t="s">
        <v>24</v>
      </c>
      <c r="H1385">
        <v>13</v>
      </c>
      <c r="I1385">
        <v>83706</v>
      </c>
    </row>
    <row r="1386" spans="1:9" x14ac:dyDescent="0.25">
      <c r="A1386" s="5" t="str">
        <f>TrendSheetPrdData[[#This Row],[Population]]&amp;TrendSheetPrdData[[#This Row],[Cost Basis]]&amp;TrendSheetPrdData[[#This Row],[Period]]&amp;TrendSheetPrdData[[#This Row],[Trend]]</f>
        <v>OTHERSPaid2016-08-01ED Cost</v>
      </c>
      <c r="B1386" t="s">
        <v>111</v>
      </c>
      <c r="C1386" t="s">
        <v>111</v>
      </c>
      <c r="D1386" t="s">
        <v>78</v>
      </c>
      <c r="E1386" s="1" t="s">
        <v>100</v>
      </c>
      <c r="F1386" t="s">
        <v>93</v>
      </c>
      <c r="G1386" t="s">
        <v>24</v>
      </c>
      <c r="H1386">
        <v>13</v>
      </c>
      <c r="I1386">
        <v>79814</v>
      </c>
    </row>
    <row r="1387" spans="1:9" x14ac:dyDescent="0.25">
      <c r="A1387" s="5" t="str">
        <f>TrendSheetPrdData[[#This Row],[Population]]&amp;TrendSheetPrdData[[#This Row],[Cost Basis]]&amp;TrendSheetPrdData[[#This Row],[Period]]&amp;TrendSheetPrdData[[#This Row],[Trend]]</f>
        <v>OTHERSPaid2016-09-01ED Cost</v>
      </c>
      <c r="B1387" t="s">
        <v>111</v>
      </c>
      <c r="C1387" t="s">
        <v>111</v>
      </c>
      <c r="D1387" t="s">
        <v>78</v>
      </c>
      <c r="E1387" s="1" t="s">
        <v>101</v>
      </c>
      <c r="F1387" t="s">
        <v>93</v>
      </c>
      <c r="G1387" t="s">
        <v>24</v>
      </c>
      <c r="H1387">
        <v>13</v>
      </c>
      <c r="I1387">
        <v>89168</v>
      </c>
    </row>
    <row r="1388" spans="1:9" x14ac:dyDescent="0.25">
      <c r="A1388" s="5" t="str">
        <f>TrendSheetPrdData[[#This Row],[Population]]&amp;TrendSheetPrdData[[#This Row],[Cost Basis]]&amp;TrendSheetPrdData[[#This Row],[Period]]&amp;TrendSheetPrdData[[#This Row],[Trend]]</f>
        <v>OTHERSPaid2016-10-01ED Cost</v>
      </c>
      <c r="B1388" t="s">
        <v>111</v>
      </c>
      <c r="C1388" t="s">
        <v>111</v>
      </c>
      <c r="D1388" t="s">
        <v>78</v>
      </c>
      <c r="E1388" s="1" t="s">
        <v>102</v>
      </c>
      <c r="F1388" t="s">
        <v>93</v>
      </c>
      <c r="G1388" t="s">
        <v>24</v>
      </c>
      <c r="H1388">
        <v>13</v>
      </c>
      <c r="I1388">
        <v>75233</v>
      </c>
    </row>
    <row r="1389" spans="1:9" x14ac:dyDescent="0.25">
      <c r="A1389" s="5" t="str">
        <f>TrendSheetPrdData[[#This Row],[Population]]&amp;TrendSheetPrdData[[#This Row],[Cost Basis]]&amp;TrendSheetPrdData[[#This Row],[Period]]&amp;TrendSheetPrdData[[#This Row],[Trend]]</f>
        <v>OTHERSPaid2016-11-01ED Cost</v>
      </c>
      <c r="B1389" t="s">
        <v>111</v>
      </c>
      <c r="C1389" t="s">
        <v>111</v>
      </c>
      <c r="D1389" t="s">
        <v>78</v>
      </c>
      <c r="E1389" s="1" t="s">
        <v>103</v>
      </c>
      <c r="F1389" t="s">
        <v>93</v>
      </c>
      <c r="G1389" t="s">
        <v>24</v>
      </c>
      <c r="H1389">
        <v>13</v>
      </c>
      <c r="I1389">
        <v>82663</v>
      </c>
    </row>
    <row r="1390" spans="1:9" x14ac:dyDescent="0.25">
      <c r="A1390" s="5" t="str">
        <f>TrendSheetPrdData[[#This Row],[Population]]&amp;TrendSheetPrdData[[#This Row],[Cost Basis]]&amp;TrendSheetPrdData[[#This Row],[Period]]&amp;TrendSheetPrdData[[#This Row],[Trend]]</f>
        <v>OTHERSPaid2016-12-01ED Cost</v>
      </c>
      <c r="B1390" t="s">
        <v>111</v>
      </c>
      <c r="C1390" t="s">
        <v>111</v>
      </c>
      <c r="D1390" t="s">
        <v>78</v>
      </c>
      <c r="E1390" s="1" t="s">
        <v>104</v>
      </c>
      <c r="F1390" t="s">
        <v>93</v>
      </c>
      <c r="G1390" t="s">
        <v>24</v>
      </c>
      <c r="H1390">
        <v>13</v>
      </c>
      <c r="I1390">
        <v>73115</v>
      </c>
    </row>
    <row r="1391" spans="1:9" x14ac:dyDescent="0.25">
      <c r="A1391" s="5" t="str">
        <f>TrendSheetPrdData[[#This Row],[Population]]&amp;TrendSheetPrdData[[#This Row],[Cost Basis]]&amp;TrendSheetPrdData[[#This Row],[Period]]&amp;TrendSheetPrdData[[#This Row],[Trend]]</f>
        <v>OTHERSPaid2017-01-01ED Cost</v>
      </c>
      <c r="B1391" t="s">
        <v>111</v>
      </c>
      <c r="C1391" t="s">
        <v>111</v>
      </c>
      <c r="D1391" t="s">
        <v>78</v>
      </c>
      <c r="E1391" s="1" t="s">
        <v>105</v>
      </c>
      <c r="F1391" t="s">
        <v>108</v>
      </c>
      <c r="G1391" t="s">
        <v>24</v>
      </c>
      <c r="H1391">
        <v>13</v>
      </c>
      <c r="I1391">
        <v>80696</v>
      </c>
    </row>
    <row r="1392" spans="1:9" x14ac:dyDescent="0.25">
      <c r="A1392" s="5" t="str">
        <f>TrendSheetPrdData[[#This Row],[Population]]&amp;TrendSheetPrdData[[#This Row],[Cost Basis]]&amp;TrendSheetPrdData[[#This Row],[Period]]&amp;TrendSheetPrdData[[#This Row],[Trend]]</f>
        <v>OTHERSPaid2017-02-01ED Cost</v>
      </c>
      <c r="B1392" t="s">
        <v>111</v>
      </c>
      <c r="C1392" t="s">
        <v>111</v>
      </c>
      <c r="D1392" t="s">
        <v>78</v>
      </c>
      <c r="E1392" s="1" t="s">
        <v>106</v>
      </c>
      <c r="F1392" t="s">
        <v>108</v>
      </c>
      <c r="G1392" t="s">
        <v>24</v>
      </c>
      <c r="H1392">
        <v>13</v>
      </c>
      <c r="I1392">
        <v>97958</v>
      </c>
    </row>
    <row r="1393" spans="1:9" x14ac:dyDescent="0.25">
      <c r="A1393" s="5" t="str">
        <f>TrendSheetPrdData[[#This Row],[Population]]&amp;TrendSheetPrdData[[#This Row],[Cost Basis]]&amp;TrendSheetPrdData[[#This Row],[Period]]&amp;TrendSheetPrdData[[#This Row],[Trend]]</f>
        <v>OTHERSPaid2017-03-01ED Cost</v>
      </c>
      <c r="B1393" t="s">
        <v>111</v>
      </c>
      <c r="C1393" t="s">
        <v>111</v>
      </c>
      <c r="D1393" t="s">
        <v>78</v>
      </c>
      <c r="E1393" s="1" t="s">
        <v>107</v>
      </c>
      <c r="F1393" t="s">
        <v>108</v>
      </c>
      <c r="G1393" t="s">
        <v>24</v>
      </c>
      <c r="H1393">
        <v>13</v>
      </c>
      <c r="I1393">
        <v>72072</v>
      </c>
    </row>
    <row r="1394" spans="1:9" x14ac:dyDescent="0.25">
      <c r="A1394" s="5" t="str">
        <f>TrendSheetPrdData[[#This Row],[Population]]&amp;TrendSheetPrdData[[#This Row],[Cost Basis]]&amp;TrendSheetPrdData[[#This Row],[Period]]&amp;TrendSheetPrdData[[#This Row],[Trend]]</f>
        <v>OTHERSPaid2017-04-01ED Cost</v>
      </c>
      <c r="B1394" t="s">
        <v>111</v>
      </c>
      <c r="C1394" t="s">
        <v>111</v>
      </c>
      <c r="D1394" t="s">
        <v>78</v>
      </c>
      <c r="E1394" s="1" t="s">
        <v>109</v>
      </c>
      <c r="F1394" t="s">
        <v>108</v>
      </c>
      <c r="G1394" t="s">
        <v>24</v>
      </c>
      <c r="H1394">
        <v>13</v>
      </c>
      <c r="I1394">
        <v>72355</v>
      </c>
    </row>
    <row r="1395" spans="1:9" x14ac:dyDescent="0.25">
      <c r="A1395" s="5" t="str">
        <f>TrendSheetPrdData[[#This Row],[Population]]&amp;TrendSheetPrdData[[#This Row],[Cost Basis]]&amp;TrendSheetPrdData[[#This Row],[Period]]&amp;TrendSheetPrdData[[#This Row],[Trend]]</f>
        <v>OTHERSPaid2017-05-01ED Cost</v>
      </c>
      <c r="B1395" t="s">
        <v>111</v>
      </c>
      <c r="C1395" t="s">
        <v>111</v>
      </c>
      <c r="D1395" t="s">
        <v>78</v>
      </c>
      <c r="E1395" s="1" t="s">
        <v>110</v>
      </c>
      <c r="F1395" t="s">
        <v>108</v>
      </c>
      <c r="G1395" t="s">
        <v>24</v>
      </c>
      <c r="H1395">
        <v>13</v>
      </c>
      <c r="I1395">
        <v>18614</v>
      </c>
    </row>
    <row r="1396" spans="1:9" x14ac:dyDescent="0.25">
      <c r="A1396" s="5" t="str">
        <f>TrendSheetPrdData[[#This Row],[Population]]&amp;TrendSheetPrdData[[#This Row],[Cost Basis]]&amp;TrendSheetPrdData[[#This Row],[Period]]&amp;TrendSheetPrdData[[#This Row],[Trend]]</f>
        <v>OTHERSPaid2016-01-01ED Utilization</v>
      </c>
      <c r="B1396" t="s">
        <v>111</v>
      </c>
      <c r="C1396" t="s">
        <v>111</v>
      </c>
      <c r="D1396" t="s">
        <v>78</v>
      </c>
      <c r="E1396" s="1" t="s">
        <v>92</v>
      </c>
      <c r="F1396" t="s">
        <v>93</v>
      </c>
      <c r="G1396" t="s">
        <v>25</v>
      </c>
      <c r="H1396">
        <v>14</v>
      </c>
      <c r="I1396">
        <v>209</v>
      </c>
    </row>
    <row r="1397" spans="1:9" x14ac:dyDescent="0.25">
      <c r="A1397" s="5" t="str">
        <f>TrendSheetPrdData[[#This Row],[Population]]&amp;TrendSheetPrdData[[#This Row],[Cost Basis]]&amp;TrendSheetPrdData[[#This Row],[Period]]&amp;TrendSheetPrdData[[#This Row],[Trend]]</f>
        <v>OTHERSPaid2016-02-01ED Utilization</v>
      </c>
      <c r="B1397" t="s">
        <v>111</v>
      </c>
      <c r="C1397" t="s">
        <v>111</v>
      </c>
      <c r="D1397" t="s">
        <v>78</v>
      </c>
      <c r="E1397" s="1" t="s">
        <v>94</v>
      </c>
      <c r="F1397" t="s">
        <v>93</v>
      </c>
      <c r="G1397" t="s">
        <v>25</v>
      </c>
      <c r="H1397">
        <v>14</v>
      </c>
      <c r="I1397">
        <v>207</v>
      </c>
    </row>
    <row r="1398" spans="1:9" x14ac:dyDescent="0.25">
      <c r="A1398" s="5" t="str">
        <f>TrendSheetPrdData[[#This Row],[Population]]&amp;TrendSheetPrdData[[#This Row],[Cost Basis]]&amp;TrendSheetPrdData[[#This Row],[Period]]&amp;TrendSheetPrdData[[#This Row],[Trend]]</f>
        <v>OTHERSPaid2016-03-01ED Utilization</v>
      </c>
      <c r="B1398" t="s">
        <v>111</v>
      </c>
      <c r="C1398" t="s">
        <v>111</v>
      </c>
      <c r="D1398" t="s">
        <v>78</v>
      </c>
      <c r="E1398" s="1" t="s">
        <v>95</v>
      </c>
      <c r="F1398" t="s">
        <v>93</v>
      </c>
      <c r="G1398" t="s">
        <v>25</v>
      </c>
      <c r="H1398">
        <v>14</v>
      </c>
      <c r="I1398">
        <v>183</v>
      </c>
    </row>
    <row r="1399" spans="1:9" x14ac:dyDescent="0.25">
      <c r="A1399" s="5" t="str">
        <f>TrendSheetPrdData[[#This Row],[Population]]&amp;TrendSheetPrdData[[#This Row],[Cost Basis]]&amp;TrendSheetPrdData[[#This Row],[Period]]&amp;TrendSheetPrdData[[#This Row],[Trend]]</f>
        <v>OTHERSPaid2016-04-01ED Utilization</v>
      </c>
      <c r="B1399" t="s">
        <v>111</v>
      </c>
      <c r="C1399" t="s">
        <v>111</v>
      </c>
      <c r="D1399" t="s">
        <v>78</v>
      </c>
      <c r="E1399" s="1" t="s">
        <v>96</v>
      </c>
      <c r="F1399" t="s">
        <v>93</v>
      </c>
      <c r="G1399" t="s">
        <v>25</v>
      </c>
      <c r="H1399">
        <v>14</v>
      </c>
      <c r="I1399">
        <v>177</v>
      </c>
    </row>
    <row r="1400" spans="1:9" x14ac:dyDescent="0.25">
      <c r="A1400" s="5" t="str">
        <f>TrendSheetPrdData[[#This Row],[Population]]&amp;TrendSheetPrdData[[#This Row],[Cost Basis]]&amp;TrendSheetPrdData[[#This Row],[Period]]&amp;TrendSheetPrdData[[#This Row],[Trend]]</f>
        <v>OTHERSPaid2016-05-01ED Utilization</v>
      </c>
      <c r="B1400" t="s">
        <v>111</v>
      </c>
      <c r="C1400" t="s">
        <v>111</v>
      </c>
      <c r="D1400" t="s">
        <v>78</v>
      </c>
      <c r="E1400" s="1" t="s">
        <v>97</v>
      </c>
      <c r="F1400" t="s">
        <v>93</v>
      </c>
      <c r="G1400" t="s">
        <v>25</v>
      </c>
      <c r="H1400">
        <v>14</v>
      </c>
      <c r="I1400">
        <v>153</v>
      </c>
    </row>
    <row r="1401" spans="1:9" x14ac:dyDescent="0.25">
      <c r="A1401" s="5" t="str">
        <f>TrendSheetPrdData[[#This Row],[Population]]&amp;TrendSheetPrdData[[#This Row],[Cost Basis]]&amp;TrendSheetPrdData[[#This Row],[Period]]&amp;TrendSheetPrdData[[#This Row],[Trend]]</f>
        <v>OTHERSPaid2016-06-01ED Utilization</v>
      </c>
      <c r="B1401" t="s">
        <v>111</v>
      </c>
      <c r="C1401" t="s">
        <v>111</v>
      </c>
      <c r="D1401" t="s">
        <v>78</v>
      </c>
      <c r="E1401" s="1" t="s">
        <v>98</v>
      </c>
      <c r="F1401" t="s">
        <v>93</v>
      </c>
      <c r="G1401" t="s">
        <v>25</v>
      </c>
      <c r="H1401">
        <v>14</v>
      </c>
      <c r="I1401">
        <v>154</v>
      </c>
    </row>
    <row r="1402" spans="1:9" x14ac:dyDescent="0.25">
      <c r="A1402" s="5" t="str">
        <f>TrendSheetPrdData[[#This Row],[Population]]&amp;TrendSheetPrdData[[#This Row],[Cost Basis]]&amp;TrendSheetPrdData[[#This Row],[Period]]&amp;TrendSheetPrdData[[#This Row],[Trend]]</f>
        <v>OTHERSPaid2016-07-01ED Utilization</v>
      </c>
      <c r="B1402" t="s">
        <v>111</v>
      </c>
      <c r="C1402" t="s">
        <v>111</v>
      </c>
      <c r="D1402" t="s">
        <v>78</v>
      </c>
      <c r="E1402" s="1" t="s">
        <v>99</v>
      </c>
      <c r="F1402" t="s">
        <v>93</v>
      </c>
      <c r="G1402" t="s">
        <v>25</v>
      </c>
      <c r="H1402">
        <v>14</v>
      </c>
      <c r="I1402">
        <v>188</v>
      </c>
    </row>
    <row r="1403" spans="1:9" x14ac:dyDescent="0.25">
      <c r="A1403" s="5" t="str">
        <f>TrendSheetPrdData[[#This Row],[Population]]&amp;TrendSheetPrdData[[#This Row],[Cost Basis]]&amp;TrendSheetPrdData[[#This Row],[Period]]&amp;TrendSheetPrdData[[#This Row],[Trend]]</f>
        <v>OTHERSPaid2016-08-01ED Utilization</v>
      </c>
      <c r="B1403" t="s">
        <v>111</v>
      </c>
      <c r="C1403" t="s">
        <v>111</v>
      </c>
      <c r="D1403" t="s">
        <v>78</v>
      </c>
      <c r="E1403" s="1" t="s">
        <v>100</v>
      </c>
      <c r="F1403" t="s">
        <v>93</v>
      </c>
      <c r="G1403" t="s">
        <v>25</v>
      </c>
      <c r="H1403">
        <v>14</v>
      </c>
      <c r="I1403">
        <v>172</v>
      </c>
    </row>
    <row r="1404" spans="1:9" x14ac:dyDescent="0.25">
      <c r="A1404" s="5" t="str">
        <f>TrendSheetPrdData[[#This Row],[Population]]&amp;TrendSheetPrdData[[#This Row],[Cost Basis]]&amp;TrendSheetPrdData[[#This Row],[Period]]&amp;TrendSheetPrdData[[#This Row],[Trend]]</f>
        <v>OTHERSPaid2016-09-01ED Utilization</v>
      </c>
      <c r="B1404" t="s">
        <v>111</v>
      </c>
      <c r="C1404" t="s">
        <v>111</v>
      </c>
      <c r="D1404" t="s">
        <v>78</v>
      </c>
      <c r="E1404" s="1" t="s">
        <v>101</v>
      </c>
      <c r="F1404" t="s">
        <v>93</v>
      </c>
      <c r="G1404" t="s">
        <v>25</v>
      </c>
      <c r="H1404">
        <v>14</v>
      </c>
      <c r="I1404">
        <v>171</v>
      </c>
    </row>
    <row r="1405" spans="1:9" x14ac:dyDescent="0.25">
      <c r="A1405" s="5" t="str">
        <f>TrendSheetPrdData[[#This Row],[Population]]&amp;TrendSheetPrdData[[#This Row],[Cost Basis]]&amp;TrendSheetPrdData[[#This Row],[Period]]&amp;TrendSheetPrdData[[#This Row],[Trend]]</f>
        <v>OTHERSPaid2016-10-01ED Utilization</v>
      </c>
      <c r="B1405" t="s">
        <v>111</v>
      </c>
      <c r="C1405" t="s">
        <v>111</v>
      </c>
      <c r="D1405" t="s">
        <v>78</v>
      </c>
      <c r="E1405" s="1" t="s">
        <v>102</v>
      </c>
      <c r="F1405" t="s">
        <v>93</v>
      </c>
      <c r="G1405" t="s">
        <v>25</v>
      </c>
      <c r="H1405">
        <v>14</v>
      </c>
      <c r="I1405">
        <v>136</v>
      </c>
    </row>
    <row r="1406" spans="1:9" x14ac:dyDescent="0.25">
      <c r="A1406" s="5" t="str">
        <f>TrendSheetPrdData[[#This Row],[Population]]&amp;TrendSheetPrdData[[#This Row],[Cost Basis]]&amp;TrendSheetPrdData[[#This Row],[Period]]&amp;TrendSheetPrdData[[#This Row],[Trend]]</f>
        <v>OTHERSPaid2016-11-01ED Utilization</v>
      </c>
      <c r="B1406" t="s">
        <v>111</v>
      </c>
      <c r="C1406" t="s">
        <v>111</v>
      </c>
      <c r="D1406" t="s">
        <v>78</v>
      </c>
      <c r="E1406" s="1" t="s">
        <v>103</v>
      </c>
      <c r="F1406" t="s">
        <v>93</v>
      </c>
      <c r="G1406" t="s">
        <v>25</v>
      </c>
      <c r="H1406">
        <v>14</v>
      </c>
      <c r="I1406">
        <v>157</v>
      </c>
    </row>
    <row r="1407" spans="1:9" x14ac:dyDescent="0.25">
      <c r="A1407" s="5" t="str">
        <f>TrendSheetPrdData[[#This Row],[Population]]&amp;TrendSheetPrdData[[#This Row],[Cost Basis]]&amp;TrendSheetPrdData[[#This Row],[Period]]&amp;TrendSheetPrdData[[#This Row],[Trend]]</f>
        <v>OTHERSPaid2016-12-01ED Utilization</v>
      </c>
      <c r="B1407" t="s">
        <v>111</v>
      </c>
      <c r="C1407" t="s">
        <v>111</v>
      </c>
      <c r="D1407" t="s">
        <v>78</v>
      </c>
      <c r="E1407" s="1" t="s">
        <v>104</v>
      </c>
      <c r="F1407" t="s">
        <v>93</v>
      </c>
      <c r="G1407" t="s">
        <v>25</v>
      </c>
      <c r="H1407">
        <v>14</v>
      </c>
      <c r="I1407">
        <v>156</v>
      </c>
    </row>
    <row r="1408" spans="1:9" x14ac:dyDescent="0.25">
      <c r="A1408" s="5" t="str">
        <f>TrendSheetPrdData[[#This Row],[Population]]&amp;TrendSheetPrdData[[#This Row],[Cost Basis]]&amp;TrendSheetPrdData[[#This Row],[Period]]&amp;TrendSheetPrdData[[#This Row],[Trend]]</f>
        <v>OTHERSPaid2017-01-01ED Utilization</v>
      </c>
      <c r="B1408" t="s">
        <v>111</v>
      </c>
      <c r="C1408" t="s">
        <v>111</v>
      </c>
      <c r="D1408" t="s">
        <v>78</v>
      </c>
      <c r="E1408" s="1" t="s">
        <v>105</v>
      </c>
      <c r="F1408" t="s">
        <v>108</v>
      </c>
      <c r="G1408" t="s">
        <v>25</v>
      </c>
      <c r="H1408">
        <v>14</v>
      </c>
      <c r="I1408">
        <v>157</v>
      </c>
    </row>
    <row r="1409" spans="1:9" x14ac:dyDescent="0.25">
      <c r="A1409" s="5" t="str">
        <f>TrendSheetPrdData[[#This Row],[Population]]&amp;TrendSheetPrdData[[#This Row],[Cost Basis]]&amp;TrendSheetPrdData[[#This Row],[Period]]&amp;TrendSheetPrdData[[#This Row],[Trend]]</f>
        <v>OTHERSPaid2017-02-01ED Utilization</v>
      </c>
      <c r="B1409" t="s">
        <v>111</v>
      </c>
      <c r="C1409" t="s">
        <v>111</v>
      </c>
      <c r="D1409" t="s">
        <v>78</v>
      </c>
      <c r="E1409" s="1" t="s">
        <v>106</v>
      </c>
      <c r="F1409" t="s">
        <v>108</v>
      </c>
      <c r="G1409" t="s">
        <v>25</v>
      </c>
      <c r="H1409">
        <v>14</v>
      </c>
      <c r="I1409">
        <v>158</v>
      </c>
    </row>
    <row r="1410" spans="1:9" x14ac:dyDescent="0.25">
      <c r="A1410" s="5" t="str">
        <f>TrendSheetPrdData[[#This Row],[Population]]&amp;TrendSheetPrdData[[#This Row],[Cost Basis]]&amp;TrendSheetPrdData[[#This Row],[Period]]&amp;TrendSheetPrdData[[#This Row],[Trend]]</f>
        <v>OTHERSPaid2017-03-01ED Utilization</v>
      </c>
      <c r="B1410" t="s">
        <v>111</v>
      </c>
      <c r="C1410" t="s">
        <v>111</v>
      </c>
      <c r="D1410" t="s">
        <v>78</v>
      </c>
      <c r="E1410" s="1" t="s">
        <v>107</v>
      </c>
      <c r="F1410" t="s">
        <v>108</v>
      </c>
      <c r="G1410" t="s">
        <v>25</v>
      </c>
      <c r="H1410">
        <v>14</v>
      </c>
      <c r="I1410">
        <v>142</v>
      </c>
    </row>
    <row r="1411" spans="1:9" x14ac:dyDescent="0.25">
      <c r="A1411" s="5" t="str">
        <f>TrendSheetPrdData[[#This Row],[Population]]&amp;TrendSheetPrdData[[#This Row],[Cost Basis]]&amp;TrendSheetPrdData[[#This Row],[Period]]&amp;TrendSheetPrdData[[#This Row],[Trend]]</f>
        <v>OTHERSPaid2017-04-01ED Utilization</v>
      </c>
      <c r="B1411" t="s">
        <v>111</v>
      </c>
      <c r="C1411" t="s">
        <v>111</v>
      </c>
      <c r="D1411" t="s">
        <v>78</v>
      </c>
      <c r="E1411" s="1" t="s">
        <v>109</v>
      </c>
      <c r="F1411" t="s">
        <v>108</v>
      </c>
      <c r="G1411" t="s">
        <v>25</v>
      </c>
      <c r="H1411">
        <v>14</v>
      </c>
      <c r="I1411">
        <v>158</v>
      </c>
    </row>
    <row r="1412" spans="1:9" x14ac:dyDescent="0.25">
      <c r="A1412" s="5" t="str">
        <f>TrendSheetPrdData[[#This Row],[Population]]&amp;TrendSheetPrdData[[#This Row],[Cost Basis]]&amp;TrendSheetPrdData[[#This Row],[Period]]&amp;TrendSheetPrdData[[#This Row],[Trend]]</f>
        <v>OTHERSPaid2017-05-01ED Utilization</v>
      </c>
      <c r="B1412" t="s">
        <v>111</v>
      </c>
      <c r="C1412" t="s">
        <v>111</v>
      </c>
      <c r="D1412" t="s">
        <v>78</v>
      </c>
      <c r="E1412" s="1" t="s">
        <v>110</v>
      </c>
      <c r="F1412" t="s">
        <v>108</v>
      </c>
      <c r="G1412" t="s">
        <v>25</v>
      </c>
      <c r="H1412">
        <v>14</v>
      </c>
      <c r="I1412">
        <v>58</v>
      </c>
    </row>
    <row r="1413" spans="1:9" x14ac:dyDescent="0.25">
      <c r="A1413" s="5" t="str">
        <f>TrendSheetPrdData[[#This Row],[Population]]&amp;TrendSheetPrdData[[#This Row],[Cost Basis]]&amp;TrendSheetPrdData[[#This Row],[Period]]&amp;TrendSheetPrdData[[#This Row],[Trend]]</f>
        <v>OTHERSPaid2016-01-01Drug - Generic Utilization Cost</v>
      </c>
      <c r="B1413" t="s">
        <v>111</v>
      </c>
      <c r="C1413" t="s">
        <v>111</v>
      </c>
      <c r="D1413" t="s">
        <v>78</v>
      </c>
      <c r="E1413" s="1" t="s">
        <v>92</v>
      </c>
      <c r="F1413" t="s">
        <v>93</v>
      </c>
      <c r="G1413" t="s">
        <v>26</v>
      </c>
      <c r="H1413">
        <v>15</v>
      </c>
      <c r="I1413">
        <v>200958</v>
      </c>
    </row>
    <row r="1414" spans="1:9" x14ac:dyDescent="0.25">
      <c r="A1414" s="5" t="str">
        <f>TrendSheetPrdData[[#This Row],[Population]]&amp;TrendSheetPrdData[[#This Row],[Cost Basis]]&amp;TrendSheetPrdData[[#This Row],[Period]]&amp;TrendSheetPrdData[[#This Row],[Trend]]</f>
        <v>OTHERSPaid2016-02-01Drug - Generic Utilization Cost</v>
      </c>
      <c r="B1414" t="s">
        <v>111</v>
      </c>
      <c r="C1414" t="s">
        <v>111</v>
      </c>
      <c r="D1414" t="s">
        <v>78</v>
      </c>
      <c r="E1414" s="1" t="s">
        <v>94</v>
      </c>
      <c r="F1414" t="s">
        <v>93</v>
      </c>
      <c r="G1414" t="s">
        <v>26</v>
      </c>
      <c r="H1414">
        <v>15</v>
      </c>
      <c r="I1414">
        <v>214084</v>
      </c>
    </row>
    <row r="1415" spans="1:9" x14ac:dyDescent="0.25">
      <c r="A1415" s="5" t="str">
        <f>TrendSheetPrdData[[#This Row],[Population]]&amp;TrendSheetPrdData[[#This Row],[Cost Basis]]&amp;TrendSheetPrdData[[#This Row],[Period]]&amp;TrendSheetPrdData[[#This Row],[Trend]]</f>
        <v>OTHERSPaid2016-03-01Drug - Generic Utilization Cost</v>
      </c>
      <c r="B1415" t="s">
        <v>111</v>
      </c>
      <c r="C1415" t="s">
        <v>111</v>
      </c>
      <c r="D1415" t="s">
        <v>78</v>
      </c>
      <c r="E1415" s="1" t="s">
        <v>95</v>
      </c>
      <c r="F1415" t="s">
        <v>93</v>
      </c>
      <c r="G1415" t="s">
        <v>26</v>
      </c>
      <c r="H1415">
        <v>15</v>
      </c>
      <c r="I1415">
        <v>152481</v>
      </c>
    </row>
    <row r="1416" spans="1:9" x14ac:dyDescent="0.25">
      <c r="A1416" s="5" t="str">
        <f>TrendSheetPrdData[[#This Row],[Population]]&amp;TrendSheetPrdData[[#This Row],[Cost Basis]]&amp;TrendSheetPrdData[[#This Row],[Period]]&amp;TrendSheetPrdData[[#This Row],[Trend]]</f>
        <v>OTHERSPaid2016-04-01Drug - Generic Utilization Cost</v>
      </c>
      <c r="B1416" t="s">
        <v>111</v>
      </c>
      <c r="C1416" t="s">
        <v>111</v>
      </c>
      <c r="D1416" t="s">
        <v>78</v>
      </c>
      <c r="E1416" s="1" t="s">
        <v>96</v>
      </c>
      <c r="F1416" t="s">
        <v>93</v>
      </c>
      <c r="G1416" t="s">
        <v>26</v>
      </c>
      <c r="H1416">
        <v>15</v>
      </c>
      <c r="I1416">
        <v>209278</v>
      </c>
    </row>
    <row r="1417" spans="1:9" x14ac:dyDescent="0.25">
      <c r="A1417" s="5" t="str">
        <f>TrendSheetPrdData[[#This Row],[Population]]&amp;TrendSheetPrdData[[#This Row],[Cost Basis]]&amp;TrendSheetPrdData[[#This Row],[Period]]&amp;TrendSheetPrdData[[#This Row],[Trend]]</f>
        <v>OTHERSPaid2016-05-01Drug - Generic Utilization Cost</v>
      </c>
      <c r="B1417" t="s">
        <v>111</v>
      </c>
      <c r="C1417" t="s">
        <v>111</v>
      </c>
      <c r="D1417" t="s">
        <v>78</v>
      </c>
      <c r="E1417" s="1" t="s">
        <v>97</v>
      </c>
      <c r="F1417" t="s">
        <v>93</v>
      </c>
      <c r="G1417" t="s">
        <v>26</v>
      </c>
      <c r="H1417">
        <v>15</v>
      </c>
      <c r="I1417">
        <v>192806</v>
      </c>
    </row>
    <row r="1418" spans="1:9" x14ac:dyDescent="0.25">
      <c r="A1418" s="5" t="str">
        <f>TrendSheetPrdData[[#This Row],[Population]]&amp;TrendSheetPrdData[[#This Row],[Cost Basis]]&amp;TrendSheetPrdData[[#This Row],[Period]]&amp;TrendSheetPrdData[[#This Row],[Trend]]</f>
        <v>OTHERSPaid2016-06-01Drug - Generic Utilization Cost</v>
      </c>
      <c r="B1418" t="s">
        <v>111</v>
      </c>
      <c r="C1418" t="s">
        <v>111</v>
      </c>
      <c r="D1418" t="s">
        <v>78</v>
      </c>
      <c r="E1418" s="1" t="s">
        <v>98</v>
      </c>
      <c r="F1418" t="s">
        <v>93</v>
      </c>
      <c r="G1418" t="s">
        <v>26</v>
      </c>
      <c r="H1418">
        <v>15</v>
      </c>
      <c r="I1418">
        <v>131425</v>
      </c>
    </row>
    <row r="1419" spans="1:9" x14ac:dyDescent="0.25">
      <c r="A1419" s="5" t="str">
        <f>TrendSheetPrdData[[#This Row],[Population]]&amp;TrendSheetPrdData[[#This Row],[Cost Basis]]&amp;TrendSheetPrdData[[#This Row],[Period]]&amp;TrendSheetPrdData[[#This Row],[Trend]]</f>
        <v>OTHERSPaid2016-07-01Drug - Generic Utilization Cost</v>
      </c>
      <c r="B1419" t="s">
        <v>111</v>
      </c>
      <c r="C1419" t="s">
        <v>111</v>
      </c>
      <c r="D1419" t="s">
        <v>78</v>
      </c>
      <c r="E1419" s="1" t="s">
        <v>99</v>
      </c>
      <c r="F1419" t="s">
        <v>93</v>
      </c>
      <c r="G1419" t="s">
        <v>26</v>
      </c>
      <c r="H1419">
        <v>15</v>
      </c>
      <c r="I1419">
        <v>155137</v>
      </c>
    </row>
    <row r="1420" spans="1:9" x14ac:dyDescent="0.25">
      <c r="A1420" s="5" t="str">
        <f>TrendSheetPrdData[[#This Row],[Population]]&amp;TrendSheetPrdData[[#This Row],[Cost Basis]]&amp;TrendSheetPrdData[[#This Row],[Period]]&amp;TrendSheetPrdData[[#This Row],[Trend]]</f>
        <v>OTHERSPaid2016-08-01Drug - Generic Utilization Cost</v>
      </c>
      <c r="B1420" t="s">
        <v>111</v>
      </c>
      <c r="C1420" t="s">
        <v>111</v>
      </c>
      <c r="D1420" t="s">
        <v>78</v>
      </c>
      <c r="E1420" s="1" t="s">
        <v>100</v>
      </c>
      <c r="F1420" t="s">
        <v>93</v>
      </c>
      <c r="G1420" t="s">
        <v>26</v>
      </c>
      <c r="H1420">
        <v>15</v>
      </c>
      <c r="I1420">
        <v>193876</v>
      </c>
    </row>
    <row r="1421" spans="1:9" x14ac:dyDescent="0.25">
      <c r="A1421" s="5" t="str">
        <f>TrendSheetPrdData[[#This Row],[Population]]&amp;TrendSheetPrdData[[#This Row],[Cost Basis]]&amp;TrendSheetPrdData[[#This Row],[Period]]&amp;TrendSheetPrdData[[#This Row],[Trend]]</f>
        <v>OTHERSPaid2016-09-01Drug - Generic Utilization Cost</v>
      </c>
      <c r="B1421" t="s">
        <v>111</v>
      </c>
      <c r="C1421" t="s">
        <v>111</v>
      </c>
      <c r="D1421" t="s">
        <v>78</v>
      </c>
      <c r="E1421" s="1" t="s">
        <v>101</v>
      </c>
      <c r="F1421" t="s">
        <v>93</v>
      </c>
      <c r="G1421" t="s">
        <v>26</v>
      </c>
      <c r="H1421">
        <v>15</v>
      </c>
      <c r="I1421">
        <v>153485</v>
      </c>
    </row>
    <row r="1422" spans="1:9" x14ac:dyDescent="0.25">
      <c r="A1422" s="5" t="str">
        <f>TrendSheetPrdData[[#This Row],[Population]]&amp;TrendSheetPrdData[[#This Row],[Cost Basis]]&amp;TrendSheetPrdData[[#This Row],[Period]]&amp;TrendSheetPrdData[[#This Row],[Trend]]</f>
        <v>OTHERSPaid2016-10-01Drug - Generic Utilization Cost</v>
      </c>
      <c r="B1422" t="s">
        <v>111</v>
      </c>
      <c r="C1422" t="s">
        <v>111</v>
      </c>
      <c r="D1422" t="s">
        <v>78</v>
      </c>
      <c r="E1422" s="1" t="s">
        <v>102</v>
      </c>
      <c r="F1422" t="s">
        <v>93</v>
      </c>
      <c r="G1422" t="s">
        <v>26</v>
      </c>
      <c r="H1422">
        <v>15</v>
      </c>
      <c r="I1422">
        <v>166028</v>
      </c>
    </row>
    <row r="1423" spans="1:9" x14ac:dyDescent="0.25">
      <c r="A1423" s="5" t="str">
        <f>TrendSheetPrdData[[#This Row],[Population]]&amp;TrendSheetPrdData[[#This Row],[Cost Basis]]&amp;TrendSheetPrdData[[#This Row],[Period]]&amp;TrendSheetPrdData[[#This Row],[Trend]]</f>
        <v>OTHERSPaid2016-11-01Drug - Generic Utilization Cost</v>
      </c>
      <c r="B1423" t="s">
        <v>111</v>
      </c>
      <c r="C1423" t="s">
        <v>111</v>
      </c>
      <c r="D1423" t="s">
        <v>78</v>
      </c>
      <c r="E1423" s="1" t="s">
        <v>103</v>
      </c>
      <c r="F1423" t="s">
        <v>93</v>
      </c>
      <c r="G1423" t="s">
        <v>26</v>
      </c>
      <c r="H1423">
        <v>15</v>
      </c>
      <c r="I1423">
        <v>206680</v>
      </c>
    </row>
    <row r="1424" spans="1:9" x14ac:dyDescent="0.25">
      <c r="A1424" s="5" t="str">
        <f>TrendSheetPrdData[[#This Row],[Population]]&amp;TrendSheetPrdData[[#This Row],[Cost Basis]]&amp;TrendSheetPrdData[[#This Row],[Period]]&amp;TrendSheetPrdData[[#This Row],[Trend]]</f>
        <v>OTHERSPaid2016-12-01Drug - Generic Utilization Cost</v>
      </c>
      <c r="B1424" t="s">
        <v>111</v>
      </c>
      <c r="C1424" t="s">
        <v>111</v>
      </c>
      <c r="D1424" t="s">
        <v>78</v>
      </c>
      <c r="E1424" s="1" t="s">
        <v>104</v>
      </c>
      <c r="F1424" t="s">
        <v>93</v>
      </c>
      <c r="G1424" t="s">
        <v>26</v>
      </c>
      <c r="H1424">
        <v>15</v>
      </c>
      <c r="I1424">
        <v>156648</v>
      </c>
    </row>
    <row r="1425" spans="1:9" x14ac:dyDescent="0.25">
      <c r="A1425" s="5" t="str">
        <f>TrendSheetPrdData[[#This Row],[Population]]&amp;TrendSheetPrdData[[#This Row],[Cost Basis]]&amp;TrendSheetPrdData[[#This Row],[Period]]&amp;TrendSheetPrdData[[#This Row],[Trend]]</f>
        <v>OTHERSPaid2017-01-01Drug - Generic Utilization Cost</v>
      </c>
      <c r="B1425" t="s">
        <v>111</v>
      </c>
      <c r="C1425" t="s">
        <v>111</v>
      </c>
      <c r="D1425" t="s">
        <v>78</v>
      </c>
      <c r="E1425" s="1" t="s">
        <v>105</v>
      </c>
      <c r="F1425" t="s">
        <v>108</v>
      </c>
      <c r="G1425" t="s">
        <v>26</v>
      </c>
      <c r="H1425">
        <v>15</v>
      </c>
      <c r="I1425">
        <v>195963</v>
      </c>
    </row>
    <row r="1426" spans="1:9" x14ac:dyDescent="0.25">
      <c r="A1426" s="5" t="str">
        <f>TrendSheetPrdData[[#This Row],[Population]]&amp;TrendSheetPrdData[[#This Row],[Cost Basis]]&amp;TrendSheetPrdData[[#This Row],[Period]]&amp;TrendSheetPrdData[[#This Row],[Trend]]</f>
        <v>OTHERSPaid2017-02-01Drug - Generic Utilization Cost</v>
      </c>
      <c r="B1426" t="s">
        <v>111</v>
      </c>
      <c r="C1426" t="s">
        <v>111</v>
      </c>
      <c r="D1426" t="s">
        <v>78</v>
      </c>
      <c r="E1426" s="1" t="s">
        <v>106</v>
      </c>
      <c r="F1426" t="s">
        <v>108</v>
      </c>
      <c r="G1426" t="s">
        <v>26</v>
      </c>
      <c r="H1426">
        <v>15</v>
      </c>
      <c r="I1426">
        <v>163182</v>
      </c>
    </row>
    <row r="1427" spans="1:9" x14ac:dyDescent="0.25">
      <c r="A1427" s="5" t="str">
        <f>TrendSheetPrdData[[#This Row],[Population]]&amp;TrendSheetPrdData[[#This Row],[Cost Basis]]&amp;TrendSheetPrdData[[#This Row],[Period]]&amp;TrendSheetPrdData[[#This Row],[Trend]]</f>
        <v>OTHERSPaid2017-03-01Drug - Generic Utilization Cost</v>
      </c>
      <c r="B1427" t="s">
        <v>111</v>
      </c>
      <c r="C1427" t="s">
        <v>111</v>
      </c>
      <c r="D1427" t="s">
        <v>78</v>
      </c>
      <c r="E1427" s="1" t="s">
        <v>107</v>
      </c>
      <c r="F1427" t="s">
        <v>108</v>
      </c>
      <c r="G1427" t="s">
        <v>26</v>
      </c>
      <c r="H1427">
        <v>15</v>
      </c>
      <c r="I1427">
        <v>177889</v>
      </c>
    </row>
    <row r="1428" spans="1:9" x14ac:dyDescent="0.25">
      <c r="A1428" s="5" t="str">
        <f>TrendSheetPrdData[[#This Row],[Population]]&amp;TrendSheetPrdData[[#This Row],[Cost Basis]]&amp;TrendSheetPrdData[[#This Row],[Period]]&amp;TrendSheetPrdData[[#This Row],[Trend]]</f>
        <v>OTHERSPaid2017-04-01Drug - Generic Utilization Cost</v>
      </c>
      <c r="B1428" t="s">
        <v>111</v>
      </c>
      <c r="C1428" t="s">
        <v>111</v>
      </c>
      <c r="D1428" t="s">
        <v>78</v>
      </c>
      <c r="E1428" s="1" t="s">
        <v>109</v>
      </c>
      <c r="F1428" t="s">
        <v>108</v>
      </c>
      <c r="G1428" t="s">
        <v>26</v>
      </c>
      <c r="H1428">
        <v>15</v>
      </c>
      <c r="I1428">
        <v>146351</v>
      </c>
    </row>
    <row r="1429" spans="1:9" x14ac:dyDescent="0.25">
      <c r="A1429" s="5" t="str">
        <f>TrendSheetPrdData[[#This Row],[Population]]&amp;TrendSheetPrdData[[#This Row],[Cost Basis]]&amp;TrendSheetPrdData[[#This Row],[Period]]&amp;TrendSheetPrdData[[#This Row],[Trend]]</f>
        <v>OTHERSPaid2017-05-01Drug - Generic Utilization Cost</v>
      </c>
      <c r="B1429" t="s">
        <v>111</v>
      </c>
      <c r="C1429" t="s">
        <v>111</v>
      </c>
      <c r="D1429" t="s">
        <v>78</v>
      </c>
      <c r="E1429" s="1" t="s">
        <v>110</v>
      </c>
      <c r="F1429" t="s">
        <v>108</v>
      </c>
      <c r="G1429" t="s">
        <v>26</v>
      </c>
      <c r="H1429">
        <v>15</v>
      </c>
      <c r="I1429">
        <v>202904</v>
      </c>
    </row>
    <row r="1430" spans="1:9" x14ac:dyDescent="0.25">
      <c r="A1430" s="5" t="str">
        <f>TrendSheetPrdData[[#This Row],[Population]]&amp;TrendSheetPrdData[[#This Row],[Cost Basis]]&amp;TrendSheetPrdData[[#This Row],[Period]]&amp;TrendSheetPrdData[[#This Row],[Trend]]</f>
        <v>OTHERSPaid2016-01-01Drug - Generic Utilization</v>
      </c>
      <c r="B1430" t="s">
        <v>111</v>
      </c>
      <c r="C1430" t="s">
        <v>111</v>
      </c>
      <c r="D1430" t="s">
        <v>78</v>
      </c>
      <c r="E1430" s="1" t="s">
        <v>92</v>
      </c>
      <c r="F1430" t="s">
        <v>93</v>
      </c>
      <c r="G1430" t="s">
        <v>27</v>
      </c>
      <c r="H1430">
        <v>16</v>
      </c>
      <c r="I1430">
        <v>0.84</v>
      </c>
    </row>
    <row r="1431" spans="1:9" x14ac:dyDescent="0.25">
      <c r="A1431" s="5" t="str">
        <f>TrendSheetPrdData[[#This Row],[Population]]&amp;TrendSheetPrdData[[#This Row],[Cost Basis]]&amp;TrendSheetPrdData[[#This Row],[Period]]&amp;TrendSheetPrdData[[#This Row],[Trend]]</f>
        <v>OTHERSPaid2016-02-01Drug - Generic Utilization</v>
      </c>
      <c r="B1431" t="s">
        <v>111</v>
      </c>
      <c r="C1431" t="s">
        <v>111</v>
      </c>
      <c r="D1431" t="s">
        <v>78</v>
      </c>
      <c r="E1431" s="1" t="s">
        <v>94</v>
      </c>
      <c r="F1431" t="s">
        <v>93</v>
      </c>
      <c r="G1431" t="s">
        <v>27</v>
      </c>
      <c r="H1431">
        <v>16</v>
      </c>
      <c r="I1431">
        <v>0.86</v>
      </c>
    </row>
    <row r="1432" spans="1:9" x14ac:dyDescent="0.25">
      <c r="A1432" s="5" t="str">
        <f>TrendSheetPrdData[[#This Row],[Population]]&amp;TrendSheetPrdData[[#This Row],[Cost Basis]]&amp;TrendSheetPrdData[[#This Row],[Period]]&amp;TrendSheetPrdData[[#This Row],[Trend]]</f>
        <v>OTHERSPaid2016-03-01Drug - Generic Utilization</v>
      </c>
      <c r="B1432" t="s">
        <v>111</v>
      </c>
      <c r="C1432" t="s">
        <v>111</v>
      </c>
      <c r="D1432" t="s">
        <v>78</v>
      </c>
      <c r="E1432" s="1" t="s">
        <v>95</v>
      </c>
      <c r="F1432" t="s">
        <v>93</v>
      </c>
      <c r="G1432" t="s">
        <v>27</v>
      </c>
      <c r="H1432">
        <v>16</v>
      </c>
      <c r="I1432">
        <v>0.86</v>
      </c>
    </row>
    <row r="1433" spans="1:9" x14ac:dyDescent="0.25">
      <c r="A1433" s="5" t="str">
        <f>TrendSheetPrdData[[#This Row],[Population]]&amp;TrendSheetPrdData[[#This Row],[Cost Basis]]&amp;TrendSheetPrdData[[#This Row],[Period]]&amp;TrendSheetPrdData[[#This Row],[Trend]]</f>
        <v>OTHERSPaid2016-04-01Drug - Generic Utilization</v>
      </c>
      <c r="B1433" t="s">
        <v>111</v>
      </c>
      <c r="C1433" t="s">
        <v>111</v>
      </c>
      <c r="D1433" t="s">
        <v>78</v>
      </c>
      <c r="E1433" s="1" t="s">
        <v>96</v>
      </c>
      <c r="F1433" t="s">
        <v>93</v>
      </c>
      <c r="G1433" t="s">
        <v>27</v>
      </c>
      <c r="H1433">
        <v>16</v>
      </c>
      <c r="I1433">
        <v>0.84</v>
      </c>
    </row>
    <row r="1434" spans="1:9" x14ac:dyDescent="0.25">
      <c r="A1434" s="5" t="str">
        <f>TrendSheetPrdData[[#This Row],[Population]]&amp;TrendSheetPrdData[[#This Row],[Cost Basis]]&amp;TrendSheetPrdData[[#This Row],[Period]]&amp;TrendSheetPrdData[[#This Row],[Trend]]</f>
        <v>OTHERSPaid2016-05-01Drug - Generic Utilization</v>
      </c>
      <c r="B1434" t="s">
        <v>111</v>
      </c>
      <c r="C1434" t="s">
        <v>111</v>
      </c>
      <c r="D1434" t="s">
        <v>78</v>
      </c>
      <c r="E1434" s="1" t="s">
        <v>97</v>
      </c>
      <c r="F1434" t="s">
        <v>93</v>
      </c>
      <c r="G1434" t="s">
        <v>27</v>
      </c>
      <c r="H1434">
        <v>16</v>
      </c>
      <c r="I1434">
        <v>0.87</v>
      </c>
    </row>
    <row r="1435" spans="1:9" x14ac:dyDescent="0.25">
      <c r="A1435" s="5" t="str">
        <f>TrendSheetPrdData[[#This Row],[Population]]&amp;TrendSheetPrdData[[#This Row],[Cost Basis]]&amp;TrendSheetPrdData[[#This Row],[Period]]&amp;TrendSheetPrdData[[#This Row],[Trend]]</f>
        <v>OTHERSPaid2016-06-01Drug - Generic Utilization</v>
      </c>
      <c r="B1435" t="s">
        <v>111</v>
      </c>
      <c r="C1435" t="s">
        <v>111</v>
      </c>
      <c r="D1435" t="s">
        <v>78</v>
      </c>
      <c r="E1435" s="1" t="s">
        <v>98</v>
      </c>
      <c r="F1435" t="s">
        <v>93</v>
      </c>
      <c r="G1435" t="s">
        <v>27</v>
      </c>
      <c r="H1435">
        <v>16</v>
      </c>
      <c r="I1435">
        <v>0.88</v>
      </c>
    </row>
    <row r="1436" spans="1:9" x14ac:dyDescent="0.25">
      <c r="A1436" s="5" t="str">
        <f>TrendSheetPrdData[[#This Row],[Population]]&amp;TrendSheetPrdData[[#This Row],[Cost Basis]]&amp;TrendSheetPrdData[[#This Row],[Period]]&amp;TrendSheetPrdData[[#This Row],[Trend]]</f>
        <v>OTHERSPaid2016-07-01Drug - Generic Utilization</v>
      </c>
      <c r="B1436" t="s">
        <v>111</v>
      </c>
      <c r="C1436" t="s">
        <v>111</v>
      </c>
      <c r="D1436" t="s">
        <v>78</v>
      </c>
      <c r="E1436" s="1" t="s">
        <v>99</v>
      </c>
      <c r="F1436" t="s">
        <v>93</v>
      </c>
      <c r="G1436" t="s">
        <v>27</v>
      </c>
      <c r="H1436">
        <v>16</v>
      </c>
      <c r="I1436">
        <v>0.87</v>
      </c>
    </row>
    <row r="1437" spans="1:9" x14ac:dyDescent="0.25">
      <c r="A1437" s="5" t="str">
        <f>TrendSheetPrdData[[#This Row],[Population]]&amp;TrendSheetPrdData[[#This Row],[Cost Basis]]&amp;TrendSheetPrdData[[#This Row],[Period]]&amp;TrendSheetPrdData[[#This Row],[Trend]]</f>
        <v>OTHERSPaid2016-08-01Drug - Generic Utilization</v>
      </c>
      <c r="B1437" t="s">
        <v>111</v>
      </c>
      <c r="C1437" t="s">
        <v>111</v>
      </c>
      <c r="D1437" t="s">
        <v>78</v>
      </c>
      <c r="E1437" s="1" t="s">
        <v>100</v>
      </c>
      <c r="F1437" t="s">
        <v>93</v>
      </c>
      <c r="G1437" t="s">
        <v>27</v>
      </c>
      <c r="H1437">
        <v>16</v>
      </c>
      <c r="I1437">
        <v>0.84</v>
      </c>
    </row>
    <row r="1438" spans="1:9" x14ac:dyDescent="0.25">
      <c r="A1438" s="5" t="str">
        <f>TrendSheetPrdData[[#This Row],[Population]]&amp;TrendSheetPrdData[[#This Row],[Cost Basis]]&amp;TrendSheetPrdData[[#This Row],[Period]]&amp;TrendSheetPrdData[[#This Row],[Trend]]</f>
        <v>OTHERSPaid2016-09-01Drug - Generic Utilization</v>
      </c>
      <c r="B1438" t="s">
        <v>111</v>
      </c>
      <c r="C1438" t="s">
        <v>111</v>
      </c>
      <c r="D1438" t="s">
        <v>78</v>
      </c>
      <c r="E1438" s="1" t="s">
        <v>101</v>
      </c>
      <c r="F1438" t="s">
        <v>93</v>
      </c>
      <c r="G1438" t="s">
        <v>27</v>
      </c>
      <c r="H1438">
        <v>16</v>
      </c>
      <c r="I1438">
        <v>0.86</v>
      </c>
    </row>
    <row r="1439" spans="1:9" x14ac:dyDescent="0.25">
      <c r="A1439" s="5" t="str">
        <f>TrendSheetPrdData[[#This Row],[Population]]&amp;TrendSheetPrdData[[#This Row],[Cost Basis]]&amp;TrendSheetPrdData[[#This Row],[Period]]&amp;TrendSheetPrdData[[#This Row],[Trend]]</f>
        <v>OTHERSPaid2016-10-01Drug - Generic Utilization</v>
      </c>
      <c r="B1439" t="s">
        <v>111</v>
      </c>
      <c r="C1439" t="s">
        <v>111</v>
      </c>
      <c r="D1439" t="s">
        <v>78</v>
      </c>
      <c r="E1439" s="1" t="s">
        <v>102</v>
      </c>
      <c r="F1439" t="s">
        <v>93</v>
      </c>
      <c r="G1439" t="s">
        <v>27</v>
      </c>
      <c r="H1439">
        <v>16</v>
      </c>
      <c r="I1439">
        <v>0.85</v>
      </c>
    </row>
    <row r="1440" spans="1:9" x14ac:dyDescent="0.25">
      <c r="A1440" s="5" t="str">
        <f>TrendSheetPrdData[[#This Row],[Population]]&amp;TrendSheetPrdData[[#This Row],[Cost Basis]]&amp;TrendSheetPrdData[[#This Row],[Period]]&amp;TrendSheetPrdData[[#This Row],[Trend]]</f>
        <v>OTHERSPaid2016-11-01Drug - Generic Utilization</v>
      </c>
      <c r="B1440" t="s">
        <v>111</v>
      </c>
      <c r="C1440" t="s">
        <v>111</v>
      </c>
      <c r="D1440" t="s">
        <v>78</v>
      </c>
      <c r="E1440" s="1" t="s">
        <v>103</v>
      </c>
      <c r="F1440" t="s">
        <v>93</v>
      </c>
      <c r="G1440" t="s">
        <v>27</v>
      </c>
      <c r="H1440">
        <v>16</v>
      </c>
      <c r="I1440">
        <v>0.85</v>
      </c>
    </row>
    <row r="1441" spans="1:9" x14ac:dyDescent="0.25">
      <c r="A1441" s="5" t="str">
        <f>TrendSheetPrdData[[#This Row],[Population]]&amp;TrendSheetPrdData[[#This Row],[Cost Basis]]&amp;TrendSheetPrdData[[#This Row],[Period]]&amp;TrendSheetPrdData[[#This Row],[Trend]]</f>
        <v>OTHERSPaid2016-12-01Drug - Generic Utilization</v>
      </c>
      <c r="B1441" t="s">
        <v>111</v>
      </c>
      <c r="C1441" t="s">
        <v>111</v>
      </c>
      <c r="D1441" t="s">
        <v>78</v>
      </c>
      <c r="E1441" s="1" t="s">
        <v>104</v>
      </c>
      <c r="F1441" t="s">
        <v>93</v>
      </c>
      <c r="G1441" t="s">
        <v>27</v>
      </c>
      <c r="H1441">
        <v>16</v>
      </c>
      <c r="I1441">
        <v>0.86</v>
      </c>
    </row>
    <row r="1442" spans="1:9" x14ac:dyDescent="0.25">
      <c r="A1442" s="5" t="str">
        <f>TrendSheetPrdData[[#This Row],[Population]]&amp;TrendSheetPrdData[[#This Row],[Cost Basis]]&amp;TrendSheetPrdData[[#This Row],[Period]]&amp;TrendSheetPrdData[[#This Row],[Trend]]</f>
        <v>OTHERSPaid2017-01-01Drug - Generic Utilization</v>
      </c>
      <c r="B1442" t="s">
        <v>111</v>
      </c>
      <c r="C1442" t="s">
        <v>111</v>
      </c>
      <c r="D1442" t="s">
        <v>78</v>
      </c>
      <c r="E1442" s="1" t="s">
        <v>105</v>
      </c>
      <c r="F1442" t="s">
        <v>108</v>
      </c>
      <c r="G1442" t="s">
        <v>27</v>
      </c>
      <c r="H1442">
        <v>16</v>
      </c>
      <c r="I1442">
        <v>0.85</v>
      </c>
    </row>
    <row r="1443" spans="1:9" x14ac:dyDescent="0.25">
      <c r="A1443" s="5" t="str">
        <f>TrendSheetPrdData[[#This Row],[Population]]&amp;TrendSheetPrdData[[#This Row],[Cost Basis]]&amp;TrendSheetPrdData[[#This Row],[Period]]&amp;TrendSheetPrdData[[#This Row],[Trend]]</f>
        <v>OTHERSPaid2017-02-01Drug - Generic Utilization</v>
      </c>
      <c r="B1443" t="s">
        <v>111</v>
      </c>
      <c r="C1443" t="s">
        <v>111</v>
      </c>
      <c r="D1443" t="s">
        <v>78</v>
      </c>
      <c r="E1443" s="1" t="s">
        <v>106</v>
      </c>
      <c r="F1443" t="s">
        <v>108</v>
      </c>
      <c r="G1443" t="s">
        <v>27</v>
      </c>
      <c r="H1443">
        <v>16</v>
      </c>
      <c r="I1443">
        <v>0.86</v>
      </c>
    </row>
    <row r="1444" spans="1:9" x14ac:dyDescent="0.25">
      <c r="A1444" s="5" t="str">
        <f>TrendSheetPrdData[[#This Row],[Population]]&amp;TrendSheetPrdData[[#This Row],[Cost Basis]]&amp;TrendSheetPrdData[[#This Row],[Period]]&amp;TrendSheetPrdData[[#This Row],[Trend]]</f>
        <v>OTHERSPaid2017-03-01Drug - Generic Utilization</v>
      </c>
      <c r="B1444" t="s">
        <v>111</v>
      </c>
      <c r="C1444" t="s">
        <v>111</v>
      </c>
      <c r="D1444" t="s">
        <v>78</v>
      </c>
      <c r="E1444" s="1" t="s">
        <v>107</v>
      </c>
      <c r="F1444" t="s">
        <v>108</v>
      </c>
      <c r="G1444" t="s">
        <v>27</v>
      </c>
      <c r="H1444">
        <v>16</v>
      </c>
      <c r="I1444">
        <v>0.86</v>
      </c>
    </row>
    <row r="1445" spans="1:9" x14ac:dyDescent="0.25">
      <c r="A1445" s="5" t="str">
        <f>TrendSheetPrdData[[#This Row],[Population]]&amp;TrendSheetPrdData[[#This Row],[Cost Basis]]&amp;TrendSheetPrdData[[#This Row],[Period]]&amp;TrendSheetPrdData[[#This Row],[Trend]]</f>
        <v>OTHERSPaid2017-04-01Drug - Generic Utilization</v>
      </c>
      <c r="B1445" t="s">
        <v>111</v>
      </c>
      <c r="C1445" t="s">
        <v>111</v>
      </c>
      <c r="D1445" t="s">
        <v>78</v>
      </c>
      <c r="E1445" s="1" t="s">
        <v>109</v>
      </c>
      <c r="F1445" t="s">
        <v>108</v>
      </c>
      <c r="G1445" t="s">
        <v>27</v>
      </c>
      <c r="H1445">
        <v>16</v>
      </c>
      <c r="I1445">
        <v>0.86</v>
      </c>
    </row>
    <row r="1446" spans="1:9" x14ac:dyDescent="0.25">
      <c r="A1446" s="5" t="str">
        <f>TrendSheetPrdData[[#This Row],[Population]]&amp;TrendSheetPrdData[[#This Row],[Cost Basis]]&amp;TrendSheetPrdData[[#This Row],[Period]]&amp;TrendSheetPrdData[[#This Row],[Trend]]</f>
        <v>OTHERSPaid2017-05-01Drug - Generic Utilization</v>
      </c>
      <c r="B1446" t="s">
        <v>111</v>
      </c>
      <c r="C1446" t="s">
        <v>111</v>
      </c>
      <c r="D1446" t="s">
        <v>78</v>
      </c>
      <c r="E1446" s="1" t="s">
        <v>110</v>
      </c>
      <c r="F1446" t="s">
        <v>108</v>
      </c>
      <c r="G1446" t="s">
        <v>27</v>
      </c>
      <c r="H1446">
        <v>16</v>
      </c>
      <c r="I1446">
        <v>0.87</v>
      </c>
    </row>
    <row r="1447" spans="1:9" x14ac:dyDescent="0.25">
      <c r="A1447" s="5" t="str">
        <f>TrendSheetPrdData[[#This Row],[Population]]&amp;TrendSheetPrdData[[#This Row],[Cost Basis]]&amp;TrendSheetPrdData[[#This Row],[Period]]&amp;TrendSheetPrdData[[#This Row],[Trend]]</f>
        <v>OTHERSPaid2016-01-01Chronic Disease Management - Cost</v>
      </c>
      <c r="B1447" t="s">
        <v>111</v>
      </c>
      <c r="C1447" t="s">
        <v>111</v>
      </c>
      <c r="D1447" t="s">
        <v>78</v>
      </c>
      <c r="E1447" s="1" t="s">
        <v>92</v>
      </c>
      <c r="F1447" t="s">
        <v>93</v>
      </c>
      <c r="G1447" t="s">
        <v>28</v>
      </c>
      <c r="H1447">
        <v>17</v>
      </c>
      <c r="I1447">
        <v>809889</v>
      </c>
    </row>
    <row r="1448" spans="1:9" x14ac:dyDescent="0.25">
      <c r="A1448" s="5" t="str">
        <f>TrendSheetPrdData[[#This Row],[Population]]&amp;TrendSheetPrdData[[#This Row],[Cost Basis]]&amp;TrendSheetPrdData[[#This Row],[Period]]&amp;TrendSheetPrdData[[#This Row],[Trend]]</f>
        <v>OTHERSPaid2016-02-01Chronic Disease Management - Cost</v>
      </c>
      <c r="B1448" t="s">
        <v>111</v>
      </c>
      <c r="C1448" t="s">
        <v>111</v>
      </c>
      <c r="D1448" t="s">
        <v>78</v>
      </c>
      <c r="E1448" s="1" t="s">
        <v>94</v>
      </c>
      <c r="F1448" t="s">
        <v>93</v>
      </c>
      <c r="G1448" t="s">
        <v>28</v>
      </c>
      <c r="H1448">
        <v>17</v>
      </c>
      <c r="I1448">
        <v>940049</v>
      </c>
    </row>
    <row r="1449" spans="1:9" x14ac:dyDescent="0.25">
      <c r="A1449" s="5" t="str">
        <f>TrendSheetPrdData[[#This Row],[Population]]&amp;TrendSheetPrdData[[#This Row],[Cost Basis]]&amp;TrendSheetPrdData[[#This Row],[Period]]&amp;TrendSheetPrdData[[#This Row],[Trend]]</f>
        <v>OTHERSPaid2016-03-01Chronic Disease Management - Cost</v>
      </c>
      <c r="B1449" t="s">
        <v>111</v>
      </c>
      <c r="C1449" t="s">
        <v>111</v>
      </c>
      <c r="D1449" t="s">
        <v>78</v>
      </c>
      <c r="E1449" s="1" t="s">
        <v>95</v>
      </c>
      <c r="F1449" t="s">
        <v>93</v>
      </c>
      <c r="G1449" t="s">
        <v>28</v>
      </c>
      <c r="H1449">
        <v>17</v>
      </c>
      <c r="I1449">
        <v>782980</v>
      </c>
    </row>
    <row r="1450" spans="1:9" x14ac:dyDescent="0.25">
      <c r="A1450" s="5" t="str">
        <f>TrendSheetPrdData[[#This Row],[Population]]&amp;TrendSheetPrdData[[#This Row],[Cost Basis]]&amp;TrendSheetPrdData[[#This Row],[Period]]&amp;TrendSheetPrdData[[#This Row],[Trend]]</f>
        <v>OTHERSPaid2016-04-01Chronic Disease Management - Cost</v>
      </c>
      <c r="B1450" t="s">
        <v>111</v>
      </c>
      <c r="C1450" t="s">
        <v>111</v>
      </c>
      <c r="D1450" t="s">
        <v>78</v>
      </c>
      <c r="E1450" s="1" t="s">
        <v>96</v>
      </c>
      <c r="F1450" t="s">
        <v>93</v>
      </c>
      <c r="G1450" t="s">
        <v>28</v>
      </c>
      <c r="H1450">
        <v>17</v>
      </c>
      <c r="I1450">
        <v>1697443</v>
      </c>
    </row>
    <row r="1451" spans="1:9" x14ac:dyDescent="0.25">
      <c r="A1451" s="5" t="str">
        <f>TrendSheetPrdData[[#This Row],[Population]]&amp;TrendSheetPrdData[[#This Row],[Cost Basis]]&amp;TrendSheetPrdData[[#This Row],[Period]]&amp;TrendSheetPrdData[[#This Row],[Trend]]</f>
        <v>OTHERSPaid2016-05-01Chronic Disease Management - Cost</v>
      </c>
      <c r="B1451" t="s">
        <v>111</v>
      </c>
      <c r="C1451" t="s">
        <v>111</v>
      </c>
      <c r="D1451" t="s">
        <v>78</v>
      </c>
      <c r="E1451" s="1" t="s">
        <v>97</v>
      </c>
      <c r="F1451" t="s">
        <v>93</v>
      </c>
      <c r="G1451" t="s">
        <v>28</v>
      </c>
      <c r="H1451">
        <v>17</v>
      </c>
      <c r="I1451">
        <v>846383</v>
      </c>
    </row>
    <row r="1452" spans="1:9" x14ac:dyDescent="0.25">
      <c r="A1452" s="5" t="str">
        <f>TrendSheetPrdData[[#This Row],[Population]]&amp;TrendSheetPrdData[[#This Row],[Cost Basis]]&amp;TrendSheetPrdData[[#This Row],[Period]]&amp;TrendSheetPrdData[[#This Row],[Trend]]</f>
        <v>OTHERSPaid2016-06-01Chronic Disease Management - Cost</v>
      </c>
      <c r="B1452" t="s">
        <v>111</v>
      </c>
      <c r="C1452" t="s">
        <v>111</v>
      </c>
      <c r="D1452" t="s">
        <v>78</v>
      </c>
      <c r="E1452" s="1" t="s">
        <v>98</v>
      </c>
      <c r="F1452" t="s">
        <v>93</v>
      </c>
      <c r="G1452" t="s">
        <v>28</v>
      </c>
      <c r="H1452">
        <v>17</v>
      </c>
      <c r="I1452">
        <v>741517</v>
      </c>
    </row>
    <row r="1453" spans="1:9" x14ac:dyDescent="0.25">
      <c r="A1453" s="5" t="str">
        <f>TrendSheetPrdData[[#This Row],[Population]]&amp;TrendSheetPrdData[[#This Row],[Cost Basis]]&amp;TrendSheetPrdData[[#This Row],[Period]]&amp;TrendSheetPrdData[[#This Row],[Trend]]</f>
        <v>OTHERSPaid2016-07-01Chronic Disease Management - Cost</v>
      </c>
      <c r="B1453" t="s">
        <v>111</v>
      </c>
      <c r="C1453" t="s">
        <v>111</v>
      </c>
      <c r="D1453" t="s">
        <v>78</v>
      </c>
      <c r="E1453" s="1" t="s">
        <v>99</v>
      </c>
      <c r="F1453" t="s">
        <v>93</v>
      </c>
      <c r="G1453" t="s">
        <v>28</v>
      </c>
      <c r="H1453">
        <v>17</v>
      </c>
      <c r="I1453">
        <v>1009423</v>
      </c>
    </row>
    <row r="1454" spans="1:9" x14ac:dyDescent="0.25">
      <c r="A1454" s="5" t="str">
        <f>TrendSheetPrdData[[#This Row],[Population]]&amp;TrendSheetPrdData[[#This Row],[Cost Basis]]&amp;TrendSheetPrdData[[#This Row],[Period]]&amp;TrendSheetPrdData[[#This Row],[Trend]]</f>
        <v>OTHERSPaid2016-08-01Chronic Disease Management - Cost</v>
      </c>
      <c r="B1454" t="s">
        <v>111</v>
      </c>
      <c r="C1454" t="s">
        <v>111</v>
      </c>
      <c r="D1454" t="s">
        <v>78</v>
      </c>
      <c r="E1454" s="1" t="s">
        <v>100</v>
      </c>
      <c r="F1454" t="s">
        <v>93</v>
      </c>
      <c r="G1454" t="s">
        <v>28</v>
      </c>
      <c r="H1454">
        <v>17</v>
      </c>
      <c r="I1454">
        <v>945843</v>
      </c>
    </row>
    <row r="1455" spans="1:9" x14ac:dyDescent="0.25">
      <c r="A1455" s="5" t="str">
        <f>TrendSheetPrdData[[#This Row],[Population]]&amp;TrendSheetPrdData[[#This Row],[Cost Basis]]&amp;TrendSheetPrdData[[#This Row],[Period]]&amp;TrendSheetPrdData[[#This Row],[Trend]]</f>
        <v>OTHERSPaid2016-09-01Chronic Disease Management - Cost</v>
      </c>
      <c r="B1455" t="s">
        <v>111</v>
      </c>
      <c r="C1455" t="s">
        <v>111</v>
      </c>
      <c r="D1455" t="s">
        <v>78</v>
      </c>
      <c r="E1455" s="1" t="s">
        <v>101</v>
      </c>
      <c r="F1455" t="s">
        <v>93</v>
      </c>
      <c r="G1455" t="s">
        <v>28</v>
      </c>
      <c r="H1455">
        <v>17</v>
      </c>
      <c r="I1455">
        <v>932966</v>
      </c>
    </row>
    <row r="1456" spans="1:9" x14ac:dyDescent="0.25">
      <c r="A1456" s="5" t="str">
        <f>TrendSheetPrdData[[#This Row],[Population]]&amp;TrendSheetPrdData[[#This Row],[Cost Basis]]&amp;TrendSheetPrdData[[#This Row],[Period]]&amp;TrendSheetPrdData[[#This Row],[Trend]]</f>
        <v>OTHERSPaid2016-10-01Chronic Disease Management - Cost</v>
      </c>
      <c r="B1456" t="s">
        <v>111</v>
      </c>
      <c r="C1456" t="s">
        <v>111</v>
      </c>
      <c r="D1456" t="s">
        <v>78</v>
      </c>
      <c r="E1456" s="1" t="s">
        <v>102</v>
      </c>
      <c r="F1456" t="s">
        <v>93</v>
      </c>
      <c r="G1456" t="s">
        <v>28</v>
      </c>
      <c r="H1456">
        <v>17</v>
      </c>
      <c r="I1456">
        <v>1160100</v>
      </c>
    </row>
    <row r="1457" spans="1:9" x14ac:dyDescent="0.25">
      <c r="A1457" s="5" t="str">
        <f>TrendSheetPrdData[[#This Row],[Population]]&amp;TrendSheetPrdData[[#This Row],[Cost Basis]]&amp;TrendSheetPrdData[[#This Row],[Period]]&amp;TrendSheetPrdData[[#This Row],[Trend]]</f>
        <v>OTHERSPaid2016-11-01Chronic Disease Management - Cost</v>
      </c>
      <c r="B1457" t="s">
        <v>111</v>
      </c>
      <c r="C1457" t="s">
        <v>111</v>
      </c>
      <c r="D1457" t="s">
        <v>78</v>
      </c>
      <c r="E1457" s="1" t="s">
        <v>103</v>
      </c>
      <c r="F1457" t="s">
        <v>93</v>
      </c>
      <c r="G1457" t="s">
        <v>28</v>
      </c>
      <c r="H1457">
        <v>17</v>
      </c>
      <c r="I1457">
        <v>964825</v>
      </c>
    </row>
    <row r="1458" spans="1:9" x14ac:dyDescent="0.25">
      <c r="A1458" s="5" t="str">
        <f>TrendSheetPrdData[[#This Row],[Population]]&amp;TrendSheetPrdData[[#This Row],[Cost Basis]]&amp;TrendSheetPrdData[[#This Row],[Period]]&amp;TrendSheetPrdData[[#This Row],[Trend]]</f>
        <v>OTHERSPaid2016-12-01Chronic Disease Management - Cost</v>
      </c>
      <c r="B1458" t="s">
        <v>111</v>
      </c>
      <c r="C1458" t="s">
        <v>111</v>
      </c>
      <c r="D1458" t="s">
        <v>78</v>
      </c>
      <c r="E1458" s="1" t="s">
        <v>104</v>
      </c>
      <c r="F1458" t="s">
        <v>93</v>
      </c>
      <c r="G1458" t="s">
        <v>28</v>
      </c>
      <c r="H1458">
        <v>17</v>
      </c>
      <c r="I1458">
        <v>867785</v>
      </c>
    </row>
    <row r="1459" spans="1:9" x14ac:dyDescent="0.25">
      <c r="A1459" s="5" t="str">
        <f>TrendSheetPrdData[[#This Row],[Population]]&amp;TrendSheetPrdData[[#This Row],[Cost Basis]]&amp;TrendSheetPrdData[[#This Row],[Period]]&amp;TrendSheetPrdData[[#This Row],[Trend]]</f>
        <v>OTHERSPaid2017-01-01Chronic Disease Management - Cost</v>
      </c>
      <c r="B1459" t="s">
        <v>111</v>
      </c>
      <c r="C1459" t="s">
        <v>111</v>
      </c>
      <c r="D1459" t="s">
        <v>78</v>
      </c>
      <c r="E1459" s="1" t="s">
        <v>105</v>
      </c>
      <c r="F1459" t="s">
        <v>108</v>
      </c>
      <c r="G1459" t="s">
        <v>28</v>
      </c>
      <c r="H1459">
        <v>17</v>
      </c>
      <c r="I1459">
        <v>873553</v>
      </c>
    </row>
    <row r="1460" spans="1:9" x14ac:dyDescent="0.25">
      <c r="A1460" s="5" t="str">
        <f>TrendSheetPrdData[[#This Row],[Population]]&amp;TrendSheetPrdData[[#This Row],[Cost Basis]]&amp;TrendSheetPrdData[[#This Row],[Period]]&amp;TrendSheetPrdData[[#This Row],[Trend]]</f>
        <v>OTHERSPaid2017-02-01Chronic Disease Management - Cost</v>
      </c>
      <c r="B1460" t="s">
        <v>111</v>
      </c>
      <c r="C1460" t="s">
        <v>111</v>
      </c>
      <c r="D1460" t="s">
        <v>78</v>
      </c>
      <c r="E1460" s="1" t="s">
        <v>106</v>
      </c>
      <c r="F1460" t="s">
        <v>108</v>
      </c>
      <c r="G1460" t="s">
        <v>28</v>
      </c>
      <c r="H1460">
        <v>17</v>
      </c>
      <c r="I1460">
        <v>786222</v>
      </c>
    </row>
    <row r="1461" spans="1:9" x14ac:dyDescent="0.25">
      <c r="A1461" s="5" t="str">
        <f>TrendSheetPrdData[[#This Row],[Population]]&amp;TrendSheetPrdData[[#This Row],[Cost Basis]]&amp;TrendSheetPrdData[[#This Row],[Period]]&amp;TrendSheetPrdData[[#This Row],[Trend]]</f>
        <v>OTHERSPaid2017-03-01Chronic Disease Management - Cost</v>
      </c>
      <c r="B1461" t="s">
        <v>111</v>
      </c>
      <c r="C1461" t="s">
        <v>111</v>
      </c>
      <c r="D1461" t="s">
        <v>78</v>
      </c>
      <c r="E1461" s="1" t="s">
        <v>107</v>
      </c>
      <c r="F1461" t="s">
        <v>108</v>
      </c>
      <c r="G1461" t="s">
        <v>28</v>
      </c>
      <c r="H1461">
        <v>17</v>
      </c>
      <c r="I1461">
        <v>735657</v>
      </c>
    </row>
    <row r="1462" spans="1:9" x14ac:dyDescent="0.25">
      <c r="A1462" s="5" t="str">
        <f>TrendSheetPrdData[[#This Row],[Population]]&amp;TrendSheetPrdData[[#This Row],[Cost Basis]]&amp;TrendSheetPrdData[[#This Row],[Period]]&amp;TrendSheetPrdData[[#This Row],[Trend]]</f>
        <v>OTHERSPaid2017-04-01Chronic Disease Management - Cost</v>
      </c>
      <c r="B1462" t="s">
        <v>111</v>
      </c>
      <c r="C1462" t="s">
        <v>111</v>
      </c>
      <c r="D1462" t="s">
        <v>78</v>
      </c>
      <c r="E1462" s="1" t="s">
        <v>109</v>
      </c>
      <c r="F1462" t="s">
        <v>108</v>
      </c>
      <c r="G1462" t="s">
        <v>28</v>
      </c>
      <c r="H1462">
        <v>17</v>
      </c>
      <c r="I1462">
        <v>681562</v>
      </c>
    </row>
    <row r="1463" spans="1:9" x14ac:dyDescent="0.25">
      <c r="A1463" s="5" t="str">
        <f>TrendSheetPrdData[[#This Row],[Population]]&amp;TrendSheetPrdData[[#This Row],[Cost Basis]]&amp;TrendSheetPrdData[[#This Row],[Period]]&amp;TrendSheetPrdData[[#This Row],[Trend]]</f>
        <v>OTHERSPaid2017-05-01Chronic Disease Management - Cost</v>
      </c>
      <c r="B1463" t="s">
        <v>111</v>
      </c>
      <c r="C1463" t="s">
        <v>111</v>
      </c>
      <c r="D1463" t="s">
        <v>78</v>
      </c>
      <c r="E1463" s="1" t="s">
        <v>110</v>
      </c>
      <c r="F1463" t="s">
        <v>108</v>
      </c>
      <c r="G1463" t="s">
        <v>28</v>
      </c>
      <c r="H1463">
        <v>17</v>
      </c>
      <c r="I1463">
        <v>359847</v>
      </c>
    </row>
    <row r="1464" spans="1:9" x14ac:dyDescent="0.25">
      <c r="A1464" s="5" t="str">
        <f>TrendSheetPrdData[[#This Row],[Population]]&amp;TrendSheetPrdData[[#This Row],[Cost Basis]]&amp;TrendSheetPrdData[[#This Row],[Period]]&amp;TrendSheetPrdData[[#This Row],[Trend]]</f>
        <v>OTHERSPaid2016-01-01Chronic Disease Management - Members</v>
      </c>
      <c r="B1464" t="s">
        <v>111</v>
      </c>
      <c r="C1464" t="s">
        <v>111</v>
      </c>
      <c r="D1464" t="s">
        <v>78</v>
      </c>
      <c r="E1464" s="1" t="s">
        <v>92</v>
      </c>
      <c r="F1464" t="s">
        <v>93</v>
      </c>
      <c r="G1464" t="s">
        <v>29</v>
      </c>
      <c r="H1464">
        <v>18</v>
      </c>
      <c r="I1464">
        <v>286.16000000000003</v>
      </c>
    </row>
    <row r="1465" spans="1:9" x14ac:dyDescent="0.25">
      <c r="A1465" s="5" t="str">
        <f>TrendSheetPrdData[[#This Row],[Population]]&amp;TrendSheetPrdData[[#This Row],[Cost Basis]]&amp;TrendSheetPrdData[[#This Row],[Period]]&amp;TrendSheetPrdData[[#This Row],[Trend]]</f>
        <v>OTHERSPaid2016-02-01Chronic Disease Management - Members</v>
      </c>
      <c r="B1465" t="s">
        <v>111</v>
      </c>
      <c r="C1465" t="s">
        <v>111</v>
      </c>
      <c r="D1465" t="s">
        <v>78</v>
      </c>
      <c r="E1465" s="1" t="s">
        <v>94</v>
      </c>
      <c r="F1465" t="s">
        <v>93</v>
      </c>
      <c r="G1465" t="s">
        <v>29</v>
      </c>
      <c r="H1465">
        <v>18</v>
      </c>
      <c r="I1465">
        <v>285.82</v>
      </c>
    </row>
    <row r="1466" spans="1:9" x14ac:dyDescent="0.25">
      <c r="A1466" s="5" t="str">
        <f>TrendSheetPrdData[[#This Row],[Population]]&amp;TrendSheetPrdData[[#This Row],[Cost Basis]]&amp;TrendSheetPrdData[[#This Row],[Period]]&amp;TrendSheetPrdData[[#This Row],[Trend]]</f>
        <v>OTHERSPaid2016-03-01Chronic Disease Management - Members</v>
      </c>
      <c r="B1466" t="s">
        <v>111</v>
      </c>
      <c r="C1466" t="s">
        <v>111</v>
      </c>
      <c r="D1466" t="s">
        <v>78</v>
      </c>
      <c r="E1466" s="1" t="s">
        <v>95</v>
      </c>
      <c r="F1466" t="s">
        <v>93</v>
      </c>
      <c r="G1466" t="s">
        <v>29</v>
      </c>
      <c r="H1466">
        <v>18</v>
      </c>
      <c r="I1466">
        <v>284.14999999999998</v>
      </c>
    </row>
    <row r="1467" spans="1:9" x14ac:dyDescent="0.25">
      <c r="A1467" s="5" t="str">
        <f>TrendSheetPrdData[[#This Row],[Population]]&amp;TrendSheetPrdData[[#This Row],[Cost Basis]]&amp;TrendSheetPrdData[[#This Row],[Period]]&amp;TrendSheetPrdData[[#This Row],[Trend]]</f>
        <v>OTHERSPaid2016-04-01Chronic Disease Management - Members</v>
      </c>
      <c r="B1467" t="s">
        <v>111</v>
      </c>
      <c r="C1467" t="s">
        <v>111</v>
      </c>
      <c r="D1467" t="s">
        <v>78</v>
      </c>
      <c r="E1467" s="1" t="s">
        <v>96</v>
      </c>
      <c r="F1467" t="s">
        <v>93</v>
      </c>
      <c r="G1467" t="s">
        <v>29</v>
      </c>
      <c r="H1467">
        <v>18</v>
      </c>
      <c r="I1467">
        <v>283.2</v>
      </c>
    </row>
    <row r="1468" spans="1:9" x14ac:dyDescent="0.25">
      <c r="A1468" s="5" t="str">
        <f>TrendSheetPrdData[[#This Row],[Population]]&amp;TrendSheetPrdData[[#This Row],[Cost Basis]]&amp;TrendSheetPrdData[[#This Row],[Period]]&amp;TrendSheetPrdData[[#This Row],[Trend]]</f>
        <v>OTHERSPaid2016-05-01Chronic Disease Management - Members</v>
      </c>
      <c r="B1468" t="s">
        <v>111</v>
      </c>
      <c r="C1468" t="s">
        <v>111</v>
      </c>
      <c r="D1468" t="s">
        <v>78</v>
      </c>
      <c r="E1468" s="1" t="s">
        <v>97</v>
      </c>
      <c r="F1468" t="s">
        <v>93</v>
      </c>
      <c r="G1468" t="s">
        <v>29</v>
      </c>
      <c r="H1468">
        <v>18</v>
      </c>
      <c r="I1468">
        <v>283.82</v>
      </c>
    </row>
    <row r="1469" spans="1:9" x14ac:dyDescent="0.25">
      <c r="A1469" s="5" t="str">
        <f>TrendSheetPrdData[[#This Row],[Population]]&amp;TrendSheetPrdData[[#This Row],[Cost Basis]]&amp;TrendSheetPrdData[[#This Row],[Period]]&amp;TrendSheetPrdData[[#This Row],[Trend]]</f>
        <v>OTHERSPaid2016-06-01Chronic Disease Management - Members</v>
      </c>
      <c r="B1469" t="s">
        <v>111</v>
      </c>
      <c r="C1469" t="s">
        <v>111</v>
      </c>
      <c r="D1469" t="s">
        <v>78</v>
      </c>
      <c r="E1469" s="1" t="s">
        <v>98</v>
      </c>
      <c r="F1469" t="s">
        <v>93</v>
      </c>
      <c r="G1469" t="s">
        <v>29</v>
      </c>
      <c r="H1469">
        <v>18</v>
      </c>
      <c r="I1469">
        <v>279.98</v>
      </c>
    </row>
    <row r="1470" spans="1:9" x14ac:dyDescent="0.25">
      <c r="A1470" s="5" t="str">
        <f>TrendSheetPrdData[[#This Row],[Population]]&amp;TrendSheetPrdData[[#This Row],[Cost Basis]]&amp;TrendSheetPrdData[[#This Row],[Period]]&amp;TrendSheetPrdData[[#This Row],[Trend]]</f>
        <v>OTHERSPaid2016-07-01Chronic Disease Management - Members</v>
      </c>
      <c r="B1470" t="s">
        <v>111</v>
      </c>
      <c r="C1470" t="s">
        <v>111</v>
      </c>
      <c r="D1470" t="s">
        <v>78</v>
      </c>
      <c r="E1470" s="1" t="s">
        <v>99</v>
      </c>
      <c r="F1470" t="s">
        <v>93</v>
      </c>
      <c r="G1470" t="s">
        <v>29</v>
      </c>
      <c r="H1470">
        <v>18</v>
      </c>
      <c r="I1470">
        <v>278.14</v>
      </c>
    </row>
    <row r="1471" spans="1:9" x14ac:dyDescent="0.25">
      <c r="A1471" s="5" t="str">
        <f>TrendSheetPrdData[[#This Row],[Population]]&amp;TrendSheetPrdData[[#This Row],[Cost Basis]]&amp;TrendSheetPrdData[[#This Row],[Period]]&amp;TrendSheetPrdData[[#This Row],[Trend]]</f>
        <v>OTHERSPaid2016-08-01Chronic Disease Management - Members</v>
      </c>
      <c r="B1471" t="s">
        <v>111</v>
      </c>
      <c r="C1471" t="s">
        <v>111</v>
      </c>
      <c r="D1471" t="s">
        <v>78</v>
      </c>
      <c r="E1471" s="1" t="s">
        <v>100</v>
      </c>
      <c r="F1471" t="s">
        <v>93</v>
      </c>
      <c r="G1471" t="s">
        <v>29</v>
      </c>
      <c r="H1471">
        <v>18</v>
      </c>
      <c r="I1471">
        <v>275.11</v>
      </c>
    </row>
    <row r="1472" spans="1:9" x14ac:dyDescent="0.25">
      <c r="A1472" s="5" t="str">
        <f>TrendSheetPrdData[[#This Row],[Population]]&amp;TrendSheetPrdData[[#This Row],[Cost Basis]]&amp;TrendSheetPrdData[[#This Row],[Period]]&amp;TrendSheetPrdData[[#This Row],[Trend]]</f>
        <v>OTHERSPaid2016-09-01Chronic Disease Management - Members</v>
      </c>
      <c r="B1472" t="s">
        <v>111</v>
      </c>
      <c r="C1472" t="s">
        <v>111</v>
      </c>
      <c r="D1472" t="s">
        <v>78</v>
      </c>
      <c r="E1472" s="1" t="s">
        <v>101</v>
      </c>
      <c r="F1472" t="s">
        <v>93</v>
      </c>
      <c r="G1472" t="s">
        <v>29</v>
      </c>
      <c r="H1472">
        <v>18</v>
      </c>
      <c r="I1472">
        <v>276.25</v>
      </c>
    </row>
    <row r="1473" spans="1:9" x14ac:dyDescent="0.25">
      <c r="A1473" s="5" t="str">
        <f>TrendSheetPrdData[[#This Row],[Population]]&amp;TrendSheetPrdData[[#This Row],[Cost Basis]]&amp;TrendSheetPrdData[[#This Row],[Period]]&amp;TrendSheetPrdData[[#This Row],[Trend]]</f>
        <v>OTHERSPaid2016-10-01Chronic Disease Management - Members</v>
      </c>
      <c r="B1473" t="s">
        <v>111</v>
      </c>
      <c r="C1473" t="s">
        <v>111</v>
      </c>
      <c r="D1473" t="s">
        <v>78</v>
      </c>
      <c r="E1473" s="1" t="s">
        <v>102</v>
      </c>
      <c r="F1473" t="s">
        <v>93</v>
      </c>
      <c r="G1473" t="s">
        <v>29</v>
      </c>
      <c r="H1473">
        <v>18</v>
      </c>
      <c r="I1473">
        <v>274.83999999999997</v>
      </c>
    </row>
    <row r="1474" spans="1:9" x14ac:dyDescent="0.25">
      <c r="A1474" s="5" t="str">
        <f>TrendSheetPrdData[[#This Row],[Population]]&amp;TrendSheetPrdData[[#This Row],[Cost Basis]]&amp;TrendSheetPrdData[[#This Row],[Period]]&amp;TrendSheetPrdData[[#This Row],[Trend]]</f>
        <v>OTHERSPaid2016-11-01Chronic Disease Management - Members</v>
      </c>
      <c r="B1474" t="s">
        <v>111</v>
      </c>
      <c r="C1474" t="s">
        <v>111</v>
      </c>
      <c r="D1474" t="s">
        <v>78</v>
      </c>
      <c r="E1474" s="1" t="s">
        <v>103</v>
      </c>
      <c r="F1474" t="s">
        <v>93</v>
      </c>
      <c r="G1474" t="s">
        <v>29</v>
      </c>
      <c r="H1474">
        <v>18</v>
      </c>
      <c r="I1474">
        <v>274.92</v>
      </c>
    </row>
    <row r="1475" spans="1:9" x14ac:dyDescent="0.25">
      <c r="A1475" s="5" t="str">
        <f>TrendSheetPrdData[[#This Row],[Population]]&amp;TrendSheetPrdData[[#This Row],[Cost Basis]]&amp;TrendSheetPrdData[[#This Row],[Period]]&amp;TrendSheetPrdData[[#This Row],[Trend]]</f>
        <v>OTHERSPaid2016-12-01Chronic Disease Management - Members</v>
      </c>
      <c r="B1475" t="s">
        <v>111</v>
      </c>
      <c r="C1475" t="s">
        <v>111</v>
      </c>
      <c r="D1475" t="s">
        <v>78</v>
      </c>
      <c r="E1475" s="1" t="s">
        <v>104</v>
      </c>
      <c r="F1475" t="s">
        <v>93</v>
      </c>
      <c r="G1475" t="s">
        <v>29</v>
      </c>
      <c r="H1475">
        <v>18</v>
      </c>
      <c r="I1475">
        <v>276.12</v>
      </c>
    </row>
    <row r="1476" spans="1:9" x14ac:dyDescent="0.25">
      <c r="A1476" s="5" t="str">
        <f>TrendSheetPrdData[[#This Row],[Population]]&amp;TrendSheetPrdData[[#This Row],[Cost Basis]]&amp;TrendSheetPrdData[[#This Row],[Period]]&amp;TrendSheetPrdData[[#This Row],[Trend]]</f>
        <v>OTHERSPaid2017-01-01Chronic Disease Management - Members</v>
      </c>
      <c r="B1476" t="s">
        <v>111</v>
      </c>
      <c r="C1476" t="s">
        <v>111</v>
      </c>
      <c r="D1476" t="s">
        <v>78</v>
      </c>
      <c r="E1476" s="1" t="s">
        <v>105</v>
      </c>
      <c r="F1476" t="s">
        <v>108</v>
      </c>
      <c r="G1476" t="s">
        <v>29</v>
      </c>
      <c r="H1476">
        <v>18</v>
      </c>
      <c r="I1476">
        <v>273.47000000000003</v>
      </c>
    </row>
    <row r="1477" spans="1:9" x14ac:dyDescent="0.25">
      <c r="A1477" s="5" t="str">
        <f>TrendSheetPrdData[[#This Row],[Population]]&amp;TrendSheetPrdData[[#This Row],[Cost Basis]]&amp;TrendSheetPrdData[[#This Row],[Period]]&amp;TrendSheetPrdData[[#This Row],[Trend]]</f>
        <v>OTHERSPaid2017-02-01Chronic Disease Management - Members</v>
      </c>
      <c r="B1477" t="s">
        <v>111</v>
      </c>
      <c r="C1477" t="s">
        <v>111</v>
      </c>
      <c r="D1477" t="s">
        <v>78</v>
      </c>
      <c r="E1477" s="1" t="s">
        <v>106</v>
      </c>
      <c r="F1477" t="s">
        <v>108</v>
      </c>
      <c r="G1477" t="s">
        <v>29</v>
      </c>
      <c r="H1477">
        <v>18</v>
      </c>
      <c r="I1477">
        <v>273.14999999999998</v>
      </c>
    </row>
    <row r="1478" spans="1:9" x14ac:dyDescent="0.25">
      <c r="A1478" s="5" t="str">
        <f>TrendSheetPrdData[[#This Row],[Population]]&amp;TrendSheetPrdData[[#This Row],[Cost Basis]]&amp;TrendSheetPrdData[[#This Row],[Period]]&amp;TrendSheetPrdData[[#This Row],[Trend]]</f>
        <v>OTHERSPaid2017-03-01Chronic Disease Management - Members</v>
      </c>
      <c r="B1478" t="s">
        <v>111</v>
      </c>
      <c r="C1478" t="s">
        <v>111</v>
      </c>
      <c r="D1478" t="s">
        <v>78</v>
      </c>
      <c r="E1478" s="1" t="s">
        <v>107</v>
      </c>
      <c r="F1478" t="s">
        <v>108</v>
      </c>
      <c r="G1478" t="s">
        <v>29</v>
      </c>
      <c r="H1478">
        <v>18</v>
      </c>
      <c r="I1478">
        <v>274.5</v>
      </c>
    </row>
    <row r="1479" spans="1:9" x14ac:dyDescent="0.25">
      <c r="A1479" s="5" t="str">
        <f>TrendSheetPrdData[[#This Row],[Population]]&amp;TrendSheetPrdData[[#This Row],[Cost Basis]]&amp;TrendSheetPrdData[[#This Row],[Period]]&amp;TrendSheetPrdData[[#This Row],[Trend]]</f>
        <v>OTHERSPaid2017-04-01Chronic Disease Management - Members</v>
      </c>
      <c r="B1479" t="s">
        <v>111</v>
      </c>
      <c r="C1479" t="s">
        <v>111</v>
      </c>
      <c r="D1479" t="s">
        <v>78</v>
      </c>
      <c r="E1479" s="1" t="s">
        <v>109</v>
      </c>
      <c r="F1479" t="s">
        <v>108</v>
      </c>
      <c r="G1479" t="s">
        <v>29</v>
      </c>
      <c r="H1479">
        <v>18</v>
      </c>
      <c r="I1479">
        <v>271.43</v>
      </c>
    </row>
    <row r="1480" spans="1:9" x14ac:dyDescent="0.25">
      <c r="A1480" s="5" t="str">
        <f>TrendSheetPrdData[[#This Row],[Population]]&amp;TrendSheetPrdData[[#This Row],[Cost Basis]]&amp;TrendSheetPrdData[[#This Row],[Period]]&amp;TrendSheetPrdData[[#This Row],[Trend]]</f>
        <v>OTHERSPaid2017-05-01Chronic Disease Management - Members</v>
      </c>
      <c r="B1480" t="s">
        <v>111</v>
      </c>
      <c r="C1480" t="s">
        <v>111</v>
      </c>
      <c r="D1480" t="s">
        <v>78</v>
      </c>
      <c r="E1480" s="1" t="s">
        <v>110</v>
      </c>
      <c r="F1480" t="s">
        <v>108</v>
      </c>
      <c r="G1480" t="s">
        <v>29</v>
      </c>
      <c r="H1480">
        <v>18</v>
      </c>
      <c r="I1480">
        <v>266.7</v>
      </c>
    </row>
    <row r="1481" spans="1:9" x14ac:dyDescent="0.25">
      <c r="A1481" s="5" t="str">
        <f>TrendSheetPrdData[[#This Row],[Population]]&amp;TrendSheetPrdData[[#This Row],[Cost Basis]]&amp;TrendSheetPrdData[[#This Row],[Period]]&amp;TrendSheetPrdData[[#This Row],[Trend]]</f>
        <v>OTHERSPaid2016-01-01Inpatient Claim Count</v>
      </c>
      <c r="B1481" t="s">
        <v>111</v>
      </c>
      <c r="C1481" t="s">
        <v>111</v>
      </c>
      <c r="D1481" t="s">
        <v>78</v>
      </c>
      <c r="E1481" s="1" t="s">
        <v>92</v>
      </c>
      <c r="F1481" t="s">
        <v>93</v>
      </c>
      <c r="G1481" t="s">
        <v>30</v>
      </c>
      <c r="H1481">
        <v>19</v>
      </c>
      <c r="I1481">
        <v>293</v>
      </c>
    </row>
    <row r="1482" spans="1:9" x14ac:dyDescent="0.25">
      <c r="A1482" s="5" t="str">
        <f>TrendSheetPrdData[[#This Row],[Population]]&amp;TrendSheetPrdData[[#This Row],[Cost Basis]]&amp;TrendSheetPrdData[[#This Row],[Period]]&amp;TrendSheetPrdData[[#This Row],[Trend]]</f>
        <v>OTHERSPaid2016-02-01Inpatient Claim Count</v>
      </c>
      <c r="B1482" t="s">
        <v>111</v>
      </c>
      <c r="C1482" t="s">
        <v>111</v>
      </c>
      <c r="D1482" t="s">
        <v>78</v>
      </c>
      <c r="E1482" s="1" t="s">
        <v>94</v>
      </c>
      <c r="F1482" t="s">
        <v>93</v>
      </c>
      <c r="G1482" t="s">
        <v>30</v>
      </c>
      <c r="H1482">
        <v>19</v>
      </c>
      <c r="I1482">
        <v>258</v>
      </c>
    </row>
    <row r="1483" spans="1:9" x14ac:dyDescent="0.25">
      <c r="A1483" s="5" t="str">
        <f>TrendSheetPrdData[[#This Row],[Population]]&amp;TrendSheetPrdData[[#This Row],[Cost Basis]]&amp;TrendSheetPrdData[[#This Row],[Period]]&amp;TrendSheetPrdData[[#This Row],[Trend]]</f>
        <v>OTHERSPaid2016-03-01Inpatient Claim Count</v>
      </c>
      <c r="B1483" t="s">
        <v>111</v>
      </c>
      <c r="C1483" t="s">
        <v>111</v>
      </c>
      <c r="D1483" t="s">
        <v>78</v>
      </c>
      <c r="E1483" s="1" t="s">
        <v>95</v>
      </c>
      <c r="F1483" t="s">
        <v>93</v>
      </c>
      <c r="G1483" t="s">
        <v>30</v>
      </c>
      <c r="H1483">
        <v>19</v>
      </c>
      <c r="I1483">
        <v>348</v>
      </c>
    </row>
    <row r="1484" spans="1:9" x14ac:dyDescent="0.25">
      <c r="A1484" s="5" t="str">
        <f>TrendSheetPrdData[[#This Row],[Population]]&amp;TrendSheetPrdData[[#This Row],[Cost Basis]]&amp;TrendSheetPrdData[[#This Row],[Period]]&amp;TrendSheetPrdData[[#This Row],[Trend]]</f>
        <v>OTHERSPaid2016-04-01Inpatient Claim Count</v>
      </c>
      <c r="B1484" t="s">
        <v>111</v>
      </c>
      <c r="C1484" t="s">
        <v>111</v>
      </c>
      <c r="D1484" t="s">
        <v>78</v>
      </c>
      <c r="E1484" s="1" t="s">
        <v>96</v>
      </c>
      <c r="F1484" t="s">
        <v>93</v>
      </c>
      <c r="G1484" t="s">
        <v>30</v>
      </c>
      <c r="H1484">
        <v>19</v>
      </c>
      <c r="I1484">
        <v>317</v>
      </c>
    </row>
    <row r="1485" spans="1:9" x14ac:dyDescent="0.25">
      <c r="A1485" s="5" t="str">
        <f>TrendSheetPrdData[[#This Row],[Population]]&amp;TrendSheetPrdData[[#This Row],[Cost Basis]]&amp;TrendSheetPrdData[[#This Row],[Period]]&amp;TrendSheetPrdData[[#This Row],[Trend]]</f>
        <v>OTHERSPaid2016-05-01Inpatient Claim Count</v>
      </c>
      <c r="B1485" t="s">
        <v>111</v>
      </c>
      <c r="C1485" t="s">
        <v>111</v>
      </c>
      <c r="D1485" t="s">
        <v>78</v>
      </c>
      <c r="E1485" s="1" t="s">
        <v>97</v>
      </c>
      <c r="F1485" t="s">
        <v>93</v>
      </c>
      <c r="G1485" t="s">
        <v>30</v>
      </c>
      <c r="H1485">
        <v>19</v>
      </c>
      <c r="I1485">
        <v>301</v>
      </c>
    </row>
    <row r="1486" spans="1:9" x14ac:dyDescent="0.25">
      <c r="A1486" s="5" t="str">
        <f>TrendSheetPrdData[[#This Row],[Population]]&amp;TrendSheetPrdData[[#This Row],[Cost Basis]]&amp;TrendSheetPrdData[[#This Row],[Period]]&amp;TrendSheetPrdData[[#This Row],[Trend]]</f>
        <v>OTHERSPaid2016-06-01Inpatient Claim Count</v>
      </c>
      <c r="B1486" t="s">
        <v>111</v>
      </c>
      <c r="C1486" t="s">
        <v>111</v>
      </c>
      <c r="D1486" t="s">
        <v>78</v>
      </c>
      <c r="E1486" s="1" t="s">
        <v>98</v>
      </c>
      <c r="F1486" t="s">
        <v>93</v>
      </c>
      <c r="G1486" t="s">
        <v>30</v>
      </c>
      <c r="H1486">
        <v>19</v>
      </c>
      <c r="I1486">
        <v>109</v>
      </c>
    </row>
    <row r="1487" spans="1:9" x14ac:dyDescent="0.25">
      <c r="A1487" s="5" t="str">
        <f>TrendSheetPrdData[[#This Row],[Population]]&amp;TrendSheetPrdData[[#This Row],[Cost Basis]]&amp;TrendSheetPrdData[[#This Row],[Period]]&amp;TrendSheetPrdData[[#This Row],[Trend]]</f>
        <v>OTHERSPaid2016-07-01Inpatient Claim Count</v>
      </c>
      <c r="B1487" t="s">
        <v>111</v>
      </c>
      <c r="C1487" t="s">
        <v>111</v>
      </c>
      <c r="D1487" t="s">
        <v>78</v>
      </c>
      <c r="E1487" s="1" t="s">
        <v>99</v>
      </c>
      <c r="F1487" t="s">
        <v>93</v>
      </c>
      <c r="G1487" t="s">
        <v>30</v>
      </c>
      <c r="H1487">
        <v>19</v>
      </c>
      <c r="I1487">
        <v>214</v>
      </c>
    </row>
    <row r="1488" spans="1:9" x14ac:dyDescent="0.25">
      <c r="A1488" s="5" t="str">
        <f>TrendSheetPrdData[[#This Row],[Population]]&amp;TrendSheetPrdData[[#This Row],[Cost Basis]]&amp;TrendSheetPrdData[[#This Row],[Period]]&amp;TrendSheetPrdData[[#This Row],[Trend]]</f>
        <v>OTHERSPaid2016-08-01Inpatient Claim Count</v>
      </c>
      <c r="B1488" t="s">
        <v>111</v>
      </c>
      <c r="C1488" t="s">
        <v>111</v>
      </c>
      <c r="D1488" t="s">
        <v>78</v>
      </c>
      <c r="E1488" s="1" t="s">
        <v>100</v>
      </c>
      <c r="F1488" t="s">
        <v>93</v>
      </c>
      <c r="G1488" t="s">
        <v>30</v>
      </c>
      <c r="H1488">
        <v>19</v>
      </c>
      <c r="I1488">
        <v>160</v>
      </c>
    </row>
    <row r="1489" spans="1:9" x14ac:dyDescent="0.25">
      <c r="A1489" s="5" t="str">
        <f>TrendSheetPrdData[[#This Row],[Population]]&amp;TrendSheetPrdData[[#This Row],[Cost Basis]]&amp;TrendSheetPrdData[[#This Row],[Period]]&amp;TrendSheetPrdData[[#This Row],[Trend]]</f>
        <v>OTHERSPaid2016-09-01Inpatient Claim Count</v>
      </c>
      <c r="B1489" t="s">
        <v>111</v>
      </c>
      <c r="C1489" t="s">
        <v>111</v>
      </c>
      <c r="D1489" t="s">
        <v>78</v>
      </c>
      <c r="E1489" s="1" t="s">
        <v>101</v>
      </c>
      <c r="F1489" t="s">
        <v>93</v>
      </c>
      <c r="G1489" t="s">
        <v>30</v>
      </c>
      <c r="H1489">
        <v>19</v>
      </c>
      <c r="I1489">
        <v>253</v>
      </c>
    </row>
    <row r="1490" spans="1:9" x14ac:dyDescent="0.25">
      <c r="A1490" s="5" t="str">
        <f>TrendSheetPrdData[[#This Row],[Population]]&amp;TrendSheetPrdData[[#This Row],[Cost Basis]]&amp;TrendSheetPrdData[[#This Row],[Period]]&amp;TrendSheetPrdData[[#This Row],[Trend]]</f>
        <v>OTHERSPaid2016-10-01Inpatient Claim Count</v>
      </c>
      <c r="B1490" t="s">
        <v>111</v>
      </c>
      <c r="C1490" t="s">
        <v>111</v>
      </c>
      <c r="D1490" t="s">
        <v>78</v>
      </c>
      <c r="E1490" s="1" t="s">
        <v>102</v>
      </c>
      <c r="F1490" t="s">
        <v>93</v>
      </c>
      <c r="G1490" t="s">
        <v>30</v>
      </c>
      <c r="H1490">
        <v>19</v>
      </c>
      <c r="I1490">
        <v>237</v>
      </c>
    </row>
    <row r="1491" spans="1:9" x14ac:dyDescent="0.25">
      <c r="A1491" s="5" t="str">
        <f>TrendSheetPrdData[[#This Row],[Population]]&amp;TrendSheetPrdData[[#This Row],[Cost Basis]]&amp;TrendSheetPrdData[[#This Row],[Period]]&amp;TrendSheetPrdData[[#This Row],[Trend]]</f>
        <v>OTHERSPaid2016-11-01Inpatient Claim Count</v>
      </c>
      <c r="B1491" t="s">
        <v>111</v>
      </c>
      <c r="C1491" t="s">
        <v>111</v>
      </c>
      <c r="D1491" t="s">
        <v>78</v>
      </c>
      <c r="E1491" s="1" t="s">
        <v>103</v>
      </c>
      <c r="F1491" t="s">
        <v>93</v>
      </c>
      <c r="G1491" t="s">
        <v>30</v>
      </c>
      <c r="H1491">
        <v>19</v>
      </c>
      <c r="I1491">
        <v>299</v>
      </c>
    </row>
    <row r="1492" spans="1:9" x14ac:dyDescent="0.25">
      <c r="A1492" s="5" t="str">
        <f>TrendSheetPrdData[[#This Row],[Population]]&amp;TrendSheetPrdData[[#This Row],[Cost Basis]]&amp;TrendSheetPrdData[[#This Row],[Period]]&amp;TrendSheetPrdData[[#This Row],[Trend]]</f>
        <v>OTHERSPaid2016-12-01Inpatient Claim Count</v>
      </c>
      <c r="B1492" t="s">
        <v>111</v>
      </c>
      <c r="C1492" t="s">
        <v>111</v>
      </c>
      <c r="D1492" t="s">
        <v>78</v>
      </c>
      <c r="E1492" s="1" t="s">
        <v>104</v>
      </c>
      <c r="F1492" t="s">
        <v>93</v>
      </c>
      <c r="G1492" t="s">
        <v>30</v>
      </c>
      <c r="H1492">
        <v>19</v>
      </c>
      <c r="I1492">
        <v>149</v>
      </c>
    </row>
    <row r="1493" spans="1:9" x14ac:dyDescent="0.25">
      <c r="A1493" s="5" t="str">
        <f>TrendSheetPrdData[[#This Row],[Population]]&amp;TrendSheetPrdData[[#This Row],[Cost Basis]]&amp;TrendSheetPrdData[[#This Row],[Period]]&amp;TrendSheetPrdData[[#This Row],[Trend]]</f>
        <v>OTHERSPaid2017-01-01Inpatient Claim Count</v>
      </c>
      <c r="B1493" t="s">
        <v>111</v>
      </c>
      <c r="C1493" t="s">
        <v>111</v>
      </c>
      <c r="D1493" t="s">
        <v>78</v>
      </c>
      <c r="E1493" s="1" t="s">
        <v>105</v>
      </c>
      <c r="F1493" t="s">
        <v>108</v>
      </c>
      <c r="G1493" t="s">
        <v>30</v>
      </c>
      <c r="H1493">
        <v>19</v>
      </c>
      <c r="I1493">
        <v>202</v>
      </c>
    </row>
    <row r="1494" spans="1:9" x14ac:dyDescent="0.25">
      <c r="A1494" s="5" t="str">
        <f>TrendSheetPrdData[[#This Row],[Population]]&amp;TrendSheetPrdData[[#This Row],[Cost Basis]]&amp;TrendSheetPrdData[[#This Row],[Period]]&amp;TrendSheetPrdData[[#This Row],[Trend]]</f>
        <v>OTHERSPaid2017-02-01Inpatient Claim Count</v>
      </c>
      <c r="B1494" t="s">
        <v>111</v>
      </c>
      <c r="C1494" t="s">
        <v>111</v>
      </c>
      <c r="D1494" t="s">
        <v>78</v>
      </c>
      <c r="E1494" s="1" t="s">
        <v>106</v>
      </c>
      <c r="F1494" t="s">
        <v>108</v>
      </c>
      <c r="G1494" t="s">
        <v>30</v>
      </c>
      <c r="H1494">
        <v>19</v>
      </c>
      <c r="I1494">
        <v>126</v>
      </c>
    </row>
    <row r="1495" spans="1:9" x14ac:dyDescent="0.25">
      <c r="A1495" s="5" t="str">
        <f>TrendSheetPrdData[[#This Row],[Population]]&amp;TrendSheetPrdData[[#This Row],[Cost Basis]]&amp;TrendSheetPrdData[[#This Row],[Period]]&amp;TrendSheetPrdData[[#This Row],[Trend]]</f>
        <v>OTHERSPaid2017-03-01Inpatient Claim Count</v>
      </c>
      <c r="B1495" t="s">
        <v>111</v>
      </c>
      <c r="C1495" t="s">
        <v>111</v>
      </c>
      <c r="D1495" t="s">
        <v>78</v>
      </c>
      <c r="E1495" s="1" t="s">
        <v>107</v>
      </c>
      <c r="F1495" t="s">
        <v>108</v>
      </c>
      <c r="G1495" t="s">
        <v>30</v>
      </c>
      <c r="H1495">
        <v>19</v>
      </c>
      <c r="I1495">
        <v>161</v>
      </c>
    </row>
    <row r="1496" spans="1:9" x14ac:dyDescent="0.25">
      <c r="A1496" s="5" t="str">
        <f>TrendSheetPrdData[[#This Row],[Population]]&amp;TrendSheetPrdData[[#This Row],[Cost Basis]]&amp;TrendSheetPrdData[[#This Row],[Period]]&amp;TrendSheetPrdData[[#This Row],[Trend]]</f>
        <v>OTHERSPaid2017-04-01Inpatient Claim Count</v>
      </c>
      <c r="B1496" t="s">
        <v>111</v>
      </c>
      <c r="C1496" t="s">
        <v>111</v>
      </c>
      <c r="D1496" t="s">
        <v>78</v>
      </c>
      <c r="E1496" s="1" t="s">
        <v>109</v>
      </c>
      <c r="F1496" t="s">
        <v>108</v>
      </c>
      <c r="G1496" t="s">
        <v>30</v>
      </c>
      <c r="H1496">
        <v>19</v>
      </c>
      <c r="I1496">
        <v>118</v>
      </c>
    </row>
    <row r="1497" spans="1:9" x14ac:dyDescent="0.25">
      <c r="A1497" s="5" t="str">
        <f>TrendSheetPrdData[[#This Row],[Population]]&amp;TrendSheetPrdData[[#This Row],[Cost Basis]]&amp;TrendSheetPrdData[[#This Row],[Period]]&amp;TrendSheetPrdData[[#This Row],[Trend]]</f>
        <v>OTHERSPaid2017-05-01Inpatient Claim Count</v>
      </c>
      <c r="B1497" t="s">
        <v>111</v>
      </c>
      <c r="C1497" t="s">
        <v>111</v>
      </c>
      <c r="D1497" t="s">
        <v>78</v>
      </c>
      <c r="E1497" s="1" t="s">
        <v>110</v>
      </c>
      <c r="F1497" t="s">
        <v>108</v>
      </c>
      <c r="G1497" t="s">
        <v>30</v>
      </c>
      <c r="H1497">
        <v>19</v>
      </c>
      <c r="I1497">
        <v>50</v>
      </c>
    </row>
    <row r="1498" spans="1:9" x14ac:dyDescent="0.25">
      <c r="A1498" s="5" t="str">
        <f>TrendSheetPrdData[[#This Row],[Population]]&amp;TrendSheetPrdData[[#This Row],[Cost Basis]]&amp;TrendSheetPrdData[[#This Row],[Period]]&amp;TrendSheetPrdData[[#This Row],[Trend]]</f>
        <v>OTHERSPaid2016-01-01Outpatient Claim Count</v>
      </c>
      <c r="B1498" t="s">
        <v>111</v>
      </c>
      <c r="C1498" t="s">
        <v>111</v>
      </c>
      <c r="D1498" t="s">
        <v>78</v>
      </c>
      <c r="E1498" s="1" t="s">
        <v>92</v>
      </c>
      <c r="F1498" t="s">
        <v>93</v>
      </c>
      <c r="G1498" t="s">
        <v>31</v>
      </c>
      <c r="H1498">
        <v>20</v>
      </c>
      <c r="I1498">
        <v>2961</v>
      </c>
    </row>
    <row r="1499" spans="1:9" x14ac:dyDescent="0.25">
      <c r="A1499" s="5" t="str">
        <f>TrendSheetPrdData[[#This Row],[Population]]&amp;TrendSheetPrdData[[#This Row],[Cost Basis]]&amp;TrendSheetPrdData[[#This Row],[Period]]&amp;TrendSheetPrdData[[#This Row],[Trend]]</f>
        <v>OTHERSPaid2016-02-01Outpatient Claim Count</v>
      </c>
      <c r="B1499" t="s">
        <v>111</v>
      </c>
      <c r="C1499" t="s">
        <v>111</v>
      </c>
      <c r="D1499" t="s">
        <v>78</v>
      </c>
      <c r="E1499" s="1" t="s">
        <v>94</v>
      </c>
      <c r="F1499" t="s">
        <v>93</v>
      </c>
      <c r="G1499" t="s">
        <v>31</v>
      </c>
      <c r="H1499">
        <v>20</v>
      </c>
      <c r="I1499">
        <v>2645</v>
      </c>
    </row>
    <row r="1500" spans="1:9" x14ac:dyDescent="0.25">
      <c r="A1500" s="5" t="str">
        <f>TrendSheetPrdData[[#This Row],[Population]]&amp;TrendSheetPrdData[[#This Row],[Cost Basis]]&amp;TrendSheetPrdData[[#This Row],[Period]]&amp;TrendSheetPrdData[[#This Row],[Trend]]</f>
        <v>OTHERSPaid2016-03-01Outpatient Claim Count</v>
      </c>
      <c r="B1500" t="s">
        <v>111</v>
      </c>
      <c r="C1500" t="s">
        <v>111</v>
      </c>
      <c r="D1500" t="s">
        <v>78</v>
      </c>
      <c r="E1500" s="1" t="s">
        <v>95</v>
      </c>
      <c r="F1500" t="s">
        <v>93</v>
      </c>
      <c r="G1500" t="s">
        <v>31</v>
      </c>
      <c r="H1500">
        <v>20</v>
      </c>
      <c r="I1500">
        <v>2612</v>
      </c>
    </row>
    <row r="1501" spans="1:9" x14ac:dyDescent="0.25">
      <c r="A1501" s="5" t="str">
        <f>TrendSheetPrdData[[#This Row],[Population]]&amp;TrendSheetPrdData[[#This Row],[Cost Basis]]&amp;TrendSheetPrdData[[#This Row],[Period]]&amp;TrendSheetPrdData[[#This Row],[Trend]]</f>
        <v>OTHERSPaid2016-04-01Outpatient Claim Count</v>
      </c>
      <c r="B1501" t="s">
        <v>111</v>
      </c>
      <c r="C1501" t="s">
        <v>111</v>
      </c>
      <c r="D1501" t="s">
        <v>78</v>
      </c>
      <c r="E1501" s="1" t="s">
        <v>96</v>
      </c>
      <c r="F1501" t="s">
        <v>93</v>
      </c>
      <c r="G1501" t="s">
        <v>31</v>
      </c>
      <c r="H1501">
        <v>20</v>
      </c>
      <c r="I1501">
        <v>2559</v>
      </c>
    </row>
    <row r="1502" spans="1:9" x14ac:dyDescent="0.25">
      <c r="A1502" s="5" t="str">
        <f>TrendSheetPrdData[[#This Row],[Population]]&amp;TrendSheetPrdData[[#This Row],[Cost Basis]]&amp;TrendSheetPrdData[[#This Row],[Period]]&amp;TrendSheetPrdData[[#This Row],[Trend]]</f>
        <v>OTHERSPaid2016-05-01Outpatient Claim Count</v>
      </c>
      <c r="B1502" t="s">
        <v>111</v>
      </c>
      <c r="C1502" t="s">
        <v>111</v>
      </c>
      <c r="D1502" t="s">
        <v>78</v>
      </c>
      <c r="E1502" s="1" t="s">
        <v>97</v>
      </c>
      <c r="F1502" t="s">
        <v>93</v>
      </c>
      <c r="G1502" t="s">
        <v>31</v>
      </c>
      <c r="H1502">
        <v>20</v>
      </c>
      <c r="I1502">
        <v>2215</v>
      </c>
    </row>
    <row r="1503" spans="1:9" x14ac:dyDescent="0.25">
      <c r="A1503" s="5" t="str">
        <f>TrendSheetPrdData[[#This Row],[Population]]&amp;TrendSheetPrdData[[#This Row],[Cost Basis]]&amp;TrendSheetPrdData[[#This Row],[Period]]&amp;TrendSheetPrdData[[#This Row],[Trend]]</f>
        <v>OTHERSPaid2016-06-01Outpatient Claim Count</v>
      </c>
      <c r="B1503" t="s">
        <v>111</v>
      </c>
      <c r="C1503" t="s">
        <v>111</v>
      </c>
      <c r="D1503" t="s">
        <v>78</v>
      </c>
      <c r="E1503" s="1" t="s">
        <v>98</v>
      </c>
      <c r="F1503" t="s">
        <v>93</v>
      </c>
      <c r="G1503" t="s">
        <v>31</v>
      </c>
      <c r="H1503">
        <v>20</v>
      </c>
      <c r="I1503">
        <v>2573</v>
      </c>
    </row>
    <row r="1504" spans="1:9" x14ac:dyDescent="0.25">
      <c r="A1504" s="5" t="str">
        <f>TrendSheetPrdData[[#This Row],[Population]]&amp;TrendSheetPrdData[[#This Row],[Cost Basis]]&amp;TrendSheetPrdData[[#This Row],[Period]]&amp;TrendSheetPrdData[[#This Row],[Trend]]</f>
        <v>OTHERSPaid2016-07-01Outpatient Claim Count</v>
      </c>
      <c r="B1504" t="s">
        <v>111</v>
      </c>
      <c r="C1504" t="s">
        <v>111</v>
      </c>
      <c r="D1504" t="s">
        <v>78</v>
      </c>
      <c r="E1504" s="1" t="s">
        <v>99</v>
      </c>
      <c r="F1504" t="s">
        <v>93</v>
      </c>
      <c r="G1504" t="s">
        <v>31</v>
      </c>
      <c r="H1504">
        <v>20</v>
      </c>
      <c r="I1504">
        <v>2520</v>
      </c>
    </row>
    <row r="1505" spans="1:9" x14ac:dyDescent="0.25">
      <c r="A1505" s="5" t="str">
        <f>TrendSheetPrdData[[#This Row],[Population]]&amp;TrendSheetPrdData[[#This Row],[Cost Basis]]&amp;TrendSheetPrdData[[#This Row],[Period]]&amp;TrendSheetPrdData[[#This Row],[Trend]]</f>
        <v>OTHERSPaid2016-08-01Outpatient Claim Count</v>
      </c>
      <c r="B1505" t="s">
        <v>111</v>
      </c>
      <c r="C1505" t="s">
        <v>111</v>
      </c>
      <c r="D1505" t="s">
        <v>78</v>
      </c>
      <c r="E1505" s="1" t="s">
        <v>100</v>
      </c>
      <c r="F1505" t="s">
        <v>93</v>
      </c>
      <c r="G1505" t="s">
        <v>31</v>
      </c>
      <c r="H1505">
        <v>20</v>
      </c>
      <c r="I1505">
        <v>2552</v>
      </c>
    </row>
    <row r="1506" spans="1:9" x14ac:dyDescent="0.25">
      <c r="A1506" s="5" t="str">
        <f>TrendSheetPrdData[[#This Row],[Population]]&amp;TrendSheetPrdData[[#This Row],[Cost Basis]]&amp;TrendSheetPrdData[[#This Row],[Period]]&amp;TrendSheetPrdData[[#This Row],[Trend]]</f>
        <v>OTHERSPaid2016-09-01Outpatient Claim Count</v>
      </c>
      <c r="B1506" t="s">
        <v>111</v>
      </c>
      <c r="C1506" t="s">
        <v>111</v>
      </c>
      <c r="D1506" t="s">
        <v>78</v>
      </c>
      <c r="E1506" s="1" t="s">
        <v>101</v>
      </c>
      <c r="F1506" t="s">
        <v>93</v>
      </c>
      <c r="G1506" t="s">
        <v>31</v>
      </c>
      <c r="H1506">
        <v>20</v>
      </c>
      <c r="I1506">
        <v>2625</v>
      </c>
    </row>
    <row r="1507" spans="1:9" x14ac:dyDescent="0.25">
      <c r="A1507" s="5" t="str">
        <f>TrendSheetPrdData[[#This Row],[Population]]&amp;TrendSheetPrdData[[#This Row],[Cost Basis]]&amp;TrendSheetPrdData[[#This Row],[Period]]&amp;TrendSheetPrdData[[#This Row],[Trend]]</f>
        <v>OTHERSPaid2016-10-01Outpatient Claim Count</v>
      </c>
      <c r="B1507" t="s">
        <v>111</v>
      </c>
      <c r="C1507" t="s">
        <v>111</v>
      </c>
      <c r="D1507" t="s">
        <v>78</v>
      </c>
      <c r="E1507" s="1" t="s">
        <v>102</v>
      </c>
      <c r="F1507" t="s">
        <v>93</v>
      </c>
      <c r="G1507" t="s">
        <v>31</v>
      </c>
      <c r="H1507">
        <v>20</v>
      </c>
      <c r="I1507">
        <v>2445</v>
      </c>
    </row>
    <row r="1508" spans="1:9" x14ac:dyDescent="0.25">
      <c r="A1508" s="5" t="str">
        <f>TrendSheetPrdData[[#This Row],[Population]]&amp;TrendSheetPrdData[[#This Row],[Cost Basis]]&amp;TrendSheetPrdData[[#This Row],[Period]]&amp;TrendSheetPrdData[[#This Row],[Trend]]</f>
        <v>OTHERSPaid2016-11-01Outpatient Claim Count</v>
      </c>
      <c r="B1508" t="s">
        <v>111</v>
      </c>
      <c r="C1508" t="s">
        <v>111</v>
      </c>
      <c r="D1508" t="s">
        <v>78</v>
      </c>
      <c r="E1508" s="1" t="s">
        <v>103</v>
      </c>
      <c r="F1508" t="s">
        <v>93</v>
      </c>
      <c r="G1508" t="s">
        <v>31</v>
      </c>
      <c r="H1508">
        <v>20</v>
      </c>
      <c r="I1508">
        <v>2514</v>
      </c>
    </row>
    <row r="1509" spans="1:9" x14ac:dyDescent="0.25">
      <c r="A1509" s="5" t="str">
        <f>TrendSheetPrdData[[#This Row],[Population]]&amp;TrendSheetPrdData[[#This Row],[Cost Basis]]&amp;TrendSheetPrdData[[#This Row],[Period]]&amp;TrendSheetPrdData[[#This Row],[Trend]]</f>
        <v>OTHERSPaid2016-12-01Outpatient Claim Count</v>
      </c>
      <c r="B1509" t="s">
        <v>111</v>
      </c>
      <c r="C1509" t="s">
        <v>111</v>
      </c>
      <c r="D1509" t="s">
        <v>78</v>
      </c>
      <c r="E1509" s="1" t="s">
        <v>104</v>
      </c>
      <c r="F1509" t="s">
        <v>93</v>
      </c>
      <c r="G1509" t="s">
        <v>31</v>
      </c>
      <c r="H1509">
        <v>20</v>
      </c>
      <c r="I1509">
        <v>2475</v>
      </c>
    </row>
    <row r="1510" spans="1:9" x14ac:dyDescent="0.25">
      <c r="A1510" s="5" t="str">
        <f>TrendSheetPrdData[[#This Row],[Population]]&amp;TrendSheetPrdData[[#This Row],[Cost Basis]]&amp;TrendSheetPrdData[[#This Row],[Period]]&amp;TrendSheetPrdData[[#This Row],[Trend]]</f>
        <v>OTHERSPaid2017-01-01Outpatient Claim Count</v>
      </c>
      <c r="B1510" t="s">
        <v>111</v>
      </c>
      <c r="C1510" t="s">
        <v>111</v>
      </c>
      <c r="D1510" t="s">
        <v>78</v>
      </c>
      <c r="E1510" s="1" t="s">
        <v>105</v>
      </c>
      <c r="F1510" t="s">
        <v>108</v>
      </c>
      <c r="G1510" t="s">
        <v>31</v>
      </c>
      <c r="H1510">
        <v>20</v>
      </c>
      <c r="I1510">
        <v>2498</v>
      </c>
    </row>
    <row r="1511" spans="1:9" x14ac:dyDescent="0.25">
      <c r="A1511" s="5" t="str">
        <f>TrendSheetPrdData[[#This Row],[Population]]&amp;TrendSheetPrdData[[#This Row],[Cost Basis]]&amp;TrendSheetPrdData[[#This Row],[Period]]&amp;TrendSheetPrdData[[#This Row],[Trend]]</f>
        <v>OTHERSPaid2017-02-01Outpatient Claim Count</v>
      </c>
      <c r="B1511" t="s">
        <v>111</v>
      </c>
      <c r="C1511" t="s">
        <v>111</v>
      </c>
      <c r="D1511" t="s">
        <v>78</v>
      </c>
      <c r="E1511" s="1" t="s">
        <v>106</v>
      </c>
      <c r="F1511" t="s">
        <v>108</v>
      </c>
      <c r="G1511" t="s">
        <v>31</v>
      </c>
      <c r="H1511">
        <v>20</v>
      </c>
      <c r="I1511">
        <v>2614</v>
      </c>
    </row>
    <row r="1512" spans="1:9" x14ac:dyDescent="0.25">
      <c r="A1512" s="5" t="str">
        <f>TrendSheetPrdData[[#This Row],[Population]]&amp;TrendSheetPrdData[[#This Row],[Cost Basis]]&amp;TrendSheetPrdData[[#This Row],[Period]]&amp;TrendSheetPrdData[[#This Row],[Trend]]</f>
        <v>OTHERSPaid2017-03-01Outpatient Claim Count</v>
      </c>
      <c r="B1512" t="s">
        <v>111</v>
      </c>
      <c r="C1512" t="s">
        <v>111</v>
      </c>
      <c r="D1512" t="s">
        <v>78</v>
      </c>
      <c r="E1512" s="1" t="s">
        <v>107</v>
      </c>
      <c r="F1512" t="s">
        <v>108</v>
      </c>
      <c r="G1512" t="s">
        <v>31</v>
      </c>
      <c r="H1512">
        <v>20</v>
      </c>
      <c r="I1512">
        <v>2502</v>
      </c>
    </row>
    <row r="1513" spans="1:9" x14ac:dyDescent="0.25">
      <c r="A1513" s="5" t="str">
        <f>TrendSheetPrdData[[#This Row],[Population]]&amp;TrendSheetPrdData[[#This Row],[Cost Basis]]&amp;TrendSheetPrdData[[#This Row],[Period]]&amp;TrendSheetPrdData[[#This Row],[Trend]]</f>
        <v>OTHERSPaid2017-04-01Outpatient Claim Count</v>
      </c>
      <c r="B1513" t="s">
        <v>111</v>
      </c>
      <c r="C1513" t="s">
        <v>111</v>
      </c>
      <c r="D1513" t="s">
        <v>78</v>
      </c>
      <c r="E1513" s="1" t="s">
        <v>109</v>
      </c>
      <c r="F1513" t="s">
        <v>108</v>
      </c>
      <c r="G1513" t="s">
        <v>31</v>
      </c>
      <c r="H1513">
        <v>20</v>
      </c>
      <c r="I1513">
        <v>1981</v>
      </c>
    </row>
    <row r="1514" spans="1:9" x14ac:dyDescent="0.25">
      <c r="A1514" s="5" t="str">
        <f>TrendSheetPrdData[[#This Row],[Population]]&amp;TrendSheetPrdData[[#This Row],[Cost Basis]]&amp;TrendSheetPrdData[[#This Row],[Period]]&amp;TrendSheetPrdData[[#This Row],[Trend]]</f>
        <v>OTHERSPaid2017-05-01Outpatient Claim Count</v>
      </c>
      <c r="B1514" t="s">
        <v>111</v>
      </c>
      <c r="C1514" t="s">
        <v>111</v>
      </c>
      <c r="D1514" t="s">
        <v>78</v>
      </c>
      <c r="E1514" s="1" t="s">
        <v>110</v>
      </c>
      <c r="F1514" t="s">
        <v>108</v>
      </c>
      <c r="G1514" t="s">
        <v>31</v>
      </c>
      <c r="H1514">
        <v>20</v>
      </c>
      <c r="I1514">
        <v>767</v>
      </c>
    </row>
    <row r="1515" spans="1:9" x14ac:dyDescent="0.25">
      <c r="A1515" s="5" t="str">
        <f>TrendSheetPrdData[[#This Row],[Population]]&amp;TrendSheetPrdData[[#This Row],[Cost Basis]]&amp;TrendSheetPrdData[[#This Row],[Period]]&amp;TrendSheetPrdData[[#This Row],[Trend]]</f>
        <v>OTHERSPaid2016-01-01Professional Claim Count</v>
      </c>
      <c r="B1515" t="s">
        <v>111</v>
      </c>
      <c r="C1515" t="s">
        <v>111</v>
      </c>
      <c r="D1515" t="s">
        <v>78</v>
      </c>
      <c r="E1515" s="1" t="s">
        <v>92</v>
      </c>
      <c r="F1515" t="s">
        <v>93</v>
      </c>
      <c r="G1515" t="s">
        <v>32</v>
      </c>
      <c r="H1515">
        <v>21</v>
      </c>
      <c r="I1515">
        <v>3520</v>
      </c>
    </row>
    <row r="1516" spans="1:9" x14ac:dyDescent="0.25">
      <c r="A1516" s="5" t="str">
        <f>TrendSheetPrdData[[#This Row],[Population]]&amp;TrendSheetPrdData[[#This Row],[Cost Basis]]&amp;TrendSheetPrdData[[#This Row],[Period]]&amp;TrendSheetPrdData[[#This Row],[Trend]]</f>
        <v>OTHERSPaid2016-02-01Professional Claim Count</v>
      </c>
      <c r="B1516" t="s">
        <v>111</v>
      </c>
      <c r="C1516" t="s">
        <v>111</v>
      </c>
      <c r="D1516" t="s">
        <v>78</v>
      </c>
      <c r="E1516" s="1" t="s">
        <v>94</v>
      </c>
      <c r="F1516" t="s">
        <v>93</v>
      </c>
      <c r="G1516" t="s">
        <v>32</v>
      </c>
      <c r="H1516">
        <v>21</v>
      </c>
      <c r="I1516">
        <v>3540</v>
      </c>
    </row>
    <row r="1517" spans="1:9" x14ac:dyDescent="0.25">
      <c r="A1517" s="5" t="str">
        <f>TrendSheetPrdData[[#This Row],[Population]]&amp;TrendSheetPrdData[[#This Row],[Cost Basis]]&amp;TrendSheetPrdData[[#This Row],[Period]]&amp;TrendSheetPrdData[[#This Row],[Trend]]</f>
        <v>OTHERSPaid2016-03-01Professional Claim Count</v>
      </c>
      <c r="B1517" t="s">
        <v>111</v>
      </c>
      <c r="C1517" t="s">
        <v>111</v>
      </c>
      <c r="D1517" t="s">
        <v>78</v>
      </c>
      <c r="E1517" s="1" t="s">
        <v>95</v>
      </c>
      <c r="F1517" t="s">
        <v>93</v>
      </c>
      <c r="G1517" t="s">
        <v>32</v>
      </c>
      <c r="H1517">
        <v>21</v>
      </c>
      <c r="I1517">
        <v>3732</v>
      </c>
    </row>
    <row r="1518" spans="1:9" x14ac:dyDescent="0.25">
      <c r="A1518" s="5" t="str">
        <f>TrendSheetPrdData[[#This Row],[Population]]&amp;TrendSheetPrdData[[#This Row],[Cost Basis]]&amp;TrendSheetPrdData[[#This Row],[Period]]&amp;TrendSheetPrdData[[#This Row],[Trend]]</f>
        <v>OTHERSPaid2016-04-01Professional Claim Count</v>
      </c>
      <c r="B1518" t="s">
        <v>111</v>
      </c>
      <c r="C1518" t="s">
        <v>111</v>
      </c>
      <c r="D1518" t="s">
        <v>78</v>
      </c>
      <c r="E1518" s="1" t="s">
        <v>96</v>
      </c>
      <c r="F1518" t="s">
        <v>93</v>
      </c>
      <c r="G1518" t="s">
        <v>32</v>
      </c>
      <c r="H1518">
        <v>21</v>
      </c>
      <c r="I1518">
        <v>3209</v>
      </c>
    </row>
    <row r="1519" spans="1:9" x14ac:dyDescent="0.25">
      <c r="A1519" s="5" t="str">
        <f>TrendSheetPrdData[[#This Row],[Population]]&amp;TrendSheetPrdData[[#This Row],[Cost Basis]]&amp;TrendSheetPrdData[[#This Row],[Period]]&amp;TrendSheetPrdData[[#This Row],[Trend]]</f>
        <v>OTHERSPaid2016-05-01Professional Claim Count</v>
      </c>
      <c r="B1519" t="s">
        <v>111</v>
      </c>
      <c r="C1519" t="s">
        <v>111</v>
      </c>
      <c r="D1519" t="s">
        <v>78</v>
      </c>
      <c r="E1519" s="1" t="s">
        <v>97</v>
      </c>
      <c r="F1519" t="s">
        <v>93</v>
      </c>
      <c r="G1519" t="s">
        <v>32</v>
      </c>
      <c r="H1519">
        <v>21</v>
      </c>
      <c r="I1519">
        <v>3306</v>
      </c>
    </row>
    <row r="1520" spans="1:9" x14ac:dyDescent="0.25">
      <c r="A1520" s="5" t="str">
        <f>TrendSheetPrdData[[#This Row],[Population]]&amp;TrendSheetPrdData[[#This Row],[Cost Basis]]&amp;TrendSheetPrdData[[#This Row],[Period]]&amp;TrendSheetPrdData[[#This Row],[Trend]]</f>
        <v>OTHERSPaid2016-06-01Professional Claim Count</v>
      </c>
      <c r="B1520" t="s">
        <v>111</v>
      </c>
      <c r="C1520" t="s">
        <v>111</v>
      </c>
      <c r="D1520" t="s">
        <v>78</v>
      </c>
      <c r="E1520" s="1" t="s">
        <v>98</v>
      </c>
      <c r="F1520" t="s">
        <v>93</v>
      </c>
      <c r="G1520" t="s">
        <v>32</v>
      </c>
      <c r="H1520">
        <v>21</v>
      </c>
      <c r="I1520">
        <v>3098</v>
      </c>
    </row>
    <row r="1521" spans="1:9" x14ac:dyDescent="0.25">
      <c r="A1521" s="5" t="str">
        <f>TrendSheetPrdData[[#This Row],[Population]]&amp;TrendSheetPrdData[[#This Row],[Cost Basis]]&amp;TrendSheetPrdData[[#This Row],[Period]]&amp;TrendSheetPrdData[[#This Row],[Trend]]</f>
        <v>OTHERSPaid2016-07-01Professional Claim Count</v>
      </c>
      <c r="B1521" t="s">
        <v>111</v>
      </c>
      <c r="C1521" t="s">
        <v>111</v>
      </c>
      <c r="D1521" t="s">
        <v>78</v>
      </c>
      <c r="E1521" s="1" t="s">
        <v>99</v>
      </c>
      <c r="F1521" t="s">
        <v>93</v>
      </c>
      <c r="G1521" t="s">
        <v>32</v>
      </c>
      <c r="H1521">
        <v>21</v>
      </c>
      <c r="I1521">
        <v>2825</v>
      </c>
    </row>
    <row r="1522" spans="1:9" x14ac:dyDescent="0.25">
      <c r="A1522" s="5" t="str">
        <f>TrendSheetPrdData[[#This Row],[Population]]&amp;TrendSheetPrdData[[#This Row],[Cost Basis]]&amp;TrendSheetPrdData[[#This Row],[Period]]&amp;TrendSheetPrdData[[#This Row],[Trend]]</f>
        <v>OTHERSPaid2016-08-01Professional Claim Count</v>
      </c>
      <c r="B1522" t="s">
        <v>111</v>
      </c>
      <c r="C1522" t="s">
        <v>111</v>
      </c>
      <c r="D1522" t="s">
        <v>78</v>
      </c>
      <c r="E1522" s="1" t="s">
        <v>100</v>
      </c>
      <c r="F1522" t="s">
        <v>93</v>
      </c>
      <c r="G1522" t="s">
        <v>32</v>
      </c>
      <c r="H1522">
        <v>21</v>
      </c>
      <c r="I1522">
        <v>3625</v>
      </c>
    </row>
    <row r="1523" spans="1:9" x14ac:dyDescent="0.25">
      <c r="A1523" s="5" t="str">
        <f>TrendSheetPrdData[[#This Row],[Population]]&amp;TrendSheetPrdData[[#This Row],[Cost Basis]]&amp;TrendSheetPrdData[[#This Row],[Period]]&amp;TrendSheetPrdData[[#This Row],[Trend]]</f>
        <v>OTHERSPaid2016-09-01Professional Claim Count</v>
      </c>
      <c r="B1523" t="s">
        <v>111</v>
      </c>
      <c r="C1523" t="s">
        <v>111</v>
      </c>
      <c r="D1523" t="s">
        <v>78</v>
      </c>
      <c r="E1523" s="1" t="s">
        <v>101</v>
      </c>
      <c r="F1523" t="s">
        <v>93</v>
      </c>
      <c r="G1523" t="s">
        <v>32</v>
      </c>
      <c r="H1523">
        <v>21</v>
      </c>
      <c r="I1523">
        <v>3629</v>
      </c>
    </row>
    <row r="1524" spans="1:9" x14ac:dyDescent="0.25">
      <c r="A1524" s="5" t="str">
        <f>TrendSheetPrdData[[#This Row],[Population]]&amp;TrendSheetPrdData[[#This Row],[Cost Basis]]&amp;TrendSheetPrdData[[#This Row],[Period]]&amp;TrendSheetPrdData[[#This Row],[Trend]]</f>
        <v>OTHERSPaid2016-10-01Professional Claim Count</v>
      </c>
      <c r="B1524" t="s">
        <v>111</v>
      </c>
      <c r="C1524" t="s">
        <v>111</v>
      </c>
      <c r="D1524" t="s">
        <v>78</v>
      </c>
      <c r="E1524" s="1" t="s">
        <v>102</v>
      </c>
      <c r="F1524" t="s">
        <v>93</v>
      </c>
      <c r="G1524" t="s">
        <v>32</v>
      </c>
      <c r="H1524">
        <v>21</v>
      </c>
      <c r="I1524">
        <v>3293</v>
      </c>
    </row>
    <row r="1525" spans="1:9" x14ac:dyDescent="0.25">
      <c r="A1525" s="5" t="str">
        <f>TrendSheetPrdData[[#This Row],[Population]]&amp;TrendSheetPrdData[[#This Row],[Cost Basis]]&amp;TrendSheetPrdData[[#This Row],[Period]]&amp;TrendSheetPrdData[[#This Row],[Trend]]</f>
        <v>OTHERSPaid2016-11-01Professional Claim Count</v>
      </c>
      <c r="B1525" t="s">
        <v>111</v>
      </c>
      <c r="C1525" t="s">
        <v>111</v>
      </c>
      <c r="D1525" t="s">
        <v>78</v>
      </c>
      <c r="E1525" s="1" t="s">
        <v>103</v>
      </c>
      <c r="F1525" t="s">
        <v>93</v>
      </c>
      <c r="G1525" t="s">
        <v>32</v>
      </c>
      <c r="H1525">
        <v>21</v>
      </c>
      <c r="I1525">
        <v>3748</v>
      </c>
    </row>
    <row r="1526" spans="1:9" x14ac:dyDescent="0.25">
      <c r="A1526" s="5" t="str">
        <f>TrendSheetPrdData[[#This Row],[Population]]&amp;TrendSheetPrdData[[#This Row],[Cost Basis]]&amp;TrendSheetPrdData[[#This Row],[Period]]&amp;TrendSheetPrdData[[#This Row],[Trend]]</f>
        <v>OTHERSPaid2016-12-01Professional Claim Count</v>
      </c>
      <c r="B1526" t="s">
        <v>111</v>
      </c>
      <c r="C1526" t="s">
        <v>111</v>
      </c>
      <c r="D1526" t="s">
        <v>78</v>
      </c>
      <c r="E1526" s="1" t="s">
        <v>104</v>
      </c>
      <c r="F1526" t="s">
        <v>93</v>
      </c>
      <c r="G1526" t="s">
        <v>32</v>
      </c>
      <c r="H1526">
        <v>21</v>
      </c>
      <c r="I1526">
        <v>3013</v>
      </c>
    </row>
    <row r="1527" spans="1:9" x14ac:dyDescent="0.25">
      <c r="A1527" s="5" t="str">
        <f>TrendSheetPrdData[[#This Row],[Population]]&amp;TrendSheetPrdData[[#This Row],[Cost Basis]]&amp;TrendSheetPrdData[[#This Row],[Period]]&amp;TrendSheetPrdData[[#This Row],[Trend]]</f>
        <v>OTHERSPaid2017-01-01Professional Claim Count</v>
      </c>
      <c r="B1527" t="s">
        <v>111</v>
      </c>
      <c r="C1527" t="s">
        <v>111</v>
      </c>
      <c r="D1527" t="s">
        <v>78</v>
      </c>
      <c r="E1527" s="1" t="s">
        <v>105</v>
      </c>
      <c r="F1527" t="s">
        <v>108</v>
      </c>
      <c r="G1527" t="s">
        <v>32</v>
      </c>
      <c r="H1527">
        <v>21</v>
      </c>
      <c r="I1527">
        <v>3308</v>
      </c>
    </row>
    <row r="1528" spans="1:9" x14ac:dyDescent="0.25">
      <c r="A1528" s="5" t="str">
        <f>TrendSheetPrdData[[#This Row],[Population]]&amp;TrendSheetPrdData[[#This Row],[Cost Basis]]&amp;TrendSheetPrdData[[#This Row],[Period]]&amp;TrendSheetPrdData[[#This Row],[Trend]]</f>
        <v>OTHERSPaid2017-02-01Professional Claim Count</v>
      </c>
      <c r="B1528" t="s">
        <v>111</v>
      </c>
      <c r="C1528" t="s">
        <v>111</v>
      </c>
      <c r="D1528" t="s">
        <v>78</v>
      </c>
      <c r="E1528" s="1" t="s">
        <v>106</v>
      </c>
      <c r="F1528" t="s">
        <v>108</v>
      </c>
      <c r="G1528" t="s">
        <v>32</v>
      </c>
      <c r="H1528">
        <v>21</v>
      </c>
      <c r="I1528">
        <v>3055</v>
      </c>
    </row>
    <row r="1529" spans="1:9" x14ac:dyDescent="0.25">
      <c r="A1529" s="5" t="str">
        <f>TrendSheetPrdData[[#This Row],[Population]]&amp;TrendSheetPrdData[[#This Row],[Cost Basis]]&amp;TrendSheetPrdData[[#This Row],[Period]]&amp;TrendSheetPrdData[[#This Row],[Trend]]</f>
        <v>OTHERSPaid2017-03-01Professional Claim Count</v>
      </c>
      <c r="B1529" t="s">
        <v>111</v>
      </c>
      <c r="C1529" t="s">
        <v>111</v>
      </c>
      <c r="D1529" t="s">
        <v>78</v>
      </c>
      <c r="E1529" s="1" t="s">
        <v>107</v>
      </c>
      <c r="F1529" t="s">
        <v>108</v>
      </c>
      <c r="G1529" t="s">
        <v>32</v>
      </c>
      <c r="H1529">
        <v>21</v>
      </c>
      <c r="I1529">
        <v>3106</v>
      </c>
    </row>
    <row r="1530" spans="1:9" x14ac:dyDescent="0.25">
      <c r="A1530" s="5" t="str">
        <f>TrendSheetPrdData[[#This Row],[Population]]&amp;TrendSheetPrdData[[#This Row],[Cost Basis]]&amp;TrendSheetPrdData[[#This Row],[Period]]&amp;TrendSheetPrdData[[#This Row],[Trend]]</f>
        <v>OTHERSPaid2017-04-01Professional Claim Count</v>
      </c>
      <c r="B1530" t="s">
        <v>111</v>
      </c>
      <c r="C1530" t="s">
        <v>111</v>
      </c>
      <c r="D1530" t="s">
        <v>78</v>
      </c>
      <c r="E1530" s="1" t="s">
        <v>109</v>
      </c>
      <c r="F1530" t="s">
        <v>108</v>
      </c>
      <c r="G1530" t="s">
        <v>32</v>
      </c>
      <c r="H1530">
        <v>21</v>
      </c>
      <c r="I1530">
        <v>2388</v>
      </c>
    </row>
    <row r="1531" spans="1:9" x14ac:dyDescent="0.25">
      <c r="A1531" s="5" t="str">
        <f>TrendSheetPrdData[[#This Row],[Population]]&amp;TrendSheetPrdData[[#This Row],[Cost Basis]]&amp;TrendSheetPrdData[[#This Row],[Period]]&amp;TrendSheetPrdData[[#This Row],[Trend]]</f>
        <v>OTHERSPaid2017-05-01Professional Claim Count</v>
      </c>
      <c r="B1531" t="s">
        <v>111</v>
      </c>
      <c r="C1531" t="s">
        <v>111</v>
      </c>
      <c r="D1531" t="s">
        <v>78</v>
      </c>
      <c r="E1531" s="1" t="s">
        <v>110</v>
      </c>
      <c r="F1531" t="s">
        <v>108</v>
      </c>
      <c r="G1531" t="s">
        <v>32</v>
      </c>
      <c r="H1531">
        <v>21</v>
      </c>
      <c r="I1531">
        <v>1537</v>
      </c>
    </row>
    <row r="1532" spans="1:9" x14ac:dyDescent="0.25">
      <c r="A1532" s="5" t="str">
        <f>TrendSheetPrdData[[#This Row],[Population]]&amp;TrendSheetPrdData[[#This Row],[Cost Basis]]&amp;TrendSheetPrdData[[#This Row],[Period]]&amp;TrendSheetPrdData[[#This Row],[Trend]]</f>
        <v>OTHERSPaid2016-01-01Ancillary Claim Count</v>
      </c>
      <c r="B1532" t="s">
        <v>111</v>
      </c>
      <c r="C1532" t="s">
        <v>111</v>
      </c>
      <c r="D1532" t="s">
        <v>78</v>
      </c>
      <c r="E1532" s="1" t="s">
        <v>92</v>
      </c>
      <c r="F1532" t="s">
        <v>93</v>
      </c>
      <c r="G1532" t="s">
        <v>33</v>
      </c>
      <c r="H1532">
        <v>22</v>
      </c>
      <c r="I1532">
        <v>209</v>
      </c>
    </row>
    <row r="1533" spans="1:9" x14ac:dyDescent="0.25">
      <c r="A1533" s="5" t="str">
        <f>TrendSheetPrdData[[#This Row],[Population]]&amp;TrendSheetPrdData[[#This Row],[Cost Basis]]&amp;TrendSheetPrdData[[#This Row],[Period]]&amp;TrendSheetPrdData[[#This Row],[Trend]]</f>
        <v>OTHERSPaid2016-02-01Ancillary Claim Count</v>
      </c>
      <c r="B1533" t="s">
        <v>111</v>
      </c>
      <c r="C1533" t="s">
        <v>111</v>
      </c>
      <c r="D1533" t="s">
        <v>78</v>
      </c>
      <c r="E1533" s="1" t="s">
        <v>94</v>
      </c>
      <c r="F1533" t="s">
        <v>93</v>
      </c>
      <c r="G1533" t="s">
        <v>33</v>
      </c>
      <c r="H1533">
        <v>22</v>
      </c>
      <c r="I1533">
        <v>239</v>
      </c>
    </row>
    <row r="1534" spans="1:9" x14ac:dyDescent="0.25">
      <c r="A1534" s="5" t="str">
        <f>TrendSheetPrdData[[#This Row],[Population]]&amp;TrendSheetPrdData[[#This Row],[Cost Basis]]&amp;TrendSheetPrdData[[#This Row],[Period]]&amp;TrendSheetPrdData[[#This Row],[Trend]]</f>
        <v>OTHERSPaid2016-03-01Ancillary Claim Count</v>
      </c>
      <c r="B1534" t="s">
        <v>111</v>
      </c>
      <c r="C1534" t="s">
        <v>111</v>
      </c>
      <c r="D1534" t="s">
        <v>78</v>
      </c>
      <c r="E1534" s="1" t="s">
        <v>95</v>
      </c>
      <c r="F1534" t="s">
        <v>93</v>
      </c>
      <c r="G1534" t="s">
        <v>33</v>
      </c>
      <c r="H1534">
        <v>22</v>
      </c>
      <c r="I1534">
        <v>285</v>
      </c>
    </row>
    <row r="1535" spans="1:9" x14ac:dyDescent="0.25">
      <c r="A1535" s="5" t="str">
        <f>TrendSheetPrdData[[#This Row],[Population]]&amp;TrendSheetPrdData[[#This Row],[Cost Basis]]&amp;TrendSheetPrdData[[#This Row],[Period]]&amp;TrendSheetPrdData[[#This Row],[Trend]]</f>
        <v>OTHERSPaid2016-04-01Ancillary Claim Count</v>
      </c>
      <c r="B1535" t="s">
        <v>111</v>
      </c>
      <c r="C1535" t="s">
        <v>111</v>
      </c>
      <c r="D1535" t="s">
        <v>78</v>
      </c>
      <c r="E1535" s="1" t="s">
        <v>96</v>
      </c>
      <c r="F1535" t="s">
        <v>93</v>
      </c>
      <c r="G1535" t="s">
        <v>33</v>
      </c>
      <c r="H1535">
        <v>22</v>
      </c>
      <c r="I1535">
        <v>310</v>
      </c>
    </row>
    <row r="1536" spans="1:9" x14ac:dyDescent="0.25">
      <c r="A1536" s="5" t="str">
        <f>TrendSheetPrdData[[#This Row],[Population]]&amp;TrendSheetPrdData[[#This Row],[Cost Basis]]&amp;TrendSheetPrdData[[#This Row],[Period]]&amp;TrendSheetPrdData[[#This Row],[Trend]]</f>
        <v>OTHERSPaid2016-05-01Ancillary Claim Count</v>
      </c>
      <c r="B1536" t="s">
        <v>111</v>
      </c>
      <c r="C1536" t="s">
        <v>111</v>
      </c>
      <c r="D1536" t="s">
        <v>78</v>
      </c>
      <c r="E1536" s="1" t="s">
        <v>97</v>
      </c>
      <c r="F1536" t="s">
        <v>93</v>
      </c>
      <c r="G1536" t="s">
        <v>33</v>
      </c>
      <c r="H1536">
        <v>22</v>
      </c>
      <c r="I1536">
        <v>295</v>
      </c>
    </row>
    <row r="1537" spans="1:9" x14ac:dyDescent="0.25">
      <c r="A1537" s="5" t="str">
        <f>TrendSheetPrdData[[#This Row],[Population]]&amp;TrendSheetPrdData[[#This Row],[Cost Basis]]&amp;TrendSheetPrdData[[#This Row],[Period]]&amp;TrendSheetPrdData[[#This Row],[Trend]]</f>
        <v>OTHERSPaid2016-06-01Ancillary Claim Count</v>
      </c>
      <c r="B1537" t="s">
        <v>111</v>
      </c>
      <c r="C1537" t="s">
        <v>111</v>
      </c>
      <c r="D1537" t="s">
        <v>78</v>
      </c>
      <c r="E1537" s="1" t="s">
        <v>98</v>
      </c>
      <c r="F1537" t="s">
        <v>93</v>
      </c>
      <c r="G1537" t="s">
        <v>33</v>
      </c>
      <c r="H1537">
        <v>22</v>
      </c>
      <c r="I1537">
        <v>236</v>
      </c>
    </row>
    <row r="1538" spans="1:9" x14ac:dyDescent="0.25">
      <c r="A1538" s="5" t="str">
        <f>TrendSheetPrdData[[#This Row],[Population]]&amp;TrendSheetPrdData[[#This Row],[Cost Basis]]&amp;TrendSheetPrdData[[#This Row],[Period]]&amp;TrendSheetPrdData[[#This Row],[Trend]]</f>
        <v>OTHERSPaid2016-07-01Ancillary Claim Count</v>
      </c>
      <c r="B1538" t="s">
        <v>111</v>
      </c>
      <c r="C1538" t="s">
        <v>111</v>
      </c>
      <c r="D1538" t="s">
        <v>78</v>
      </c>
      <c r="E1538" s="1" t="s">
        <v>99</v>
      </c>
      <c r="F1538" t="s">
        <v>93</v>
      </c>
      <c r="G1538" t="s">
        <v>33</v>
      </c>
      <c r="H1538">
        <v>22</v>
      </c>
      <c r="I1538">
        <v>270</v>
      </c>
    </row>
    <row r="1539" spans="1:9" x14ac:dyDescent="0.25">
      <c r="A1539" s="5" t="str">
        <f>TrendSheetPrdData[[#This Row],[Population]]&amp;TrendSheetPrdData[[#This Row],[Cost Basis]]&amp;TrendSheetPrdData[[#This Row],[Period]]&amp;TrendSheetPrdData[[#This Row],[Trend]]</f>
        <v>OTHERSPaid2016-08-01Ancillary Claim Count</v>
      </c>
      <c r="B1539" t="s">
        <v>111</v>
      </c>
      <c r="C1539" t="s">
        <v>111</v>
      </c>
      <c r="D1539" t="s">
        <v>78</v>
      </c>
      <c r="E1539" s="1" t="s">
        <v>100</v>
      </c>
      <c r="F1539" t="s">
        <v>93</v>
      </c>
      <c r="G1539" t="s">
        <v>33</v>
      </c>
      <c r="H1539">
        <v>22</v>
      </c>
      <c r="I1539">
        <v>222</v>
      </c>
    </row>
    <row r="1540" spans="1:9" x14ac:dyDescent="0.25">
      <c r="A1540" s="5" t="str">
        <f>TrendSheetPrdData[[#This Row],[Population]]&amp;TrendSheetPrdData[[#This Row],[Cost Basis]]&amp;TrendSheetPrdData[[#This Row],[Period]]&amp;TrendSheetPrdData[[#This Row],[Trend]]</f>
        <v>OTHERSPaid2016-09-01Ancillary Claim Count</v>
      </c>
      <c r="B1540" t="s">
        <v>111</v>
      </c>
      <c r="C1540" t="s">
        <v>111</v>
      </c>
      <c r="D1540" t="s">
        <v>78</v>
      </c>
      <c r="E1540" s="1" t="s">
        <v>101</v>
      </c>
      <c r="F1540" t="s">
        <v>93</v>
      </c>
      <c r="G1540" t="s">
        <v>33</v>
      </c>
      <c r="H1540">
        <v>22</v>
      </c>
      <c r="I1540">
        <v>210</v>
      </c>
    </row>
    <row r="1541" spans="1:9" x14ac:dyDescent="0.25">
      <c r="A1541" s="5" t="str">
        <f>TrendSheetPrdData[[#This Row],[Population]]&amp;TrendSheetPrdData[[#This Row],[Cost Basis]]&amp;TrendSheetPrdData[[#This Row],[Period]]&amp;TrendSheetPrdData[[#This Row],[Trend]]</f>
        <v>OTHERSPaid2016-10-01Ancillary Claim Count</v>
      </c>
      <c r="B1541" t="s">
        <v>111</v>
      </c>
      <c r="C1541" t="s">
        <v>111</v>
      </c>
      <c r="D1541" t="s">
        <v>78</v>
      </c>
      <c r="E1541" s="1" t="s">
        <v>102</v>
      </c>
      <c r="F1541" t="s">
        <v>93</v>
      </c>
      <c r="G1541" t="s">
        <v>33</v>
      </c>
      <c r="H1541">
        <v>22</v>
      </c>
      <c r="I1541">
        <v>236</v>
      </c>
    </row>
    <row r="1542" spans="1:9" x14ac:dyDescent="0.25">
      <c r="A1542" s="5" t="str">
        <f>TrendSheetPrdData[[#This Row],[Population]]&amp;TrendSheetPrdData[[#This Row],[Cost Basis]]&amp;TrendSheetPrdData[[#This Row],[Period]]&amp;TrendSheetPrdData[[#This Row],[Trend]]</f>
        <v>OTHERSPaid2016-11-01Ancillary Claim Count</v>
      </c>
      <c r="B1542" t="s">
        <v>111</v>
      </c>
      <c r="C1542" t="s">
        <v>111</v>
      </c>
      <c r="D1542" t="s">
        <v>78</v>
      </c>
      <c r="E1542" s="1" t="s">
        <v>103</v>
      </c>
      <c r="F1542" t="s">
        <v>93</v>
      </c>
      <c r="G1542" t="s">
        <v>33</v>
      </c>
      <c r="H1542">
        <v>22</v>
      </c>
      <c r="I1542">
        <v>206</v>
      </c>
    </row>
    <row r="1543" spans="1:9" x14ac:dyDescent="0.25">
      <c r="A1543" s="5" t="str">
        <f>TrendSheetPrdData[[#This Row],[Population]]&amp;TrendSheetPrdData[[#This Row],[Cost Basis]]&amp;TrendSheetPrdData[[#This Row],[Period]]&amp;TrendSheetPrdData[[#This Row],[Trend]]</f>
        <v>OTHERSPaid2016-12-01Ancillary Claim Count</v>
      </c>
      <c r="B1543" t="s">
        <v>111</v>
      </c>
      <c r="C1543" t="s">
        <v>111</v>
      </c>
      <c r="D1543" t="s">
        <v>78</v>
      </c>
      <c r="E1543" s="1" t="s">
        <v>104</v>
      </c>
      <c r="F1543" t="s">
        <v>93</v>
      </c>
      <c r="G1543" t="s">
        <v>33</v>
      </c>
      <c r="H1543">
        <v>22</v>
      </c>
      <c r="I1543">
        <v>340</v>
      </c>
    </row>
    <row r="1544" spans="1:9" x14ac:dyDescent="0.25">
      <c r="A1544" s="5" t="str">
        <f>TrendSheetPrdData[[#This Row],[Population]]&amp;TrendSheetPrdData[[#This Row],[Cost Basis]]&amp;TrendSheetPrdData[[#This Row],[Period]]&amp;TrendSheetPrdData[[#This Row],[Trend]]</f>
        <v>OTHERSPaid2017-01-01Ancillary Claim Count</v>
      </c>
      <c r="B1544" t="s">
        <v>111</v>
      </c>
      <c r="C1544" t="s">
        <v>111</v>
      </c>
      <c r="D1544" t="s">
        <v>78</v>
      </c>
      <c r="E1544" s="1" t="s">
        <v>105</v>
      </c>
      <c r="F1544" t="s">
        <v>108</v>
      </c>
      <c r="G1544" t="s">
        <v>33</v>
      </c>
      <c r="H1544">
        <v>22</v>
      </c>
      <c r="I1544">
        <v>224</v>
      </c>
    </row>
    <row r="1545" spans="1:9" x14ac:dyDescent="0.25">
      <c r="A1545" s="5" t="str">
        <f>TrendSheetPrdData[[#This Row],[Population]]&amp;TrendSheetPrdData[[#This Row],[Cost Basis]]&amp;TrendSheetPrdData[[#This Row],[Period]]&amp;TrendSheetPrdData[[#This Row],[Trend]]</f>
        <v>OTHERSPaid2017-02-01Ancillary Claim Count</v>
      </c>
      <c r="B1545" t="s">
        <v>111</v>
      </c>
      <c r="C1545" t="s">
        <v>111</v>
      </c>
      <c r="D1545" t="s">
        <v>78</v>
      </c>
      <c r="E1545" s="1" t="s">
        <v>106</v>
      </c>
      <c r="F1545" t="s">
        <v>108</v>
      </c>
      <c r="G1545" t="s">
        <v>33</v>
      </c>
      <c r="H1545">
        <v>22</v>
      </c>
      <c r="I1545">
        <v>188</v>
      </c>
    </row>
    <row r="1546" spans="1:9" x14ac:dyDescent="0.25">
      <c r="A1546" s="5" t="str">
        <f>TrendSheetPrdData[[#This Row],[Population]]&amp;TrendSheetPrdData[[#This Row],[Cost Basis]]&amp;TrendSheetPrdData[[#This Row],[Period]]&amp;TrendSheetPrdData[[#This Row],[Trend]]</f>
        <v>OTHERSPaid2017-03-01Ancillary Claim Count</v>
      </c>
      <c r="B1546" t="s">
        <v>111</v>
      </c>
      <c r="C1546" t="s">
        <v>111</v>
      </c>
      <c r="D1546" t="s">
        <v>78</v>
      </c>
      <c r="E1546" s="1" t="s">
        <v>107</v>
      </c>
      <c r="F1546" t="s">
        <v>108</v>
      </c>
      <c r="G1546" t="s">
        <v>33</v>
      </c>
      <c r="H1546">
        <v>22</v>
      </c>
      <c r="I1546">
        <v>224</v>
      </c>
    </row>
    <row r="1547" spans="1:9" x14ac:dyDescent="0.25">
      <c r="A1547" s="5" t="str">
        <f>TrendSheetPrdData[[#This Row],[Population]]&amp;TrendSheetPrdData[[#This Row],[Cost Basis]]&amp;TrendSheetPrdData[[#This Row],[Period]]&amp;TrendSheetPrdData[[#This Row],[Trend]]</f>
        <v>OTHERSPaid2017-04-01Ancillary Claim Count</v>
      </c>
      <c r="B1547" t="s">
        <v>111</v>
      </c>
      <c r="C1547" t="s">
        <v>111</v>
      </c>
      <c r="D1547" t="s">
        <v>78</v>
      </c>
      <c r="E1547" s="1" t="s">
        <v>109</v>
      </c>
      <c r="F1547" t="s">
        <v>108</v>
      </c>
      <c r="G1547" t="s">
        <v>33</v>
      </c>
      <c r="H1547">
        <v>22</v>
      </c>
      <c r="I1547">
        <v>214</v>
      </c>
    </row>
    <row r="1548" spans="1:9" x14ac:dyDescent="0.25">
      <c r="A1548" s="5" t="str">
        <f>TrendSheetPrdData[[#This Row],[Population]]&amp;TrendSheetPrdData[[#This Row],[Cost Basis]]&amp;TrendSheetPrdData[[#This Row],[Period]]&amp;TrendSheetPrdData[[#This Row],[Trend]]</f>
        <v>OTHERSPaid2017-05-01Ancillary Claim Count</v>
      </c>
      <c r="B1548" t="s">
        <v>111</v>
      </c>
      <c r="C1548" t="s">
        <v>111</v>
      </c>
      <c r="D1548" t="s">
        <v>78</v>
      </c>
      <c r="E1548" s="1" t="s">
        <v>110</v>
      </c>
      <c r="F1548" t="s">
        <v>108</v>
      </c>
      <c r="G1548" t="s">
        <v>33</v>
      </c>
      <c r="H1548">
        <v>22</v>
      </c>
      <c r="I1548">
        <v>86</v>
      </c>
    </row>
    <row r="1549" spans="1:9" x14ac:dyDescent="0.25">
      <c r="A1549" s="5" t="str">
        <f>TrendSheetPrdData[[#This Row],[Population]]&amp;TrendSheetPrdData[[#This Row],[Cost Basis]]&amp;TrendSheetPrdData[[#This Row],[Period]]&amp;TrendSheetPrdData[[#This Row],[Trend]]</f>
        <v>OTHERSPaid2016-01-01Drug Claim Count</v>
      </c>
      <c r="B1549" t="s">
        <v>111</v>
      </c>
      <c r="C1549" t="s">
        <v>111</v>
      </c>
      <c r="D1549" t="s">
        <v>78</v>
      </c>
      <c r="E1549" s="1" t="s">
        <v>92</v>
      </c>
      <c r="F1549" t="s">
        <v>93</v>
      </c>
      <c r="G1549" t="s">
        <v>34</v>
      </c>
      <c r="H1549">
        <v>23</v>
      </c>
      <c r="I1549">
        <v>2588</v>
      </c>
    </row>
    <row r="1550" spans="1:9" x14ac:dyDescent="0.25">
      <c r="A1550" s="5" t="str">
        <f>TrendSheetPrdData[[#This Row],[Population]]&amp;TrendSheetPrdData[[#This Row],[Cost Basis]]&amp;TrendSheetPrdData[[#This Row],[Period]]&amp;TrendSheetPrdData[[#This Row],[Trend]]</f>
        <v>OTHERSPaid2016-02-01Drug Claim Count</v>
      </c>
      <c r="B1550" t="s">
        <v>111</v>
      </c>
      <c r="C1550" t="s">
        <v>111</v>
      </c>
      <c r="D1550" t="s">
        <v>78</v>
      </c>
      <c r="E1550" s="1" t="s">
        <v>94</v>
      </c>
      <c r="F1550" t="s">
        <v>93</v>
      </c>
      <c r="G1550" t="s">
        <v>34</v>
      </c>
      <c r="H1550">
        <v>23</v>
      </c>
      <c r="I1550">
        <v>2623</v>
      </c>
    </row>
    <row r="1551" spans="1:9" x14ac:dyDescent="0.25">
      <c r="A1551" s="5" t="str">
        <f>TrendSheetPrdData[[#This Row],[Population]]&amp;TrendSheetPrdData[[#This Row],[Cost Basis]]&amp;TrendSheetPrdData[[#This Row],[Period]]&amp;TrendSheetPrdData[[#This Row],[Trend]]</f>
        <v>OTHERSPaid2016-03-01Drug Claim Count</v>
      </c>
      <c r="B1551" t="s">
        <v>111</v>
      </c>
      <c r="C1551" t="s">
        <v>111</v>
      </c>
      <c r="D1551" t="s">
        <v>78</v>
      </c>
      <c r="E1551" s="1" t="s">
        <v>95</v>
      </c>
      <c r="F1551" t="s">
        <v>93</v>
      </c>
      <c r="G1551" t="s">
        <v>34</v>
      </c>
      <c r="H1551">
        <v>23</v>
      </c>
      <c r="I1551">
        <v>2783</v>
      </c>
    </row>
    <row r="1552" spans="1:9" x14ac:dyDescent="0.25">
      <c r="A1552" s="5" t="str">
        <f>TrendSheetPrdData[[#This Row],[Population]]&amp;TrendSheetPrdData[[#This Row],[Cost Basis]]&amp;TrendSheetPrdData[[#This Row],[Period]]&amp;TrendSheetPrdData[[#This Row],[Trend]]</f>
        <v>OTHERSPaid2016-04-01Drug Claim Count</v>
      </c>
      <c r="B1552" t="s">
        <v>111</v>
      </c>
      <c r="C1552" t="s">
        <v>111</v>
      </c>
      <c r="D1552" t="s">
        <v>78</v>
      </c>
      <c r="E1552" s="1" t="s">
        <v>96</v>
      </c>
      <c r="F1552" t="s">
        <v>93</v>
      </c>
      <c r="G1552" t="s">
        <v>34</v>
      </c>
      <c r="H1552">
        <v>23</v>
      </c>
      <c r="I1552">
        <v>2531</v>
      </c>
    </row>
    <row r="1553" spans="1:9" x14ac:dyDescent="0.25">
      <c r="A1553" s="5" t="str">
        <f>TrendSheetPrdData[[#This Row],[Population]]&amp;TrendSheetPrdData[[#This Row],[Cost Basis]]&amp;TrendSheetPrdData[[#This Row],[Period]]&amp;TrendSheetPrdData[[#This Row],[Trend]]</f>
        <v>OTHERSPaid2016-05-01Drug Claim Count</v>
      </c>
      <c r="B1553" t="s">
        <v>111</v>
      </c>
      <c r="C1553" t="s">
        <v>111</v>
      </c>
      <c r="D1553" t="s">
        <v>78</v>
      </c>
      <c r="E1553" s="1" t="s">
        <v>97</v>
      </c>
      <c r="F1553" t="s">
        <v>93</v>
      </c>
      <c r="G1553" t="s">
        <v>34</v>
      </c>
      <c r="H1553">
        <v>23</v>
      </c>
      <c r="I1553">
        <v>2628</v>
      </c>
    </row>
    <row r="1554" spans="1:9" x14ac:dyDescent="0.25">
      <c r="A1554" s="5" t="str">
        <f>TrendSheetPrdData[[#This Row],[Population]]&amp;TrendSheetPrdData[[#This Row],[Cost Basis]]&amp;TrendSheetPrdData[[#This Row],[Period]]&amp;TrendSheetPrdData[[#This Row],[Trend]]</f>
        <v>OTHERSPaid2016-06-01Drug Claim Count</v>
      </c>
      <c r="B1554" t="s">
        <v>111</v>
      </c>
      <c r="C1554" t="s">
        <v>111</v>
      </c>
      <c r="D1554" t="s">
        <v>78</v>
      </c>
      <c r="E1554" s="1" t="s">
        <v>98</v>
      </c>
      <c r="F1554" t="s">
        <v>93</v>
      </c>
      <c r="G1554" t="s">
        <v>34</v>
      </c>
      <c r="H1554">
        <v>23</v>
      </c>
      <c r="I1554">
        <v>2573</v>
      </c>
    </row>
    <row r="1555" spans="1:9" x14ac:dyDescent="0.25">
      <c r="A1555" s="5" t="str">
        <f>TrendSheetPrdData[[#This Row],[Population]]&amp;TrendSheetPrdData[[#This Row],[Cost Basis]]&amp;TrendSheetPrdData[[#This Row],[Period]]&amp;TrendSheetPrdData[[#This Row],[Trend]]</f>
        <v>OTHERSPaid2016-07-01Drug Claim Count</v>
      </c>
      <c r="B1555" t="s">
        <v>111</v>
      </c>
      <c r="C1555" t="s">
        <v>111</v>
      </c>
      <c r="D1555" t="s">
        <v>78</v>
      </c>
      <c r="E1555" s="1" t="s">
        <v>99</v>
      </c>
      <c r="F1555" t="s">
        <v>93</v>
      </c>
      <c r="G1555" t="s">
        <v>34</v>
      </c>
      <c r="H1555">
        <v>23</v>
      </c>
      <c r="I1555">
        <v>2302</v>
      </c>
    </row>
    <row r="1556" spans="1:9" x14ac:dyDescent="0.25">
      <c r="A1556" s="5" t="str">
        <f>TrendSheetPrdData[[#This Row],[Population]]&amp;TrendSheetPrdData[[#This Row],[Cost Basis]]&amp;TrendSheetPrdData[[#This Row],[Period]]&amp;TrendSheetPrdData[[#This Row],[Trend]]</f>
        <v>OTHERSPaid2016-08-01Drug Claim Count</v>
      </c>
      <c r="B1556" t="s">
        <v>111</v>
      </c>
      <c r="C1556" t="s">
        <v>111</v>
      </c>
      <c r="D1556" t="s">
        <v>78</v>
      </c>
      <c r="E1556" s="1" t="s">
        <v>100</v>
      </c>
      <c r="F1556" t="s">
        <v>93</v>
      </c>
      <c r="G1556" t="s">
        <v>34</v>
      </c>
      <c r="H1556">
        <v>23</v>
      </c>
      <c r="I1556">
        <v>2724</v>
      </c>
    </row>
    <row r="1557" spans="1:9" x14ac:dyDescent="0.25">
      <c r="A1557" s="5" t="str">
        <f>TrendSheetPrdData[[#This Row],[Population]]&amp;TrendSheetPrdData[[#This Row],[Cost Basis]]&amp;TrendSheetPrdData[[#This Row],[Period]]&amp;TrendSheetPrdData[[#This Row],[Trend]]</f>
        <v>OTHERSPaid2016-09-01Drug Claim Count</v>
      </c>
      <c r="B1557" t="s">
        <v>111</v>
      </c>
      <c r="C1557" t="s">
        <v>111</v>
      </c>
      <c r="D1557" t="s">
        <v>78</v>
      </c>
      <c r="E1557" s="1" t="s">
        <v>101</v>
      </c>
      <c r="F1557" t="s">
        <v>93</v>
      </c>
      <c r="G1557" t="s">
        <v>34</v>
      </c>
      <c r="H1557">
        <v>23</v>
      </c>
      <c r="I1557">
        <v>2692</v>
      </c>
    </row>
    <row r="1558" spans="1:9" x14ac:dyDescent="0.25">
      <c r="A1558" s="5" t="str">
        <f>TrendSheetPrdData[[#This Row],[Population]]&amp;TrendSheetPrdData[[#This Row],[Cost Basis]]&amp;TrendSheetPrdData[[#This Row],[Period]]&amp;TrendSheetPrdData[[#This Row],[Trend]]</f>
        <v>OTHERSPaid2016-10-01Drug Claim Count</v>
      </c>
      <c r="B1558" t="s">
        <v>111</v>
      </c>
      <c r="C1558" t="s">
        <v>111</v>
      </c>
      <c r="D1558" t="s">
        <v>78</v>
      </c>
      <c r="E1558" s="1" t="s">
        <v>102</v>
      </c>
      <c r="F1558" t="s">
        <v>93</v>
      </c>
      <c r="G1558" t="s">
        <v>34</v>
      </c>
      <c r="H1558">
        <v>23</v>
      </c>
      <c r="I1558">
        <v>2662</v>
      </c>
    </row>
    <row r="1559" spans="1:9" x14ac:dyDescent="0.25">
      <c r="A1559" s="5" t="str">
        <f>TrendSheetPrdData[[#This Row],[Population]]&amp;TrendSheetPrdData[[#This Row],[Cost Basis]]&amp;TrendSheetPrdData[[#This Row],[Period]]&amp;TrendSheetPrdData[[#This Row],[Trend]]</f>
        <v>OTHERSPaid2016-11-01Drug Claim Count</v>
      </c>
      <c r="B1559" t="s">
        <v>111</v>
      </c>
      <c r="C1559" t="s">
        <v>111</v>
      </c>
      <c r="D1559" t="s">
        <v>78</v>
      </c>
      <c r="E1559" s="1" t="s">
        <v>103</v>
      </c>
      <c r="F1559" t="s">
        <v>93</v>
      </c>
      <c r="G1559" t="s">
        <v>34</v>
      </c>
      <c r="H1559">
        <v>23</v>
      </c>
      <c r="I1559">
        <v>2810</v>
      </c>
    </row>
    <row r="1560" spans="1:9" x14ac:dyDescent="0.25">
      <c r="A1560" s="5" t="str">
        <f>TrendSheetPrdData[[#This Row],[Population]]&amp;TrendSheetPrdData[[#This Row],[Cost Basis]]&amp;TrendSheetPrdData[[#This Row],[Period]]&amp;TrendSheetPrdData[[#This Row],[Trend]]</f>
        <v>OTHERSPaid2016-12-01Drug Claim Count</v>
      </c>
      <c r="B1560" t="s">
        <v>111</v>
      </c>
      <c r="C1560" t="s">
        <v>111</v>
      </c>
      <c r="D1560" t="s">
        <v>78</v>
      </c>
      <c r="E1560" s="1" t="s">
        <v>104</v>
      </c>
      <c r="F1560" t="s">
        <v>93</v>
      </c>
      <c r="G1560" t="s">
        <v>34</v>
      </c>
      <c r="H1560">
        <v>23</v>
      </c>
      <c r="I1560">
        <v>2807</v>
      </c>
    </row>
    <row r="1561" spans="1:9" x14ac:dyDescent="0.25">
      <c r="A1561" s="5" t="str">
        <f>TrendSheetPrdData[[#This Row],[Population]]&amp;TrendSheetPrdData[[#This Row],[Cost Basis]]&amp;TrendSheetPrdData[[#This Row],[Period]]&amp;TrendSheetPrdData[[#This Row],[Trend]]</f>
        <v>OTHERSPaid2017-01-01Drug Claim Count</v>
      </c>
      <c r="B1561" t="s">
        <v>111</v>
      </c>
      <c r="C1561" t="s">
        <v>111</v>
      </c>
      <c r="D1561" t="s">
        <v>78</v>
      </c>
      <c r="E1561" s="1" t="s">
        <v>105</v>
      </c>
      <c r="F1561" t="s">
        <v>108</v>
      </c>
      <c r="G1561" t="s">
        <v>34</v>
      </c>
      <c r="H1561">
        <v>23</v>
      </c>
      <c r="I1561">
        <v>3049</v>
      </c>
    </row>
    <row r="1562" spans="1:9" x14ac:dyDescent="0.25">
      <c r="A1562" s="5" t="str">
        <f>TrendSheetPrdData[[#This Row],[Population]]&amp;TrendSheetPrdData[[#This Row],[Cost Basis]]&amp;TrendSheetPrdData[[#This Row],[Period]]&amp;TrendSheetPrdData[[#This Row],[Trend]]</f>
        <v>OTHERSPaid2017-02-01Drug Claim Count</v>
      </c>
      <c r="B1562" t="s">
        <v>111</v>
      </c>
      <c r="C1562" t="s">
        <v>111</v>
      </c>
      <c r="D1562" t="s">
        <v>78</v>
      </c>
      <c r="E1562" s="1" t="s">
        <v>106</v>
      </c>
      <c r="F1562" t="s">
        <v>108</v>
      </c>
      <c r="G1562" t="s">
        <v>34</v>
      </c>
      <c r="H1562">
        <v>23</v>
      </c>
      <c r="I1562">
        <v>2793</v>
      </c>
    </row>
    <row r="1563" spans="1:9" x14ac:dyDescent="0.25">
      <c r="A1563" s="5" t="str">
        <f>TrendSheetPrdData[[#This Row],[Population]]&amp;TrendSheetPrdData[[#This Row],[Cost Basis]]&amp;TrendSheetPrdData[[#This Row],[Period]]&amp;TrendSheetPrdData[[#This Row],[Trend]]</f>
        <v>OTHERSPaid2017-03-01Drug Claim Count</v>
      </c>
      <c r="B1563" t="s">
        <v>111</v>
      </c>
      <c r="C1563" t="s">
        <v>111</v>
      </c>
      <c r="D1563" t="s">
        <v>78</v>
      </c>
      <c r="E1563" s="1" t="s">
        <v>107</v>
      </c>
      <c r="F1563" t="s">
        <v>108</v>
      </c>
      <c r="G1563" t="s">
        <v>34</v>
      </c>
      <c r="H1563">
        <v>23</v>
      </c>
      <c r="I1563">
        <v>2891</v>
      </c>
    </row>
    <row r="1564" spans="1:9" x14ac:dyDescent="0.25">
      <c r="A1564" s="5" t="str">
        <f>TrendSheetPrdData[[#This Row],[Population]]&amp;TrendSheetPrdData[[#This Row],[Cost Basis]]&amp;TrendSheetPrdData[[#This Row],[Period]]&amp;TrendSheetPrdData[[#This Row],[Trend]]</f>
        <v>OTHERSPaid2017-04-01Drug Claim Count</v>
      </c>
      <c r="B1564" t="s">
        <v>111</v>
      </c>
      <c r="C1564" t="s">
        <v>111</v>
      </c>
      <c r="D1564" t="s">
        <v>78</v>
      </c>
      <c r="E1564" s="1" t="s">
        <v>109</v>
      </c>
      <c r="F1564" t="s">
        <v>108</v>
      </c>
      <c r="G1564" t="s">
        <v>34</v>
      </c>
      <c r="H1564">
        <v>23</v>
      </c>
      <c r="I1564">
        <v>2672</v>
      </c>
    </row>
    <row r="1565" spans="1:9" x14ac:dyDescent="0.25">
      <c r="A1565" s="5" t="str">
        <f>TrendSheetPrdData[[#This Row],[Population]]&amp;TrendSheetPrdData[[#This Row],[Cost Basis]]&amp;TrendSheetPrdData[[#This Row],[Period]]&amp;TrendSheetPrdData[[#This Row],[Trend]]</f>
        <v>OTHERSPaid2017-05-01Drug Claim Count</v>
      </c>
      <c r="B1565" t="s">
        <v>111</v>
      </c>
      <c r="C1565" t="s">
        <v>111</v>
      </c>
      <c r="D1565" t="s">
        <v>78</v>
      </c>
      <c r="E1565" s="1" t="s">
        <v>110</v>
      </c>
      <c r="F1565" t="s">
        <v>108</v>
      </c>
      <c r="G1565" t="s">
        <v>34</v>
      </c>
      <c r="H1565">
        <v>23</v>
      </c>
      <c r="I1565">
        <v>2389</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1"/>
  <sheetViews>
    <sheetView workbookViewId="0">
      <selection activeCell="H2" sqref="H2"/>
    </sheetView>
  </sheetViews>
  <sheetFormatPr defaultColWidth="9" defaultRowHeight="15" x14ac:dyDescent="0.25"/>
  <cols>
    <col min="1" max="1" width="28.7109375" bestFit="1" customWidth="1"/>
    <col min="2" max="2" width="28.7109375" customWidth="1"/>
    <col min="3" max="3" width="11.85546875" customWidth="1"/>
    <col min="4" max="4" width="9" customWidth="1"/>
    <col min="5" max="5" width="24.28515625" bestFit="1" customWidth="1"/>
    <col min="6" max="6" width="20.5703125" bestFit="1" customWidth="1"/>
    <col min="7" max="7" width="27.5703125" bestFit="1" customWidth="1"/>
    <col min="8" max="8" width="24" bestFit="1" customWidth="1"/>
  </cols>
  <sheetData>
    <row r="1" spans="1:8" x14ac:dyDescent="0.25">
      <c r="A1" t="s">
        <v>0</v>
      </c>
      <c r="B1" t="s">
        <v>85</v>
      </c>
      <c r="C1" t="s">
        <v>1</v>
      </c>
      <c r="D1" t="s">
        <v>2</v>
      </c>
      <c r="E1" t="s">
        <v>8</v>
      </c>
      <c r="F1" t="s">
        <v>9</v>
      </c>
      <c r="G1" t="s">
        <v>10</v>
      </c>
      <c r="H1" t="s">
        <v>11</v>
      </c>
    </row>
    <row r="2" spans="1:8" x14ac:dyDescent="0.25">
      <c r="A2" t="s">
        <v>90</v>
      </c>
      <c r="B2" t="s">
        <v>90</v>
      </c>
      <c r="C2" t="s">
        <v>91</v>
      </c>
      <c r="D2" s="1" t="s">
        <v>105</v>
      </c>
      <c r="E2">
        <v>1739245.25</v>
      </c>
      <c r="F2">
        <v>1698558.25</v>
      </c>
      <c r="G2">
        <f>VLOOKUP(StgIBNRTrendData[[#This Row],[Population]]&amp;StgIBNRTrendData[[#This Row],[Cost Basis]]&amp;StgIBNRTrendData[[#This Row],[Period]],PrdIBNRTrendData[],6,FALSE)</f>
        <v>1739245.25</v>
      </c>
      <c r="H2">
        <f>VLOOKUP(StgIBNRTrendData[[#This Row],[Population]]&amp;StgIBNRTrendData[[#This Row],[Cost Basis]]&amp;StgIBNRTrendData[[#This Row],[Period]],PrdIBNRTrendData[],7,FALSE)</f>
        <v>1698558.25</v>
      </c>
    </row>
    <row r="3" spans="1:8" x14ac:dyDescent="0.25">
      <c r="A3" t="s">
        <v>90</v>
      </c>
      <c r="B3" t="s">
        <v>90</v>
      </c>
      <c r="C3" t="s">
        <v>91</v>
      </c>
      <c r="D3" s="1" t="s">
        <v>106</v>
      </c>
      <c r="E3">
        <v>3298714.58</v>
      </c>
      <c r="F3">
        <v>3196457.07</v>
      </c>
      <c r="G3" s="5">
        <f>VLOOKUP(StgIBNRTrendData[[#This Row],[Population]]&amp;StgIBNRTrendData[[#This Row],[Cost Basis]]&amp;StgIBNRTrendData[[#This Row],[Period]],PrdIBNRTrendData[],6,FALSE)</f>
        <v>3298714.58</v>
      </c>
      <c r="H3" s="5">
        <f>VLOOKUP(StgIBNRTrendData[[#This Row],[Population]]&amp;StgIBNRTrendData[[#This Row],[Cost Basis]]&amp;StgIBNRTrendData[[#This Row],[Period]],PrdIBNRTrendData[],7,FALSE)</f>
        <v>3196457.07</v>
      </c>
    </row>
    <row r="4" spans="1:8" x14ac:dyDescent="0.25">
      <c r="A4" t="s">
        <v>90</v>
      </c>
      <c r="B4" t="s">
        <v>90</v>
      </c>
      <c r="C4" t="s">
        <v>91</v>
      </c>
      <c r="D4" s="1" t="s">
        <v>107</v>
      </c>
      <c r="E4">
        <v>5061417.7300000004</v>
      </c>
      <c r="F4">
        <v>4806144.82</v>
      </c>
      <c r="G4" s="5">
        <f>VLOOKUP(StgIBNRTrendData[[#This Row],[Population]]&amp;StgIBNRTrendData[[#This Row],[Cost Basis]]&amp;StgIBNRTrendData[[#This Row],[Period]],PrdIBNRTrendData[],6,FALSE)</f>
        <v>5061417.7300000004</v>
      </c>
      <c r="H4" s="5">
        <f>VLOOKUP(StgIBNRTrendData[[#This Row],[Population]]&amp;StgIBNRTrendData[[#This Row],[Cost Basis]]&amp;StgIBNRTrendData[[#This Row],[Period]],PrdIBNRTrendData[],7,FALSE)</f>
        <v>4806144.82</v>
      </c>
    </row>
    <row r="5" spans="1:8" x14ac:dyDescent="0.25">
      <c r="A5" t="s">
        <v>90</v>
      </c>
      <c r="B5" t="s">
        <v>90</v>
      </c>
      <c r="C5" t="s">
        <v>91</v>
      </c>
      <c r="D5" s="1" t="s">
        <v>109</v>
      </c>
      <c r="E5">
        <v>6772211.6200000001</v>
      </c>
      <c r="F5">
        <v>6345319.9500000002</v>
      </c>
      <c r="G5" s="5">
        <f>VLOOKUP(StgIBNRTrendData[[#This Row],[Population]]&amp;StgIBNRTrendData[[#This Row],[Cost Basis]]&amp;StgIBNRTrendData[[#This Row],[Period]],PrdIBNRTrendData[],6,FALSE)</f>
        <v>6772211.6200000001</v>
      </c>
      <c r="H5" s="5">
        <f>VLOOKUP(StgIBNRTrendData[[#This Row],[Population]]&amp;StgIBNRTrendData[[#This Row],[Cost Basis]]&amp;StgIBNRTrendData[[#This Row],[Period]],PrdIBNRTrendData[],7,FALSE)</f>
        <v>6345319.9500000002</v>
      </c>
    </row>
    <row r="6" spans="1:8" x14ac:dyDescent="0.25">
      <c r="A6" t="s">
        <v>90</v>
      </c>
      <c r="B6" t="s">
        <v>90</v>
      </c>
      <c r="C6" t="s">
        <v>91</v>
      </c>
      <c r="D6" s="1" t="s">
        <v>110</v>
      </c>
      <c r="E6">
        <v>8703601.2699999996</v>
      </c>
      <c r="F6">
        <v>7279541.6600000001</v>
      </c>
      <c r="G6" s="5">
        <f>VLOOKUP(StgIBNRTrendData[[#This Row],[Population]]&amp;StgIBNRTrendData[[#This Row],[Cost Basis]]&amp;StgIBNRTrendData[[#This Row],[Period]],PrdIBNRTrendData[],6,FALSE)</f>
        <v>8703601.2699999996</v>
      </c>
      <c r="H6" s="5">
        <f>VLOOKUP(StgIBNRTrendData[[#This Row],[Population]]&amp;StgIBNRTrendData[[#This Row],[Cost Basis]]&amp;StgIBNRTrendData[[#This Row],[Period]],PrdIBNRTrendData[],7,FALSE)</f>
        <v>7279541.6600000001</v>
      </c>
    </row>
    <row r="7" spans="1:8" x14ac:dyDescent="0.25">
      <c r="A7" t="s">
        <v>90</v>
      </c>
      <c r="B7" t="s">
        <v>90</v>
      </c>
      <c r="C7" t="s">
        <v>78</v>
      </c>
      <c r="D7" s="1" t="s">
        <v>105</v>
      </c>
      <c r="E7">
        <v>1451067.26</v>
      </c>
      <c r="F7">
        <v>1418734.65</v>
      </c>
      <c r="G7" s="5">
        <f>VLOOKUP(StgIBNRTrendData[[#This Row],[Population]]&amp;StgIBNRTrendData[[#This Row],[Cost Basis]]&amp;StgIBNRTrendData[[#This Row],[Period]],PrdIBNRTrendData[],6,FALSE)</f>
        <v>1451067.26</v>
      </c>
      <c r="H7" s="5">
        <f>VLOOKUP(StgIBNRTrendData[[#This Row],[Population]]&amp;StgIBNRTrendData[[#This Row],[Cost Basis]]&amp;StgIBNRTrendData[[#This Row],[Period]],PrdIBNRTrendData[],7,FALSE)</f>
        <v>1418734.65</v>
      </c>
    </row>
    <row r="8" spans="1:8" x14ac:dyDescent="0.25">
      <c r="A8" t="s">
        <v>90</v>
      </c>
      <c r="B8" t="s">
        <v>90</v>
      </c>
      <c r="C8" t="s">
        <v>78</v>
      </c>
      <c r="D8" s="1" t="s">
        <v>106</v>
      </c>
      <c r="E8">
        <v>2774358.55</v>
      </c>
      <c r="F8">
        <v>2691666.36</v>
      </c>
      <c r="G8" s="5">
        <f>VLOOKUP(StgIBNRTrendData[[#This Row],[Population]]&amp;StgIBNRTrendData[[#This Row],[Cost Basis]]&amp;StgIBNRTrendData[[#This Row],[Period]],PrdIBNRTrendData[],6,FALSE)</f>
        <v>2774358.55</v>
      </c>
      <c r="H8" s="5">
        <f>VLOOKUP(StgIBNRTrendData[[#This Row],[Population]]&amp;StgIBNRTrendData[[#This Row],[Cost Basis]]&amp;StgIBNRTrendData[[#This Row],[Period]],PrdIBNRTrendData[],7,FALSE)</f>
        <v>2691666.36</v>
      </c>
    </row>
    <row r="9" spans="1:8" x14ac:dyDescent="0.25">
      <c r="A9" t="s">
        <v>90</v>
      </c>
      <c r="B9" t="s">
        <v>90</v>
      </c>
      <c r="C9" t="s">
        <v>78</v>
      </c>
      <c r="D9" s="1" t="s">
        <v>107</v>
      </c>
      <c r="E9">
        <v>4296274.7300000004</v>
      </c>
      <c r="F9">
        <v>4068732.14</v>
      </c>
      <c r="G9" s="5">
        <f>VLOOKUP(StgIBNRTrendData[[#This Row],[Population]]&amp;StgIBNRTrendData[[#This Row],[Cost Basis]]&amp;StgIBNRTrendData[[#This Row],[Period]],PrdIBNRTrendData[],6,FALSE)</f>
        <v>4296274.7300000004</v>
      </c>
      <c r="H9" s="5">
        <f>VLOOKUP(StgIBNRTrendData[[#This Row],[Population]]&amp;StgIBNRTrendData[[#This Row],[Cost Basis]]&amp;StgIBNRTrendData[[#This Row],[Period]],PrdIBNRTrendData[],7,FALSE)</f>
        <v>4068732.14</v>
      </c>
    </row>
    <row r="10" spans="1:8" x14ac:dyDescent="0.25">
      <c r="A10" t="s">
        <v>90</v>
      </c>
      <c r="B10" t="s">
        <v>90</v>
      </c>
      <c r="C10" t="s">
        <v>78</v>
      </c>
      <c r="D10" s="1" t="s">
        <v>109</v>
      </c>
      <c r="E10">
        <v>5778468</v>
      </c>
      <c r="F10">
        <v>5409045.4900000002</v>
      </c>
      <c r="G10" s="5">
        <f>VLOOKUP(StgIBNRTrendData[[#This Row],[Population]]&amp;StgIBNRTrendData[[#This Row],[Cost Basis]]&amp;StgIBNRTrendData[[#This Row],[Period]],PrdIBNRTrendData[],6,FALSE)</f>
        <v>5778468</v>
      </c>
      <c r="H10" s="5">
        <f>VLOOKUP(StgIBNRTrendData[[#This Row],[Population]]&amp;StgIBNRTrendData[[#This Row],[Cost Basis]]&amp;StgIBNRTrendData[[#This Row],[Period]],PrdIBNRTrendData[],7,FALSE)</f>
        <v>5409045.4900000002</v>
      </c>
    </row>
    <row r="11" spans="1:8" x14ac:dyDescent="0.25">
      <c r="A11" t="s">
        <v>90</v>
      </c>
      <c r="B11" t="s">
        <v>90</v>
      </c>
      <c r="C11" t="s">
        <v>78</v>
      </c>
      <c r="D11" s="1" t="s">
        <v>110</v>
      </c>
      <c r="E11">
        <v>7449821.4800000004</v>
      </c>
      <c r="F11">
        <v>6203525.9900000002</v>
      </c>
      <c r="G11" s="5">
        <f>VLOOKUP(StgIBNRTrendData[[#This Row],[Population]]&amp;StgIBNRTrendData[[#This Row],[Cost Basis]]&amp;StgIBNRTrendData[[#This Row],[Period]],PrdIBNRTrendData[],6,FALSE)</f>
        <v>7449821.4800000004</v>
      </c>
      <c r="H11" s="5">
        <f>VLOOKUP(StgIBNRTrendData[[#This Row],[Population]]&amp;StgIBNRTrendData[[#This Row],[Cost Basis]]&amp;StgIBNRTrendData[[#This Row],[Period]],PrdIBNRTrendData[],7,FALSE)</f>
        <v>6203525.9900000002</v>
      </c>
    </row>
    <row r="12" spans="1:8" x14ac:dyDescent="0.25">
      <c r="A12" t="s">
        <v>111</v>
      </c>
      <c r="B12" t="s">
        <v>111</v>
      </c>
      <c r="C12" t="s">
        <v>91</v>
      </c>
      <c r="D12" s="1" t="s">
        <v>105</v>
      </c>
      <c r="E12">
        <v>1586574.23</v>
      </c>
      <c r="F12">
        <v>1488288.24</v>
      </c>
      <c r="G12" s="5">
        <f>VLOOKUP(StgIBNRTrendData[[#This Row],[Population]]&amp;StgIBNRTrendData[[#This Row],[Cost Basis]]&amp;StgIBNRTrendData[[#This Row],[Period]],PrdIBNRTrendData[],6,FALSE)</f>
        <v>1586574.23</v>
      </c>
      <c r="H12" s="5">
        <f>VLOOKUP(StgIBNRTrendData[[#This Row],[Population]]&amp;StgIBNRTrendData[[#This Row],[Cost Basis]]&amp;StgIBNRTrendData[[#This Row],[Period]],PrdIBNRTrendData[],7,FALSE)</f>
        <v>1488288.24</v>
      </c>
    </row>
    <row r="13" spans="1:8" x14ac:dyDescent="0.25">
      <c r="A13" t="s">
        <v>111</v>
      </c>
      <c r="B13" t="s">
        <v>111</v>
      </c>
      <c r="C13" t="s">
        <v>91</v>
      </c>
      <c r="D13" s="1" t="s">
        <v>106</v>
      </c>
      <c r="E13">
        <v>3104180.96</v>
      </c>
      <c r="F13">
        <v>2880368.97</v>
      </c>
      <c r="G13" s="5">
        <f>VLOOKUP(StgIBNRTrendData[[#This Row],[Population]]&amp;StgIBNRTrendData[[#This Row],[Cost Basis]]&amp;StgIBNRTrendData[[#This Row],[Period]],PrdIBNRTrendData[],6,FALSE)</f>
        <v>3104180.96</v>
      </c>
      <c r="H13" s="5">
        <f>VLOOKUP(StgIBNRTrendData[[#This Row],[Population]]&amp;StgIBNRTrendData[[#This Row],[Cost Basis]]&amp;StgIBNRTrendData[[#This Row],[Period]],PrdIBNRTrendData[],7,FALSE)</f>
        <v>2880368.97</v>
      </c>
    </row>
    <row r="14" spans="1:8" x14ac:dyDescent="0.25">
      <c r="A14" t="s">
        <v>111</v>
      </c>
      <c r="B14" t="s">
        <v>111</v>
      </c>
      <c r="C14" t="s">
        <v>91</v>
      </c>
      <c r="D14" s="1" t="s">
        <v>107</v>
      </c>
      <c r="E14">
        <v>4695744.8899999997</v>
      </c>
      <c r="F14">
        <v>4201117.49</v>
      </c>
      <c r="G14" s="5">
        <f>VLOOKUP(StgIBNRTrendData[[#This Row],[Population]]&amp;StgIBNRTrendData[[#This Row],[Cost Basis]]&amp;StgIBNRTrendData[[#This Row],[Period]],PrdIBNRTrendData[],6,FALSE)</f>
        <v>4695744.8899999997</v>
      </c>
      <c r="H14" s="5">
        <f>VLOOKUP(StgIBNRTrendData[[#This Row],[Population]]&amp;StgIBNRTrendData[[#This Row],[Cost Basis]]&amp;StgIBNRTrendData[[#This Row],[Period]],PrdIBNRTrendData[],7,FALSE)</f>
        <v>4201117.49</v>
      </c>
    </row>
    <row r="15" spans="1:8" x14ac:dyDescent="0.25">
      <c r="A15" t="s">
        <v>111</v>
      </c>
      <c r="B15" t="s">
        <v>111</v>
      </c>
      <c r="C15" t="s">
        <v>91</v>
      </c>
      <c r="D15" s="1" t="s">
        <v>109</v>
      </c>
      <c r="E15">
        <v>6182540.6200000001</v>
      </c>
      <c r="F15">
        <v>5303603.6399999997</v>
      </c>
      <c r="G15" s="5">
        <f>VLOOKUP(StgIBNRTrendData[[#This Row],[Population]]&amp;StgIBNRTrendData[[#This Row],[Cost Basis]]&amp;StgIBNRTrendData[[#This Row],[Period]],PrdIBNRTrendData[],6,FALSE)</f>
        <v>6182540.6200000001</v>
      </c>
      <c r="H15" s="5">
        <f>VLOOKUP(StgIBNRTrendData[[#This Row],[Population]]&amp;StgIBNRTrendData[[#This Row],[Cost Basis]]&amp;StgIBNRTrendData[[#This Row],[Period]],PrdIBNRTrendData[],7,FALSE)</f>
        <v>5303603.6399999997</v>
      </c>
    </row>
    <row r="16" spans="1:8" x14ac:dyDescent="0.25">
      <c r="A16" t="s">
        <v>111</v>
      </c>
      <c r="B16" t="s">
        <v>111</v>
      </c>
      <c r="C16" t="s">
        <v>91</v>
      </c>
      <c r="D16" s="1" t="s">
        <v>110</v>
      </c>
      <c r="E16">
        <v>7688635.1600000001</v>
      </c>
      <c r="F16">
        <v>5895497.0700000003</v>
      </c>
      <c r="G16" s="5">
        <f>VLOOKUP(StgIBNRTrendData[[#This Row],[Population]]&amp;StgIBNRTrendData[[#This Row],[Cost Basis]]&amp;StgIBNRTrendData[[#This Row],[Period]],PrdIBNRTrendData[],6,FALSE)</f>
        <v>7688635.1600000001</v>
      </c>
      <c r="H16" s="5">
        <f>VLOOKUP(StgIBNRTrendData[[#This Row],[Population]]&amp;StgIBNRTrendData[[#This Row],[Cost Basis]]&amp;StgIBNRTrendData[[#This Row],[Period]],PrdIBNRTrendData[],7,FALSE)</f>
        <v>5895497.0700000003</v>
      </c>
    </row>
    <row r="17" spans="1:8" x14ac:dyDescent="0.25">
      <c r="A17" t="s">
        <v>111</v>
      </c>
      <c r="B17" t="s">
        <v>111</v>
      </c>
      <c r="C17" t="s">
        <v>78</v>
      </c>
      <c r="D17" s="1" t="s">
        <v>105</v>
      </c>
      <c r="E17">
        <v>1217520.42</v>
      </c>
      <c r="F17">
        <v>1141869.0900000001</v>
      </c>
      <c r="G17" s="5">
        <f>VLOOKUP(StgIBNRTrendData[[#This Row],[Population]]&amp;StgIBNRTrendData[[#This Row],[Cost Basis]]&amp;StgIBNRTrendData[[#This Row],[Period]],PrdIBNRTrendData[],6,FALSE)</f>
        <v>1217520.42</v>
      </c>
      <c r="H17" s="5">
        <f>VLOOKUP(StgIBNRTrendData[[#This Row],[Population]]&amp;StgIBNRTrendData[[#This Row],[Cost Basis]]&amp;StgIBNRTrendData[[#This Row],[Period]],PrdIBNRTrendData[],7,FALSE)</f>
        <v>1141869.0900000001</v>
      </c>
    </row>
    <row r="18" spans="1:8" x14ac:dyDescent="0.25">
      <c r="A18" t="s">
        <v>111</v>
      </c>
      <c r="B18" t="s">
        <v>111</v>
      </c>
      <c r="C18" t="s">
        <v>78</v>
      </c>
      <c r="D18" s="1" t="s">
        <v>106</v>
      </c>
      <c r="E18">
        <v>2388208.7999999998</v>
      </c>
      <c r="F18">
        <v>2215656.96</v>
      </c>
      <c r="G18" s="5">
        <f>VLOOKUP(StgIBNRTrendData[[#This Row],[Population]]&amp;StgIBNRTrendData[[#This Row],[Cost Basis]]&amp;StgIBNRTrendData[[#This Row],[Period]],PrdIBNRTrendData[],6,FALSE)</f>
        <v>2388208.7999999998</v>
      </c>
      <c r="H18" s="5">
        <f>VLOOKUP(StgIBNRTrendData[[#This Row],[Population]]&amp;StgIBNRTrendData[[#This Row],[Cost Basis]]&amp;StgIBNRTrendData[[#This Row],[Period]],PrdIBNRTrendData[],7,FALSE)</f>
        <v>2215656.96</v>
      </c>
    </row>
    <row r="19" spans="1:8" x14ac:dyDescent="0.25">
      <c r="A19" t="s">
        <v>111</v>
      </c>
      <c r="B19" t="s">
        <v>111</v>
      </c>
      <c r="C19" t="s">
        <v>78</v>
      </c>
      <c r="D19" s="1" t="s">
        <v>107</v>
      </c>
      <c r="E19">
        <v>3563420.1</v>
      </c>
      <c r="F19">
        <v>3181764.53</v>
      </c>
      <c r="G19" s="5">
        <f>VLOOKUP(StgIBNRTrendData[[#This Row],[Population]]&amp;StgIBNRTrendData[[#This Row],[Cost Basis]]&amp;StgIBNRTrendData[[#This Row],[Period]],PrdIBNRTrendData[],6,FALSE)</f>
        <v>3563420.1</v>
      </c>
      <c r="H19" s="5">
        <f>VLOOKUP(StgIBNRTrendData[[#This Row],[Population]]&amp;StgIBNRTrendData[[#This Row],[Cost Basis]]&amp;StgIBNRTrendData[[#This Row],[Period]],PrdIBNRTrendData[],7,FALSE)</f>
        <v>3181764.53</v>
      </c>
    </row>
    <row r="20" spans="1:8" x14ac:dyDescent="0.25">
      <c r="A20" t="s">
        <v>111</v>
      </c>
      <c r="B20" t="s">
        <v>111</v>
      </c>
      <c r="C20" t="s">
        <v>78</v>
      </c>
      <c r="D20" s="1" t="s">
        <v>109</v>
      </c>
      <c r="E20">
        <v>4724532.6500000004</v>
      </c>
      <c r="F20">
        <v>4037061.04</v>
      </c>
      <c r="G20" s="5">
        <f>VLOOKUP(StgIBNRTrendData[[#This Row],[Population]]&amp;StgIBNRTrendData[[#This Row],[Cost Basis]]&amp;StgIBNRTrendData[[#This Row],[Period]],PrdIBNRTrendData[],6,FALSE)</f>
        <v>4724532.6500000004</v>
      </c>
      <c r="H20" s="5">
        <f>VLOOKUP(StgIBNRTrendData[[#This Row],[Population]]&amp;StgIBNRTrendData[[#This Row],[Cost Basis]]&amp;StgIBNRTrendData[[#This Row],[Period]],PrdIBNRTrendData[],7,FALSE)</f>
        <v>4037061.04</v>
      </c>
    </row>
    <row r="21" spans="1:8" x14ac:dyDescent="0.25">
      <c r="A21" t="s">
        <v>111</v>
      </c>
      <c r="B21" t="s">
        <v>111</v>
      </c>
      <c r="C21" t="s">
        <v>78</v>
      </c>
      <c r="D21" s="1" t="s">
        <v>110</v>
      </c>
      <c r="E21">
        <v>5957652</v>
      </c>
      <c r="F21">
        <v>4515195.84</v>
      </c>
      <c r="G21" s="5">
        <f>VLOOKUP(StgIBNRTrendData[[#This Row],[Population]]&amp;StgIBNRTrendData[[#This Row],[Cost Basis]]&amp;StgIBNRTrendData[[#This Row],[Period]],PrdIBNRTrendData[],6,FALSE)</f>
        <v>5957652</v>
      </c>
      <c r="H21" s="5">
        <f>VLOOKUP(StgIBNRTrendData[[#This Row],[Population]]&amp;StgIBNRTrendData[[#This Row],[Cost Basis]]&amp;StgIBNRTrendData[[#This Row],[Period]],PrdIBNRTrendData[],7,FALSE)</f>
        <v>4515195.84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1"/>
  <sheetViews>
    <sheetView workbookViewId="0"/>
  </sheetViews>
  <sheetFormatPr defaultColWidth="9.28515625" defaultRowHeight="15" x14ac:dyDescent="0.25"/>
  <cols>
    <col min="1" max="1" width="41.5703125" bestFit="1" customWidth="1"/>
    <col min="2" max="2" width="28.7109375" bestFit="1" customWidth="1"/>
    <col min="3" max="3" width="28.7109375" customWidth="1"/>
    <col min="4" max="4" width="11.85546875" customWidth="1"/>
    <col min="5" max="5" width="9" customWidth="1"/>
    <col min="6" max="6" width="16.85546875" customWidth="1"/>
    <col min="7" max="7" width="13.28515625" customWidth="1"/>
  </cols>
  <sheetData>
    <row r="1" spans="1:7" x14ac:dyDescent="0.25">
      <c r="A1" t="s">
        <v>38</v>
      </c>
      <c r="B1" t="s">
        <v>0</v>
      </c>
      <c r="C1" t="s">
        <v>85</v>
      </c>
      <c r="D1" t="s">
        <v>1</v>
      </c>
      <c r="E1" t="s">
        <v>2</v>
      </c>
      <c r="F1" t="s">
        <v>36</v>
      </c>
      <c r="G1" t="s">
        <v>37</v>
      </c>
    </row>
    <row r="2" spans="1:7" x14ac:dyDescent="0.25">
      <c r="A2" t="str">
        <f>PrdIBNRTrendData[[#This Row],[Population]]&amp;PrdIBNRTrendData[[#This Row],[Cost Basis]]&amp;PrdIBNRTrendData[[#This Row],[Period]]</f>
        <v>EMPLOYEESAllowed2017-01-01</v>
      </c>
      <c r="B2" t="s">
        <v>90</v>
      </c>
      <c r="C2" t="s">
        <v>90</v>
      </c>
      <c r="D2" t="s">
        <v>91</v>
      </c>
      <c r="E2" s="1" t="s">
        <v>105</v>
      </c>
      <c r="F2">
        <v>1739245.25</v>
      </c>
      <c r="G2">
        <v>1698558.25</v>
      </c>
    </row>
    <row r="3" spans="1:7" x14ac:dyDescent="0.25">
      <c r="A3" s="5" t="str">
        <f>PrdIBNRTrendData[[#This Row],[Population]]&amp;PrdIBNRTrendData[[#This Row],[Cost Basis]]&amp;PrdIBNRTrendData[[#This Row],[Period]]</f>
        <v>EMPLOYEESAllowed2017-02-01</v>
      </c>
      <c r="B3" t="s">
        <v>90</v>
      </c>
      <c r="C3" t="s">
        <v>90</v>
      </c>
      <c r="D3" t="s">
        <v>91</v>
      </c>
      <c r="E3" s="1" t="s">
        <v>106</v>
      </c>
      <c r="F3">
        <v>3298714.58</v>
      </c>
      <c r="G3">
        <v>3196457.07</v>
      </c>
    </row>
    <row r="4" spans="1:7" x14ac:dyDescent="0.25">
      <c r="A4" s="5" t="str">
        <f>PrdIBNRTrendData[[#This Row],[Population]]&amp;PrdIBNRTrendData[[#This Row],[Cost Basis]]&amp;PrdIBNRTrendData[[#This Row],[Period]]</f>
        <v>EMPLOYEESAllowed2017-03-01</v>
      </c>
      <c r="B4" t="s">
        <v>90</v>
      </c>
      <c r="C4" t="s">
        <v>90</v>
      </c>
      <c r="D4" t="s">
        <v>91</v>
      </c>
      <c r="E4" s="1" t="s">
        <v>107</v>
      </c>
      <c r="F4">
        <v>5061417.7300000004</v>
      </c>
      <c r="G4">
        <v>4806144.82</v>
      </c>
    </row>
    <row r="5" spans="1:7" x14ac:dyDescent="0.25">
      <c r="A5" s="5" t="str">
        <f>PrdIBNRTrendData[[#This Row],[Population]]&amp;PrdIBNRTrendData[[#This Row],[Cost Basis]]&amp;PrdIBNRTrendData[[#This Row],[Period]]</f>
        <v>EMPLOYEESAllowed2017-04-01</v>
      </c>
      <c r="B5" t="s">
        <v>90</v>
      </c>
      <c r="C5" t="s">
        <v>90</v>
      </c>
      <c r="D5" t="s">
        <v>91</v>
      </c>
      <c r="E5" s="1" t="s">
        <v>109</v>
      </c>
      <c r="F5">
        <v>6772211.6200000001</v>
      </c>
      <c r="G5">
        <v>6345319.9500000002</v>
      </c>
    </row>
    <row r="6" spans="1:7" x14ac:dyDescent="0.25">
      <c r="A6" s="5" t="str">
        <f>PrdIBNRTrendData[[#This Row],[Population]]&amp;PrdIBNRTrendData[[#This Row],[Cost Basis]]&amp;PrdIBNRTrendData[[#This Row],[Period]]</f>
        <v>EMPLOYEESAllowed2017-05-01</v>
      </c>
      <c r="B6" t="s">
        <v>90</v>
      </c>
      <c r="C6" t="s">
        <v>90</v>
      </c>
      <c r="D6" t="s">
        <v>91</v>
      </c>
      <c r="E6" s="1" t="s">
        <v>110</v>
      </c>
      <c r="F6">
        <v>8703601.2699999996</v>
      </c>
      <c r="G6">
        <v>7279541.6600000001</v>
      </c>
    </row>
    <row r="7" spans="1:7" x14ac:dyDescent="0.25">
      <c r="A7" s="5" t="str">
        <f>PrdIBNRTrendData[[#This Row],[Population]]&amp;PrdIBNRTrendData[[#This Row],[Cost Basis]]&amp;PrdIBNRTrendData[[#This Row],[Period]]</f>
        <v>EMPLOYEESPaid2017-01-01</v>
      </c>
      <c r="B7" t="s">
        <v>90</v>
      </c>
      <c r="C7" t="s">
        <v>90</v>
      </c>
      <c r="D7" t="s">
        <v>78</v>
      </c>
      <c r="E7" s="1" t="s">
        <v>105</v>
      </c>
      <c r="F7">
        <v>1451067.26</v>
      </c>
      <c r="G7">
        <v>1418734.65</v>
      </c>
    </row>
    <row r="8" spans="1:7" x14ac:dyDescent="0.25">
      <c r="A8" s="5" t="str">
        <f>PrdIBNRTrendData[[#This Row],[Population]]&amp;PrdIBNRTrendData[[#This Row],[Cost Basis]]&amp;PrdIBNRTrendData[[#This Row],[Period]]</f>
        <v>EMPLOYEESPaid2017-02-01</v>
      </c>
      <c r="B8" t="s">
        <v>90</v>
      </c>
      <c r="C8" t="s">
        <v>90</v>
      </c>
      <c r="D8" t="s">
        <v>78</v>
      </c>
      <c r="E8" s="1" t="s">
        <v>106</v>
      </c>
      <c r="F8">
        <v>2774358.55</v>
      </c>
      <c r="G8">
        <v>2691666.36</v>
      </c>
    </row>
    <row r="9" spans="1:7" x14ac:dyDescent="0.25">
      <c r="A9" s="5" t="str">
        <f>PrdIBNRTrendData[[#This Row],[Population]]&amp;PrdIBNRTrendData[[#This Row],[Cost Basis]]&amp;PrdIBNRTrendData[[#This Row],[Period]]</f>
        <v>EMPLOYEESPaid2017-03-01</v>
      </c>
      <c r="B9" t="s">
        <v>90</v>
      </c>
      <c r="C9" t="s">
        <v>90</v>
      </c>
      <c r="D9" t="s">
        <v>78</v>
      </c>
      <c r="E9" s="1" t="s">
        <v>107</v>
      </c>
      <c r="F9">
        <v>4296274.7300000004</v>
      </c>
      <c r="G9">
        <v>4068732.14</v>
      </c>
    </row>
    <row r="10" spans="1:7" x14ac:dyDescent="0.25">
      <c r="A10" s="5" t="str">
        <f>PrdIBNRTrendData[[#This Row],[Population]]&amp;PrdIBNRTrendData[[#This Row],[Cost Basis]]&amp;PrdIBNRTrendData[[#This Row],[Period]]</f>
        <v>EMPLOYEESPaid2017-04-01</v>
      </c>
      <c r="B10" t="s">
        <v>90</v>
      </c>
      <c r="C10" t="s">
        <v>90</v>
      </c>
      <c r="D10" t="s">
        <v>78</v>
      </c>
      <c r="E10" s="1" t="s">
        <v>109</v>
      </c>
      <c r="F10">
        <v>5778468</v>
      </c>
      <c r="G10">
        <v>5409045.4900000002</v>
      </c>
    </row>
    <row r="11" spans="1:7" x14ac:dyDescent="0.25">
      <c r="A11" s="5" t="str">
        <f>PrdIBNRTrendData[[#This Row],[Population]]&amp;PrdIBNRTrendData[[#This Row],[Cost Basis]]&amp;PrdIBNRTrendData[[#This Row],[Period]]</f>
        <v>EMPLOYEESPaid2017-05-01</v>
      </c>
      <c r="B11" t="s">
        <v>90</v>
      </c>
      <c r="C11" t="s">
        <v>90</v>
      </c>
      <c r="D11" t="s">
        <v>78</v>
      </c>
      <c r="E11" s="1" t="s">
        <v>110</v>
      </c>
      <c r="F11">
        <v>7449821.4800000004</v>
      </c>
      <c r="G11">
        <v>6203525.9900000002</v>
      </c>
    </row>
    <row r="12" spans="1:7" x14ac:dyDescent="0.25">
      <c r="A12" s="5" t="str">
        <f>PrdIBNRTrendData[[#This Row],[Population]]&amp;PrdIBNRTrendData[[#This Row],[Cost Basis]]&amp;PrdIBNRTrendData[[#This Row],[Period]]</f>
        <v>OTHERSAllowed2017-01-01</v>
      </c>
      <c r="B12" t="s">
        <v>111</v>
      </c>
      <c r="C12" t="s">
        <v>111</v>
      </c>
      <c r="D12" t="s">
        <v>91</v>
      </c>
      <c r="E12" s="1" t="s">
        <v>105</v>
      </c>
      <c r="F12">
        <v>1586574.23</v>
      </c>
      <c r="G12">
        <v>1488288.24</v>
      </c>
    </row>
    <row r="13" spans="1:7" x14ac:dyDescent="0.25">
      <c r="A13" s="5" t="str">
        <f>PrdIBNRTrendData[[#This Row],[Population]]&amp;PrdIBNRTrendData[[#This Row],[Cost Basis]]&amp;PrdIBNRTrendData[[#This Row],[Period]]</f>
        <v>OTHERSAllowed2017-02-01</v>
      </c>
      <c r="B13" t="s">
        <v>111</v>
      </c>
      <c r="C13" t="s">
        <v>111</v>
      </c>
      <c r="D13" t="s">
        <v>91</v>
      </c>
      <c r="E13" s="1" t="s">
        <v>106</v>
      </c>
      <c r="F13">
        <v>3104180.96</v>
      </c>
      <c r="G13">
        <v>2880368.97</v>
      </c>
    </row>
    <row r="14" spans="1:7" x14ac:dyDescent="0.25">
      <c r="A14" s="5" t="str">
        <f>PrdIBNRTrendData[[#This Row],[Population]]&amp;PrdIBNRTrendData[[#This Row],[Cost Basis]]&amp;PrdIBNRTrendData[[#This Row],[Period]]</f>
        <v>OTHERSAllowed2017-03-01</v>
      </c>
      <c r="B14" t="s">
        <v>111</v>
      </c>
      <c r="C14" t="s">
        <v>111</v>
      </c>
      <c r="D14" t="s">
        <v>91</v>
      </c>
      <c r="E14" s="1" t="s">
        <v>107</v>
      </c>
      <c r="F14">
        <v>4695744.8899999997</v>
      </c>
      <c r="G14">
        <v>4201117.49</v>
      </c>
    </row>
    <row r="15" spans="1:7" x14ac:dyDescent="0.25">
      <c r="A15" s="5" t="str">
        <f>PrdIBNRTrendData[[#This Row],[Population]]&amp;PrdIBNRTrendData[[#This Row],[Cost Basis]]&amp;PrdIBNRTrendData[[#This Row],[Period]]</f>
        <v>OTHERSAllowed2017-04-01</v>
      </c>
      <c r="B15" t="s">
        <v>111</v>
      </c>
      <c r="C15" t="s">
        <v>111</v>
      </c>
      <c r="D15" t="s">
        <v>91</v>
      </c>
      <c r="E15" s="1" t="s">
        <v>109</v>
      </c>
      <c r="F15">
        <v>6182540.6200000001</v>
      </c>
      <c r="G15">
        <v>5303603.6399999997</v>
      </c>
    </row>
    <row r="16" spans="1:7" x14ac:dyDescent="0.25">
      <c r="A16" s="5" t="str">
        <f>PrdIBNRTrendData[[#This Row],[Population]]&amp;PrdIBNRTrendData[[#This Row],[Cost Basis]]&amp;PrdIBNRTrendData[[#This Row],[Period]]</f>
        <v>OTHERSAllowed2017-05-01</v>
      </c>
      <c r="B16" t="s">
        <v>111</v>
      </c>
      <c r="C16" t="s">
        <v>111</v>
      </c>
      <c r="D16" t="s">
        <v>91</v>
      </c>
      <c r="E16" s="1" t="s">
        <v>110</v>
      </c>
      <c r="F16">
        <v>7688635.1600000001</v>
      </c>
      <c r="G16">
        <v>5895497.0700000003</v>
      </c>
    </row>
    <row r="17" spans="1:7" x14ac:dyDescent="0.25">
      <c r="A17" s="5" t="str">
        <f>PrdIBNRTrendData[[#This Row],[Population]]&amp;PrdIBNRTrendData[[#This Row],[Cost Basis]]&amp;PrdIBNRTrendData[[#This Row],[Period]]</f>
        <v>OTHERSPaid2017-01-01</v>
      </c>
      <c r="B17" t="s">
        <v>111</v>
      </c>
      <c r="C17" t="s">
        <v>111</v>
      </c>
      <c r="D17" t="s">
        <v>78</v>
      </c>
      <c r="E17" s="1" t="s">
        <v>105</v>
      </c>
      <c r="F17">
        <v>1217520.42</v>
      </c>
      <c r="G17">
        <v>1141869.0900000001</v>
      </c>
    </row>
    <row r="18" spans="1:7" x14ac:dyDescent="0.25">
      <c r="A18" s="5" t="str">
        <f>PrdIBNRTrendData[[#This Row],[Population]]&amp;PrdIBNRTrendData[[#This Row],[Cost Basis]]&amp;PrdIBNRTrendData[[#This Row],[Period]]</f>
        <v>OTHERSPaid2017-02-01</v>
      </c>
      <c r="B18" t="s">
        <v>111</v>
      </c>
      <c r="C18" t="s">
        <v>111</v>
      </c>
      <c r="D18" t="s">
        <v>78</v>
      </c>
      <c r="E18" s="1" t="s">
        <v>106</v>
      </c>
      <c r="F18">
        <v>2388208.7999999998</v>
      </c>
      <c r="G18">
        <v>2215656.96</v>
      </c>
    </row>
    <row r="19" spans="1:7" x14ac:dyDescent="0.25">
      <c r="A19" s="5" t="str">
        <f>PrdIBNRTrendData[[#This Row],[Population]]&amp;PrdIBNRTrendData[[#This Row],[Cost Basis]]&amp;PrdIBNRTrendData[[#This Row],[Period]]</f>
        <v>OTHERSPaid2017-03-01</v>
      </c>
      <c r="B19" t="s">
        <v>111</v>
      </c>
      <c r="C19" t="s">
        <v>111</v>
      </c>
      <c r="D19" t="s">
        <v>78</v>
      </c>
      <c r="E19" s="1" t="s">
        <v>107</v>
      </c>
      <c r="F19">
        <v>3563420.1</v>
      </c>
      <c r="G19">
        <v>3181764.53</v>
      </c>
    </row>
    <row r="20" spans="1:7" x14ac:dyDescent="0.25">
      <c r="A20" s="5" t="str">
        <f>PrdIBNRTrendData[[#This Row],[Population]]&amp;PrdIBNRTrendData[[#This Row],[Cost Basis]]&amp;PrdIBNRTrendData[[#This Row],[Period]]</f>
        <v>OTHERSPaid2017-04-01</v>
      </c>
      <c r="B20" t="s">
        <v>111</v>
      </c>
      <c r="C20" t="s">
        <v>111</v>
      </c>
      <c r="D20" t="s">
        <v>78</v>
      </c>
      <c r="E20" s="1" t="s">
        <v>109</v>
      </c>
      <c r="F20">
        <v>4724532.6500000004</v>
      </c>
      <c r="G20">
        <v>4037061.04</v>
      </c>
    </row>
    <row r="21" spans="1:7" x14ac:dyDescent="0.25">
      <c r="A21" s="5" t="str">
        <f>PrdIBNRTrendData[[#This Row],[Population]]&amp;PrdIBNRTrendData[[#This Row],[Cost Basis]]&amp;PrdIBNRTrendData[[#This Row],[Period]]</f>
        <v>OTHERSPaid2017-05-01</v>
      </c>
      <c r="B21" t="s">
        <v>111</v>
      </c>
      <c r="C21" t="s">
        <v>111</v>
      </c>
      <c r="D21" t="s">
        <v>78</v>
      </c>
      <c r="E21" s="1" t="s">
        <v>110</v>
      </c>
      <c r="F21">
        <v>5957652</v>
      </c>
      <c r="G21">
        <v>4515195.84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9"/>
  <sheetViews>
    <sheetView workbookViewId="0">
      <selection activeCell="A2" sqref="A2"/>
    </sheetView>
  </sheetViews>
  <sheetFormatPr defaultRowHeight="15" x14ac:dyDescent="0.25"/>
  <cols>
    <col min="1" max="1" width="13.140625" customWidth="1"/>
    <col min="2" max="2" width="10.7109375" bestFit="1" customWidth="1"/>
    <col min="3" max="3" width="7.42578125" bestFit="1" customWidth="1"/>
    <col min="4" max="4" width="27.140625" customWidth="1"/>
    <col min="5" max="5" width="23.7109375" customWidth="1"/>
    <col min="6" max="6" width="27.140625" bestFit="1" customWidth="1"/>
    <col min="7" max="7" width="23.7109375" customWidth="1"/>
  </cols>
  <sheetData>
    <row r="1" spans="1:3" x14ac:dyDescent="0.25">
      <c r="A1" s="2" t="s">
        <v>39</v>
      </c>
      <c r="B1" t="s">
        <v>44</v>
      </c>
      <c r="C1" t="s">
        <v>43</v>
      </c>
    </row>
    <row r="2" spans="1:3" x14ac:dyDescent="0.25">
      <c r="A2" s="3" t="s">
        <v>92</v>
      </c>
      <c r="B2" s="5">
        <v>76</v>
      </c>
      <c r="C2" s="5">
        <v>76</v>
      </c>
    </row>
    <row r="3" spans="1:3" x14ac:dyDescent="0.25">
      <c r="A3" s="3" t="s">
        <v>94</v>
      </c>
      <c r="B3" s="5">
        <v>84</v>
      </c>
      <c r="C3" s="5">
        <v>84</v>
      </c>
    </row>
    <row r="4" spans="1:3" x14ac:dyDescent="0.25">
      <c r="A4" s="3" t="s">
        <v>95</v>
      </c>
      <c r="B4" s="5">
        <v>127</v>
      </c>
      <c r="C4" s="5">
        <v>127</v>
      </c>
    </row>
    <row r="5" spans="1:3" x14ac:dyDescent="0.25">
      <c r="A5" s="3" t="s">
        <v>96</v>
      </c>
      <c r="B5" s="5">
        <v>111</v>
      </c>
      <c r="C5" s="5">
        <v>111</v>
      </c>
    </row>
    <row r="6" spans="1:3" x14ac:dyDescent="0.25">
      <c r="A6" s="3" t="s">
        <v>97</v>
      </c>
      <c r="B6" s="5">
        <v>119</v>
      </c>
      <c r="C6" s="5">
        <v>119</v>
      </c>
    </row>
    <row r="7" spans="1:3" x14ac:dyDescent="0.25">
      <c r="A7" s="3" t="s">
        <v>98</v>
      </c>
      <c r="B7" s="5">
        <v>140</v>
      </c>
      <c r="C7" s="5">
        <v>140</v>
      </c>
    </row>
    <row r="8" spans="1:3" x14ac:dyDescent="0.25">
      <c r="A8" s="3" t="s">
        <v>99</v>
      </c>
      <c r="B8" s="5">
        <v>87</v>
      </c>
      <c r="C8" s="5">
        <v>87</v>
      </c>
    </row>
    <row r="9" spans="1:3" x14ac:dyDescent="0.25">
      <c r="A9" s="3" t="s">
        <v>100</v>
      </c>
      <c r="B9" s="5">
        <v>123</v>
      </c>
      <c r="C9" s="5">
        <v>123</v>
      </c>
    </row>
    <row r="10" spans="1:3" x14ac:dyDescent="0.25">
      <c r="A10" s="3" t="s">
        <v>101</v>
      </c>
      <c r="B10" s="5">
        <v>128</v>
      </c>
      <c r="C10" s="5">
        <v>128</v>
      </c>
    </row>
    <row r="11" spans="1:3" x14ac:dyDescent="0.25">
      <c r="A11" s="3" t="s">
        <v>102</v>
      </c>
      <c r="B11" s="5">
        <v>118</v>
      </c>
      <c r="C11" s="5">
        <v>118</v>
      </c>
    </row>
    <row r="12" spans="1:3" x14ac:dyDescent="0.25">
      <c r="A12" s="3" t="s">
        <v>103</v>
      </c>
      <c r="B12" s="5">
        <v>114</v>
      </c>
      <c r="C12" s="5">
        <v>114</v>
      </c>
    </row>
    <row r="13" spans="1:3" x14ac:dyDescent="0.25">
      <c r="A13" s="3" t="s">
        <v>104</v>
      </c>
      <c r="B13" s="5">
        <v>128</v>
      </c>
      <c r="C13" s="5">
        <v>128</v>
      </c>
    </row>
    <row r="14" spans="1:3" x14ac:dyDescent="0.25">
      <c r="A14" s="3" t="s">
        <v>105</v>
      </c>
      <c r="B14" s="5">
        <v>169</v>
      </c>
      <c r="C14" s="5">
        <v>169</v>
      </c>
    </row>
    <row r="15" spans="1:3" x14ac:dyDescent="0.25">
      <c r="A15" s="3" t="s">
        <v>106</v>
      </c>
      <c r="B15" s="5">
        <v>106</v>
      </c>
      <c r="C15" s="5">
        <v>106</v>
      </c>
    </row>
    <row r="16" spans="1:3" x14ac:dyDescent="0.25">
      <c r="A16" s="3" t="s">
        <v>107</v>
      </c>
      <c r="B16" s="5">
        <v>96</v>
      </c>
      <c r="C16" s="5">
        <v>96</v>
      </c>
    </row>
    <row r="17" spans="1:3" x14ac:dyDescent="0.25">
      <c r="A17" s="3" t="s">
        <v>109</v>
      </c>
      <c r="B17" s="5">
        <v>109</v>
      </c>
      <c r="C17" s="5">
        <v>109</v>
      </c>
    </row>
    <row r="18" spans="1:3" x14ac:dyDescent="0.25">
      <c r="A18" s="3" t="s">
        <v>110</v>
      </c>
      <c r="B18" s="5">
        <v>72</v>
      </c>
      <c r="C18" s="5">
        <v>72</v>
      </c>
    </row>
    <row r="19" spans="1:3" x14ac:dyDescent="0.25">
      <c r="A19" s="3" t="s">
        <v>40</v>
      </c>
      <c r="B19" s="5">
        <v>1907</v>
      </c>
      <c r="C19" s="5">
        <v>1907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7"/>
  <sheetViews>
    <sheetView workbookViewId="0">
      <selection activeCell="N1" sqref="N1:P3"/>
    </sheetView>
  </sheetViews>
  <sheetFormatPr defaultRowHeight="15" x14ac:dyDescent="0.25"/>
  <cols>
    <col min="1" max="1" width="13.140625" customWidth="1"/>
    <col min="2" max="3" width="12" bestFit="1" customWidth="1"/>
    <col min="4" max="4" width="8.42578125" customWidth="1"/>
    <col min="5" max="5" width="4.85546875" customWidth="1"/>
    <col min="14" max="14" width="13.140625" bestFit="1" customWidth="1"/>
    <col min="15" max="16" width="12" bestFit="1" customWidth="1"/>
  </cols>
  <sheetData>
    <row r="1" spans="1:16" x14ac:dyDescent="0.25">
      <c r="A1" s="2" t="s">
        <v>39</v>
      </c>
      <c r="B1" t="s">
        <v>77</v>
      </c>
      <c r="C1" t="s">
        <v>78</v>
      </c>
      <c r="N1" s="2" t="s">
        <v>39</v>
      </c>
      <c r="O1" t="s">
        <v>77</v>
      </c>
      <c r="P1" t="s">
        <v>78</v>
      </c>
    </row>
    <row r="2" spans="1:16" x14ac:dyDescent="0.25">
      <c r="A2" s="7" t="s">
        <v>105</v>
      </c>
      <c r="B2" s="5">
        <v>1739245.25</v>
      </c>
      <c r="C2" s="5">
        <v>1698558.25</v>
      </c>
      <c r="N2" s="7" t="s">
        <v>105</v>
      </c>
      <c r="O2" s="5">
        <v>1739245.25</v>
      </c>
      <c r="P2" s="5">
        <v>1698558.25</v>
      </c>
    </row>
    <row r="3" spans="1:16" x14ac:dyDescent="0.25">
      <c r="A3" s="7" t="s">
        <v>106</v>
      </c>
      <c r="B3" s="5">
        <v>3298714.58</v>
      </c>
      <c r="C3" s="5">
        <v>3196457.07</v>
      </c>
      <c r="N3" s="7" t="s">
        <v>106</v>
      </c>
      <c r="O3" s="5">
        <v>3298714.58</v>
      </c>
      <c r="P3" s="5">
        <v>3196457.07</v>
      </c>
    </row>
    <row r="4" spans="1:16" x14ac:dyDescent="0.25">
      <c r="A4" s="7" t="s">
        <v>107</v>
      </c>
      <c r="B4" s="5">
        <v>5061417.7300000004</v>
      </c>
      <c r="C4" s="5">
        <v>4806144.82</v>
      </c>
      <c r="N4" s="7" t="s">
        <v>107</v>
      </c>
      <c r="O4" s="5">
        <v>5061417.7300000004</v>
      </c>
      <c r="P4" s="5">
        <v>4806144.82</v>
      </c>
    </row>
    <row r="5" spans="1:16" x14ac:dyDescent="0.25">
      <c r="A5" s="7" t="s">
        <v>109</v>
      </c>
      <c r="B5" s="5">
        <v>6772211.6200000001</v>
      </c>
      <c r="C5" s="5">
        <v>6345319.9500000002</v>
      </c>
      <c r="N5" s="7" t="s">
        <v>109</v>
      </c>
      <c r="O5" s="5">
        <v>6772211.6200000001</v>
      </c>
      <c r="P5" s="5">
        <v>6345319.9500000002</v>
      </c>
    </row>
    <row r="6" spans="1:16" x14ac:dyDescent="0.25">
      <c r="A6" s="7" t="s">
        <v>110</v>
      </c>
      <c r="B6" s="5">
        <v>8703601.2699999996</v>
      </c>
      <c r="C6" s="5">
        <v>7279541.6600000001</v>
      </c>
      <c r="N6" s="7" t="s">
        <v>110</v>
      </c>
      <c r="O6" s="5">
        <v>8703601.2699999996</v>
      </c>
      <c r="P6" s="5">
        <v>7279541.6600000001</v>
      </c>
    </row>
    <row r="7" spans="1:16" x14ac:dyDescent="0.25">
      <c r="A7" s="7" t="s">
        <v>40</v>
      </c>
      <c r="B7" s="5">
        <v>25575190.449999999</v>
      </c>
      <c r="C7" s="5">
        <v>23326021.75</v>
      </c>
      <c r="N7" s="7" t="s">
        <v>40</v>
      </c>
      <c r="O7" s="5">
        <v>25575190.449999999</v>
      </c>
      <c r="P7" s="5">
        <v>23326021.75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3"/>
  <sheetViews>
    <sheetView workbookViewId="0">
      <selection activeCell="A9" sqref="A9"/>
    </sheetView>
  </sheetViews>
  <sheetFormatPr defaultRowHeight="15" x14ac:dyDescent="0.25"/>
  <cols>
    <col min="1" max="1" width="27.85546875" bestFit="1" customWidth="1"/>
    <col min="2" max="2" width="79.5703125" bestFit="1" customWidth="1"/>
  </cols>
  <sheetData>
    <row r="1" spans="1:3" ht="18.75" x14ac:dyDescent="0.3">
      <c r="A1" s="10" t="s">
        <v>46</v>
      </c>
      <c r="B1" s="10"/>
    </row>
    <row r="3" spans="1:3" ht="18.75" x14ac:dyDescent="0.3">
      <c r="A3" s="9" t="s">
        <v>54</v>
      </c>
      <c r="C3" s="10"/>
    </row>
    <row r="5" spans="1:3" x14ac:dyDescent="0.25">
      <c r="A5" s="11" t="s">
        <v>47</v>
      </c>
      <c r="B5" s="11" t="s">
        <v>48</v>
      </c>
    </row>
    <row r="6" spans="1:3" x14ac:dyDescent="0.25">
      <c r="A6" s="8" t="s">
        <v>49</v>
      </c>
      <c r="B6" s="8" t="s">
        <v>53</v>
      </c>
    </row>
    <row r="7" spans="1:3" x14ac:dyDescent="0.25">
      <c r="A7" s="8"/>
      <c r="B7" s="8"/>
    </row>
    <row r="8" spans="1:3" x14ac:dyDescent="0.25">
      <c r="A8" s="8" t="s">
        <v>50</v>
      </c>
      <c r="B8" s="8" t="s">
        <v>51</v>
      </c>
    </row>
    <row r="9" spans="1:3" x14ac:dyDescent="0.25">
      <c r="A9" s="8"/>
      <c r="B9" s="8"/>
    </row>
    <row r="10" spans="1:3" x14ac:dyDescent="0.25">
      <c r="A10" s="8" t="s">
        <v>45</v>
      </c>
      <c r="B10" s="8" t="s">
        <v>52</v>
      </c>
    </row>
    <row r="12" spans="1:3" x14ac:dyDescent="0.25">
      <c r="A12" s="9" t="s">
        <v>55</v>
      </c>
    </row>
    <row r="13" spans="1:3" x14ac:dyDescent="0.25">
      <c r="B13"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24"/>
  <sheetViews>
    <sheetView showGridLines="0" workbookViewId="0"/>
  </sheetViews>
  <sheetFormatPr defaultRowHeight="15" x14ac:dyDescent="0.25"/>
  <cols>
    <col min="1" max="2" width="9.140625" customWidth="1"/>
    <col min="13" max="13" width="18.42578125" style="13" customWidth="1"/>
  </cols>
  <sheetData>
    <row r="1" spans="1:14" x14ac:dyDescent="0.25">
      <c r="B1" s="9" t="s">
        <v>57</v>
      </c>
      <c r="M1" s="12" t="s">
        <v>58</v>
      </c>
      <c r="N1" s="12" t="s">
        <v>59</v>
      </c>
    </row>
    <row r="2" spans="1:14" x14ac:dyDescent="0.25">
      <c r="L2" s="15"/>
      <c r="M2" s="16"/>
    </row>
    <row r="3" spans="1:14" ht="15" customHeight="1" x14ac:dyDescent="0.25">
      <c r="A3">
        <v>1</v>
      </c>
      <c r="B3" t="s">
        <v>60</v>
      </c>
      <c r="L3" s="15"/>
      <c r="M3" s="16"/>
    </row>
    <row r="4" spans="1:14" x14ac:dyDescent="0.25">
      <c r="A4">
        <v>2</v>
      </c>
      <c r="B4" t="s">
        <v>61</v>
      </c>
      <c r="L4" s="15"/>
      <c r="M4" s="16"/>
    </row>
    <row r="5" spans="1:14" x14ac:dyDescent="0.25">
      <c r="A5">
        <v>3</v>
      </c>
      <c r="B5" t="s">
        <v>62</v>
      </c>
      <c r="L5" s="15"/>
      <c r="M5" s="16"/>
    </row>
    <row r="6" spans="1:14" x14ac:dyDescent="0.25">
      <c r="L6" s="15"/>
      <c r="M6" s="16"/>
    </row>
    <row r="7" spans="1:14" x14ac:dyDescent="0.25">
      <c r="B7" s="9" t="s">
        <v>63</v>
      </c>
      <c r="L7" s="15"/>
      <c r="M7" s="16"/>
    </row>
    <row r="8" spans="1:14" x14ac:dyDescent="0.25">
      <c r="B8" s="9"/>
      <c r="L8" s="15"/>
      <c r="M8" s="16"/>
    </row>
    <row r="9" spans="1:14" x14ac:dyDescent="0.25">
      <c r="A9">
        <v>4</v>
      </c>
      <c r="B9" t="s">
        <v>76</v>
      </c>
      <c r="L9" s="15"/>
      <c r="M9" s="16"/>
    </row>
    <row r="10" spans="1:14" x14ac:dyDescent="0.25">
      <c r="A10">
        <v>5</v>
      </c>
      <c r="B10" t="s">
        <v>75</v>
      </c>
      <c r="L10" s="15"/>
      <c r="M10" s="16"/>
    </row>
    <row r="11" spans="1:14" x14ac:dyDescent="0.25">
      <c r="A11">
        <v>6</v>
      </c>
      <c r="B11" t="s">
        <v>64</v>
      </c>
      <c r="L11" s="15"/>
      <c r="M11" s="16"/>
    </row>
    <row r="12" spans="1:14" x14ac:dyDescent="0.25">
      <c r="A12">
        <v>7</v>
      </c>
      <c r="B12" t="s">
        <v>65</v>
      </c>
      <c r="L12" s="15"/>
      <c r="M12" s="16"/>
    </row>
    <row r="13" spans="1:14" x14ac:dyDescent="0.25">
      <c r="A13">
        <v>8</v>
      </c>
      <c r="B13" t="s">
        <v>66</v>
      </c>
      <c r="L13" s="15"/>
      <c r="M13" s="16"/>
    </row>
    <row r="14" spans="1:14" x14ac:dyDescent="0.25">
      <c r="A14">
        <v>9</v>
      </c>
      <c r="B14" t="s">
        <v>67</v>
      </c>
      <c r="L14" s="15"/>
      <c r="M14" s="16"/>
    </row>
    <row r="15" spans="1:14" x14ac:dyDescent="0.25">
      <c r="A15">
        <v>10</v>
      </c>
      <c r="B15" t="s">
        <v>68</v>
      </c>
      <c r="L15" s="15"/>
      <c r="M15" s="16"/>
    </row>
    <row r="16" spans="1:14" x14ac:dyDescent="0.25">
      <c r="A16">
        <v>11</v>
      </c>
      <c r="B16" t="s">
        <v>69</v>
      </c>
      <c r="L16" s="15"/>
      <c r="M16" s="16"/>
    </row>
    <row r="17" spans="1:19" x14ac:dyDescent="0.25">
      <c r="L17" s="15"/>
      <c r="M17" s="16"/>
    </row>
    <row r="18" spans="1:19" x14ac:dyDescent="0.25">
      <c r="L18" s="15"/>
      <c r="M18" s="16"/>
    </row>
    <row r="19" spans="1:19" x14ac:dyDescent="0.25">
      <c r="B19" s="9" t="s">
        <v>70</v>
      </c>
      <c r="L19" s="15"/>
      <c r="M19" s="16"/>
    </row>
    <row r="20" spans="1:19" x14ac:dyDescent="0.25">
      <c r="L20" s="15"/>
      <c r="M20" s="16"/>
    </row>
    <row r="21" spans="1:19" x14ac:dyDescent="0.25">
      <c r="A21">
        <v>12</v>
      </c>
      <c r="B21" t="s">
        <v>71</v>
      </c>
      <c r="L21" s="15"/>
      <c r="M21" s="16"/>
    </row>
    <row r="22" spans="1:19" x14ac:dyDescent="0.25">
      <c r="B22" s="14" t="s">
        <v>72</v>
      </c>
      <c r="C22" s="15"/>
      <c r="D22" s="15"/>
      <c r="E22" s="15"/>
      <c r="F22" s="15"/>
      <c r="G22" s="15"/>
      <c r="H22" s="15"/>
      <c r="I22" s="15"/>
      <c r="J22" s="15"/>
      <c r="K22" s="15"/>
      <c r="L22" s="15"/>
      <c r="M22" s="15"/>
      <c r="N22" s="15"/>
      <c r="O22" s="15"/>
      <c r="P22" s="15"/>
      <c r="Q22" s="15"/>
      <c r="R22" s="15"/>
      <c r="S22" s="15"/>
    </row>
    <row r="23" spans="1:19" x14ac:dyDescent="0.25">
      <c r="A23">
        <v>13</v>
      </c>
      <c r="B23" t="s">
        <v>73</v>
      </c>
    </row>
    <row r="24" spans="1:19" x14ac:dyDescent="0.25">
      <c r="A24">
        <v>14</v>
      </c>
      <c r="B24" t="s">
        <v>74</v>
      </c>
    </row>
  </sheetData>
  <hyperlinks>
    <hyperlink ref="B2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Check Box 1">
              <controlPr defaultSize="0" autoFill="0" autoLine="0" autoPict="0">
                <anchor moveWithCells="1">
                  <from>
                    <xdr:col>12</xdr:col>
                    <xdr:colOff>19050</xdr:colOff>
                    <xdr:row>1</xdr:row>
                    <xdr:rowOff>171450</xdr:rowOff>
                  </from>
                  <to>
                    <xdr:col>12</xdr:col>
                    <xdr:colOff>800100</xdr:colOff>
                    <xdr:row>3</xdr:row>
                    <xdr:rowOff>0</xdr:rowOff>
                  </to>
                </anchor>
              </controlPr>
            </control>
          </mc:Choice>
        </mc:AlternateContent>
        <mc:AlternateContent xmlns:mc="http://schemas.openxmlformats.org/markup-compatibility/2006">
          <mc:Choice Requires="x14">
            <control shapeId="13314" r:id="rId6" name="Check Box 2">
              <controlPr defaultSize="0" autoFill="0" autoLine="0" autoPict="0">
                <anchor moveWithCells="1">
                  <from>
                    <xdr:col>12</xdr:col>
                    <xdr:colOff>19050</xdr:colOff>
                    <xdr:row>3</xdr:row>
                    <xdr:rowOff>0</xdr:rowOff>
                  </from>
                  <to>
                    <xdr:col>12</xdr:col>
                    <xdr:colOff>800100</xdr:colOff>
                    <xdr:row>4</xdr:row>
                    <xdr:rowOff>19050</xdr:rowOff>
                  </to>
                </anchor>
              </controlPr>
            </control>
          </mc:Choice>
        </mc:AlternateContent>
        <mc:AlternateContent xmlns:mc="http://schemas.openxmlformats.org/markup-compatibility/2006">
          <mc:Choice Requires="x14">
            <control shapeId="13315" r:id="rId7" name="Check Box 3">
              <controlPr defaultSize="0" autoFill="0" autoLine="0" autoPict="0">
                <anchor moveWithCells="1">
                  <from>
                    <xdr:col>12</xdr:col>
                    <xdr:colOff>19050</xdr:colOff>
                    <xdr:row>4</xdr:row>
                    <xdr:rowOff>0</xdr:rowOff>
                  </from>
                  <to>
                    <xdr:col>12</xdr:col>
                    <xdr:colOff>800100</xdr:colOff>
                    <xdr:row>5</xdr:row>
                    <xdr:rowOff>19050</xdr:rowOff>
                  </to>
                </anchor>
              </controlPr>
            </control>
          </mc:Choice>
        </mc:AlternateContent>
        <mc:AlternateContent xmlns:mc="http://schemas.openxmlformats.org/markup-compatibility/2006">
          <mc:Choice Requires="x14">
            <control shapeId="13316" r:id="rId8" name="Check Box 4">
              <controlPr defaultSize="0" autoFill="0" autoLine="0" autoPict="0">
                <anchor moveWithCells="1">
                  <from>
                    <xdr:col>12</xdr:col>
                    <xdr:colOff>19050</xdr:colOff>
                    <xdr:row>10</xdr:row>
                    <xdr:rowOff>0</xdr:rowOff>
                  </from>
                  <to>
                    <xdr:col>12</xdr:col>
                    <xdr:colOff>800100</xdr:colOff>
                    <xdr:row>11</xdr:row>
                    <xdr:rowOff>19050</xdr:rowOff>
                  </to>
                </anchor>
              </controlPr>
            </control>
          </mc:Choice>
        </mc:AlternateContent>
        <mc:AlternateContent xmlns:mc="http://schemas.openxmlformats.org/markup-compatibility/2006">
          <mc:Choice Requires="x14">
            <control shapeId="13317" r:id="rId9" name="Check Box 5">
              <controlPr defaultSize="0" autoFill="0" autoLine="0" autoPict="0">
                <anchor moveWithCells="1">
                  <from>
                    <xdr:col>12</xdr:col>
                    <xdr:colOff>19050</xdr:colOff>
                    <xdr:row>11</xdr:row>
                    <xdr:rowOff>0</xdr:rowOff>
                  </from>
                  <to>
                    <xdr:col>12</xdr:col>
                    <xdr:colOff>762000</xdr:colOff>
                    <xdr:row>12</xdr:row>
                    <xdr:rowOff>19050</xdr:rowOff>
                  </to>
                </anchor>
              </controlPr>
            </control>
          </mc:Choice>
        </mc:AlternateContent>
        <mc:AlternateContent xmlns:mc="http://schemas.openxmlformats.org/markup-compatibility/2006">
          <mc:Choice Requires="x14">
            <control shapeId="13318" r:id="rId10" name="Check Box 6">
              <controlPr defaultSize="0" autoFill="0" autoLine="0" autoPict="0">
                <anchor moveWithCells="1">
                  <from>
                    <xdr:col>12</xdr:col>
                    <xdr:colOff>19050</xdr:colOff>
                    <xdr:row>12</xdr:row>
                    <xdr:rowOff>0</xdr:rowOff>
                  </from>
                  <to>
                    <xdr:col>12</xdr:col>
                    <xdr:colOff>800100</xdr:colOff>
                    <xdr:row>13</xdr:row>
                    <xdr:rowOff>19050</xdr:rowOff>
                  </to>
                </anchor>
              </controlPr>
            </control>
          </mc:Choice>
        </mc:AlternateContent>
        <mc:AlternateContent xmlns:mc="http://schemas.openxmlformats.org/markup-compatibility/2006">
          <mc:Choice Requires="x14">
            <control shapeId="13319" r:id="rId11" name="Check Box 7">
              <controlPr defaultSize="0" autoFill="0" autoLine="0" autoPict="0">
                <anchor moveWithCells="1">
                  <from>
                    <xdr:col>12</xdr:col>
                    <xdr:colOff>19050</xdr:colOff>
                    <xdr:row>13</xdr:row>
                    <xdr:rowOff>0</xdr:rowOff>
                  </from>
                  <to>
                    <xdr:col>12</xdr:col>
                    <xdr:colOff>800100</xdr:colOff>
                    <xdr:row>14</xdr:row>
                    <xdr:rowOff>19050</xdr:rowOff>
                  </to>
                </anchor>
              </controlPr>
            </control>
          </mc:Choice>
        </mc:AlternateContent>
        <mc:AlternateContent xmlns:mc="http://schemas.openxmlformats.org/markup-compatibility/2006">
          <mc:Choice Requires="x14">
            <control shapeId="13320" r:id="rId12" name="Check Box 8">
              <controlPr defaultSize="0" autoFill="0" autoLine="0" autoPict="0">
                <anchor moveWithCells="1">
                  <from>
                    <xdr:col>12</xdr:col>
                    <xdr:colOff>19050</xdr:colOff>
                    <xdr:row>14</xdr:row>
                    <xdr:rowOff>0</xdr:rowOff>
                  </from>
                  <to>
                    <xdr:col>12</xdr:col>
                    <xdr:colOff>800100</xdr:colOff>
                    <xdr:row>15</xdr:row>
                    <xdr:rowOff>19050</xdr:rowOff>
                  </to>
                </anchor>
              </controlPr>
            </control>
          </mc:Choice>
        </mc:AlternateContent>
        <mc:AlternateContent xmlns:mc="http://schemas.openxmlformats.org/markup-compatibility/2006">
          <mc:Choice Requires="x14">
            <control shapeId="13321" r:id="rId13" name="Check Box 9">
              <controlPr defaultSize="0" autoFill="0" autoLine="0" autoPict="0">
                <anchor moveWithCells="1">
                  <from>
                    <xdr:col>12</xdr:col>
                    <xdr:colOff>19050</xdr:colOff>
                    <xdr:row>15</xdr:row>
                    <xdr:rowOff>0</xdr:rowOff>
                  </from>
                  <to>
                    <xdr:col>12</xdr:col>
                    <xdr:colOff>857250</xdr:colOff>
                    <xdr:row>16</xdr:row>
                    <xdr:rowOff>19050</xdr:rowOff>
                  </to>
                </anchor>
              </controlPr>
            </control>
          </mc:Choice>
        </mc:AlternateContent>
        <mc:AlternateContent xmlns:mc="http://schemas.openxmlformats.org/markup-compatibility/2006">
          <mc:Choice Requires="x14">
            <control shapeId="13322" r:id="rId14" name="Check Box 10">
              <controlPr defaultSize="0" autoFill="0" autoLine="0" autoPict="0">
                <anchor moveWithCells="1">
                  <from>
                    <xdr:col>12</xdr:col>
                    <xdr:colOff>9525</xdr:colOff>
                    <xdr:row>19</xdr:row>
                    <xdr:rowOff>171450</xdr:rowOff>
                  </from>
                  <to>
                    <xdr:col>12</xdr:col>
                    <xdr:colOff>847725</xdr:colOff>
                    <xdr:row>21</xdr:row>
                    <xdr:rowOff>0</xdr:rowOff>
                  </to>
                </anchor>
              </controlPr>
            </control>
          </mc:Choice>
        </mc:AlternateContent>
        <mc:AlternateContent xmlns:mc="http://schemas.openxmlformats.org/markup-compatibility/2006">
          <mc:Choice Requires="x14">
            <control shapeId="13323" r:id="rId15" name="Check Box 11">
              <controlPr defaultSize="0" autoFill="0" autoLine="0" autoPict="0">
                <anchor moveWithCells="1">
                  <from>
                    <xdr:col>12</xdr:col>
                    <xdr:colOff>9525</xdr:colOff>
                    <xdr:row>22</xdr:row>
                    <xdr:rowOff>0</xdr:rowOff>
                  </from>
                  <to>
                    <xdr:col>12</xdr:col>
                    <xdr:colOff>847725</xdr:colOff>
                    <xdr:row>23</xdr:row>
                    <xdr:rowOff>19050</xdr:rowOff>
                  </to>
                </anchor>
              </controlPr>
            </control>
          </mc:Choice>
        </mc:AlternateContent>
        <mc:AlternateContent xmlns:mc="http://schemas.openxmlformats.org/markup-compatibility/2006">
          <mc:Choice Requires="x14">
            <control shapeId="13324" r:id="rId16" name="Check Box 12">
              <controlPr defaultSize="0" autoFill="0" autoLine="0" autoPict="0">
                <anchor moveWithCells="1">
                  <from>
                    <xdr:col>12</xdr:col>
                    <xdr:colOff>9525</xdr:colOff>
                    <xdr:row>23</xdr:row>
                    <xdr:rowOff>0</xdr:rowOff>
                  </from>
                  <to>
                    <xdr:col>12</xdr:col>
                    <xdr:colOff>847725</xdr:colOff>
                    <xdr:row>24</xdr:row>
                    <xdr:rowOff>19050</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12</xdr:col>
                    <xdr:colOff>19050</xdr:colOff>
                    <xdr:row>7</xdr:row>
                    <xdr:rowOff>95250</xdr:rowOff>
                  </from>
                  <to>
                    <xdr:col>12</xdr:col>
                    <xdr:colOff>323850</xdr:colOff>
                    <xdr:row>8</xdr:row>
                    <xdr:rowOff>123825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12</xdr:col>
                    <xdr:colOff>19050</xdr:colOff>
                    <xdr:row>8</xdr:row>
                    <xdr:rowOff>57150</xdr:rowOff>
                  </from>
                  <to>
                    <xdr:col>12</xdr:col>
                    <xdr:colOff>323850</xdr:colOff>
                    <xdr:row>9</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E1:F1"/>
  <sheetViews>
    <sheetView workbookViewId="0">
      <selection activeCell="J27" sqref="J27"/>
    </sheetView>
  </sheetViews>
  <sheetFormatPr defaultRowHeight="15" x14ac:dyDescent="0.25"/>
  <sheetData>
    <row r="1" spans="5:6" ht="18.75" x14ac:dyDescent="0.3">
      <c r="E1" s="18" t="s">
        <v>41</v>
      </c>
      <c r="F1" s="18"/>
    </row>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end_Sheet">
                <anchor moveWithCells="1" sizeWithCells="1">
                  <from>
                    <xdr:col>11</xdr:col>
                    <xdr:colOff>19050</xdr:colOff>
                    <xdr:row>1</xdr:row>
                    <xdr:rowOff>9525</xdr:rowOff>
                  </from>
                  <to>
                    <xdr:col>14</xdr:col>
                    <xdr:colOff>0</xdr:colOff>
                    <xdr:row>4</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H22"/>
  <sheetViews>
    <sheetView workbookViewId="0">
      <selection activeCell="R13" sqref="R13"/>
    </sheetView>
  </sheetViews>
  <sheetFormatPr defaultRowHeight="15" x14ac:dyDescent="0.25"/>
  <sheetData>
    <row r="1" spans="5:8" ht="18.75" x14ac:dyDescent="0.3">
      <c r="E1" s="6" t="s">
        <v>42</v>
      </c>
      <c r="F1" s="6"/>
      <c r="G1" s="6"/>
      <c r="H1" s="3"/>
    </row>
    <row r="3" spans="5:8" ht="18.75" x14ac:dyDescent="0.3">
      <c r="E3" s="6" t="s">
        <v>43</v>
      </c>
    </row>
    <row r="22" spans="5:7" ht="18.75" x14ac:dyDescent="0.3">
      <c r="E22" s="6" t="s">
        <v>44</v>
      </c>
      <c r="F22" s="6"/>
      <c r="G22"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15"/>
  <sheetViews>
    <sheetView workbookViewId="0">
      <selection activeCell="A4" sqref="A4"/>
    </sheetView>
  </sheetViews>
  <sheetFormatPr defaultRowHeight="15" x14ac:dyDescent="0.25"/>
  <cols>
    <col min="1" max="2" width="13.140625" bestFit="1" customWidth="1"/>
    <col min="3" max="3" width="26.5703125" bestFit="1" customWidth="1"/>
    <col min="4" max="4" width="8.28515625" bestFit="1" customWidth="1"/>
    <col min="5" max="5" width="38.85546875" bestFit="1" customWidth="1"/>
    <col min="6" max="6" width="53" bestFit="1" customWidth="1"/>
    <col min="7" max="7" width="70.28515625" bestFit="1" customWidth="1"/>
    <col min="8" max="8" width="53" bestFit="1" customWidth="1"/>
  </cols>
  <sheetData>
    <row r="1" spans="1:7" ht="18.75" x14ac:dyDescent="0.3">
      <c r="A1" s="18" t="s">
        <v>79</v>
      </c>
      <c r="B1" s="18"/>
      <c r="C1" s="18"/>
    </row>
    <row r="3" spans="1:7" x14ac:dyDescent="0.25">
      <c r="B3" t="s">
        <v>0</v>
      </c>
      <c r="C3" t="s">
        <v>80</v>
      </c>
      <c r="D3" t="s">
        <v>81</v>
      </c>
      <c r="E3" t="s">
        <v>82</v>
      </c>
      <c r="F3" t="s">
        <v>43</v>
      </c>
      <c r="G3" t="s">
        <v>84</v>
      </c>
    </row>
    <row r="4" spans="1:7" x14ac:dyDescent="0.25">
      <c r="B4" s="3" t="s">
        <v>90</v>
      </c>
      <c r="C4" s="3" t="s">
        <v>90</v>
      </c>
      <c r="D4" s="3" t="s">
        <v>112</v>
      </c>
      <c r="E4" s="3" t="s">
        <v>113</v>
      </c>
      <c r="F4" s="3" t="s">
        <v>114</v>
      </c>
      <c r="G4" s="3" t="str">
        <f>VLOOKUP(OtherChecksTable[[#This Row],[Population]]&amp;OtherChecksTable[[#This Row],[Tabs]]&amp;OtherChecksTable[[#This Row],[Checks]],OtherChecksPrdTable[],6,FALSE)</f>
        <v>March-17(90%), April-17(90%), May-17(48%</v>
      </c>
    </row>
    <row r="5" spans="1:7" x14ac:dyDescent="0.25">
      <c r="B5" s="3" t="s">
        <v>90</v>
      </c>
      <c r="C5" s="3" t="s">
        <v>90</v>
      </c>
      <c r="D5" s="3" t="s">
        <v>115</v>
      </c>
      <c r="E5" s="3" t="s">
        <v>116</v>
      </c>
      <c r="F5" s="3" t="s">
        <v>117</v>
      </c>
      <c r="G5" s="17" t="str">
        <f>VLOOKUP(OtherChecksTable[[#This Row],[Population]]&amp;OtherChecksTable[[#This Row],[Tabs]]&amp;OtherChecksTable[[#This Row],[Checks]],OtherChecksPrdTable[],6,FALSE)</f>
        <v>4825</v>
      </c>
    </row>
    <row r="6" spans="1:7" x14ac:dyDescent="0.25">
      <c r="B6" s="3" t="s">
        <v>90</v>
      </c>
      <c r="C6" s="3" t="s">
        <v>90</v>
      </c>
      <c r="D6" s="3" t="s">
        <v>118</v>
      </c>
      <c r="E6" s="3" t="s">
        <v>119</v>
      </c>
      <c r="F6" s="3" t="s">
        <v>120</v>
      </c>
      <c r="G6" s="17" t="str">
        <f>VLOOKUP(OtherChecksTable[[#This Row],[Population]]&amp;OtherChecksTable[[#This Row],[Tabs]]&amp;OtherChecksTable[[#This Row],[Checks]],OtherChecksPrdTable[],6,FALSE)</f>
        <v>369</v>
      </c>
    </row>
    <row r="7" spans="1:7" x14ac:dyDescent="0.25">
      <c r="B7" s="3" t="s">
        <v>90</v>
      </c>
      <c r="C7" s="3" t="s">
        <v>90</v>
      </c>
      <c r="D7" s="3" t="s">
        <v>118</v>
      </c>
      <c r="E7" s="3" t="s">
        <v>121</v>
      </c>
      <c r="F7" s="3" t="s">
        <v>122</v>
      </c>
      <c r="G7" s="17" t="str">
        <f>VLOOKUP(OtherChecksTable[[#This Row],[Population]]&amp;OtherChecksTable[[#This Row],[Tabs]]&amp;OtherChecksTable[[#This Row],[Checks]],OtherChecksPrdTable[],6,FALSE)</f>
        <v>55</v>
      </c>
    </row>
    <row r="8" spans="1:7" x14ac:dyDescent="0.25">
      <c r="B8" s="3" t="s">
        <v>90</v>
      </c>
      <c r="C8" s="3" t="s">
        <v>90</v>
      </c>
      <c r="D8" s="3" t="s">
        <v>118</v>
      </c>
      <c r="E8" s="3" t="s">
        <v>123</v>
      </c>
      <c r="F8" s="3" t="s">
        <v>120</v>
      </c>
      <c r="G8" s="17" t="str">
        <f>VLOOKUP(OtherChecksTable[[#This Row],[Population]]&amp;OtherChecksTable[[#This Row],[Tabs]]&amp;OtherChecksTable[[#This Row],[Checks]],OtherChecksPrdTable[],6,FALSE)</f>
        <v>369</v>
      </c>
    </row>
    <row r="9" spans="1:7" x14ac:dyDescent="0.25">
      <c r="B9" s="3" t="s">
        <v>90</v>
      </c>
      <c r="C9" s="3" t="s">
        <v>90</v>
      </c>
      <c r="D9" s="3" t="s">
        <v>124</v>
      </c>
      <c r="E9" s="3" t="s">
        <v>125</v>
      </c>
      <c r="F9" s="3" t="s">
        <v>126</v>
      </c>
      <c r="G9" s="17" t="str">
        <f>VLOOKUP(OtherChecksTable[[#This Row],[Population]]&amp;OtherChecksTable[[#This Row],[Tabs]]&amp;OtherChecksTable[[#This Row],[Checks]],OtherChecksPrdTable[],6,FALSE)</f>
        <v>186</v>
      </c>
    </row>
    <row r="10" spans="1:7" x14ac:dyDescent="0.25">
      <c r="B10" s="3" t="s">
        <v>111</v>
      </c>
      <c r="C10" s="3" t="s">
        <v>111</v>
      </c>
      <c r="D10" s="3" t="s">
        <v>112</v>
      </c>
      <c r="E10" s="3" t="s">
        <v>113</v>
      </c>
      <c r="F10" s="3" t="s">
        <v>127</v>
      </c>
      <c r="G10" s="17" t="str">
        <f>VLOOKUP(OtherChecksTable[[#This Row],[Population]]&amp;OtherChecksTable[[#This Row],[Tabs]]&amp;OtherChecksTable[[#This Row],[Checks]],OtherChecksPrdTable[],6,FALSE)</f>
        <v>January-17(94%), February-17(92%), March-17(82%), April-17(74%), May-17(39%</v>
      </c>
    </row>
    <row r="11" spans="1:7" x14ac:dyDescent="0.25">
      <c r="B11" s="3" t="s">
        <v>111</v>
      </c>
      <c r="C11" s="3" t="s">
        <v>111</v>
      </c>
      <c r="D11" s="3" t="s">
        <v>115</v>
      </c>
      <c r="E11" s="3" t="s">
        <v>116</v>
      </c>
      <c r="F11" s="3" t="s">
        <v>128</v>
      </c>
      <c r="G11" s="17" t="str">
        <f>VLOOKUP(OtherChecksTable[[#This Row],[Population]]&amp;OtherChecksTable[[#This Row],[Tabs]]&amp;OtherChecksTable[[#This Row],[Checks]],OtherChecksPrdTable[],6,FALSE)</f>
        <v>9489</v>
      </c>
    </row>
    <row r="12" spans="1:7" x14ac:dyDescent="0.25">
      <c r="B12" s="3" t="s">
        <v>111</v>
      </c>
      <c r="C12" s="3" t="s">
        <v>111</v>
      </c>
      <c r="D12" s="3" t="s">
        <v>118</v>
      </c>
      <c r="E12" s="3" t="s">
        <v>119</v>
      </c>
      <c r="F12" s="3" t="s">
        <v>129</v>
      </c>
      <c r="G12" s="17" t="str">
        <f>VLOOKUP(OtherChecksTable[[#This Row],[Population]]&amp;OtherChecksTable[[#This Row],[Tabs]]&amp;OtherChecksTable[[#This Row],[Checks]],OtherChecksPrdTable[],6,FALSE)</f>
        <v>592</v>
      </c>
    </row>
    <row r="13" spans="1:7" x14ac:dyDescent="0.25">
      <c r="B13" s="3" t="s">
        <v>111</v>
      </c>
      <c r="C13" s="3" t="s">
        <v>111</v>
      </c>
      <c r="D13" s="3" t="s">
        <v>118</v>
      </c>
      <c r="E13" s="3" t="s">
        <v>121</v>
      </c>
      <c r="F13" s="3" t="s">
        <v>130</v>
      </c>
      <c r="G13" s="17" t="str">
        <f>VLOOKUP(OtherChecksTable[[#This Row],[Population]]&amp;OtherChecksTable[[#This Row],[Tabs]]&amp;OtherChecksTable[[#This Row],[Checks]],OtherChecksPrdTable[],6,FALSE)</f>
        <v>82</v>
      </c>
    </row>
    <row r="14" spans="1:7" x14ac:dyDescent="0.25">
      <c r="B14" s="3" t="s">
        <v>111</v>
      </c>
      <c r="C14" s="3" t="s">
        <v>111</v>
      </c>
      <c r="D14" s="3" t="s">
        <v>118</v>
      </c>
      <c r="E14" s="3" t="s">
        <v>123</v>
      </c>
      <c r="F14" s="3" t="s">
        <v>129</v>
      </c>
      <c r="G14" s="17" t="str">
        <f>VLOOKUP(OtherChecksTable[[#This Row],[Population]]&amp;OtherChecksTable[[#This Row],[Tabs]]&amp;OtherChecksTable[[#This Row],[Checks]],OtherChecksPrdTable[],6,FALSE)</f>
        <v>592</v>
      </c>
    </row>
    <row r="15" spans="1:7" x14ac:dyDescent="0.25">
      <c r="B15" s="3" t="s">
        <v>111</v>
      </c>
      <c r="C15" s="3" t="s">
        <v>111</v>
      </c>
      <c r="D15" s="3" t="s">
        <v>124</v>
      </c>
      <c r="E15" s="3" t="s">
        <v>125</v>
      </c>
      <c r="F15" s="3" t="s">
        <v>131</v>
      </c>
      <c r="G15" s="17" t="str">
        <f>VLOOKUP(OtherChecksTable[[#This Row],[Population]]&amp;OtherChecksTable[[#This Row],[Tabs]]&amp;OtherChecksTable[[#This Row],[Checks]],OtherChecksPrdTable[],6,FALSE)</f>
        <v>303</v>
      </c>
    </row>
  </sheetData>
  <mergeCells count="1">
    <mergeCell ref="A1:C1"/>
  </mergeCell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5"/>
  <sheetViews>
    <sheetView topLeftCell="D1" workbookViewId="0">
      <selection activeCell="G23" sqref="G23"/>
    </sheetView>
  </sheetViews>
  <sheetFormatPr defaultRowHeight="15" x14ac:dyDescent="0.25"/>
  <cols>
    <col min="1" max="1" width="13" customWidth="1"/>
    <col min="2" max="2" width="26.5703125" bestFit="1" customWidth="1"/>
    <col min="3" max="3" width="78.5703125" bestFit="1" customWidth="1"/>
    <col min="4" max="4" width="26.5703125" bestFit="1" customWidth="1"/>
    <col min="5" max="5" width="8.28515625" bestFit="1" customWidth="1"/>
    <col min="6" max="6" width="38.85546875" bestFit="1" customWidth="1"/>
    <col min="7" max="7" width="53" bestFit="1" customWidth="1"/>
  </cols>
  <sheetData>
    <row r="1" spans="1:8" ht="18.75" x14ac:dyDescent="0.3">
      <c r="A1" s="18" t="s">
        <v>79</v>
      </c>
      <c r="B1" s="18"/>
      <c r="C1" s="18"/>
    </row>
    <row r="3" spans="1:8" x14ac:dyDescent="0.25">
      <c r="C3" t="s">
        <v>38</v>
      </c>
      <c r="D3" t="s">
        <v>0</v>
      </c>
      <c r="E3" t="s">
        <v>80</v>
      </c>
      <c r="F3" t="s">
        <v>81</v>
      </c>
      <c r="G3" t="s">
        <v>82</v>
      </c>
      <c r="H3" t="s">
        <v>83</v>
      </c>
    </row>
    <row r="4" spans="1:8" x14ac:dyDescent="0.25">
      <c r="C4" t="str">
        <f>OtherChecksPrdTable[[#This Row],[Population]]&amp;OtherChecksPrdTable[[#This Row],[Tabs]]&amp;OtherChecksPrdTable[[#This Row],[Checks]]</f>
        <v>EMPLOYEESFocusNo of Incomplete Months</v>
      </c>
      <c r="D4" t="s">
        <v>90</v>
      </c>
      <c r="E4" t="s">
        <v>90</v>
      </c>
      <c r="F4" t="s">
        <v>112</v>
      </c>
      <c r="G4" t="s">
        <v>113</v>
      </c>
      <c r="H4" t="s">
        <v>114</v>
      </c>
    </row>
    <row r="5" spans="1:8" x14ac:dyDescent="0.25">
      <c r="C5" s="5" t="str">
        <f>OtherChecksPrdTable[[#This Row],[Population]]&amp;OtherChecksPrdTable[[#This Row],[Tabs]]&amp;OtherChecksPrdTable[[#This Row],[Checks]]</f>
        <v>EMPLOYEESPatientsNo of Patients</v>
      </c>
      <c r="D5" t="s">
        <v>90</v>
      </c>
      <c r="E5" t="s">
        <v>90</v>
      </c>
      <c r="F5" t="s">
        <v>115</v>
      </c>
      <c r="G5" t="s">
        <v>116</v>
      </c>
      <c r="H5" t="s">
        <v>117</v>
      </c>
    </row>
    <row r="6" spans="1:8" x14ac:dyDescent="0.25">
      <c r="C6" s="5" t="str">
        <f>OtherChecksPrdTable[[#This Row],[Population]]&amp;OtherChecksPrdTable[[#This Row],[Tabs]]&amp;OtherChecksPrdTable[[#This Row],[Checks]]</f>
        <v>EMPLOYEESPCPsNo of PCPs</v>
      </c>
      <c r="D6" t="s">
        <v>90</v>
      </c>
      <c r="E6" t="s">
        <v>90</v>
      </c>
      <c r="F6" t="s">
        <v>118</v>
      </c>
      <c r="G6" t="s">
        <v>119</v>
      </c>
      <c r="H6" t="s">
        <v>120</v>
      </c>
    </row>
    <row r="7" spans="1:8" x14ac:dyDescent="0.25">
      <c r="C7" s="5" t="str">
        <f>OtherChecksPrdTable[[#This Row],[Population]]&amp;OtherChecksPrdTable[[#This Row],[Tabs]]&amp;OtherChecksPrdTable[[#This Row],[Checks]]</f>
        <v>EMPLOYEESPCPsPCPs - Not Affiliated with practice</v>
      </c>
      <c r="D7" t="s">
        <v>90</v>
      </c>
      <c r="E7" t="s">
        <v>90</v>
      </c>
      <c r="F7" t="s">
        <v>118</v>
      </c>
      <c r="G7" t="s">
        <v>121</v>
      </c>
      <c r="H7" t="s">
        <v>122</v>
      </c>
    </row>
    <row r="8" spans="1:8" x14ac:dyDescent="0.25">
      <c r="C8" s="5" t="str">
        <f>OtherChecksPrdTable[[#This Row],[Population]]&amp;OtherChecksPrdTable[[#This Row],[Tabs]]&amp;OtherChecksPrdTable[[#This Row],[Checks]]</f>
        <v>EMPLOYEESPCPsPCPs with "Unknown" Network Affiliation</v>
      </c>
      <c r="D8" t="s">
        <v>90</v>
      </c>
      <c r="E8" t="s">
        <v>90</v>
      </c>
      <c r="F8" t="s">
        <v>118</v>
      </c>
      <c r="G8" t="s">
        <v>123</v>
      </c>
      <c r="H8" t="s">
        <v>120</v>
      </c>
    </row>
    <row r="9" spans="1:8" x14ac:dyDescent="0.25">
      <c r="C9" s="5" t="str">
        <f>OtherChecksPrdTable[[#This Row],[Population]]&amp;OtherChecksPrdTable[[#This Row],[Tabs]]&amp;OtherChecksPrdTable[[#This Row],[Checks]]</f>
        <v>EMPLOYEESPracticeNo of Practice</v>
      </c>
      <c r="D9" t="s">
        <v>90</v>
      </c>
      <c r="E9" t="s">
        <v>90</v>
      </c>
      <c r="F9" t="s">
        <v>124</v>
      </c>
      <c r="G9" t="s">
        <v>125</v>
      </c>
      <c r="H9" t="s">
        <v>126</v>
      </c>
    </row>
    <row r="10" spans="1:8" x14ac:dyDescent="0.25">
      <c r="C10" s="5" t="str">
        <f>OtherChecksPrdTable[[#This Row],[Population]]&amp;OtherChecksPrdTable[[#This Row],[Tabs]]&amp;OtherChecksPrdTable[[#This Row],[Checks]]</f>
        <v>OTHERSFocusNo of Incomplete Months</v>
      </c>
      <c r="D10" t="s">
        <v>111</v>
      </c>
      <c r="E10" t="s">
        <v>111</v>
      </c>
      <c r="F10" t="s">
        <v>112</v>
      </c>
      <c r="G10" t="s">
        <v>113</v>
      </c>
      <c r="H10" t="s">
        <v>127</v>
      </c>
    </row>
    <row r="11" spans="1:8" x14ac:dyDescent="0.25">
      <c r="C11" s="5" t="str">
        <f>OtherChecksPrdTable[[#This Row],[Population]]&amp;OtherChecksPrdTable[[#This Row],[Tabs]]&amp;OtherChecksPrdTable[[#This Row],[Checks]]</f>
        <v>OTHERSPatientsNo of Patients</v>
      </c>
      <c r="D11" t="s">
        <v>111</v>
      </c>
      <c r="E11" t="s">
        <v>111</v>
      </c>
      <c r="F11" t="s">
        <v>115</v>
      </c>
      <c r="G11" t="s">
        <v>116</v>
      </c>
      <c r="H11" t="s">
        <v>128</v>
      </c>
    </row>
    <row r="12" spans="1:8" x14ac:dyDescent="0.25">
      <c r="C12" s="5" t="str">
        <f>OtherChecksPrdTable[[#This Row],[Population]]&amp;OtherChecksPrdTable[[#This Row],[Tabs]]&amp;OtherChecksPrdTable[[#This Row],[Checks]]</f>
        <v>OTHERSPCPsNo of PCPs</v>
      </c>
      <c r="D12" t="s">
        <v>111</v>
      </c>
      <c r="E12" t="s">
        <v>111</v>
      </c>
      <c r="F12" t="s">
        <v>118</v>
      </c>
      <c r="G12" t="s">
        <v>119</v>
      </c>
      <c r="H12" t="s">
        <v>129</v>
      </c>
    </row>
    <row r="13" spans="1:8" x14ac:dyDescent="0.25">
      <c r="C13" s="5" t="str">
        <f>OtherChecksPrdTable[[#This Row],[Population]]&amp;OtherChecksPrdTable[[#This Row],[Tabs]]&amp;OtherChecksPrdTable[[#This Row],[Checks]]</f>
        <v>OTHERSPCPsPCPs - Not Affiliated with practice</v>
      </c>
      <c r="D13" t="s">
        <v>111</v>
      </c>
      <c r="E13" t="s">
        <v>111</v>
      </c>
      <c r="F13" t="s">
        <v>118</v>
      </c>
      <c r="G13" t="s">
        <v>121</v>
      </c>
      <c r="H13" t="s">
        <v>130</v>
      </c>
    </row>
    <row r="14" spans="1:8" x14ac:dyDescent="0.25">
      <c r="C14" s="5" t="str">
        <f>OtherChecksPrdTable[[#This Row],[Population]]&amp;OtherChecksPrdTable[[#This Row],[Tabs]]&amp;OtherChecksPrdTable[[#This Row],[Checks]]</f>
        <v>OTHERSPCPsPCPs with "Unknown" Network Affiliation</v>
      </c>
      <c r="D14" t="s">
        <v>111</v>
      </c>
      <c r="E14" t="s">
        <v>111</v>
      </c>
      <c r="F14" t="s">
        <v>118</v>
      </c>
      <c r="G14" t="s">
        <v>123</v>
      </c>
      <c r="H14" t="s">
        <v>129</v>
      </c>
    </row>
    <row r="15" spans="1:8" x14ac:dyDescent="0.25">
      <c r="C15" s="5" t="str">
        <f>OtherChecksPrdTable[[#This Row],[Population]]&amp;OtherChecksPrdTable[[#This Row],[Tabs]]&amp;OtherChecksPrdTable[[#This Row],[Checks]]</f>
        <v>OTHERSPracticeNo of Practice</v>
      </c>
      <c r="D15" t="s">
        <v>111</v>
      </c>
      <c r="E15" t="s">
        <v>111</v>
      </c>
      <c r="F15" t="s">
        <v>124</v>
      </c>
      <c r="G15" t="s">
        <v>125</v>
      </c>
      <c r="H15" t="s">
        <v>131</v>
      </c>
    </row>
  </sheetData>
  <mergeCells count="1">
    <mergeCell ref="A1:C1"/>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4"/>
  <sheetViews>
    <sheetView workbookViewId="0">
      <selection sqref="A1:A23"/>
    </sheetView>
  </sheetViews>
  <sheetFormatPr defaultRowHeight="15" x14ac:dyDescent="0.25"/>
  <cols>
    <col min="1" max="1" width="38.140625" bestFit="1" customWidth="1"/>
  </cols>
  <sheetData>
    <row r="1" spans="1:1" x14ac:dyDescent="0.25">
      <c r="A1" s="4" t="s">
        <v>12</v>
      </c>
    </row>
    <row r="2" spans="1:1" x14ac:dyDescent="0.25">
      <c r="A2" s="4" t="s">
        <v>13</v>
      </c>
    </row>
    <row r="3" spans="1:1" x14ac:dyDescent="0.25">
      <c r="A3" s="4" t="s">
        <v>14</v>
      </c>
    </row>
    <row r="4" spans="1:1" x14ac:dyDescent="0.25">
      <c r="A4" s="4" t="s">
        <v>30</v>
      </c>
    </row>
    <row r="5" spans="1:1" x14ac:dyDescent="0.25">
      <c r="A5" s="4" t="s">
        <v>31</v>
      </c>
    </row>
    <row r="6" spans="1:1" x14ac:dyDescent="0.25">
      <c r="A6" s="4" t="s">
        <v>32</v>
      </c>
    </row>
    <row r="7" spans="1:1" x14ac:dyDescent="0.25">
      <c r="A7" s="4" t="s">
        <v>33</v>
      </c>
    </row>
    <row r="8" spans="1:1" x14ac:dyDescent="0.25">
      <c r="A8" s="4" t="s">
        <v>34</v>
      </c>
    </row>
    <row r="9" spans="1:1" x14ac:dyDescent="0.25">
      <c r="A9" s="4" t="s">
        <v>15</v>
      </c>
    </row>
    <row r="10" spans="1:1" x14ac:dyDescent="0.25">
      <c r="A10" s="4" t="s">
        <v>16</v>
      </c>
    </row>
    <row r="11" spans="1:1" x14ac:dyDescent="0.25">
      <c r="A11" s="4" t="s">
        <v>17</v>
      </c>
    </row>
    <row r="12" spans="1:1" x14ac:dyDescent="0.25">
      <c r="A12" s="4" t="s">
        <v>18</v>
      </c>
    </row>
    <row r="13" spans="1:1" x14ac:dyDescent="0.25">
      <c r="A13" s="4" t="s">
        <v>19</v>
      </c>
    </row>
    <row r="14" spans="1:1" x14ac:dyDescent="0.25">
      <c r="A14" s="4" t="s">
        <v>20</v>
      </c>
    </row>
    <row r="15" spans="1:1" x14ac:dyDescent="0.25">
      <c r="A15" s="4" t="s">
        <v>21</v>
      </c>
    </row>
    <row r="16" spans="1:1" x14ac:dyDescent="0.25">
      <c r="A16" s="4" t="s">
        <v>22</v>
      </c>
    </row>
    <row r="17" spans="1:1" x14ac:dyDescent="0.25">
      <c r="A17" s="4" t="s">
        <v>23</v>
      </c>
    </row>
    <row r="18" spans="1:1" x14ac:dyDescent="0.25">
      <c r="A18" s="4" t="s">
        <v>24</v>
      </c>
    </row>
    <row r="19" spans="1:1" x14ac:dyDescent="0.25">
      <c r="A19" s="4" t="s">
        <v>25</v>
      </c>
    </row>
    <row r="20" spans="1:1" x14ac:dyDescent="0.25">
      <c r="A20" s="4" t="s">
        <v>26</v>
      </c>
    </row>
    <row r="21" spans="1:1" x14ac:dyDescent="0.25">
      <c r="A21" s="4" t="s">
        <v>27</v>
      </c>
    </row>
    <row r="22" spans="1:1" x14ac:dyDescent="0.25">
      <c r="A22" s="4" t="s">
        <v>28</v>
      </c>
    </row>
    <row r="23" spans="1:1" x14ac:dyDescent="0.25">
      <c r="A23" s="4" t="s">
        <v>29</v>
      </c>
    </row>
    <row r="24" spans="1:1" x14ac:dyDescent="0.25">
      <c r="A24"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Threshold</vt:lpstr>
      <vt:lpstr>StgTrendSheetData</vt:lpstr>
      <vt:lpstr>PrdTrendSheetData</vt:lpstr>
      <vt:lpstr>StgIBNRData</vt:lpstr>
      <vt:lpstr>PrdIBNRData</vt:lpstr>
      <vt:lpstr>Trend Sheet Data</vt:lpstr>
      <vt:lpstr>IBNR Trend Sheet Data</vt:lpstr>
      <vt:lpstr>Reference</vt:lpstr>
      <vt:lpstr>QA Check list</vt:lpstr>
      <vt:lpstr>All Trend Sheet</vt:lpstr>
      <vt:lpstr>IBNR Trend Sheet</vt:lpstr>
      <vt:lpstr>Other Checks</vt:lpstr>
      <vt:lpstr>Other Checks Prd</vt:lpstr>
      <vt:lpstr>CustomTrendList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2017-06-22T10:17:15Z</dcterms:modified>
</cp:coreProperties>
</file>